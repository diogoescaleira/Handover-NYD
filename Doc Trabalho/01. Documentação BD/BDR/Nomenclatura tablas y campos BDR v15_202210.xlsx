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LoanTapeBCE/Shared Documents/General/01. Documentação BD/BDR/"/>
    </mc:Choice>
  </mc:AlternateContent>
  <xr:revisionPtr revIDLastSave="0" documentId="109_{7B60746C-0FA1-4F61-9F78-1BEC890869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peo DOC-BDR" sheetId="2" r:id="rId1"/>
  </sheets>
  <externalReferences>
    <externalReference r:id="rId2"/>
  </externalReferences>
  <definedNames>
    <definedName name="_xlnm._FilterDatabase" localSheetId="0" hidden="1">'Mapeo DOC-BDR'!$A$1:$WUX$5090</definedName>
    <definedName name="_ftn1" localSheetId="0">'Mapeo DOC-BDR'!#REF!</definedName>
    <definedName name="_ftn2" localSheetId="0">'Mapeo DOC-BDR'!#REF!</definedName>
    <definedName name="_ftnref1" localSheetId="0">'Mapeo DOC-BDR'!#REF!</definedName>
    <definedName name="_ftnref2" localSheetId="0">'Mapeo DOC-BDR'!#REF!</definedName>
    <definedName name="_Toc333571905" localSheetId="0">'Mapeo DOC-BDR'!$B$4456</definedName>
    <definedName name="_Toc388540271" localSheetId="0">'Mapeo DOC-BDR'!$B$4486</definedName>
    <definedName name="_Toc423018859" localSheetId="0">'Mapeo DOC-BDR'!$B$4561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93" i="2" l="1"/>
  <c r="C4520" i="2"/>
  <c r="C3667" i="2" s="1"/>
  <c r="C1761" i="2"/>
  <c r="C2788" i="2"/>
  <c r="C3914" i="2"/>
  <c r="C4421" i="2" s="1"/>
  <c r="C134" i="2" s="1"/>
  <c r="C352" i="2" s="1"/>
  <c r="C451" i="2"/>
  <c r="C440" i="2" s="1"/>
  <c r="C434" i="2" s="1"/>
  <c r="C2609" i="2" s="1"/>
  <c r="C3905" i="2"/>
  <c r="C1165" i="2" s="1"/>
  <c r="C224" i="2" s="1"/>
  <c r="C1958" i="2"/>
  <c r="C3903" i="2"/>
  <c r="C1750" i="2"/>
  <c r="C1794" i="2" s="1"/>
  <c r="C2781" i="2" s="1"/>
  <c r="C3069" i="2" s="1"/>
  <c r="C3890" i="2"/>
  <c r="C1950" i="2" s="1"/>
  <c r="C1969" i="2" s="1"/>
  <c r="C3688" i="2"/>
  <c r="C954" i="2"/>
  <c r="C3843" i="2"/>
  <c r="C1993" i="2" s="1"/>
  <c r="C4908" i="2" s="1"/>
  <c r="C3745" i="2"/>
  <c r="C1736" i="2" s="1"/>
  <c r="C1195" i="2"/>
  <c r="G3365" i="2"/>
  <c r="C3836" i="2"/>
  <c r="C1942" i="2" s="1"/>
  <c r="C1721" i="2"/>
  <c r="C1910" i="2" s="1"/>
  <c r="C2330" i="2" s="1"/>
  <c r="C1444" i="2"/>
  <c r="C1107" i="2" s="1"/>
  <c r="C3954" i="2" s="1"/>
  <c r="C782" i="2"/>
  <c r="C777" i="2" s="1"/>
  <c r="C504" i="2"/>
  <c r="C3402" i="2" s="1"/>
  <c r="C4983" i="2"/>
  <c r="C2789" i="2" l="1"/>
  <c r="C1751" i="2"/>
  <c r="C1795" i="2" s="1"/>
  <c r="C2782" i="2" s="1"/>
  <c r="C3906" i="2"/>
  <c r="C3844" i="2"/>
  <c r="C267" i="2" s="1"/>
  <c r="C3915" i="2"/>
  <c r="C3837" i="2"/>
  <c r="C3746" i="2"/>
  <c r="C1737" i="2" s="1"/>
  <c r="C1738" i="2" s="1"/>
  <c r="C1739" i="2" s="1"/>
  <c r="C1762" i="2"/>
  <c r="C3891" i="2"/>
  <c r="C1951" i="2" s="1"/>
  <c r="C1702" i="2"/>
  <c r="C2379" i="2"/>
  <c r="C2380" i="2" s="1"/>
  <c r="C196" i="2"/>
  <c r="C2147" i="2"/>
  <c r="C3700" i="2"/>
  <c r="C1883" i="2"/>
  <c r="C992" i="2"/>
  <c r="C1970" i="2"/>
  <c r="C4376" i="2"/>
  <c r="C337" i="2"/>
  <c r="C4991" i="2"/>
  <c r="C75" i="2"/>
  <c r="C76" i="2" s="1"/>
  <c r="C77" i="2" s="1"/>
  <c r="C4859" i="2"/>
  <c r="C2053" i="2"/>
  <c r="C834" i="2"/>
  <c r="C3692" i="2"/>
  <c r="C3693" i="2" s="1"/>
  <c r="C442" i="2"/>
  <c r="C135" i="2"/>
  <c r="C948" i="2"/>
  <c r="C3568" i="2"/>
  <c r="C4535" i="2"/>
  <c r="C1752" i="2" l="1"/>
  <c r="C1753" i="2" s="1"/>
  <c r="C2790" i="2"/>
  <c r="C71" i="2"/>
  <c r="C78" i="2"/>
  <c r="C1884" i="2"/>
  <c r="C1722" i="2"/>
  <c r="C3838" i="2"/>
  <c r="C1409" i="2"/>
  <c r="C3916" i="2"/>
  <c r="C4403" i="2" s="1"/>
  <c r="C3972" i="2"/>
  <c r="C3973" i="2" s="1"/>
  <c r="C943" i="2"/>
  <c r="C2070" i="2"/>
  <c r="C673" i="2"/>
  <c r="C4092" i="2"/>
  <c r="C303" i="2"/>
  <c r="C34" i="2"/>
  <c r="C353" i="2"/>
  <c r="C1232" i="2"/>
  <c r="C4445" i="2"/>
  <c r="C4367" i="2"/>
  <c r="C4368" i="2" s="1"/>
  <c r="C4369" i="2" s="1"/>
  <c r="C1472" i="2"/>
  <c r="C1473" i="2" s="1"/>
  <c r="C4412" i="2"/>
  <c r="C2481" i="2"/>
  <c r="C2605" i="2"/>
  <c r="C2091" i="2"/>
  <c r="C4487" i="2"/>
  <c r="C3408" i="2"/>
  <c r="C3409" i="2" s="1"/>
  <c r="C4075" i="2"/>
  <c r="C4076" i="2" s="1"/>
  <c r="C849" i="2"/>
  <c r="C299" i="2"/>
  <c r="C609" i="2"/>
  <c r="C136" i="2"/>
  <c r="C1410" i="2" l="1"/>
  <c r="C72" i="2"/>
  <c r="C2772" i="2"/>
  <c r="C4818" i="2"/>
  <c r="C4819" i="2" s="1"/>
  <c r="C878" i="2"/>
  <c r="C3112" i="2"/>
  <c r="C291" i="2"/>
  <c r="C4827" i="2"/>
  <c r="C4502" i="2"/>
  <c r="C1551" i="2"/>
  <c r="C4546" i="2"/>
  <c r="C1090" i="2"/>
  <c r="C4972" i="2"/>
  <c r="C2178" i="2"/>
  <c r="C2179" i="2" s="1"/>
  <c r="C1169" i="2"/>
  <c r="C569" i="2"/>
  <c r="C1484" i="2"/>
  <c r="C4868" i="2"/>
  <c r="C4869" i="2" s="1"/>
  <c r="C4857" i="2"/>
  <c r="C3072" i="2"/>
  <c r="C443" i="2"/>
  <c r="C1610" i="2" l="1"/>
  <c r="C4901" i="2"/>
  <c r="C294" i="2"/>
  <c r="C295" i="2" s="1"/>
  <c r="C4906" i="2"/>
  <c r="C4939" i="2"/>
  <c r="C1040" i="2"/>
  <c r="C1431" i="2"/>
  <c r="C2072" i="2"/>
  <c r="C173" i="2"/>
  <c r="C174" i="2" s="1"/>
  <c r="C1328" i="2"/>
  <c r="C1853" i="2"/>
  <c r="C1854" i="2" s="1"/>
  <c r="C4013" i="2"/>
  <c r="C2307" i="2"/>
  <c r="C2845" i="2"/>
  <c r="C1337" i="2"/>
  <c r="C1082" i="2"/>
  <c r="C4347" i="2" l="1"/>
  <c r="C4348" i="2" s="1"/>
  <c r="C4349" i="2" s="1"/>
  <c r="C1084" i="2"/>
  <c r="C1085" i="2" s="1"/>
  <c r="C613" i="2"/>
  <c r="C614" i="2" s="1"/>
  <c r="C706" i="2"/>
  <c r="C2479" i="2"/>
  <c r="C389" i="2"/>
  <c r="C2299" i="2"/>
  <c r="C2033" i="2"/>
  <c r="C4919" i="2"/>
  <c r="C4920" i="2" s="1"/>
  <c r="C2054" i="2"/>
  <c r="C1008" i="2"/>
  <c r="C262" i="2"/>
  <c r="C360" i="2" l="1"/>
  <c r="C361" i="2" s="1"/>
  <c r="C4446" i="2"/>
  <c r="C425" i="2"/>
  <c r="C3421" i="2"/>
  <c r="C3422" i="2" s="1"/>
  <c r="C4087" i="2"/>
  <c r="C1079" i="2"/>
  <c r="C697" i="2"/>
  <c r="C2075" i="2"/>
  <c r="C910" i="2"/>
  <c r="C1639" i="2"/>
  <c r="C1459" i="2"/>
  <c r="C1460" i="2" s="1"/>
  <c r="C1585" i="2"/>
  <c r="C2247" i="2"/>
  <c r="C82" i="2"/>
  <c r="C3689" i="2"/>
  <c r="C421" i="2" l="1"/>
  <c r="C1329" i="2" s="1"/>
  <c r="C428" i="2"/>
  <c r="C426" i="2"/>
  <c r="C427" i="2" s="1"/>
  <c r="C284" i="2"/>
  <c r="C4052" i="2"/>
  <c r="C4910" i="2" s="1"/>
  <c r="C4921" i="2" s="1"/>
  <c r="C1392" i="2" s="1"/>
  <c r="C1679" i="2"/>
  <c r="C122" i="2"/>
  <c r="C123" i="2" s="1"/>
  <c r="C2107" i="2"/>
  <c r="C1617" i="2"/>
  <c r="C1122" i="2"/>
  <c r="C3355" i="2"/>
  <c r="C4828" i="2"/>
  <c r="C2248" i="2"/>
  <c r="C2249" i="2" s="1"/>
  <c r="C1831" i="2"/>
  <c r="C2520" i="2"/>
  <c r="C2521" i="2" s="1"/>
  <c r="C2261" i="2"/>
  <c r="C1552" i="2"/>
  <c r="C4424" i="2" l="1"/>
  <c r="C4515" i="2"/>
  <c r="C4516" i="2" s="1"/>
  <c r="C4517" i="2" s="1"/>
  <c r="C4518" i="2" s="1"/>
  <c r="C1179" i="2"/>
  <c r="C2012" i="2"/>
  <c r="C1674" i="2"/>
  <c r="C2226" i="2"/>
  <c r="C4043" i="2"/>
  <c r="C1773" i="2"/>
  <c r="C1774" i="2" s="1"/>
  <c r="C1833" i="2"/>
  <c r="C1834" i="2" s="1"/>
  <c r="C3963" i="2"/>
  <c r="C1041" i="2"/>
  <c r="C5034" i="2"/>
  <c r="C1461" i="2"/>
  <c r="C5083" i="2" l="1"/>
  <c r="C2607" i="2"/>
  <c r="C44" i="2"/>
  <c r="C561" i="2"/>
  <c r="C3640" i="2"/>
  <c r="C3437" i="2"/>
  <c r="C285" i="2"/>
  <c r="C1796" i="2"/>
  <c r="C869" i="2"/>
  <c r="C870" i="2" s="1"/>
  <c r="C1545" i="2"/>
  <c r="C2034" i="2"/>
  <c r="C2014" i="2"/>
  <c r="C4429" i="2"/>
  <c r="C3334" i="2" l="1"/>
  <c r="C2207" i="2"/>
  <c r="C2208" i="2" s="1"/>
  <c r="C3592" i="2"/>
  <c r="C2272" i="2"/>
  <c r="C3690" i="2"/>
  <c r="C155" i="2"/>
  <c r="C4009" i="2" s="1"/>
  <c r="C4426" i="2"/>
  <c r="C2281" i="2"/>
  <c r="C1553" i="2" l="1"/>
  <c r="C3392" i="2"/>
  <c r="C4328" i="2"/>
  <c r="C1542" i="2"/>
  <c r="C1543" i="2" s="1"/>
  <c r="C1351" i="2"/>
  <c r="C405" i="2"/>
  <c r="C406" i="2" s="1"/>
  <c r="C972" i="2"/>
  <c r="C973" i="2" s="1"/>
  <c r="C4431" i="2"/>
  <c r="C2109" i="2"/>
  <c r="C2234" i="2" l="1"/>
  <c r="C2100" i="2"/>
  <c r="C3360" i="2"/>
  <c r="C5080" i="2"/>
  <c r="C2215" i="2"/>
  <c r="C2216" i="2" s="1"/>
  <c r="C1837" i="2"/>
  <c r="C4044" i="2"/>
  <c r="C2157" i="2"/>
  <c r="C4925" i="2"/>
  <c r="C2616" i="2" l="1"/>
  <c r="C2617" i="2" s="1"/>
  <c r="C1296" i="2"/>
  <c r="C2209" i="2"/>
  <c r="C2097" i="2"/>
  <c r="C1397" i="2"/>
  <c r="C1398" i="2" s="1"/>
  <c r="C1394" i="2" s="1"/>
  <c r="C1400" i="2" s="1"/>
  <c r="C26" i="2"/>
  <c r="C27" i="2" s="1"/>
  <c r="C28" i="2" s="1"/>
  <c r="C29" i="2" s="1"/>
  <c r="C30" i="2" s="1"/>
  <c r="C31" i="2" s="1"/>
  <c r="C32" i="2" s="1"/>
  <c r="C2163" i="2"/>
  <c r="C2164" i="2" s="1"/>
  <c r="C899" i="2"/>
  <c r="C2243" i="2"/>
  <c r="C692" i="2" l="1"/>
  <c r="C1548" i="2"/>
  <c r="C1492" i="2"/>
  <c r="C1503" i="2"/>
  <c r="C1504" i="2" s="1"/>
  <c r="C1505" i="2" s="1"/>
  <c r="C57" i="2"/>
  <c r="C755" i="2" l="1"/>
  <c r="C756" i="2" s="1"/>
  <c r="C2269" i="2"/>
  <c r="C79" i="2"/>
  <c r="C1290" i="2"/>
  <c r="C1291" i="2" s="1"/>
  <c r="C4806" i="2"/>
  <c r="C4994" i="2"/>
  <c r="C4001" i="2" l="1"/>
  <c r="C4002" i="2" s="1"/>
  <c r="C4003" i="2" s="1"/>
  <c r="C5088" i="2"/>
  <c r="C4839" i="2"/>
  <c r="C760" i="2"/>
  <c r="C761" i="2" s="1"/>
  <c r="C472" i="2"/>
  <c r="C749" i="2"/>
  <c r="C1113" i="2"/>
  <c r="C3331" i="2"/>
  <c r="C766" i="2" l="1"/>
  <c r="C845" i="2"/>
  <c r="C486" i="2"/>
  <c r="C2006" i="2"/>
  <c r="C764" i="2"/>
  <c r="C674" i="2"/>
  <c r="C467" i="2" l="1"/>
  <c r="C468" i="2" s="1"/>
  <c r="C770" i="2"/>
  <c r="C737" i="2"/>
  <c r="C738" i="2" s="1"/>
  <c r="C1442" i="2" l="1"/>
  <c r="C740" i="2"/>
  <c r="C5075" i="2"/>
  <c r="C742" i="2"/>
  <c r="C771" i="2"/>
  <c r="C4524" i="2"/>
  <c r="C4879" i="2" l="1"/>
  <c r="C4880" i="2" s="1"/>
  <c r="C1445" i="2"/>
  <c r="C4521" i="2"/>
  <c r="C370" i="2" l="1"/>
  <c r="C371" i="2" s="1"/>
  <c r="C4439" i="2"/>
  <c r="C950" i="2" l="1"/>
  <c r="C4050" i="2"/>
  <c r="C1823" i="2"/>
  <c r="C2337" i="2"/>
  <c r="C647" i="2" l="1"/>
  <c r="C570" i="2"/>
  <c r="C639" i="2"/>
  <c r="C1406" i="2"/>
  <c r="C3620" i="2" l="1"/>
  <c r="C936" i="2"/>
  <c r="C1803" i="2"/>
  <c r="C576" i="2"/>
  <c r="C577" i="2" s="1"/>
  <c r="C1309" i="2"/>
  <c r="C1493" i="2" l="1"/>
  <c r="C187" i="2"/>
  <c r="C1241" i="2"/>
  <c r="C553" i="2"/>
  <c r="C554" i="2" s="1"/>
  <c r="C818" i="2" l="1"/>
  <c r="C819" i="2" s="1"/>
  <c r="C850" i="2"/>
  <c r="C851" i="2" s="1"/>
  <c r="C887" i="2"/>
  <c r="C806" i="2" l="1"/>
  <c r="C807" i="2" s="1"/>
  <c r="C2198" i="2"/>
  <c r="C1478" i="2"/>
  <c r="C3430" i="2"/>
  <c r="C3596" i="2" l="1"/>
  <c r="C1520" i="2"/>
  <c r="C1521" i="2" s="1"/>
  <c r="C1522" i="2" s="1"/>
  <c r="C538" i="2"/>
  <c r="C550" i="2"/>
  <c r="C1640" i="2" l="1"/>
  <c r="C1641" i="2" s="1"/>
  <c r="C2043" i="2"/>
  <c r="C548" i="2"/>
  <c r="C2199" i="2"/>
  <c r="C522" i="2"/>
  <c r="C523" i="2" s="1"/>
  <c r="C524" i="2" s="1"/>
  <c r="C5002" i="2" l="1"/>
  <c r="C5003" i="2" s="1"/>
  <c r="C3967" i="2"/>
  <c r="C3968" i="2" s="1"/>
  <c r="C1699" i="2"/>
  <c r="C1051" i="2" l="1"/>
  <c r="C1052" i="2" s="1"/>
  <c r="C1053" i="2" s="1"/>
  <c r="C3976" i="2"/>
  <c r="C3977" i="2" s="1"/>
  <c r="C3978" i="2" s="1"/>
  <c r="C3979" i="2" s="1"/>
  <c r="C19" i="2"/>
  <c r="C17" i="2" l="1"/>
  <c r="C617" i="2"/>
  <c r="C618" i="2" s="1"/>
  <c r="C483" i="2"/>
  <c r="C484" i="2" s="1"/>
  <c r="C3610" i="2" l="1"/>
  <c r="C3611" i="2" s="1"/>
  <c r="C4886" i="2"/>
  <c r="C4887" i="2" s="1"/>
  <c r="C15" i="2"/>
  <c r="C13" i="2" l="1"/>
  <c r="C378" i="2"/>
  <c r="C379" i="2" s="1"/>
  <c r="C571" i="2"/>
  <c r="C572" i="2" s="1"/>
  <c r="C573" i="2" s="1"/>
  <c r="C565" i="2" l="1"/>
  <c r="C1820" i="2"/>
  <c r="C1821" i="2" s="1"/>
  <c r="C1825" i="2"/>
  <c r="C1826" i="2" s="1"/>
  <c r="C1827" i="2" s="1"/>
  <c r="C11" i="2"/>
  <c r="C2576" i="2" l="1"/>
  <c r="C652" i="2"/>
  <c r="C653" i="2" s="1"/>
  <c r="C4849" i="2" l="1"/>
  <c r="C4850" i="2" s="1"/>
  <c r="C2331" i="2"/>
  <c r="C541" i="2"/>
  <c r="C542" i="2" s="1"/>
  <c r="C1787" i="2" l="1"/>
  <c r="C1788" i="2" s="1"/>
  <c r="C525" i="2"/>
  <c r="C526" i="2" s="1"/>
  <c r="C3661" i="2"/>
  <c r="C4011" i="2" l="1"/>
  <c r="C2200" i="2" l="1"/>
  <c r="C2201" i="2" s="1"/>
  <c r="C3980" i="2"/>
  <c r="C3981" i="2" s="1"/>
  <c r="C835" i="2" l="1"/>
  <c r="C917" i="2" l="1"/>
  <c r="C918" i="2" s="1"/>
  <c r="C919" i="2" s="1"/>
  <c r="C1012" i="2"/>
  <c r="C460" i="2" l="1"/>
  <c r="C913" i="2"/>
  <c r="C914" i="2" s="1"/>
  <c r="C4854" i="2" l="1"/>
  <c r="C1586" i="2"/>
  <c r="C1587" i="2" s="1"/>
  <c r="C1588" i="2" s="1"/>
  <c r="C1589" i="2" s="1"/>
  <c r="C1193" i="2"/>
  <c r="C4895" i="2"/>
  <c r="C871" i="2" l="1"/>
  <c r="C872" i="2" s="1"/>
  <c r="C4853" i="2"/>
  <c r="C386" i="2"/>
  <c r="C3410" i="2" s="1"/>
  <c r="C3411" i="2" s="1"/>
  <c r="C1197" i="2" l="1"/>
  <c r="C1198" i="2" s="1"/>
  <c r="C339" i="2"/>
  <c r="C340" i="2" s="1"/>
  <c r="C271" i="2"/>
  <c r="C272" i="2" s="1"/>
  <c r="C1848" i="2" l="1"/>
  <c r="C1849" i="2" s="1"/>
  <c r="C1850" i="2" s="1"/>
  <c r="C1851" i="2" s="1"/>
  <c r="C274" i="2"/>
  <c r="C275" i="2" s="1"/>
  <c r="C276" i="2" s="1"/>
  <c r="C278" i="2" l="1"/>
  <c r="C1093" i="2"/>
  <c r="C1094" i="2" s="1"/>
  <c r="C2218" i="2"/>
  <c r="C4974" i="2" l="1"/>
  <c r="C2123" i="2"/>
  <c r="C2124" i="2" s="1"/>
  <c r="C1096" i="2"/>
  <c r="C392" i="2" l="1"/>
  <c r="C2126" i="2"/>
  <c r="C3702" i="2" l="1"/>
  <c r="C3703" i="2" s="1"/>
  <c r="C3704" i="2" s="1"/>
  <c r="C3705" i="2" s="1"/>
  <c r="C3706" i="2" s="1"/>
  <c r="C2189" i="2" l="1"/>
  <c r="C2190" i="2" s="1"/>
  <c r="C2191" i="2" s="1"/>
  <c r="C824" i="2"/>
  <c r="C825" i="2" s="1"/>
  <c r="C1486" i="2" l="1"/>
  <c r="C1487" i="2" s="1"/>
  <c r="C1433" i="2" l="1"/>
  <c r="C1434" i="2" s="1"/>
  <c r="C4559" i="2" l="1"/>
  <c r="C4560" i="2" s="1"/>
  <c r="C356" i="2"/>
  <c r="C768" i="2" l="1"/>
  <c r="C251" i="2" l="1"/>
  <c r="C252" i="2" s="1"/>
  <c r="C1891" i="2" l="1"/>
  <c r="C253" i="2"/>
  <c r="C619" i="2"/>
  <c r="C620" i="2" s="1"/>
  <c r="C621" i="2" s="1"/>
  <c r="C622" i="2" s="1"/>
  <c r="C623" i="2" s="1"/>
  <c r="C624" i="2" s="1"/>
  <c r="C3110" i="2" l="1"/>
  <c r="C2843" i="2" s="1"/>
  <c r="C1892" i="2"/>
  <c r="C892" i="2"/>
  <c r="C5036" i="2"/>
  <c r="C5037" i="2" s="1"/>
  <c r="C1300" i="2" l="1"/>
  <c r="C1301" i="2" s="1"/>
  <c r="C2266" i="2"/>
  <c r="C2267" i="2" s="1"/>
  <c r="C723" i="2" l="1"/>
  <c r="C724" i="2" s="1"/>
  <c r="C725" i="2" s="1"/>
  <c r="C726" i="2" s="1"/>
  <c r="C1302" i="2"/>
  <c r="C1303" i="2" s="1"/>
  <c r="C1373" i="2" l="1"/>
  <c r="C1374" i="2" s="1"/>
  <c r="C2139" i="2"/>
  <c r="C2140" i="2" s="1"/>
  <c r="C2258" i="2" l="1"/>
  <c r="C1375" i="2"/>
  <c r="C1376" i="2" s="1"/>
  <c r="C2183" i="2" l="1"/>
  <c r="C2184" i="2" s="1"/>
  <c r="C160" i="2"/>
  <c r="C161" i="2" s="1"/>
  <c r="C162" i="2" l="1"/>
  <c r="C163" i="2" s="1"/>
  <c r="C3720" i="2"/>
  <c r="C448" i="2" l="1"/>
  <c r="C2263" i="2"/>
  <c r="C2264" i="2" s="1"/>
  <c r="C1042" i="2" l="1"/>
  <c r="C1043" i="2" s="1"/>
  <c r="C446" i="2"/>
  <c r="C1044" i="2" l="1"/>
  <c r="C1045" i="2" s="1"/>
  <c r="C183" i="2"/>
  <c r="C3682" i="2" l="1"/>
  <c r="C3683" i="2" s="1"/>
  <c r="C3684" i="2" s="1"/>
  <c r="C3685" i="2" s="1"/>
  <c r="C3686" i="2" s="1"/>
  <c r="C4370" i="2" s="1"/>
  <c r="C5085" i="2" l="1"/>
  <c r="C5086" i="2" s="1"/>
  <c r="C4461" i="2" l="1"/>
  <c r="C4462" i="2" s="1"/>
  <c r="C4017" i="2"/>
  <c r="C4018" i="2" s="1"/>
  <c r="C4019" i="2" s="1"/>
  <c r="C166" i="2" l="1"/>
  <c r="C4463" i="2"/>
  <c r="C4464" i="2" s="1"/>
  <c r="C1680" i="2" l="1"/>
  <c r="C1681" i="2" s="1"/>
  <c r="C184" i="2" l="1"/>
  <c r="C146" i="2" l="1"/>
  <c r="C707" i="2"/>
  <c r="C2251" i="2" l="1"/>
  <c r="C2252" i="2" s="1"/>
  <c r="C2253" i="2" s="1"/>
  <c r="C1245" i="2"/>
  <c r="C2275" i="2" l="1"/>
  <c r="C2276" i="2" s="1"/>
  <c r="C861" i="2" l="1"/>
  <c r="C862" i="2" s="1"/>
  <c r="C3949" i="2" l="1"/>
  <c r="C3950" i="2" s="1"/>
  <c r="C3951" i="2" s="1"/>
  <c r="C855" i="2"/>
  <c r="C856" i="2" s="1"/>
  <c r="C857" i="2" s="1"/>
  <c r="C2159" i="2" l="1"/>
  <c r="C2160" i="2" s="1"/>
  <c r="C901" i="2" l="1"/>
  <c r="C902" i="2" s="1"/>
  <c r="C1524" i="2" l="1"/>
  <c r="C1525" i="2" s="1"/>
  <c r="C1807" i="2" l="1"/>
  <c r="C1808" i="2" s="1"/>
  <c r="C4842" i="2" l="1"/>
  <c r="C4843" i="2" s="1"/>
  <c r="C488" i="2" l="1"/>
  <c r="C489" i="2" s="1"/>
  <c r="C490" i="2" s="1"/>
  <c r="C492" i="2" l="1"/>
  <c r="C493" i="2" s="1"/>
  <c r="C4037" i="2" l="1"/>
  <c r="C4038" i="2" s="1"/>
  <c r="C2350" i="2" l="1"/>
  <c r="C2351" i="2" s="1"/>
  <c r="C941" i="2" l="1"/>
  <c r="C938" i="2" l="1"/>
  <c r="C939" i="2" s="1"/>
  <c r="C2195" i="2" l="1"/>
  <c r="C2196" i="2" s="1"/>
  <c r="C1642" i="2" l="1"/>
  <c r="C1643" i="2" s="1"/>
  <c r="C1644" i="2" s="1"/>
  <c r="C1645" i="2" s="1"/>
  <c r="C1646" i="2" s="1"/>
  <c r="C1647" i="2" s="1"/>
  <c r="C1648" i="2" s="1"/>
  <c r="C2110" i="2" l="1"/>
  <c r="C2111" i="2" s="1"/>
  <c r="C2112" i="2" s="1"/>
  <c r="C2113" i="2" s="1"/>
  <c r="C2114" i="2" s="1"/>
  <c r="C2115" i="2" s="1"/>
  <c r="C2116" i="2" s="1"/>
  <c r="C1649" i="2"/>
  <c r="C1650" i="2" s="1"/>
  <c r="C1651" i="2" s="1"/>
  <c r="C1652" i="2" s="1"/>
  <c r="C1653" i="2" s="1"/>
  <c r="C1654" i="2" s="1"/>
  <c r="C1655" i="2" s="1"/>
  <c r="C1656" i="2" s="1"/>
  <c r="C1657" i="2" s="1"/>
  <c r="C1658" i="2" s="1"/>
  <c r="C1659" i="2" s="1"/>
  <c r="C1660" i="2" s="1"/>
  <c r="C1661" i="2" s="1"/>
  <c r="C4094" i="2"/>
  <c r="C4095" i="2" s="1"/>
  <c r="C4096" i="2" s="1"/>
  <c r="C4034" i="2"/>
  <c r="C4035" i="2" s="1"/>
  <c r="C4807" i="2"/>
  <c r="C4808" i="2" s="1"/>
  <c r="C4809" i="2" s="1"/>
  <c r="C4810" i="2" s="1"/>
  <c r="C4811" i="2" s="1"/>
  <c r="C4812" i="2" s="1"/>
  <c r="C4813" i="2" s="1"/>
  <c r="C4814" i="2" s="1"/>
  <c r="C727" i="2"/>
  <c r="C5076" i="2"/>
  <c r="C2219" i="2"/>
  <c r="C2220" i="2" s="1"/>
  <c r="C2221" i="2" s="1"/>
  <c r="C2222" i="2" s="1"/>
  <c r="C2223" i="2" s="1"/>
  <c r="C2224" i="2" s="1"/>
  <c r="C4440" i="2"/>
  <c r="C951" i="2"/>
  <c r="C1407" i="2"/>
  <c r="C1804" i="2"/>
  <c r="C1805" i="2" s="1"/>
  <c r="C2007" i="2"/>
  <c r="C2166" i="2"/>
  <c r="C2167" i="2" s="1"/>
  <c r="C2168" i="2" s="1"/>
  <c r="C2169" i="2" s="1"/>
  <c r="C2170" i="2" s="1"/>
  <c r="C2244" i="2"/>
  <c r="C2245" i="2" s="1"/>
  <c r="C1055" i="2"/>
  <c r="C1494" i="2"/>
  <c r="C1495" i="2" s="1"/>
  <c r="C1496" i="2" s="1"/>
  <c r="C1497" i="2" s="1"/>
  <c r="C1498" i="2" s="1"/>
  <c r="C2192" i="2"/>
  <c r="C2193" i="2" s="1"/>
  <c r="C3955" i="2"/>
  <c r="C1590" i="2"/>
  <c r="C1591" i="2" s="1"/>
  <c r="C1592" i="2" s="1"/>
  <c r="C1593" i="2" s="1"/>
  <c r="C1594" i="2" s="1"/>
  <c r="C1108" i="2"/>
  <c r="C558" i="2"/>
  <c r="C1311" i="2"/>
  <c r="C1312" i="2" s="1"/>
  <c r="C1435" i="2"/>
  <c r="C2210" i="2"/>
  <c r="C852" i="2"/>
  <c r="C853" i="2" s="1"/>
  <c r="C1479" i="2"/>
  <c r="C888" i="2"/>
  <c r="C858" i="2"/>
  <c r="C859" i="2" s="1"/>
  <c r="C1352" i="2"/>
  <c r="C1353" i="2" s="1"/>
  <c r="C1354" i="2" s="1"/>
  <c r="C1355" i="2" s="1"/>
  <c r="C2186" i="2"/>
  <c r="C2187" i="2" s="1"/>
  <c r="C2300" i="2"/>
  <c r="C2301" i="2" s="1"/>
  <c r="C2302" i="2" s="1"/>
  <c r="C2058" i="2"/>
  <c r="C3608" i="2"/>
  <c r="C783" i="2"/>
  <c r="C778" i="2"/>
  <c r="C4473" i="2"/>
  <c r="C4474" i="2" s="1"/>
  <c r="C83" i="2"/>
  <c r="C84" i="2" s="1"/>
  <c r="C1344" i="2"/>
  <c r="C1338" i="2"/>
</calcChain>
</file>

<file path=xl/sharedStrings.xml><?xml version="1.0" encoding="utf-8"?>
<sst xmlns="http://schemas.openxmlformats.org/spreadsheetml/2006/main" count="31020" uniqueCount="8643">
  <si>
    <t>CODIGO</t>
  </si>
  <si>
    <t>TABLA DOCUMENTO</t>
  </si>
  <si>
    <t>NUM</t>
  </si>
  <si>
    <t>CAMPO DOCUMENTO</t>
  </si>
  <si>
    <t>TABLA BDR</t>
  </si>
  <si>
    <t>FORMATO CAMPO</t>
  </si>
  <si>
    <t>VERSION</t>
  </si>
  <si>
    <t>COMENTARIOS</t>
  </si>
  <si>
    <t>03.01.01</t>
  </si>
  <si>
    <t>Provisiones Genéricas</t>
  </si>
  <si>
    <t>Empresa</t>
  </si>
  <si>
    <t>JM_PROV_GENERIC</t>
  </si>
  <si>
    <t>E0626_S1EMP</t>
  </si>
  <si>
    <t>DEC (05,00)</t>
  </si>
  <si>
    <t>Fecha mes</t>
  </si>
  <si>
    <t>E0626_FEC_MES</t>
  </si>
  <si>
    <t>DATE</t>
  </si>
  <si>
    <t>Provisión genérica local</t>
  </si>
  <si>
    <t>E0626_IPROVISI</t>
  </si>
  <si>
    <t>DEC (17,02)</t>
  </si>
  <si>
    <t>Provisión genérica matriz</t>
  </si>
  <si>
    <t>E0626_IPROVIS1</t>
  </si>
  <si>
    <t>Fecha Modificación</t>
  </si>
  <si>
    <t>E0626_FECULTMO</t>
  </si>
  <si>
    <t>03.01.02</t>
  </si>
  <si>
    <t xml:space="preserve">Provisiones Específicas y Otras </t>
  </si>
  <si>
    <t>JM_PROV_ESOTR</t>
  </si>
  <si>
    <t>N0625_FEOPERAC</t>
  </si>
  <si>
    <t>DATE (10)</t>
  </si>
  <si>
    <t>N0625_S1EMP</t>
  </si>
  <si>
    <t>Identificador de contrato</t>
  </si>
  <si>
    <t>N0625_CONTRA1</t>
  </si>
  <si>
    <t>DEC (09,00)</t>
  </si>
  <si>
    <t>Tipo de Importe2</t>
  </si>
  <si>
    <t>N0625_TIP_IMPT</t>
  </si>
  <si>
    <t xml:space="preserve">Importe </t>
  </si>
  <si>
    <t>N0625_IMPORTH</t>
  </si>
  <si>
    <t>Divisa</t>
  </si>
  <si>
    <t>N0625_CODDIV</t>
  </si>
  <si>
    <t>CHAR (00003)</t>
  </si>
  <si>
    <t>Cuenta contable local</t>
  </si>
  <si>
    <t>N0625_CTA_CONT</t>
  </si>
  <si>
    <t>CHAR (00040)</t>
  </si>
  <si>
    <t>Agrupador de cuenta contable local</t>
  </si>
  <si>
    <t>N0625_AGRCTACB</t>
  </si>
  <si>
    <t>Centro Contable</t>
  </si>
  <si>
    <t>N0625_CENTCTBL</t>
  </si>
  <si>
    <t>Cuenta Cargabal</t>
  </si>
  <si>
    <t>N0625_CTACGBAL</t>
  </si>
  <si>
    <t>CHAR (00200)</t>
  </si>
  <si>
    <t>Stage</t>
  </si>
  <si>
    <t>N0625_STAGE</t>
  </si>
  <si>
    <t>Tipo de Análisis</t>
  </si>
  <si>
    <t>N0625_TIPANALI</t>
  </si>
  <si>
    <t>12/14</t>
  </si>
  <si>
    <t>03.01.03</t>
  </si>
  <si>
    <t>Provisiones Específicas y Otras - master contable</t>
  </si>
  <si>
    <t>JM_PRESP_MC</t>
  </si>
  <si>
    <t>T3161_FEOPERAC</t>
  </si>
  <si>
    <t>14.1</t>
  </si>
  <si>
    <t>T3161_S1EMP</t>
  </si>
  <si>
    <t>T3161_CONTRA1</t>
  </si>
  <si>
    <t>T3161_TIP_IMPT</t>
  </si>
  <si>
    <t>T3161_IMPORTH</t>
  </si>
  <si>
    <t>T3161_CODDIV</t>
  </si>
  <si>
    <t>T3161_CTA_CONT</t>
  </si>
  <si>
    <t>T3161_AGRCTACB</t>
  </si>
  <si>
    <t>T3161_CENTCTBL</t>
  </si>
  <si>
    <t>T3161_ID_CROSS</t>
  </si>
  <si>
    <t>03.02.04</t>
  </si>
  <si>
    <t>Importe-Posición-Contrato</t>
  </si>
  <si>
    <t>Fecha datos</t>
  </si>
  <si>
    <t>JM_POSIC_CONTR</t>
  </si>
  <si>
    <t>E0621_FEOPERAC</t>
  </si>
  <si>
    <t>E0621_S1EMP</t>
  </si>
  <si>
    <t>E0621_CONTRA1</t>
  </si>
  <si>
    <t>Cta. Contable local</t>
  </si>
  <si>
    <t>E0621_CTA_CONT</t>
  </si>
  <si>
    <t>CHAR(00040)</t>
  </si>
  <si>
    <t>Tipo de Importe</t>
  </si>
  <si>
    <t>E0621_TIP_IMPT</t>
  </si>
  <si>
    <t>Fecha Mes</t>
  </si>
  <si>
    <t>E0621_FEC_MES</t>
  </si>
  <si>
    <t>Agrupador Cta. Contable local</t>
  </si>
  <si>
    <t>E0621_AGRCTACB</t>
  </si>
  <si>
    <t>E0621_IMPORTH</t>
  </si>
  <si>
    <t>E0621_CODDIV</t>
  </si>
  <si>
    <t>CHAR(00003)</t>
  </si>
  <si>
    <t>E0621_FECULTMO</t>
  </si>
  <si>
    <t>E0621_CENTCTBL</t>
  </si>
  <si>
    <t>E0621_CTACGBAL</t>
  </si>
  <si>
    <t>Tipo de importe global</t>
  </si>
  <si>
    <t>E0621_TIPIMPGL</t>
  </si>
  <si>
    <t>03.02.05</t>
  </si>
  <si>
    <t>Contrato Otros Datos</t>
  </si>
  <si>
    <t>Fecha Datos</t>
  </si>
  <si>
    <t>JM_CONTR_OTROS</t>
  </si>
  <si>
    <t>E0623_FEOPERAC</t>
  </si>
  <si>
    <t>E0623_S1EMP</t>
  </si>
  <si>
    <t>E0623_CONTRA1</t>
  </si>
  <si>
    <t>E0623_FEC_MES</t>
  </si>
  <si>
    <t>Distancia al vencimiento / Vencimiento residual</t>
  </si>
  <si>
    <t>E0623_VCTO_RES</t>
  </si>
  <si>
    <t>DEC (17,06)</t>
  </si>
  <si>
    <t>Distancia al vencimiento medio ponderado</t>
  </si>
  <si>
    <t>E0623_VCTO_PON</t>
  </si>
  <si>
    <t>Código Producto</t>
  </si>
  <si>
    <t>E0623_IDSUBPRD</t>
  </si>
  <si>
    <t>Tipo Liquidación (frecuencia)</t>
  </si>
  <si>
    <t>E0623_TIP_LIQU</t>
  </si>
  <si>
    <t>Plazo Liquidación</t>
  </si>
  <si>
    <t>E0623_LIQ_PZO</t>
  </si>
  <si>
    <t>Tipo Amortización (frecuencia)</t>
  </si>
  <si>
    <t>E0623_TIP_AMOR</t>
  </si>
  <si>
    <t>Plazo Amortización</t>
  </si>
  <si>
    <t>E0623_AMOR_PZO</t>
  </si>
  <si>
    <t>Sistema de amortización</t>
  </si>
  <si>
    <t>E0623_AMOR_SIS</t>
  </si>
  <si>
    <t>Situación Contable</t>
  </si>
  <si>
    <t>E0623_CTB_SITU</t>
  </si>
  <si>
    <t>Situación Gestión</t>
  </si>
  <si>
    <t>E0623_GEST_SIT</t>
  </si>
  <si>
    <t>Situación Gestión Local</t>
  </si>
  <si>
    <t>E0623_GES2_SIT</t>
  </si>
  <si>
    <t>TAE</t>
  </si>
  <si>
    <t>E0623_ATAEMAX</t>
  </si>
  <si>
    <t>DEC (09,06)</t>
  </si>
  <si>
    <t>Porcentaje del tipo de interés</t>
  </si>
  <si>
    <t>E0623_TIP_INT</t>
  </si>
  <si>
    <t>Limite / Importe concedido</t>
  </si>
  <si>
    <t>E0623_IMP1LIMI</t>
  </si>
  <si>
    <t>Límite actual</t>
  </si>
  <si>
    <t>E0623_ALIMACT</t>
  </si>
  <si>
    <t>Importe Avalado</t>
  </si>
  <si>
    <t>E0623_IMPORTH</t>
  </si>
  <si>
    <t>Identificación inversión / negociación</t>
  </si>
  <si>
    <t>E0623_INV_NEGO</t>
  </si>
  <si>
    <t>Provisión específica local</t>
  </si>
  <si>
    <t>E0623_IPROVISI</t>
  </si>
  <si>
    <t>Provisión específica matriz</t>
  </si>
  <si>
    <t>E0623_IPROVIS1</t>
  </si>
  <si>
    <t>E0623_FECULTMO</t>
  </si>
  <si>
    <t>Estado de la tarjeta</t>
  </si>
  <si>
    <t>E0623_ESTADTRJ</t>
  </si>
  <si>
    <t>Meses inactividad tarjeta</t>
  </si>
  <si>
    <t>E0623_INACTRJ</t>
  </si>
  <si>
    <t>Área geográfica corporativa último nivel informado</t>
  </si>
  <si>
    <t>E0623_UNNT</t>
  </si>
  <si>
    <t>Area de negocio corporativa ultimo nivel informado</t>
  </si>
  <si>
    <t>E0623_UNNTS</t>
  </si>
  <si>
    <t>Area de negocio local1</t>
  </si>
  <si>
    <t>E0623_UNNV</t>
  </si>
  <si>
    <t>Area de negocio local2</t>
  </si>
  <si>
    <t>E0623_UNNVS</t>
  </si>
  <si>
    <t>Riesgo subestandar</t>
  </si>
  <si>
    <t>E0623_RGOSUB</t>
  </si>
  <si>
    <t>CHAR(00001)</t>
  </si>
  <si>
    <t>Fecha inicio de carencia</t>
  </si>
  <si>
    <t>E0623_FECINCAR</t>
  </si>
  <si>
    <t>Fecha fin de carencia</t>
  </si>
  <si>
    <t>E0623_FECFICAR</t>
  </si>
  <si>
    <t>Internegocio</t>
  </si>
  <si>
    <t>E0623_INTNEG</t>
  </si>
  <si>
    <t>Motivo alta exposición préstamo hipotecario</t>
  </si>
  <si>
    <t>E0623_MTVALTA</t>
  </si>
  <si>
    <t>Indicador de subrogación</t>
  </si>
  <si>
    <t>E0623_INDSUBRO</t>
  </si>
  <si>
    <t>Tipo de interes variable de referencia</t>
  </si>
  <si>
    <t>E0623_TIP_INTE</t>
  </si>
  <si>
    <t>Diferencial aplicado sobre el tipo de referencia</t>
  </si>
  <si>
    <t>E0623_DIFERNCI</t>
  </si>
  <si>
    <t>Cuota mensual</t>
  </si>
  <si>
    <t>E0623_IMPRTCUO</t>
  </si>
  <si>
    <t>Indicador existencia de seguro de crédito</t>
  </si>
  <si>
    <t>E0623_INDSEGUR</t>
  </si>
  <si>
    <t>Indicador de amortización parcial anticipada</t>
  </si>
  <si>
    <t>E0623_AMORTPAR</t>
  </si>
  <si>
    <t>Fecha primer impago</t>
  </si>
  <si>
    <t>E0623_FECIMPAG</t>
  </si>
  <si>
    <t>Importe primer impago</t>
  </si>
  <si>
    <t>E0623_IMPPRIMP</t>
  </si>
  <si>
    <t>Fecha primer impago no regularizado</t>
  </si>
  <si>
    <t>E0623_FHPRIMPG</t>
  </si>
  <si>
    <t>Importe primer impago no regularizado</t>
  </si>
  <si>
    <t>E0623_IMPIMPNR</t>
  </si>
  <si>
    <t>Estado promoción inmobiliaria</t>
  </si>
  <si>
    <t>E0623_ESTPRINM</t>
  </si>
  <si>
    <t>Exclusión Contrato Calculo IRB (BL)</t>
  </si>
  <si>
    <t>E0623_EXCLCTO</t>
  </si>
  <si>
    <t>Número de cuotas impagadas</t>
  </si>
  <si>
    <t>E0623_CUOTIMPA</t>
  </si>
  <si>
    <t>DEC (09,02)</t>
  </si>
  <si>
    <t>Límite Oculto o Límite en la sombra</t>
  </si>
  <si>
    <t>E0623_LIMOCULT</t>
  </si>
  <si>
    <t>Código de Impago histórico</t>
  </si>
  <si>
    <t>E0623_CODIMPHI</t>
  </si>
  <si>
    <t>Indicador de Deuda Consolidada</t>
  </si>
  <si>
    <t>E0623_INDEUCON</t>
  </si>
  <si>
    <t>Indicador tipo de Carencia</t>
  </si>
  <si>
    <t>E0623_TIPCAREN</t>
  </si>
  <si>
    <t>Cuota del prestamo</t>
  </si>
  <si>
    <t>E0623_CUOTPRES</t>
  </si>
  <si>
    <t>BuySell</t>
  </si>
  <si>
    <t>E0623_IBUYSELL</t>
  </si>
  <si>
    <t>Suelo tipo interés</t>
  </si>
  <si>
    <t>E0623_SUTIPINT</t>
  </si>
  <si>
    <t>Techo tipo interés</t>
  </si>
  <si>
    <t>E0623_TETIPINT</t>
  </si>
  <si>
    <t>Tipo de suelo (frecuencia)</t>
  </si>
  <si>
    <t>E0623_TIPSUELO</t>
  </si>
  <si>
    <t xml:space="preserve">Tipo de techo (frecuencia) </t>
  </si>
  <si>
    <t>E0623_TIPTECHO</t>
  </si>
  <si>
    <t>Plazo de revisión del tipo de interés variable</t>
  </si>
  <si>
    <t>E0623_PLREVTIN</t>
  </si>
  <si>
    <t>Próxima fecha de pago de la cuota</t>
  </si>
  <si>
    <t>E0623_FECCUOTA</t>
  </si>
  <si>
    <t>Número de días en atraso</t>
  </si>
  <si>
    <t>E0623_NUDIAATR</t>
  </si>
  <si>
    <t>Segmento Plan de Límite</t>
  </si>
  <si>
    <t>E0623_SEGPLLIM</t>
  </si>
  <si>
    <t>Porcentaje del contrato sujeto al RW del 35% de acuerdo a las condiciones del artículo 123</t>
  </si>
  <si>
    <t>E0623_VOLTRANS</t>
  </si>
  <si>
    <t>Marcas Cautivas</t>
  </si>
  <si>
    <t>E0623_MARCAUTI</t>
  </si>
  <si>
    <t>Top Dealers</t>
  </si>
  <si>
    <t>E0623_TOPDEALE</t>
  </si>
  <si>
    <t>Fecha de repreciación - MMFF</t>
  </si>
  <si>
    <t>E0623_FECREPRE</t>
  </si>
  <si>
    <t>Empresa de Reporte</t>
  </si>
  <si>
    <t>E0623_EMPREPOR</t>
  </si>
  <si>
    <t xml:space="preserve">Importe cuotas impagadas </t>
  </si>
  <si>
    <t>E0623_IMPCUIMP</t>
  </si>
  <si>
    <t>Tipo de interés efectivo</t>
  </si>
  <si>
    <t>E0623_TIPINEFE</t>
  </si>
  <si>
    <t>Forma de Pago actual</t>
  </si>
  <si>
    <t>E0623_FORPGACT</t>
  </si>
  <si>
    <t>Fecha Inicio UTP Contrato</t>
  </si>
  <si>
    <t>E0623_FINIUTCT</t>
  </si>
  <si>
    <t>Fecha Fin UTP Contrato</t>
  </si>
  <si>
    <t>E0623_FFINUTCT</t>
  </si>
  <si>
    <t>Marca trade finance</t>
  </si>
  <si>
    <t>E0623_FLGTRADE</t>
  </si>
  <si>
    <t>Marca Revolving</t>
  </si>
  <si>
    <t>E0623_FLGREVOL</t>
  </si>
  <si>
    <t>Marca de Candidato Restituible</t>
  </si>
  <si>
    <t>E0623_CANDREST</t>
  </si>
  <si>
    <t>Marca de Tipo de Originación de los Créditos</t>
  </si>
  <si>
    <t>E0623_TIPORICR</t>
  </si>
  <si>
    <t>Tipo de fraude</t>
  </si>
  <si>
    <t>E0623_FRAUDE</t>
  </si>
  <si>
    <t>Fecha de Mora Subjetiva por Decreto</t>
  </si>
  <si>
    <t>E0623_FMORA_SD</t>
  </si>
  <si>
    <t>Flag de arrendamientos sujetos a un tratamiento especial</t>
  </si>
  <si>
    <t>E0623_FLGLEASI</t>
  </si>
  <si>
    <t>Valor Residual sin descontar del arrendamiento</t>
  </si>
  <si>
    <t>E0623_VLRESLEA</t>
  </si>
  <si>
    <t>Flag POCI</t>
  </si>
  <si>
    <t>E0623_FLGPOCI</t>
  </si>
  <si>
    <t>CHAR(0001)</t>
  </si>
  <si>
    <t xml:space="preserve">Flag PPP </t>
  </si>
  <si>
    <t>E0623_FLGPPP</t>
  </si>
  <si>
    <t xml:space="preserve">Tipo CDS </t>
  </si>
  <si>
    <t>E0623_TIPO_CDS</t>
  </si>
  <si>
    <t xml:space="preserve">Indicador NPL </t>
  </si>
  <si>
    <t>E0623_IND_NPL</t>
  </si>
  <si>
    <t xml:space="preserve">Fecha de entrada en NPL </t>
  </si>
  <si>
    <t>E0623_FENT_NPL</t>
  </si>
  <si>
    <t xml:space="preserve">Flag de NPL técnico </t>
  </si>
  <si>
    <t>E0623_FLGNPLTC</t>
  </si>
  <si>
    <t xml:space="preserve">Indicador Nominahabiente </t>
  </si>
  <si>
    <t>E0623_INDNOMHB</t>
  </si>
  <si>
    <t>CHAR(12)</t>
  </si>
  <si>
    <t xml:space="preserve">Centro Captura Operación </t>
  </si>
  <si>
    <t>E0623_CCAPOPER</t>
  </si>
  <si>
    <t>Indicador Financiación Especulativa Bienes Inmuebles</t>
  </si>
  <si>
    <t>E0623_INDFINES</t>
  </si>
  <si>
    <t>CHAR(1)</t>
  </si>
  <si>
    <t>Porcentaje en contratos irrevocables para exposiciones que financian promociones en curso</t>
  </si>
  <si>
    <t>E0623_PORCTOIR</t>
  </si>
  <si>
    <t>NUM (9,6)</t>
  </si>
  <si>
    <t>Fecha de recompra</t>
  </si>
  <si>
    <t>E0623_FECRECOM</t>
  </si>
  <si>
    <t>DATE(10)</t>
  </si>
  <si>
    <t>Estandar de referencia</t>
  </si>
  <si>
    <t>E0623_ESTREFER</t>
  </si>
  <si>
    <t>CHAR(40)</t>
  </si>
  <si>
    <t>Valoración de la experiencia del cliente</t>
  </si>
  <si>
    <t>E0623_VALEXPCL</t>
  </si>
  <si>
    <t>DEC (05,02)</t>
  </si>
  <si>
    <t>03.02.06</t>
  </si>
  <si>
    <t>Exposiciones No Contractuales</t>
  </si>
  <si>
    <t>JM_EXPOS_NO_CON</t>
  </si>
  <si>
    <t>E0627_FEOPERAC</t>
  </si>
  <si>
    <t>E0627_S1EMP</t>
  </si>
  <si>
    <t>E0627_CONTRA1</t>
  </si>
  <si>
    <t>E0627_FEC_MES</t>
  </si>
  <si>
    <t>Cuenta Contable Local</t>
  </si>
  <si>
    <t>E0627_CTA_CONT</t>
  </si>
  <si>
    <t>E0627_AGRCTACB</t>
  </si>
  <si>
    <t>Importe</t>
  </si>
  <si>
    <t>E0627_IMPORTH</t>
  </si>
  <si>
    <t>Indicador ctas personales</t>
  </si>
  <si>
    <t>E0627_IDCTACEN</t>
  </si>
  <si>
    <t>E0627_FECULTMO</t>
  </si>
  <si>
    <t>E0627_CENTCTBL</t>
  </si>
  <si>
    <t>Código de identificación entidad cargabal</t>
  </si>
  <si>
    <t>E0627_ENTCGBAL</t>
  </si>
  <si>
    <t>E0627_CTACGBAL</t>
  </si>
  <si>
    <t>CHAR(00200)</t>
  </si>
  <si>
    <t>E0627_TIPIMPGL</t>
  </si>
  <si>
    <t>Tipo de importe local</t>
  </si>
  <si>
    <t>E0627_TIPIMPLO</t>
  </si>
  <si>
    <t>Agrupador de producto global</t>
  </si>
  <si>
    <t>E0627_ID_PROD</t>
  </si>
  <si>
    <t>E0627_EMPREPOR</t>
  </si>
  <si>
    <t>E0627_CODDIV</t>
  </si>
  <si>
    <t>CHAR(3)</t>
  </si>
  <si>
    <t>Numero de Parametrización</t>
  </si>
  <si>
    <t>E0627_NUMPARAM</t>
  </si>
  <si>
    <t>03.02.07</t>
  </si>
  <si>
    <t>Calificación Contrato</t>
  </si>
  <si>
    <t>JM_CAL_IN_CO</t>
  </si>
  <si>
    <t>E9952_FEOPERAC</t>
  </si>
  <si>
    <t>E9952_S1EMP</t>
  </si>
  <si>
    <t>E9952_CONTRA1</t>
  </si>
  <si>
    <t>Fecha Calificación Contrato</t>
  </si>
  <si>
    <t>E9952_FECCALI</t>
  </si>
  <si>
    <t>Tipo de modelo scoring/rating</t>
  </si>
  <si>
    <t>E9952_TIPMODEL</t>
  </si>
  <si>
    <t>Tipo de modelo scoring/rating Local</t>
  </si>
  <si>
    <t>E9952_TIPMODE2</t>
  </si>
  <si>
    <t>Identificador de modelo scoring/rating</t>
  </si>
  <si>
    <t>E9952_IDMODEL</t>
  </si>
  <si>
    <t>Tipo Calificación Contrato</t>
  </si>
  <si>
    <t>E9952_TIPO</t>
  </si>
  <si>
    <t>Salida real del modelo de scoring/rating</t>
  </si>
  <si>
    <t>E9952_IDPUNSCO</t>
  </si>
  <si>
    <t>DEC (11,07)</t>
  </si>
  <si>
    <t>Fecha Caducidad</t>
  </si>
  <si>
    <t>E9952_FECCADUC</t>
  </si>
  <si>
    <t>SPID</t>
  </si>
  <si>
    <t>E9952_C1SPID</t>
  </si>
  <si>
    <t>Dígito de control</t>
  </si>
  <si>
    <t>E9952_C1DIGCON</t>
  </si>
  <si>
    <t>Respuesta</t>
  </si>
  <si>
    <t>E9952_C1RESP</t>
  </si>
  <si>
    <t>Circuito</t>
  </si>
  <si>
    <t>E9952_C1CIRC</t>
  </si>
  <si>
    <t>E9952_FECULTMO</t>
  </si>
  <si>
    <t>Código Motivo de Exclusión</t>
  </si>
  <si>
    <t>E9952_C1MOTEXC</t>
  </si>
  <si>
    <t>Tipo de Modelo scoring/rating local 2</t>
  </si>
  <si>
    <t>E9952_TIPMODE3</t>
  </si>
  <si>
    <t>Score vinculante Preconcesiones</t>
  </si>
  <si>
    <t>E9952_SCOVINPR</t>
  </si>
  <si>
    <t>Fecha de información de la oficina de crédito</t>
  </si>
  <si>
    <t>E9952_FECINOFC</t>
  </si>
  <si>
    <t>Tipo de llamada</t>
  </si>
  <si>
    <t>E9952_TIPLLAMA</t>
  </si>
  <si>
    <t>Código Monet</t>
  </si>
  <si>
    <t>E9952_CODMONET</t>
  </si>
  <si>
    <t>CHAR(00025)</t>
  </si>
  <si>
    <t>03.02.09</t>
  </si>
  <si>
    <t>Contratos BIS</t>
  </si>
  <si>
    <t>JM_CONTR_BIS</t>
  </si>
  <si>
    <t>G4095_FEOPERAC</t>
  </si>
  <si>
    <t>G4095_S1EMP</t>
  </si>
  <si>
    <t>G4095_CONTRA1</t>
  </si>
  <si>
    <t>Sucursal</t>
  </si>
  <si>
    <t>G4095_IDSUCUR</t>
  </si>
  <si>
    <t>País</t>
  </si>
  <si>
    <t>G4095_ID_PAIS</t>
  </si>
  <si>
    <t>Agrupador de Producto</t>
  </si>
  <si>
    <t>G4095_ID_PROD</t>
  </si>
  <si>
    <t>Agrupador de Producto Local</t>
  </si>
  <si>
    <t>G4095_IDPRO_LC</t>
  </si>
  <si>
    <t>Fecha Vencimiento Original</t>
  </si>
  <si>
    <t>G4095_FECVENTO</t>
  </si>
  <si>
    <t>Fecha  Vencimiento Actual</t>
  </si>
  <si>
    <t>G4095_FECVE2</t>
  </si>
  <si>
    <t>Fecha Apertura</t>
  </si>
  <si>
    <t>G4095_FECHAPER</t>
  </si>
  <si>
    <t>Fecha Cancelación</t>
  </si>
  <si>
    <t>G4095_FECCANCE</t>
  </si>
  <si>
    <t>Fecha Reconducción</t>
  </si>
  <si>
    <t>G4095_FECREES</t>
  </si>
  <si>
    <t>Fecha Refinanciación</t>
  </si>
  <si>
    <t>G4095_FECREFI</t>
  </si>
  <si>
    <t>Fecha Novación</t>
  </si>
  <si>
    <t>G4095_FECNOVAC</t>
  </si>
  <si>
    <t>Finalidad</t>
  </si>
  <si>
    <t>G4095_IDFINALI</t>
  </si>
  <si>
    <t>Finalidad local</t>
  </si>
  <si>
    <t>G4095_IDFINALD</t>
  </si>
  <si>
    <t>Identificador del contrato padre</t>
  </si>
  <si>
    <t>G4095_CONTRA2</t>
  </si>
  <si>
    <t>G4095_CODDIV</t>
  </si>
  <si>
    <t>Canal Comercial</t>
  </si>
  <si>
    <t>G4095_ID_CANAL</t>
  </si>
  <si>
    <t>Canal Contratación</t>
  </si>
  <si>
    <t>G4095_ID_CANA2</t>
  </si>
  <si>
    <t>Naturaleza del Contrato</t>
  </si>
  <si>
    <t>G4095_ID_NATUR</t>
  </si>
  <si>
    <t>Naturaleza Activo Subyacente</t>
  </si>
  <si>
    <t>G4095_ID_NSUBY</t>
  </si>
  <si>
    <t>Indicador Límite Cancela</t>
  </si>
  <si>
    <t>G4095_INDLIM</t>
  </si>
  <si>
    <t>Indicador Aval Ejecutado</t>
  </si>
  <si>
    <t>G4095_INDAVA</t>
  </si>
  <si>
    <t>Indicador Titulizado</t>
  </si>
  <si>
    <t>G4095_IND_TITU</t>
  </si>
  <si>
    <t>Indicador Deuda Pública</t>
  </si>
  <si>
    <t>G4095_INDDEUD</t>
  </si>
  <si>
    <t>Indicador Deuda Subordinada</t>
  </si>
  <si>
    <t>G4095_INDDEUD2</t>
  </si>
  <si>
    <t>Tipo de interés</t>
  </si>
  <si>
    <t>G4095_TIP_INTE</t>
  </si>
  <si>
    <t>Tipo de identificación de emisiones</t>
  </si>
  <si>
    <t>G4095_IDEMIS</t>
  </si>
  <si>
    <t>Código de identificación de emisiones</t>
  </si>
  <si>
    <t>G4095_IDEMISI</t>
  </si>
  <si>
    <t>Identificador del Acuerdo Netting</t>
  </si>
  <si>
    <t>G4095_IDNETING</t>
  </si>
  <si>
    <t>Identificador del Acuerdo Colateral</t>
  </si>
  <si>
    <t>G4095_IDCOLATE</t>
  </si>
  <si>
    <t>G4095_FECULTMO</t>
  </si>
  <si>
    <t>Vencimiento original en meses</t>
  </si>
  <si>
    <t>G4095_VENCORIG</t>
  </si>
  <si>
    <t>Prelación de la Deuda</t>
  </si>
  <si>
    <t>G4095_DEUDPREL</t>
  </si>
  <si>
    <t>Fecha entrada en vigor contrato</t>
  </si>
  <si>
    <t>G4095_FECENTVI</t>
  </si>
  <si>
    <t>Agrupador producto Local 2</t>
  </si>
  <si>
    <t>G4095_IDPROLC2</t>
  </si>
  <si>
    <t>03.02.10</t>
  </si>
  <si>
    <t>Intervinientes Contratos BIS</t>
  </si>
  <si>
    <t>JM_INTERV_CTO</t>
  </si>
  <si>
    <t>G4128_FEOPERAC</t>
  </si>
  <si>
    <t>G4128_S1EMP</t>
  </si>
  <si>
    <t>G4128_CONTRA1</t>
  </si>
  <si>
    <t>Tipo Intervención</t>
  </si>
  <si>
    <t>G4128_TIPINTEV</t>
  </si>
  <si>
    <t>Tipo Intervención Local</t>
  </si>
  <si>
    <t>G4128_TIPINTV2</t>
  </si>
  <si>
    <t>Orden Intervención</t>
  </si>
  <si>
    <t>G4128_NUMORDIN</t>
  </si>
  <si>
    <t>Identificador de cliente</t>
  </si>
  <si>
    <t>G4128_IDNUMCLI</t>
  </si>
  <si>
    <t>Forma Intervención</t>
  </si>
  <si>
    <t>G4128_FORMINTV</t>
  </si>
  <si>
    <t>Porcentaje Responsabilidad</t>
  </si>
  <si>
    <t>G4128_PORPARTN</t>
  </si>
  <si>
    <t>G4128_FECULTMO</t>
  </si>
  <si>
    <t>03.02.11</t>
  </si>
  <si>
    <t>Avales Ejecutados</t>
  </si>
  <si>
    <t xml:space="preserve">JM_AVAL_EJEC </t>
  </si>
  <si>
    <t>G7232_S1EMP</t>
  </si>
  <si>
    <t>G7232_CONTRA1</t>
  </si>
  <si>
    <t>Fecha de Ejecución</t>
  </si>
  <si>
    <t>G7232_FECEJEC</t>
  </si>
  <si>
    <t>Importe ejecutado</t>
  </si>
  <si>
    <t>G7232_IMPEJECU</t>
  </si>
  <si>
    <t xml:space="preserve">G7232_CODDIV </t>
  </si>
  <si>
    <t>CHAR (3)</t>
  </si>
  <si>
    <t>Importe Riesgo Vivo</t>
  </si>
  <si>
    <t>G7232_IMPRGVIV</t>
  </si>
  <si>
    <t>Fecha modificación</t>
  </si>
  <si>
    <t>G7232_FEC_MOD</t>
  </si>
  <si>
    <t>Tipo de Situación de la Operación</t>
  </si>
  <si>
    <t>G7232_TIPSITOP</t>
  </si>
  <si>
    <t>03.02.12</t>
  </si>
  <si>
    <t>Contratos Cancelados</t>
  </si>
  <si>
    <t>JM_CTOS_CANCE</t>
  </si>
  <si>
    <t>H0711_FEOPERAC</t>
  </si>
  <si>
    <t>H0711_S1EMP</t>
  </si>
  <si>
    <t>Identificador del contrato</t>
  </si>
  <si>
    <t>H0711_CONTRA1</t>
  </si>
  <si>
    <t>Motivo de cancelación</t>
  </si>
  <si>
    <t>H0711_MOTVCANC</t>
  </si>
  <si>
    <t>Fecha de modificación</t>
  </si>
  <si>
    <t>H0711_FECULTMO</t>
  </si>
  <si>
    <t>Motivo de cancelacion global</t>
  </si>
  <si>
    <t>H0711_MOTCANCE</t>
  </si>
  <si>
    <t>DEC(05,00)</t>
  </si>
  <si>
    <t>03.02.13</t>
  </si>
  <si>
    <t>Aprovisionamiento Externo de Parámetros - Operación</t>
  </si>
  <si>
    <t>JM_PARAM_OPER</t>
  </si>
  <si>
    <t>H0713_FEOPERAC</t>
  </si>
  <si>
    <t>H0713_S1EMP</t>
  </si>
  <si>
    <t>H0713_CONTRA1</t>
  </si>
  <si>
    <t>Parámetro de riesgo</t>
  </si>
  <si>
    <t>H0713_RGOPARM</t>
  </si>
  <si>
    <t>Criterio</t>
  </si>
  <si>
    <t>H0713_NUMCRITE</t>
  </si>
  <si>
    <t>Valor de la asignación</t>
  </si>
  <si>
    <t>H0713_VALASIG</t>
  </si>
  <si>
    <t>Aplicación</t>
  </si>
  <si>
    <t>H0713_IDSISTE</t>
  </si>
  <si>
    <t>Fecha cálculo</t>
  </si>
  <si>
    <t>H0713_FECALCUL</t>
  </si>
  <si>
    <t>Modelo parámetro</t>
  </si>
  <si>
    <t>H0713_MODPARAM</t>
  </si>
  <si>
    <t>Versión modelo</t>
  </si>
  <si>
    <t>H0713_VERSMODE</t>
  </si>
  <si>
    <t>H0713_FECULTMO</t>
  </si>
  <si>
    <t>03.02.14</t>
  </si>
  <si>
    <t>Relación – Contrato</t>
  </si>
  <si>
    <t>JM_REL_CONTRA</t>
  </si>
  <si>
    <t>N0631_S1EMP</t>
  </si>
  <si>
    <t>Identificador de contrato uno</t>
  </si>
  <si>
    <t>N0631_CONTRA1</t>
  </si>
  <si>
    <t>Identificador de contrato dos</t>
  </si>
  <si>
    <t>N0631_CONTRA2</t>
  </si>
  <si>
    <t>Tipo de Relación</t>
  </si>
  <si>
    <t>N0631_TPORELAC</t>
  </si>
  <si>
    <t>DEC (5,0)</t>
  </si>
  <si>
    <t>Fecha inicio</t>
  </si>
  <si>
    <t>N0631_FECINI</t>
  </si>
  <si>
    <t>Fecha fin</t>
  </si>
  <si>
    <t>N0631_FECFIN</t>
  </si>
  <si>
    <t>03.02.15</t>
  </si>
  <si>
    <t>Adicional – Calificación de Contratos</t>
  </si>
  <si>
    <t>JM_ADIC_CALCO</t>
  </si>
  <si>
    <t>N0632_FEOPERAC</t>
  </si>
  <si>
    <t>N0632_S1EMP</t>
  </si>
  <si>
    <t>N0632_CONTRA1</t>
  </si>
  <si>
    <t>Fecha Forzaje</t>
  </si>
  <si>
    <t>N0632_FECFORZ</t>
  </si>
  <si>
    <t>Motivo Forzaje</t>
  </si>
  <si>
    <t>N0632_MOTIVFOR</t>
  </si>
  <si>
    <t>Fecha  de aprobación</t>
  </si>
  <si>
    <t>N0632_FECAPROB</t>
  </si>
  <si>
    <t>Organo de aprobación</t>
  </si>
  <si>
    <t>N0632_ORGAPROB</t>
  </si>
  <si>
    <t>N0632_FECULTMO</t>
  </si>
  <si>
    <t>Scoring vinculante</t>
  </si>
  <si>
    <t>N0632_VINCSCO</t>
  </si>
  <si>
    <t>03.02.16</t>
  </si>
  <si>
    <t>Contrato - Recibo</t>
  </si>
  <si>
    <t>JM_CTO_RECIBO</t>
  </si>
  <si>
    <t>T1754_FEOPERAC</t>
  </si>
  <si>
    <t>T1754_S1EMP</t>
  </si>
  <si>
    <t>Identificador del Contrato</t>
  </si>
  <si>
    <t>T1754_CONTRA1</t>
  </si>
  <si>
    <t>Identificador del Recibo</t>
  </si>
  <si>
    <t>T1754_IDRECIBO</t>
  </si>
  <si>
    <t>Fecha Original del cargo del recibo</t>
  </si>
  <si>
    <t>T1754_FEC_ORIG</t>
  </si>
  <si>
    <t>Importe Recibo Devuelto</t>
  </si>
  <si>
    <t>T1754_IMP_RDEV</t>
  </si>
  <si>
    <t>Fecha Devolución del Recibo</t>
  </si>
  <si>
    <t>T1754_FEC_DEV</t>
  </si>
  <si>
    <t>03.02.17</t>
  </si>
  <si>
    <t>Contrato/AdN/NPP</t>
  </si>
  <si>
    <t>JM_CTO_ADNNPP</t>
  </si>
  <si>
    <t>T1756_FEOPERAC</t>
  </si>
  <si>
    <t>T1756_S1EMP</t>
  </si>
  <si>
    <t>T1756_CONTRA1</t>
  </si>
  <si>
    <t>ADN</t>
  </si>
  <si>
    <t>T1756_ADN</t>
  </si>
  <si>
    <t>CHAR(00012)</t>
  </si>
  <si>
    <t>NPP</t>
  </si>
  <si>
    <t>T1756_NPP</t>
  </si>
  <si>
    <t>Porcentaje</t>
  </si>
  <si>
    <t>T1756_PORCEN</t>
  </si>
  <si>
    <t>AdN local</t>
  </si>
  <si>
    <t>T1756_ADN_LOC</t>
  </si>
  <si>
    <t>Segmento de Riesgos local</t>
  </si>
  <si>
    <t>T1756_SEG_RGO</t>
  </si>
  <si>
    <t>CHAR(00020)</t>
  </si>
  <si>
    <t>03.02.18</t>
  </si>
  <si>
    <t>Cambio situación del contrato</t>
  </si>
  <si>
    <t>Fecha dato</t>
  </si>
  <si>
    <t>JM_CSIT_UTPCT</t>
  </si>
  <si>
    <t>T1758_FEOPERAC</t>
  </si>
  <si>
    <t>T1758_S1EMP</t>
  </si>
  <si>
    <t>T1758_CONTRA1</t>
  </si>
  <si>
    <t>Fecha Inicio Situación</t>
  </si>
  <si>
    <t>T1758_FINIUTP</t>
  </si>
  <si>
    <t>Fecha Fin Situación</t>
  </si>
  <si>
    <t>T1758_FFINUTP</t>
  </si>
  <si>
    <t>Situación de Gestión Global</t>
  </si>
  <si>
    <t>T1758_GEST_SIT</t>
  </si>
  <si>
    <t>Situación de Gestión Local</t>
  </si>
  <si>
    <t>T1758_GES2_SIT</t>
  </si>
  <si>
    <t>03.02.19</t>
  </si>
  <si>
    <t xml:space="preserve">Contratos output IFRS9 </t>
  </si>
  <si>
    <t>JM_CTO_IFRS9</t>
  </si>
  <si>
    <t>T2417_FEOPERAC</t>
  </si>
  <si>
    <t>T2417_S1EMP</t>
  </si>
  <si>
    <t>T2417_CONTRA1</t>
  </si>
  <si>
    <t xml:space="preserve">Tipo ajuste contrato output IFRS9 </t>
  </si>
  <si>
    <t>T2417_TAJIFRS9</t>
  </si>
  <si>
    <t>EAD IFRS9</t>
  </si>
  <si>
    <t>T2417_EADIFRS9</t>
  </si>
  <si>
    <t>NUM(30,15)</t>
  </si>
  <si>
    <t>K1 IFRS9</t>
  </si>
  <si>
    <t>T2417_K1_IFRS9</t>
  </si>
  <si>
    <t>K2 IFRS9</t>
  </si>
  <si>
    <t>T2417_K2_IFRS9</t>
  </si>
  <si>
    <t>PD-12 IFRS9</t>
  </si>
  <si>
    <t>T2417_P12IFRS9</t>
  </si>
  <si>
    <t>PD-LT IFRS9</t>
  </si>
  <si>
    <t>T2417_PLTIFRS9</t>
  </si>
  <si>
    <t>LGD IFRS9</t>
  </si>
  <si>
    <t>T2417_LGDIFRS9</t>
  </si>
  <si>
    <t>Agrupador producto IFRS9</t>
  </si>
  <si>
    <t>T2417_AGPIFRS9</t>
  </si>
  <si>
    <t>Segmento IFRS9</t>
  </si>
  <si>
    <t>T2417_SEGIFRS9</t>
  </si>
  <si>
    <t xml:space="preserve">Tipo de pérdida </t>
  </si>
  <si>
    <t>T2417_TIPOPERD</t>
  </si>
  <si>
    <t>Tasa de interés ajustada al riesgo de crédito</t>
  </si>
  <si>
    <t>T2417_TASINTAJ</t>
  </si>
  <si>
    <t>Flag operación evaluada individualmente</t>
  </si>
  <si>
    <t>T2417_FLGOEIND</t>
  </si>
  <si>
    <t>Fecha de recuperación IFRS9</t>
  </si>
  <si>
    <t>T2417_FREIFRS9</t>
  </si>
  <si>
    <t>Flag bajo riesgo crediticio</t>
  </si>
  <si>
    <t>T2417_FLGBRGCR</t>
  </si>
  <si>
    <t>Provisión</t>
  </si>
  <si>
    <t>T2417_PROVISIO</t>
  </si>
  <si>
    <t>Provisión dentro de balance</t>
  </si>
  <si>
    <t>T2417_PROVIDBA</t>
  </si>
  <si>
    <t>T2417_STAGE</t>
  </si>
  <si>
    <t>NUM(05,00)</t>
  </si>
  <si>
    <t>Producto IFRS9</t>
  </si>
  <si>
    <t>T2417_PRDIFRS9</t>
  </si>
  <si>
    <t>PD en origen</t>
  </si>
  <si>
    <t>T2417_PDORIGEN</t>
  </si>
  <si>
    <t>ID cliente</t>
  </si>
  <si>
    <t>T2417_IDNUMCLI</t>
  </si>
  <si>
    <t>NUM(09,00)</t>
  </si>
  <si>
    <t>Segmento cliente IFRS9</t>
  </si>
  <si>
    <t>T2417_SCLIFRS9</t>
  </si>
  <si>
    <t>Rating inicial</t>
  </si>
  <si>
    <t>T2417_RATINIC</t>
  </si>
  <si>
    <t>Tasa de Interés efectiva IFRS9</t>
  </si>
  <si>
    <t>T2417_TDEIFRS9</t>
  </si>
  <si>
    <t>PD 12m en Origen</t>
  </si>
  <si>
    <t>T2417_PD12MORI</t>
  </si>
  <si>
    <t>03.02.20</t>
  </si>
  <si>
    <t>Contrato Stage</t>
  </si>
  <si>
    <t>JM_CTO_STAGE</t>
  </si>
  <si>
    <t>T2420_FEOPERAC</t>
  </si>
  <si>
    <t>T2420_S1EMP</t>
  </si>
  <si>
    <t>T2420_CONTRA1</t>
  </si>
  <si>
    <t>Prioridad Motivo Cambio</t>
  </si>
  <si>
    <t>T2420_PRMOTCB</t>
  </si>
  <si>
    <t>Stage final</t>
  </si>
  <si>
    <t>T2420_STAGEFIN</t>
  </si>
  <si>
    <t>Motivo cambio stage local</t>
  </si>
  <si>
    <t>T2420_MOTCBSTL</t>
  </si>
  <si>
    <t>Motivo cambio stage global (BAREMO NUEVO)</t>
  </si>
  <si>
    <t>T2420_MOTCBSTG</t>
  </si>
  <si>
    <t>Fecha cambio Stage</t>
  </si>
  <si>
    <t>T2420_FCBSTAGE</t>
  </si>
  <si>
    <t>Flag Técnico</t>
  </si>
  <si>
    <t>T2420_FLGTECNI</t>
  </si>
  <si>
    <t>03.02.21</t>
  </si>
  <si>
    <t>Cuadro Amortizacion</t>
  </si>
  <si>
    <t>JM_CUAD_AMORT</t>
  </si>
  <si>
    <t>T2422_FEOPERAC</t>
  </si>
  <si>
    <t>T2422_S1EMP</t>
  </si>
  <si>
    <t>T2422_CONTRA1</t>
  </si>
  <si>
    <t>Fecha Cuota</t>
  </si>
  <si>
    <t>T2422_FECCUOTA</t>
  </si>
  <si>
    <t>Capital Cuota</t>
  </si>
  <si>
    <t>T2422_CAPCUOTA</t>
  </si>
  <si>
    <t>Interés Cuota</t>
  </si>
  <si>
    <t>T2422_INTCUOTA</t>
  </si>
  <si>
    <t>03.02.22</t>
  </si>
  <si>
    <t>Variables Calculadas Input</t>
  </si>
  <si>
    <t>JM_VR_CAL_INP</t>
  </si>
  <si>
    <t>T2870_FEOPERAC</t>
  </si>
  <si>
    <t>T2870_S1EMP</t>
  </si>
  <si>
    <t>DEC(5,0)</t>
  </si>
  <si>
    <t>T2870_CONTRA1</t>
  </si>
  <si>
    <t>DEC(9,0)</t>
  </si>
  <si>
    <t>Variable Calculada 1</t>
  </si>
  <si>
    <t>T2870_VARCAL01</t>
  </si>
  <si>
    <t>CHAR(80)</t>
  </si>
  <si>
    <t>Variable Calculada 2</t>
  </si>
  <si>
    <t>T2870_VARCAL02</t>
  </si>
  <si>
    <t>DEC(23,6)</t>
  </si>
  <si>
    <t>Variable Calculada 3</t>
  </si>
  <si>
    <t>T2870_VARCAL03</t>
  </si>
  <si>
    <t>DEC(14,11)</t>
  </si>
  <si>
    <t>Variable Calculada 4</t>
  </si>
  <si>
    <t>T2870_VARCAL04</t>
  </si>
  <si>
    <t>03.02.23</t>
  </si>
  <si>
    <t>Importe Posición Contrato - Master Contable</t>
  </si>
  <si>
    <t>JM_POSCO_MC</t>
  </si>
  <si>
    <t>T3163_FEOPERAC</t>
  </si>
  <si>
    <t>T3163_S1EMP</t>
  </si>
  <si>
    <t>T3163_CONTRA1</t>
  </si>
  <si>
    <t>T3163_CTA_CONT</t>
  </si>
  <si>
    <t>T3163_TIP_IMPT</t>
  </si>
  <si>
    <t>T3163_FEC_MES</t>
  </si>
  <si>
    <t>T3163_AGRCTACB</t>
  </si>
  <si>
    <t>T3163_IMPORTH</t>
  </si>
  <si>
    <t>T3163_CODDIV</t>
  </si>
  <si>
    <t>T3163_FECULTMO</t>
  </si>
  <si>
    <t>T3163_CENTCTBL</t>
  </si>
  <si>
    <t>Identificador Contable</t>
  </si>
  <si>
    <t>T3163_ID_CROSS</t>
  </si>
  <si>
    <t>CHAR(200)</t>
  </si>
  <si>
    <t>T3163_TIPIMPGL</t>
  </si>
  <si>
    <t>03.02.24</t>
  </si>
  <si>
    <t>Exposiciones No Contractuales - Master Contable</t>
  </si>
  <si>
    <t>JM_EXNCO_MC</t>
  </si>
  <si>
    <t>T3165_FEOPERAC</t>
  </si>
  <si>
    <t>T3165_S1EMP</t>
  </si>
  <si>
    <t>T3165_CONTRA1</t>
  </si>
  <si>
    <t>T3165_FEC_MES</t>
  </si>
  <si>
    <t>T3165_CTA_CONT</t>
  </si>
  <si>
    <t>T3165_AGRCTACB</t>
  </si>
  <si>
    <t>T3165_IMPORTH</t>
  </si>
  <si>
    <t>T3165_IDCTACEN</t>
  </si>
  <si>
    <t>T3165_FECULTMO</t>
  </si>
  <si>
    <t>T3165_CENTCTBL</t>
  </si>
  <si>
    <t>T3165_ENTCGBAL</t>
  </si>
  <si>
    <t>T3165_ID_CROSS</t>
  </si>
  <si>
    <t>T3165_TIPIMPGL</t>
  </si>
  <si>
    <t>T3165_TIPIMPLO</t>
  </si>
  <si>
    <t>T3165_ID_PROD</t>
  </si>
  <si>
    <t>T3165_EMPREPOR</t>
  </si>
  <si>
    <t>T3165_CODDIV</t>
  </si>
  <si>
    <t>T3165_NUMPARAM</t>
  </si>
  <si>
    <t>03.02.25</t>
  </si>
  <si>
    <t>Acumulado Facturas RPP</t>
  </si>
  <si>
    <t>JM_ACU_FACRPP</t>
  </si>
  <si>
    <t>T3169_FEOPERAC</t>
  </si>
  <si>
    <t>T3169_S1EMP</t>
  </si>
  <si>
    <t>T3169_CONTRA1</t>
  </si>
  <si>
    <t>Identificador del cliente</t>
  </si>
  <si>
    <t>T3169_IDNUMCLI</t>
  </si>
  <si>
    <t>T3169_CODDIV</t>
  </si>
  <si>
    <t>Código de identificación de la SPV</t>
  </si>
  <si>
    <t>T3169_COD_SPV</t>
  </si>
  <si>
    <t>Fecha de Apertura</t>
  </si>
  <si>
    <t>T3169_FECHAPER</t>
  </si>
  <si>
    <t>Fecha Vencimiento</t>
  </si>
  <si>
    <t>T3169_FECVENTO</t>
  </si>
  <si>
    <t>Flag de mora</t>
  </si>
  <si>
    <t>T3169_FLGMORFA</t>
  </si>
  <si>
    <t>CANCELABLE</t>
  </si>
  <si>
    <t>T3169_FLGCANCE</t>
  </si>
  <si>
    <t>PAIS</t>
  </si>
  <si>
    <t>T3169_ID_PAIS</t>
  </si>
  <si>
    <t>CATEGORÍA</t>
  </si>
  <si>
    <t>T3169_CATEGCTO</t>
  </si>
  <si>
    <t>DISPONIBLE</t>
  </si>
  <si>
    <t>T3169_DIBLE</t>
  </si>
  <si>
    <t>DEC (23,02)</t>
  </si>
  <si>
    <t>DISPUESTO</t>
  </si>
  <si>
    <t>T3169_DISTO</t>
  </si>
  <si>
    <t>03.02.26</t>
  </si>
  <si>
    <t>Contrato Otros Datos - adicional</t>
  </si>
  <si>
    <t>JM_AD_CONT_OT</t>
  </si>
  <si>
    <t>T3298_FEOPERAC</t>
  </si>
  <si>
    <t>T3298_S1EMP</t>
  </si>
  <si>
    <t>Contrato</t>
  </si>
  <si>
    <t>T3298_CONTRA1</t>
  </si>
  <si>
    <t>NACE</t>
  </si>
  <si>
    <t>T3298_NACE</t>
  </si>
  <si>
    <t>Tipo de Pacto en el contrato</t>
  </si>
  <si>
    <t>T3298_TIPPACCT</t>
  </si>
  <si>
    <t>Utilización de los fondos</t>
  </si>
  <si>
    <t>T3298_UTILFOND</t>
  </si>
  <si>
    <t>Destino de los fondos</t>
  </si>
  <si>
    <t>T3298_DESTFOND</t>
  </si>
  <si>
    <t>Tipo Acuerdo Contrato</t>
  </si>
  <si>
    <t>T3298_TIPACUCT</t>
  </si>
  <si>
    <t>Indicador Prestamo Apalancado</t>
  </si>
  <si>
    <t>T3298_INPRESAP</t>
  </si>
  <si>
    <t>Flag Financiación sponsor</t>
  </si>
  <si>
    <t>T3298_FLGFINSP</t>
  </si>
  <si>
    <t>Ajustes de valoración</t>
  </si>
  <si>
    <t>T3298_AJUSVALO</t>
  </si>
  <si>
    <t>DEC (23,06)</t>
  </si>
  <si>
    <t>Reducción de recursos propios (RRPP)</t>
  </si>
  <si>
    <t>T3298_REDRECPR</t>
  </si>
  <si>
    <t>Sociedad donde conciliar operaciones sujetas a MRPA</t>
  </si>
  <si>
    <t>T3298_SOCCMRPA</t>
  </si>
  <si>
    <t>Indicador compra activo NPL con descuento</t>
  </si>
  <si>
    <t>T3298_INCANPLD</t>
  </si>
  <si>
    <t>Descuento asociado a la operación</t>
  </si>
  <si>
    <t>T3298_DESASOPE</t>
  </si>
  <si>
    <t>Porcentaje Entrada (financiera)</t>
  </si>
  <si>
    <t>T3298_PORENTRF</t>
  </si>
  <si>
    <t>03.02.27</t>
  </si>
  <si>
    <t>Otros Contrato Output IFRS9</t>
  </si>
  <si>
    <t>JM_CTIFRS9_OT</t>
  </si>
  <si>
    <t>T3324_FEOPERAC</t>
  </si>
  <si>
    <t>T3324_S1EMP</t>
  </si>
  <si>
    <t>T3324_CONTRA1</t>
  </si>
  <si>
    <t>T3324_TAJIFRS9</t>
  </si>
  <si>
    <t>LGD IFRS9 Base</t>
  </si>
  <si>
    <t>T3324_LGDIFBAS</t>
  </si>
  <si>
    <t>NUM (14,11)</t>
  </si>
  <si>
    <t>LGD IFRS9 Extremo Acido/Negativo</t>
  </si>
  <si>
    <t>T3324_LGDIFEAN</t>
  </si>
  <si>
    <t>LGD IFRS9 Acido/Negativo</t>
  </si>
  <si>
    <t>T3324_LGDIFAN</t>
  </si>
  <si>
    <t>LGD IFRS9 Bueno/Positivo</t>
  </si>
  <si>
    <t>T3324_LGDIFBP</t>
  </si>
  <si>
    <t>LGD IFRS9 Extremo Bueno/Positivo</t>
  </si>
  <si>
    <t>T3324_LGDIFEBP</t>
  </si>
  <si>
    <t>Pérdidas de crédito esperadas 12M IFRS9</t>
  </si>
  <si>
    <t>T3324_PCRES12M</t>
  </si>
  <si>
    <t>PD 12M IFRS9 Base</t>
  </si>
  <si>
    <t>T3324_PD12MBAS</t>
  </si>
  <si>
    <t>PD 12M IFRS9 Extremo Acido/Negativo</t>
  </si>
  <si>
    <t>T3324_PD12MEAN</t>
  </si>
  <si>
    <t>PD 12M IFRS9 Acido/Negativo</t>
  </si>
  <si>
    <t>T3324_PD12MAN</t>
  </si>
  <si>
    <t>PD 12M IFRS9 Bueno/Positivo</t>
  </si>
  <si>
    <t>T3324_PD12MBP</t>
  </si>
  <si>
    <t>PD 12M IFRS9 Extremo Bueno/Positivo</t>
  </si>
  <si>
    <t>T3324_PD12MEBP</t>
  </si>
  <si>
    <t>F1</t>
  </si>
  <si>
    <t>T3324_F1</t>
  </si>
  <si>
    <t>F2</t>
  </si>
  <si>
    <t>T3324_F2</t>
  </si>
  <si>
    <t>Método Calculo deterioro</t>
  </si>
  <si>
    <t>T3324_METCALDE</t>
  </si>
  <si>
    <t>Aumento significativo en el método de evaluación de riesgo de crédito</t>
  </si>
  <si>
    <t>T3324_INCEVRGC</t>
  </si>
  <si>
    <t>NUM (5,0)</t>
  </si>
  <si>
    <t>Stage 2 - 30 dias flag exclusión</t>
  </si>
  <si>
    <t>T3324_FLGSTEXC</t>
  </si>
  <si>
    <t>CHAR (1)</t>
  </si>
  <si>
    <t>IFRS9 Subproducto</t>
  </si>
  <si>
    <t>T3324_IFRS9SPR</t>
  </si>
  <si>
    <t>Flag Vigilancia Especial</t>
  </si>
  <si>
    <t>T3324_FLGVIGES</t>
  </si>
  <si>
    <t>IFRS9 Subsegmento</t>
  </si>
  <si>
    <t>T3324_IFRS9SSG</t>
  </si>
  <si>
    <t>03.02.28</t>
  </si>
  <si>
    <t>Tabla trazabilidad contratos aplazamiento</t>
  </si>
  <si>
    <t>JM_TRZ_CT_APL</t>
  </si>
  <si>
    <t>T3301_FEOPERAC</t>
  </si>
  <si>
    <t>T3301_S1EMP</t>
  </si>
  <si>
    <t>Empresa anterior</t>
  </si>
  <si>
    <t>T3301_EMPRANT</t>
  </si>
  <si>
    <t>Contrato anterior BDR</t>
  </si>
  <si>
    <t>T3301_CONTRANT</t>
  </si>
  <si>
    <t>NUM (9,0)</t>
  </si>
  <si>
    <t>Contrato BDR</t>
  </si>
  <si>
    <t>T3301_CONTRA1</t>
  </si>
  <si>
    <t>Tipo de aplazamiento</t>
  </si>
  <si>
    <t>T3301_TIPAPLAZ</t>
  </si>
  <si>
    <t>Fecha de aplazamiento</t>
  </si>
  <si>
    <t>T3301_FECAPLAZ</t>
  </si>
  <si>
    <t>Saldo dentro de balance– Contrato anterior</t>
  </si>
  <si>
    <t>T3301_SALDBCTA</t>
  </si>
  <si>
    <t>DEC (23,6)</t>
  </si>
  <si>
    <t>Saldo dentro de balance– Contrato</t>
  </si>
  <si>
    <t>T3301_SALONBAL</t>
  </si>
  <si>
    <t>Tipo interés efectivo – Contrato anterior</t>
  </si>
  <si>
    <t>T3301_TPINEFCA</t>
  </si>
  <si>
    <t>DEC (14,11)</t>
  </si>
  <si>
    <t>Identificador aplazamiento  Local</t>
  </si>
  <si>
    <t>T3301_IDAPLLOC</t>
  </si>
  <si>
    <t>Próxima fecha de pago- Contrato anterior</t>
  </si>
  <si>
    <t>T3301_PRXFPGCA</t>
  </si>
  <si>
    <t>Próxima fecha de pago- Contrato</t>
  </si>
  <si>
    <t>T3301_PRXFECPG</t>
  </si>
  <si>
    <t>Fecha de vencimiento para las finalidades del Motor Distressed – Contrato anterior</t>
  </si>
  <si>
    <t>T3301_FECVENCA</t>
  </si>
  <si>
    <t>03.02.29</t>
  </si>
  <si>
    <t>Tabla de amortización para reestructuraciones por Distressed – Contratos anteriores</t>
  </si>
  <si>
    <t>JM_AMR_REDFCA</t>
  </si>
  <si>
    <t>T3330_FEOPERAC</t>
  </si>
  <si>
    <t>T3330_EMPRANT</t>
  </si>
  <si>
    <t>T3330_CONTRANT</t>
  </si>
  <si>
    <t>Fecha amortización</t>
  </si>
  <si>
    <t>T3330_FECAMORT</t>
  </si>
  <si>
    <t>Pago total amortización</t>
  </si>
  <si>
    <t>T3330_PGTOTAMO</t>
  </si>
  <si>
    <t>NUM (23,6)</t>
  </si>
  <si>
    <t>03.02.30</t>
  </si>
  <si>
    <t>Tabla de amortización para reestructuraciones por Distressed  – Contratos</t>
  </si>
  <si>
    <t>JM_AMR_REDFCT</t>
  </si>
  <si>
    <t>T3328_FEOPERAC</t>
  </si>
  <si>
    <t>T3328_S1EMP</t>
  </si>
  <si>
    <t>T3328_CONTRA1</t>
  </si>
  <si>
    <t>T3328_FECAMORT</t>
  </si>
  <si>
    <t>T3328_PGTOTAMO</t>
  </si>
  <si>
    <t>03.02.31</t>
  </si>
  <si>
    <t>Tabla salida reestructuraciones por Distressed</t>
  </si>
  <si>
    <t>JM_OUT_RESDIF</t>
  </si>
  <si>
    <t>T3311_FEOPERAC</t>
  </si>
  <si>
    <t>T3311_S1EMP</t>
  </si>
  <si>
    <t>T3311_EMPRANT</t>
  </si>
  <si>
    <t>Fecha aplazamiento</t>
  </si>
  <si>
    <t>T3311_FECAPLAZ</t>
  </si>
  <si>
    <t>T3311_CONTRANT</t>
  </si>
  <si>
    <t>T3311_CONTRA1</t>
  </si>
  <si>
    <t>NPV Agregado – Contratos previos</t>
  </si>
  <si>
    <t>T3311_NPVAGRCP</t>
  </si>
  <si>
    <t>NPV Agregado – Contratos</t>
  </si>
  <si>
    <t>T3311_NPVAGRCT</t>
  </si>
  <si>
    <t>Obligación financiera disminuida</t>
  </si>
  <si>
    <t>T3311_OBLFINDI</t>
  </si>
  <si>
    <t>Flag de default de reestructuraciones por Distressed</t>
  </si>
  <si>
    <t>T3311_FLGDEFRD</t>
  </si>
  <si>
    <t>Tipo de relación</t>
  </si>
  <si>
    <t>T3311_TIPRELAC</t>
  </si>
  <si>
    <t>Indicador plan amortización- Contrato anterior</t>
  </si>
  <si>
    <t>T3311_INPLAMCA</t>
  </si>
  <si>
    <t>Indicador plan amortización- Contrato</t>
  </si>
  <si>
    <t>T3311_INPLAMCT</t>
  </si>
  <si>
    <t>Identificador aplazamiento</t>
  </si>
  <si>
    <t>T3311_INDAPLAZ</t>
  </si>
  <si>
    <t>03.02.32</t>
  </si>
  <si>
    <t>Cambio New Default por Distressed - Contrato</t>
  </si>
  <si>
    <t>JM_CAMB_NDDIF</t>
  </si>
  <si>
    <t>T3326_FEOPERAC</t>
  </si>
  <si>
    <t>T3326_S1EMP</t>
  </si>
  <si>
    <t>T3326_CONTRA1</t>
  </si>
  <si>
    <t>T3326_FINIUTP</t>
  </si>
  <si>
    <t>T3326_FFINUTP</t>
  </si>
  <si>
    <t>Indicador UTP Distressed 1%</t>
  </si>
  <si>
    <t>T3326_IDUTPDIS</t>
  </si>
  <si>
    <t>03.02.33</t>
  </si>
  <si>
    <t>Loan Tapes - Pacto</t>
  </si>
  <si>
    <t>JM_LOATAP_PAC</t>
  </si>
  <si>
    <t>T3315_FEOPERAC</t>
  </si>
  <si>
    <t>T3315_S1EMP</t>
  </si>
  <si>
    <t>T3315_CONTRA1</t>
  </si>
  <si>
    <t>Identificador del pacto</t>
  </si>
  <si>
    <t>T3315_IDPACTO</t>
  </si>
  <si>
    <t>CHAR(50)</t>
  </si>
  <si>
    <t>Pactos Incumplidos</t>
  </si>
  <si>
    <t>T3315_PACTOINC</t>
  </si>
  <si>
    <t>Contratos de efectivo restante o de efectivo atrapado (S/N)</t>
  </si>
  <si>
    <t>T3315_CTOEFRES</t>
  </si>
  <si>
    <t>Estado del Pacto</t>
  </si>
  <si>
    <t>T3315_ESTPACTO</t>
  </si>
  <si>
    <t>Tipo de pacto</t>
  </si>
  <si>
    <t>T3315_TIPPACTO</t>
  </si>
  <si>
    <t>03.02.34</t>
  </si>
  <si>
    <t>Loan Tapes - Información del Instrumento</t>
  </si>
  <si>
    <t>JM_LOATAP_INS</t>
  </si>
  <si>
    <t>T3317_FEOPERAC</t>
  </si>
  <si>
    <t>T3317_S1EMP</t>
  </si>
  <si>
    <t>T3317_CONTRA1</t>
  </si>
  <si>
    <t xml:space="preserve">Sindicación fallida (según la definición de la Guía del ECB sobre transacciones apalancadas)
</t>
  </si>
  <si>
    <t>T3317_SINDFALL</t>
  </si>
  <si>
    <t xml:space="preserve">Indicador para transacciones de compra con apalancamiento
</t>
  </si>
  <si>
    <t>T3317_INDTRCOM</t>
  </si>
  <si>
    <t>Estado del Aplazamiento</t>
  </si>
  <si>
    <t>T3317_ESTAPLAZ</t>
  </si>
  <si>
    <t>Código interno para línea/unidad de negocio</t>
  </si>
  <si>
    <t>T3317_CODLINEG</t>
  </si>
  <si>
    <t>Derogación de las normas de préstamo cuando se otorgó el instrumento (S/N)</t>
  </si>
  <si>
    <t>T3317_DERNORPR</t>
  </si>
  <si>
    <t>Reembolso de solo intereses</t>
  </si>
  <si>
    <t>T3317_REEMINTE</t>
  </si>
  <si>
    <t>Recurso</t>
  </si>
  <si>
    <t>T3317_RECURSO</t>
  </si>
  <si>
    <t>Estado de la transacción suscrita</t>
  </si>
  <si>
    <t>T3317_ESTTRSUS</t>
  </si>
  <si>
    <t>Tipo de hipoteca</t>
  </si>
  <si>
    <t>T3317_TIPHIPOT</t>
  </si>
  <si>
    <t>Tipo de operación de CRE financiada</t>
  </si>
  <si>
    <t>T3317_TIPOPCRE</t>
  </si>
  <si>
    <t>Importe adeudado en la fecha de vencimiento final legal</t>
  </si>
  <si>
    <t>T3317_IMPADEUD</t>
  </si>
  <si>
    <t>Renta neta anual de alquiler</t>
  </si>
  <si>
    <t>T3317_RNETANAL</t>
  </si>
  <si>
    <t>Próxima fecha de reinicio de la tasa de interés</t>
  </si>
  <si>
    <t>T3317_PRFRTSIN</t>
  </si>
  <si>
    <t>Clasificación de activos primarios</t>
  </si>
  <si>
    <t>T3317_CLACTPRI</t>
  </si>
  <si>
    <t>Cuota de retención</t>
  </si>
  <si>
    <t>T3317_CUORETEN</t>
  </si>
  <si>
    <t>Nombre del patrocinador de la transacción según la definición de la Guía del ECB sobre transacciones apalancadas</t>
  </si>
  <si>
    <t>T3317_NOMPATTR</t>
  </si>
  <si>
    <t>CHAR (80)</t>
  </si>
  <si>
    <t>Clase de titulización de activos</t>
  </si>
  <si>
    <t>T3317_CLATITAC</t>
  </si>
  <si>
    <t>Fecha de la valoración</t>
  </si>
  <si>
    <t>T3317_FECVALOR</t>
  </si>
  <si>
    <t>Elegibilidad para operaciones estándar del banco central (BCE)</t>
  </si>
  <si>
    <t>T3317_EOPESBCE</t>
  </si>
  <si>
    <t>Identificación de cobertura</t>
  </si>
  <si>
    <t>T3317_IDCOBERT</t>
  </si>
  <si>
    <t>Emisor ESA 2010</t>
  </si>
  <si>
    <t>T3317_EESA2010</t>
  </si>
  <si>
    <t>Categoría de buffer LCR</t>
  </si>
  <si>
    <t>T3317_CTBUFLCR</t>
  </si>
  <si>
    <t>Comprado bajo acuerdo de reventa</t>
  </si>
  <si>
    <t>T3317_COMACREV</t>
  </si>
  <si>
    <t>Parte del búfer LCR</t>
  </si>
  <si>
    <t>T3317_PTBUFLCR</t>
  </si>
  <si>
    <t>Fuentes de gravamen</t>
  </si>
  <si>
    <t>T3317_FTEGRAV</t>
  </si>
  <si>
    <t>03.02.35</t>
  </si>
  <si>
    <t>Loan Tapes - Información sindicados</t>
  </si>
  <si>
    <t>JM_LOATAP_SIN</t>
  </si>
  <si>
    <t>T3313_FEOPERAC</t>
  </si>
  <si>
    <t>T3313_S1EMP</t>
  </si>
  <si>
    <t>T3313_CONTRA1</t>
  </si>
  <si>
    <t>Rol del prestamista en el sindicato</t>
  </si>
  <si>
    <t>T3313_ROLPRSIN</t>
  </si>
  <si>
    <t>Nombre del agente del sindicato</t>
  </si>
  <si>
    <t>T3313_NOMAGSIN</t>
  </si>
  <si>
    <t>Nombres de los otros prestamistas en el sindicato</t>
  </si>
  <si>
    <t>T3313_NOMOTSIN</t>
  </si>
  <si>
    <t>CHAR(255)</t>
  </si>
  <si>
    <t>Participación en el sindicato</t>
  </si>
  <si>
    <t>T3313_PARTISIN</t>
  </si>
  <si>
    <t>Tipo de sindicación</t>
  </si>
  <si>
    <t>T3313_TIPOSIND</t>
  </si>
  <si>
    <t>03.02.36</t>
  </si>
  <si>
    <t>Costes Indirectos Procesos Recuperación</t>
  </si>
  <si>
    <t>JM_COSTES_IND</t>
  </si>
  <si>
    <t>T3365_FEOPERAC</t>
  </si>
  <si>
    <t>T3365_S1EMP</t>
  </si>
  <si>
    <t>T3365_CONTRA1</t>
  </si>
  <si>
    <t>Tipo Coste</t>
  </si>
  <si>
    <t>T3365_TIPCOSTE</t>
  </si>
  <si>
    <t>Nombre del equipo productor de la información</t>
  </si>
  <si>
    <t>T3365_NEQPRINF</t>
  </si>
  <si>
    <t>Nombre de equipo respecto de los costes</t>
  </si>
  <si>
    <t>T3365_NEQRPCOS</t>
  </si>
  <si>
    <t>Valor del coste anual</t>
  </si>
  <si>
    <t>T3365_VALCOSAN</t>
  </si>
  <si>
    <t>03.02.37</t>
  </si>
  <si>
    <t>Riesgo climático - Contrato</t>
  </si>
  <si>
    <t>JM_RGOCLIM_CT</t>
  </si>
  <si>
    <t>T3307_FEOPERAC</t>
  </si>
  <si>
    <t>T3307_S1EMP</t>
  </si>
  <si>
    <t>T3307_CONTRA1</t>
  </si>
  <si>
    <t>Uso de ingresos</t>
  </si>
  <si>
    <t>T3307_USOINGRE</t>
  </si>
  <si>
    <t xml:space="preserve">Marca Uso conocido de los ingresos
</t>
  </si>
  <si>
    <t>T3307_FLUSOING</t>
  </si>
  <si>
    <t xml:space="preserve">Tipo de instrumento financiero
</t>
  </si>
  <si>
    <t>T3307_TPINSFIN</t>
  </si>
  <si>
    <t xml:space="preserve">Generación de tecnología
</t>
  </si>
  <si>
    <t>T3307_GENTECNO</t>
  </si>
  <si>
    <t>Capacidad instalada</t>
  </si>
  <si>
    <t>T3307_CAPINSTA</t>
  </si>
  <si>
    <t>NUM (17,2)</t>
  </si>
  <si>
    <t>Alineado con el SFCS</t>
  </si>
  <si>
    <t>T3307_ALINSFCS</t>
  </si>
  <si>
    <t>Actividad elegible bajo la taxonomía de la UE</t>
  </si>
  <si>
    <t>T3307_ACELTXUE</t>
  </si>
  <si>
    <t>Actividad ambientalmente sostenible</t>
  </si>
  <si>
    <t>T3307_ACAMSOST</t>
  </si>
  <si>
    <t>Marca SFCS</t>
  </si>
  <si>
    <t>T3307_FLGSFCS</t>
  </si>
  <si>
    <t>Categoría SFCS</t>
  </si>
  <si>
    <t>T3307_CATSFCS</t>
  </si>
  <si>
    <t>Elegibilidad - Capex</t>
  </si>
  <si>
    <t>T3307_ELCAPEX</t>
  </si>
  <si>
    <t>Elegibilidad - Opex</t>
  </si>
  <si>
    <t>T3307_ELOPEX</t>
  </si>
  <si>
    <t>Elegibilidad - Factuaración</t>
  </si>
  <si>
    <t>T3307_ELFACT</t>
  </si>
  <si>
    <t>Alineación - Capex</t>
  </si>
  <si>
    <t>T3307_ALCAPEX</t>
  </si>
  <si>
    <t>Alineación - Opex</t>
  </si>
  <si>
    <t>T3307_ALOPEX</t>
  </si>
  <si>
    <t>Alineación - Facturación</t>
  </si>
  <si>
    <t>T3307_ALFACT</t>
  </si>
  <si>
    <t>Ratio Elegibilidad</t>
  </si>
  <si>
    <t>T3307_RATELEG</t>
  </si>
  <si>
    <t>Relación de Activos Verdes</t>
  </si>
  <si>
    <t>T3307_RELACTV</t>
  </si>
  <si>
    <t>Objetivo medioambiental</t>
  </si>
  <si>
    <t>T3307_OBJMEAMB</t>
  </si>
  <si>
    <t>Energia generada por año</t>
  </si>
  <si>
    <t>T3307_ENERGENA</t>
  </si>
  <si>
    <t>Tipo de Actividad</t>
  </si>
  <si>
    <t>T3307_TIPACTIV</t>
  </si>
  <si>
    <t>Kilómetros contratados</t>
  </si>
  <si>
    <t>T3307_KMSCONTR</t>
  </si>
  <si>
    <t>03.02.38</t>
  </si>
  <si>
    <t>Pagos Recibidos</t>
  </si>
  <si>
    <t>JM_PAGOS_REC</t>
  </si>
  <si>
    <t>T3309_FEOPERAC</t>
  </si>
  <si>
    <t>T3309_S1EMP</t>
  </si>
  <si>
    <t xml:space="preserve">Contrato </t>
  </si>
  <si>
    <t>T3309_CONTRA1</t>
  </si>
  <si>
    <t>Tipo Importe pago recibido</t>
  </si>
  <si>
    <t>T3309_TIPIMPGR</t>
  </si>
  <si>
    <t>Importe recibido</t>
  </si>
  <si>
    <t>T3309_IMPRECIB</t>
  </si>
  <si>
    <t>03.03.02</t>
  </si>
  <si>
    <t>SPV's</t>
  </si>
  <si>
    <t>JM_SPV</t>
  </si>
  <si>
    <t>E0691_S1EMP</t>
  </si>
  <si>
    <t>Código de SPV</t>
  </si>
  <si>
    <t>E0691_COD_SPV</t>
  </si>
  <si>
    <t>Fondo Titulización</t>
  </si>
  <si>
    <t>E0691_FOND_TIT</t>
  </si>
  <si>
    <t>Tipo de Titulización</t>
  </si>
  <si>
    <t>E0691_TITU_TIP</t>
  </si>
  <si>
    <t>Cláusulas de amortización anticipada</t>
  </si>
  <si>
    <t>E0691_AMOR_ANT</t>
  </si>
  <si>
    <t>Opción de exclusión superior al 10 %</t>
  </si>
  <si>
    <t>E0691_OPC_EXCL</t>
  </si>
  <si>
    <t>E0691_FECULTMO</t>
  </si>
  <si>
    <t xml:space="preserve">Flag estado titulizado porcentaje/importe </t>
  </si>
  <si>
    <t>E0691_FLGESTPI</t>
  </si>
  <si>
    <t xml:space="preserve">Flag titulizacion completo/garantizado </t>
  </si>
  <si>
    <t>E0691_FLGCPGAR</t>
  </si>
  <si>
    <t>Fecha desde</t>
  </si>
  <si>
    <t>E0691_FECDESDE</t>
  </si>
  <si>
    <t>Fecha hasta</t>
  </si>
  <si>
    <t>E0691_FECHASTA</t>
  </si>
  <si>
    <t>Indicador transferencia riesgo</t>
  </si>
  <si>
    <t>E0691_INDTRRGO</t>
  </si>
  <si>
    <t>Indicador Credit Related</t>
  </si>
  <si>
    <t>E0691_INDCRREL</t>
  </si>
  <si>
    <t>Moneda de la titulización</t>
  </si>
  <si>
    <t>E0691_CODMONED</t>
  </si>
  <si>
    <t>03.03.03</t>
  </si>
  <si>
    <t>Serie Emitida de Titulización</t>
  </si>
  <si>
    <t>JM_SERIE_TITULZ</t>
  </si>
  <si>
    <t>E0635_S1EMP</t>
  </si>
  <si>
    <t>Serie o tramo titulizado</t>
  </si>
  <si>
    <t>E0635_TRAM_TIT</t>
  </si>
  <si>
    <t>E0635_COD_SPV</t>
  </si>
  <si>
    <t>Importe retenido</t>
  </si>
  <si>
    <t>E0635_IMPORTH</t>
  </si>
  <si>
    <t xml:space="preserve">Prelación </t>
  </si>
  <si>
    <t>E0635_COD_PREL</t>
  </si>
  <si>
    <t>Código Agencia Rating</t>
  </si>
  <si>
    <t>E0635_AGEN_RAT</t>
  </si>
  <si>
    <t>Fecha de última actualización de rating</t>
  </si>
  <si>
    <t>E0635_FCHULTAC</t>
  </si>
  <si>
    <t>Rating externo</t>
  </si>
  <si>
    <t>E0635_RATI_EXT</t>
  </si>
  <si>
    <t>Rating inferido</t>
  </si>
  <si>
    <t>E0635_RATINGP</t>
  </si>
  <si>
    <t>E0635_FECULTMO</t>
  </si>
  <si>
    <t>03.03.05</t>
  </si>
  <si>
    <t>Titulizaciones BIS</t>
  </si>
  <si>
    <t>JM_TITULIZ</t>
  </si>
  <si>
    <t>G4132_FEOPERAC</t>
  </si>
  <si>
    <t>G4132_S1EMP</t>
  </si>
  <si>
    <t>G4132_CONTRA1</t>
  </si>
  <si>
    <t>G4132_COD_SPV</t>
  </si>
  <si>
    <t>G4132_TRAM_TIT</t>
  </si>
  <si>
    <t>Porcentaje Principal Titulizado</t>
  </si>
  <si>
    <t>G4132_TPORCENT</t>
  </si>
  <si>
    <t>Porcentaje Intereses Titulizado</t>
  </si>
  <si>
    <t>G4132_TPORCEN</t>
  </si>
  <si>
    <t>Saldo de Constitución</t>
  </si>
  <si>
    <t>G4132_IMPSLDC</t>
  </si>
  <si>
    <t>Saldo de Desembolso</t>
  </si>
  <si>
    <t>G4132_IMPSLD</t>
  </si>
  <si>
    <t>Fecha de Titulización</t>
  </si>
  <si>
    <t>G4132_FECHA</t>
  </si>
  <si>
    <t>Indicador de cumplimiento de condiciones</t>
  </si>
  <si>
    <t>G4132_INDCUMP</t>
  </si>
  <si>
    <t>G4132_FECULTMO</t>
  </si>
  <si>
    <t>Porcentaje Titulizado</t>
  </si>
  <si>
    <t>G4132_TITUPORC</t>
  </si>
  <si>
    <t>Tipo de Activo Titulizado</t>
  </si>
  <si>
    <t>G4132_TACTTITU</t>
  </si>
  <si>
    <t>Saldo vivo del subyacente</t>
  </si>
  <si>
    <t>G4132_IMPVSYAC</t>
  </si>
  <si>
    <t>Saldo de intereses en resultados</t>
  </si>
  <si>
    <t>G4132_IMINTRES</t>
  </si>
  <si>
    <t>Cuenta contable local Saldo Vivo</t>
  </si>
  <si>
    <t>G4132_CTA_CONT</t>
  </si>
  <si>
    <t>Agrupador de cuenta contable local del Saldo vivo</t>
  </si>
  <si>
    <t>G4132_AGRCTACB</t>
  </si>
  <si>
    <t>Cuenta contable local del saldo de Intereses</t>
  </si>
  <si>
    <t>G4132_CTACTBSI</t>
  </si>
  <si>
    <t>Agrupador de cuenta contable local del saldo de intereses</t>
  </si>
  <si>
    <t>G4132_AGCTCBSI</t>
  </si>
  <si>
    <t>21</t>
  </si>
  <si>
    <t>Importe EAD titulizada</t>
  </si>
  <si>
    <t>G4132_IMPDBALA</t>
  </si>
  <si>
    <t>NUM(17,02)</t>
  </si>
  <si>
    <t>13</t>
  </si>
  <si>
    <t>22</t>
  </si>
  <si>
    <t>Campo libre</t>
  </si>
  <si>
    <t>G4132_IMPFBALA</t>
  </si>
  <si>
    <t xml:space="preserve">Descuentos no reembolsables sobre el precio compra </t>
  </si>
  <si>
    <t>G4132_DESNREPC</t>
  </si>
  <si>
    <t>Precio en el momento de la titulización</t>
  </si>
  <si>
    <t>G4132_PRMTOTIT</t>
  </si>
  <si>
    <t>Tipo de cambio de referencia</t>
  </si>
  <si>
    <t>G4132_TPCAMREF</t>
  </si>
  <si>
    <t>NUM (18,13)</t>
  </si>
  <si>
    <t>03.03.06</t>
  </si>
  <si>
    <t>Identificación de Líneas de Liquidez y Prestamos Subordinados BIS</t>
  </si>
  <si>
    <t>JM_LINLIQ_TIT</t>
  </si>
  <si>
    <t>G4130_FEOPERAC</t>
  </si>
  <si>
    <t>G4130_S1EMP</t>
  </si>
  <si>
    <t>G4130_CONTRA1</t>
  </si>
  <si>
    <t>G4130_COD_SPV</t>
  </si>
  <si>
    <t>Identificación Línea Líquidez / Préstamo Subordinado</t>
  </si>
  <si>
    <t>G4130_CODIGLIN</t>
  </si>
  <si>
    <t>Carácter de la Línea de Liquidez</t>
  </si>
  <si>
    <t>G4130_LIN_LIQU</t>
  </si>
  <si>
    <t>G4130_FECULTMO</t>
  </si>
  <si>
    <t>03.03.07</t>
  </si>
  <si>
    <t>Bonos Titulizacion</t>
  </si>
  <si>
    <t>JM_BONO_TITU</t>
  </si>
  <si>
    <t>T2425_FEOPERAC</t>
  </si>
  <si>
    <t>T2425_S1EMP</t>
  </si>
  <si>
    <t>Identificador de Contrato</t>
  </si>
  <si>
    <t>T2425_CONTRA1</t>
  </si>
  <si>
    <t>Tipo identificación Emisión</t>
  </si>
  <si>
    <t>T2425_TIPIDEMI</t>
  </si>
  <si>
    <t>Código identificador de la emisión</t>
  </si>
  <si>
    <t>T2425_CODIDEMI</t>
  </si>
  <si>
    <t>Identificador de la titulización</t>
  </si>
  <si>
    <t>T2425_IDTITUL</t>
  </si>
  <si>
    <t>Attachment</t>
  </si>
  <si>
    <t>T2425_ATTACHM</t>
  </si>
  <si>
    <t>DEC(09,06)</t>
  </si>
  <si>
    <t>Detachment</t>
  </si>
  <si>
    <t>T2425_DETACHM</t>
  </si>
  <si>
    <t>Mt</t>
  </si>
  <si>
    <t>T2425_MT</t>
  </si>
  <si>
    <t>DEC(17,06)</t>
  </si>
  <si>
    <t xml:space="preserve">Método calculo Mt </t>
  </si>
  <si>
    <t>T2425_METCALMT</t>
  </si>
  <si>
    <t>03.03.08</t>
  </si>
  <si>
    <t>Exposiciones retenidas por titulización</t>
  </si>
  <si>
    <t>JM_EXPRET_TIT</t>
  </si>
  <si>
    <t>T3381_FEOPERAC</t>
  </si>
  <si>
    <t>T3381_S1EMP</t>
  </si>
  <si>
    <t>T3381_CONTRA1</t>
  </si>
  <si>
    <t>T3381_COD_SPV</t>
  </si>
  <si>
    <t>T3381_FOND_TIT</t>
  </si>
  <si>
    <t>Importe Retenido</t>
  </si>
  <si>
    <t>T3381_IMP_RET</t>
  </si>
  <si>
    <t>DEC(23,06)</t>
  </si>
  <si>
    <t>Porcentaje Retenido</t>
  </si>
  <si>
    <t>T3381_PORC_RET</t>
  </si>
  <si>
    <t>03.04.05</t>
  </si>
  <si>
    <t>Grupo-Jerarquía</t>
  </si>
  <si>
    <t>JM_GRUP_JERARQ</t>
  </si>
  <si>
    <t>E1963_S1EMP</t>
  </si>
  <si>
    <t>Identificador de grupo económico</t>
  </si>
  <si>
    <t>E1963_GRUP_ECO</t>
  </si>
  <si>
    <t>E1963_IDNUMCLI</t>
  </si>
  <si>
    <t>Rol Jerárquico Predecesor</t>
  </si>
  <si>
    <t>E1963_ROL_JERA</t>
  </si>
  <si>
    <t>Identificador del Predecesor</t>
  </si>
  <si>
    <t>E1963_IDNCLIPR</t>
  </si>
  <si>
    <t>Fecha Alta</t>
  </si>
  <si>
    <t>E1963_FECALTA</t>
  </si>
  <si>
    <t>Fecha Baja</t>
  </si>
  <si>
    <t>E1963_FECBAJA</t>
  </si>
  <si>
    <t>Porcentaje de Participación</t>
  </si>
  <si>
    <t>E1963_TPC_PART</t>
  </si>
  <si>
    <t>E1963_FECULTMO</t>
  </si>
  <si>
    <t>03.04.08</t>
  </si>
  <si>
    <t>Calificación Cliente</t>
  </si>
  <si>
    <t>JM_CAL_IN_CL</t>
  </si>
  <si>
    <t>E9954_FEOPERAC</t>
  </si>
  <si>
    <t>E9954_S1EMP</t>
  </si>
  <si>
    <t>E9954_IDNUMCLI</t>
  </si>
  <si>
    <t>Fecha de Calificación Cliente</t>
  </si>
  <si>
    <t>E9954_FECCALI</t>
  </si>
  <si>
    <t>Tipo de modelo rating/scoring</t>
  </si>
  <si>
    <t>E9954_TIPMODEL</t>
  </si>
  <si>
    <t>Tipo de modelo rating/scoring local</t>
  </si>
  <si>
    <t>E9954_TIPMODE2</t>
  </si>
  <si>
    <t>Identificador de modelo</t>
  </si>
  <si>
    <t>E9954_IDMODEL</t>
  </si>
  <si>
    <t>Tipo Calificación Cliente</t>
  </si>
  <si>
    <t>E9954_TIPO</t>
  </si>
  <si>
    <t>Scoring / rating local</t>
  </si>
  <si>
    <t>E9954_IDPUNSCO</t>
  </si>
  <si>
    <t>E9954_FECCADUC</t>
  </si>
  <si>
    <t>Tarjeta puntuación</t>
  </si>
  <si>
    <t>E9954_C1TARPUN</t>
  </si>
  <si>
    <t>Spid</t>
  </si>
  <si>
    <t>E9954_C1SPID</t>
  </si>
  <si>
    <t>Código motivo exclusión</t>
  </si>
  <si>
    <t>E9954_C1DIGCON</t>
  </si>
  <si>
    <t>E9954_FECULTMO</t>
  </si>
  <si>
    <t>Motivo de forzaje</t>
  </si>
  <si>
    <t>E9954_MOTIVFOR</t>
  </si>
  <si>
    <t>Rating cuantitativo</t>
  </si>
  <si>
    <t>E9954_IDPUNSC2</t>
  </si>
  <si>
    <t>Fecha de reporte financiero</t>
  </si>
  <si>
    <t>E9954_FECREPFI</t>
  </si>
  <si>
    <t>E9954_FECINOFC</t>
  </si>
  <si>
    <t>E9954_CODMONET</t>
  </si>
  <si>
    <t>03.04.09</t>
  </si>
  <si>
    <t>Calificación Grupo Económico</t>
  </si>
  <si>
    <t>JM_CAL_IN_GR</t>
  </si>
  <si>
    <t>E9959_FEOPERAC</t>
  </si>
  <si>
    <t>E9959_S1EMP</t>
  </si>
  <si>
    <t>Identificador del grupo</t>
  </si>
  <si>
    <t>E9959_DCODGRUP</t>
  </si>
  <si>
    <t>Fecha de Calificación</t>
  </si>
  <si>
    <t>E9959_FECCALI</t>
  </si>
  <si>
    <t>E9959_TIPMODEL</t>
  </si>
  <si>
    <t>E9959_TIPMODE2</t>
  </si>
  <si>
    <t>E9959_IDMODEL</t>
  </si>
  <si>
    <t>Tipo Calificación</t>
  </si>
  <si>
    <t>E9959_TIPO</t>
  </si>
  <si>
    <t>E9959_IDPUNSCO</t>
  </si>
  <si>
    <t>E9959_FECCADUC</t>
  </si>
  <si>
    <t>E9959_FECULTMO</t>
  </si>
  <si>
    <t>E9959_MOTIVFOR</t>
  </si>
  <si>
    <t>E9959_CODMONET</t>
  </si>
  <si>
    <t>03.04.10</t>
  </si>
  <si>
    <t>Clientes BIS</t>
  </si>
  <si>
    <t>JM_CLIENT_BII</t>
  </si>
  <si>
    <t>G4093_FEOPERAC</t>
  </si>
  <si>
    <t>G4093_S1EMP</t>
  </si>
  <si>
    <t>G4093_IDNUMCLI</t>
  </si>
  <si>
    <t>Tipo Persona</t>
  </si>
  <si>
    <t>G4093_TIP_PERS</t>
  </si>
  <si>
    <t>Nombre o razón social</t>
  </si>
  <si>
    <t>G4093_APNOMPER</t>
  </si>
  <si>
    <t>CHAR(00080)</t>
  </si>
  <si>
    <t>Localizador  búsqueda 1</t>
  </si>
  <si>
    <t>G4093_DATEXTO1</t>
  </si>
  <si>
    <t>Localizador  búsqueda 2</t>
  </si>
  <si>
    <t>G4093_DATEXTO2</t>
  </si>
  <si>
    <t>Tipo de identificador nacional</t>
  </si>
  <si>
    <t>G4093_IDENTPER</t>
  </si>
  <si>
    <t>Código de identificación nacional</t>
  </si>
  <si>
    <t>G4093_CODIDPER</t>
  </si>
  <si>
    <t>Código cliente global</t>
  </si>
  <si>
    <t>G4093_CLIE_GLO</t>
  </si>
  <si>
    <t>G4093_IDSUCUR</t>
  </si>
  <si>
    <t>Marca carterizado</t>
  </si>
  <si>
    <t>G4093_CARTER</t>
  </si>
  <si>
    <t>País Residencia</t>
  </si>
  <si>
    <t>G4093_ID_PAIS</t>
  </si>
  <si>
    <t>Código Sector Actividad</t>
  </si>
  <si>
    <t>G4093_COD_SECT</t>
  </si>
  <si>
    <t>Código Sector Actividad Local</t>
  </si>
  <si>
    <t>G4093_COD_SEC2</t>
  </si>
  <si>
    <t>Código Sector Contable</t>
  </si>
  <si>
    <t>G4093_COD_SEC3</t>
  </si>
  <si>
    <t>Código segmento cliente</t>
  </si>
  <si>
    <t>G4093_CLISEGM</t>
  </si>
  <si>
    <t>Codigo segmento local1</t>
  </si>
  <si>
    <t>G4093_CLISEGL1</t>
  </si>
  <si>
    <t>Tipo segmento local 1</t>
  </si>
  <si>
    <t>G4093_TIPSEGL1</t>
  </si>
  <si>
    <t>Código segmento local2</t>
  </si>
  <si>
    <t>G4093_CLISEGL2</t>
  </si>
  <si>
    <t>Tipo segmento local 2</t>
  </si>
  <si>
    <t>G4093_TIPSEGL2</t>
  </si>
  <si>
    <t>Fecha Inicio Relación</t>
  </si>
  <si>
    <t>G4093_FCHINI</t>
  </si>
  <si>
    <t>Fecha Fin  Relación</t>
  </si>
  <si>
    <t>G4093_FCHFIN</t>
  </si>
  <si>
    <t>G4093_FECULTMO</t>
  </si>
  <si>
    <t>Industry</t>
  </si>
  <si>
    <t>G4093_INDUSTRY</t>
  </si>
  <si>
    <t>Exclusión Cliente IRB</t>
  </si>
  <si>
    <t>G4093_EXCLCLI</t>
  </si>
  <si>
    <t>Indicador de Bancarrota</t>
  </si>
  <si>
    <t>G4093_INDBCART</t>
  </si>
  <si>
    <t>CHAR(000001)</t>
  </si>
  <si>
    <t>Fecha de nacimiento</t>
  </si>
  <si>
    <t>G4093_FECNACIM</t>
  </si>
  <si>
    <t>País de negocio</t>
  </si>
  <si>
    <t>G4093_PAISNEG</t>
  </si>
  <si>
    <t>Código Postal</t>
  </si>
  <si>
    <t>G4093_CDPOSTAL</t>
  </si>
  <si>
    <t>Tratamiento Especial</t>
  </si>
  <si>
    <t>G4093_TTO_ESPE</t>
  </si>
  <si>
    <t>Grado Vinculación del cliente</t>
  </si>
  <si>
    <t>G4093_GRA_VINC</t>
  </si>
  <si>
    <t>UTP Cliente</t>
  </si>
  <si>
    <t>G4093_UTP_CLI</t>
  </si>
  <si>
    <t>Fecha Inicio UTP Cliente</t>
  </si>
  <si>
    <t>G4093_FINIUTCL</t>
  </si>
  <si>
    <t>Fecha Fin UTP Cliente</t>
  </si>
  <si>
    <t>G4093_FFINUTCL</t>
  </si>
  <si>
    <t>03.04.11</t>
  </si>
  <si>
    <t>Adicional Jurídicas BIS</t>
  </si>
  <si>
    <t>JM_CLIEN_JURI</t>
  </si>
  <si>
    <t>G5508_FEOPERAC</t>
  </si>
  <si>
    <t>G5508_S1EMP</t>
  </si>
  <si>
    <t>G5508_IDNUMCLI</t>
  </si>
  <si>
    <t>Fecha Información</t>
  </si>
  <si>
    <t>G5508_INFFECHA</t>
  </si>
  <si>
    <t>Facturación</t>
  </si>
  <si>
    <t>G5508_IMPFACTM</t>
  </si>
  <si>
    <t>DEC (19,02)</t>
  </si>
  <si>
    <t>Total Activos Cliente</t>
  </si>
  <si>
    <t>G5508_TOT_ACTI</t>
  </si>
  <si>
    <t>Número Empleados</t>
  </si>
  <si>
    <t>G5508_NUM_EMPL</t>
  </si>
  <si>
    <t>Origen Facturación</t>
  </si>
  <si>
    <t>G5508_ORIG_FAC</t>
  </si>
  <si>
    <t>Origen Activos</t>
  </si>
  <si>
    <t>G5508_ORIG_ACT</t>
  </si>
  <si>
    <t>Código identificación cargabal</t>
  </si>
  <si>
    <t>G5508_ORIG_EMP</t>
  </si>
  <si>
    <t>G5508_FECULTMO</t>
  </si>
  <si>
    <t>Total deuda cliente</t>
  </si>
  <si>
    <t>G5508_TDEUDACL</t>
  </si>
  <si>
    <t>Ratio CET1</t>
  </si>
  <si>
    <t>G5508_RAT_CET1</t>
  </si>
  <si>
    <t>Tasa de Mora</t>
  </si>
  <si>
    <t>G5508_TASAMORA</t>
  </si>
  <si>
    <t>Total Equity</t>
  </si>
  <si>
    <t>G5508_TOT_EQTY</t>
  </si>
  <si>
    <t>Organismos dependientes</t>
  </si>
  <si>
    <t>G5508_ORGDEPEN</t>
  </si>
  <si>
    <t>Clasificación de una empresa / grupo economico según su balance ( sin economico)</t>
  </si>
  <si>
    <t>G5508_FLGEMPNO</t>
  </si>
  <si>
    <t>Campo representativo tamaño empresa</t>
  </si>
  <si>
    <t>G5508_CREPTEMP</t>
  </si>
  <si>
    <t>Facturación máxima para clientes jurídicos</t>
  </si>
  <si>
    <t>G5508_FMAXCLJU</t>
  </si>
  <si>
    <t>03.04.12</t>
  </si>
  <si>
    <t>Grupos Económicos BIS</t>
  </si>
  <si>
    <t>JM_GRUP_ECONO</t>
  </si>
  <si>
    <t>G5512_FEOPERAC</t>
  </si>
  <si>
    <t>G5512_S1EMP</t>
  </si>
  <si>
    <t>G5512_GRUP_ECO</t>
  </si>
  <si>
    <t>Código grupo global</t>
  </si>
  <si>
    <t>G5512_DCODGRUP</t>
  </si>
  <si>
    <t>Nombre Grupo</t>
  </si>
  <si>
    <t>G5512_DGRUPO</t>
  </si>
  <si>
    <t>G5512_IDSUCUR</t>
  </si>
  <si>
    <t>G5512_ID_PAIS</t>
  </si>
  <si>
    <t>Facturación Grupo</t>
  </si>
  <si>
    <t>G5512_IMPFACTM</t>
  </si>
  <si>
    <t>Total Activos Grupo</t>
  </si>
  <si>
    <t>G5512_TOT_ACTI</t>
  </si>
  <si>
    <t>G5512_NUM_EMPL</t>
  </si>
  <si>
    <t>G5512_ORIG_FAC</t>
  </si>
  <si>
    <t>G5512_ORIG_ACT</t>
  </si>
  <si>
    <t>Origen Número Empleados</t>
  </si>
  <si>
    <t>G5512_ORIG_EMP</t>
  </si>
  <si>
    <t>Riesgo Grupo</t>
  </si>
  <si>
    <t>G5512_IMPT_RGO</t>
  </si>
  <si>
    <t>G5512_FECINFAC</t>
  </si>
  <si>
    <t>Sector Grupo Económico</t>
  </si>
  <si>
    <t>G5512_GRECOSEC</t>
  </si>
  <si>
    <t>Divisa Original</t>
  </si>
  <si>
    <t>G5512_CODDIV</t>
  </si>
  <si>
    <t>G5512_FECULTMO</t>
  </si>
  <si>
    <t>Total deuda grupo</t>
  </si>
  <si>
    <t>G5512_TDEUDAGR</t>
  </si>
  <si>
    <t>Clasificación de una empresa/grupo económico según su balance</t>
  </si>
  <si>
    <t>G5512_FLGEMPNO</t>
  </si>
  <si>
    <t>03.04.13</t>
  </si>
  <si>
    <t>Grupo-relación BIS</t>
  </si>
  <si>
    <t>JM_GRUP_RELA</t>
  </si>
  <si>
    <t>G5515_FEOPERAC</t>
  </si>
  <si>
    <t>G5515_S1EMP</t>
  </si>
  <si>
    <t>G5515_GRUP_ECO</t>
  </si>
  <si>
    <t>G5515_IDNUMCLI</t>
  </si>
  <si>
    <t>Rol Jerárquico</t>
  </si>
  <si>
    <t>G5515_ROL_JERA</t>
  </si>
  <si>
    <t>G5515_FECULTMO</t>
  </si>
  <si>
    <t>03.04.14</t>
  </si>
  <si>
    <t>Adicional Cliente</t>
  </si>
  <si>
    <t>JM_INF_AD_CLI</t>
  </si>
  <si>
    <t>H0780_FEOPERAC</t>
  </si>
  <si>
    <t xml:space="preserve">Empresa </t>
  </si>
  <si>
    <t>H0780_S1EMP</t>
  </si>
  <si>
    <t xml:space="preserve">Identificador de Cliente BDR </t>
  </si>
  <si>
    <t>H0780_IDNUMCLI</t>
  </si>
  <si>
    <t xml:space="preserve">Tipo de información Local Cliente </t>
  </si>
  <si>
    <t>H0780_TIPINFRL</t>
  </si>
  <si>
    <t>Tipo de información Global Cliente</t>
  </si>
  <si>
    <t>H0780_TIPINFRG</t>
  </si>
  <si>
    <t>H0780_IMPORTH</t>
  </si>
  <si>
    <t>H0780_CODDIV</t>
  </si>
  <si>
    <t>Fecha actualización información</t>
  </si>
  <si>
    <t>H0780_FECHAACT</t>
  </si>
  <si>
    <t>H0780_FECULTMO</t>
  </si>
  <si>
    <t>H0780_CUOTPRES</t>
  </si>
  <si>
    <t>Ingresos Justificados de Cliente</t>
  </si>
  <si>
    <t>H0780_INGCLIEN</t>
  </si>
  <si>
    <t>Número de movimientos de cliente</t>
  </si>
  <si>
    <t>H0780_NUM_MTOS</t>
  </si>
  <si>
    <t>Fecha ingresos</t>
  </si>
  <si>
    <t>H0780_FECINGRE</t>
  </si>
  <si>
    <t>Relación deuda/ingresos</t>
  </si>
  <si>
    <t>H0780_RDEUDING</t>
  </si>
  <si>
    <t>Tipo de Empresa</t>
  </si>
  <si>
    <t>H0780_TIP_EMPR</t>
  </si>
  <si>
    <t>Total Ingresos</t>
  </si>
  <si>
    <t>H0780_TOT_INGR</t>
  </si>
  <si>
    <t xml:space="preserve">Total deudas financieras </t>
  </si>
  <si>
    <t>H0780_TOT_DEUF</t>
  </si>
  <si>
    <t>Marca de acreditación de sueldo</t>
  </si>
  <si>
    <t>H0780_FLGACSLD</t>
  </si>
  <si>
    <t>Fecha Fin Recepción Salarios.</t>
  </si>
  <si>
    <t>H0780_FINRESAL</t>
  </si>
  <si>
    <t>Fecha Cuenta Corriente más antigua.</t>
  </si>
  <si>
    <t>H0780_FECCCANT</t>
  </si>
  <si>
    <t xml:space="preserve">Segmento IFRS9 al que pertenece el cliente. </t>
  </si>
  <si>
    <t>H0780_SIFRS9CL</t>
  </si>
  <si>
    <t>NUM (05,00)</t>
  </si>
  <si>
    <t>03.04.15</t>
  </si>
  <si>
    <t>Aprovisionamiento Externo de Parámetros - Interviniente</t>
  </si>
  <si>
    <t>JM_PARAM_INTR</t>
  </si>
  <si>
    <t>H0789_FEOPERAC</t>
  </si>
  <si>
    <t>H0789_S1EMP</t>
  </si>
  <si>
    <t>H0789_IDNUMCLI</t>
  </si>
  <si>
    <t>H0789_RGOPARM</t>
  </si>
  <si>
    <t>H0789_NUMCRITE</t>
  </si>
  <si>
    <t>H0789_VALASIG</t>
  </si>
  <si>
    <t>H0789_IDSISTE</t>
  </si>
  <si>
    <t>H0789_FECALCUL</t>
  </si>
  <si>
    <t>H0789_MODPARAM</t>
  </si>
  <si>
    <t>H0789_VERSMODE</t>
  </si>
  <si>
    <t>H0789_FECULTMO</t>
  </si>
  <si>
    <t>03.04.16</t>
  </si>
  <si>
    <t>Parámetros externos a Nivel Grupo</t>
  </si>
  <si>
    <t>JM_PARAM_GECO</t>
  </si>
  <si>
    <t>N0640_FEOPERAC</t>
  </si>
  <si>
    <t>N0640_S1EMP</t>
  </si>
  <si>
    <t>Identificador de grupo</t>
  </si>
  <si>
    <t>N0640_GRUP_ECO</t>
  </si>
  <si>
    <t>N0640_RGOPARM</t>
  </si>
  <si>
    <t>N0640_NUMCRITE</t>
  </si>
  <si>
    <t>N0640_VALASIG</t>
  </si>
  <si>
    <t>N0640_IDSISTE</t>
  </si>
  <si>
    <t>N0640_FECALCUL</t>
  </si>
  <si>
    <t>N0640_MODPARAM</t>
  </si>
  <si>
    <t>N0640_VERSMODE</t>
  </si>
  <si>
    <t>N0640_FECULTMO</t>
  </si>
  <si>
    <t>03.04.17</t>
  </si>
  <si>
    <t>Estado vigilancia</t>
  </si>
  <si>
    <t>Fecha de Operación</t>
  </si>
  <si>
    <t>JM_ESTADO_VIG</t>
  </si>
  <si>
    <t>R8182_FEOPERAC</t>
  </si>
  <si>
    <t>R8182_S1EMP</t>
  </si>
  <si>
    <t>R8182_IDNUMCLI</t>
  </si>
  <si>
    <t>Código Origen Visión</t>
  </si>
  <si>
    <t>R8182_CODORVIS</t>
  </si>
  <si>
    <t>Fecha de estado</t>
  </si>
  <si>
    <t>R8182_FECESTAD</t>
  </si>
  <si>
    <t>Fecha de grado</t>
  </si>
  <si>
    <t>R8182_FECGRADO</t>
  </si>
  <si>
    <t>Código de Estado</t>
  </si>
  <si>
    <t>R8182_EST_FEVE</t>
  </si>
  <si>
    <t>Código de Grado</t>
  </si>
  <si>
    <t>R8182_GRA_FEVE</t>
  </si>
  <si>
    <t>Código Grado local</t>
  </si>
  <si>
    <t>R8182_FEVE_POL</t>
  </si>
  <si>
    <t>Código de Alerta SAR</t>
  </si>
  <si>
    <t>R8182_ALERTSAR</t>
  </si>
  <si>
    <t>R8182_FECULTMO</t>
  </si>
  <si>
    <t>03.04.18</t>
  </si>
  <si>
    <t>Cambio situación UTP del cliente</t>
  </si>
  <si>
    <t>JM_CSIT_UTPCL</t>
  </si>
  <si>
    <t>T1760_FEOPERAC</t>
  </si>
  <si>
    <t>T1760_S1EMP</t>
  </si>
  <si>
    <t>T1760_IDNUMCLI</t>
  </si>
  <si>
    <t>Fecha UTP Inicio</t>
  </si>
  <si>
    <t>T1760_FINIUTP</t>
  </si>
  <si>
    <t>Fecha UTP Fin</t>
  </si>
  <si>
    <t>T1760_FFINUTP</t>
  </si>
  <si>
    <t>Indicador UTP Cliente</t>
  </si>
  <si>
    <t>T1760_IDUTPCLI</t>
  </si>
  <si>
    <t>03.04.19</t>
  </si>
  <si>
    <t>Datos Cualitativos Cliente Globales</t>
  </si>
  <si>
    <t>JM_CLIGLO_CUA</t>
  </si>
  <si>
    <t>T2888_FEOPERAC</t>
  </si>
  <si>
    <t>Unidad Operativa</t>
  </si>
  <si>
    <t>T2888_UNIDOPER</t>
  </si>
  <si>
    <t>CHAR(6)</t>
  </si>
  <si>
    <t>Nombre Unidad Operativa KGL</t>
  </si>
  <si>
    <t>T2888_NOMBUNOP</t>
  </si>
  <si>
    <t>País Unidad Operativa KGL</t>
  </si>
  <si>
    <t>T2888_PAISUNOP</t>
  </si>
  <si>
    <t>CHAR(2)</t>
  </si>
  <si>
    <t>Entidad Legal</t>
  </si>
  <si>
    <t>T2888_ENTLEGAL</t>
  </si>
  <si>
    <t>T2888_TIP_PERS</t>
  </si>
  <si>
    <t>CHAR(8)</t>
  </si>
  <si>
    <t>Nombre legal KGL</t>
  </si>
  <si>
    <t>T2888_NOMLEGAL</t>
  </si>
  <si>
    <t>Tipo Identificador</t>
  </si>
  <si>
    <t>T2888_TIPIDENT</t>
  </si>
  <si>
    <t>CIF</t>
  </si>
  <si>
    <t>T2888_CIF</t>
  </si>
  <si>
    <t>CHAR(9)</t>
  </si>
  <si>
    <t>Tipo Cartera</t>
  </si>
  <si>
    <t>T2888_TIPCARTE</t>
  </si>
  <si>
    <t>CHAR(18)</t>
  </si>
  <si>
    <t>Flag Garante</t>
  </si>
  <si>
    <t>T2888_FLGGARAN</t>
  </si>
  <si>
    <t>Garante</t>
  </si>
  <si>
    <t>T2888_GARANTE</t>
  </si>
  <si>
    <t>T2888_FECINFO</t>
  </si>
  <si>
    <t>DEC(4,0)</t>
  </si>
  <si>
    <t>T2888_FACTURAC</t>
  </si>
  <si>
    <t>Ingresos de intereses</t>
  </si>
  <si>
    <t>T2888_INGINTER</t>
  </si>
  <si>
    <t>Otros ingresos</t>
  </si>
  <si>
    <t>T2888_INGOTROS</t>
  </si>
  <si>
    <t>Primas Netas</t>
  </si>
  <si>
    <t>T2888_PRIMANET</t>
  </si>
  <si>
    <t>Margen Financiero</t>
  </si>
  <si>
    <t>T2888_MRGFINAN</t>
  </si>
  <si>
    <t>Patrimonio Neto</t>
  </si>
  <si>
    <t>T2888_PATRINET</t>
  </si>
  <si>
    <t>Total Activos</t>
  </si>
  <si>
    <t>T2888_TOTACTIV</t>
  </si>
  <si>
    <t>T2888_CODDIV</t>
  </si>
  <si>
    <t>Unidad monetaria</t>
  </si>
  <si>
    <t>T2888_UNIDMONE</t>
  </si>
  <si>
    <t>Auditores</t>
  </si>
  <si>
    <t>T2888_AUDITOR</t>
  </si>
  <si>
    <t>T2888_NUMEMPLE</t>
  </si>
  <si>
    <t>GLCS Grupo</t>
  </si>
  <si>
    <t>T2888_GLCSGRUP</t>
  </si>
  <si>
    <t>Rating Interno</t>
  </si>
  <si>
    <t>T2888_RATININT</t>
  </si>
  <si>
    <t>DEC(11,1)</t>
  </si>
  <si>
    <t>Fecha Rating Interno</t>
  </si>
  <si>
    <t>T2888_FECRATIN</t>
  </si>
  <si>
    <t>CHAR(10)</t>
  </si>
  <si>
    <t>Estado FEVE</t>
  </si>
  <si>
    <t>T2888_ESTAFEVE</t>
  </si>
  <si>
    <t>Fecha Estado FEVE</t>
  </si>
  <si>
    <t>T2888_FECESFEV</t>
  </si>
  <si>
    <t>Modelo Rating Interno</t>
  </si>
  <si>
    <t>T2888_MODRATIN</t>
  </si>
  <si>
    <t>CHAR(15)</t>
  </si>
  <si>
    <t>Versión Modelo</t>
  </si>
  <si>
    <t>T2888_VERSMODE</t>
  </si>
  <si>
    <t>DEC(3,1)</t>
  </si>
  <si>
    <t>Tipo Entidad</t>
  </si>
  <si>
    <t>T2888_TIPENTID</t>
  </si>
  <si>
    <t>Tipo Entidad Financiera</t>
  </si>
  <si>
    <t>T2888_TIPENTFI</t>
  </si>
  <si>
    <t>CHAR(30)</t>
  </si>
  <si>
    <t>Sector BBG</t>
  </si>
  <si>
    <t>T2888_SECTBBG</t>
  </si>
  <si>
    <t>CHAR(24)</t>
  </si>
  <si>
    <t>Sector Interno 1</t>
  </si>
  <si>
    <t>T2888_SECTINT1</t>
  </si>
  <si>
    <t>Ent_corp_SAN3_INDSEC</t>
  </si>
  <si>
    <t>T2888_ENTCOS3I</t>
  </si>
  <si>
    <t>Prioridad</t>
  </si>
  <si>
    <t>T2888_PRIORIDA</t>
  </si>
  <si>
    <t>PUN-REG</t>
  </si>
  <si>
    <t>T2888_PUN_REG</t>
  </si>
  <si>
    <t>DEC(3,2)</t>
  </si>
  <si>
    <t>TIP-FINAN</t>
  </si>
  <si>
    <t>T2888_TIPFINAN</t>
  </si>
  <si>
    <t>03.04.20</t>
  </si>
  <si>
    <t>Rating Clientes Globales</t>
  </si>
  <si>
    <t>JM_CLIGLO_RAT</t>
  </si>
  <si>
    <t>T2884_FEOPERAC</t>
  </si>
  <si>
    <t>UNIDAD OPERATIVA.</t>
  </si>
  <si>
    <t>T2884_UNIDOPER</t>
  </si>
  <si>
    <t>TICKER</t>
  </si>
  <si>
    <t>T2884_TICKER</t>
  </si>
  <si>
    <t>CHAR(20)</t>
  </si>
  <si>
    <t>MDYS-SU</t>
  </si>
  <si>
    <t>T2884_MDYS_SU</t>
  </si>
  <si>
    <t>MOODYS-SUW</t>
  </si>
  <si>
    <t>T2884_MDYSSUW</t>
  </si>
  <si>
    <t>CHAR(5)</t>
  </si>
  <si>
    <t>MDYS-SU-DT</t>
  </si>
  <si>
    <t>T2884_MDYSSUDT</t>
  </si>
  <si>
    <t>MDYS-IR</t>
  </si>
  <si>
    <t>T2884_MDYS_IR</t>
  </si>
  <si>
    <t>MOODYS-I-W</t>
  </si>
  <si>
    <t>T2884_MDYS_I_W</t>
  </si>
  <si>
    <t>MDYS-IR-DT</t>
  </si>
  <si>
    <t>T2884_MDYSIRDT</t>
  </si>
  <si>
    <t>MDYS-LT-FC</t>
  </si>
  <si>
    <t>T2884_MDYSLTFC</t>
  </si>
  <si>
    <t>MOODYS-LFW</t>
  </si>
  <si>
    <t>T2884_MDYS_LFW</t>
  </si>
  <si>
    <t>MDYS-LT-FC-DT</t>
  </si>
  <si>
    <t>T2884_MDLTFCDT</t>
  </si>
  <si>
    <t>MDYS-LT-LC</t>
  </si>
  <si>
    <t>T2884_MDYSLTLC</t>
  </si>
  <si>
    <t>MOODYS-LLW</t>
  </si>
  <si>
    <t>T2884_MDYS_LLW</t>
  </si>
  <si>
    <t>MDYS-LT-LC-DT</t>
  </si>
  <si>
    <t>T2884_MDLTLCDT</t>
  </si>
  <si>
    <t>MDYS-SS</t>
  </si>
  <si>
    <t>T2884_MDYS_SS</t>
  </si>
  <si>
    <t>MOODYS-SSW</t>
  </si>
  <si>
    <t>T2884_MDYS_SSW</t>
  </si>
  <si>
    <t>MDYS-SS-DT</t>
  </si>
  <si>
    <t>T2884_MDYSSSDT</t>
  </si>
  <si>
    <t>MDYS-SI</t>
  </si>
  <si>
    <t>T2884_MDYS_SI</t>
  </si>
  <si>
    <t>MOODYS-S-W</t>
  </si>
  <si>
    <t>T2884_MDYS_S_W</t>
  </si>
  <si>
    <t>MDYS-SI-DT</t>
  </si>
  <si>
    <t>T2884_MDYSSIDT</t>
  </si>
  <si>
    <t>MDYS-OUT</t>
  </si>
  <si>
    <t>T2884_MDYS_OUT</t>
  </si>
  <si>
    <t>MDYS-OUT-DT</t>
  </si>
  <si>
    <t>T2884_MDYOUTDT</t>
  </si>
  <si>
    <t>SP-LT-FC</t>
  </si>
  <si>
    <t>T2884_SP_LT_FC</t>
  </si>
  <si>
    <t>SP-LT-F-W</t>
  </si>
  <si>
    <t>T2884_SP_LTFW</t>
  </si>
  <si>
    <t>SP-LT-FC-DT</t>
  </si>
  <si>
    <t>T2884_SPLTFCDT</t>
  </si>
  <si>
    <t>SP-LT-LC</t>
  </si>
  <si>
    <t>T2884_SP_LT_LC</t>
  </si>
  <si>
    <t>SP-LT-L-W</t>
  </si>
  <si>
    <t>T2884_SP_LTLW</t>
  </si>
  <si>
    <t>SP-LT-LC-DT</t>
  </si>
  <si>
    <t>T2884_SPLTLCDT</t>
  </si>
  <si>
    <t>SP-OUT</t>
  </si>
  <si>
    <t>T2884_SP_OUT</t>
  </si>
  <si>
    <t>SP-OUT-DT</t>
  </si>
  <si>
    <t>T2884_SP_OUTDT</t>
  </si>
  <si>
    <t>FITCH-SU</t>
  </si>
  <si>
    <t>T2884_FIT_SU</t>
  </si>
  <si>
    <t>FITCH-SU-W</t>
  </si>
  <si>
    <t>T2884_FIT_SU_W</t>
  </si>
  <si>
    <t>FITCH-SU-DT</t>
  </si>
  <si>
    <t>T2884_FIT_SUDT</t>
  </si>
  <si>
    <t>FITCH-LT-F</t>
  </si>
  <si>
    <t>T2884_FIT_LT_F</t>
  </si>
  <si>
    <t>FITCH-LT-W</t>
  </si>
  <si>
    <t>T2884_FIT_LT_W</t>
  </si>
  <si>
    <t>FITCH-LT-F-DT</t>
  </si>
  <si>
    <t>T2884_FITLTFDT</t>
  </si>
  <si>
    <t>FITCH-LT-L</t>
  </si>
  <si>
    <t>T2884_FIT_LT_L</t>
  </si>
  <si>
    <t>FITCH-LTLW</t>
  </si>
  <si>
    <t>T2884_FIT_LTLW</t>
  </si>
  <si>
    <t>FITCH-LT-L-DT</t>
  </si>
  <si>
    <t>T2884_FITLTLDT</t>
  </si>
  <si>
    <t>FITCH-OUT</t>
  </si>
  <si>
    <t>T2884_FIT_OUT</t>
  </si>
  <si>
    <t>FITCH-OUT-DT</t>
  </si>
  <si>
    <t>T2884_FITOUTDT</t>
  </si>
  <si>
    <t>SP_ST_LCUR_CREDIT_RT</t>
  </si>
  <si>
    <t>T2884_SPSTLCCR</t>
  </si>
  <si>
    <t>SP_ST_FCUR_CREDIT_RT</t>
  </si>
  <si>
    <t>T2884_SPSTFCCR</t>
  </si>
  <si>
    <t>SP_LT_FCUR_CREDIT_RT</t>
  </si>
  <si>
    <t>T2884_SPLTFCCR</t>
  </si>
  <si>
    <t>SP_LT_LCUR_CREDIT_RT</t>
  </si>
  <si>
    <t>T2884_SPLTLCCR</t>
  </si>
  <si>
    <t>SP_ST_LC_ISR_CR_RT_DT</t>
  </si>
  <si>
    <t>T2884_SPSTLCCD</t>
  </si>
  <si>
    <t>SP_ST_FC_ISR_CR_RT_DT</t>
  </si>
  <si>
    <t>T2884_SPSTFCCD</t>
  </si>
  <si>
    <t>SP_LT_FC_ISR_CR_RT_DT</t>
  </si>
  <si>
    <t>T2884_SPLTFCCD</t>
  </si>
  <si>
    <t>SP_LT_LC_ISR_CR_RT_DT</t>
  </si>
  <si>
    <t>T2884_SPLTLCCD</t>
  </si>
  <si>
    <t>MOODYS_LT_RT</t>
  </si>
  <si>
    <t>T2884_MODYLTRT</t>
  </si>
  <si>
    <t>MOODYS_LT_DT</t>
  </si>
  <si>
    <t>T2884_MODYLTDT</t>
  </si>
  <si>
    <t>MOODYS_ST_DEBT_RATING</t>
  </si>
  <si>
    <t>T2884_MODSTDBR</t>
  </si>
  <si>
    <t>MOODYS_ST_RATING_DATE</t>
  </si>
  <si>
    <t>T2884_MODSTRDT</t>
  </si>
  <si>
    <t>03.04.21</t>
  </si>
  <si>
    <t>Clientes Globales Grupos</t>
  </si>
  <si>
    <t>JM_CLIGLO_GRU</t>
  </si>
  <si>
    <t>T2886_FEOPERAC</t>
  </si>
  <si>
    <t>T2886_ENTLEGAL</t>
  </si>
  <si>
    <t>Nombre largo</t>
  </si>
  <si>
    <t>T2886_NOMLARGO</t>
  </si>
  <si>
    <t>T2886_FECINFO</t>
  </si>
  <si>
    <t>T2886_FACTURAC</t>
  </si>
  <si>
    <t>T2886_INGINTER</t>
  </si>
  <si>
    <t>T2886_INGOTROS</t>
  </si>
  <si>
    <t>T2886_PRIMANET</t>
  </si>
  <si>
    <t>T2886_MRGFINAN</t>
  </si>
  <si>
    <t>T2886_PATRINET</t>
  </si>
  <si>
    <t>T2886_TOTACTIV</t>
  </si>
  <si>
    <t>T2886_CODDIV</t>
  </si>
  <si>
    <t>T2886_UNIDMONE</t>
  </si>
  <si>
    <t>T2886_AUDITOR</t>
  </si>
  <si>
    <t>T2886_NUMEMPLE</t>
  </si>
  <si>
    <t>T2886_PRIORIDA</t>
  </si>
  <si>
    <t>T2886_ENTCOS3I</t>
  </si>
  <si>
    <t>CTRY_GDAT_ISO_CODE_3</t>
  </si>
  <si>
    <t>T2886_CTRYGIC3</t>
  </si>
  <si>
    <t>DEC(3,0)</t>
  </si>
  <si>
    <t>Entity_Matriz</t>
  </si>
  <si>
    <t>T2886_ENTMATRZ</t>
  </si>
  <si>
    <t>03.04.22</t>
  </si>
  <si>
    <t>Clientes Otros Datos</t>
  </si>
  <si>
    <t>JM_CLIENT_OTR</t>
  </si>
  <si>
    <t>T3383_FEOPERAC</t>
  </si>
  <si>
    <t>T3383_S1EMP</t>
  </si>
  <si>
    <t>T3383_IDNUMCLI</t>
  </si>
  <si>
    <t>Indicador Empleado Grupo Santander</t>
  </si>
  <si>
    <t>T3383_IEMGRSAN</t>
  </si>
  <si>
    <t>Indicador de Propiedad en el momento de originarse</t>
  </si>
  <si>
    <t>T3383_INPROPOR</t>
  </si>
  <si>
    <t>IFRS9 Subsegmento Cliente</t>
  </si>
  <si>
    <t>T3383_IFRS9SCL</t>
  </si>
  <si>
    <t>NUTS3</t>
  </si>
  <si>
    <t>T3383_NUTS3</t>
  </si>
  <si>
    <t>Segmento PEC global</t>
  </si>
  <si>
    <t>T3383_SGPECGL</t>
  </si>
  <si>
    <t>Segmento PEC local</t>
  </si>
  <si>
    <t>T3383_SGPECLOC</t>
  </si>
  <si>
    <t>País Nacionalidad cliente</t>
  </si>
  <si>
    <t>T3383_PAIS</t>
  </si>
  <si>
    <t>Segmento FINREP</t>
  </si>
  <si>
    <t>T3383_SGFINREP</t>
  </si>
  <si>
    <t>Flag Universitario</t>
  </si>
  <si>
    <t>T3383_FLGUNIV</t>
  </si>
  <si>
    <t>03.04.23</t>
  </si>
  <si>
    <t>Información financiera Cliente</t>
  </si>
  <si>
    <t>JM_INFINAN_CL</t>
  </si>
  <si>
    <t>T3377_FEOPERAC</t>
  </si>
  <si>
    <t>T3377_S1EMP</t>
  </si>
  <si>
    <t xml:space="preserve">Identificador cliente  </t>
  </si>
  <si>
    <t>T3377_IDNUMCLI</t>
  </si>
  <si>
    <t>EBITDA a las últimas cifras reportadas</t>
  </si>
  <si>
    <t>T3377_EBITDAUL</t>
  </si>
  <si>
    <t>Capital en base a las últimas cifras reportadas</t>
  </si>
  <si>
    <t>T3377_CAPITAL</t>
  </si>
  <si>
    <t>Deuda neta total en base a las cifras comunicadas más recientes</t>
  </si>
  <si>
    <t>T3377_DEUNETTO</t>
  </si>
  <si>
    <t>Facturación anual contraparte (LE)</t>
  </si>
  <si>
    <t>T3377_FACANCON</t>
  </si>
  <si>
    <t>Facturación anual contraparte (LE) en el reporte previo</t>
  </si>
  <si>
    <t>T3377_FACANCOP</t>
  </si>
  <si>
    <t>Gastos de Capital en base a las cifras comunicadas más recientes</t>
  </si>
  <si>
    <t>T3377_GTOCAPIT</t>
  </si>
  <si>
    <t>Gasto de Capital en base a las cifras comunicadas anteriores</t>
  </si>
  <si>
    <t>T3377_GTOCAPAN</t>
  </si>
  <si>
    <t>Modo recobro</t>
  </si>
  <si>
    <t>T3377_MODRECOB</t>
  </si>
  <si>
    <t>Efectivo y equivalentes de efectivo en base a las cifras comunicadas más recientes</t>
  </si>
  <si>
    <t>T3377_EFEQEFEC</t>
  </si>
  <si>
    <t>Efectivo y equivalentes de efectivo en base a las cifras comunicadas anteriores</t>
  </si>
  <si>
    <t>T3377_EFEQEFAN</t>
  </si>
  <si>
    <t>EBITDA en base a las anteriores cifras reportadas</t>
  </si>
  <si>
    <t>T3377_EBTIDAAN</t>
  </si>
  <si>
    <t>Capital en base a las anteriores cifras reportadas</t>
  </si>
  <si>
    <t>T3377_CAPITANT</t>
  </si>
  <si>
    <t>Deuda total en base a las cifras reportadas más recientes</t>
  </si>
  <si>
    <t>T3377_DEUDTOT</t>
  </si>
  <si>
    <t>Crédito en base a las últimas cifras reportadas</t>
  </si>
  <si>
    <t>T3377_CREDITO</t>
  </si>
  <si>
    <t>Crédito en base a las anteriores cifras reportadas</t>
  </si>
  <si>
    <t>T3377_CREDITOA</t>
  </si>
  <si>
    <t>Loan to income (LTI)</t>
  </si>
  <si>
    <t>T3377_LOANTINC</t>
  </si>
  <si>
    <t>Apalancamiento (deuda neta / EBITDA) en base a las últimas cifras reportadas</t>
  </si>
  <si>
    <t>T3377_APALANC</t>
  </si>
  <si>
    <t>Apalancamiento (deuda neta / EBITDA) en base a las anteriores cifras reportadas</t>
  </si>
  <si>
    <t>T3377_APALANCA</t>
  </si>
  <si>
    <t>Ingresos mensuales - otros</t>
  </si>
  <si>
    <t>T3377_INGMENOT</t>
  </si>
  <si>
    <t>Ingresos mensuales - salario</t>
  </si>
  <si>
    <t>T3377_INGMENSL</t>
  </si>
  <si>
    <t>Ingreso neto en base a las más recientes cifras reportadas</t>
  </si>
  <si>
    <t>T3377_INGNETO</t>
  </si>
  <si>
    <t>Ingreso neto en base a las anteriores cifras reportadas</t>
  </si>
  <si>
    <t>T3377_INGNETAN</t>
  </si>
  <si>
    <t>Deuda total en base a las anteriores cifras reportadas</t>
  </si>
  <si>
    <t>T3377_DEUDTOTA</t>
  </si>
  <si>
    <t>Interés total pagado del deudor (sobre el periodo de un año)</t>
  </si>
  <si>
    <t>T3377_INTPGDEU</t>
  </si>
  <si>
    <t>Ratio de apalancamiento según la guia del ECB de las transacciones apalancadas; Deuda total vs EBITDA</t>
  </si>
  <si>
    <t>T3377_RATAPECB</t>
  </si>
  <si>
    <t>Fecha de balance</t>
  </si>
  <si>
    <t>T3377_FECBALAN</t>
  </si>
  <si>
    <t>Grado de riesgo compartido (%)</t>
  </si>
  <si>
    <t>T3377_GRRGOCOM</t>
  </si>
  <si>
    <t>DEC (23,08)</t>
  </si>
  <si>
    <t>Ratio de apalancamiento en base a las anteriores cifras reportadas según la guia del ECB de las transacciones apalancadas; Deuda total vs EBITDA</t>
  </si>
  <si>
    <t>T3377_RATAPANT</t>
  </si>
  <si>
    <t>03.04.24</t>
  </si>
  <si>
    <t>Loan Tapes - Entidad</t>
  </si>
  <si>
    <t>JM_LOATAP_ENT</t>
  </si>
  <si>
    <t>T3375_FEOPERAC</t>
  </si>
  <si>
    <t>T3375_S1EMP</t>
  </si>
  <si>
    <t>T3375_IDNUMCLI</t>
  </si>
  <si>
    <t xml:space="preserve">Unidad Interna
</t>
  </si>
  <si>
    <t>T3375_UNIDINTE</t>
  </si>
  <si>
    <t>LEI</t>
  </si>
  <si>
    <t>T3375_LEI</t>
  </si>
  <si>
    <t xml:space="preserve">Marco Contable
</t>
  </si>
  <si>
    <t>T3375_MARCTBLE</t>
  </si>
  <si>
    <t xml:space="preserve">Flag fallecido
</t>
  </si>
  <si>
    <t>T3375_FLFALLEC</t>
  </si>
  <si>
    <t xml:space="preserve">Estado de Empleo
</t>
  </si>
  <si>
    <t>T3375_ESTEMPLE</t>
  </si>
  <si>
    <t>Flag HGH CDS</t>
  </si>
  <si>
    <t>T3375_FLHGHCDS</t>
  </si>
  <si>
    <t xml:space="preserve">Flag Evento de crédito ISDA
Flag Evento de crédito ISDA
</t>
  </si>
  <si>
    <t>T3375_FLEVISDA</t>
  </si>
  <si>
    <t xml:space="preserve">Flag Estado de no acumulación de intereses
</t>
  </si>
  <si>
    <t>T3375_FLESNACI</t>
  </si>
  <si>
    <t>Flag Originación de quiebra</t>
  </si>
  <si>
    <t>T3375_FLORQUIE</t>
  </si>
  <si>
    <t xml:space="preserve">Flag Solicitud de reestructuración por Distressed
</t>
  </si>
  <si>
    <t>T3375_FLSOLRED</t>
  </si>
  <si>
    <t xml:space="preserve">Flag Solicitud fondos de emergencia
</t>
  </si>
  <si>
    <t>T3375_FLSOLFEM</t>
  </si>
  <si>
    <t xml:space="preserve">Flag propiedad del patrocinador
</t>
  </si>
  <si>
    <t>T3375_FLPRPATR</t>
  </si>
  <si>
    <t xml:space="preserve">Tipo de deudor SPV
</t>
  </si>
  <si>
    <t>T3375_TIPDESPV</t>
  </si>
  <si>
    <t xml:space="preserve">Capacidad de reembolso de la deuda senior garantizada según la guía del BCE sobre transacciones apalancadas
</t>
  </si>
  <si>
    <t>T3375_CAPREEMB</t>
  </si>
  <si>
    <t>Capacidad de pago de la deuda de la deuda total según la Guía del BCE sobre transacciones apalancadas</t>
  </si>
  <si>
    <t>T3375_CAPPAGO</t>
  </si>
  <si>
    <t xml:space="preserve">Ratio de cobertura del servicio de débito
</t>
  </si>
  <si>
    <t>T3375_RATCOBER</t>
  </si>
  <si>
    <t>Índice de cobertura del servicio de débito según las cifras reportadas más recientes</t>
  </si>
  <si>
    <t>T3375_INDCOBER</t>
  </si>
  <si>
    <t>03.04.25</t>
  </si>
  <si>
    <t>Riesgo climático - Cliente</t>
  </si>
  <si>
    <t>JM_RGOCLIM_CL</t>
  </si>
  <si>
    <t>T3371_FEOPERAC</t>
  </si>
  <si>
    <t>T3371_S1EMP</t>
  </si>
  <si>
    <t>T3371_IDNUMCLI</t>
  </si>
  <si>
    <t>Flag de aplicabilidad de NFRD</t>
  </si>
  <si>
    <t>T3371_FLAPNFRD</t>
  </si>
  <si>
    <t>GHG emisiones financiadas: scope 1</t>
  </si>
  <si>
    <t>T3371_GHGSCOP1</t>
  </si>
  <si>
    <t>GHG emisiones financiadas: scope 2</t>
  </si>
  <si>
    <t>T3371_GHGSCOP2</t>
  </si>
  <si>
    <t>GHG emisiones financiadas: scope 3</t>
  </si>
  <si>
    <t>T3371_GHGSCOP3</t>
  </si>
  <si>
    <t>Flag GHG Emisiones financiadas: scope 1 - estimada</t>
  </si>
  <si>
    <t>T3371_FGHGSCO1</t>
  </si>
  <si>
    <t>Flag GHG Emisiones financiadas: scope 2 - estimada</t>
  </si>
  <si>
    <t>T3371_FGHGSCO2</t>
  </si>
  <si>
    <t>Flag GHG Emisiones financiadas: scope 3 - estimada</t>
  </si>
  <si>
    <t>T3371_FGHGSCO3</t>
  </si>
  <si>
    <t>Balance deuda individual</t>
  </si>
  <si>
    <t>T3371_BALDEUIN</t>
  </si>
  <si>
    <t>Toneladas medias de CO2 por pasejero-km</t>
  </si>
  <si>
    <t>T3371_TCO2PJKM</t>
  </si>
  <si>
    <t>Proporción media de tecnologías con alto contenido de carbono (ICE)</t>
  </si>
  <si>
    <t>T3371_PRTECCAR</t>
  </si>
  <si>
    <t xml:space="preserve">Toneladas medias de CO2 por MWh </t>
  </si>
  <si>
    <t>T3371_TCO2MWH</t>
  </si>
  <si>
    <t>Proporción media de tecnologías con alto contenido de carbono (petróleo, gas, carbón)</t>
  </si>
  <si>
    <t>T3371_PRTECCPG</t>
  </si>
  <si>
    <t>Toneladas medias pf CO2 por GJ</t>
  </si>
  <si>
    <t>T3371_TCO2GJ</t>
  </si>
  <si>
    <t>Toneladas medias de CO2 por tonelada de salida</t>
  </si>
  <si>
    <t>T3371_TCO2TSAL</t>
  </si>
  <si>
    <t>Cuota media de combustibles de aviación sostenibles</t>
  </si>
  <si>
    <t>T3371_CUOCAVIS</t>
  </si>
  <si>
    <t xml:space="preserve">Media gCO₂/MJ </t>
  </si>
  <si>
    <t>T3371_MDGCO2MJ</t>
  </si>
  <si>
    <t>03.05.05</t>
  </si>
  <si>
    <t>Garantías Contrato BIS</t>
  </si>
  <si>
    <t>JM_GARANT_CTO</t>
  </si>
  <si>
    <t>G4124_FEOPERAC</t>
  </si>
  <si>
    <t>G4124_S1EMP</t>
  </si>
  <si>
    <t>G4124_CONTRA1</t>
  </si>
  <si>
    <t>Tipo de garantía</t>
  </si>
  <si>
    <t>G4124_TIP_GARA</t>
  </si>
  <si>
    <t>Identificador de la garantía</t>
  </si>
  <si>
    <t>G4124_BIENGAR1</t>
  </si>
  <si>
    <t>Fecha de inicio de la relación</t>
  </si>
  <si>
    <t>G4124_FECINI</t>
  </si>
  <si>
    <t>Fecha de baja de la relación</t>
  </si>
  <si>
    <t>G4124_FECBAJA</t>
  </si>
  <si>
    <t>Fecha de vencimiento</t>
  </si>
  <si>
    <t>G4124_FECVCTO</t>
  </si>
  <si>
    <t>Código de garantía</t>
  </si>
  <si>
    <t>G4124_COD_GAR</t>
  </si>
  <si>
    <t>Código de Garantía Local</t>
  </si>
  <si>
    <t>G4124_COD_GAR2</t>
  </si>
  <si>
    <t>Tipo Instrumentación</t>
  </si>
  <si>
    <t>G4124_TIPO_INS</t>
  </si>
  <si>
    <t>Pignoración en regla</t>
  </si>
  <si>
    <t>G4124_IND_PIGN</t>
  </si>
  <si>
    <t>Tipo Aval</t>
  </si>
  <si>
    <t>G4124_TIP_AVAL</t>
  </si>
  <si>
    <t>Tipo Cobertura</t>
  </si>
  <si>
    <t>G4124_TIP_COBE</t>
  </si>
  <si>
    <t>Estado Garantía</t>
  </si>
  <si>
    <t>G4124_EST_GARA</t>
  </si>
  <si>
    <t>Porcentaje de Cobertura Actual</t>
  </si>
  <si>
    <t>G4124_PORCOBER</t>
  </si>
  <si>
    <t>Porcentaje de Cobertura Inicial</t>
  </si>
  <si>
    <t>G4124_COB_INIC</t>
  </si>
  <si>
    <t>Nominal Cobertura inicial</t>
  </si>
  <si>
    <t>G4124_IMPT_NOM</t>
  </si>
  <si>
    <t>Nominal Cobertura Actual</t>
  </si>
  <si>
    <t>G4124_IMP_ACTU</t>
  </si>
  <si>
    <t>Tipo de Comfort Letter</t>
  </si>
  <si>
    <t>G4124_COMF_LET</t>
  </si>
  <si>
    <t>G4124_FECULTMO</t>
  </si>
  <si>
    <t>Número de Asegurados</t>
  </si>
  <si>
    <t xml:space="preserve">G4124_NUM_ASEG                 </t>
  </si>
  <si>
    <t xml:space="preserve">G4124_CODDIV                   </t>
  </si>
  <si>
    <t>Identificador del Cliente</t>
  </si>
  <si>
    <t>G4124_IDNUMCLI</t>
  </si>
  <si>
    <t>Identificador de Bloqueo</t>
  </si>
  <si>
    <t>G4124_INDBLO</t>
  </si>
  <si>
    <t>Identificador de Riesgo Soberano</t>
  </si>
  <si>
    <t>G4124_INDRGOSB</t>
  </si>
  <si>
    <t>Identificador de Cobertura Perfecta</t>
  </si>
  <si>
    <t>G4124_INDCOBPF</t>
  </si>
  <si>
    <t>Validación de Asesoría Jurídica</t>
  </si>
  <si>
    <t>G4124_VALASEJU</t>
  </si>
  <si>
    <t>Porcentaje de reparto</t>
  </si>
  <si>
    <t>G4124_REPAPORC</t>
  </si>
  <si>
    <t>Orden de prelación de una garantía</t>
  </si>
  <si>
    <t>G4124_ORDAPGAR</t>
  </si>
  <si>
    <t>Rango hipotecario</t>
  </si>
  <si>
    <t>G4124_RANGOHIP</t>
  </si>
  <si>
    <t>N-ésimo impago</t>
  </si>
  <si>
    <t>G4124_N_IMPAGO</t>
  </si>
  <si>
    <t>Indicador de elegibilidad</t>
  </si>
  <si>
    <t>G4124_INDELEG</t>
  </si>
  <si>
    <t>03.05.06</t>
  </si>
  <si>
    <t>Garantía Real BIS</t>
  </si>
  <si>
    <t>JM_GARA_REAL</t>
  </si>
  <si>
    <t>G4091_FEOPERAC</t>
  </si>
  <si>
    <t>G4091_S1EMP</t>
  </si>
  <si>
    <t>G4091_BIENGAR1</t>
  </si>
  <si>
    <t>G4091_CONTRA1</t>
  </si>
  <si>
    <t>G4091_ID_PROD</t>
  </si>
  <si>
    <t>Código Tipo Bien</t>
  </si>
  <si>
    <t>G4091_COD_BIEN</t>
  </si>
  <si>
    <t>Banco Custodio</t>
  </si>
  <si>
    <t>G4091_BCO_CUST</t>
  </si>
  <si>
    <t>Indicador de Índice Principal</t>
  </si>
  <si>
    <t>G4091_BSINDI1</t>
  </si>
  <si>
    <t>Marca cotización</t>
  </si>
  <si>
    <t>G4091_INDCOTIZ</t>
  </si>
  <si>
    <t>Tipo Deuda Pública</t>
  </si>
  <si>
    <t>G4091_DEUDAPUB</t>
  </si>
  <si>
    <t>Indicador de deuda pública</t>
  </si>
  <si>
    <t>G4091_INDDEUDA</t>
  </si>
  <si>
    <t>Tipo de frecuencia de Cotización o valoración</t>
  </si>
  <si>
    <t>G4091_TIPFRECU</t>
  </si>
  <si>
    <t>Plazo de frecuencia de cotización o valoración</t>
  </si>
  <si>
    <t>G4091_FRECPLAZ</t>
  </si>
  <si>
    <t>Indicador de Afecto explotación</t>
  </si>
  <si>
    <t>G4091_DKAFECTO</t>
  </si>
  <si>
    <t>Clase Bien</t>
  </si>
  <si>
    <t>G4091_CLA_BIEN</t>
  </si>
  <si>
    <t>G4091_ID_PAIS</t>
  </si>
  <si>
    <t>Orden Hipoteca</t>
  </si>
  <si>
    <t>G4091_ORD_HIPO</t>
  </si>
  <si>
    <t>G4091_CODIVISA</t>
  </si>
  <si>
    <t>Fecha vencimiento contrato garantizador</t>
  </si>
  <si>
    <t>G4091_FCHAVCTO</t>
  </si>
  <si>
    <t>Identificación registral</t>
  </si>
  <si>
    <t>G4091_INF_REGI</t>
  </si>
  <si>
    <t>G4091_IDEMIS</t>
  </si>
  <si>
    <t>G4091_CODIDPER</t>
  </si>
  <si>
    <t>Identificador de persona</t>
  </si>
  <si>
    <t>G4091_IDNUMCLI</t>
  </si>
  <si>
    <t>Plazo Emisión</t>
  </si>
  <si>
    <t>G4091_EMIS_PZO</t>
  </si>
  <si>
    <t>Mercado</t>
  </si>
  <si>
    <t>G4091_CODMERCD</t>
  </si>
  <si>
    <t>Número de Títulos</t>
  </si>
  <si>
    <t>G4091_NUM_TITU</t>
  </si>
  <si>
    <t>Índice Referencia</t>
  </si>
  <si>
    <t>G4091_INDICEA1</t>
  </si>
  <si>
    <t>Tipo Interés</t>
  </si>
  <si>
    <t>G4091_TIP_INTE</t>
  </si>
  <si>
    <t>Compañía Aseguradora</t>
  </si>
  <si>
    <t>G4091_CODCOMPA</t>
  </si>
  <si>
    <t>Volatilidad</t>
  </si>
  <si>
    <t>G4091_GRADOCOB</t>
  </si>
  <si>
    <t>Número de documento</t>
  </si>
  <si>
    <t>G4091_NUM_DOC</t>
  </si>
  <si>
    <t>Indicador de Documento Aceptado</t>
  </si>
  <si>
    <t>G4091_INDACEPT</t>
  </si>
  <si>
    <t>Indicador de Documento Domiciliado</t>
  </si>
  <si>
    <t>G4091_INDDDOMI</t>
  </si>
  <si>
    <t>Indicador de Bloqueado</t>
  </si>
  <si>
    <t>G4091_INDBLO</t>
  </si>
  <si>
    <t>Cargas Asociadas a las Garantías</t>
  </si>
  <si>
    <t>G4091_IMCARG</t>
  </si>
  <si>
    <t>G4091_FECULTMO</t>
  </si>
  <si>
    <t>Código postal</t>
  </si>
  <si>
    <t>G4091_CODPOSGR</t>
  </si>
  <si>
    <t>Indicador de ayuda publica</t>
  </si>
  <si>
    <t>G4091_INAYUDPB</t>
  </si>
  <si>
    <t>G4091_TIP_HIPO</t>
  </si>
  <si>
    <t xml:space="preserve">Periodo de liquidación de la garantía real </t>
  </si>
  <si>
    <t>G4091_PERLIQGR</t>
  </si>
  <si>
    <t>DEC(09,02)</t>
  </si>
  <si>
    <t>03.05.07</t>
  </si>
  <si>
    <t>Valoración de Garantías BIS</t>
  </si>
  <si>
    <t>JM_VAL_GARA</t>
  </si>
  <si>
    <t>G4134_FEOPERAC</t>
  </si>
  <si>
    <t>G4134_S1EMP</t>
  </si>
  <si>
    <t>G4134_BIENGAR1</t>
  </si>
  <si>
    <t>Fecha de Valoración</t>
  </si>
  <si>
    <t>G4134_FECHVALR</t>
  </si>
  <si>
    <t>Entidad que valora</t>
  </si>
  <si>
    <t>G4134_NOMENTI</t>
  </si>
  <si>
    <t>Importe Garantía</t>
  </si>
  <si>
    <t>G4134_IMGARANT</t>
  </si>
  <si>
    <t>G4134_FECULTMO</t>
  </si>
  <si>
    <t>Tipo de Valoración</t>
  </si>
  <si>
    <t>G4134_TIPVALN</t>
  </si>
  <si>
    <t>G4134_TIP_GARA</t>
  </si>
  <si>
    <t>G4134_CODDIV</t>
  </si>
  <si>
    <t>03.05.16</t>
  </si>
  <si>
    <t>Aprovisionamiento Externo de Parámetros - Garantías</t>
  </si>
  <si>
    <t>JM_PARAM_GAR</t>
  </si>
  <si>
    <t>H0863_FEOPERAC</t>
  </si>
  <si>
    <t>H0863_S1EMP</t>
  </si>
  <si>
    <t>Identificador de garantía</t>
  </si>
  <si>
    <t>H0863_BIENGAR1</t>
  </si>
  <si>
    <t>H0863_CONTRA1</t>
  </si>
  <si>
    <t>H0863_RGOPARM</t>
  </si>
  <si>
    <t>H0863_NUMCRITE</t>
  </si>
  <si>
    <t>H0863_VALASIG</t>
  </si>
  <si>
    <t>H0863_IDSISTE</t>
  </si>
  <si>
    <t>H0863_FECALCUL</t>
  </si>
  <si>
    <t>H0863_MODPARAM</t>
  </si>
  <si>
    <t>H0863_VERSMODE</t>
  </si>
  <si>
    <t>H0863_FECULTMO</t>
  </si>
  <si>
    <t>03.05.17</t>
  </si>
  <si>
    <t>Adicional Garantías Consumer</t>
  </si>
  <si>
    <t>JM_AD_GAR_CON</t>
  </si>
  <si>
    <t>O2690_FEOPERAC</t>
  </si>
  <si>
    <t>O2690_S1EMP</t>
  </si>
  <si>
    <t>O2690_BIENGAR1</t>
  </si>
  <si>
    <t>O2690_CONTRA1</t>
  </si>
  <si>
    <t>Fecha de construcción</t>
  </si>
  <si>
    <t>O2690_FECONSTR</t>
  </si>
  <si>
    <t>Fecha de registro</t>
  </si>
  <si>
    <t>O2690_FEREGIST</t>
  </si>
  <si>
    <t>Código de zona</t>
  </si>
  <si>
    <t>O2690_COZONA</t>
  </si>
  <si>
    <t>Ratio de recuperación por venta privada</t>
  </si>
  <si>
    <t>O2690_RRVENTAP</t>
  </si>
  <si>
    <t>Ratio de recuperación por venta forzada</t>
  </si>
  <si>
    <t>O2690_RRVENTAF</t>
  </si>
  <si>
    <t>Media de recuperación por venta</t>
  </si>
  <si>
    <t>O2690_MRVENTA</t>
  </si>
  <si>
    <t>Periodo de tiempo medio que se tarda en vender de forma privada</t>
  </si>
  <si>
    <t>O2690_PTVENTAP</t>
  </si>
  <si>
    <t>Periodo de tiempo medio que se tarda en vender de forma forzada</t>
  </si>
  <si>
    <t>O2690_PTVENTAF</t>
  </si>
  <si>
    <t>Promedio de Periodo de tiempo medio que se tarda en vender</t>
  </si>
  <si>
    <t>O2690_PPTVENTA</t>
  </si>
  <si>
    <t>Poder adquisitivo de la zona</t>
  </si>
  <si>
    <t>O2690_PODERADQ</t>
  </si>
  <si>
    <t>Prelación de carga sobre el bien</t>
  </si>
  <si>
    <t>O2690_PRELACAR</t>
  </si>
  <si>
    <t>Marca del vehículo</t>
  </si>
  <si>
    <t>O2690_MARC_VEH</t>
  </si>
  <si>
    <t>Tipo de vehículo</t>
  </si>
  <si>
    <t>O2690_TIPO_VEH</t>
  </si>
  <si>
    <t>Identificador de socio</t>
  </si>
  <si>
    <t>O2690_ID_SOCIO</t>
  </si>
  <si>
    <t>Flag reimportación vehículo</t>
  </si>
  <si>
    <t>O2690_INREIVEH</t>
  </si>
  <si>
    <t>Tipo de negocio</t>
  </si>
  <si>
    <t>O2690_TIP_NEG</t>
  </si>
  <si>
    <t>Año del modelo del vehículo</t>
  </si>
  <si>
    <t>O2690_ANOMODVE</t>
  </si>
  <si>
    <t>03.05.18</t>
  </si>
  <si>
    <t>Adicional Garantías Reales</t>
  </si>
  <si>
    <t>JM_AD_GAR_REA</t>
  </si>
  <si>
    <t>O2813_FEOPERAC</t>
  </si>
  <si>
    <t>O2813_S1EMP</t>
  </si>
  <si>
    <t>O2813_BIENGAR1</t>
  </si>
  <si>
    <t>Ubicación física</t>
  </si>
  <si>
    <t>O2813_UBICAFIS</t>
  </si>
  <si>
    <t>03.05.19</t>
  </si>
  <si>
    <t>Garantía Real Otros</t>
  </si>
  <si>
    <t>JM_GAREAL_OT</t>
  </si>
  <si>
    <t>T3379_FEOPERAC</t>
  </si>
  <si>
    <t>T3379_S1EMP</t>
  </si>
  <si>
    <t>T3379_BIENGAR1</t>
  </si>
  <si>
    <t>T3379_NUTS3</t>
  </si>
  <si>
    <t>Etiqueta energética estimada</t>
  </si>
  <si>
    <t>T3379_ETENERES</t>
  </si>
  <si>
    <t>KWH estimados</t>
  </si>
  <si>
    <t>T3379_KWHESTIM</t>
  </si>
  <si>
    <t>Etiqueta energética real</t>
  </si>
  <si>
    <t>T3379_ETENEREA</t>
  </si>
  <si>
    <t>KWH reales</t>
  </si>
  <si>
    <t>T3379_KWHREAL</t>
  </si>
  <si>
    <t>03.05.20</t>
  </si>
  <si>
    <t>Loan Tapes - Protección</t>
  </si>
  <si>
    <t>JM_LOATAP_PRT</t>
  </si>
  <si>
    <t>T3373_FEOPERAC</t>
  </si>
  <si>
    <t>T3373_S1EMP</t>
  </si>
  <si>
    <t>T3373_BIENGAR1</t>
  </si>
  <si>
    <t>Dirección (calle)</t>
  </si>
  <si>
    <t>T3373_DIRECC</t>
  </si>
  <si>
    <t>CHAR(00255)</t>
  </si>
  <si>
    <t>Bienes raíces de la ciudad</t>
  </si>
  <si>
    <t>T3373_BIENRACI</t>
  </si>
  <si>
    <t>Haircut aplicado por el banco al valor de mercado</t>
  </si>
  <si>
    <t>T3373_HAIRCUT</t>
  </si>
  <si>
    <t>Valor de venta forzosa</t>
  </si>
  <si>
    <t>T3373_VALVENFO</t>
  </si>
  <si>
    <t>Fecha del primer uso del edificio</t>
  </si>
  <si>
    <t>T3373_FECPRUSO</t>
  </si>
  <si>
    <t>Gastos operativos anuales actuales</t>
  </si>
  <si>
    <t>T3373_GTOPANAC</t>
  </si>
  <si>
    <t>Ingreso anual actual</t>
  </si>
  <si>
    <t>T3373_INGANACT</t>
  </si>
  <si>
    <t>03.05.21</t>
  </si>
  <si>
    <t>Seguros Hipotecarios</t>
  </si>
  <si>
    <t>JM_SEG_HIPOT</t>
  </si>
  <si>
    <t>T3367_FEOPERAC</t>
  </si>
  <si>
    <t>T3367_S1EMP</t>
  </si>
  <si>
    <t>Identificador Garantía</t>
  </si>
  <si>
    <t>T3367_BIENGAR1</t>
  </si>
  <si>
    <t>Poliza</t>
  </si>
  <si>
    <t>T3367_POLIZA</t>
  </si>
  <si>
    <t>CHAR(00050)</t>
  </si>
  <si>
    <t>Tipo de cobertura</t>
  </si>
  <si>
    <t>T3367_TIPCOBER</t>
  </si>
  <si>
    <t>Capital Asegurado</t>
  </si>
  <si>
    <t>T3367_CAPASEG</t>
  </si>
  <si>
    <t>Fecha Contratación</t>
  </si>
  <si>
    <t>T3367_FECCONTR</t>
  </si>
  <si>
    <t>Fecha vencimiento</t>
  </si>
  <si>
    <t>T3367_FECVENTO</t>
  </si>
  <si>
    <t>Riesgos físicos asegurados</t>
  </si>
  <si>
    <t>T3367_RGOFISAS</t>
  </si>
  <si>
    <t>Indicador seguro interno</t>
  </si>
  <si>
    <t>T3367_INDSEGIN</t>
  </si>
  <si>
    <t>03.05.22</t>
  </si>
  <si>
    <t>Riesgo climático - Colateral</t>
  </si>
  <si>
    <t>JM_RGOCLIM_CO</t>
  </si>
  <si>
    <t>T3369_FEOPERAC</t>
  </si>
  <si>
    <t>T3369_S1EMP</t>
  </si>
  <si>
    <t>T3369_BIENGAR1</t>
  </si>
  <si>
    <t>Uso de la propiedad</t>
  </si>
  <si>
    <t>T3369_USOPROP</t>
  </si>
  <si>
    <t>Superfice utilice</t>
  </si>
  <si>
    <t>T3369_SUPUTIL</t>
  </si>
  <si>
    <t>Tipo de propiedad</t>
  </si>
  <si>
    <t>T3369_TIPPROP</t>
  </si>
  <si>
    <t>Tipo de combustible</t>
  </si>
  <si>
    <t>T3369_TIPCOMB</t>
  </si>
  <si>
    <t>Tipo de vehiculo</t>
  </si>
  <si>
    <t>T3369_TIPVEHIC</t>
  </si>
  <si>
    <t>Emisiones medias de carbono</t>
  </si>
  <si>
    <t>T3369_EMISMEDC</t>
  </si>
  <si>
    <t>Está el edificio dentro de los top 15% de PED?</t>
  </si>
  <si>
    <t>T3369_FLGEDIF</t>
  </si>
  <si>
    <t>Será la demanda de energia primaria (PED) un 10 % menor que el umbral fijado para los edificios de de energía casi nula (NZEB)?</t>
  </si>
  <si>
    <t>T3369_FLGDEMAN</t>
  </si>
  <si>
    <t>La renovación conducirá a una reducción de la demanda energética primaria (PED) de al menos un  30 % ?</t>
  </si>
  <si>
    <t>T3369_FLGRENOV</t>
  </si>
  <si>
    <t>Es la renovación una renovación importante?</t>
  </si>
  <si>
    <t>T3369_FLGIMPRE</t>
  </si>
  <si>
    <t>Se cumplen los umbrales de la Taxonomia Auto de la EU?</t>
  </si>
  <si>
    <t>T3369_FLGUMTAX</t>
  </si>
  <si>
    <t>Modelo del vehículo</t>
  </si>
  <si>
    <t>T3369_MODVEHIC</t>
  </si>
  <si>
    <t>03.06.01</t>
  </si>
  <si>
    <t>Calificación Emisor</t>
  </si>
  <si>
    <t>JM_CALIF_EMISOR</t>
  </si>
  <si>
    <t>E0664_S1EMP</t>
  </si>
  <si>
    <t>E0664_ID_PAIS</t>
  </si>
  <si>
    <t>Identificador de Cliente</t>
  </si>
  <si>
    <t>E0664_IDNUMCLI</t>
  </si>
  <si>
    <t>Tipo de Calificación</t>
  </si>
  <si>
    <t>E0664_TIPMODEL</t>
  </si>
  <si>
    <t>Fecha Desde</t>
  </si>
  <si>
    <t>E0664_FECINI</t>
  </si>
  <si>
    <t>Agencia</t>
  </si>
  <si>
    <t>E0664_COD_AGEN</t>
  </si>
  <si>
    <t>Fecha Hasta</t>
  </si>
  <si>
    <t>E0664_FECHASTA</t>
  </si>
  <si>
    <t xml:space="preserve">Calificación </t>
  </si>
  <si>
    <t>E0664_CALIFMAE</t>
  </si>
  <si>
    <t>Indicador Soberano</t>
  </si>
  <si>
    <t>E0664_INDICADR</t>
  </si>
  <si>
    <t>E0664_FECULTMO</t>
  </si>
  <si>
    <t>Fecha de calificación</t>
  </si>
  <si>
    <t>E0664_FECCALI</t>
  </si>
  <si>
    <t>Indicador Outlook</t>
  </si>
  <si>
    <t>E0664_OUTLOOK</t>
  </si>
  <si>
    <t>03.06.02</t>
  </si>
  <si>
    <t>Calificación para riesgo crossborder</t>
  </si>
  <si>
    <t>JM_CROSSBORDER</t>
  </si>
  <si>
    <t>E1962_S1EMP</t>
  </si>
  <si>
    <t>E1962_ID_PAIS</t>
  </si>
  <si>
    <t>E1962_COD_AGEN</t>
  </si>
  <si>
    <t>E1962_FECINI</t>
  </si>
  <si>
    <t>E1962_FECHASTA</t>
  </si>
  <si>
    <t>E1962_CALIFMA3</t>
  </si>
  <si>
    <t>E1962_FECULTMO</t>
  </si>
  <si>
    <t>03.06.03</t>
  </si>
  <si>
    <t>Calificación Emisión</t>
  </si>
  <si>
    <t>JM_CAL_EMISION</t>
  </si>
  <si>
    <t>E0665_S1EMP</t>
  </si>
  <si>
    <t>E0665_ID_EMISI</t>
  </si>
  <si>
    <t>E0665_COD_EMIS</t>
  </si>
  <si>
    <t>E0665_COD_AGEN</t>
  </si>
  <si>
    <t xml:space="preserve">Plazo </t>
  </si>
  <si>
    <t>E0665_CCODPLZ</t>
  </si>
  <si>
    <t>E0665_FECCALI</t>
  </si>
  <si>
    <t>Código de Mercado</t>
  </si>
  <si>
    <t>E0665_CODMERCD</t>
  </si>
  <si>
    <t>E0665_FECHASTA</t>
  </si>
  <si>
    <t>Calificación</t>
  </si>
  <si>
    <t>E0665_CALIFMAE</t>
  </si>
  <si>
    <t>E0665_FECULTMO</t>
  </si>
  <si>
    <t>03.06.04</t>
  </si>
  <si>
    <t>Equivalencia Maestra - Calificaciones externas</t>
  </si>
  <si>
    <t>Agencia externa</t>
  </si>
  <si>
    <t>JM_CALIF_EXTER</t>
  </si>
  <si>
    <t>E0666_COD_AGEN</t>
  </si>
  <si>
    <t>Calificación agencia externa</t>
  </si>
  <si>
    <t>E0666_CALIFMAE</t>
  </si>
  <si>
    <t>Plazo</t>
  </si>
  <si>
    <t>E0666_CCODPLZ</t>
  </si>
  <si>
    <t>Fecha Inicio Escala externa</t>
  </si>
  <si>
    <t>E0666_FECINI</t>
  </si>
  <si>
    <t>E0666_FECDESDE</t>
  </si>
  <si>
    <t>Agencia Maestra</t>
  </si>
  <si>
    <t>E0666_AGEN_MAE</t>
  </si>
  <si>
    <t>Fecha inicio Escala Maestra</t>
  </si>
  <si>
    <t>E0666_FECALMAE</t>
  </si>
  <si>
    <t>Calificación Maestra</t>
  </si>
  <si>
    <t>E0666_CALIFMA2</t>
  </si>
  <si>
    <t>E0666_FECHASTA</t>
  </si>
  <si>
    <t>E0666_FECULTMO</t>
  </si>
  <si>
    <t>03.06.05</t>
  </si>
  <si>
    <t>Equivalencia Maestra - Calificaciones internas</t>
  </si>
  <si>
    <t>JM_CALIF_INTER</t>
  </si>
  <si>
    <t>E0667_S1EMP</t>
  </si>
  <si>
    <t>E0667_TIPMODEL</t>
  </si>
  <si>
    <t>E0667_IDMODEL</t>
  </si>
  <si>
    <t>Scoring/PD desde</t>
  </si>
  <si>
    <t>E0667_IDSCORI3</t>
  </si>
  <si>
    <t>DEC (13,09)</t>
  </si>
  <si>
    <t>Scoring/PD hasta</t>
  </si>
  <si>
    <t>E0667_IDSCORI4</t>
  </si>
  <si>
    <t>Fecha Inicio Escala Maestra</t>
  </si>
  <si>
    <t>E0667_FECINI</t>
  </si>
  <si>
    <t>E0667_FECDESDE</t>
  </si>
  <si>
    <t>E0667_TIPMODE2</t>
  </si>
  <si>
    <t>E0667_CALIFMAE</t>
  </si>
  <si>
    <t>E0667_FECHASTA</t>
  </si>
  <si>
    <t>E0667_FECULTMO</t>
  </si>
  <si>
    <t>03.06.06</t>
  </si>
  <si>
    <t>Escala Agencia</t>
  </si>
  <si>
    <t>JM_ESCALA_AGENC</t>
  </si>
  <si>
    <t>E0668_COD_AGEN</t>
  </si>
  <si>
    <t>E0668_CALIFMAE</t>
  </si>
  <si>
    <t>Fecha Inicio Escala</t>
  </si>
  <si>
    <t>E0668_FECINI</t>
  </si>
  <si>
    <t>E0668_CCODPLZ</t>
  </si>
  <si>
    <t>PD</t>
  </si>
  <si>
    <t>E0668_INDPD</t>
  </si>
  <si>
    <t>E0668_FECHASTA</t>
  </si>
  <si>
    <t>Descripción</t>
  </si>
  <si>
    <t>E0668_DESCRI80</t>
  </si>
  <si>
    <t>E0668_FECULTMO</t>
  </si>
  <si>
    <t>03.06.07</t>
  </si>
  <si>
    <t>Calificación Externa Grupo Económico</t>
  </si>
  <si>
    <t>JM_CAL_EX_GR</t>
  </si>
  <si>
    <t>E9961_S1EMP</t>
  </si>
  <si>
    <t>E9961_DCODGRUP</t>
  </si>
  <si>
    <t>E9961_COD_AGEN</t>
  </si>
  <si>
    <t>E9961_TIPMODEL</t>
  </si>
  <si>
    <t>Fecha calificación</t>
  </si>
  <si>
    <t>E9961_FECDESDE</t>
  </si>
  <si>
    <t>E9961_ID_PAIS</t>
  </si>
  <si>
    <t>E9961_FECHASTA</t>
  </si>
  <si>
    <t>E9961_CALIFMAE</t>
  </si>
  <si>
    <t>E9961_FECULTMO</t>
  </si>
  <si>
    <t>03.06.08</t>
  </si>
  <si>
    <t>Equivalencia Maestra - Tramos</t>
  </si>
  <si>
    <t>JM_MAEST_TRAMOS</t>
  </si>
  <si>
    <t>O2816_AGEN_MAE</t>
  </si>
  <si>
    <t>O2816_CALIFMAE</t>
  </si>
  <si>
    <t>O2816_CCODPLZ</t>
  </si>
  <si>
    <t>O2816_FECDESDE</t>
  </si>
  <si>
    <t>Tramo</t>
  </si>
  <si>
    <t>O2816_ID_TRAMO</t>
  </si>
  <si>
    <t>O2816_FECHASTA</t>
  </si>
  <si>
    <t>O2816_FECULTMO</t>
  </si>
  <si>
    <t>03.06.09</t>
  </si>
  <si>
    <t>Tramo - Ponderación</t>
  </si>
  <si>
    <t>JM_TRAMO_POND</t>
  </si>
  <si>
    <t>O2817_CCODPLZ</t>
  </si>
  <si>
    <t>Tramo (baremo)</t>
  </si>
  <si>
    <t>O2817_ID_TRAMO</t>
  </si>
  <si>
    <t>O2817_FECDESDE</t>
  </si>
  <si>
    <t>RW</t>
  </si>
  <si>
    <t>O2817_RW</t>
  </si>
  <si>
    <t>O2817_FECHASTA</t>
  </si>
  <si>
    <t>O2817_FECULTMO</t>
  </si>
  <si>
    <t>03.06.10</t>
  </si>
  <si>
    <t>Calificación externa del Cliente</t>
  </si>
  <si>
    <t>KGL</t>
  </si>
  <si>
    <t>JM_CAL_EXT_CLI</t>
  </si>
  <si>
    <t>O2818_KGL</t>
  </si>
  <si>
    <t>CHAR(00009)</t>
  </si>
  <si>
    <t>O2818_COD_AGEN</t>
  </si>
  <si>
    <t>O2818_FECDESDE</t>
  </si>
  <si>
    <t>O2818_CCODPLZ</t>
  </si>
  <si>
    <t>O2818_CALIFMAE</t>
  </si>
  <si>
    <t>O2818_FECHASTA</t>
  </si>
  <si>
    <t>O2818_FECULTMO</t>
  </si>
  <si>
    <t>03.06.11</t>
  </si>
  <si>
    <t>Calificación Externa País</t>
  </si>
  <si>
    <t>Fecha Operación</t>
  </si>
  <si>
    <t>JM_CALIF_PAIS</t>
  </si>
  <si>
    <t>R9413_FEOPERAC</t>
  </si>
  <si>
    <t>R9413_ID_PAIS</t>
  </si>
  <si>
    <t>R9413_COD_AGEN</t>
  </si>
  <si>
    <t>R9413_CCODPLZ</t>
  </si>
  <si>
    <t>Tipo de moneda</t>
  </si>
  <si>
    <t>R9413_TIPMONED</t>
  </si>
  <si>
    <t>11.2</t>
  </si>
  <si>
    <t>R9413_FECCALIF</t>
  </si>
  <si>
    <t>R9413_CALIFMAE</t>
  </si>
  <si>
    <t>03.06.12</t>
  </si>
  <si>
    <t>Calificación Externa Cliente Local</t>
  </si>
  <si>
    <t>JM_CAL_EXT_CL</t>
  </si>
  <si>
    <t>R9415_FEOPERAC</t>
  </si>
  <si>
    <t>R9415_S1EMP</t>
  </si>
  <si>
    <t>R9415_IDNUMCLI</t>
  </si>
  <si>
    <t>R9415_COD_AGEN</t>
  </si>
  <si>
    <t>R9415_CCODPLZ</t>
  </si>
  <si>
    <t>R9415_TIPMONED</t>
  </si>
  <si>
    <t>R9415_FECCALIF</t>
  </si>
  <si>
    <t>R9415_CALIFMAE</t>
  </si>
  <si>
    <t>03.07.14</t>
  </si>
  <si>
    <t>Riesgo Contrato Titulizaciones</t>
  </si>
  <si>
    <t>JM_RGCTO_SPVS</t>
  </si>
  <si>
    <t>E4145_S1EMP</t>
  </si>
  <si>
    <t>SPV</t>
  </si>
  <si>
    <t>E4145_COD_SPV</t>
  </si>
  <si>
    <t>E4145_FOND_TIT</t>
  </si>
  <si>
    <t>Finalidad cálculo</t>
  </si>
  <si>
    <t>E4145_FINCALCU</t>
  </si>
  <si>
    <t>E4145_FEC_MES</t>
  </si>
  <si>
    <t>RW IRB Avanzado escalado pos titulizadas</t>
  </si>
  <si>
    <t>E4145_RWPTAESC</t>
  </si>
  <si>
    <t>RW IRB Avanzado pos. titulizadas</t>
  </si>
  <si>
    <t>E4145_RWPTANES</t>
  </si>
  <si>
    <t>RW IRB Avanzado escalado pos de titulización</t>
  </si>
  <si>
    <t>E4145_RWPTNESC</t>
  </si>
  <si>
    <t>RW IRB Avanzado pos. De titulización</t>
  </si>
  <si>
    <t>E4145_RWPTNNES</t>
  </si>
  <si>
    <t>RWA IRB Avanzado pos titulizadas escalado</t>
  </si>
  <si>
    <t>E4145_RWATAESC</t>
  </si>
  <si>
    <t>RWA IRB Avanzado pos titulizadas</t>
  </si>
  <si>
    <t>E4145_RWATANES</t>
  </si>
  <si>
    <t>RWA IRB Avanzado pos de titulización escalado</t>
  </si>
  <si>
    <t>E4145_RWATNESC</t>
  </si>
  <si>
    <t>RWA IRB Avanzado pos de titulización</t>
  </si>
  <si>
    <t>E4145_RWATNNES</t>
  </si>
  <si>
    <t>N</t>
  </si>
  <si>
    <t>E4145_IND_GRAN</t>
  </si>
  <si>
    <t>PE posiciones titulizadas</t>
  </si>
  <si>
    <t>E4145_IMPPEMES</t>
  </si>
  <si>
    <t>Provisiones</t>
  </si>
  <si>
    <t>E4145_ESPEPROV</t>
  </si>
  <si>
    <t>CR IRB Avanzado pos titulizadas escalado</t>
  </si>
  <si>
    <t>E4145_CRPTAESC</t>
  </si>
  <si>
    <t>CR IRB Avanzado pos titulizadas</t>
  </si>
  <si>
    <t>E4145_CRPTANES</t>
  </si>
  <si>
    <t>CR IRB Avanzado pos de titulización escalado</t>
  </si>
  <si>
    <t>E4145_CRPTNESC</t>
  </si>
  <si>
    <t>CR IRB Avanzado pos de titulización</t>
  </si>
  <si>
    <t>E4145_CRPTNNES</t>
  </si>
  <si>
    <t>Porcentaje CR IRB avanzado pos titulizadas escalado</t>
  </si>
  <si>
    <t>E4145_CRITAESC</t>
  </si>
  <si>
    <t>Porcentaje CR IRB avanzado pos titulizadas</t>
  </si>
  <si>
    <t>E4145_CRITANES</t>
  </si>
  <si>
    <t>Porcentaje CR IRB avanzado pos de titulización escalado</t>
  </si>
  <si>
    <t>E4145_CRITNESC</t>
  </si>
  <si>
    <t>Porcentaje CR IRB avanzado pos de titulización</t>
  </si>
  <si>
    <t>E4145_CRITNNES</t>
  </si>
  <si>
    <t>CR IRB Avanzado final escalado</t>
  </si>
  <si>
    <t>E4145_CRFINESC</t>
  </si>
  <si>
    <t>CR IRB Avanzado final sin escalar</t>
  </si>
  <si>
    <t>E4145_CRFINNES</t>
  </si>
  <si>
    <t>Porcentaje CR IRB avanzado final sin escalar</t>
  </si>
  <si>
    <t>E4145_CRIFINES</t>
  </si>
  <si>
    <t>Porcentaje CR IRB avanzado final escalado</t>
  </si>
  <si>
    <t>E4145_CRIFIESC</t>
  </si>
  <si>
    <t>Usuario modificación</t>
  </si>
  <si>
    <t>E4145_USUMOD</t>
  </si>
  <si>
    <t>CHAR(00008)</t>
  </si>
  <si>
    <t>E4145_FEC_MOD</t>
  </si>
  <si>
    <t>03.07.15</t>
  </si>
  <si>
    <t>Asignación Parámetros - Operación</t>
  </si>
  <si>
    <t>JM_ASIG_OPERAC</t>
  </si>
  <si>
    <t>E9964_FEOPERAC</t>
  </si>
  <si>
    <t>E9964_S1EMP</t>
  </si>
  <si>
    <t>E9964_CONTRA1</t>
  </si>
  <si>
    <t>E9964_IDGRUPOS</t>
  </si>
  <si>
    <t>E9964_C1PARAM</t>
  </si>
  <si>
    <t>E9964_FINCALCU</t>
  </si>
  <si>
    <t>Identificador de modelo asignado</t>
  </si>
  <si>
    <t>E9964_IDMODEL</t>
  </si>
  <si>
    <t>E9964_C1VALOR</t>
  </si>
  <si>
    <t>DEC(23,11)</t>
  </si>
  <si>
    <t>E9964_FECULTMO</t>
  </si>
  <si>
    <t>Identificador de la petición</t>
  </si>
  <si>
    <t>E9964_IDPETASI</t>
  </si>
  <si>
    <t>03.07.16</t>
  </si>
  <si>
    <t>Asignación Parámetros - Interviniente</t>
  </si>
  <si>
    <t>JM_ASIG_INTERV</t>
  </si>
  <si>
    <t>E9963_FEOPERAC</t>
  </si>
  <si>
    <t>E9963_S1EMP</t>
  </si>
  <si>
    <t>E9963_IDNUMCLI</t>
  </si>
  <si>
    <t>E9963_IDGRUPOS</t>
  </si>
  <si>
    <t>E9963_C1PARAM</t>
  </si>
  <si>
    <t>E9963_FINCALCU</t>
  </si>
  <si>
    <t>E9963_IDMODEL</t>
  </si>
  <si>
    <t>E9963_C1VALOR</t>
  </si>
  <si>
    <t>E9963_FECULTMO</t>
  </si>
  <si>
    <t>E9963_IDPETASI</t>
  </si>
  <si>
    <t>03.07.17</t>
  </si>
  <si>
    <t>Asignación Parámetros - Garantías</t>
  </si>
  <si>
    <t>JM_ASIG_GARAN</t>
  </si>
  <si>
    <t>E9962_FECOPER</t>
  </si>
  <si>
    <t>E9962_S1EMP</t>
  </si>
  <si>
    <t>E9962_TPGARAN</t>
  </si>
  <si>
    <t>E9962_IDGRUPOS</t>
  </si>
  <si>
    <t>E9962_FINCALCU</t>
  </si>
  <si>
    <t>E9962_C1VALOR</t>
  </si>
  <si>
    <t>E9962_FECULTMO</t>
  </si>
  <si>
    <t>E9962_IDMODASI</t>
  </si>
  <si>
    <t>E9962_IDPETASI</t>
  </si>
  <si>
    <t>03.07.18</t>
  </si>
  <si>
    <t>Riesgo Agregado Cliente</t>
  </si>
  <si>
    <t>JM_RGO_AGRE_CL</t>
  </si>
  <si>
    <t>G0974_FEOPERAC</t>
  </si>
  <si>
    <t>G0974_S1EMP</t>
  </si>
  <si>
    <t>G0974_IDNUMCLI</t>
  </si>
  <si>
    <t>G0974_FINCALCU</t>
  </si>
  <si>
    <t>Riesgo agregado cliente</t>
  </si>
  <si>
    <t>G0974_IMPT_RGO</t>
  </si>
  <si>
    <t>G0974_FECULTMO</t>
  </si>
  <si>
    <t>Tipo Riesgo Agregado</t>
  </si>
  <si>
    <t>G0974_TIPRGOAG</t>
  </si>
  <si>
    <t>Riesgo agregado revolving</t>
  </si>
  <si>
    <t>G0974_RGOAGREV</t>
  </si>
  <si>
    <t>03.07.19</t>
  </si>
  <si>
    <t>Riesgo Agregado Grupo Económico</t>
  </si>
  <si>
    <t>JM_RGO_AGRE_GR</t>
  </si>
  <si>
    <t>G0984_FEOPERAC</t>
  </si>
  <si>
    <t>G0984_S1EMP</t>
  </si>
  <si>
    <t>G0984_GRUP_ECO</t>
  </si>
  <si>
    <t>G0984_FINCALCU</t>
  </si>
  <si>
    <t>Riesgo agregado grupo</t>
  </si>
  <si>
    <t>G0984_IMPT_RGO</t>
  </si>
  <si>
    <t>G0984_FECULTMO</t>
  </si>
  <si>
    <t>G0984_TIPRGOAG</t>
  </si>
  <si>
    <t>03.07.22</t>
  </si>
  <si>
    <t>Garantías Descartadas</t>
  </si>
  <si>
    <t>JM_GTIA_DESCA</t>
  </si>
  <si>
    <t>G2292_FOPERAC</t>
  </si>
  <si>
    <t>G2292_S1EMP</t>
  </si>
  <si>
    <t>G2292_CONTRA1</t>
  </si>
  <si>
    <t>G2292_TIP_GARA</t>
  </si>
  <si>
    <t>G2292_BIENGAR1</t>
  </si>
  <si>
    <t>G2292_FEC_MES</t>
  </si>
  <si>
    <t>G2292_FINCALCU</t>
  </si>
  <si>
    <t>Motivo de descarte</t>
  </si>
  <si>
    <t>G2292_MOTDESCA</t>
  </si>
  <si>
    <t>Indicador situación rating/scoring</t>
  </si>
  <si>
    <t>G2292_IND_PUNT</t>
  </si>
  <si>
    <t>Grupo asignación PD contrato / cliente</t>
  </si>
  <si>
    <t>G2292_GR_PDCTO</t>
  </si>
  <si>
    <t>PD contrato / cliente</t>
  </si>
  <si>
    <t>G2292_IN_PDCTO</t>
  </si>
  <si>
    <t xml:space="preserve">Grupo asignación LGD </t>
  </si>
  <si>
    <t>G2292_GR_LGDCO</t>
  </si>
  <si>
    <t>LGD contrato</t>
  </si>
  <si>
    <t>G2292_LGD_CTO</t>
  </si>
  <si>
    <t>Categoría contrato</t>
  </si>
  <si>
    <t>G2292_CATEGCTO</t>
  </si>
  <si>
    <t>Subcategoría contrato</t>
  </si>
  <si>
    <t>G2292_CATGOSUB</t>
  </si>
  <si>
    <t>Grupo asignación PD contrato / garante</t>
  </si>
  <si>
    <t>G2292_GR_PDCOG</t>
  </si>
  <si>
    <t>PD contrato / garante</t>
  </si>
  <si>
    <t>G2292_IN_PDCGA</t>
  </si>
  <si>
    <t>Grupo asignación LGD garantía</t>
  </si>
  <si>
    <t>G2292_GR_LGDGA</t>
  </si>
  <si>
    <t>LGD garantía</t>
  </si>
  <si>
    <t>G2292_LGD_GARA</t>
  </si>
  <si>
    <t>Categoría garante</t>
  </si>
  <si>
    <t>G2292_CATEGGAR</t>
  </si>
  <si>
    <t>Subcategoría garante</t>
  </si>
  <si>
    <t>G2292_CATSUBGA</t>
  </si>
  <si>
    <t>G2292_FECULTMO</t>
  </si>
  <si>
    <t>Importe de cobertura real</t>
  </si>
  <si>
    <t>G2292_IMPCOBRE</t>
  </si>
  <si>
    <t>G2292_IDNUMCLI</t>
  </si>
  <si>
    <t>03.07.23</t>
  </si>
  <si>
    <t>Filtros Motor</t>
  </si>
  <si>
    <t>JM_FILT_MOTOR</t>
  </si>
  <si>
    <t>G2301_FOPERAC</t>
  </si>
  <si>
    <t>G2301_S1EMP</t>
  </si>
  <si>
    <t>G2301_CONTRA1</t>
  </si>
  <si>
    <t>G2301_CTA_CONT</t>
  </si>
  <si>
    <t>G2301_FEC_MES</t>
  </si>
  <si>
    <t>G2301_FINCALCU</t>
  </si>
  <si>
    <t>Filtro exclusión</t>
  </si>
  <si>
    <t>G2301_FILTROEX</t>
  </si>
  <si>
    <t>G2301_IDNUMCLI</t>
  </si>
  <si>
    <t>Categoría final</t>
  </si>
  <si>
    <t>G2301_CAT_MSTA</t>
  </si>
  <si>
    <t>Subcategoría final</t>
  </si>
  <si>
    <t>G2301_CATGSUB1</t>
  </si>
  <si>
    <t>G2301_FECULTMO</t>
  </si>
  <si>
    <t>G2301_TIP_IMPT</t>
  </si>
  <si>
    <t>Centro contable</t>
  </si>
  <si>
    <t>G2301_CENTCTBL</t>
  </si>
  <si>
    <t>Agrupador Cuenta Contable Local</t>
  </si>
  <si>
    <t>G2301_AGRCTACB</t>
  </si>
  <si>
    <t>G2301_CTACGBAL</t>
  </si>
  <si>
    <t>03.07.24</t>
  </si>
  <si>
    <t>Output Motor</t>
  </si>
  <si>
    <t>Fecha operación</t>
  </si>
  <si>
    <t xml:space="preserve">JM_CTO_CATEG2 </t>
  </si>
  <si>
    <t>G7162_FEOPERAC                 SYSIBM    DATE                      4     0 No</t>
  </si>
  <si>
    <t>G7162_S1EMP</t>
  </si>
  <si>
    <t>G7162_CONTRA1</t>
  </si>
  <si>
    <t>Identificador de cliente / avalista</t>
  </si>
  <si>
    <t>G7162_BIENGAR1</t>
  </si>
  <si>
    <t>G7162_FINCALCU</t>
  </si>
  <si>
    <t>Categoría pre-mitigación</t>
  </si>
  <si>
    <t>G7162_CATPREMI</t>
  </si>
  <si>
    <t>Subcategoría pre-mitigación BIS II</t>
  </si>
  <si>
    <t>G7162_CAT2PREM</t>
  </si>
  <si>
    <t>Categoría final BIS II</t>
  </si>
  <si>
    <t>G7162_CAT_MSTA                 SYSIBM    DECIMAL                   5     0 No</t>
  </si>
  <si>
    <t>Subcategoría final BIS II</t>
  </si>
  <si>
    <t>G7162_CATGSUB1</t>
  </si>
  <si>
    <t>EAD Final</t>
  </si>
  <si>
    <t>G7162_EADFINAL</t>
  </si>
  <si>
    <t>PD Final</t>
  </si>
  <si>
    <t xml:space="preserve">G7162_IN_PDFIN </t>
  </si>
  <si>
    <t>LGD Final</t>
  </si>
  <si>
    <t>G7162_LGDFINAL</t>
  </si>
  <si>
    <t>RW final</t>
  </si>
  <si>
    <t>G7162_C_RW_IRB</t>
  </si>
  <si>
    <t>RWA escalado final</t>
  </si>
  <si>
    <t>G7162_CRWAESCA</t>
  </si>
  <si>
    <t>RWA no escalado final</t>
  </si>
  <si>
    <t>G7162_CRWANOES</t>
  </si>
  <si>
    <t>Capital Regulatorio final escalado</t>
  </si>
  <si>
    <t>G7162_CRIAVESC</t>
  </si>
  <si>
    <t>Capital Regulatorio final no escalado</t>
  </si>
  <si>
    <t xml:space="preserve">G7162_CRIAVNES </t>
  </si>
  <si>
    <t>Perdida esperada</t>
  </si>
  <si>
    <t xml:space="preserve">G7162_TPERDIDA </t>
  </si>
  <si>
    <t>Curva Cálculo Capital Final</t>
  </si>
  <si>
    <t>G7162_CURVACAL</t>
  </si>
  <si>
    <t>Id Grupo Asignación PD Final</t>
  </si>
  <si>
    <t>G7162_ID_GRPD</t>
  </si>
  <si>
    <t>Id Grupo Asignación LGD Final</t>
  </si>
  <si>
    <t>G7162_ID_GRLGD</t>
  </si>
  <si>
    <t xml:space="preserve">Id Grupo Asignación LGD PE Final </t>
  </si>
  <si>
    <t>G7162_ID_LGDPE</t>
  </si>
  <si>
    <t>Id Grupo Asignación K1 Final</t>
  </si>
  <si>
    <t>G7162_ID_GRK1</t>
  </si>
  <si>
    <t>Id Grupo Asignación K2 Final</t>
  </si>
  <si>
    <t>G7162_ID_GRK2</t>
  </si>
  <si>
    <t>Flag Doble Default</t>
  </si>
  <si>
    <t>G7162_IND_DBDF</t>
  </si>
  <si>
    <t>Facturación considerada Calculo capital final</t>
  </si>
  <si>
    <t>G7162_FACCAPIT</t>
  </si>
  <si>
    <t>LGD PE</t>
  </si>
  <si>
    <t>G7162_LGDPE</t>
  </si>
  <si>
    <t>K1 (CCF SDB)</t>
  </si>
  <si>
    <t>G7162_K1</t>
  </si>
  <si>
    <t>K2 (CCF SFB)</t>
  </si>
  <si>
    <t xml:space="preserve">G7162_K2 </t>
  </si>
  <si>
    <t>Maturity</t>
  </si>
  <si>
    <t>G7162_MATURITY</t>
  </si>
  <si>
    <t>Saldo Dentro de Balance a efectos de cálculo de capital</t>
  </si>
  <si>
    <t>G7162_ISDEBALA</t>
  </si>
  <si>
    <t>Saldo Fuera de Balance a efectos de cálculo de capital</t>
  </si>
  <si>
    <t>G7162_ISFUBALA</t>
  </si>
  <si>
    <t>Entidad Contraparte</t>
  </si>
  <si>
    <t>G7162_ENTCNTRT</t>
  </si>
  <si>
    <t>Indicador Mora</t>
  </si>
  <si>
    <t xml:space="preserve">G7162_INDMORA1 </t>
  </si>
  <si>
    <t>Flag PD Final Cross-border</t>
  </si>
  <si>
    <t>G7162_ID_PDCRS</t>
  </si>
  <si>
    <t>Flag titulizado</t>
  </si>
  <si>
    <t>G7162_IND_TITU</t>
  </si>
  <si>
    <t>Flag MM.FF</t>
  </si>
  <si>
    <t>G7162_IND_MMFF</t>
  </si>
  <si>
    <t>EAD pre-mitigación</t>
  </si>
  <si>
    <t xml:space="preserve">G7162_EXPPREMI </t>
  </si>
  <si>
    <t>PD pre-mitigación</t>
  </si>
  <si>
    <t>G7162_IN_PDINI</t>
  </si>
  <si>
    <t>LGD pre-mitigación</t>
  </si>
  <si>
    <t>G7162_LGDINICI</t>
  </si>
  <si>
    <t>RW pre-mitigación</t>
  </si>
  <si>
    <t>G7162_RWPRMITI</t>
  </si>
  <si>
    <t>RWA Escalado pre-mitigación</t>
  </si>
  <si>
    <t>G7162_RWAESPMT                 SYSIBM    DECIMAL                  17     2 No</t>
  </si>
  <si>
    <t xml:space="preserve">RWA No Escalado pre-mitigación </t>
  </si>
  <si>
    <t>G7162_RWANEPMT                 SYSIBM    DECIMAL                  17     2 No</t>
  </si>
  <si>
    <t>CR Escalado pre-mitigación</t>
  </si>
  <si>
    <t>G7162_CRESCPRE                 SYSIBM    DECIMAL                  17     2 No</t>
  </si>
  <si>
    <t xml:space="preserve">CR No Escalado pre-mitigación </t>
  </si>
  <si>
    <t>G7162_CRPREMIT                 SYSIBM    DECIMAL                  17     2 No</t>
  </si>
  <si>
    <t>PE pre-mitigación</t>
  </si>
  <si>
    <t>G7162_IMPPEPRM                 SYSIBM    DECIMAL                  17     2 No</t>
  </si>
  <si>
    <t>Curva Cálculo Capital pre-mitigación</t>
  </si>
  <si>
    <t>G7162_CRVCCPPM</t>
  </si>
  <si>
    <t>Id Grupo Asignación PD pre-mitigación</t>
  </si>
  <si>
    <t>G7162_IDGRPDPM</t>
  </si>
  <si>
    <t>Id Grupo Asignación LGD pre-mitigación</t>
  </si>
  <si>
    <t>G7162_IDGLGDPM</t>
  </si>
  <si>
    <t>Facturación considerada Calculo capital pre-mitigación</t>
  </si>
  <si>
    <t xml:space="preserve">G7162_FACCCPPM </t>
  </si>
  <si>
    <t>Id Cliente</t>
  </si>
  <si>
    <t>G7162_IDNUMCLI</t>
  </si>
  <si>
    <t>Id Grupo Económico - Cliente Final</t>
  </si>
  <si>
    <t>G7162_GRUP_ECO</t>
  </si>
  <si>
    <t xml:space="preserve">Motivo Exclusión Informes </t>
  </si>
  <si>
    <t>G7162_MOTEXINF</t>
  </si>
  <si>
    <t>CLSF</t>
  </si>
  <si>
    <t>G7162_IDCLSF</t>
  </si>
  <si>
    <t>Segmento Informes</t>
  </si>
  <si>
    <t>G7162_IDSEGINF</t>
  </si>
  <si>
    <t>Modelo Informes</t>
  </si>
  <si>
    <t>G7162_IDMODINF</t>
  </si>
  <si>
    <t>Tipo Modelo Local Informes</t>
  </si>
  <si>
    <t>G7162_IDMODLOC</t>
  </si>
  <si>
    <t>Indicador Registro Ajustado</t>
  </si>
  <si>
    <t>G7162_INDREGAJ</t>
  </si>
  <si>
    <t>Coeficiente Proyectos Inversión</t>
  </si>
  <si>
    <t>G7162_COEFPYIN</t>
  </si>
  <si>
    <t>Categoría Proyectos Inversión</t>
  </si>
  <si>
    <t>G7162_CATEPYIN</t>
  </si>
  <si>
    <t>Identificador Contrato Puntuado</t>
  </si>
  <si>
    <t>G7162_IDCTOPUN</t>
  </si>
  <si>
    <t>Identificador Cliente Puntuado</t>
  </si>
  <si>
    <t>G7162_IDCLIPUN</t>
  </si>
  <si>
    <t>Método de calculo</t>
  </si>
  <si>
    <t>G7162_METODCAL                 SYSIBM    CHARACTER                20     0 No</t>
  </si>
  <si>
    <t>CHAR (00020)</t>
  </si>
  <si>
    <t>G7162_FECULTMO</t>
  </si>
  <si>
    <t>G7162_CODDIV</t>
  </si>
  <si>
    <t>Maturity pos Mitigación</t>
  </si>
  <si>
    <t>G7162_MATUPOSM</t>
  </si>
  <si>
    <t>Código SPV</t>
  </si>
  <si>
    <t>G7162_COD_SPV</t>
  </si>
  <si>
    <t>Porcentaje de Titulización</t>
  </si>
  <si>
    <t>G7162_TPORCENT</t>
  </si>
  <si>
    <t>Flag Facturación Defecto</t>
  </si>
  <si>
    <t>G7162_FLGFACDF</t>
  </si>
  <si>
    <t>Provisiones Dentro de Balance</t>
  </si>
  <si>
    <t>G7162_PROVDBAL</t>
  </si>
  <si>
    <t>Provisiones Fuera de Balance</t>
  </si>
  <si>
    <t>G7162_PROVFBAL</t>
  </si>
  <si>
    <t>Flag titulizaciones con transferencia de riesgo</t>
  </si>
  <si>
    <t>G7162_FLGTITTR</t>
  </si>
  <si>
    <t>Flag de intragrupo</t>
  </si>
  <si>
    <t>G7162_IND_INGR</t>
  </si>
  <si>
    <t xml:space="preserve">Porcentaje titulizado dentro de balance </t>
  </si>
  <si>
    <t>G7162_PORTITDB</t>
  </si>
  <si>
    <t>13/14</t>
  </si>
  <si>
    <t xml:space="preserve">Porcentaje titulizado fuera de balance </t>
  </si>
  <si>
    <t>G7162_PORTITFB</t>
  </si>
  <si>
    <t xml:space="preserve">Flag trade finance </t>
  </si>
  <si>
    <t>G7162_FLGTRFIN</t>
  </si>
  <si>
    <t xml:space="preserve">Flag ECAS cliente titular </t>
  </si>
  <si>
    <t>G7162_FLGECAST</t>
  </si>
  <si>
    <t xml:space="preserve">Flag ECAS cliente final </t>
  </si>
  <si>
    <t>G7162_FLGECASF</t>
  </si>
  <si>
    <t xml:space="preserve">Flag gobiernos regionales </t>
  </si>
  <si>
    <t>G7162_FLGGOBRG</t>
  </si>
  <si>
    <t xml:space="preserve">Saldo fuera de balance </t>
  </si>
  <si>
    <t>G7162_SALFDBAL</t>
  </si>
  <si>
    <t xml:space="preserve">LGD garantías financieras </t>
  </si>
  <si>
    <t>G7162_LGDGAFIN</t>
  </si>
  <si>
    <t xml:space="preserve">LGD garantías inmobiliarias </t>
  </si>
  <si>
    <t>G7162_LGDGAINM</t>
  </si>
  <si>
    <t xml:space="preserve">Flag garante STD </t>
  </si>
  <si>
    <t>G7162_FLGGASTD</t>
  </si>
  <si>
    <t xml:space="preserve">Flag entidades financieras cliente titular </t>
  </si>
  <si>
    <t>G7162_FLGENTFT</t>
  </si>
  <si>
    <t xml:space="preserve">Flag entidades financieras cliente final </t>
  </si>
  <si>
    <t>G7162_FLGENTFF</t>
  </si>
  <si>
    <t xml:space="preserve">Cliente-SME Titular </t>
  </si>
  <si>
    <t>G7162_CLSMETIT</t>
  </si>
  <si>
    <t xml:space="preserve">Cliente-SME Final </t>
  </si>
  <si>
    <t>G7162_CLSMEFIN</t>
  </si>
  <si>
    <t xml:space="preserve">Identificador contrato origen </t>
  </si>
  <si>
    <t>G7162_IDCTOORI</t>
  </si>
  <si>
    <t>DEC(09,00)</t>
  </si>
  <si>
    <t>Rating System final del contrato (Espacios)</t>
  </si>
  <si>
    <t>G7162_RATSFCTO</t>
  </si>
  <si>
    <t>CHAR(32)</t>
  </si>
  <si>
    <t xml:space="preserve">Add-on final del contrato </t>
  </si>
  <si>
    <t>G7162_ADDONFCT</t>
  </si>
  <si>
    <t>Flag identificación gobiernos regionales cliente titular</t>
  </si>
  <si>
    <t>G7162_IMPORTE1</t>
  </si>
  <si>
    <t>Coeficiente de correlación</t>
  </si>
  <si>
    <t>G7162_IMPORTE2</t>
  </si>
  <si>
    <t>Pólizas de seguro de vida (columna 172 N008)</t>
  </si>
  <si>
    <t>G7162_IMPORTE3</t>
  </si>
  <si>
    <t xml:space="preserve">Instrumentos mantenidos por una entidad tercera (columna 173 N008) </t>
  </si>
  <si>
    <t>G7162_IMPORTE4</t>
  </si>
  <si>
    <t>Identificador del acuerdo de colaleral</t>
  </si>
  <si>
    <t>G7162_IMPORTE5</t>
  </si>
  <si>
    <t xml:space="preserve">Indicador de mora pre-mitigación </t>
  </si>
  <si>
    <t>G7162_INDMORPM</t>
  </si>
  <si>
    <t xml:space="preserve">Porcentaje del factor de apoyo a las PyMEs </t>
  </si>
  <si>
    <t>G7162_FACAPPYM</t>
  </si>
  <si>
    <t xml:space="preserve">Indicador exposiciones garantía hipotecaria </t>
  </si>
  <si>
    <t>G7162_INDEXGHI</t>
  </si>
  <si>
    <t>Indicador Riesgo Contraparte pre-mitigación.</t>
  </si>
  <si>
    <t>G7162_IRGOCPRE</t>
  </si>
  <si>
    <t>Indicador riesgo Contraparte post-mitigación.</t>
  </si>
  <si>
    <t>G7162_IRGOCPOS</t>
  </si>
  <si>
    <t>Operación en default con análisis individualizado en provisiones</t>
  </si>
  <si>
    <t>G7162_IMPORTE6</t>
  </si>
  <si>
    <t>Efectivo en depósito (columna 171 N008)</t>
  </si>
  <si>
    <t>G7162_IMPORTE7</t>
  </si>
  <si>
    <t xml:space="preserve">Importe libre 8. </t>
  </si>
  <si>
    <t>G7162_IMPORTE8</t>
  </si>
  <si>
    <t xml:space="preserve">Importe libre 9. </t>
  </si>
  <si>
    <t>G7162_IMPORTE9</t>
  </si>
  <si>
    <t xml:space="preserve">Importe libre 10. </t>
  </si>
  <si>
    <t>G7162_IMPORT10</t>
  </si>
  <si>
    <t xml:space="preserve">LGD Pre-Mitigada. </t>
  </si>
  <si>
    <t>G7162_LGDPRMIT</t>
  </si>
  <si>
    <t>Finalidad PRE.</t>
  </si>
  <si>
    <t>G7162_FINALPRE</t>
  </si>
  <si>
    <t>Finalidad POST.</t>
  </si>
  <si>
    <t>G7162_FINALPOS</t>
  </si>
  <si>
    <t>Garantías Reales para Riesgo de Crédito.</t>
  </si>
  <si>
    <t>G7162_GARERGCR</t>
  </si>
  <si>
    <t>Garantías Reales de Naturaleza Financiera.</t>
  </si>
  <si>
    <t>G7162_GARENAFI</t>
  </si>
  <si>
    <t>Garantías Reales para Bienes Inmuebles.</t>
  </si>
  <si>
    <t>G7162_GAREBIIN</t>
  </si>
  <si>
    <t>Garantías Reales Físicas Otras.</t>
  </si>
  <si>
    <t>G7162_GAREFIOT</t>
  </si>
  <si>
    <t>Garantías Reales para Derechos de Cobro.</t>
  </si>
  <si>
    <t>G7162_GAREDECO</t>
  </si>
  <si>
    <t>Flag Movilizado.</t>
  </si>
  <si>
    <t>G7162_FLGMOVIL</t>
  </si>
  <si>
    <t>CHAR(1,0)</t>
  </si>
  <si>
    <t>Importe 11</t>
  </si>
  <si>
    <t>G7162_IMPORT11</t>
  </si>
  <si>
    <t>LGD sin aplicación de garantías dinerarias</t>
  </si>
  <si>
    <t>G7162_LGDSGDIN</t>
  </si>
  <si>
    <t>DEC(9,6)</t>
  </si>
  <si>
    <t>03.07.25</t>
  </si>
  <si>
    <t>Garantías Reales válidas para mitigación</t>
  </si>
  <si>
    <t xml:space="preserve">JM_GAR_REA_OK </t>
  </si>
  <si>
    <t>G7145_FEOPERAC</t>
  </si>
  <si>
    <t>G7145_S1EMP</t>
  </si>
  <si>
    <t>G7145_CONTRA1</t>
  </si>
  <si>
    <t>G7145_IDNUMCLI                 SYSIBM    DECIMAL                   9     0 No</t>
  </si>
  <si>
    <t>Identificador de la Garantía</t>
  </si>
  <si>
    <t>G7145_BIENGAR1</t>
  </si>
  <si>
    <t>G7145_FINCALCU</t>
  </si>
  <si>
    <t>Curva calculo capital asignada</t>
  </si>
  <si>
    <t>G7145_CURVACAL</t>
  </si>
  <si>
    <t>Descripción de la curva categoría IRB</t>
  </si>
  <si>
    <t>G7145_DESCRICD</t>
  </si>
  <si>
    <t xml:space="preserve">K1 </t>
  </si>
  <si>
    <t>G7145_K1</t>
  </si>
  <si>
    <t>K2</t>
  </si>
  <si>
    <t>G7145_K2</t>
  </si>
  <si>
    <t>Código de divisa</t>
  </si>
  <si>
    <t>G7145_CODDIV</t>
  </si>
  <si>
    <t xml:space="preserve">Valor del capital </t>
  </si>
  <si>
    <t>G7145_VALCAP</t>
  </si>
  <si>
    <t>Categoría premitigación</t>
  </si>
  <si>
    <t>G7145_CATFINAL</t>
  </si>
  <si>
    <t>Subcategoría premitigación</t>
  </si>
  <si>
    <t>G7145_CASUBFIN</t>
  </si>
  <si>
    <t xml:space="preserve">Importe total del saldo contable </t>
  </si>
  <si>
    <t>G7145_IMPTOTSC</t>
  </si>
  <si>
    <t>Saldo dentro de balance</t>
  </si>
  <si>
    <t>G7145_ISDEBALA</t>
  </si>
  <si>
    <t>Saldo fuera de balance</t>
  </si>
  <si>
    <t>G7145_ISFUBALA</t>
  </si>
  <si>
    <t xml:space="preserve">Identificador de producto </t>
  </si>
  <si>
    <t>G7145_ID_PROD</t>
  </si>
  <si>
    <t>Identificador de producto local</t>
  </si>
  <si>
    <t>G7145_IDPRO_LC</t>
  </si>
  <si>
    <t>G7145_IDEMIS</t>
  </si>
  <si>
    <t xml:space="preserve">Código de la emisión </t>
  </si>
  <si>
    <t>G7145_COD_EMIS</t>
  </si>
  <si>
    <t>Tipo de persona</t>
  </si>
  <si>
    <t>G7145_TIP_PERS</t>
  </si>
  <si>
    <t>Código Segmento de sector contable</t>
  </si>
  <si>
    <t>G7145_CODSEGSC</t>
  </si>
  <si>
    <t>Código Segmento local de riesgo</t>
  </si>
  <si>
    <t>G7145_CODSEGLR</t>
  </si>
  <si>
    <t>Código de grupo económico</t>
  </si>
  <si>
    <t>G7145_DCODGRUP</t>
  </si>
  <si>
    <t>Código de la garantía</t>
  </si>
  <si>
    <t>G7145_COD_GAR</t>
  </si>
  <si>
    <t>Código de la garantía local</t>
  </si>
  <si>
    <t>G7145_COD_GAR2</t>
  </si>
  <si>
    <t>G7145_TIP_GARA</t>
  </si>
  <si>
    <t>Flag moroso</t>
  </si>
  <si>
    <t>G7145_INDMORA1</t>
  </si>
  <si>
    <t>Flag MMFF</t>
  </si>
  <si>
    <t>G7145_IND_MMFF</t>
  </si>
  <si>
    <t>Flag PD cross border</t>
  </si>
  <si>
    <t>G7145_ID_PDCRS</t>
  </si>
  <si>
    <t>Flag intragrupo</t>
  </si>
  <si>
    <t>G7145_IND_INGR</t>
  </si>
  <si>
    <t>Flag caducidad puntuaciones</t>
  </si>
  <si>
    <t>G7145_FLGCADPT                 SYSIBM    CHARACTER                 1     0 No</t>
  </si>
  <si>
    <t>Flag TOPN</t>
  </si>
  <si>
    <t>G7145_FLGTOPN</t>
  </si>
  <si>
    <t>Indicador de titulizaciones</t>
  </si>
  <si>
    <t>G7145_IND_TITU</t>
  </si>
  <si>
    <t>Indicador de pignoración</t>
  </si>
  <si>
    <t>G7145_IND_PIGN</t>
  </si>
  <si>
    <t>Tipo de instrumentación</t>
  </si>
  <si>
    <t>G7145_TIPINSTR</t>
  </si>
  <si>
    <t>G7145_IPROVISI</t>
  </si>
  <si>
    <t>LGD (antes de mitigar)</t>
  </si>
  <si>
    <t>G7145_LGDPREMI</t>
  </si>
  <si>
    <t>LGD final (después de mitigar)</t>
  </si>
  <si>
    <t xml:space="preserve">G7145_LGDPOSMI </t>
  </si>
  <si>
    <t>G7145_INDPD</t>
  </si>
  <si>
    <t>EAD</t>
  </si>
  <si>
    <t>G7145_EXPPOSMI</t>
  </si>
  <si>
    <t>M (maturity)</t>
  </si>
  <si>
    <t>G7145_IMPMATAV</t>
  </si>
  <si>
    <t>G7145_RWIAVESC</t>
  </si>
  <si>
    <t>RWA</t>
  </si>
  <si>
    <t>G7145_RWAAVNES</t>
  </si>
  <si>
    <t>PE (Pérdida esperada)</t>
  </si>
  <si>
    <t>G7145_IMPPEMES</t>
  </si>
  <si>
    <t>LGDxEAD</t>
  </si>
  <si>
    <t>G7145_LGDXEAD</t>
  </si>
  <si>
    <t>LGD media ponderada</t>
  </si>
  <si>
    <t>G7145_LGDMEDPD</t>
  </si>
  <si>
    <t>Importe cubierto</t>
  </si>
  <si>
    <t>G7145_IMCUBPER</t>
  </si>
  <si>
    <t>Porcentaje de cobertura</t>
  </si>
  <si>
    <t>G7145_PORCOBER</t>
  </si>
  <si>
    <t>LGD garantía (modelo)</t>
  </si>
  <si>
    <t>G7145_LGDGAR</t>
  </si>
  <si>
    <t>EAD C</t>
  </si>
  <si>
    <t xml:space="preserve">G7145_EXPCUGAR </t>
  </si>
  <si>
    <t>LGD Model ID</t>
  </si>
  <si>
    <t>G7145_ID_GRLGD</t>
  </si>
  <si>
    <t>PD Model ID</t>
  </si>
  <si>
    <t>G7145_ID_GRPD</t>
  </si>
  <si>
    <t>Factor K Model ID</t>
  </si>
  <si>
    <t>G7145_ID_GRK2</t>
  </si>
  <si>
    <t>Factor K1 Model ID</t>
  </si>
  <si>
    <t xml:space="preserve">G7145_ID_GRK1 </t>
  </si>
  <si>
    <t>G7145_IMPCOBRE                 SYSIBM    DECIMAL                  17     2 No</t>
  </si>
  <si>
    <t>Firm size</t>
  </si>
  <si>
    <t>G7145_FIRMSIZE</t>
  </si>
  <si>
    <t>Cuenta de cargo (cc_pk)</t>
  </si>
  <si>
    <t>G7145_CTACGO</t>
  </si>
  <si>
    <t>G7145_FEC_MOD</t>
  </si>
  <si>
    <t>Porcentaje de cobertura COREP (SAN y BAN)</t>
  </si>
  <si>
    <t>G7145_COBPTJCO</t>
  </si>
  <si>
    <t>Importe cubierto de la garantía COREP (SAN y BAN)</t>
  </si>
  <si>
    <t>G7145_IMPCBGCO</t>
  </si>
  <si>
    <t>Orden de aplicación garantía real</t>
  </si>
  <si>
    <t>G7145_ORDAPGAR</t>
  </si>
  <si>
    <t>Tipo de haircut</t>
  </si>
  <si>
    <t>G7145_TIPHAIRC</t>
  </si>
  <si>
    <t>Valor del haircut</t>
  </si>
  <si>
    <t>G7145_VALHAIRC</t>
  </si>
  <si>
    <t>03.07.27</t>
  </si>
  <si>
    <t>Garantías Utilizadas</t>
  </si>
  <si>
    <t>JM_GARAN_UTIL</t>
  </si>
  <si>
    <t>H0869_FEOPERAC</t>
  </si>
  <si>
    <t>H0869_S1EMP</t>
  </si>
  <si>
    <t>H0869_CONTRA1</t>
  </si>
  <si>
    <t>H0869_BIENGAR1</t>
  </si>
  <si>
    <t>H0869_FINCALCU</t>
  </si>
  <si>
    <t>Identificador del garante</t>
  </si>
  <si>
    <t>H0869_IDGARANT</t>
  </si>
  <si>
    <t>Tipo garantía</t>
  </si>
  <si>
    <t>H0869_TIP_GARA</t>
  </si>
  <si>
    <t>Codigo Garantía</t>
  </si>
  <si>
    <t>H0869_COD_GAR</t>
  </si>
  <si>
    <t>Grupo PD garante</t>
  </si>
  <si>
    <t>H0869_ID_GRPD</t>
  </si>
  <si>
    <t>PD Garante</t>
  </si>
  <si>
    <t>H0869_VALPDGAR</t>
  </si>
  <si>
    <t>Grupo LGD garantía real</t>
  </si>
  <si>
    <t>H0869_GRLGDGAR</t>
  </si>
  <si>
    <t>LGD Garantía real</t>
  </si>
  <si>
    <t>H0869_LGDGAREA</t>
  </si>
  <si>
    <t>EAD Pre-mitigación</t>
  </si>
  <si>
    <t>H0869_EADPREM</t>
  </si>
  <si>
    <t>Valor de la garantía</t>
  </si>
  <si>
    <t>H0869_VALORGAR</t>
  </si>
  <si>
    <t>Valor garantía tras haircut</t>
  </si>
  <si>
    <t>H0869_VALGARTH</t>
  </si>
  <si>
    <t>Valor haircut %</t>
  </si>
  <si>
    <t>H0869_HAIRCUT</t>
  </si>
  <si>
    <t>Valor mitigación</t>
  </si>
  <si>
    <t>H0869_VALMITIG</t>
  </si>
  <si>
    <t>Marca doble default</t>
  </si>
  <si>
    <t>H0869_IND_DBDF</t>
  </si>
  <si>
    <t>CHAR (00001)</t>
  </si>
  <si>
    <t>Marca uso en mitigación</t>
  </si>
  <si>
    <t>H0869_IND_MIT</t>
  </si>
  <si>
    <t>Marca uso media pond.</t>
  </si>
  <si>
    <t>H0869_IND_POND</t>
  </si>
  <si>
    <t>% de Uso en Asignación</t>
  </si>
  <si>
    <t>H0869_USOASIG</t>
  </si>
  <si>
    <t>H0869_FECULTMO</t>
  </si>
  <si>
    <t>Haircut por desfase de divisas.</t>
  </si>
  <si>
    <t>H0869_HCTDFDIV</t>
  </si>
  <si>
    <t>Haircut (factor) por desfase de vencimiento.</t>
  </si>
  <si>
    <t>H0869_HCTDFVEN</t>
  </si>
  <si>
    <t>03.07.28</t>
  </si>
  <si>
    <t>Variables Calculadas</t>
  </si>
  <si>
    <t>JM_VAR_CALCUL</t>
  </si>
  <si>
    <t>H0883_FEOPERAC</t>
  </si>
  <si>
    <t>H0883_S1EMP</t>
  </si>
  <si>
    <t>H0883_CONTRA1</t>
  </si>
  <si>
    <t>Saldo</t>
  </si>
  <si>
    <t>H0883_IMPSLDO</t>
  </si>
  <si>
    <t xml:space="preserve">Saldo dentro </t>
  </si>
  <si>
    <t>H0883_ISDEBALA</t>
  </si>
  <si>
    <t>Saldo fuera</t>
  </si>
  <si>
    <t>H0883_ISFUBALA</t>
  </si>
  <si>
    <t>Límite</t>
  </si>
  <si>
    <t>H0883_LIMACT</t>
  </si>
  <si>
    <t>Spid_Cliente</t>
  </si>
  <si>
    <t>H0883_VAPSPDCL</t>
  </si>
  <si>
    <t>Triad_Cliente</t>
  </si>
  <si>
    <t>H0883_VAPTRDCL</t>
  </si>
  <si>
    <t>Idext</t>
  </si>
  <si>
    <t>H0883_IDEXTCL</t>
  </si>
  <si>
    <t>LTV</t>
  </si>
  <si>
    <t>H0883_VALLTV</t>
  </si>
  <si>
    <t>F_balance</t>
  </si>
  <si>
    <t>H0883_INDBAL</t>
  </si>
  <si>
    <t>Flag Cura</t>
  </si>
  <si>
    <t>H0883_IND_CURA</t>
  </si>
  <si>
    <t>Spid_Contrato</t>
  </si>
  <si>
    <t>H0883_VAPSPDCT</t>
  </si>
  <si>
    <t>H0883_VAPTRDCT</t>
  </si>
  <si>
    <t xml:space="preserve">Antq </t>
  </si>
  <si>
    <t>H0883_MESANTIG</t>
  </si>
  <si>
    <t>Divisa1</t>
  </si>
  <si>
    <t>H0883_CDIVI1</t>
  </si>
  <si>
    <t>Divisa2</t>
  </si>
  <si>
    <t>H0883_CDIVI2</t>
  </si>
  <si>
    <t>Divisa3</t>
  </si>
  <si>
    <t>H0883_CDIVI3</t>
  </si>
  <si>
    <t>Rtpaís</t>
  </si>
  <si>
    <t>H0883_RATPAI</t>
  </si>
  <si>
    <t>R_xb1</t>
  </si>
  <si>
    <t>H0883_RXB1</t>
  </si>
  <si>
    <t>R_xb</t>
  </si>
  <si>
    <t>H0883_RXB</t>
  </si>
  <si>
    <t>Saldo dispuesto</t>
  </si>
  <si>
    <t>H0883_DISTO</t>
  </si>
  <si>
    <t>Saldo disponible</t>
  </si>
  <si>
    <t>H0883_DIBLE</t>
  </si>
  <si>
    <t>Dispuesto vencido</t>
  </si>
  <si>
    <t>H0883_IMPVDO</t>
  </si>
  <si>
    <t>Saldo fallido</t>
  </si>
  <si>
    <t>H0883_IMPSFALL</t>
  </si>
  <si>
    <t>FacTotal</t>
  </si>
  <si>
    <t>H0883_FACTOTAL</t>
  </si>
  <si>
    <t>Metamis</t>
  </si>
  <si>
    <t>H0883_METAMIS</t>
  </si>
  <si>
    <t>Porcentaje uso</t>
  </si>
  <si>
    <t>H0883_USOPORC</t>
  </si>
  <si>
    <t>Flag mora Cto</t>
  </si>
  <si>
    <t>H0883_INDMORA1</t>
  </si>
  <si>
    <t>Fec mora Cto</t>
  </si>
  <si>
    <t>H0883_FEC_MORA</t>
  </si>
  <si>
    <t>Flag mora Cli M Ant</t>
  </si>
  <si>
    <t>H0883_INDMORA</t>
  </si>
  <si>
    <t>Antq Triad</t>
  </si>
  <si>
    <t>H0883_ANTIGPUN</t>
  </si>
  <si>
    <t>H0883_VARCALC1</t>
  </si>
  <si>
    <t>H0883_VARCALC2</t>
  </si>
  <si>
    <t>H0883_VARCALC3</t>
  </si>
  <si>
    <t>H0883_VARCALC4</t>
  </si>
  <si>
    <t>Variable Calculada 5</t>
  </si>
  <si>
    <t>H0883_VARCALC5</t>
  </si>
  <si>
    <t>H0883_FECULTMO</t>
  </si>
  <si>
    <t>H0883_FINCALCU</t>
  </si>
  <si>
    <t>H0883_IDNUMCLI</t>
  </si>
  <si>
    <t>03.07.29</t>
  </si>
  <si>
    <t>Contratos Candidatos a Cura</t>
  </si>
  <si>
    <t>JM_CONTR_CURA</t>
  </si>
  <si>
    <t>H0906_FEOPERAC</t>
  </si>
  <si>
    <t>H0906_S1EMP</t>
  </si>
  <si>
    <t>H0906_CONTRA1</t>
  </si>
  <si>
    <t>Fecha última situación en mora</t>
  </si>
  <si>
    <t>H0906_FECMOR</t>
  </si>
  <si>
    <t>Fecha de flag mora motor</t>
  </si>
  <si>
    <t>H0906_FEC_MORA</t>
  </si>
  <si>
    <t>H0906_FECULTMO</t>
  </si>
  <si>
    <t>H0906_FINCALCU</t>
  </si>
  <si>
    <t>03.07.30</t>
  </si>
  <si>
    <t>Clientes Candidatos a Cura</t>
  </si>
  <si>
    <t>JM_CLIEN_CURA</t>
  </si>
  <si>
    <t>H0908_FEOPERAC</t>
  </si>
  <si>
    <t>H0908_S1EMP</t>
  </si>
  <si>
    <t>H0908_IDNUMCLI</t>
  </si>
  <si>
    <t>H0908_FECMOR</t>
  </si>
  <si>
    <t>H0908_FEC_MORA</t>
  </si>
  <si>
    <t>H0908_FECULTMO</t>
  </si>
  <si>
    <t>H0908_FINCALCU</t>
  </si>
  <si>
    <t>03.07.31</t>
  </si>
  <si>
    <t xml:space="preserve">Output Asignación Grupos </t>
  </si>
  <si>
    <t>JM_ASIG_GRUPO</t>
  </si>
  <si>
    <t>N0648_FEOPERAC</t>
  </si>
  <si>
    <t>N0648_S1EMP</t>
  </si>
  <si>
    <t>N0648_IDGRUPOS</t>
  </si>
  <si>
    <t>N0648_RGOPARM</t>
  </si>
  <si>
    <t>N0648_FINCALCU</t>
  </si>
  <si>
    <t>N0648_IDMODEL</t>
  </si>
  <si>
    <t>Identificador de la Petición</t>
  </si>
  <si>
    <t>N0648_IDPETASI</t>
  </si>
  <si>
    <t>Descripción de Grupo</t>
  </si>
  <si>
    <t>N0648_DSGRUPO</t>
  </si>
  <si>
    <t>Descripción grupo local</t>
  </si>
  <si>
    <t>N0648_DSGRUPOL</t>
  </si>
  <si>
    <t>N0648_FECULTMO</t>
  </si>
  <si>
    <t>Identificador de cartera</t>
  </si>
  <si>
    <t>N0648_ID_CARTE</t>
  </si>
  <si>
    <t>Descripción de la cartera</t>
  </si>
  <si>
    <t>N0648_DSCARTE</t>
  </si>
  <si>
    <t>Descripción del modelo</t>
  </si>
  <si>
    <t>N0648_DSMODEL</t>
  </si>
  <si>
    <t>Descripción de la petición</t>
  </si>
  <si>
    <t>N0648_DSPETIC</t>
  </si>
  <si>
    <t>N0648_CODMONET</t>
  </si>
  <si>
    <t>Indicar de grupo Secured/Unsecured.</t>
  </si>
  <si>
    <t>N0648_INDGRPSU</t>
  </si>
  <si>
    <t>CHAR(001)</t>
  </si>
  <si>
    <t>Códigos de garantías asociados al grupo.</t>
  </si>
  <si>
    <t>N0648_CODGARAG</t>
  </si>
  <si>
    <t>CHAR(100)</t>
  </si>
  <si>
    <t>Tipo calificación Contrato</t>
  </si>
  <si>
    <t>N0648_TIPCALCT</t>
  </si>
  <si>
    <t>CHAR(020)</t>
  </si>
  <si>
    <t>N0648_TIPCALCL</t>
  </si>
  <si>
    <t>03.07.32</t>
  </si>
  <si>
    <t>Interface Corep Contratos</t>
  </si>
  <si>
    <t>JM_CTO_AJ_REG</t>
  </si>
  <si>
    <t>O9209_FEOPERAC</t>
  </si>
  <si>
    <t>O9209_S1EMP</t>
  </si>
  <si>
    <t>O9209_CONTRA1</t>
  </si>
  <si>
    <t>O9209_BIENGAR1</t>
  </si>
  <si>
    <t>O9209_FINCALCU</t>
  </si>
  <si>
    <t xml:space="preserve">Categoría premitigación </t>
  </si>
  <si>
    <t>O9209_CATPREMI</t>
  </si>
  <si>
    <t>Tipo de ajuste</t>
  </si>
  <si>
    <t>O9209_TIPOAJUS</t>
  </si>
  <si>
    <t>SubCategoría premitigación BIS II</t>
  </si>
  <si>
    <t>O9209_CAT2PREM</t>
  </si>
  <si>
    <t xml:space="preserve">Categoría final BIS  II  </t>
  </si>
  <si>
    <t>O9209_CAT_MSTA</t>
  </si>
  <si>
    <t>SubCategoría final BIS II</t>
  </si>
  <si>
    <t>O9209_CATGSUB1</t>
  </si>
  <si>
    <t>O9209_TIP_GARA</t>
  </si>
  <si>
    <t>O9209_EADFINAL</t>
  </si>
  <si>
    <t>O9209_IN_PDFIN</t>
  </si>
  <si>
    <t>O9209_LGDFINAL</t>
  </si>
  <si>
    <t>O9209_CRIAVESC</t>
  </si>
  <si>
    <t>O9209_TPERDIDA</t>
  </si>
  <si>
    <t>Curva calculo capital final</t>
  </si>
  <si>
    <t>O9209_CURVACAL</t>
  </si>
  <si>
    <t>O9209_IND_DBDF</t>
  </si>
  <si>
    <t>O9209_LGDPE</t>
  </si>
  <si>
    <t>O9209_K1</t>
  </si>
  <si>
    <t>O9209_K2</t>
  </si>
  <si>
    <t>O9209_ISDEBALA</t>
  </si>
  <si>
    <t>O9209_ISFUBALA</t>
  </si>
  <si>
    <t>O9209_ENTCNTRT</t>
  </si>
  <si>
    <t>O9209_INDMORA1</t>
  </si>
  <si>
    <t>O9209_IND_TITU</t>
  </si>
  <si>
    <t>O9209_IND_MMFF</t>
  </si>
  <si>
    <t>O9209_IDNUMCLI</t>
  </si>
  <si>
    <t>Motivo de exclusión de informes</t>
  </si>
  <si>
    <t>O9209_MOTEXINF</t>
  </si>
  <si>
    <t>Flg Netting</t>
  </si>
  <si>
    <t>O9209_FLG_NETT</t>
  </si>
  <si>
    <t>Producto Global</t>
  </si>
  <si>
    <t>O9209_ID_PROD</t>
  </si>
  <si>
    <t>País residencia Cliente Avalista</t>
  </si>
  <si>
    <t>O9209_ID_PAIS</t>
  </si>
  <si>
    <t>%Participación (Soc no al 100%)</t>
  </si>
  <si>
    <t>O9209_PORPCIO</t>
  </si>
  <si>
    <t>FLG_Banco Multilateral</t>
  </si>
  <si>
    <t>O9209_FLG_MULT</t>
  </si>
  <si>
    <t>FLG_Organismo Supranacional (UE)</t>
  </si>
  <si>
    <t>O9209_FLG_SUPR</t>
  </si>
  <si>
    <t>Codigo de Garantía</t>
  </si>
  <si>
    <t>O9209_COD_GAR</t>
  </si>
  <si>
    <t>O9209_COD_SPV</t>
  </si>
  <si>
    <t>O9209_MATUPOSM</t>
  </si>
  <si>
    <t>O9209_RWPRMITI</t>
  </si>
  <si>
    <t>O9209_C_RW_IRB</t>
  </si>
  <si>
    <t>Importe Provisión</t>
  </si>
  <si>
    <t>O9209_IPROVISI</t>
  </si>
  <si>
    <t>Tipo Persona Cliente Titular</t>
  </si>
  <si>
    <t>O9209_TIP_PERT</t>
  </si>
  <si>
    <t>O9209_EXPPREMI</t>
  </si>
  <si>
    <t>Exposición Original</t>
  </si>
  <si>
    <t>O9209_EXP_ORIG</t>
  </si>
  <si>
    <t>Flag PYME</t>
  </si>
  <si>
    <t>O9209_FLG_PYME</t>
  </si>
  <si>
    <t>Flag Entidades financieras</t>
  </si>
  <si>
    <t>O9209_FLG_EFFC</t>
  </si>
  <si>
    <t>Garantía personal</t>
  </si>
  <si>
    <t>O9209_GAR_PERS</t>
  </si>
  <si>
    <t>Garantía Real</t>
  </si>
  <si>
    <t>O9209_GAR_REAL</t>
  </si>
  <si>
    <t>Porcentaje de la exposición</t>
  </si>
  <si>
    <t>O9209_POREXPO</t>
  </si>
  <si>
    <t>Indicador Fuente</t>
  </si>
  <si>
    <t>O9209_IND_FTE</t>
  </si>
  <si>
    <t>CHAR(00002)</t>
  </si>
  <si>
    <t>intragrupo</t>
  </si>
  <si>
    <t>O9209_INTRGRUP</t>
  </si>
  <si>
    <t>Rwa post mitigacion sin factor</t>
  </si>
  <si>
    <t>O9209_RWADM_SF</t>
  </si>
  <si>
    <t>Tipo Persona Cliente Avalista</t>
  </si>
  <si>
    <t>O9209_TIP_PERA</t>
  </si>
  <si>
    <t>Flag Topn</t>
  </si>
  <si>
    <t>O9209_FLGTOPN</t>
  </si>
  <si>
    <t>FLAG COREP</t>
  </si>
  <si>
    <t>O9209_FLG_CORE</t>
  </si>
  <si>
    <t>Entidad de Reporte</t>
  </si>
  <si>
    <t>O9209_EMPREPOR</t>
  </si>
  <si>
    <t>Saldo Dentro de Balance desponderizado</t>
  </si>
  <si>
    <t>O9209_SLDBDESP</t>
  </si>
  <si>
    <t>Saldo Fuera de Balance desponderizado</t>
  </si>
  <si>
    <t>O9209_SLFBDESP</t>
  </si>
  <si>
    <t>EAD pre-mitigación desponderizado</t>
  </si>
  <si>
    <t>O9209_EADPMDES</t>
  </si>
  <si>
    <t>PD Inicial</t>
  </si>
  <si>
    <t>O9209_IN_PDINI</t>
  </si>
  <si>
    <t>O9209_TPORCENT</t>
  </si>
  <si>
    <t>Garantías Reales para Riesgo de Crédito</t>
  </si>
  <si>
    <t>O9209_GRRICRE</t>
  </si>
  <si>
    <t>Garantías Reales de Naturaleza Financiera</t>
  </si>
  <si>
    <t>O9209_GRNATFIN</t>
  </si>
  <si>
    <t>Garantías Reales para Bienes Inmuebles</t>
  </si>
  <si>
    <t>O9209_GRINMUBL</t>
  </si>
  <si>
    <t>Garantías Reales Físicas Otras</t>
  </si>
  <si>
    <t>O9209_GROTRFIS</t>
  </si>
  <si>
    <t>O9209_GRDECHCO</t>
  </si>
  <si>
    <t>Flag Nuevos Morosos</t>
  </si>
  <si>
    <t>O9209_FLGNVMOR</t>
  </si>
  <si>
    <t>LGD Inicial</t>
  </si>
  <si>
    <t>O9209_LGDINICI</t>
  </si>
  <si>
    <t>ID Cartera</t>
  </si>
  <si>
    <t>O9209_ID_CARTE</t>
  </si>
  <si>
    <t xml:space="preserve">Facturación final </t>
  </si>
  <si>
    <t>O9209_FACFINAL</t>
  </si>
  <si>
    <t>O9209_PROVDBAL</t>
  </si>
  <si>
    <t>O9209_PROVFBAL</t>
  </si>
  <si>
    <t xml:space="preserve">Código Sector Actividad del cliente titular </t>
  </si>
  <si>
    <t>O9209_CODSACLT</t>
  </si>
  <si>
    <t xml:space="preserve">Código Sector Actividad del cliente fina </t>
  </si>
  <si>
    <t>O9209_CODSACLF</t>
  </si>
  <si>
    <t>Tratamiento Especial del cliente titular</t>
  </si>
  <si>
    <t>O9209_TTOESCLT</t>
  </si>
  <si>
    <t xml:space="preserve">Tratamiento Especial del cliente final </t>
  </si>
  <si>
    <t>O9209_TTOESCLF</t>
  </si>
  <si>
    <t xml:space="preserve">Flag identificación operativa de trade finance </t>
  </si>
  <si>
    <t>O9209_FLGOPTRF</t>
  </si>
  <si>
    <t xml:space="preserve">Flag identificación de ECAS para el cliente titular </t>
  </si>
  <si>
    <t>O9209_FLGECAST</t>
  </si>
  <si>
    <t xml:space="preserve">Flag identificación de ECAS para el cliente final </t>
  </si>
  <si>
    <t>O9209_FLGECASF</t>
  </si>
  <si>
    <t xml:space="preserve">Flag identificación de gobiernos regionales </t>
  </si>
  <si>
    <t>O9209_FLGGOBRG</t>
  </si>
  <si>
    <t xml:space="preserve">Saldo fuera de balance aplicado los CCF de STD </t>
  </si>
  <si>
    <t>O9209_SALFDBAL</t>
  </si>
  <si>
    <t xml:space="preserve">LTV calculado en el Motor IRB de cada Unidad </t>
  </si>
  <si>
    <t>O9209_LTV</t>
  </si>
  <si>
    <t>O9209_LGDGAFIN</t>
  </si>
  <si>
    <t>O9209_LGDGAINM</t>
  </si>
  <si>
    <t xml:space="preserve">Flag que identifica exposiciones con titular IRB y garantía STD </t>
  </si>
  <si>
    <t>O9209_FLGIRBST</t>
  </si>
  <si>
    <t xml:space="preserve">País de residencia del cliente titular </t>
  </si>
  <si>
    <t>O9209_PAIS</t>
  </si>
  <si>
    <t xml:space="preserve">Flag Entidades financieras cliente titular </t>
  </si>
  <si>
    <t>O9209_FLGENTFT</t>
  </si>
  <si>
    <t>O9209_CLSMETIT</t>
  </si>
  <si>
    <t>O9209_CLSMEFIN</t>
  </si>
  <si>
    <t>O9209_IDCTOORI</t>
  </si>
  <si>
    <t xml:space="preserve">Rating System final del contrato </t>
  </si>
  <si>
    <t>O9209_RATSFCTO</t>
  </si>
  <si>
    <t>CHAR(00032)</t>
  </si>
  <si>
    <t>O9209_ADDONFCT</t>
  </si>
  <si>
    <t>Flag identificación de gobiernos regionales cliente titular</t>
  </si>
  <si>
    <t>O9209_IMPORTE1</t>
  </si>
  <si>
    <t>O9209_IMPORTE2</t>
  </si>
  <si>
    <t>O9209_IMPORTE3</t>
  </si>
  <si>
    <t>Instrumentos mantenidos por una entidad tercera (columna 173 N008)</t>
  </si>
  <si>
    <t>O9209_IMPORTE4</t>
  </si>
  <si>
    <t>O9209_IMPORTE5</t>
  </si>
  <si>
    <t xml:space="preserve">Flag Intragrupo </t>
  </si>
  <si>
    <t>O9209_FLGINTRA</t>
  </si>
  <si>
    <t xml:space="preserve">Indicador titulizaciones con transferencia del riesgo </t>
  </si>
  <si>
    <t>O9209_INDTTRGO</t>
  </si>
  <si>
    <t>O9209_INDMORPM</t>
  </si>
  <si>
    <t>O9209_PORTITDB</t>
  </si>
  <si>
    <t>O9209_PORTITFB</t>
  </si>
  <si>
    <t>O9209_FACAPPYM</t>
  </si>
  <si>
    <t>Indicador exposiciones garantía hipotecaria</t>
  </si>
  <si>
    <t>O9209_INDEXGHI</t>
  </si>
  <si>
    <t>Detalle Ajuste</t>
  </si>
  <si>
    <t>O9209_DETAJUST</t>
  </si>
  <si>
    <t>O9209_CODDIV</t>
  </si>
  <si>
    <t>O9209_IMPORTE6</t>
  </si>
  <si>
    <t>O9209_IMPORTE7</t>
  </si>
  <si>
    <t>Importe libre 8</t>
  </si>
  <si>
    <t>O9209_IMPORTE8</t>
  </si>
  <si>
    <t>Importe libre 9</t>
  </si>
  <si>
    <t>O9209_IMPORTE9</t>
  </si>
  <si>
    <t>Importe libre 10</t>
  </si>
  <si>
    <t>O9209_IMPORT10</t>
  </si>
  <si>
    <t>LGD Pre-Mitigada</t>
  </si>
  <si>
    <t>O9209_LGDPRMIT</t>
  </si>
  <si>
    <t>Finalidad PRE</t>
  </si>
  <si>
    <t>O9209_FINALPRE</t>
  </si>
  <si>
    <t>Finalidad POST</t>
  </si>
  <si>
    <t>O9209_FINALPOS</t>
  </si>
  <si>
    <t>Flag Movilizado</t>
  </si>
  <si>
    <t>O9209_FLGMOVIL</t>
  </si>
  <si>
    <t>O9209_IMPORT11</t>
  </si>
  <si>
    <t>O9209_LGDSGDIN</t>
  </si>
  <si>
    <t>03.07.33</t>
  </si>
  <si>
    <t>Interface Corep Garantías Reales</t>
  </si>
  <si>
    <t>JM_GAR_AJ_REG</t>
  </si>
  <si>
    <t>O9215_FEOPERAC</t>
  </si>
  <si>
    <t>O9215_S1EMP</t>
  </si>
  <si>
    <t>O9215_CONTRA1</t>
  </si>
  <si>
    <t>O9215_BIENGAR1</t>
  </si>
  <si>
    <t>O9215_FINCALCU</t>
  </si>
  <si>
    <t xml:space="preserve">Tipo de ajuste </t>
  </si>
  <si>
    <t>O9215_TIPOAJUS</t>
  </si>
  <si>
    <t>Importe Cobertura</t>
  </si>
  <si>
    <t>O9215_IMPCOBRE</t>
  </si>
  <si>
    <t>O9215_PORCOBER</t>
  </si>
  <si>
    <t>Tipo Garantía</t>
  </si>
  <si>
    <t>O9215_TIP_GARA</t>
  </si>
  <si>
    <t>O9215_EXPPOSMI</t>
  </si>
  <si>
    <t>O9215_GAREA_OK</t>
  </si>
  <si>
    <t>Importe garantia final</t>
  </si>
  <si>
    <t>O9215_IMPGRFIN</t>
  </si>
  <si>
    <t>O9215_COD_GAR</t>
  </si>
  <si>
    <t>O9215_FLG_CORE</t>
  </si>
  <si>
    <t>Entidad Reporte</t>
  </si>
  <si>
    <t>O9215_EMPREPOR</t>
  </si>
  <si>
    <t>lgd</t>
  </si>
  <si>
    <t>O9215_LGD</t>
  </si>
  <si>
    <t>orden de garantias reales</t>
  </si>
  <si>
    <t>O9215_ORDGAREA</t>
  </si>
  <si>
    <t>Porcentaje de cobertura final</t>
  </si>
  <si>
    <t>O9215_PORCOBEF</t>
  </si>
  <si>
    <t>03.07.34</t>
  </si>
  <si>
    <t>Relación ajustada perímetro cliente intragrupo</t>
  </si>
  <si>
    <t>JM_INT_AJ_REG</t>
  </si>
  <si>
    <t>R5200_FEOPERAC</t>
  </si>
  <si>
    <t>R5200_S1EMP</t>
  </si>
  <si>
    <t>R5200_IDNUMCLI</t>
  </si>
  <si>
    <t>Cargabal</t>
  </si>
  <si>
    <t>R5200_ENTCGBAL</t>
  </si>
  <si>
    <t>Perímetro</t>
  </si>
  <si>
    <t>R5200_AMBITO</t>
  </si>
  <si>
    <t>CHAR(00006)</t>
  </si>
  <si>
    <t>Tipo de Ajuste</t>
  </si>
  <si>
    <t>R5200_TIPOAJUS</t>
  </si>
  <si>
    <t>Porcentaje Incorporación</t>
  </si>
  <si>
    <t>R5200_PORINCOR</t>
  </si>
  <si>
    <t>DEC (17,14)</t>
  </si>
  <si>
    <t>03.07.35</t>
  </si>
  <si>
    <t>Parámetros exposiciones no contractuales</t>
  </si>
  <si>
    <t>JM_PARAM_ENC</t>
  </si>
  <si>
    <t>R9417_FEOPERAC</t>
  </si>
  <si>
    <t>R9417_S1EMP</t>
  </si>
  <si>
    <t>Tipo de Cuenta</t>
  </si>
  <si>
    <t>R9417_TIPO_CTA</t>
  </si>
  <si>
    <t xml:space="preserve">Cuenta </t>
  </si>
  <si>
    <t>R9417_CUENTA</t>
  </si>
  <si>
    <t>R9417_RW</t>
  </si>
  <si>
    <t>CCF</t>
  </si>
  <si>
    <t>R9417_CCF</t>
  </si>
  <si>
    <t xml:space="preserve">Categoría </t>
  </si>
  <si>
    <t>R9417_CATEG</t>
  </si>
  <si>
    <t>Subcategoría</t>
  </si>
  <si>
    <t>R9417_SUBCATEG</t>
  </si>
  <si>
    <t>Indicador de Mora</t>
  </si>
  <si>
    <t>R9417_INDMORA</t>
  </si>
  <si>
    <t>Flag de Riesgo Elevado</t>
  </si>
  <si>
    <t>R9417_FLG_RIES</t>
  </si>
  <si>
    <t>Cuenta Deterioro</t>
  </si>
  <si>
    <t>R9417_CTA_DETE</t>
  </si>
  <si>
    <t>Indicador importe</t>
  </si>
  <si>
    <t>R9417_IND_IMPT</t>
  </si>
  <si>
    <t>Indicador balance</t>
  </si>
  <si>
    <t>R9417_IND_BALA</t>
  </si>
  <si>
    <t>Flag Cartera de Negociación</t>
  </si>
  <si>
    <t>R9417_FLG_CART</t>
  </si>
  <si>
    <t>03.07.36</t>
  </si>
  <si>
    <t xml:space="preserve">Garantías Hipotecarías Válidas </t>
  </si>
  <si>
    <t>JM_GR_HIP_VAL</t>
  </si>
  <si>
    <t>R9425_FEOPERAC</t>
  </si>
  <si>
    <t>R9425_S1EMP</t>
  </si>
  <si>
    <t>R9425_CONTRA1</t>
  </si>
  <si>
    <t>R9425_BIENGAR1</t>
  </si>
  <si>
    <t>Fecha de Valoración Actual</t>
  </si>
  <si>
    <t>R9425_FECVAACT</t>
  </si>
  <si>
    <t>Importe Valoración Actual</t>
  </si>
  <si>
    <t>R9425_IMGARACT</t>
  </si>
  <si>
    <t>Saldo Dentro de Balance</t>
  </si>
  <si>
    <t>R9425_SDBALA</t>
  </si>
  <si>
    <t>Saldo Fuera de Balance</t>
  </si>
  <si>
    <t>R9425_SFBALA</t>
  </si>
  <si>
    <t>Loan To Value</t>
  </si>
  <si>
    <t>R9425_LTV</t>
  </si>
  <si>
    <t>Indicador Hipotecas Garantías</t>
  </si>
  <si>
    <t>R9425_INDHIPGA</t>
  </si>
  <si>
    <t xml:space="preserve">Valoración Aplicar </t>
  </si>
  <si>
    <t>R9425_VAL_APLI</t>
  </si>
  <si>
    <t>Valoración Aplicar Repartida</t>
  </si>
  <si>
    <t>R9425_VAL_REPA</t>
  </si>
  <si>
    <t>Valoración Agregada</t>
  </si>
  <si>
    <t>R9425_VAL_AGRE</t>
  </si>
  <si>
    <t>Valoración Actual Repartido</t>
  </si>
  <si>
    <t>R9425_VAL_ACRE</t>
  </si>
  <si>
    <t>Flag Garantía Utilizada</t>
  </si>
  <si>
    <t>R9425_FLG_UTIL</t>
  </si>
  <si>
    <t>R9425_FINCALCU</t>
  </si>
  <si>
    <t>03.07.37</t>
  </si>
  <si>
    <t>Output Método Amplio</t>
  </si>
  <si>
    <t>JM_AMPLIO_STD</t>
  </si>
  <si>
    <t>R9429_FEOPERAC</t>
  </si>
  <si>
    <t>R9429_S1EMP</t>
  </si>
  <si>
    <t>R9429_CONTRA1</t>
  </si>
  <si>
    <t>R9429_BIENGAR1</t>
  </si>
  <si>
    <t>R9429_INDHIPGA</t>
  </si>
  <si>
    <t>Categoría Premitigación Inicial</t>
  </si>
  <si>
    <t>R9429_CATPRINI</t>
  </si>
  <si>
    <t>SubCategoría Premitigación Inicial</t>
  </si>
  <si>
    <t>R9429_SBCPRINI</t>
  </si>
  <si>
    <t xml:space="preserve">Tipo Mitigación </t>
  </si>
  <si>
    <t>R9429_TIP_MIT</t>
  </si>
  <si>
    <t>Identificador del cliente Titular</t>
  </si>
  <si>
    <t>R9429_IDNUMCLI</t>
  </si>
  <si>
    <t>Identificador cliente Final (Titular-Avalista)</t>
  </si>
  <si>
    <t>R9429_IDCLIFIN</t>
  </si>
  <si>
    <t>R9429_FLG_MMFF</t>
  </si>
  <si>
    <t>Indicador CCP</t>
  </si>
  <si>
    <t>R9429_INDCCP</t>
  </si>
  <si>
    <t>Flag Intragrupo</t>
  </si>
  <si>
    <t>R9429_FLGINTRA</t>
  </si>
  <si>
    <t>Flag Riesgo Elevado</t>
  </si>
  <si>
    <t>R9429_FLG_RIES</t>
  </si>
  <si>
    <t>R9429_INMORINI</t>
  </si>
  <si>
    <t>Rating ECAI Contrato</t>
  </si>
  <si>
    <t>R9429_ECAICTO</t>
  </si>
  <si>
    <t>Rating ECAI Cliente Titular</t>
  </si>
  <si>
    <t>R9429_ECAITIT</t>
  </si>
  <si>
    <t>Rating ECAI Avalista</t>
  </si>
  <si>
    <t>R9429_ECAIAVAL</t>
  </si>
  <si>
    <t>Rating ECAI Pais del Titular</t>
  </si>
  <si>
    <t>R9429_ECAIPATI</t>
  </si>
  <si>
    <t>Rating ECAI Pais del Avalista</t>
  </si>
  <si>
    <t>R9429_ECAIPAAV</t>
  </si>
  <si>
    <t>Categoría Premitigación Final</t>
  </si>
  <si>
    <t>R9429_CATPRFIN</t>
  </si>
  <si>
    <t>SubCategoría Premitigación Final</t>
  </si>
  <si>
    <t>R9429_SBCPRFIN</t>
  </si>
  <si>
    <t>Identificador de Tipo Calculo Premitigación</t>
  </si>
  <si>
    <t>R9429_TIPCALPR</t>
  </si>
  <si>
    <t>RW Categoría</t>
  </si>
  <si>
    <t>R9429_RW_CAT</t>
  </si>
  <si>
    <t>RW Subcategoría</t>
  </si>
  <si>
    <t>R9429_RW_SBC</t>
  </si>
  <si>
    <t>RW Premitigación Final</t>
  </si>
  <si>
    <t>R9429_RW_PREM</t>
  </si>
  <si>
    <t>Saldo Dentro de Balance Premitigación</t>
  </si>
  <si>
    <t>R9429_SDBPR</t>
  </si>
  <si>
    <t>Saldo Fuera de Balance Premitigación</t>
  </si>
  <si>
    <t>R9429_SFBPR</t>
  </si>
  <si>
    <t>Provisión Dentro de Balance Premitigación</t>
  </si>
  <si>
    <t>R9429_PROVDBPR</t>
  </si>
  <si>
    <t>Provisión Fuera de Balance Premitigación</t>
  </si>
  <si>
    <t>R9429_PROVFBPR</t>
  </si>
  <si>
    <t>Saldo Neteado Dentro de Balance Premitigación</t>
  </si>
  <si>
    <t>R9429_SDBNETPR</t>
  </si>
  <si>
    <t>Saldo Neteado Fuera de Balance Premitigación</t>
  </si>
  <si>
    <t>R9429_SFBNETPR</t>
  </si>
  <si>
    <t>EAD Premitigación</t>
  </si>
  <si>
    <t>R9429_EADPREM</t>
  </si>
  <si>
    <t>EAD Neta Premitigación</t>
  </si>
  <si>
    <t>R9429_EADNETPR</t>
  </si>
  <si>
    <t>EAD Neta con CCF Premitigación</t>
  </si>
  <si>
    <t>R9429_EADCCFPR</t>
  </si>
  <si>
    <t>RWA Premitigación</t>
  </si>
  <si>
    <t>R9429_RWA_PREM</t>
  </si>
  <si>
    <t>Capital Premitigación</t>
  </si>
  <si>
    <t>R9429_CAP_PREM</t>
  </si>
  <si>
    <t>Categoría Postmitigación</t>
  </si>
  <si>
    <t>R9429_CATPSFIN</t>
  </si>
  <si>
    <t>SubCategoría Postmitigación</t>
  </si>
  <si>
    <t>R9429_SBCPSFIN</t>
  </si>
  <si>
    <t>Identificador de Tipo de Cálculo Postmitigación</t>
  </si>
  <si>
    <t>R9429_TIPCALPS</t>
  </si>
  <si>
    <t>RW Avalista</t>
  </si>
  <si>
    <t>R9429_RW_AVAL</t>
  </si>
  <si>
    <t>RW Postmitigación</t>
  </si>
  <si>
    <t>R9429_RW_POSM</t>
  </si>
  <si>
    <t>Saldo Dentro de Balance Postmitigación</t>
  </si>
  <si>
    <t>R9429_SDBPS</t>
  </si>
  <si>
    <t>Saldo Fuera de Balance Postmitigación</t>
  </si>
  <si>
    <t>R9429_SFBPS</t>
  </si>
  <si>
    <t>Provisión Dentro de Balance Postmitigación</t>
  </si>
  <si>
    <t>R9429_PROVDBPS</t>
  </si>
  <si>
    <t>Provisión Fuera de Balance Postmitigación</t>
  </si>
  <si>
    <t>R9429_PROVFBPS</t>
  </si>
  <si>
    <t>Saldo Neto Dentro de Balance Postmitigación</t>
  </si>
  <si>
    <t>R9429_SDBNETPS</t>
  </si>
  <si>
    <t>Saldo Neto Fuera de Balance Postmitigación</t>
  </si>
  <si>
    <t>R9429_SFBNETPS</t>
  </si>
  <si>
    <t>Indicador de Mora Postmitigación</t>
  </si>
  <si>
    <t>R9429_INMORFIN</t>
  </si>
  <si>
    <t>EAD Neta Postmitigación</t>
  </si>
  <si>
    <t>R9429_EADNETPS</t>
  </si>
  <si>
    <t>EAD Neta con CCF Postmitigación</t>
  </si>
  <si>
    <t>R9429_EADCFFPS</t>
  </si>
  <si>
    <t>RWA Postmitigación</t>
  </si>
  <si>
    <t>R9429_RWA_POSM</t>
  </si>
  <si>
    <t>Capital Postmitigación</t>
  </si>
  <si>
    <t>R9429_CAP_POSM</t>
  </si>
  <si>
    <t>Porcentaje de Cobertura Aplicado</t>
  </si>
  <si>
    <t>R9429_PCOBAPLI</t>
  </si>
  <si>
    <t>Importe Mitigado por Garantías Reales SDB</t>
  </si>
  <si>
    <t>R9429_IMPMITDB</t>
  </si>
  <si>
    <t>R9429_COD_SPV</t>
  </si>
  <si>
    <t>CHAR(0040)</t>
  </si>
  <si>
    <t>R9429_TPORCENT</t>
  </si>
  <si>
    <t>53</t>
  </si>
  <si>
    <t>CCF de SFB</t>
  </si>
  <si>
    <t>R9429_CCF_SFB</t>
  </si>
  <si>
    <t>11.2/14</t>
  </si>
  <si>
    <t>Motivo de exclusión de informe</t>
  </si>
  <si>
    <t>R9429_MOTEXINF</t>
  </si>
  <si>
    <t xml:space="preserve">Tipo de cartera pre-mitigación </t>
  </si>
  <si>
    <t>R9429_CARSTPRE</t>
  </si>
  <si>
    <t>Tipo de cartera post-mitigación</t>
  </si>
  <si>
    <t>R9429_CARSTPOS</t>
  </si>
  <si>
    <t>Origen cálculo RWA</t>
  </si>
  <si>
    <t>R9429_ORIGENRW</t>
  </si>
  <si>
    <t>Fuente Origen del contrato</t>
  </si>
  <si>
    <t>R9429_ORIGENCT</t>
  </si>
  <si>
    <t>R9429_ENTCNTRT</t>
  </si>
  <si>
    <t>Flag Nuevos morosos</t>
  </si>
  <si>
    <t>R9429_FLGNVMOR</t>
  </si>
  <si>
    <t>Indicador de Titulizado</t>
  </si>
  <si>
    <t>R9429_IND_TITU</t>
  </si>
  <si>
    <t>Indicador titulizaciones con transferencia riesgo</t>
  </si>
  <si>
    <t>R9429_TIT_TRAN</t>
  </si>
  <si>
    <t>Reducción de garantías reales por haircuts</t>
  </si>
  <si>
    <t>R9429_IMGRHAIR</t>
  </si>
  <si>
    <t>Importe Mitigado por Garantías Reales SFB</t>
  </si>
  <si>
    <t>R9429_IMPMITFB</t>
  </si>
  <si>
    <t>Flag EAD negativa</t>
  </si>
  <si>
    <t>R9429_FLGEADNG</t>
  </si>
  <si>
    <t>Agrupador de producto</t>
  </si>
  <si>
    <t>R9429_ID_PROD</t>
  </si>
  <si>
    <t>R9429_PORPCIO</t>
  </si>
  <si>
    <t>R9429_PORTITDB</t>
  </si>
  <si>
    <t>R9429_PORTITFB</t>
  </si>
  <si>
    <t xml:space="preserve">Flag riesgo elevado post-mitigación </t>
  </si>
  <si>
    <t>R9429_FLGRPOSM</t>
  </si>
  <si>
    <t xml:space="preserve">Porcentaje de factor de apoyo a PyMEs </t>
  </si>
  <si>
    <t>R9429_FACAPPYM</t>
  </si>
  <si>
    <t>Indicador de CCP post-mitigación</t>
  </si>
  <si>
    <t>R9429_IMPORTE1</t>
  </si>
  <si>
    <t>R9429_IMPORTE2</t>
  </si>
  <si>
    <t>R9429_IMPORTE3</t>
  </si>
  <si>
    <t>14/14.1</t>
  </si>
  <si>
    <t>Sector Actividad - Cliente titular</t>
  </si>
  <si>
    <t>R9429_IMPORTE4</t>
  </si>
  <si>
    <t>Sector Actividad - Cliente final</t>
  </si>
  <si>
    <t>R9429_IMPORTE5</t>
  </si>
  <si>
    <t>Indicador Riesgo Contraparte pre-mitigación</t>
  </si>
  <si>
    <t>R9429_IRGOCPRE</t>
  </si>
  <si>
    <t>Indicador riesgo Contraparte post-mitigación</t>
  </si>
  <si>
    <t>R9429_IRGOCPOS</t>
  </si>
  <si>
    <t>R9429_CODDIV</t>
  </si>
  <si>
    <t>R9429_FINCALCU</t>
  </si>
  <si>
    <t>Porcentaje Cobertura Aplicado en SDB</t>
  </si>
  <si>
    <t>R9429_PCOBSDB</t>
  </si>
  <si>
    <t>Porcentaje Cobertura Aplicado en SFB</t>
  </si>
  <si>
    <t>R9429_PCOBSFB</t>
  </si>
  <si>
    <t>R9429_FLGMOVIL</t>
  </si>
  <si>
    <t>Importe 6</t>
  </si>
  <si>
    <t>R9429_IMPORTE6</t>
  </si>
  <si>
    <t>Importe 7</t>
  </si>
  <si>
    <t>R9429_IMPORTE7</t>
  </si>
  <si>
    <t>Importe 8</t>
  </si>
  <si>
    <t>R9429_IMPORTE8</t>
  </si>
  <si>
    <t>Importe 9</t>
  </si>
  <si>
    <t>R9429_IMPORTE9</t>
  </si>
  <si>
    <t>Importe 10</t>
  </si>
  <si>
    <t>R9429_IMPORT10</t>
  </si>
  <si>
    <t>03.07.38</t>
  </si>
  <si>
    <t>Output Método Simple</t>
  </si>
  <si>
    <t>JM_SIMPLE_STD</t>
  </si>
  <si>
    <t>R9427_FEOPERAC</t>
  </si>
  <si>
    <t>R9427_S1EMP</t>
  </si>
  <si>
    <t>R9427_CONTRA1</t>
  </si>
  <si>
    <t>R9427_BIENGAR1</t>
  </si>
  <si>
    <t>R9427_INDHIPGA</t>
  </si>
  <si>
    <t>R9427_TIP_MIT</t>
  </si>
  <si>
    <t>R9427_CATPRINI</t>
  </si>
  <si>
    <t>R9427_SBCPRINI</t>
  </si>
  <si>
    <t>R9427_IDNUMCLI</t>
  </si>
  <si>
    <t>Identificador cliente Final (Titular-Avalista-Emisor)</t>
  </si>
  <si>
    <t>R9427_IDCLIFIN</t>
  </si>
  <si>
    <t>R9427_FLG_MMFF</t>
  </si>
  <si>
    <t>R9427_INDCCP</t>
  </si>
  <si>
    <t>R9427_FLGINTRA</t>
  </si>
  <si>
    <t>R9427_FLG_RIES</t>
  </si>
  <si>
    <t>R9427_INMORINI</t>
  </si>
  <si>
    <t>R9427_ECAICTO</t>
  </si>
  <si>
    <t>R9427_ECAITIT</t>
  </si>
  <si>
    <t>Rating ECAI Garantía</t>
  </si>
  <si>
    <t>R9427_ECAIGAR</t>
  </si>
  <si>
    <t>Rating ECAI Avalista o Emisor</t>
  </si>
  <si>
    <t>R9427_ECAIAVEM</t>
  </si>
  <si>
    <t>R9427_ECAIPATI</t>
  </si>
  <si>
    <t>Rating ECAI Pais del Avalista o Emisor</t>
  </si>
  <si>
    <t>R9427_ECAIPAAE</t>
  </si>
  <si>
    <t>R9427_CATPRFIN</t>
  </si>
  <si>
    <t>R9427_SBCPRFIN</t>
  </si>
  <si>
    <t>Identificador de Curva Premitigación</t>
  </si>
  <si>
    <t>R9427_TIPCALPR</t>
  </si>
  <si>
    <t>R9427_RW_CAT</t>
  </si>
  <si>
    <t>R9427_RW_SBC</t>
  </si>
  <si>
    <t>RW Premitigación</t>
  </si>
  <si>
    <t>R9427_RW_PREM</t>
  </si>
  <si>
    <t>R9427_SDBPR</t>
  </si>
  <si>
    <t>R9427_SFBPR</t>
  </si>
  <si>
    <t>R9427_PROVDBPR</t>
  </si>
  <si>
    <t>R9427_PROVFBPR</t>
  </si>
  <si>
    <t>Saldo Neto Dentro de Balance Premitigación</t>
  </si>
  <si>
    <t>R9427_SDBNETPR</t>
  </si>
  <si>
    <t>Saldo Neto Fuera de Balance Premitigación</t>
  </si>
  <si>
    <t>R9427_SFBNETPR</t>
  </si>
  <si>
    <t>R9427_EADPREM</t>
  </si>
  <si>
    <t>R9427_EADNETPR</t>
  </si>
  <si>
    <t>R9427_EADCCFPR</t>
  </si>
  <si>
    <t>R9427_RWA_PREM</t>
  </si>
  <si>
    <t>R9427_CAP_PREM</t>
  </si>
  <si>
    <t>R9427_CATPSFIN</t>
  </si>
  <si>
    <t>R9427_SBCPSFIN</t>
  </si>
  <si>
    <t>Identificador de Tipo Cálculo Postmitigación</t>
  </si>
  <si>
    <t>R9427_TIPCALPS</t>
  </si>
  <si>
    <t>RW Avalista o Emisor</t>
  </si>
  <si>
    <t>R9427_RW_AVEM</t>
  </si>
  <si>
    <t>R9427_RW_POSM</t>
  </si>
  <si>
    <t>R9427_SDBPS</t>
  </si>
  <si>
    <t>R9427_SFBPS</t>
  </si>
  <si>
    <t>R9427_PROVDBPS</t>
  </si>
  <si>
    <t>R9427_PROVFBPS</t>
  </si>
  <si>
    <t>R9427_SDBNETPS</t>
  </si>
  <si>
    <t>R9427_SFBNETPS</t>
  </si>
  <si>
    <t>R9427_INMORFIN</t>
  </si>
  <si>
    <t>R9427_EADNETPS</t>
  </si>
  <si>
    <t>R9427_EADCFFPS</t>
  </si>
  <si>
    <t>R9427_RWA_POSM</t>
  </si>
  <si>
    <t>R9427_CAP_POSM</t>
  </si>
  <si>
    <t>Porcentaje de Cobertura Aplicado en SDB</t>
  </si>
  <si>
    <t>R9427_PCOBSDB</t>
  </si>
  <si>
    <t>Porcentaje de Cobertura Aplicado en SFB</t>
  </si>
  <si>
    <t>R9427_PCOBSFB</t>
  </si>
  <si>
    <t>R9427_COD_SPV</t>
  </si>
  <si>
    <t>R9427_TPORCENT</t>
  </si>
  <si>
    <t>R9427_CCF_SFB</t>
  </si>
  <si>
    <t>R9427_MOTEXINF</t>
  </si>
  <si>
    <t>Tipo de cartera pre-mitigación</t>
  </si>
  <si>
    <t>R9427_CARSTPRE</t>
  </si>
  <si>
    <t>R9427_CARSTPOS</t>
  </si>
  <si>
    <t>R9427_ORIGENRW</t>
  </si>
  <si>
    <t>R9427_ORIGENCT</t>
  </si>
  <si>
    <t>R9427_ENTCNTRT</t>
  </si>
  <si>
    <t>R9427_FLGNVMOR</t>
  </si>
  <si>
    <t>R9427_IND_TITU</t>
  </si>
  <si>
    <t>R9427_TIT_TRAN</t>
  </si>
  <si>
    <t>R9427_FLGEADNG</t>
  </si>
  <si>
    <t>R9427_ID_PROD</t>
  </si>
  <si>
    <t>R9427_PORPCIO</t>
  </si>
  <si>
    <t>R9427_PORTITDB</t>
  </si>
  <si>
    <t>R9427_PORTITFB</t>
  </si>
  <si>
    <t>R9427_FLGRPOSM</t>
  </si>
  <si>
    <t>R9427_FACAPPYM</t>
  </si>
  <si>
    <t>R9427_IMPORTE1</t>
  </si>
  <si>
    <t>R9427_IMPORTE2</t>
  </si>
  <si>
    <t>R9427_IMPORTE3</t>
  </si>
  <si>
    <t>R9427_IMPORTE4</t>
  </si>
  <si>
    <t>R9427_IMPORTE5</t>
  </si>
  <si>
    <t>R9427_IRGOCPRE</t>
  </si>
  <si>
    <t>CHAR (0001)</t>
  </si>
  <si>
    <t>R9427_IRGOCPOS</t>
  </si>
  <si>
    <t>R9427_CODDIV</t>
  </si>
  <si>
    <t>CHAR (0003)</t>
  </si>
  <si>
    <t>R9427_FINCALCU</t>
  </si>
  <si>
    <t>R9427_FLGMOVIL</t>
  </si>
  <si>
    <t>R9427_IMPORTE6</t>
  </si>
  <si>
    <t>R9427_IMPORTE7</t>
  </si>
  <si>
    <t>R9427_IMPORTE8</t>
  </si>
  <si>
    <t>R9427_IMPORTE9</t>
  </si>
  <si>
    <t>R9427_IMPORT10</t>
  </si>
  <si>
    <t>03.07.39</t>
  </si>
  <si>
    <t>Output Exposiciones No Contractuales</t>
  </si>
  <si>
    <t>JM_ENC_STD</t>
  </si>
  <si>
    <t>R9431_FEOPERAC</t>
  </si>
  <si>
    <t>R9431_S1EMP</t>
  </si>
  <si>
    <t>R9431_TIPO_CTA</t>
  </si>
  <si>
    <t>R9431_CUENTA</t>
  </si>
  <si>
    <t>Cuenta Padre</t>
  </si>
  <si>
    <t>R9431_CTAPADRE</t>
  </si>
  <si>
    <t>Importe Agregado</t>
  </si>
  <si>
    <t>R9431_IMPTAGRE</t>
  </si>
  <si>
    <t>R9431_CCF</t>
  </si>
  <si>
    <t>R9431_RW</t>
  </si>
  <si>
    <t>Categoría</t>
  </si>
  <si>
    <t>R9431_CATEG</t>
  </si>
  <si>
    <t>R9431_SUBCATEG</t>
  </si>
  <si>
    <t>R9431_INDMORA</t>
  </si>
  <si>
    <t>R9431_FLG_RIES</t>
  </si>
  <si>
    <t>R9431_EAD</t>
  </si>
  <si>
    <t>R9431_RWA</t>
  </si>
  <si>
    <t>Capital</t>
  </si>
  <si>
    <t>R9431_CAPITAL</t>
  </si>
  <si>
    <t>03.07.40</t>
  </si>
  <si>
    <t>Garantías Personales Válidas Método Amplio</t>
  </si>
  <si>
    <t>JM_GP_VAL_AMP</t>
  </si>
  <si>
    <t>R9437_FEOPERAC</t>
  </si>
  <si>
    <t>R9437_S1EMP</t>
  </si>
  <si>
    <t>R9437_CONTRA1</t>
  </si>
  <si>
    <t>R9437_BIENGAR1</t>
  </si>
  <si>
    <t>R9437_INDHIPGA</t>
  </si>
  <si>
    <t>R9437_CATPRFIN</t>
  </si>
  <si>
    <t>R9437_SBCPRFIN</t>
  </si>
  <si>
    <t>R9437_IDNUMCLI</t>
  </si>
  <si>
    <t>Porcentaje de Cobertura</t>
  </si>
  <si>
    <t>R9437_PORCOBER</t>
  </si>
  <si>
    <t xml:space="preserve">Categoría Avalista  </t>
  </si>
  <si>
    <t>R9437_CAT_AVAL</t>
  </si>
  <si>
    <t>R9437_RW_AVAL</t>
  </si>
  <si>
    <t>R9437_RW_PREM</t>
  </si>
  <si>
    <t>Saldo Neto Dentro de Balance  Postmitigación</t>
  </si>
  <si>
    <t>R9437_SDBNETPS</t>
  </si>
  <si>
    <t>Saldo Neto Fuera de Balance  Postmitigación</t>
  </si>
  <si>
    <t>R9437_SFBNETPS</t>
  </si>
  <si>
    <t>Saldo Neto Dentro de Balance Cubierto</t>
  </si>
  <si>
    <t>R9437_SDBNETCU</t>
  </si>
  <si>
    <t>Saldo Neto Fuera de Balance  Cubierto</t>
  </si>
  <si>
    <t>R9437_SFBNETCU</t>
  </si>
  <si>
    <t>Porcentaje de Cobertura Real</t>
  </si>
  <si>
    <t>R9437_PORCREAL</t>
  </si>
  <si>
    <t>R9437_RW_POSM</t>
  </si>
  <si>
    <t>R9437_FLG_UTIL</t>
  </si>
  <si>
    <t>R9437_FINCALCU</t>
  </si>
  <si>
    <t>R9437_PCOBSDB</t>
  </si>
  <si>
    <t>R9437_PCOBSFB</t>
  </si>
  <si>
    <t>Haircut por desfase de divisas</t>
  </si>
  <si>
    <t>R9437_HCTDFDIV</t>
  </si>
  <si>
    <t>Haircut (Factor) por desfase de vencimiento</t>
  </si>
  <si>
    <t>R9437_HCTDFVEN</t>
  </si>
  <si>
    <t>03.07.41</t>
  </si>
  <si>
    <t>Garantías Reales Válidas Método Amplio</t>
  </si>
  <si>
    <t>JM_GR_VAL_AMP</t>
  </si>
  <si>
    <t>R9433_FEOPERAC</t>
  </si>
  <si>
    <t>R9433_S1EMP</t>
  </si>
  <si>
    <t>R9433_CONTRA1</t>
  </si>
  <si>
    <t>R9433_BIENGAR1</t>
  </si>
  <si>
    <t>R9433_INDHIPGA</t>
  </si>
  <si>
    <t>R9433_CATPRFIN</t>
  </si>
  <si>
    <t>R9433_SBCPRFIN</t>
  </si>
  <si>
    <t>R9433_IDNUMCLI</t>
  </si>
  <si>
    <t>R9433_FECVAACT</t>
  </si>
  <si>
    <t>R9433_IMGARACT</t>
  </si>
  <si>
    <t>R9433_SDBNETPR</t>
  </si>
  <si>
    <t>R9433_SFBNETPR</t>
  </si>
  <si>
    <t>R9433_ECAIGAR</t>
  </si>
  <si>
    <t>Rating ECAI Emisor</t>
  </si>
  <si>
    <t>R9433_ECAIEMI</t>
  </si>
  <si>
    <t>Rating ECAI País Emisor</t>
  </si>
  <si>
    <t>R9433_ECAIPEMI</t>
  </si>
  <si>
    <t>Importe Cobertura Real</t>
  </si>
  <si>
    <t>R9433_IMCOBREA</t>
  </si>
  <si>
    <t>Haircut</t>
  </si>
  <si>
    <t>R9433_HAIRCUT</t>
  </si>
  <si>
    <t>Importe Cobertura Real con Haircut</t>
  </si>
  <si>
    <t>R9433_IMCBREHC</t>
  </si>
  <si>
    <t>Saldo Neto Dentro de Balance Restante</t>
  </si>
  <si>
    <t>R9433_SDBNETRE</t>
  </si>
  <si>
    <t>Saldo Neto Fuera de Balance  Restante</t>
  </si>
  <si>
    <t>R9433_SFBNETRE</t>
  </si>
  <si>
    <t>R9433_SDBNETCU</t>
  </si>
  <si>
    <t>Saldo Neto fuera de Balance Cubierto</t>
  </si>
  <si>
    <t>R9433_SDFNETCU</t>
  </si>
  <si>
    <t>R9433_FLG_UTIL</t>
  </si>
  <si>
    <t>R9433_FINCALCU</t>
  </si>
  <si>
    <t>R9433_PCOBSDB</t>
  </si>
  <si>
    <t>R9433_PCOBSFB</t>
  </si>
  <si>
    <t>R9433_HCTDFDIV</t>
  </si>
  <si>
    <t>Haircut (factor) por desfase de vencimiento</t>
  </si>
  <si>
    <t>R9433_HCTDFVEN</t>
  </si>
  <si>
    <t>03.07.42</t>
  </si>
  <si>
    <t>Garantías Personales Descartadas Método Amplio</t>
  </si>
  <si>
    <t>JM_GP_DES_AMP</t>
  </si>
  <si>
    <t>R9439_FEOPERAC</t>
  </si>
  <si>
    <t>R9439_S1EMP</t>
  </si>
  <si>
    <t>R9439_CONTRA1</t>
  </si>
  <si>
    <t>R9439_BIENGAR1</t>
  </si>
  <si>
    <t>R9439_INDHIPGA</t>
  </si>
  <si>
    <t>R9439_CATPRFIN</t>
  </si>
  <si>
    <t>R9439_SBCPRFIN</t>
  </si>
  <si>
    <t>Categoría Avalista</t>
  </si>
  <si>
    <t>R9439_CAT_AVAL</t>
  </si>
  <si>
    <t>R9439_IDNUMCLI</t>
  </si>
  <si>
    <t>R9439_PORCOBER</t>
  </si>
  <si>
    <t>R9439_RW_PREM</t>
  </si>
  <si>
    <t>R9439_RW_AVAL</t>
  </si>
  <si>
    <t>Motivo de Descarte</t>
  </si>
  <si>
    <t>R9439_MOTDESCA</t>
  </si>
  <si>
    <t>R9439_FINCALCU</t>
  </si>
  <si>
    <t>03.07.43</t>
  </si>
  <si>
    <t>Garantías Reales Descartadas Método Amplio</t>
  </si>
  <si>
    <t>JM_GR_DES_AMP</t>
  </si>
  <si>
    <t>R9435_FEOPERAC</t>
  </si>
  <si>
    <t>R9435_S1EMP</t>
  </si>
  <si>
    <t>R9435_CONTRA1</t>
  </si>
  <si>
    <t>R9435_BIENGAR1</t>
  </si>
  <si>
    <t>R9435_INDHIPGA</t>
  </si>
  <si>
    <t>R9435_CATPRFIN</t>
  </si>
  <si>
    <t>R9435_SBCPRFIN</t>
  </si>
  <si>
    <t>R9435_IDNUMCLI</t>
  </si>
  <si>
    <t>R9435_FECVAACT</t>
  </si>
  <si>
    <t>R9435_IMGARACT</t>
  </si>
  <si>
    <t>R9435_SDBNETPR</t>
  </si>
  <si>
    <t>R9435_SFBNETPR</t>
  </si>
  <si>
    <t>R9435_ECAIGAR</t>
  </si>
  <si>
    <t>R9435_ECAIEMI</t>
  </si>
  <si>
    <t>R9435_ECAIPEMI</t>
  </si>
  <si>
    <t>R9435_IMCOBREA</t>
  </si>
  <si>
    <t>R9435_HAIRCUT</t>
  </si>
  <si>
    <t>R9435_MOTDESCA</t>
  </si>
  <si>
    <t>R9435_FINCALCU</t>
  </si>
  <si>
    <t>03.07.44</t>
  </si>
  <si>
    <t>Garantías Válidas Método Simple</t>
  </si>
  <si>
    <t>JM_GA_VAL_SIM</t>
  </si>
  <si>
    <t>R9441_FEOPERAC</t>
  </si>
  <si>
    <t>R9441_S1EMP</t>
  </si>
  <si>
    <t>R9441_CONTRA1</t>
  </si>
  <si>
    <t>R9441_BIENGAR1</t>
  </si>
  <si>
    <t>Tipo de Garantía</t>
  </si>
  <si>
    <t>R9441_TIP_GARA</t>
  </si>
  <si>
    <t>R9441_INDHIPGA</t>
  </si>
  <si>
    <t>R9441_CATPRFIN</t>
  </si>
  <si>
    <t>R9441_SBCPRFIN</t>
  </si>
  <si>
    <t>Categoría Avalista o Emisor</t>
  </si>
  <si>
    <t>R9441_CAT_AVEM</t>
  </si>
  <si>
    <t>R9441_IDNUMCLI</t>
  </si>
  <si>
    <t>R9441_FECVAACT</t>
  </si>
  <si>
    <t>R9441_IMGARACT</t>
  </si>
  <si>
    <t>R9441_RW_PREM</t>
  </si>
  <si>
    <t>R9441_SDBNETPR</t>
  </si>
  <si>
    <t>R9441_SFBNETPR</t>
  </si>
  <si>
    <t>R9441_PORCOBER</t>
  </si>
  <si>
    <t>Importe Cubierto</t>
  </si>
  <si>
    <t>R9441_IMCOBREA</t>
  </si>
  <si>
    <t>RW Aval o Emisor</t>
  </si>
  <si>
    <t>R9441_RW_AVEM</t>
  </si>
  <si>
    <t>R9441_SDBNETCU</t>
  </si>
  <si>
    <t>R9441_SDFNETCU</t>
  </si>
  <si>
    <t>R9441_RW_POSM</t>
  </si>
  <si>
    <t>R9441_FLG_UTIL</t>
  </si>
  <si>
    <t>R9441_PCOBSDB</t>
  </si>
  <si>
    <t>R9441_PCOBSFB</t>
  </si>
  <si>
    <t>R9441_FINCALCU</t>
  </si>
  <si>
    <t>R9441_HCTDFDIV</t>
  </si>
  <si>
    <t>R9441_HCTDFVEN</t>
  </si>
  <si>
    <t>03.07.45</t>
  </si>
  <si>
    <t>Garantías Descartadas Método Simple</t>
  </si>
  <si>
    <t>JM_GA_DES_SIM</t>
  </si>
  <si>
    <t>R9443_FEOPERAC</t>
  </si>
  <si>
    <t>R9443_S1EMP</t>
  </si>
  <si>
    <t>R9443_CONTRA1</t>
  </si>
  <si>
    <t>R9443_BIENGAR1</t>
  </si>
  <si>
    <t>R9443_TIP_GARA</t>
  </si>
  <si>
    <t>R9443_INDHIPGA</t>
  </si>
  <si>
    <t>R9443_CATPRFIN</t>
  </si>
  <si>
    <t>R9443_SBCPRFIN</t>
  </si>
  <si>
    <t>R9443_CAT_AVEM</t>
  </si>
  <si>
    <t>R9443_IDNUMCLI</t>
  </si>
  <si>
    <t>R9443_FECVAACT</t>
  </si>
  <si>
    <t>R9443_IMGARACT</t>
  </si>
  <si>
    <t>R9443_RW_AVEM</t>
  </si>
  <si>
    <t>R9443_RW_PREM</t>
  </si>
  <si>
    <t>R9443_SDBNETPR</t>
  </si>
  <si>
    <t>R9443_SFBNETPR</t>
  </si>
  <si>
    <t>R9443_PORCOBER</t>
  </si>
  <si>
    <t>R9443_IMCOBREA</t>
  </si>
  <si>
    <t>R9443_MOTDESCA</t>
  </si>
  <si>
    <t>R9443_FINCALCU</t>
  </si>
  <si>
    <t>03.07.46</t>
  </si>
  <si>
    <t>Filtros Contratos Estándar</t>
  </si>
  <si>
    <t>JM_FILT_STD</t>
  </si>
  <si>
    <t>R9447_FEOPERAC</t>
  </si>
  <si>
    <t>R9447_S1EMP</t>
  </si>
  <si>
    <t>R9447_CONTRA1</t>
  </si>
  <si>
    <t>Cta. Contable Local</t>
  </si>
  <si>
    <t>R9447_CTA_CONT</t>
  </si>
  <si>
    <t>R9447_TIP_IMPT</t>
  </si>
  <si>
    <t>R9447_CENTCTBL</t>
  </si>
  <si>
    <t>R9447_AGRCTACB</t>
  </si>
  <si>
    <t>R9447_CTACGBAL</t>
  </si>
  <si>
    <t>CHAR(0200)</t>
  </si>
  <si>
    <t>R9447_IMPORTH</t>
  </si>
  <si>
    <t xml:space="preserve">Tipo de Filtro </t>
  </si>
  <si>
    <t>R9447_TIPO</t>
  </si>
  <si>
    <t>Filtro de Exclusión</t>
  </si>
  <si>
    <t>R9447_FILTROEX</t>
  </si>
  <si>
    <t>R9447_FINCALCU</t>
  </si>
  <si>
    <t>03.07.47</t>
  </si>
  <si>
    <t>Variables Calculadas Cliente Estándar</t>
  </si>
  <si>
    <t>JM_VR_CLI_STD</t>
  </si>
  <si>
    <t>R9451_FEOPERAC</t>
  </si>
  <si>
    <t>R9451_S1EMP</t>
  </si>
  <si>
    <t>R9451_IDNUMCLI</t>
  </si>
  <si>
    <t>Grupo Económico</t>
  </si>
  <si>
    <t>R9451_GRUP_ECO</t>
  </si>
  <si>
    <t>R9451_ROL_JERA</t>
  </si>
  <si>
    <t>Código KGL4</t>
  </si>
  <si>
    <t>R9451_COD_KGL4</t>
  </si>
  <si>
    <t>CHAR (00009)</t>
  </si>
  <si>
    <t>Facturación Cliente</t>
  </si>
  <si>
    <t>R9451_FACT_CLI</t>
  </si>
  <si>
    <t>R9451_FACT_GR</t>
  </si>
  <si>
    <t>Facturación Final</t>
  </si>
  <si>
    <t>R9451_FACT_FIN</t>
  </si>
  <si>
    <t>R9451_FLGFACDF</t>
  </si>
  <si>
    <t>Total Activos del Cliente</t>
  </si>
  <si>
    <t>R9451_ACT_CLI</t>
  </si>
  <si>
    <t>Total Activos del Grupo</t>
  </si>
  <si>
    <t>R9451_ACT_GR</t>
  </si>
  <si>
    <t>Total Activos Final</t>
  </si>
  <si>
    <t>R9451_ACT_FIN</t>
  </si>
  <si>
    <t xml:space="preserve">Riesgo Agregado Cliente </t>
  </si>
  <si>
    <t>R9451_RGO_CLI</t>
  </si>
  <si>
    <t>Riesgo Agregado Grupo</t>
  </si>
  <si>
    <t>R9451_RGO_GR</t>
  </si>
  <si>
    <t>Riesgo Agregado Cliente PYME</t>
  </si>
  <si>
    <t>R9451_RGOCLPYM</t>
  </si>
  <si>
    <t>Riesgo Agregado Grupo PYME</t>
  </si>
  <si>
    <t>R9451_RGOGRPYM</t>
  </si>
  <si>
    <t>R9451_FLG_PYME</t>
  </si>
  <si>
    <t>Flag BCE</t>
  </si>
  <si>
    <t>R9451_FLG_BCE</t>
  </si>
  <si>
    <t>R9451_FLGINTRA</t>
  </si>
  <si>
    <t>R9451_FINCALCU</t>
  </si>
  <si>
    <t>03.07.48</t>
  </si>
  <si>
    <t>Variables Calculadas Contrato Estándar</t>
  </si>
  <si>
    <t>JM_VR_CTO_STD</t>
  </si>
  <si>
    <t>R9449_FEOPERAC</t>
  </si>
  <si>
    <t>R9449_S1EMP</t>
  </si>
  <si>
    <t>R9449_CONTRA1</t>
  </si>
  <si>
    <t xml:space="preserve">EAD MMFF </t>
  </si>
  <si>
    <t>R9449_EAD_MMFF</t>
  </si>
  <si>
    <t>Indicador Calificación Contrato</t>
  </si>
  <si>
    <t>R9449_INDCALCT</t>
  </si>
  <si>
    <t>Indicador Hipotecas Contrato</t>
  </si>
  <si>
    <t>R9449_INDHIPCTO</t>
  </si>
  <si>
    <t>Flag Trade Finance</t>
  </si>
  <si>
    <t>R9449_FLGTRADE</t>
  </si>
  <si>
    <t>Flag Divisa EU</t>
  </si>
  <si>
    <t>R9449_FLGDIVUE</t>
  </si>
  <si>
    <t>Vencimiento Original</t>
  </si>
  <si>
    <t>R9449_VEN_ORIG</t>
  </si>
  <si>
    <t>DEC (10,06)</t>
  </si>
  <si>
    <t>R9449_FINCALCU</t>
  </si>
  <si>
    <t>03.07.49</t>
  </si>
  <si>
    <t>Traza ECAI Titulares</t>
  </si>
  <si>
    <t>JM_ECAI_TIT</t>
  </si>
  <si>
    <t>R9453_FEOPERAC</t>
  </si>
  <si>
    <t>R9453_S1EMP</t>
  </si>
  <si>
    <t>R9453_CONTRA1</t>
  </si>
  <si>
    <t>R9453_CATPRFIN</t>
  </si>
  <si>
    <t>R9453_IDNUMCLI</t>
  </si>
  <si>
    <t>País de residencia del cliente Titular</t>
  </si>
  <si>
    <t>R9453_ID_PAIS</t>
  </si>
  <si>
    <t>Plazo de la operación</t>
  </si>
  <si>
    <t>R9453_PLAZO</t>
  </si>
  <si>
    <t>Tipo de Moneda</t>
  </si>
  <si>
    <t>R9453_TIPMONED</t>
  </si>
  <si>
    <t>R9453_ECAICTO</t>
  </si>
  <si>
    <t>Agencia Calificación Contrato</t>
  </si>
  <si>
    <t>R9453_AGE_CTO</t>
  </si>
  <si>
    <t>Plazo Calificación Contrato</t>
  </si>
  <si>
    <t>R9453_PLZ_CTO</t>
  </si>
  <si>
    <t>R9453_CALIFCTO</t>
  </si>
  <si>
    <t>R9453_ECAICLI</t>
  </si>
  <si>
    <t>Agencia Calificación Cliente Titular</t>
  </si>
  <si>
    <t>R9453_AGENCLI</t>
  </si>
  <si>
    <t>Plazo Calificación Cliente Titular</t>
  </si>
  <si>
    <t>R9453_PLZ_CLI</t>
  </si>
  <si>
    <t>Calif Cliente Titular</t>
  </si>
  <si>
    <t>R9453_CALIFCLI</t>
  </si>
  <si>
    <t>Rating ECAI Pais Cliente Titular</t>
  </si>
  <si>
    <t>R9453_ECAIPAIS</t>
  </si>
  <si>
    <t>Agencia Calificación Pais Cliente Titular</t>
  </si>
  <si>
    <t>R9453_AGENPAIS</t>
  </si>
  <si>
    <t>Plazo Calificación Pais Cliente Titular</t>
  </si>
  <si>
    <t>R9453_PLZ_PAIS</t>
  </si>
  <si>
    <t>Calificación Pais Cliente Titular</t>
  </si>
  <si>
    <t>R9453_CALIFPAI</t>
  </si>
  <si>
    <t>R9453_FINCALCU</t>
  </si>
  <si>
    <t>03.07.50</t>
  </si>
  <si>
    <t>Traza ECAI Garantías</t>
  </si>
  <si>
    <t>JM_ECAI_GAR</t>
  </si>
  <si>
    <t>R9455_FEOPERAC</t>
  </si>
  <si>
    <t>R9455_S1EMP</t>
  </si>
  <si>
    <t>R9455_CONTRA1</t>
  </si>
  <si>
    <t>R9455_BIENGAR1</t>
  </si>
  <si>
    <t>R9455_TIP_GARA</t>
  </si>
  <si>
    <t>Identificador del emisor (en caso de garantías reales)</t>
  </si>
  <si>
    <t>R9455_IDEMISOR</t>
  </si>
  <si>
    <t>País de residencia del cliente (Avalista o Emisor)</t>
  </si>
  <si>
    <t>R9455_ID_PAIS</t>
  </si>
  <si>
    <t>R9455_PLAZO</t>
  </si>
  <si>
    <t>R9455_TIPMONED</t>
  </si>
  <si>
    <t>R9455_ECAIGAR</t>
  </si>
  <si>
    <t>Agencia Calificación Garantía</t>
  </si>
  <si>
    <t>R9455_AGENGAR</t>
  </si>
  <si>
    <t>Plazo Calificación Garantía</t>
  </si>
  <si>
    <t>R9455_PLZ_GAR</t>
  </si>
  <si>
    <t>Calificación Garantía</t>
  </si>
  <si>
    <t>R9455_CALIFGAR</t>
  </si>
  <si>
    <t>Rating ECAI Cliente (Avalista o Emisor)</t>
  </si>
  <si>
    <t>R9455_ECAICLI</t>
  </si>
  <si>
    <t>Agencia Calificación Cliente (Avalista o Emisor)</t>
  </si>
  <si>
    <t>R9455_AGENCLI</t>
  </si>
  <si>
    <t>Plazo Calificación Cliente (Avalista o Emisor)</t>
  </si>
  <si>
    <t>R9455_PLZ_CLI</t>
  </si>
  <si>
    <t>Calificación Cliente (Avalista o Emisor)</t>
  </si>
  <si>
    <t>R9455_CALIFCLI</t>
  </si>
  <si>
    <t>Rating ECAI Pais Cliente (Avalista o Emisor)</t>
  </si>
  <si>
    <t>R9455_ECAIPAIS</t>
  </si>
  <si>
    <t>Agencia Calificación Pais Cliente (Avalista o Emisor)</t>
  </si>
  <si>
    <t>R9455_AGENPAIS</t>
  </si>
  <si>
    <t>Plazo Calificación Pais Cliente (Avalista o Emisor)</t>
  </si>
  <si>
    <t>R9455_PLZ_PAIS</t>
  </si>
  <si>
    <t>Calificación Pais Cliente (Avalista o Emisor)</t>
  </si>
  <si>
    <t>R9455_CALIFPAI</t>
  </si>
  <si>
    <t>R9455_FINCALCU</t>
  </si>
  <si>
    <t>03.07.51</t>
  </si>
  <si>
    <t>Ajustes Output Método Amplio</t>
  </si>
  <si>
    <t>JM_AMP_AJ_STD</t>
  </si>
  <si>
    <t>T0254_FEOPERAC</t>
  </si>
  <si>
    <t>T0254_S1EMP</t>
  </si>
  <si>
    <t>T0254_CONTRA1</t>
  </si>
  <si>
    <t>T0254_BIENGAR1</t>
  </si>
  <si>
    <t>T0254_INDHIPGA</t>
  </si>
  <si>
    <t>T0254_CATPRINI</t>
  </si>
  <si>
    <t>Tipo de ajuste (Baja, modificación, Inclusión)</t>
  </si>
  <si>
    <t>T0254_TIPOAJUS</t>
  </si>
  <si>
    <t>T0254_COD_SPV</t>
  </si>
  <si>
    <t>CHAR (0040)</t>
  </si>
  <si>
    <t>T0254_SBCPRINI</t>
  </si>
  <si>
    <t>T0254_TIP_MIT</t>
  </si>
  <si>
    <t>T0254_IDNUMCLI</t>
  </si>
  <si>
    <t>T0254_IDCLIFIN</t>
  </si>
  <si>
    <t>T0254_FLG_MMFF</t>
  </si>
  <si>
    <t>T0254_INDCCP</t>
  </si>
  <si>
    <t>T0254_FLGINTRA</t>
  </si>
  <si>
    <t>T0254_FLG_RIES</t>
  </si>
  <si>
    <t>T0254_INMORINI</t>
  </si>
  <si>
    <t>T0254_ECAICTO</t>
  </si>
  <si>
    <t>T0254_ECAITIT</t>
  </si>
  <si>
    <t>T0254_ECAIAVAL</t>
  </si>
  <si>
    <t>T0254_ECAIPATI</t>
  </si>
  <si>
    <t>T0254_ECAIPAAV</t>
  </si>
  <si>
    <t>T0254_CATPRFIN</t>
  </si>
  <si>
    <t>T0254_SBCPRFIN</t>
  </si>
  <si>
    <t>T0254_TIPCALPR</t>
  </si>
  <si>
    <t>T0254_RW_PREM</t>
  </si>
  <si>
    <t>T0254_SDBPR</t>
  </si>
  <si>
    <t>T0254_SFBPR</t>
  </si>
  <si>
    <t>T0254_PROVDBPR</t>
  </si>
  <si>
    <t>T0254_PROVFBPR</t>
  </si>
  <si>
    <t>T0254_SDBNETPR</t>
  </si>
  <si>
    <t>T0254_SFBNETPR</t>
  </si>
  <si>
    <t>T0254_EADPREM</t>
  </si>
  <si>
    <t>T0254_EADCCFPR</t>
  </si>
  <si>
    <t>T0254_RWA_PREM</t>
  </si>
  <si>
    <t>T0254_CATPSFIN</t>
  </si>
  <si>
    <t>T0254_SBCPSFIN</t>
  </si>
  <si>
    <t>T0254_TIPCALPS</t>
  </si>
  <si>
    <t>T0254_RW_POSM</t>
  </si>
  <si>
    <t>T0254_SDBNETPS</t>
  </si>
  <si>
    <t>T0254_SFBNETPS</t>
  </si>
  <si>
    <t>T0254_INMORFIN</t>
  </si>
  <si>
    <t>T0254_EADCFFPS</t>
  </si>
  <si>
    <t>T0254_RWA_POSM</t>
  </si>
  <si>
    <t>T0254_PCOBAPLI</t>
  </si>
  <si>
    <t>T0254_IMPMITDB</t>
  </si>
  <si>
    <t>T0254_IMPMITFB</t>
  </si>
  <si>
    <t>T0254_TPORCENT</t>
  </si>
  <si>
    <t>T0254_CCF_SFB</t>
  </si>
  <si>
    <t>T0254_MOTEXINF</t>
  </si>
  <si>
    <t>T0254_CARSTPRE</t>
  </si>
  <si>
    <t>T0254_CARSTPOS</t>
  </si>
  <si>
    <t>T0254_ORIGENRW</t>
  </si>
  <si>
    <t>T0254_ORIGENCT</t>
  </si>
  <si>
    <t>T0254_ENTCNTRT</t>
  </si>
  <si>
    <t>T0254_FLGNVMOR</t>
  </si>
  <si>
    <t>T0254_IND_TITU</t>
  </si>
  <si>
    <t>T0254_TIT_TRAN</t>
  </si>
  <si>
    <t>Código de garantía global</t>
  </si>
  <si>
    <t>T0254_COD_GAR</t>
  </si>
  <si>
    <t>Flag pyme Cliente Titular</t>
  </si>
  <si>
    <t>T0254_FLGPYMTI</t>
  </si>
  <si>
    <t>Flag pyme Cliente Final</t>
  </si>
  <si>
    <t>T0254_FLGPYMFI</t>
  </si>
  <si>
    <t>RWA Postmitigación sin factor</t>
  </si>
  <si>
    <t>T0254_RWADM_SF</t>
  </si>
  <si>
    <t>T0254_ID_PROD</t>
  </si>
  <si>
    <t>Marca de carterizado Cliente Titular</t>
  </si>
  <si>
    <t>T0254_CARTETIT</t>
  </si>
  <si>
    <t>Marca de carterizado Cliente Final</t>
  </si>
  <si>
    <t>T0254_CARTEFIN</t>
  </si>
  <si>
    <t>KGL4 Cliente Titular</t>
  </si>
  <si>
    <t>T0254_KGL4_TIT</t>
  </si>
  <si>
    <t>CHAR (0009)</t>
  </si>
  <si>
    <t>KGL4 Cliente Final</t>
  </si>
  <si>
    <t>T0254_KGL4_FIN</t>
  </si>
  <si>
    <t>Tipo de Persona Cliente Titular</t>
  </si>
  <si>
    <t>T0254_TIPERSTI</t>
  </si>
  <si>
    <t>Tipo de Persona Cliente Final</t>
  </si>
  <si>
    <t>T0254_TIPERSFI</t>
  </si>
  <si>
    <t>Flag de Netting</t>
  </si>
  <si>
    <t>T0254_FLG_NETT</t>
  </si>
  <si>
    <t>País residencia Cliente Titular</t>
  </si>
  <si>
    <t>T0254_IDPAISTI</t>
  </si>
  <si>
    <t>País residencia Cliente Final</t>
  </si>
  <si>
    <t>T0254_IDPAISFI</t>
  </si>
  <si>
    <t>T0254_EMPREPOR</t>
  </si>
  <si>
    <t>T0254_PORPCIO</t>
  </si>
  <si>
    <t>Código segmento Cliente Titular</t>
  </si>
  <si>
    <t>T0254_CLISEGTI</t>
  </si>
  <si>
    <t>Código segmento Cliente Final</t>
  </si>
  <si>
    <t>T0254_CLISEGFI</t>
  </si>
  <si>
    <t>Cliente-SME Titular</t>
  </si>
  <si>
    <t>T0254_FLGSMETI</t>
  </si>
  <si>
    <t>Cliente-SME Final</t>
  </si>
  <si>
    <t>T0254_FLGSMEFI</t>
  </si>
  <si>
    <t>T0254_IMGRHAIR</t>
  </si>
  <si>
    <t>T0254_FLGEADNG</t>
  </si>
  <si>
    <t>Flag Corep</t>
  </si>
  <si>
    <t>T0254_FLG_CORE</t>
  </si>
  <si>
    <t>T0254_PORTITDB</t>
  </si>
  <si>
    <t>T0254_PORTITFB</t>
  </si>
  <si>
    <t>T0254_FLGRPOSM</t>
  </si>
  <si>
    <t>T0254_FACAPPYM</t>
  </si>
  <si>
    <t>T0254_IMPORTE1</t>
  </si>
  <si>
    <t>T0254_IMPORTE2</t>
  </si>
  <si>
    <t>T0254_IMPORTE3</t>
  </si>
  <si>
    <t>T0254_IMPORTE4</t>
  </si>
  <si>
    <t>T0254_IMPORTE5</t>
  </si>
  <si>
    <t>T0254_DETAJUST</t>
  </si>
  <si>
    <t>T0254_CODDIV</t>
  </si>
  <si>
    <t>T0254_FINCALCU</t>
  </si>
  <si>
    <t>T0254_PCOBSDB</t>
  </si>
  <si>
    <t>T0254_PCOBSFB</t>
  </si>
  <si>
    <t>T0254_FLGMOVIL</t>
  </si>
  <si>
    <t>T0254_IMPORTE6</t>
  </si>
  <si>
    <t>T0254_IMPORTE7</t>
  </si>
  <si>
    <t>T0254_IMPORTE8</t>
  </si>
  <si>
    <t>T0254_IMPORTE9</t>
  </si>
  <si>
    <t>T0254_IMPORT10</t>
  </si>
  <si>
    <t>03.07.52</t>
  </si>
  <si>
    <t>Ajustes Output Método Simple</t>
  </si>
  <si>
    <t>JM_SIM_AJ_STD</t>
  </si>
  <si>
    <t>T0256_FEOPERAC</t>
  </si>
  <si>
    <t>T0256_S1EMP</t>
  </si>
  <si>
    <t>T0256_CONTRA1</t>
  </si>
  <si>
    <t>T0256_BIENGAR1</t>
  </si>
  <si>
    <t>T0256_INDHIPGA</t>
  </si>
  <si>
    <t>T0256_TIP_MIT</t>
  </si>
  <si>
    <t>T0256_CATPRINI</t>
  </si>
  <si>
    <t>T0256_TIPOAJUS</t>
  </si>
  <si>
    <t>T0256_COD_SPV</t>
  </si>
  <si>
    <t>T0256_SBCPRINI</t>
  </si>
  <si>
    <t>T0256_IDNUMCLI</t>
  </si>
  <si>
    <t>T0256_IDCLIFIN</t>
  </si>
  <si>
    <t>T0256_FLG_MMFF</t>
  </si>
  <si>
    <t>T0256_INDCCP</t>
  </si>
  <si>
    <t>T0256_FLGINTRA</t>
  </si>
  <si>
    <t>T0256_FLG_RIES</t>
  </si>
  <si>
    <t>T0256_INMORINI</t>
  </si>
  <si>
    <t>T0256_ECAICTO</t>
  </si>
  <si>
    <t>T0256_ECAITIT</t>
  </si>
  <si>
    <t>T0256_ECAIGAR</t>
  </si>
  <si>
    <t>T0256_ECAIAVEM</t>
  </si>
  <si>
    <t>T0256_ECAIPATI</t>
  </si>
  <si>
    <t>T0256_ECAIPAAE</t>
  </si>
  <si>
    <t>T0256_CATPRFIN</t>
  </si>
  <si>
    <t>T0256_SBCPRFIN</t>
  </si>
  <si>
    <t>Identificador de Tipo Cálculo Premitigación</t>
  </si>
  <si>
    <t>T0256_TIPCALPR</t>
  </si>
  <si>
    <t>T0256_RW_PREM</t>
  </si>
  <si>
    <t>T0256_SDBPR</t>
  </si>
  <si>
    <t>T0256_SFBPR</t>
  </si>
  <si>
    <t>T0256_PROVDBPR</t>
  </si>
  <si>
    <t>T0256_PROVFBPR</t>
  </si>
  <si>
    <t>T0256_SDBNETPR</t>
  </si>
  <si>
    <t>T0256_SFBNETPR</t>
  </si>
  <si>
    <t>T0256_EADPREM</t>
  </si>
  <si>
    <t>T0256_EADCCFPR</t>
  </si>
  <si>
    <t>T0256_RWA_PREM</t>
  </si>
  <si>
    <t>T0256_CATPSFIN</t>
  </si>
  <si>
    <t>T0256_SBCPSFIN</t>
  </si>
  <si>
    <t>T0256_TIPCALPS</t>
  </si>
  <si>
    <t>T0256_RW_POSM</t>
  </si>
  <si>
    <t>T0256_SDBNETPS</t>
  </si>
  <si>
    <t>T0256_SFBNETPS</t>
  </si>
  <si>
    <t>T0256_INMORFIN</t>
  </si>
  <si>
    <t>T0256_EADCFFPS</t>
  </si>
  <si>
    <t>T0256_RWA_POSM</t>
  </si>
  <si>
    <t>T0256_PCOBSDB</t>
  </si>
  <si>
    <t>T0256_PCOBSFB</t>
  </si>
  <si>
    <t>T0256_TPORCENT</t>
  </si>
  <si>
    <t>T0256_CCF_SFB</t>
  </si>
  <si>
    <t>T0256_MOTEXINF</t>
  </si>
  <si>
    <t>Tipo de cartera pre-mitigación (Nuevo Baremo)</t>
  </si>
  <si>
    <t>T0256_CARSTPRE</t>
  </si>
  <si>
    <t>Tipo de cartera post-mitigación (Nuevo Baremo)</t>
  </si>
  <si>
    <t>T0256_CARSTPOS</t>
  </si>
  <si>
    <t>Origen cálculo RWA (Nuevo Baremo)</t>
  </si>
  <si>
    <t>T0256_ORIGENRW</t>
  </si>
  <si>
    <t>Fuente Origen del contrato (Nuevo Baremo)</t>
  </si>
  <si>
    <t>T0256_ORIGENCT</t>
  </si>
  <si>
    <t>T0256_ENTCNTRT</t>
  </si>
  <si>
    <t>T0256_FLGNVMOR</t>
  </si>
  <si>
    <t>T0256_IND_TITU</t>
  </si>
  <si>
    <t>T0256_TIT_TRAN</t>
  </si>
  <si>
    <t>T0256_COD_GAR</t>
  </si>
  <si>
    <t>T0256_FLGPYMTI</t>
  </si>
  <si>
    <t>T0256_FLGPYMFI</t>
  </si>
  <si>
    <t>T0256_RWADM_SF</t>
  </si>
  <si>
    <t>T0256_ID_PROD</t>
  </si>
  <si>
    <t>T0256_CARTETIT</t>
  </si>
  <si>
    <t>T0256_CARTEFIN</t>
  </si>
  <si>
    <t>T0256_KGL4_TIT</t>
  </si>
  <si>
    <t>T0256_KGL4_FIN</t>
  </si>
  <si>
    <t>T0256_TIPERSTI</t>
  </si>
  <si>
    <t>T0256_TIPERSFI</t>
  </si>
  <si>
    <t>T0256_FLG_NETT</t>
  </si>
  <si>
    <t>T0256_IDPAISTI</t>
  </si>
  <si>
    <t>T0256_IDPAISFI</t>
  </si>
  <si>
    <t>T0256_EMPREPOR</t>
  </si>
  <si>
    <t>T0256_PORPCIO</t>
  </si>
  <si>
    <t>T0256_CLISEGTI</t>
  </si>
  <si>
    <t>T0256_CLISEGFI</t>
  </si>
  <si>
    <t>T0256_FLGSMETI</t>
  </si>
  <si>
    <t>T0256_FLGSMEFI</t>
  </si>
  <si>
    <t>T0256_FLGEADNG</t>
  </si>
  <si>
    <t>T0256_FLG_CORE</t>
  </si>
  <si>
    <t>T0256_PORTITDB</t>
  </si>
  <si>
    <t>T0256_PORTITFB</t>
  </si>
  <si>
    <t>T0256_FLGRPOSM</t>
  </si>
  <si>
    <t>T0256_FACAPPYM</t>
  </si>
  <si>
    <t>T0256_IMPORTE1</t>
  </si>
  <si>
    <t>T0256_IMPORTE2</t>
  </si>
  <si>
    <t>T0256_IMPORTE3</t>
  </si>
  <si>
    <t>T0256_IMPORTE4</t>
  </si>
  <si>
    <t>T0256_IMPORTE5</t>
  </si>
  <si>
    <t>T0256_DETAJUST</t>
  </si>
  <si>
    <t>T0256_CODDIV</t>
  </si>
  <si>
    <t>T0256_FINCALCU</t>
  </si>
  <si>
    <t>T0256_FLGMOVIL</t>
  </si>
  <si>
    <t>T0256_IMPORTE6</t>
  </si>
  <si>
    <t>T0256_IMPORTE7</t>
  </si>
  <si>
    <t>T0256_IMPORTE8</t>
  </si>
  <si>
    <t>T0256_IMPORTE9</t>
  </si>
  <si>
    <t>T0256_IMPORT10</t>
  </si>
  <si>
    <t>03.07.53</t>
  </si>
  <si>
    <t>Posiciones Contables para el Cálculo IRB</t>
  </si>
  <si>
    <t>JM_CTOCTA_IRB</t>
  </si>
  <si>
    <t>T0250_FEOPERAC</t>
  </si>
  <si>
    <t>T0250_EMPREPOR</t>
  </si>
  <si>
    <t>T0250_CONTRA1</t>
  </si>
  <si>
    <t>T0250_CTACGBAL</t>
  </si>
  <si>
    <t>CHAR (0200)</t>
  </si>
  <si>
    <t>T0250_ENTCNTRT</t>
  </si>
  <si>
    <t>Finalidad de Cálculo</t>
  </si>
  <si>
    <t>T0250_FINCALCU</t>
  </si>
  <si>
    <t>Cuenta Mapeo Cargabal</t>
  </si>
  <si>
    <t>T0250_CTAMAPEO</t>
  </si>
  <si>
    <t>Indicador importe (Saldo/Provisiones) (Nuevo Baremo)</t>
  </si>
  <si>
    <t>T0250_IND_IMPT</t>
  </si>
  <si>
    <t>Importe de la cuenta cargabal</t>
  </si>
  <si>
    <t>T0250_IMPORTH</t>
  </si>
  <si>
    <t>03.07.54</t>
  </si>
  <si>
    <t>Posiciones Contables para el Cálculo STD</t>
  </si>
  <si>
    <t xml:space="preserve"> JM_CTOCTA_STD</t>
  </si>
  <si>
    <t>T0248_FEOPERAC</t>
  </si>
  <si>
    <t>T0248_EMPREPOR</t>
  </si>
  <si>
    <t>T0248_CONTRA1</t>
  </si>
  <si>
    <t>T0248_CTACGBAL</t>
  </si>
  <si>
    <t>T0248_ENTCNTRT</t>
  </si>
  <si>
    <t>T0248_CTAMAPEO</t>
  </si>
  <si>
    <t>T0248_IND_IMPT</t>
  </si>
  <si>
    <t>T0248_IMPORTH</t>
  </si>
  <si>
    <t>T0248_FINCALCU</t>
  </si>
  <si>
    <t>03.07.55</t>
  </si>
  <si>
    <t>Parámetros del Cuadre Contable</t>
  </si>
  <si>
    <t>JM_PARAM_CCT</t>
  </si>
  <si>
    <t>T0244_FEOPERAC</t>
  </si>
  <si>
    <t>T0244_CTACGBAL</t>
  </si>
  <si>
    <t>Identificador de prelación</t>
  </si>
  <si>
    <t>T0244_IDPRELAC</t>
  </si>
  <si>
    <t>T0244_RW</t>
  </si>
  <si>
    <t>T0244_CCF</t>
  </si>
  <si>
    <t>T0244_CATEG</t>
  </si>
  <si>
    <t>T0244_SUBCATEG</t>
  </si>
  <si>
    <t>T0244_INDMORA</t>
  </si>
  <si>
    <t>T0244_FLG_RIES</t>
  </si>
  <si>
    <t>T0244_IND_IMPT</t>
  </si>
  <si>
    <t>Indicador balance (Dentro/Fuera) (Nuevo Baremo)</t>
  </si>
  <si>
    <t>T0244_IND_BALA</t>
  </si>
  <si>
    <t>T0244_FLG_CART</t>
  </si>
  <si>
    <t>03.07.56</t>
  </si>
  <si>
    <t>Relación ajustada perímetro cliente intragrupo Estándar</t>
  </si>
  <si>
    <t>JM_INT_AJ_STD</t>
  </si>
  <si>
    <t>T0246_FEOPERAC</t>
  </si>
  <si>
    <t>T0246_S1EMP</t>
  </si>
  <si>
    <t>T0246_IDNUMCLI</t>
  </si>
  <si>
    <t>T0246_ENTCGBAL</t>
  </si>
  <si>
    <t>T0246_AMBITO</t>
  </si>
  <si>
    <t>CHAR (0006)</t>
  </si>
  <si>
    <t>T0246_TIPOAJUS</t>
  </si>
  <si>
    <t>T0246_PORINCOR</t>
  </si>
  <si>
    <t>03.07.57</t>
  </si>
  <si>
    <t>Cargabal Diaridat</t>
  </si>
  <si>
    <t>JM_CGBAL_DIAR</t>
  </si>
  <si>
    <t>T0252_FEOPERAC</t>
  </si>
  <si>
    <t>T0252_EMPREPOR</t>
  </si>
  <si>
    <t>T0252_CTACGBAL</t>
  </si>
  <si>
    <t>T0252_ENTCNTRT</t>
  </si>
  <si>
    <t>Tipo Cuadre Contable</t>
  </si>
  <si>
    <t>T0252_TIPCCONT</t>
  </si>
  <si>
    <t>Origen de la información</t>
  </si>
  <si>
    <t>T0252_IND_ORIG</t>
  </si>
  <si>
    <t>T0252_CTAMAPEO</t>
  </si>
  <si>
    <t xml:space="preserve">Saldo </t>
  </si>
  <si>
    <t>T0252_IMPORTH</t>
  </si>
  <si>
    <t>Fecha de Carga</t>
  </si>
  <si>
    <t>T0252_FECCARGA</t>
  </si>
  <si>
    <t>03.07.58</t>
  </si>
  <si>
    <t>Mejora trazabilidad salidas Motor STD</t>
  </si>
  <si>
    <t>JM_C_CTA_CTO</t>
  </si>
  <si>
    <t>T1762_FEOPERAC</t>
  </si>
  <si>
    <t>T1762_S1EMP</t>
  </si>
  <si>
    <t>T1762_TIPO_CTA</t>
  </si>
  <si>
    <t>Cuenta</t>
  </si>
  <si>
    <t>T1762_CUENTA</t>
  </si>
  <si>
    <t>12/14.1</t>
  </si>
  <si>
    <t>T1762_CONTRA1</t>
  </si>
  <si>
    <t>Tipo de C.Contable</t>
  </si>
  <si>
    <t>T1762_TIPCCONT</t>
  </si>
  <si>
    <t>T1762_FECCARGA</t>
  </si>
  <si>
    <t>03.07.59</t>
  </si>
  <si>
    <t>Asignación Parámetros - Operación/Cliente</t>
  </si>
  <si>
    <t>JM_ASIG_OPCLI</t>
  </si>
  <si>
    <t>T2873_FEOPERAC</t>
  </si>
  <si>
    <t>Empresa. (BG)</t>
  </si>
  <si>
    <t>T2873_S1EMP</t>
  </si>
  <si>
    <t>T2873_CONTRA1</t>
  </si>
  <si>
    <t>T2873_IDNUMCLI</t>
  </si>
  <si>
    <t>Parámetro de riesgo. (BG)</t>
  </si>
  <si>
    <t>T2873_C1PARAM</t>
  </si>
  <si>
    <t>Finalidad cálculo. (BG)</t>
  </si>
  <si>
    <t>T2873_FINCALCU</t>
  </si>
  <si>
    <t>T2873_IDGRUPOS</t>
  </si>
  <si>
    <t>T2873_IDMODEL</t>
  </si>
  <si>
    <t>T2873_C1VALOR</t>
  </si>
  <si>
    <t>T2873_FECULTMO</t>
  </si>
  <si>
    <t>T2873_IDPETASI</t>
  </si>
  <si>
    <t>03.07.60</t>
  </si>
  <si>
    <t>Output STE stock</t>
  </si>
  <si>
    <t>JM_OUT_STE_ST</t>
  </si>
  <si>
    <t>T3385_FEOPERAC</t>
  </si>
  <si>
    <t>T3385_S1EMP</t>
  </si>
  <si>
    <t>T3385_CONTRA1</t>
  </si>
  <si>
    <t>fecha informe</t>
  </si>
  <si>
    <t>T3385_FECINFO</t>
  </si>
  <si>
    <t>Finalidad Backstop</t>
  </si>
  <si>
    <t>T3385_FINBCKST</t>
  </si>
  <si>
    <t>Antigüedad mora</t>
  </si>
  <si>
    <t>T3385_ANT_MORA</t>
  </si>
  <si>
    <t>Déficit (shortfall)</t>
  </si>
  <si>
    <t>T3385_DEFICIT</t>
  </si>
  <si>
    <t>MCE garantizado</t>
  </si>
  <si>
    <t>T3385_MCE_GAR</t>
  </si>
  <si>
    <t>MCE sin garantía</t>
  </si>
  <si>
    <t>T3385_MCE_NGAR</t>
  </si>
  <si>
    <t>Exposición garantizada</t>
  </si>
  <si>
    <t>T3385_EXP_GAR</t>
  </si>
  <si>
    <t>Exposición sin garantía</t>
  </si>
  <si>
    <t>T3385_EXP_NGAR</t>
  </si>
  <si>
    <t>Factor garantizado</t>
  </si>
  <si>
    <t>T3385_FAC_GAR</t>
  </si>
  <si>
    <t>Factor no garantizado</t>
  </si>
  <si>
    <t>T3385_FAC_NGAR</t>
  </si>
  <si>
    <t>Provisión limitada</t>
  </si>
  <si>
    <t>T3385_PROV_LIM</t>
  </si>
  <si>
    <t>Provisiones de crédito</t>
  </si>
  <si>
    <t>T3385_PROV_CRE</t>
  </si>
  <si>
    <t>T3385_AJUSTVAL</t>
  </si>
  <si>
    <t>T3385_RED_RRPP</t>
  </si>
  <si>
    <t>Déficit IRB (shortfall)</t>
  </si>
  <si>
    <t>T3385_DEF_IRB</t>
  </si>
  <si>
    <t>Diferencia precio compra</t>
  </si>
  <si>
    <t>T3385_DFPRCOMP</t>
  </si>
  <si>
    <t>Importe fallido</t>
  </si>
  <si>
    <t>T3385_IMPFALL</t>
  </si>
  <si>
    <t>Provisión garantizada</t>
  </si>
  <si>
    <t>T3385_PRO_GAR</t>
  </si>
  <si>
    <t>Provisión sin garantías</t>
  </si>
  <si>
    <t>T3385_PRO_NGAR</t>
  </si>
  <si>
    <t>Bucket</t>
  </si>
  <si>
    <t>T3385_BUCKET</t>
  </si>
  <si>
    <t>03.07.61</t>
  </si>
  <si>
    <t>Output STE Adenda</t>
  </si>
  <si>
    <t>JM_OUT_STE_AD</t>
  </si>
  <si>
    <t>T3387_FEOPERAC</t>
  </si>
  <si>
    <t>T3387_S1EMP</t>
  </si>
  <si>
    <t>T3387_CONTRA1</t>
  </si>
  <si>
    <t>T3387_FECINFO</t>
  </si>
  <si>
    <t>T3387_FINBCKST</t>
  </si>
  <si>
    <t>antigüedad mora</t>
  </si>
  <si>
    <t>T3387_ANT_MORA</t>
  </si>
  <si>
    <t>T3387_DEFICIT</t>
  </si>
  <si>
    <t xml:space="preserve">MCE sin garantía
</t>
  </si>
  <si>
    <t>T3387_MCE_NGAR</t>
  </si>
  <si>
    <t>T3387_EXP_NGAR</t>
  </si>
  <si>
    <t>T3387_FAC_NGAR</t>
  </si>
  <si>
    <t>MCE garantizado por bienes inmuebles</t>
  </si>
  <si>
    <t>T3387_MCE_GABI</t>
  </si>
  <si>
    <t>Exposición garantizada por bienes inmuebles</t>
  </si>
  <si>
    <t>T3387_EXP_GABI</t>
  </si>
  <si>
    <t>Factor garantizado por bienes inmuebles</t>
  </si>
  <si>
    <t>T3387_FAC_GABI</t>
  </si>
  <si>
    <t>MCE garantizado por otra protección crediticia financiada o no financiada</t>
  </si>
  <si>
    <t>T3387_MCE_GAOT</t>
  </si>
  <si>
    <t>Exposición garantizada por otra protección crediticia financiada o no financiada</t>
  </si>
  <si>
    <t>T3387_EXP_GAOT</t>
  </si>
  <si>
    <t>Factor garantizado por otra protección crediticia financiada o no financiada</t>
  </si>
  <si>
    <t>T3387_FAC_GAOT</t>
  </si>
  <si>
    <t>MCE garantizado por una agencia oficial de crédito,  gobiernos nacionales u otras entidades públicas</t>
  </si>
  <si>
    <t>T3387_MCE_GAAG</t>
  </si>
  <si>
    <t>Exposición garantizada por una agencia oficial de crédito,  gobiernos nacionales u otras entidades públicas</t>
  </si>
  <si>
    <t>T3387_EXP_GAAG</t>
  </si>
  <si>
    <t>Factor garantizado por una agencia oficial de crédito,  gobiernos nacionales u otras entidades públicas</t>
  </si>
  <si>
    <t>T3387_FAC_GAAG</t>
  </si>
  <si>
    <t>T3387_PROV_LIM</t>
  </si>
  <si>
    <t>T3387_PROV_CRE</t>
  </si>
  <si>
    <t>T3387_AJUSTVAL</t>
  </si>
  <si>
    <t>T3387_RED_RRPP</t>
  </si>
  <si>
    <t>T3387_DEF_IRB</t>
  </si>
  <si>
    <t>T3387_DFPRCOMP</t>
  </si>
  <si>
    <t>T3387_IMPFALL</t>
  </si>
  <si>
    <t>T3387_PRO_GAR</t>
  </si>
  <si>
    <t>Provisión garantizada por bienes inmuebles</t>
  </si>
  <si>
    <t>T3387_PRO_GABI</t>
  </si>
  <si>
    <t>Provisión garantizada por otra protección crediticia financiada o no financiada</t>
  </si>
  <si>
    <t>T3387_PRO_GAOT</t>
  </si>
  <si>
    <t>Provisión garantizada por una agencia oficial de crédito,  gobiernos nacionales  u otras entidades públicas</t>
  </si>
  <si>
    <t>T3387_PRO_GAAG</t>
  </si>
  <si>
    <t>T3387_BUCKET</t>
  </si>
  <si>
    <t>03.07.62</t>
  </si>
  <si>
    <t>Output C35.1</t>
  </si>
  <si>
    <t>JM_OUT_C35_1</t>
  </si>
  <si>
    <t>T3395_FEOPERAC</t>
  </si>
  <si>
    <t>T3395_S1EMP</t>
  </si>
  <si>
    <t>T3395_CONTRA1</t>
  </si>
  <si>
    <t>T3395_FECINFO</t>
  </si>
  <si>
    <t>T3395_FINBCKST</t>
  </si>
  <si>
    <t>T3395_ANT_MORA</t>
  </si>
  <si>
    <t>T3395_DEFICIT</t>
  </si>
  <si>
    <t>T3395_MCE_NGAR</t>
  </si>
  <si>
    <t>T3395_MCE_GABI</t>
  </si>
  <si>
    <t>T3395_MCE_GAOT</t>
  </si>
  <si>
    <t>Cambiado OK según ha informado Carlos</t>
  </si>
  <si>
    <t>Exposición no asegurada</t>
  </si>
  <si>
    <t>T3395_EXP_NGAR</t>
  </si>
  <si>
    <t>T3395_FAC_GAR</t>
  </si>
  <si>
    <t>T3395_FAC_NGAR</t>
  </si>
  <si>
    <t>Provisión cobertura</t>
  </si>
  <si>
    <t>T3395_PROV_LIM</t>
  </si>
  <si>
    <t>T3395_PROV_CRE</t>
  </si>
  <si>
    <t>T3395_AJUSTVAL</t>
  </si>
  <si>
    <t>T3395_RED_RRPP</t>
  </si>
  <si>
    <t>T3395_DEF_IRB</t>
  </si>
  <si>
    <t>T3395_DFPRCOMP</t>
  </si>
  <si>
    <t>T3395_IMPFALL</t>
  </si>
  <si>
    <t>T3395_BUCKET</t>
  </si>
  <si>
    <t>03.07.63</t>
  </si>
  <si>
    <t>Output C35.2</t>
  </si>
  <si>
    <t>JM_OUT_C35_2</t>
  </si>
  <si>
    <t>T3393_FEOPERAC</t>
  </si>
  <si>
    <t>T3393_S1EMP</t>
  </si>
  <si>
    <t>T3393_CONTRA1</t>
  </si>
  <si>
    <t>T3393_FECINFO</t>
  </si>
  <si>
    <t>T3393_FINBCKST</t>
  </si>
  <si>
    <t>T3393_ANT_MORA</t>
  </si>
  <si>
    <t>T3393_MCE_NGAR</t>
  </si>
  <si>
    <t>T3393_MCE_GABI</t>
  </si>
  <si>
    <t>T3393_MCE_GAOT</t>
  </si>
  <si>
    <t>T3393_EXP_NGAR</t>
  </si>
  <si>
    <t>T3393_FAC_NGAR</t>
  </si>
  <si>
    <t>T3393_EXP_GABI</t>
  </si>
  <si>
    <t>T3393_FAC_GABI</t>
  </si>
  <si>
    <t>Exposición por otra protección crediticia financiada o no financiada</t>
  </si>
  <si>
    <t>T3393_EXP_GAOT</t>
  </si>
  <si>
    <t>T3393_FAC_GAOT</t>
  </si>
  <si>
    <t>Exposición garantizada por una agencia oficial de crédito, 
por gobiernos nacionales u otras entidades públicas</t>
  </si>
  <si>
    <t>T3393_EXP_GAAG</t>
  </si>
  <si>
    <t>Factor garantizado por una agencia oficial de crédito, 
por gobiernos nacionales u otras entidades públicas</t>
  </si>
  <si>
    <t>T3393_FAC_GAAG</t>
  </si>
  <si>
    <t>T3393_BUCKET</t>
  </si>
  <si>
    <t>03.07.64</t>
  </si>
  <si>
    <t>Output C35.3</t>
  </si>
  <si>
    <t>JM_OUT_C35_3</t>
  </si>
  <si>
    <t>T3391_FEOPERAC</t>
  </si>
  <si>
    <t>T3391_S1EMP</t>
  </si>
  <si>
    <t>T3391_CONTRA1</t>
  </si>
  <si>
    <t>T3391_FECINFO</t>
  </si>
  <si>
    <t>T3391_FINBCKST</t>
  </si>
  <si>
    <t>T3391_ANT_MORA</t>
  </si>
  <si>
    <t>T3391_MCE_NGAR</t>
  </si>
  <si>
    <t>T3391_MCE_GABI</t>
  </si>
  <si>
    <t>T3391_MCE_GAOT</t>
  </si>
  <si>
    <t>T3391_EXP_NGAR</t>
  </si>
  <si>
    <t>T3391_TRAMO</t>
  </si>
  <si>
    <t>T3391_EXP_GABI</t>
  </si>
  <si>
    <t>T3391_FAC_GABI</t>
  </si>
  <si>
    <t>T3391_EXP_GAOT</t>
  </si>
  <si>
    <t>T3391_FAC_GAOT</t>
  </si>
  <si>
    <t>T3391_BUCKET</t>
  </si>
  <si>
    <t>03.07.65</t>
  </si>
  <si>
    <t>Output Exenciones stock adden</t>
  </si>
  <si>
    <t>JM_OUT_EXSTAD</t>
  </si>
  <si>
    <t>T3389_FEOPERAC</t>
  </si>
  <si>
    <t>T3389_S1EMP</t>
  </si>
  <si>
    <t>T3389_CONTRA1</t>
  </si>
  <si>
    <t>T3389_FECINFO</t>
  </si>
  <si>
    <t>T3389_FINBCKST</t>
  </si>
  <si>
    <t>Tipo (stock/addendum)</t>
  </si>
  <si>
    <t>T3389_TIPO</t>
  </si>
  <si>
    <t>Elemento en linea</t>
  </si>
  <si>
    <t>T3389_ELELINEA</t>
  </si>
  <si>
    <t>Segmento</t>
  </si>
  <si>
    <t>T3389_SEGMENTO</t>
  </si>
  <si>
    <t>UTP</t>
  </si>
  <si>
    <t>T3389_UTP</t>
  </si>
  <si>
    <t>Reestructurado</t>
  </si>
  <si>
    <t>T3389_REESTRUC</t>
  </si>
  <si>
    <t>Arrastre</t>
  </si>
  <si>
    <t>T3389_ARRASTRE</t>
  </si>
  <si>
    <t>Exposición cubierta</t>
  </si>
  <si>
    <t>T3389_EXPCOVER</t>
  </si>
  <si>
    <t>Garantía técnica</t>
  </si>
  <si>
    <t>T3389_GARANTEC</t>
  </si>
  <si>
    <t>Exposición</t>
  </si>
  <si>
    <t>T3389_EXPOSICI</t>
  </si>
  <si>
    <t>Ajuste de riesgo de crédito específico</t>
  </si>
  <si>
    <t>T3389_AJRGOESP</t>
  </si>
  <si>
    <t>T3389_PROV_LIM</t>
  </si>
  <si>
    <t>MCE</t>
  </si>
  <si>
    <t>T3389_MCE</t>
  </si>
  <si>
    <t>T3389_ANT_MORA</t>
  </si>
  <si>
    <t>Reestructuraciones</t>
  </si>
  <si>
    <t>T3389_REESTNES</t>
  </si>
  <si>
    <t>Antig. última reestructuración</t>
  </si>
  <si>
    <t>T3389_ANTULRES</t>
  </si>
  <si>
    <t>% anual de amortización del principal</t>
  </si>
  <si>
    <t>T3389_PANAMORP</t>
  </si>
  <si>
    <t>% anual de pago de intereses</t>
  </si>
  <si>
    <t>T3389_PANPGINT</t>
  </si>
  <si>
    <t>Tiempo pago deuda</t>
  </si>
  <si>
    <t>T3389_TPGODEUD</t>
  </si>
  <si>
    <t>Tiempo hasta el vencimiento</t>
  </si>
  <si>
    <t>T3389_TVENCIM</t>
  </si>
  <si>
    <t>Días de impago del contrato</t>
  </si>
  <si>
    <t>T3389_DIAIMPCT</t>
  </si>
  <si>
    <t>Cuantía superior al 100 % de la exposición cubierta</t>
  </si>
  <si>
    <t>T3389_IMPSUPCU</t>
  </si>
  <si>
    <t>Comentarios</t>
  </si>
  <si>
    <t>T3389_COMENTAR</t>
  </si>
  <si>
    <t>T3389_BUCKET</t>
  </si>
  <si>
    <t>03.08.01</t>
  </si>
  <si>
    <t>Resumen RP22</t>
  </si>
  <si>
    <t>JM_RESUM_RP22</t>
  </si>
  <si>
    <t>G2312_S1EMP</t>
  </si>
  <si>
    <t>G2312_CLSF</t>
  </si>
  <si>
    <t>G2312_FEC_MES</t>
  </si>
  <si>
    <t>G2312_EAD</t>
  </si>
  <si>
    <t>EAD Mora</t>
  </si>
  <si>
    <t>G2312_EAD_MORA</t>
  </si>
  <si>
    <t>Porcentaje EAD en mora</t>
  </si>
  <si>
    <t>G2312_AVGEAMOR</t>
  </si>
  <si>
    <t>G2312_INDPD</t>
  </si>
  <si>
    <t>LGD</t>
  </si>
  <si>
    <t>G2312_LGD</t>
  </si>
  <si>
    <t>G2312_TPERDIDA</t>
  </si>
  <si>
    <t>Porcentaje perdida esperada s/EAD</t>
  </si>
  <si>
    <t>G2312_AVGPEEAD</t>
  </si>
  <si>
    <t>G2312_CRIAVESC</t>
  </si>
  <si>
    <t>Porcentaje capital s/EAD</t>
  </si>
  <si>
    <t>G2312_AVGCRESC</t>
  </si>
  <si>
    <t>Provisión específica</t>
  </si>
  <si>
    <t>G2312_ESP_PROV</t>
  </si>
  <si>
    <t>G2312_FECULTMO</t>
  </si>
  <si>
    <t>03.08.02</t>
  </si>
  <si>
    <t>Mapa de Modelos</t>
  </si>
  <si>
    <t>JM_MAPA_MODEL</t>
  </si>
  <si>
    <t>G2314_S1EMP</t>
  </si>
  <si>
    <t>Tipo modelo local de calificación</t>
  </si>
  <si>
    <t>G2314_MOD_LOCA</t>
  </si>
  <si>
    <t>G2314_COD_SEG</t>
  </si>
  <si>
    <t>G2314_CLSF</t>
  </si>
  <si>
    <t>G2314_FEC_MES</t>
  </si>
  <si>
    <t>G2314_ISDEBALA</t>
  </si>
  <si>
    <t>G2314_ISFUBALA</t>
  </si>
  <si>
    <t>G2314_EAD</t>
  </si>
  <si>
    <t>Porcentaje EAD puntuada</t>
  </si>
  <si>
    <t>G2314_AVGEADPU</t>
  </si>
  <si>
    <t>Numero contratos</t>
  </si>
  <si>
    <t>G2314_NUM_CTOS</t>
  </si>
  <si>
    <t>Porcentaje contratos puntuados</t>
  </si>
  <si>
    <t>G2314_AVGCTOPU</t>
  </si>
  <si>
    <t>Numero clientes</t>
  </si>
  <si>
    <t>G2314_NUM_CTES</t>
  </si>
  <si>
    <t>Porcentaje clientes puntuados</t>
  </si>
  <si>
    <t>G2314_AVGCLIPU</t>
  </si>
  <si>
    <t>G2314_FECULTMO</t>
  </si>
  <si>
    <t>03.08.03</t>
  </si>
  <si>
    <t>Cuadro de Mandos</t>
  </si>
  <si>
    <t>JM_CUADRO_MAN</t>
  </si>
  <si>
    <t>G2315_S1EMP</t>
  </si>
  <si>
    <t>G2315_COD_SEGM</t>
  </si>
  <si>
    <t>Modelo</t>
  </si>
  <si>
    <t>G2315_MOD_CALI</t>
  </si>
  <si>
    <t>G2315_FEC_MES</t>
  </si>
  <si>
    <t>G2315_EAD</t>
  </si>
  <si>
    <t>Porcentaje EAD</t>
  </si>
  <si>
    <t>G2315_AVGEADPU</t>
  </si>
  <si>
    <t>G2315_NUM_CTOS</t>
  </si>
  <si>
    <t>G2315_INDPD</t>
  </si>
  <si>
    <t>G2315_LGD</t>
  </si>
  <si>
    <t>G2315_MATURITY</t>
  </si>
  <si>
    <t>G2315_TPERDIDA</t>
  </si>
  <si>
    <t>G2315_AVGPEEAD</t>
  </si>
  <si>
    <t>G2315_CRIAVESC</t>
  </si>
  <si>
    <t>G2315_AVGCRESC</t>
  </si>
  <si>
    <t>G2315_ESP_PROV</t>
  </si>
  <si>
    <t>G2315_FECULTMO</t>
  </si>
  <si>
    <t>03.08.04</t>
  </si>
  <si>
    <t>JM_TIPO_CLSF</t>
  </si>
  <si>
    <t>G2321_S1EMP</t>
  </si>
  <si>
    <t>Código CLSF</t>
  </si>
  <si>
    <t>G2321_CODBAREM</t>
  </si>
  <si>
    <t>G2321_FEC_DES</t>
  </si>
  <si>
    <t>Descripción CLSF</t>
  </si>
  <si>
    <t>G2321_DESCRIP</t>
  </si>
  <si>
    <t>G2321_FEC_HAS</t>
  </si>
  <si>
    <t>G2321_FEC_MOD</t>
  </si>
  <si>
    <t>03.08.05</t>
  </si>
  <si>
    <t>JM_TIP_SEGMENTO</t>
  </si>
  <si>
    <t>G2322_S1EMP</t>
  </si>
  <si>
    <t>Código segmento</t>
  </si>
  <si>
    <t>G2322_CODBAREM</t>
  </si>
  <si>
    <t>G2322_FEC_DES</t>
  </si>
  <si>
    <t>Descripción segmento</t>
  </si>
  <si>
    <t>G2322_DESCRIP</t>
  </si>
  <si>
    <t>G2322_FEC_HAS</t>
  </si>
  <si>
    <t>G2322_FEC_MOD</t>
  </si>
  <si>
    <t>03.08.06</t>
  </si>
  <si>
    <t>JM_TIP_MODELOS</t>
  </si>
  <si>
    <t>G2324_S1EMP</t>
  </si>
  <si>
    <t>Código modelo</t>
  </si>
  <si>
    <t>G2324_CODBAREM</t>
  </si>
  <si>
    <t>G2324_FEC_DES</t>
  </si>
  <si>
    <t>Descripción modelo</t>
  </si>
  <si>
    <t>G2324_DESCRIP</t>
  </si>
  <si>
    <t>G2324_FEC_HAS</t>
  </si>
  <si>
    <t>G2324_FEC_MOD</t>
  </si>
  <si>
    <t>03.08.07</t>
  </si>
  <si>
    <t>Tipo de modelo local</t>
  </si>
  <si>
    <t>JM_TIP_MODLOCAL</t>
  </si>
  <si>
    <t>G2323_S1EMP</t>
  </si>
  <si>
    <t>Código tipo modelo local</t>
  </si>
  <si>
    <t>G2323_CODBAREM</t>
  </si>
  <si>
    <t>G2323_FEC_DES</t>
  </si>
  <si>
    <t>Descripción tipo modelo local</t>
  </si>
  <si>
    <t>G2323_DESCRIP</t>
  </si>
  <si>
    <t>G2323_FEC_HAS</t>
  </si>
  <si>
    <t>G2323_FEC_MOD</t>
  </si>
  <si>
    <t>03.09.02</t>
  </si>
  <si>
    <t>Ajustes Asignación Cliente</t>
  </si>
  <si>
    <t>JM_AJ_ASIGCLI</t>
  </si>
  <si>
    <t>N0653_FEOPERAC</t>
  </si>
  <si>
    <t>N0653_S1EMP</t>
  </si>
  <si>
    <t>N0653_IDNUMCLI</t>
  </si>
  <si>
    <t>N0653_C1PARAM</t>
  </si>
  <si>
    <t>Finalidad de cálculo</t>
  </si>
  <si>
    <t>N0653_FINCALCU</t>
  </si>
  <si>
    <t>Grupo anterior</t>
  </si>
  <si>
    <t>N0653_IDGRUPOS</t>
  </si>
  <si>
    <t>Grupo nuevo</t>
  </si>
  <si>
    <t>N0653_IDGRUPON</t>
  </si>
  <si>
    <t>Valor de la asignación anterior</t>
  </si>
  <si>
    <t>N0653_C1VALOR</t>
  </si>
  <si>
    <t>Valor de la asignación nuevo</t>
  </si>
  <si>
    <t>N0653_C1VALORN</t>
  </si>
  <si>
    <t>03.09.03</t>
  </si>
  <si>
    <t>Ajustes Asignación Operación</t>
  </si>
  <si>
    <t>JM_AJ_ASIGOPE</t>
  </si>
  <si>
    <t>N0656_FEOPERAC</t>
  </si>
  <si>
    <t>N0656_S1EMP</t>
  </si>
  <si>
    <t>N0656_CONTRA1</t>
  </si>
  <si>
    <t>N0656_C1PARAM</t>
  </si>
  <si>
    <t>N0656_FINCALCU</t>
  </si>
  <si>
    <t>N0656_IDGRUPOS</t>
  </si>
  <si>
    <t>N0656_IDGRUPON</t>
  </si>
  <si>
    <t>N0656_C1VALOR</t>
  </si>
  <si>
    <t>N0656_C1VALORN</t>
  </si>
  <si>
    <t>03.09.04</t>
  </si>
  <si>
    <t>Ajustes Calificación Cliente</t>
  </si>
  <si>
    <t>JM_AJ_CALCLIE</t>
  </si>
  <si>
    <t>N0659_FEOPERAC</t>
  </si>
  <si>
    <t>N0659_S1EMP</t>
  </si>
  <si>
    <t>N0659_IDNUMCLI</t>
  </si>
  <si>
    <t>N0659_FECCALI</t>
  </si>
  <si>
    <t>Tipo de modelo</t>
  </si>
  <si>
    <t>N0659_TIPMODEL</t>
  </si>
  <si>
    <t>N0659_TIPMODE2</t>
  </si>
  <si>
    <t>N0659_IDMODEL</t>
  </si>
  <si>
    <t>Tipo de calificación</t>
  </si>
  <si>
    <t>N0659_TIPO</t>
  </si>
  <si>
    <t>Scoring anterior</t>
  </si>
  <si>
    <t>N0659_IDPUNSCO</t>
  </si>
  <si>
    <t>Scoring nuevo</t>
  </si>
  <si>
    <t>N0659_IDPUNSCN</t>
  </si>
  <si>
    <t>Fecha Caducidad antes del ajuste</t>
  </si>
  <si>
    <t>N0659_FECCADUC</t>
  </si>
  <si>
    <t>Fecha Caducidad después del ajuste</t>
  </si>
  <si>
    <t>N0659_FECCADUN</t>
  </si>
  <si>
    <t>SPID antes del ajuste</t>
  </si>
  <si>
    <t>N0659_C1SPID</t>
  </si>
  <si>
    <t>SPID después del ajuste</t>
  </si>
  <si>
    <t>N0659_C1SPIDN</t>
  </si>
  <si>
    <t>Código motivo exclusión antes del ajuste</t>
  </si>
  <si>
    <t>N0659_C1DIGCON</t>
  </si>
  <si>
    <t>Código motivo exclusión después del ajuste</t>
  </si>
  <si>
    <t>N0659_DIGCONUE</t>
  </si>
  <si>
    <t>03.09.05</t>
  </si>
  <si>
    <t>Ajustes Calificación Contrato</t>
  </si>
  <si>
    <t>JM_AJ_CALCONT</t>
  </si>
  <si>
    <t>N0663_FEOPERAC</t>
  </si>
  <si>
    <t>N0663_S1EMP</t>
  </si>
  <si>
    <t>N0663_CONTRA1</t>
  </si>
  <si>
    <t>Fecha de Calificación Contrato</t>
  </si>
  <si>
    <t>N0663_FECCALI</t>
  </si>
  <si>
    <t>N0663_TIPMODEL</t>
  </si>
  <si>
    <t>N0663_TIPMODE2</t>
  </si>
  <si>
    <t>N0663_IDMODEL</t>
  </si>
  <si>
    <t>N0663_TIPO</t>
  </si>
  <si>
    <t>N0663_IDPUNSCO</t>
  </si>
  <si>
    <t>NUM (11,07)</t>
  </si>
  <si>
    <t>N0663_IDPUNSCN</t>
  </si>
  <si>
    <t>N0663_FECCADUC</t>
  </si>
  <si>
    <t>N0663_FECCADUN</t>
  </si>
  <si>
    <t>03.09.06</t>
  </si>
  <si>
    <t>Ajustes EAD Contrato</t>
  </si>
  <si>
    <t>JM_AJ_EADCONT</t>
  </si>
  <si>
    <t>N0666_FEOPERAC</t>
  </si>
  <si>
    <t>N0666_S1EMP</t>
  </si>
  <si>
    <t>N0666_CONTRA1</t>
  </si>
  <si>
    <t>N0666_METAPLIC</t>
  </si>
  <si>
    <t>Fase de cálculo</t>
  </si>
  <si>
    <t>N0666_FASECALC</t>
  </si>
  <si>
    <t>EAD anterior</t>
  </si>
  <si>
    <t>N0666_EAD</t>
  </si>
  <si>
    <t>EAD Después</t>
  </si>
  <si>
    <t>N0666_EADN</t>
  </si>
  <si>
    <t>03.09.07</t>
  </si>
  <si>
    <t>Ajustes Garantías Contrato</t>
  </si>
  <si>
    <t>JM_AJ_GARCONT</t>
  </si>
  <si>
    <t>N0673_FEOPERAC</t>
  </si>
  <si>
    <t>N0673_S1EMP</t>
  </si>
  <si>
    <t>N0673_CONTRA1</t>
  </si>
  <si>
    <t>N0673_TIP_GARA</t>
  </si>
  <si>
    <t>N0673_BIENGAR1</t>
  </si>
  <si>
    <t>Identificador del cliente anterior</t>
  </si>
  <si>
    <t>N0673_IDNUMCLI</t>
  </si>
  <si>
    <t>Identificador del cliente nuevo</t>
  </si>
  <si>
    <t>N0673_IDNUMCLN</t>
  </si>
  <si>
    <t>Código de garantía anterior</t>
  </si>
  <si>
    <t>N0673_COD_GAR</t>
  </si>
  <si>
    <t>Código de garantía nuevo</t>
  </si>
  <si>
    <t>N0673_COD_GARN</t>
  </si>
  <si>
    <t>Código de garantía local anterior</t>
  </si>
  <si>
    <t>N0673_COD_GAR2</t>
  </si>
  <si>
    <t>Código de garantía local nuevo</t>
  </si>
  <si>
    <t>N0673_COD_GA2N</t>
  </si>
  <si>
    <t>Porcentaje de Cobertura Actual antes</t>
  </si>
  <si>
    <t>N0673_PORCOBER</t>
  </si>
  <si>
    <t>Porcentaje de Cobertura Actual después</t>
  </si>
  <si>
    <t>N0673_COBENPOR</t>
  </si>
  <si>
    <t>Porcentaje de Cobertura Inicial antes</t>
  </si>
  <si>
    <t>N0673_COB_INIC</t>
  </si>
  <si>
    <t>Porcentaje de Cobertura Inicial después</t>
  </si>
  <si>
    <t>N0673_COB_ININ</t>
  </si>
  <si>
    <t>Nominal de Cobertura Actual antes</t>
  </si>
  <si>
    <t>N0673_IMP_ACTU</t>
  </si>
  <si>
    <t>Nominal de Cobertura Actual después</t>
  </si>
  <si>
    <t>N0673_IMP_ACTN</t>
  </si>
  <si>
    <t>Nominal de Cobertura Inicial antes</t>
  </si>
  <si>
    <t>N0673_IMPT_NOM</t>
  </si>
  <si>
    <t>Nominal de Cobertura Inicial después</t>
  </si>
  <si>
    <t>N0673_IMPT_NON</t>
  </si>
  <si>
    <t>Porcentaje de reparto antes</t>
  </si>
  <si>
    <t>N0673_REPAPORC</t>
  </si>
  <si>
    <t>Porcentaje de reparto después</t>
  </si>
  <si>
    <t>N0673_REPAPORN</t>
  </si>
  <si>
    <t>03.09.08</t>
  </si>
  <si>
    <t>Ajustes Garantías Reales</t>
  </si>
  <si>
    <t>JM_AJ_GARREAL</t>
  </si>
  <si>
    <t>N0688_FEOPERAC</t>
  </si>
  <si>
    <t>N0688_S1EMP</t>
  </si>
  <si>
    <t>N0688_BIENGAR1</t>
  </si>
  <si>
    <t>N0688_CONTRA1</t>
  </si>
  <si>
    <t>Código bien antes</t>
  </si>
  <si>
    <t>N0688_COD_BIEN</t>
  </si>
  <si>
    <t>Código bien después</t>
  </si>
  <si>
    <t>N0688_CD_BIENN</t>
  </si>
  <si>
    <t>03.09.09</t>
  </si>
  <si>
    <t>Ajustes Valoración de Garantías</t>
  </si>
  <si>
    <t>JM_AJ_VALGARA</t>
  </si>
  <si>
    <t>N0694_FEOPERAC</t>
  </si>
  <si>
    <t>N0694_S1EMP</t>
  </si>
  <si>
    <t>N0694_BIENGAR1</t>
  </si>
  <si>
    <t>N0694_TIP_GARA</t>
  </si>
  <si>
    <t>N0694_FECHVALR</t>
  </si>
  <si>
    <t>Tipo de valoración</t>
  </si>
  <si>
    <t>N0694_TIPVALN</t>
  </si>
  <si>
    <t>Importe de la garantía anterior</t>
  </si>
  <si>
    <t>N0694_IMGARANT</t>
  </si>
  <si>
    <t>Importe de la garantía después</t>
  </si>
  <si>
    <t>N0694_IMGARANN</t>
  </si>
  <si>
    <t>03.09.10</t>
  </si>
  <si>
    <t>Ajustes Grupos Económicos</t>
  </si>
  <si>
    <t>JM_AJ_GRUPECO</t>
  </si>
  <si>
    <t>N0698_FEOPERAC</t>
  </si>
  <si>
    <t>N0698_S1EMP</t>
  </si>
  <si>
    <t>N0698_GRUP_ECO</t>
  </si>
  <si>
    <t>Código grupo global anterior</t>
  </si>
  <si>
    <t>N0698_DCODGRUP</t>
  </si>
  <si>
    <t>Código grupo global después</t>
  </si>
  <si>
    <t>N0698_DCODGRUN</t>
  </si>
  <si>
    <t>Nombre Grupo anterior</t>
  </si>
  <si>
    <t>N0698_DGRUPO</t>
  </si>
  <si>
    <t>CHAR (00080)</t>
  </si>
  <si>
    <t>Nombre Grupo después</t>
  </si>
  <si>
    <t>N0698_DGRUPON</t>
  </si>
  <si>
    <t>País anterior</t>
  </si>
  <si>
    <t>N0698_ID_PAIS</t>
  </si>
  <si>
    <t>País después</t>
  </si>
  <si>
    <t>N0698_ID_PAISN</t>
  </si>
  <si>
    <t>Facturación Grupo antes</t>
  </si>
  <si>
    <t>N0698_IMPFACTM</t>
  </si>
  <si>
    <t>Facturación Grupo después</t>
  </si>
  <si>
    <t>N0698_IMPFACTN</t>
  </si>
  <si>
    <t>Fecha información facturación anterior</t>
  </si>
  <si>
    <t>N0698_FECINFAC</t>
  </si>
  <si>
    <t>Fecha información facturación después</t>
  </si>
  <si>
    <t>N0698_FECINFAN</t>
  </si>
  <si>
    <t>Sector Grupo Económico anterior</t>
  </si>
  <si>
    <t>N0698_GRECOSEC</t>
  </si>
  <si>
    <t>Sector Grupo Económico después</t>
  </si>
  <si>
    <t>N0698_GRECOSEN</t>
  </si>
  <si>
    <t>03.09.11</t>
  </si>
  <si>
    <t>Ajustes Cliente</t>
  </si>
  <si>
    <t>JM_AJ_CLIENTE</t>
  </si>
  <si>
    <t>N0711_FEOPERAC</t>
  </si>
  <si>
    <t>N0711_S1EMP</t>
  </si>
  <si>
    <t>N0711_IDNUMCLI</t>
  </si>
  <si>
    <t xml:space="preserve">Tipo de persona anterior </t>
  </si>
  <si>
    <t>N0711_TIP_PERS</t>
  </si>
  <si>
    <t>Tipo de persona nuevo</t>
  </si>
  <si>
    <t>N0711_TIP_PERN</t>
  </si>
  <si>
    <t>Nombre anterior</t>
  </si>
  <si>
    <t>N0711_APNOMPER</t>
  </si>
  <si>
    <t>Nombre nuevo</t>
  </si>
  <si>
    <t>N0711_APNOMPEN</t>
  </si>
  <si>
    <t>Localizador  búsqueda 1 anterior</t>
  </si>
  <si>
    <t>N0711_DATEXTO1</t>
  </si>
  <si>
    <t>Localizador  búsqueda 1 nuevo</t>
  </si>
  <si>
    <t>N0711_DATEXTO3</t>
  </si>
  <si>
    <t>Localizador  búsqueda 2 anterior</t>
  </si>
  <si>
    <t>N0711_DATEXTO2</t>
  </si>
  <si>
    <t>Localizador  búsqueda 2 nuevo</t>
  </si>
  <si>
    <t>N0711_DATEXTO4</t>
  </si>
  <si>
    <t>Tipo de identificador nacional anterior</t>
  </si>
  <si>
    <t>N0711_IDENTPER</t>
  </si>
  <si>
    <t>Tipo de identificador nacional nuevo</t>
  </si>
  <si>
    <t>N0711_IDENTPEN</t>
  </si>
  <si>
    <t>Código de identificación nacional anterior</t>
  </si>
  <si>
    <t>N0711_CODIDPER</t>
  </si>
  <si>
    <t>Código de identificación nacional nuevo</t>
  </si>
  <si>
    <t>N0711_CODIDPEN</t>
  </si>
  <si>
    <t>Código cliente global anterior</t>
  </si>
  <si>
    <t>N0711_CLIE_GLO</t>
  </si>
  <si>
    <t>Código cliente global después</t>
  </si>
  <si>
    <t>N0711_CLIE_GLN</t>
  </si>
  <si>
    <t>Sucursal anterior</t>
  </si>
  <si>
    <t>N0711_IDSUCUR</t>
  </si>
  <si>
    <t>Sucursal después</t>
  </si>
  <si>
    <t>N0711_IDSUCURN</t>
  </si>
  <si>
    <t>Marca de carterizado antes</t>
  </si>
  <si>
    <t>N0711_CARTER</t>
  </si>
  <si>
    <t>Marca de carterizado después</t>
  </si>
  <si>
    <t>N0711_CARTERN</t>
  </si>
  <si>
    <t>País de residencia antes</t>
  </si>
  <si>
    <t>N0711_ID_PAIS</t>
  </si>
  <si>
    <t>País de residencia después</t>
  </si>
  <si>
    <t>N0711_ID_PAISN</t>
  </si>
  <si>
    <t>Código de sector de actividad antes</t>
  </si>
  <si>
    <t>N0711_COD_SECT</t>
  </si>
  <si>
    <t>Código de sector de actividad después</t>
  </si>
  <si>
    <t>N0711_COD_SECN</t>
  </si>
  <si>
    <t>Código Sector Contable antes</t>
  </si>
  <si>
    <t>N0711_COD_SEC3</t>
  </si>
  <si>
    <t>Código Sector Contable después</t>
  </si>
  <si>
    <t>N0711_COD_SEC4</t>
  </si>
  <si>
    <t>Código segmento cliente antes</t>
  </si>
  <si>
    <t>N0711_CLISEGM</t>
  </si>
  <si>
    <t>Código segmento cliente después</t>
  </si>
  <si>
    <t>N0711_CLISEGMN</t>
  </si>
  <si>
    <t>Codigo segmento local antes</t>
  </si>
  <si>
    <t>N0711_CLISEGL1</t>
  </si>
  <si>
    <t>Codigo segmento local después</t>
  </si>
  <si>
    <t>N0711_CLISEGL3</t>
  </si>
  <si>
    <t>Código segmento local2 antes</t>
  </si>
  <si>
    <t>N0711_CLISEGL2</t>
  </si>
  <si>
    <t>Código segmento local2 después</t>
  </si>
  <si>
    <t>N0711_CLISEGL4</t>
  </si>
  <si>
    <t>Fecha de información de la facturación antes</t>
  </si>
  <si>
    <t>N0711_INFFECHA</t>
  </si>
  <si>
    <t>Fecha de información de la facturación después</t>
  </si>
  <si>
    <t>N0711_FECINFAN</t>
  </si>
  <si>
    <t>Importe de la facturación antes</t>
  </si>
  <si>
    <t>N0711_IMPFACTM</t>
  </si>
  <si>
    <t>Importe de la facturación después</t>
  </si>
  <si>
    <t>N0711_IMPFACTN</t>
  </si>
  <si>
    <t>Código identificación cargabal antes</t>
  </si>
  <si>
    <t>N0711_ORIG_EMP</t>
  </si>
  <si>
    <t>Código identificación cargabal después</t>
  </si>
  <si>
    <t>N0711_ORIG_EMN</t>
  </si>
  <si>
    <t>03.09.12</t>
  </si>
  <si>
    <t>Ajustes Grupo Relación</t>
  </si>
  <si>
    <t>JM_AJ_GRURELA</t>
  </si>
  <si>
    <t>N0717_FEOPERAC</t>
  </si>
  <si>
    <t>N0717_S1EMP</t>
  </si>
  <si>
    <t>N0717_GRUP_ECO</t>
  </si>
  <si>
    <t>N0717_IDNUMCLI</t>
  </si>
  <si>
    <t>Rol jerárquico antes</t>
  </si>
  <si>
    <t>N0717_ROL_JERA</t>
  </si>
  <si>
    <t>Rol jerárquico después</t>
  </si>
  <si>
    <t>N0717_ROL_JERN</t>
  </si>
  <si>
    <t>03.09.13</t>
  </si>
  <si>
    <t>Ajustes Intervinientes Contrato</t>
  </si>
  <si>
    <t xml:space="preserve">JM_AJ_INTCONT </t>
  </si>
  <si>
    <t>N0721_FEOPERAC</t>
  </si>
  <si>
    <t>N0721_S1EMP</t>
  </si>
  <si>
    <t>N0721_CONTRA1</t>
  </si>
  <si>
    <t>Tipo de Intervención</t>
  </si>
  <si>
    <t>N0721_TIPINTEV</t>
  </si>
  <si>
    <t>N0721_TIPINTV2</t>
  </si>
  <si>
    <t>N0721_NUMORDIN</t>
  </si>
  <si>
    <t>Identificador de cliente antes</t>
  </si>
  <si>
    <t>N0721_IDNUMCLI</t>
  </si>
  <si>
    <t>Identificador de cliente después</t>
  </si>
  <si>
    <t>N0721_IDNUMCLN</t>
  </si>
  <si>
    <t>03.09.14</t>
  </si>
  <si>
    <t>Ajustes Posición Contrato</t>
  </si>
  <si>
    <t>JM_AJ_POSCONT</t>
  </si>
  <si>
    <t>N0725_FEOPERAC</t>
  </si>
  <si>
    <t>N0725_S1EMP</t>
  </si>
  <si>
    <t>N0725_CONTRA1</t>
  </si>
  <si>
    <t>N0725_CTA_CONT</t>
  </si>
  <si>
    <t>N0725_TIP_IMPT</t>
  </si>
  <si>
    <t>N0725_CENTCTBL</t>
  </si>
  <si>
    <t>Importe antes</t>
  </si>
  <si>
    <t>N0725_IMPORTH</t>
  </si>
  <si>
    <t>Importe después</t>
  </si>
  <si>
    <t>N0725_IMPORTHN</t>
  </si>
  <si>
    <t>03.09.15</t>
  </si>
  <si>
    <t>Ajustes Exposiciones no contractuales</t>
  </si>
  <si>
    <t>JM_AJ_EXPNCON</t>
  </si>
  <si>
    <t>N0730_FEOPERAC</t>
  </si>
  <si>
    <t>N0730_S1EMP</t>
  </si>
  <si>
    <t>N0730_CONTRA1</t>
  </si>
  <si>
    <t>N0730_CTA_CONT</t>
  </si>
  <si>
    <t>Agrupador de cuenta contable</t>
  </si>
  <si>
    <t>N0730_AGRCTACB</t>
  </si>
  <si>
    <t>N0730_CENTCTBL</t>
  </si>
  <si>
    <t>Importe de la cuenta contable antes</t>
  </si>
  <si>
    <t>N0730_IMPORTH</t>
  </si>
  <si>
    <t>Importe de la cuenta contable después</t>
  </si>
  <si>
    <t>N0730_IMPORTHN</t>
  </si>
  <si>
    <t>Indicador ctas personales antes</t>
  </si>
  <si>
    <t>N0730_IDCTACEN</t>
  </si>
  <si>
    <t>Indicador ctas personales después</t>
  </si>
  <si>
    <t>N0730_IDCTAPEN</t>
  </si>
  <si>
    <t>03.09.16</t>
  </si>
  <si>
    <t>Ajustes Contrato</t>
  </si>
  <si>
    <t>JM_AJ_CONTR</t>
  </si>
  <si>
    <t xml:space="preserve">N4433_FEOPERAC          </t>
  </si>
  <si>
    <t xml:space="preserve">N4433_S1EMP </t>
  </si>
  <si>
    <t xml:space="preserve">N4433_CONTRA1           </t>
  </si>
  <si>
    <t>Sucursal antes</t>
  </si>
  <si>
    <t xml:space="preserve">N4433_IDSUCUR           </t>
  </si>
  <si>
    <t xml:space="preserve">N4433_IDSUCURP          </t>
  </si>
  <si>
    <t>País antes</t>
  </si>
  <si>
    <t xml:space="preserve">N4433_ID_PAIS           </t>
  </si>
  <si>
    <t>País despues</t>
  </si>
  <si>
    <t xml:space="preserve">N4433_ID_PAISD          </t>
  </si>
  <si>
    <t>Agrupador de Producto antes</t>
  </si>
  <si>
    <t xml:space="preserve">N4433_ID_PROD           </t>
  </si>
  <si>
    <t>Agrupador de Producto después</t>
  </si>
  <si>
    <t xml:space="preserve">N4433_ID_PRODP          </t>
  </si>
  <si>
    <t xml:space="preserve">N4433_IDPRO_LC          </t>
  </si>
  <si>
    <t xml:space="preserve">N4433_IDPRO_LP          </t>
  </si>
  <si>
    <t>Fecha Vencimiento Actual antes</t>
  </si>
  <si>
    <t xml:space="preserve">N4433_FECVE2 </t>
  </si>
  <si>
    <t>Fecha Vencimiento Actual después</t>
  </si>
  <si>
    <t xml:space="preserve">N4433_FECVTO_P          </t>
  </si>
  <si>
    <t>Fecha Apertura antes</t>
  </si>
  <si>
    <t xml:space="preserve">N4433_FECHAPER          </t>
  </si>
  <si>
    <t>Fecha Apertura después</t>
  </si>
  <si>
    <t xml:space="preserve">N4433_FECAPERP          </t>
  </si>
  <si>
    <t>Fecha Cancelación antes</t>
  </si>
  <si>
    <t xml:space="preserve">N4433_FECCANCE          </t>
  </si>
  <si>
    <t>Fecha Cancelación después</t>
  </si>
  <si>
    <t xml:space="preserve">N4433_FECANCEP          </t>
  </si>
  <si>
    <t>Fecha Reconducción antes</t>
  </si>
  <si>
    <t xml:space="preserve">N4433_FECREES           </t>
  </si>
  <si>
    <t>Fecha Reconducción después</t>
  </si>
  <si>
    <t xml:space="preserve">N4433_FECRES_P          </t>
  </si>
  <si>
    <t>Fecha Refinanciación antes</t>
  </si>
  <si>
    <t xml:space="preserve">N4433_FECREFI           </t>
  </si>
  <si>
    <t>Fecha Refinanciación después</t>
  </si>
  <si>
    <t xml:space="preserve">N4433_FECREFIP          </t>
  </si>
  <si>
    <t>Fecha Novación antes</t>
  </si>
  <si>
    <t xml:space="preserve">N4433_FECNOVAC          </t>
  </si>
  <si>
    <t>Fecha Novación después</t>
  </si>
  <si>
    <t xml:space="preserve">N4433_FECNOVAP          </t>
  </si>
  <si>
    <t>Finalidad antes</t>
  </si>
  <si>
    <t xml:space="preserve">N4433_IDFINALI          </t>
  </si>
  <si>
    <t>Finalidad después</t>
  </si>
  <si>
    <t xml:space="preserve">N4433_IDFINALP          </t>
  </si>
  <si>
    <t>Finalidad local antes</t>
  </si>
  <si>
    <t xml:space="preserve">N4433_IDFINALD          </t>
  </si>
  <si>
    <t>Finalidad local después</t>
  </si>
  <si>
    <t xml:space="preserve">N4433_IDFINL_P          </t>
  </si>
  <si>
    <t>Divisa antes</t>
  </si>
  <si>
    <t xml:space="preserve">N4433_CODDIV </t>
  </si>
  <si>
    <t>Divisa después</t>
  </si>
  <si>
    <t xml:space="preserve">N4433_CODDIV_P          </t>
  </si>
  <si>
    <t>Naturaleza del Contrato antes</t>
  </si>
  <si>
    <t xml:space="preserve">N4433_ID_NATUR          </t>
  </si>
  <si>
    <t>Naturaleza del Contrato después</t>
  </si>
  <si>
    <t xml:space="preserve">N4433_ID_NATUP          </t>
  </si>
  <si>
    <t>Indicador Titulizado antes</t>
  </si>
  <si>
    <t xml:space="preserve">N4433_IND_TITU          </t>
  </si>
  <si>
    <t>Indicador Titulizado después</t>
  </si>
  <si>
    <t xml:space="preserve">N4433_IND_TITP          </t>
  </si>
  <si>
    <t>Código de identificación de emisiones antes</t>
  </si>
  <si>
    <t xml:space="preserve">N4433_COD_EMIS          </t>
  </si>
  <si>
    <t>Código de identificación de emisiones después</t>
  </si>
  <si>
    <t xml:space="preserve">N4433_COD_EMIP          </t>
  </si>
  <si>
    <t>Situación Gestión antes</t>
  </si>
  <si>
    <t xml:space="preserve">N4433_GEST_SIT          </t>
  </si>
  <si>
    <t>Situación Gestión después</t>
  </si>
  <si>
    <t xml:space="preserve">N4433_GESTSITP          </t>
  </si>
  <si>
    <t>Situación Gestión Local antes</t>
  </si>
  <si>
    <t xml:space="preserve">N4433_GES2_SIT          </t>
  </si>
  <si>
    <t>Situación Gestión Local después</t>
  </si>
  <si>
    <t xml:space="preserve">N4433_GES2SITP          </t>
  </si>
  <si>
    <t>Limite / Importe concedido antes</t>
  </si>
  <si>
    <t xml:space="preserve">N4433_IMP1LIMI          </t>
  </si>
  <si>
    <t>Limite / Importe concedido después</t>
  </si>
  <si>
    <t xml:space="preserve">N4433_IMP1LIMP          </t>
  </si>
  <si>
    <t>Límite actual antes</t>
  </si>
  <si>
    <t xml:space="preserve">N4433_IMLIMACT          </t>
  </si>
  <si>
    <t>Límite actual  después</t>
  </si>
  <si>
    <t xml:space="preserve">N4433_IMLIMACP          </t>
  </si>
  <si>
    <t>Provisión específica local antes</t>
  </si>
  <si>
    <t xml:space="preserve">N4433_ESPEPROV          </t>
  </si>
  <si>
    <t>Provisión específica local después</t>
  </si>
  <si>
    <t xml:space="preserve">N4433_ESPPROVL          </t>
  </si>
  <si>
    <t>Area de negocio corporativa nivel 1 antes</t>
  </si>
  <si>
    <t xml:space="preserve">N4433_UNNT </t>
  </si>
  <si>
    <t>Area de negocio corporativa nivel 1 después</t>
  </si>
  <si>
    <t xml:space="preserve">N4433_UNNTP </t>
  </si>
  <si>
    <t>Area de negocio local1 antes</t>
  </si>
  <si>
    <t xml:space="preserve">N4433_UNNV </t>
  </si>
  <si>
    <t>Area de negocio local1 después</t>
  </si>
  <si>
    <t xml:space="preserve">N4433_UNNVP </t>
  </si>
  <si>
    <t>Internegocio antes</t>
  </si>
  <si>
    <t xml:space="preserve">N4433_INTNEG </t>
  </si>
  <si>
    <t>Internegocio después</t>
  </si>
  <si>
    <t xml:space="preserve">N4433_INTNEGP           </t>
  </si>
  <si>
    <t>03.10.01</t>
  </si>
  <si>
    <t>Trazabilidad Contratos</t>
  </si>
  <si>
    <t xml:space="preserve">JM_TRZ_CONTRATO </t>
  </si>
  <si>
    <t>G7014_S1EMP</t>
  </si>
  <si>
    <t>Identificador del contrato en BDR</t>
  </si>
  <si>
    <t>G7014_CONTRA1</t>
  </si>
  <si>
    <t>G7014_FECDESDE</t>
  </si>
  <si>
    <t>Identificador del Sistema</t>
  </si>
  <si>
    <t>G7014_IDSISTE</t>
  </si>
  <si>
    <t>Código del contrato  en sis. Fuente</t>
  </si>
  <si>
    <t>G7014_CODSISTE</t>
  </si>
  <si>
    <t>CHAR (50)</t>
  </si>
  <si>
    <t>G7014_FEC_HAS</t>
  </si>
  <si>
    <t>G7014_FEC_MOD</t>
  </si>
  <si>
    <t>G7014_IND_TITU</t>
  </si>
  <si>
    <t>03.10.02</t>
  </si>
  <si>
    <t>Trazabilidad Clientes</t>
  </si>
  <si>
    <t xml:space="preserve">JM_TRZ_CLIENTE </t>
  </si>
  <si>
    <t>G7015_S1EMP</t>
  </si>
  <si>
    <t>Identificador del cliente en BDR</t>
  </si>
  <si>
    <t>G7015_IDNUMCLI</t>
  </si>
  <si>
    <t>G7015_FECDESDE</t>
  </si>
  <si>
    <t>G7015_IDSISTE</t>
  </si>
  <si>
    <t>Tipo persona</t>
  </si>
  <si>
    <t>G7015_TIP_PER</t>
  </si>
  <si>
    <t>Código de persona</t>
  </si>
  <si>
    <t>G7015_CDG_PERS</t>
  </si>
  <si>
    <t>Código del cliente  en sis. Fuente</t>
  </si>
  <si>
    <t>G7015_CODSISTE</t>
  </si>
  <si>
    <t>G7015_FEC_HAS</t>
  </si>
  <si>
    <t>G7015_FEC_MOD</t>
  </si>
  <si>
    <t>03.10.03</t>
  </si>
  <si>
    <t>Trazabilidad Grupos Económicos</t>
  </si>
  <si>
    <t xml:space="preserve">JM_TRZ_GRU_ECON </t>
  </si>
  <si>
    <t>G7017_S1EMP</t>
  </si>
  <si>
    <t>Identificador del grupo económico en BDR</t>
  </si>
  <si>
    <t>G7017_GRUP_ECO</t>
  </si>
  <si>
    <t>G7017_FECDESDE</t>
  </si>
  <si>
    <t>G7017_IDSISTE</t>
  </si>
  <si>
    <t>Código del grupo ec en sis. Fuente</t>
  </si>
  <si>
    <t>G7017_CODSISTE</t>
  </si>
  <si>
    <t>G7017_FEC_HAS</t>
  </si>
  <si>
    <t>G7017_FEC_MOD</t>
  </si>
  <si>
    <t>03.10.04</t>
  </si>
  <si>
    <t>Trazabilidad Garantías</t>
  </si>
  <si>
    <t xml:space="preserve">JM_TRZ_GAR_REAL </t>
  </si>
  <si>
    <t>G7018_S1EMP</t>
  </si>
  <si>
    <t>Identificador de la garantía BDR</t>
  </si>
  <si>
    <t>G7018_BIENGAR1</t>
  </si>
  <si>
    <t>G7018_FECDESDE</t>
  </si>
  <si>
    <t>G7018_IDSISTE</t>
  </si>
  <si>
    <t>Código de la garantía en sis. Fuente</t>
  </si>
  <si>
    <t>G7018_CODSISTE</t>
  </si>
  <si>
    <t>G7018_FEC_HAS</t>
  </si>
  <si>
    <t>G7018_FEC_MOD</t>
  </si>
  <si>
    <t>03.10.05</t>
  </si>
  <si>
    <t>Trazabilidad Netting</t>
  </si>
  <si>
    <t xml:space="preserve">JM_TRZ_NETTING </t>
  </si>
  <si>
    <t>G7021_S1EMP</t>
  </si>
  <si>
    <t>Identificador del acuerdo BDR</t>
  </si>
  <si>
    <t>G7021_IDNETING</t>
  </si>
  <si>
    <t>G7021_FECDESDE</t>
  </si>
  <si>
    <t>G7021_IDSISTE</t>
  </si>
  <si>
    <t>Código del acuerdo sis. Fuente</t>
  </si>
  <si>
    <t>G7021_CODSISTE</t>
  </si>
  <si>
    <t>G7021_FEC_HAS</t>
  </si>
  <si>
    <t>G7021_FEC_MOD</t>
  </si>
  <si>
    <t>03.10.06</t>
  </si>
  <si>
    <t>Trazabilidad Colateral</t>
  </si>
  <si>
    <t xml:space="preserve">JM_TRZ_COLATERA </t>
  </si>
  <si>
    <t>G7022_S1EMP</t>
  </si>
  <si>
    <t>G7022_IDCOLATE</t>
  </si>
  <si>
    <t>G7022_FECDESDE</t>
  </si>
  <si>
    <t>G7022_IDSISTE</t>
  </si>
  <si>
    <t>G7022_CODSISTE</t>
  </si>
  <si>
    <t>G7022_FEC_HAS</t>
  </si>
  <si>
    <t>G7022_FEC_MOD</t>
  </si>
  <si>
    <t>03.10.07</t>
  </si>
  <si>
    <t>Trazabilidad Inventario Aplicaciones</t>
  </si>
  <si>
    <t xml:space="preserve">JM_TRZ_INV_APLI </t>
  </si>
  <si>
    <t>G7009_S1EMP</t>
  </si>
  <si>
    <t>G7009_IDSISTE</t>
  </si>
  <si>
    <t>Nombre del Sistema</t>
  </si>
  <si>
    <t>G7009_CODSISTE</t>
  </si>
  <si>
    <t>G7009_FEC_MOD</t>
  </si>
  <si>
    <t>03.10.08</t>
  </si>
  <si>
    <t>Trazabilidad de la Asignación</t>
  </si>
  <si>
    <t>JM_TRZ_ASIGNA</t>
  </si>
  <si>
    <t>N0733_FEOPERAC</t>
  </si>
  <si>
    <t>N0733_S1EMP</t>
  </si>
  <si>
    <t>N0733_CONTRA1</t>
  </si>
  <si>
    <t>N0733_TIP_GARA</t>
  </si>
  <si>
    <t>N0733_BIENGAR1</t>
  </si>
  <si>
    <t>N0733_IDNUMCLI</t>
  </si>
  <si>
    <t>Porcentaje de la Propiedad Compartida</t>
  </si>
  <si>
    <t>N0733_COMPPROP</t>
  </si>
  <si>
    <t>Intervalo de Confianza de la valoración</t>
  </si>
  <si>
    <t>N0733_INTCONFV</t>
  </si>
  <si>
    <t>Ratio Recuperación Medio – Downturn</t>
  </si>
  <si>
    <t>N0733_RRMDOW</t>
  </si>
  <si>
    <t>Ratio Recuperación Medio – TTC</t>
  </si>
  <si>
    <t>N0733_RRMTTC</t>
  </si>
  <si>
    <t>Ratio Recuperación Medio - PiT</t>
  </si>
  <si>
    <t>N0733_RRMPIT</t>
  </si>
  <si>
    <t>Exposición en la venta  - Downturn</t>
  </si>
  <si>
    <t>N0733_EXPVDOW</t>
  </si>
  <si>
    <t>Exposición en la venta  - TTC</t>
  </si>
  <si>
    <t>N0733_EXPVTTC</t>
  </si>
  <si>
    <t>Exposición en la venta  -  PiT</t>
  </si>
  <si>
    <t>N0733_EXPVPIT</t>
  </si>
  <si>
    <t>Porcentaje de exposición sobre valor original</t>
  </si>
  <si>
    <t>N0733_EXPVORIG</t>
  </si>
  <si>
    <t>Peso de la Valoración</t>
  </si>
  <si>
    <t>N0733_VALPESO</t>
  </si>
  <si>
    <t>Grado Concentración</t>
  </si>
  <si>
    <t>N0733_GRCONCEN</t>
  </si>
  <si>
    <t>Peso Región</t>
  </si>
  <si>
    <t>N0733_REGPESO</t>
  </si>
  <si>
    <t>03.10.09</t>
  </si>
  <si>
    <t>Trazabilidad de Indicadores Inmuebles</t>
  </si>
  <si>
    <t>JM_TRZ_IND_INMU</t>
  </si>
  <si>
    <t>O2821_S1EMP</t>
  </si>
  <si>
    <t>Identificador de Inmueble</t>
  </si>
  <si>
    <t>O2821_IDINMUEB</t>
  </si>
  <si>
    <t>O2821_FECDESDE</t>
  </si>
  <si>
    <t xml:space="preserve">Id. Sistema </t>
  </si>
  <si>
    <t>O2821_IDSISTE</t>
  </si>
  <si>
    <t>Código Sistema Fuente</t>
  </si>
  <si>
    <t>O2821_CODSISTE</t>
  </si>
  <si>
    <t>O2821_FECHASTA</t>
  </si>
  <si>
    <t>O2821_FECULTMO</t>
  </si>
  <si>
    <t>03.10.10</t>
  </si>
  <si>
    <t>Trazabilidad de indicadores Unidad Económica</t>
  </si>
  <si>
    <t>JM_TRZ_IND_UNEC</t>
  </si>
  <si>
    <t>O2822_S1EMP</t>
  </si>
  <si>
    <t>Identificador de Unidad Económica</t>
  </si>
  <si>
    <t>O2822_ID_UE</t>
  </si>
  <si>
    <t>O2822_FECDESDE</t>
  </si>
  <si>
    <t>O2822_IDSISTE</t>
  </si>
  <si>
    <t>O2822_CODSISTE</t>
  </si>
  <si>
    <t>O2822_FECHASTA</t>
  </si>
  <si>
    <t>O2822_FECULTMO</t>
  </si>
  <si>
    <t>03.10.11</t>
  </si>
  <si>
    <t>Traza Recibo</t>
  </si>
  <si>
    <t>JM_TRZ_RECIBO</t>
  </si>
  <si>
    <t>T1766_S1EMP</t>
  </si>
  <si>
    <t xml:space="preserve">Identificador del recibo </t>
  </si>
  <si>
    <t>T1766_IDRECIBO</t>
  </si>
  <si>
    <t>T1766_FECDESDE</t>
  </si>
  <si>
    <t>T1766_IDSISTE</t>
  </si>
  <si>
    <t>T1766_CODSISTE</t>
  </si>
  <si>
    <t>T1766_FECHASTA</t>
  </si>
  <si>
    <t>T1766_FECULTMO</t>
  </si>
  <si>
    <t>03.10.12</t>
  </si>
  <si>
    <t>Traza Inmueble</t>
  </si>
  <si>
    <t xml:space="preserve">Empresa                                 </t>
  </si>
  <si>
    <t>JM_TRZ_INMUEBLE</t>
  </si>
  <si>
    <t>T1767_S1EMP</t>
  </si>
  <si>
    <t xml:space="preserve">Inmueble                                  </t>
  </si>
  <si>
    <t>T1767_IDINMUEB</t>
  </si>
  <si>
    <t xml:space="preserve">Fecha desde                  </t>
  </si>
  <si>
    <t>T1767_FECDESDE</t>
  </si>
  <si>
    <t xml:space="preserve">Id. Sistema                    </t>
  </si>
  <si>
    <t>T1767_IDSISTE</t>
  </si>
  <si>
    <t xml:space="preserve">Código Sistema Fuente      </t>
  </si>
  <si>
    <t>T1767_CODSISTE</t>
  </si>
  <si>
    <t xml:space="preserve">Fecha hasta                 </t>
  </si>
  <si>
    <t>T1767_FECHASTA</t>
  </si>
  <si>
    <t xml:space="preserve">Fecha modificación       </t>
  </si>
  <si>
    <t>T1767_FECULTMO</t>
  </si>
  <si>
    <t>03.11.01</t>
  </si>
  <si>
    <t>Renumeración de Contratos</t>
  </si>
  <si>
    <t xml:space="preserve">JM_TRZ_CONT_REN </t>
  </si>
  <si>
    <t xml:space="preserve">G7025_S1EMP                    </t>
  </si>
  <si>
    <t xml:space="preserve">G7025_CONTRA1                  </t>
  </si>
  <si>
    <t>Empresa antigua</t>
  </si>
  <si>
    <t xml:space="preserve">G7025_EMP_ANT                  </t>
  </si>
  <si>
    <t>Identificador del contrato antiguo</t>
  </si>
  <si>
    <t xml:space="preserve">G7025_CONT_ANT                 </t>
  </si>
  <si>
    <t>Motivo renumeración</t>
  </si>
  <si>
    <t xml:space="preserve">G7025_MOTRENU                  </t>
  </si>
  <si>
    <t>Fecha relación</t>
  </si>
  <si>
    <t xml:space="preserve">G7025_FEALTREL                 </t>
  </si>
  <si>
    <t xml:space="preserve">G7025_FEC_MOD                  </t>
  </si>
  <si>
    <t>Importe reestructurado</t>
  </si>
  <si>
    <t>G7025_IMPRESTR</t>
  </si>
  <si>
    <t>NUM (17,02)</t>
  </si>
  <si>
    <t>G7025_CODDIV</t>
  </si>
  <si>
    <t>Motivo Renumeración Global</t>
  </si>
  <si>
    <t>G7025_MOTRENUG</t>
  </si>
  <si>
    <t>Fecha de Baja</t>
  </si>
  <si>
    <t>G7025_FEC_BAJA</t>
  </si>
  <si>
    <t>Familia de producto</t>
  </si>
  <si>
    <t>G7025_FAM_PROD</t>
  </si>
  <si>
    <t>Dias de atraso</t>
  </si>
  <si>
    <t>G7025_DIASATRA</t>
  </si>
  <si>
    <t>03.11.02</t>
  </si>
  <si>
    <t>Relación País Divisa</t>
  </si>
  <si>
    <t>JM_PAIS_DIVISA</t>
  </si>
  <si>
    <t xml:space="preserve">G6996_ID_PAIS                  </t>
  </si>
  <si>
    <t xml:space="preserve">G6996_CODDIV                   </t>
  </si>
  <si>
    <t xml:space="preserve">G6996_FECDESDE                 </t>
  </si>
  <si>
    <t xml:space="preserve">G6996_FECHASTA                 </t>
  </si>
  <si>
    <t xml:space="preserve">G6996_FECMOD                   </t>
  </si>
  <si>
    <t>03.11.03</t>
  </si>
  <si>
    <t>Renumeración de Clientes</t>
  </si>
  <si>
    <t>JM_TRZ_CLIE_REN</t>
  </si>
  <si>
    <t>N0736_S1EMP</t>
  </si>
  <si>
    <t xml:space="preserve">Identificador cliente BDR nuevo </t>
  </si>
  <si>
    <t>N0736_IDNUMCLI</t>
  </si>
  <si>
    <t xml:space="preserve">Empresa antigua </t>
  </si>
  <si>
    <t>N0736_EMP_ANT</t>
  </si>
  <si>
    <t xml:space="preserve">Identificador cliente BDR antiguo </t>
  </si>
  <si>
    <t>N0736_CLIE_ANT</t>
  </si>
  <si>
    <t>N0736_MOTRENU</t>
  </si>
  <si>
    <t>Fecha Relación</t>
  </si>
  <si>
    <t>N0736_FEALTREL</t>
  </si>
  <si>
    <t>N0736_FEC_MOD</t>
  </si>
  <si>
    <t>N0736_MOTRENUG</t>
  </si>
  <si>
    <t>N0736_FEC_BAJA</t>
  </si>
  <si>
    <t>03.11.04</t>
  </si>
  <si>
    <t>Tipo de Cambio</t>
  </si>
  <si>
    <t>Fecha de proceso</t>
  </si>
  <si>
    <t>JM_TIP_CAMBIO</t>
  </si>
  <si>
    <t>N0738_FEOPERAC</t>
  </si>
  <si>
    <t>Codigo de divisa</t>
  </si>
  <si>
    <t>N0738_CODDIV</t>
  </si>
  <si>
    <t>Codigo de divisa de cambio</t>
  </si>
  <si>
    <t>N0738_CODDIV2</t>
  </si>
  <si>
    <t>Origen del tipo de cambio</t>
  </si>
  <si>
    <t>N0738_ORTIPCAM</t>
  </si>
  <si>
    <t>Tipo de cambio</t>
  </si>
  <si>
    <t>N0738_TPCAM</t>
  </si>
  <si>
    <t>DEC(18,13)</t>
  </si>
  <si>
    <t>Fecha ultimo movimiento</t>
  </si>
  <si>
    <t>N0738_FECULTMO</t>
  </si>
  <si>
    <t>03.11.05</t>
  </si>
  <si>
    <t>Relación de Baremos Global - Local</t>
  </si>
  <si>
    <t>JM_REL_BARGL_LO</t>
  </si>
  <si>
    <t>N0741_S1EMP</t>
  </si>
  <si>
    <t>Código de negocio</t>
  </si>
  <si>
    <t>N0741_CODNEGO</t>
  </si>
  <si>
    <t>Código Baremo global</t>
  </si>
  <si>
    <t>N0741_CODBARG</t>
  </si>
  <si>
    <t>Código de Baremo local estandar</t>
  </si>
  <si>
    <t>N0741_CODBARLE</t>
  </si>
  <si>
    <t>N0741_FECDESDE</t>
  </si>
  <si>
    <t>N0741_FECHASTA</t>
  </si>
  <si>
    <t>Fecha de Grabación</t>
  </si>
  <si>
    <t>N0741_FECGRAB</t>
  </si>
  <si>
    <t>Fecha de Modificación</t>
  </si>
  <si>
    <t>N0741_FECULTMO</t>
  </si>
  <si>
    <t>Código de negocio local</t>
  </si>
  <si>
    <t>N0741_CODNEGOL</t>
  </si>
  <si>
    <t>03.11.06</t>
  </si>
  <si>
    <t>Renumeración de grupos económicos</t>
  </si>
  <si>
    <t>JM_TRZ_GREC_REN</t>
  </si>
  <si>
    <t>O2825_S1EMP</t>
  </si>
  <si>
    <t>Identificador del grupo económico</t>
  </si>
  <si>
    <t>O2825_GRUP_ECO</t>
  </si>
  <si>
    <t>O2825_EMP_ANT</t>
  </si>
  <si>
    <t xml:space="preserve">Identificador BDR antiguo </t>
  </si>
  <si>
    <t>O2825_GRUP_ANT</t>
  </si>
  <si>
    <t>Motivo renumeración local</t>
  </si>
  <si>
    <t>O2825_MOTRENU</t>
  </si>
  <si>
    <t>O2825_FEALTREL</t>
  </si>
  <si>
    <t>O2825_FEC_MOD</t>
  </si>
  <si>
    <t>O2825_MOTRENUG</t>
  </si>
  <si>
    <t>O2825_FEC_BAJA</t>
  </si>
  <si>
    <t>03.11.07</t>
  </si>
  <si>
    <t>Indicadores BIS III</t>
  </si>
  <si>
    <t>JM_IND_BISIII</t>
  </si>
  <si>
    <t>O2826_FEOPERAC</t>
  </si>
  <si>
    <t>O2826_KGL</t>
  </si>
  <si>
    <t>Indicador de entidad financiera regulada y no regulada</t>
  </si>
  <si>
    <t>O2826_INDENTFI</t>
  </si>
  <si>
    <t>Tipo de interviniente CCP</t>
  </si>
  <si>
    <t>O2826_TIPICCP</t>
  </si>
  <si>
    <t>Factor SSPP</t>
  </si>
  <si>
    <t>O2826_FACTSSPP</t>
  </si>
  <si>
    <t>03.11.08</t>
  </si>
  <si>
    <t>Relación entre entidad BDR y Sociedad Cargabal</t>
  </si>
  <si>
    <t>JM_SOC_ENTBDR</t>
  </si>
  <si>
    <t>R3903_S1EMP</t>
  </si>
  <si>
    <t>Código cargabal</t>
  </si>
  <si>
    <t>R3903_ENTCGBAL</t>
  </si>
  <si>
    <t>Descripción de la Sociedad</t>
  </si>
  <si>
    <t>R3903_DESCSOCI</t>
  </si>
  <si>
    <t>CHAR (00050)</t>
  </si>
  <si>
    <t>R3903_CODDIV</t>
  </si>
  <si>
    <t>R3903_FECDESDE</t>
  </si>
  <si>
    <t>R3903_FECHASTA</t>
  </si>
  <si>
    <t>Divisa de los importes en BDR</t>
  </si>
  <si>
    <t>R3903_CODDIVBD</t>
  </si>
  <si>
    <t>03.11.09</t>
  </si>
  <si>
    <t>Porcentaje de participacion por Sociedad Cargabal</t>
  </si>
  <si>
    <t>Fecha de datos</t>
  </si>
  <si>
    <t>JM_AMB_SOC</t>
  </si>
  <si>
    <t>R3901_FEOPERAC</t>
  </si>
  <si>
    <t>Ámbito</t>
  </si>
  <si>
    <t>R3901_AMBITO</t>
  </si>
  <si>
    <t>CHAR (00006)</t>
  </si>
  <si>
    <t>R3901_ENTCGBAL</t>
  </si>
  <si>
    <t>Método</t>
  </si>
  <si>
    <t>R3901_METODO</t>
  </si>
  <si>
    <t>Porcentaje Nominal</t>
  </si>
  <si>
    <t>R3901_PORNOMIN</t>
  </si>
  <si>
    <t>R3901_PORINCOR</t>
  </si>
  <si>
    <t>Porcentaje Efectivo</t>
  </si>
  <si>
    <t>R3901_POREFECT</t>
  </si>
  <si>
    <t>03.11.10</t>
  </si>
  <si>
    <t>Baremos Locales</t>
  </si>
  <si>
    <t>JM_BAREMOS_LOC</t>
  </si>
  <si>
    <t>R8180_S1EMP</t>
  </si>
  <si>
    <t>Codigo Negocio Local</t>
  </si>
  <si>
    <t>R8180_CODNEGOL</t>
  </si>
  <si>
    <t>Codigo baremo local</t>
  </si>
  <si>
    <t>R8180_CODBARLE</t>
  </si>
  <si>
    <t>R8180_FECDESDE</t>
  </si>
  <si>
    <t>R8180_FECHASTA</t>
  </si>
  <si>
    <t>Descripción baremo local</t>
  </si>
  <si>
    <t>R8180_DESCBARL</t>
  </si>
  <si>
    <t>R8180_FECULTMO</t>
  </si>
  <si>
    <t>03.11.11</t>
  </si>
  <si>
    <t>País Otros Datos</t>
  </si>
  <si>
    <t>JM_PAIS_OTROS</t>
  </si>
  <si>
    <t>R9456_ID_PAIS</t>
  </si>
  <si>
    <t>R9456_FECDESDE</t>
  </si>
  <si>
    <t>R9456_FECHASTA</t>
  </si>
  <si>
    <t>Indicador Unión Europea</t>
  </si>
  <si>
    <t>R9456_IND_UE</t>
  </si>
  <si>
    <t>RW País</t>
  </si>
  <si>
    <t>R9456_RW_PAIS</t>
  </si>
  <si>
    <t>03.11.12</t>
  </si>
  <si>
    <t>Tabla AdN</t>
  </si>
  <si>
    <t>JM_ADN</t>
  </si>
  <si>
    <t>T1763_ADN</t>
  </si>
  <si>
    <t>CHAR (00012)</t>
  </si>
  <si>
    <t>T1763_DESCRIP</t>
  </si>
  <si>
    <t>T1763_FECDESDE</t>
  </si>
  <si>
    <t>T1763_FECHASTA</t>
  </si>
  <si>
    <t>T1763_FECULTMO</t>
  </si>
  <si>
    <t>03.11.13</t>
  </si>
  <si>
    <t>Tabla LGD a nivel KGL</t>
  </si>
  <si>
    <t>fecha datos</t>
  </si>
  <si>
    <t>JM_LGD_KGL</t>
  </si>
  <si>
    <t>T1765_FEOPERAC</t>
  </si>
  <si>
    <t>cliente KGL</t>
  </si>
  <si>
    <t>T1765_CLI_KGL</t>
  </si>
  <si>
    <t>T1765_LGD</t>
  </si>
  <si>
    <t>03.11.14</t>
  </si>
  <si>
    <t>Tipo de Cambio Diario</t>
  </si>
  <si>
    <t xml:space="preserve">Fecha mes                   </t>
  </si>
  <si>
    <t>JM_TPCAMB_DIA</t>
  </si>
  <si>
    <t>T1865_FEOPERAC</t>
  </si>
  <si>
    <t xml:space="preserve">Fecha valor                 </t>
  </si>
  <si>
    <t>T1865_FECVALOR</t>
  </si>
  <si>
    <t xml:space="preserve">Código de divisa            </t>
  </si>
  <si>
    <t>T1865_CODDIV</t>
  </si>
  <si>
    <t xml:space="preserve">Código de divisa de cambio  </t>
  </si>
  <si>
    <t>T1865_CODDIV2</t>
  </si>
  <si>
    <t xml:space="preserve">Tipo de cambio              </t>
  </si>
  <si>
    <t>T1865_TPCAM</t>
  </si>
  <si>
    <t>DEC (18,13)</t>
  </si>
  <si>
    <t>03.11.15</t>
  </si>
  <si>
    <t>Información Códigos Monet</t>
  </si>
  <si>
    <t>Entidad jurídica modelo</t>
  </si>
  <si>
    <t>JM_IN_CDMONET</t>
  </si>
  <si>
    <t>T3406_ENTJURMD</t>
  </si>
  <si>
    <t>Código de modelo</t>
  </si>
  <si>
    <t>T3406_CODMODEL</t>
  </si>
  <si>
    <t>Nombre corto del modelo</t>
  </si>
  <si>
    <t>T3406_NOMCTMOD</t>
  </si>
  <si>
    <t>Función</t>
  </si>
  <si>
    <t>T3406_FUNCION</t>
  </si>
  <si>
    <t>Scope</t>
  </si>
  <si>
    <t>T3406_SCOPE</t>
  </si>
  <si>
    <t>Subscope</t>
  </si>
  <si>
    <t>T3406_SUBSCOPE</t>
  </si>
  <si>
    <t>Tipo Modelo</t>
  </si>
  <si>
    <t>T3406_TIPMODEL</t>
  </si>
  <si>
    <t>Subtipo Modelo</t>
  </si>
  <si>
    <t>T3406_STPMODEL</t>
  </si>
  <si>
    <t>Código de uso</t>
  </si>
  <si>
    <t>T3406_CODUSO</t>
  </si>
  <si>
    <t>Uso Entidad jurídica</t>
  </si>
  <si>
    <t>T3406_USOENTJU</t>
  </si>
  <si>
    <t>Nombre de uso</t>
  </si>
  <si>
    <t>T3406_NOMBRUSO</t>
  </si>
  <si>
    <t>Fase del ciclo de vida</t>
  </si>
  <si>
    <t>T3406_FSCICVID</t>
  </si>
  <si>
    <t>Estado de uso</t>
  </si>
  <si>
    <t>T3406_ESTADUSO</t>
  </si>
  <si>
    <t>T3406_FINALID</t>
  </si>
  <si>
    <t>Cartera</t>
  </si>
  <si>
    <t>T3406_CARTERA</t>
  </si>
  <si>
    <t>Sistema</t>
  </si>
  <si>
    <t>T3406_SISTEMA</t>
  </si>
  <si>
    <t>Producto</t>
  </si>
  <si>
    <t>T3406_PRODUCTO</t>
  </si>
  <si>
    <t>03.12.01</t>
  </si>
  <si>
    <t>Inmuebles</t>
  </si>
  <si>
    <t>JM_INMUEBLES</t>
  </si>
  <si>
    <t>O9270_FEOPERAC</t>
  </si>
  <si>
    <t>O9270_S1EMP</t>
  </si>
  <si>
    <t>O9270_IDINMUEB</t>
  </si>
  <si>
    <t>Tipo utilización inmueble</t>
  </si>
  <si>
    <t>O9270_TIPOUTIL</t>
  </si>
  <si>
    <t>Tamaño del inmueble</t>
  </si>
  <si>
    <t>O9270_TAM_INMU</t>
  </si>
  <si>
    <t>NUM (17,06)</t>
  </si>
  <si>
    <t>Año de construcción</t>
  </si>
  <si>
    <t>O9270_ANO_CONS</t>
  </si>
  <si>
    <t>DEC (04,00)</t>
  </si>
  <si>
    <t>Método de construcción</t>
  </si>
  <si>
    <t>O9270_MET_CONS</t>
  </si>
  <si>
    <t>O9270_COZONA</t>
  </si>
  <si>
    <t>CHAR (40)</t>
  </si>
  <si>
    <t>O9270_TIP_PPDA</t>
  </si>
  <si>
    <t>O9270_RRVENTAF</t>
  </si>
  <si>
    <t>O9270_RRVENTAP</t>
  </si>
  <si>
    <t>Media de recuperación  por venta</t>
  </si>
  <si>
    <t>O9270_MRVENTA</t>
  </si>
  <si>
    <t>Ratio de recuperación ajustado por venta forzada</t>
  </si>
  <si>
    <t>O9270_RRAJVTAF</t>
  </si>
  <si>
    <t>Ratio de recuperación ajustado por venta privada</t>
  </si>
  <si>
    <t>O9270_RRAJVTAP</t>
  </si>
  <si>
    <t>Media de recuperación ajustada por venta</t>
  </si>
  <si>
    <t>O9270_MRAJVTA</t>
  </si>
  <si>
    <t>O9270_PTVENTAF</t>
  </si>
  <si>
    <t>O9270_PTVENTAP</t>
  </si>
  <si>
    <t>Media del Periodo de tiempo medio que se tarda en vender</t>
  </si>
  <si>
    <t>O9270_PPTVENTA</t>
  </si>
  <si>
    <t>Indicador metrópolis</t>
  </si>
  <si>
    <t>O9270_ID_METRO</t>
  </si>
  <si>
    <t>Indicador Ciudad-Estado</t>
  </si>
  <si>
    <t>O9270_ID_CIEST</t>
  </si>
  <si>
    <t>O9270_PODERADQ</t>
  </si>
  <si>
    <t xml:space="preserve">Superficie del terreno </t>
  </si>
  <si>
    <t>O9270_SUPERFIC</t>
  </si>
  <si>
    <t xml:space="preserve">Posesión </t>
  </si>
  <si>
    <t>O9270_POSESION</t>
  </si>
  <si>
    <t xml:space="preserve">Incripción </t>
  </si>
  <si>
    <t>O9270_INSCRIPC</t>
  </si>
  <si>
    <t xml:space="preserve">Cargas </t>
  </si>
  <si>
    <t>O9270_CARGAS</t>
  </si>
  <si>
    <t>Fecha Toma de posesión (0001-01-01)</t>
  </si>
  <si>
    <t>O9270_FECPOSE</t>
  </si>
  <si>
    <t>Registro</t>
  </si>
  <si>
    <t>O9270_REGISTRO</t>
  </si>
  <si>
    <t>Número de Registro</t>
  </si>
  <si>
    <t>O9270_NUM_REG</t>
  </si>
  <si>
    <t>CHAR (00025)</t>
  </si>
  <si>
    <t>Municipio</t>
  </si>
  <si>
    <t>O9270_MUNICIPI</t>
  </si>
  <si>
    <t>CHAR (00007)</t>
  </si>
  <si>
    <t xml:space="preserve">Flag Adjudicado o comprado </t>
  </si>
  <si>
    <t>O9270_FLG_ADJ</t>
  </si>
  <si>
    <t>Finca Registral</t>
  </si>
  <si>
    <t>O9270_FINCAREG</t>
  </si>
  <si>
    <t>03.12.02</t>
  </si>
  <si>
    <t>Relación Inmueble-Garantía</t>
  </si>
  <si>
    <t>JM_REL_INMGAR</t>
  </si>
  <si>
    <t>O9217_S1EMP</t>
  </si>
  <si>
    <t>O9217_IDINMUEB</t>
  </si>
  <si>
    <t>O9217_BIENGAR1</t>
  </si>
  <si>
    <t>O9217_FECDESDE</t>
  </si>
  <si>
    <t>O9217_FECHASTA</t>
  </si>
  <si>
    <t>03.12.03</t>
  </si>
  <si>
    <t>Valoración de Inmuebles</t>
  </si>
  <si>
    <t>JM_VAL_INMU</t>
  </si>
  <si>
    <t>O9218_FEOPERAC</t>
  </si>
  <si>
    <t>O9218_S1EMP</t>
  </si>
  <si>
    <t>O9218_IDINMUEB</t>
  </si>
  <si>
    <t>O9218_FECHVALR</t>
  </si>
  <si>
    <t>Tipo de valoración de inmueble</t>
  </si>
  <si>
    <t>O9218_TIPVALIM</t>
  </si>
  <si>
    <t>Importe inmueble</t>
  </si>
  <si>
    <t>O9218_IMP_INMU</t>
  </si>
  <si>
    <t>O9218_CODDIV</t>
  </si>
  <si>
    <t>O9218_FECULTMO</t>
  </si>
  <si>
    <t>O9218_ENTVALOR</t>
  </si>
  <si>
    <t xml:space="preserve">valor hipótesis edificio terminado </t>
  </si>
  <si>
    <t>O9218_VALHIPET</t>
  </si>
  <si>
    <t xml:space="preserve">valor del suelo adjudicado </t>
  </si>
  <si>
    <t>O9218_VALSUADJ</t>
  </si>
  <si>
    <t>03.13.01</t>
  </si>
  <si>
    <t>Capital en Riesgo</t>
  </si>
  <si>
    <t>JM_CAPIT_RIES</t>
  </si>
  <si>
    <t>R9624_FEOPERAC</t>
  </si>
  <si>
    <t>R9624_S1EMP</t>
  </si>
  <si>
    <t>R9624_CONTRA1</t>
  </si>
  <si>
    <t>R9624_IDNUMCLI</t>
  </si>
  <si>
    <t>Identificador de Unidad de Riesgo</t>
  </si>
  <si>
    <t>R9624_UDAD_RGO</t>
  </si>
  <si>
    <t>EAD utilizada en el Cálculo</t>
  </si>
  <si>
    <t>R9624_EAD_CER</t>
  </si>
  <si>
    <t>Plazo Actual Calculado en meses</t>
  </si>
  <si>
    <t>R9624_M_CER</t>
  </si>
  <si>
    <t>PD tras los procesos de capital económico.</t>
  </si>
  <si>
    <t>R9624_PD_CER</t>
  </si>
  <si>
    <t>LGD tras los procesos de capital económico</t>
  </si>
  <si>
    <t>R9624_LGD_CER</t>
  </si>
  <si>
    <t>R9624_CER_RV</t>
  </si>
  <si>
    <t>Correlación aplicada en el cálculo de CeR</t>
  </si>
  <si>
    <t>R9624_CORR_CER</t>
  </si>
  <si>
    <t>DEC (18,16)</t>
  </si>
  <si>
    <t>Tipo Capital en riesgo</t>
  </si>
  <si>
    <t>R9624_TCAPRIES</t>
  </si>
  <si>
    <t>11.3</t>
  </si>
  <si>
    <t xml:space="preserve">Área de negocio corporativa último nivel informado (AdN) </t>
  </si>
  <si>
    <t>R9624_ADN</t>
  </si>
  <si>
    <t>Geografía corporativa criterio CdG (NPP)</t>
  </si>
  <si>
    <t>R9624_NPP</t>
  </si>
  <si>
    <t xml:space="preserve">Código de identificación de la SPV </t>
  </si>
  <si>
    <t>R9624_COD_SPV</t>
  </si>
  <si>
    <t>R9624_CODDIV</t>
  </si>
  <si>
    <t>03.13.02</t>
  </si>
  <si>
    <t>Unidades de Riesgo</t>
  </si>
  <si>
    <t>JM_UNI_RIESGO</t>
  </si>
  <si>
    <t>R9621_FEOPERAC</t>
  </si>
  <si>
    <t>R9621_IDUNIRIE</t>
  </si>
  <si>
    <t>Nombre de la Unidad de Riesgo.</t>
  </si>
  <si>
    <t>R9621_NOM_UNRI</t>
  </si>
  <si>
    <t>CHAR (00150)</t>
  </si>
  <si>
    <t>Tipo tratamiento de la Unidad de Riesgo.</t>
  </si>
  <si>
    <t>R9621_TIPTTOUR</t>
  </si>
  <si>
    <t>03.13.03</t>
  </si>
  <si>
    <t>Inputs preajustes y finales de CE</t>
  </si>
  <si>
    <t>JM_CTO_AJ_ECO</t>
  </si>
  <si>
    <t>T1773_FEOPERAC</t>
  </si>
  <si>
    <t>T1773_S1EMP</t>
  </si>
  <si>
    <t>T1773_CONTRA1</t>
  </si>
  <si>
    <t>Identificador de cliente, si existe BIENGAR1; sino IDNUMCLI</t>
  </si>
  <si>
    <t>T1773_NUMCLIEC</t>
  </si>
  <si>
    <t>T1773_ADN</t>
  </si>
  <si>
    <t>T1773_NPP</t>
  </si>
  <si>
    <t>T1773_SPV</t>
  </si>
  <si>
    <t>Divisa del contrato</t>
  </si>
  <si>
    <t>T1773_CODDIV</t>
  </si>
  <si>
    <t>Identificador de sucursal del contrato</t>
  </si>
  <si>
    <t>T1773_IDSUCUCT</t>
  </si>
  <si>
    <t>País del contrato (ISO)</t>
  </si>
  <si>
    <t>T1773_IDPAISCT</t>
  </si>
  <si>
    <t>T1773_ID_PRODL</t>
  </si>
  <si>
    <t>Identificador de Producto</t>
  </si>
  <si>
    <t>T1773_ID_PROD</t>
  </si>
  <si>
    <t>Fecha de apertura del contrato</t>
  </si>
  <si>
    <t>T1773_FECHAPER</t>
  </si>
  <si>
    <t>Fecha de vencimiento actual</t>
  </si>
  <si>
    <t>T1773_FECVE2</t>
  </si>
  <si>
    <t>Plazo actual</t>
  </si>
  <si>
    <t>T1773_PLAZO</t>
  </si>
  <si>
    <t>T1773_MODSCRAT</t>
  </si>
  <si>
    <t>Flag Mercados Financieros (1-Si, 0-No)</t>
  </si>
  <si>
    <t>T1773_FLG_MMFF</t>
  </si>
  <si>
    <t>Indicador de morosidad BDR</t>
  </si>
  <si>
    <t>T1773_INDMORA1</t>
  </si>
  <si>
    <t>Flag de cura</t>
  </si>
  <si>
    <t>T1773_FLAGCURA</t>
  </si>
  <si>
    <t>Segmento global</t>
  </si>
  <si>
    <t>T1773_CLISEGM</t>
  </si>
  <si>
    <t>Segmento local 1</t>
  </si>
  <si>
    <t>T1773_CLISEGL1</t>
  </si>
  <si>
    <t>Segmento local 2</t>
  </si>
  <si>
    <t>T1773_CLISEGL2</t>
  </si>
  <si>
    <t>Código de sector</t>
  </si>
  <si>
    <t>T1773_COD_SECT</t>
  </si>
  <si>
    <t>Código de sector local (contable).</t>
  </si>
  <si>
    <t>T1773_COD_SEC3</t>
  </si>
  <si>
    <t>Identificador de sucursal del cliente</t>
  </si>
  <si>
    <t>T1773_IDSUCUCL</t>
  </si>
  <si>
    <t>Pais del cliente (ISO)</t>
  </si>
  <si>
    <t>T1773_IDPAISCL</t>
  </si>
  <si>
    <t>Facturación del cliente</t>
  </si>
  <si>
    <t>T1773_IMPFACTM</t>
  </si>
  <si>
    <t>T1773_CARTER</t>
  </si>
  <si>
    <t>Tipo de modelo sco/rating local</t>
  </si>
  <si>
    <t>T1773_TIPMODE2</t>
  </si>
  <si>
    <t>Rating/Scoring asociado al IDNUMCLI_EC</t>
  </si>
  <si>
    <t>T1773_IDPUNSCO</t>
  </si>
  <si>
    <t>Fecha de caducidad de la puntuación</t>
  </si>
  <si>
    <t>T1773_FECCADUC</t>
  </si>
  <si>
    <t>Indicador de cliente soberano</t>
  </si>
  <si>
    <t>T1773_ID_SOBER</t>
  </si>
  <si>
    <t>Id. de cliente del Gestor de Límites</t>
  </si>
  <si>
    <t>T1773_KGL4</t>
  </si>
  <si>
    <t>T1773_GRUP_ECO</t>
  </si>
  <si>
    <t>País del grupo económico (ISO)</t>
  </si>
  <si>
    <t>T1773_IDPAISGR</t>
  </si>
  <si>
    <t>Sector global Herr. Correlaciones</t>
  </si>
  <si>
    <t>T1773_SEC_GLOB</t>
  </si>
  <si>
    <t>Facturación del grupo económico</t>
  </si>
  <si>
    <t>T1773_IMPFACTG</t>
  </si>
  <si>
    <t>Saldo en balance</t>
  </si>
  <si>
    <t>T1773_SLDBALAN</t>
  </si>
  <si>
    <t>T1773_SLFBALAN</t>
  </si>
  <si>
    <t>CCF saldo en balance</t>
  </si>
  <si>
    <t>T1773_K1</t>
  </si>
  <si>
    <t>CCF saldo fuera de balance</t>
  </si>
  <si>
    <t>T1773_CCF</t>
  </si>
  <si>
    <t>T1773_EAD</t>
  </si>
  <si>
    <t>Divisa exposición</t>
  </si>
  <si>
    <t>T1773_CODDIVEX</t>
  </si>
  <si>
    <t>Flag moneda local</t>
  </si>
  <si>
    <t>T1773_FLGMONLC</t>
  </si>
  <si>
    <t>Prob. de Incumplimiento del avalista</t>
  </si>
  <si>
    <t>T1773_ID_PDCRS</t>
  </si>
  <si>
    <t>PD económica antes de tratamiento de bonificación.</t>
  </si>
  <si>
    <t>T1773_PD</t>
  </si>
  <si>
    <t>Severidad</t>
  </si>
  <si>
    <t>T1773_LGD</t>
  </si>
  <si>
    <t>Categoría BIS II</t>
  </si>
  <si>
    <t>T1773_CAT_MSTA</t>
  </si>
  <si>
    <t>Subcategoría BIS II</t>
  </si>
  <si>
    <t>T1773_CATGSUB1</t>
  </si>
  <si>
    <t>Motivo de exclusión de informes.</t>
  </si>
  <si>
    <t>T1773_MOTEXINF</t>
  </si>
  <si>
    <t>Fecha de extracción de los datos de BDR</t>
  </si>
  <si>
    <t>T1773_FEXTRBDR</t>
  </si>
  <si>
    <t>Suma de exposición a nivel cliente/grupo.</t>
  </si>
  <si>
    <t>T1773_EADUMBRA</t>
  </si>
  <si>
    <t>Identificador de la Unidad de Riesgo</t>
  </si>
  <si>
    <t>T1773_ID_UR</t>
  </si>
  <si>
    <t>Flag internegocio (S-Si, N-No)</t>
  </si>
  <si>
    <t>T1773_FLGINTNG</t>
  </si>
  <si>
    <t>Baremo tipo ajuste de la BDR, tabla: JM_TIP_AJUSTE</t>
  </si>
  <si>
    <t>T1773_TIP_AJUS</t>
  </si>
  <si>
    <t>Stage de Provisión según IFRS 9</t>
  </si>
  <si>
    <t>T1773_STAGE</t>
  </si>
  <si>
    <t>Provisión asociada al contrato. Dentro de Balance</t>
  </si>
  <si>
    <t>T1773_PROVDBAL</t>
  </si>
  <si>
    <t>Provisión asociada al contrato. Fuera de Balance</t>
  </si>
  <si>
    <t>T1773_PROVFBAL</t>
  </si>
  <si>
    <t>Cliente titular del contrato</t>
  </si>
  <si>
    <t>T1773_IDNUMCLI</t>
  </si>
  <si>
    <t>Rating/Scoring del cliente titular</t>
  </si>
  <si>
    <t>T1773_PUNSCOTI</t>
  </si>
  <si>
    <t>subproducto del contrato</t>
  </si>
  <si>
    <t>T1773_IDSUBPRD</t>
  </si>
  <si>
    <t>rating cross border</t>
  </si>
  <si>
    <t>T1773_RATCROSS</t>
  </si>
  <si>
    <t>tipo de garantía</t>
  </si>
  <si>
    <t>T1773_TIP_GARA</t>
  </si>
  <si>
    <t>Flag Doble Default (1-Si, 0-No)</t>
  </si>
  <si>
    <t>T1773_FLGDBDEF</t>
  </si>
  <si>
    <t>porcentaje de titulización</t>
  </si>
  <si>
    <t>T1773_PORC_TIT</t>
  </si>
  <si>
    <t>Flag de intragrupo (1-Si, 0-No)</t>
  </si>
  <si>
    <t>T1773_FLGINTRG</t>
  </si>
  <si>
    <t>Rating/Scoring del contrato</t>
  </si>
  <si>
    <t>T1773_PUNSCOCT</t>
  </si>
  <si>
    <t>Flag Trade Finance (1-Si, 0-No)</t>
  </si>
  <si>
    <t>T1773_FLGTRFIN</t>
  </si>
  <si>
    <t>Flag de transferencia de riesgo  (1-Si, 0-No)</t>
  </si>
  <si>
    <t>T1773_FLG_TRAN</t>
  </si>
  <si>
    <t>Flag origen del contrato</t>
  </si>
  <si>
    <t>T1773_FLGORCTO</t>
  </si>
  <si>
    <t>T1773_EMPREPOR</t>
  </si>
  <si>
    <t>14</t>
  </si>
  <si>
    <t>T1773_GEST_SIT</t>
  </si>
  <si>
    <t>T1773_GES2_SIT</t>
  </si>
  <si>
    <t>Tipo de modelo scoring/rating global (Contrato)</t>
  </si>
  <si>
    <t>T1773_TIPMODCT</t>
  </si>
  <si>
    <t>Divisa 1 del país de residencia</t>
  </si>
  <si>
    <t>T1773_CODDIVP1</t>
  </si>
  <si>
    <t>Divisa 2 del país de residencia</t>
  </si>
  <si>
    <t>T1773_CODDIVP2</t>
  </si>
  <si>
    <t>Divisa 3 del país de residencia</t>
  </si>
  <si>
    <t>T1773_CODDIVP3</t>
  </si>
  <si>
    <t>T1773_TIP_PERS</t>
  </si>
  <si>
    <t>Identificador modelo scoring/rating cliente</t>
  </si>
  <si>
    <t>T1773_ID_MODCL</t>
  </si>
  <si>
    <t>Tipo de modelo scoring/rating global (Cliente)</t>
  </si>
  <si>
    <t>T1773_TIPMODCL</t>
  </si>
  <si>
    <t>Tipo de tratamiento de la Unidad de riesgos</t>
  </si>
  <si>
    <t>T1773_TIPTTOUR</t>
  </si>
  <si>
    <t>Mes producción</t>
  </si>
  <si>
    <t>T1773_MESPROD</t>
  </si>
  <si>
    <t>Eje 1 de la unidad de riesgos</t>
  </si>
  <si>
    <t>T1773_EJEUNRG1</t>
  </si>
  <si>
    <t>Eje 2 de la unidad de riesgos</t>
  </si>
  <si>
    <t>T1773_EJEUNRG2</t>
  </si>
  <si>
    <t>Eje 3 de la unidad de riesgos</t>
  </si>
  <si>
    <t>T1773_EJEUNRG3</t>
  </si>
  <si>
    <t>Eje 4 de la unidad de riesgos</t>
  </si>
  <si>
    <t>T1773_EJEUNRG4</t>
  </si>
  <si>
    <t>LGD ELBE</t>
  </si>
  <si>
    <t>T1773_LGD_ELBE</t>
  </si>
  <si>
    <t>Identificador Grupo LGD</t>
  </si>
  <si>
    <t>T1773_ID_GRLGD</t>
  </si>
  <si>
    <t>Identificador Grupo PD</t>
  </si>
  <si>
    <t>T1773_ID_GRPD</t>
  </si>
  <si>
    <t>Identificador cliente del gestor de límites</t>
  </si>
  <si>
    <t>T1773_IDCLGLIM</t>
  </si>
  <si>
    <t>CHAR (6)</t>
  </si>
  <si>
    <t>Modelo rating interno lista cerrada</t>
  </si>
  <si>
    <t>T1773_MODRATIN</t>
  </si>
  <si>
    <t>CHAR (15)</t>
  </si>
  <si>
    <t>Tipo Cuadre contable</t>
  </si>
  <si>
    <t>T1773_TIPCCONT</t>
  </si>
  <si>
    <t>Rating interno lista cerrada</t>
  </si>
  <si>
    <t>T1773_RATININT</t>
  </si>
  <si>
    <t>NUM (11,1)</t>
  </si>
  <si>
    <t>Id grupo asignación LGD PE Final</t>
  </si>
  <si>
    <t>T1773_ID_LGDPE</t>
  </si>
  <si>
    <t>Ver que Carlos ponga el nombre de este campo bdr</t>
  </si>
  <si>
    <t>03.13.04</t>
  </si>
  <si>
    <t>Output variables calculadas CE</t>
  </si>
  <si>
    <t>JM_VAR_CALECO</t>
  </si>
  <si>
    <t>T1769_FEOPERAC</t>
  </si>
  <si>
    <t>T1769_S1EMP</t>
  </si>
  <si>
    <t>T1769_CONTRA1</t>
  </si>
  <si>
    <t>T1769_NUMCLIEC</t>
  </si>
  <si>
    <t>T1769_PLAZO</t>
  </si>
  <si>
    <t>T1769_FLGMONLC</t>
  </si>
  <si>
    <t>T1769_ID_SOBER</t>
  </si>
  <si>
    <t>T1769_SEC_GLOB</t>
  </si>
  <si>
    <t>T1769_EADUMBRA</t>
  </si>
  <si>
    <t>T1769_ID_UR</t>
  </si>
  <si>
    <t>T1769_FEXTRBDR</t>
  </si>
  <si>
    <t>T1769_FLGORCTO</t>
  </si>
  <si>
    <t>T1769_ADN</t>
  </si>
  <si>
    <t>T1769_NPP</t>
  </si>
  <si>
    <t>T1769_COD_SPV</t>
  </si>
  <si>
    <t>T1769_CODDIV</t>
  </si>
  <si>
    <t>CHAR(03)</t>
  </si>
  <si>
    <t>03.13.05</t>
  </si>
  <si>
    <t>Capittal Regulatorio Ajustado</t>
  </si>
  <si>
    <t>JM_CAP_REG_AJ</t>
  </si>
  <si>
    <t>T2427_FEOPERAC</t>
  </si>
  <si>
    <t>T2427_S1EMP</t>
  </si>
  <si>
    <t>T2427_CONTRA1</t>
  </si>
  <si>
    <t>T2427_BIENGAR1</t>
  </si>
  <si>
    <t>T2427_INDHIPGA</t>
  </si>
  <si>
    <t>Categoría pre-mitigación inicial</t>
  </si>
  <si>
    <t>T2427_CATPREMI</t>
  </si>
  <si>
    <t>T2427_IDFINALI</t>
  </si>
  <si>
    <t>Tipo Ajuste (baja, modificación, inclusión)</t>
  </si>
  <si>
    <t>T2427_TIPOAJUS</t>
  </si>
  <si>
    <t>T2427_COD_SPV</t>
  </si>
  <si>
    <t>Identificador de cliente final</t>
  </si>
  <si>
    <t>T2427_IDNUMCLI</t>
  </si>
  <si>
    <t>T2427_SCATPREM</t>
  </si>
  <si>
    <t>T2427_CATFINAL</t>
  </si>
  <si>
    <t>T2427_SCATFINA</t>
  </si>
  <si>
    <t>Motivo de exclusión</t>
  </si>
  <si>
    <t>T2427_MOTEXCLU</t>
  </si>
  <si>
    <t>Código tipo de persona</t>
  </si>
  <si>
    <t>T2427_TIPPERS</t>
  </si>
  <si>
    <t>Fuente origen del contrato</t>
  </si>
  <si>
    <t>T2427_FTEORCTO</t>
  </si>
  <si>
    <t>T2427_FLGCOREP</t>
  </si>
  <si>
    <t>T2427_FLGINTRA</t>
  </si>
  <si>
    <t>EAD regulatoria</t>
  </si>
  <si>
    <t>T2427_EADREGUL</t>
  </si>
  <si>
    <t>Capital Regulatorio</t>
  </si>
  <si>
    <t>T2427_CAPREGUL</t>
  </si>
  <si>
    <t>Provisiones dentro de balance</t>
  </si>
  <si>
    <t>T2427_PROVDBAL</t>
  </si>
  <si>
    <t>Provisiones fuera de balance</t>
  </si>
  <si>
    <t>T2427_PROVFBAL</t>
  </si>
  <si>
    <t>03.13.06</t>
  </si>
  <si>
    <t>Cuadre Contable Económico</t>
  </si>
  <si>
    <t>JM_CUAD_CTECO</t>
  </si>
  <si>
    <t>T2875_FEOPERAC</t>
  </si>
  <si>
    <t>T2875_S1EMP</t>
  </si>
  <si>
    <t>T2875_CONTRA1</t>
  </si>
  <si>
    <t>Tipo de Cuenta cargabal</t>
  </si>
  <si>
    <t>T2875_TPCCGBAL</t>
  </si>
  <si>
    <t>T2875_CTACGBAL</t>
  </si>
  <si>
    <t>ADN corporativa</t>
  </si>
  <si>
    <t>T2875_ADN</t>
  </si>
  <si>
    <t>NPP corporativa</t>
  </si>
  <si>
    <t>T2875_NPP</t>
  </si>
  <si>
    <t>T2875_INDMORA</t>
  </si>
  <si>
    <t>Cuenta Padre cargabal</t>
  </si>
  <si>
    <t>T2875_CTPCGBAL</t>
  </si>
  <si>
    <t>Categoría regulatoria.</t>
  </si>
  <si>
    <t>T2875_CATREGU</t>
  </si>
  <si>
    <t>Subcategoría regulatoria</t>
  </si>
  <si>
    <t>T2875_SCATREGU</t>
  </si>
  <si>
    <t>T2875_IMPORTE</t>
  </si>
  <si>
    <t>T2875_CCF</t>
  </si>
  <si>
    <t>Saldo dentro balance</t>
  </si>
  <si>
    <t>T2875_SALONBAL</t>
  </si>
  <si>
    <t>Saldo fuera balance</t>
  </si>
  <si>
    <t>T2875_SALFDBAL</t>
  </si>
  <si>
    <t>T2875_EAD</t>
  </si>
  <si>
    <t>Stage del contrato</t>
  </si>
  <si>
    <t>T2875_STAGE</t>
  </si>
  <si>
    <t>T2875_PROVFBAL</t>
  </si>
  <si>
    <t>T2875_PROVDBAL</t>
  </si>
  <si>
    <t>%RW</t>
  </si>
  <si>
    <t>T2875_RW</t>
  </si>
  <si>
    <t>Origen Contrato</t>
  </si>
  <si>
    <t>T2875_ORIGENCT</t>
  </si>
  <si>
    <t>T2875_CODDIV</t>
  </si>
  <si>
    <t>03.13.07</t>
  </si>
  <si>
    <t>Capital en Riesgo adicional</t>
  </si>
  <si>
    <t>JM_CAPRIES_AD</t>
  </si>
  <si>
    <t>T3410_FEOPERAC</t>
  </si>
  <si>
    <t>T3410_S1EMP</t>
  </si>
  <si>
    <t>T3410_CONTRA1</t>
  </si>
  <si>
    <t>T3410_IDNUMCLI_EC</t>
  </si>
  <si>
    <t>T3410_ID_UR</t>
  </si>
  <si>
    <t>EAD Bruta utilizada en el cálculo</t>
  </si>
  <si>
    <t>T3410_EAD_EC_GROSS</t>
  </si>
  <si>
    <t>EAD Neta utilizada en el cálculo</t>
  </si>
  <si>
    <t>T3410_EAD_EC_NET</t>
  </si>
  <si>
    <t>T3410_PLAZO_EC</t>
  </si>
  <si>
    <t>T3410_PDBON_EC</t>
  </si>
  <si>
    <t>T3410_LGD_ADDON_EC</t>
  </si>
  <si>
    <t>Capital Bruto en Riesgo</t>
  </si>
  <si>
    <t>T3410_EC_GROSS</t>
  </si>
  <si>
    <t>Capital Neto en Riesgo</t>
  </si>
  <si>
    <t>T3410_EC_NET</t>
  </si>
  <si>
    <t>T3410_CORCERFI</t>
  </si>
  <si>
    <t>Tipo de capital económico según su cálculo</t>
  </si>
  <si>
    <t>T3410_EC_TYPE</t>
  </si>
  <si>
    <t>Tipo de diversificación</t>
  </si>
  <si>
    <t>T3410_DIVERS</t>
  </si>
  <si>
    <t>T3410_ADN</t>
  </si>
  <si>
    <t>T3410_NPP</t>
  </si>
  <si>
    <t>T3410_COD_SPV</t>
  </si>
  <si>
    <t>T3410_CODDIV</t>
  </si>
  <si>
    <t>03.14.01</t>
  </si>
  <si>
    <t xml:space="preserve"> Flujos (Entrada)</t>
  </si>
  <si>
    <t>JM_FLUJOS</t>
  </si>
  <si>
    <t>R9746_FEOPERAC</t>
  </si>
  <si>
    <t>R9746_S1EMP</t>
  </si>
  <si>
    <t>R9746_CONTRA1</t>
  </si>
  <si>
    <t>Fecha movimiento</t>
  </si>
  <si>
    <t>R9746_FECMVTO</t>
  </si>
  <si>
    <t>Clasificación de Movimiento</t>
  </si>
  <si>
    <t>R9746_CLASMVTO</t>
  </si>
  <si>
    <t>R9746_IMPORTE</t>
  </si>
  <si>
    <t>Saldo On Balance</t>
  </si>
  <si>
    <t>R9746_SALONBAL</t>
  </si>
  <si>
    <t>Saldo off balance</t>
  </si>
  <si>
    <t>R9746_SALOFBAL</t>
  </si>
  <si>
    <t>03.14.02</t>
  </si>
  <si>
    <t>Venta de Cartera (Entrada)</t>
  </si>
  <si>
    <t>JM_VTA_CARTER</t>
  </si>
  <si>
    <t>R9736_FEOPERAC</t>
  </si>
  <si>
    <t>R9736_S1EMP</t>
  </si>
  <si>
    <t>R9736_CONTRA1</t>
  </si>
  <si>
    <t>Fecha Venta Cartera</t>
  </si>
  <si>
    <t>R9736_FVTACART</t>
  </si>
  <si>
    <t>Importe Total Pendiente</t>
  </si>
  <si>
    <t>R9736_IMPPDTE</t>
  </si>
  <si>
    <t>Precio acordado para las obligaciones vendidas</t>
  </si>
  <si>
    <t>R9736_PRECIOOB</t>
  </si>
  <si>
    <t>R9736_IND_CREDIT</t>
  </si>
  <si>
    <t>Indicador Venta Total o Parcial</t>
  </si>
  <si>
    <t>R9736_IND_VNTA</t>
  </si>
  <si>
    <t>Pool de venta</t>
  </si>
  <si>
    <t>R9736_POOLVNTA</t>
  </si>
  <si>
    <t>03.14.03</t>
  </si>
  <si>
    <t>Acumulado de Movimientos New Default (Entrada)</t>
  </si>
  <si>
    <t>JM_ACU_MTO_ND</t>
  </si>
  <si>
    <t>R9756_FEOPERAC</t>
  </si>
  <si>
    <t>R9756_S1EMP</t>
  </si>
  <si>
    <t>R9756_CONTRA1</t>
  </si>
  <si>
    <t>Clave del movimiento</t>
  </si>
  <si>
    <t>R9756_CLAVENU</t>
  </si>
  <si>
    <t>Tipo de Movimiento</t>
  </si>
  <si>
    <t>R9756_INDMOVI</t>
  </si>
  <si>
    <t>Origen Movimiento</t>
  </si>
  <si>
    <t>R9756_ORGMVTO</t>
  </si>
  <si>
    <t>Origen Movimiento Local</t>
  </si>
  <si>
    <t>R9756_ORGMVTO2</t>
  </si>
  <si>
    <t>R9756_FECMVTO</t>
  </si>
  <si>
    <t>Importe Acumulado</t>
  </si>
  <si>
    <t>R9756_IMPORTH</t>
  </si>
  <si>
    <t>R9756_FECULTMO</t>
  </si>
  <si>
    <t xml:space="preserve">Tipo de cambio </t>
  </si>
  <si>
    <t>R9756_TIPCAM</t>
  </si>
  <si>
    <t>Divisa Origen</t>
  </si>
  <si>
    <t>R9756_DIVORI</t>
  </si>
  <si>
    <t>Capital Movimiento</t>
  </si>
  <si>
    <t>R9756_CAPMOVIM</t>
  </si>
  <si>
    <t>DEC(17,02)</t>
  </si>
  <si>
    <t xml:space="preserve">Intereses Movimiento </t>
  </si>
  <si>
    <t>R9756_INTMOVIM</t>
  </si>
  <si>
    <t xml:space="preserve">Resto Movimiento </t>
  </si>
  <si>
    <t>R9756_RESMOVIM</t>
  </si>
  <si>
    <t>Aplicativo del que procede el movimiento</t>
  </si>
  <si>
    <t>R9756_APLMOVIM</t>
  </si>
  <si>
    <t xml:space="preserve">OBB detrás del movimiento </t>
  </si>
  <si>
    <t>R9756_OBBMOVIM</t>
  </si>
  <si>
    <t>03.14.04</t>
  </si>
  <si>
    <t>Tabla Contratos New Default (Salida)</t>
  </si>
  <si>
    <t>JM_CONTR_ND</t>
  </si>
  <si>
    <t>R9750_FEOPERAC</t>
  </si>
  <si>
    <t>R9750_S1EMP</t>
  </si>
  <si>
    <t>R9750_CONTRA1</t>
  </si>
  <si>
    <t>R9750_IDNUMCLI</t>
  </si>
  <si>
    <t>Nivel de aplicación del default</t>
  </si>
  <si>
    <t>R9750_NIVELAPL</t>
  </si>
  <si>
    <t>Identificador de Umbrales</t>
  </si>
  <si>
    <t>R9750_IDUMBRAL</t>
  </si>
  <si>
    <t>Saldo dentro de balance del contrato</t>
  </si>
  <si>
    <t>R9750_SALONBAL</t>
  </si>
  <si>
    <t>Umbral absoluto</t>
  </si>
  <si>
    <t>R9750_UMBRABS</t>
  </si>
  <si>
    <t>Umbral relativo</t>
  </si>
  <si>
    <t>R9750_UMBRREL</t>
  </si>
  <si>
    <t>Umbral pulling</t>
  </si>
  <si>
    <t>R9750_UMBRPUL</t>
  </si>
  <si>
    <t>Días Probation period</t>
  </si>
  <si>
    <t>R9750_DIAPRPER</t>
  </si>
  <si>
    <t>Flag perímetro New Default</t>
  </si>
  <si>
    <t>R9750_FLGPERIM</t>
  </si>
  <si>
    <t>Identificador de la procedencia del contrato</t>
  </si>
  <si>
    <t>R9750_PROCECTO</t>
  </si>
  <si>
    <t>Umbral Pulling S3</t>
  </si>
  <si>
    <t>R9750_UMBPULS3</t>
  </si>
  <si>
    <t>Flag perimetro Stage 3</t>
  </si>
  <si>
    <t>R9750_FLGPERS3</t>
  </si>
  <si>
    <t>R9750_SALOFBAL</t>
  </si>
  <si>
    <t>NUM (23,06)</t>
  </si>
  <si>
    <t>Meses en cura</t>
  </si>
  <si>
    <t>R9750_MESCURA</t>
  </si>
  <si>
    <t>NUM (3,0)</t>
  </si>
  <si>
    <t>Flag condición to exit to probation period</t>
  </si>
  <si>
    <t>R9750_FLGEXIPP</t>
  </si>
  <si>
    <t>03.14.05</t>
  </si>
  <si>
    <t>Tabla Output Contratos New Default (Salida)</t>
  </si>
  <si>
    <t>JM_OUT_CTO_ND</t>
  </si>
  <si>
    <t>R9739_FEOPERAC</t>
  </si>
  <si>
    <t>R9739_S1EMP</t>
  </si>
  <si>
    <t>R9739_CONTRA1</t>
  </si>
  <si>
    <t>Indicador de default</t>
  </si>
  <si>
    <t>R9739_IND_DEF</t>
  </si>
  <si>
    <t>Días en probation period</t>
  </si>
  <si>
    <t>R9739_DIAS_PP</t>
  </si>
  <si>
    <t>Días de atraso</t>
  </si>
  <si>
    <t>R9739_DIAS_ATR</t>
  </si>
  <si>
    <t>Fecha de entrada en default</t>
  </si>
  <si>
    <t>R9739_FEC_DEF</t>
  </si>
  <si>
    <t>Fecha de inicio del probation period</t>
  </si>
  <si>
    <t>R9739_FINI_PP</t>
  </si>
  <si>
    <t>Fecha de salida del probation period</t>
  </si>
  <si>
    <t>R9739_FFIN_PP</t>
  </si>
  <si>
    <t>Importe atrasado del contrato</t>
  </si>
  <si>
    <t>R9739_IMP_ATR</t>
  </si>
  <si>
    <t>Saldo dentro de balance del contrato en el momento de entrada en default</t>
  </si>
  <si>
    <t>R9739_SONBLDEF</t>
  </si>
  <si>
    <t>Flag Tecnico</t>
  </si>
  <si>
    <t>R9739_FLGTECNI</t>
  </si>
  <si>
    <t>R9739_FINALIND</t>
  </si>
  <si>
    <t>Importe Impagado</t>
  </si>
  <si>
    <t>R9739_IMP_IMPA</t>
  </si>
  <si>
    <t>R9739_SALOFBAL</t>
  </si>
  <si>
    <t>Porcentaje Pulling</t>
  </si>
  <si>
    <t>R9739_PULLING</t>
  </si>
  <si>
    <t>Dias retraso T-3</t>
  </si>
  <si>
    <t>R9739_DIARETT3</t>
  </si>
  <si>
    <t>Dias retraso  T-2</t>
  </si>
  <si>
    <t>R9739_DIARETT2</t>
  </si>
  <si>
    <t>Dias retraso  T-1</t>
  </si>
  <si>
    <t>R9739_DIARETT1</t>
  </si>
  <si>
    <t>Importe retraso T-3</t>
  </si>
  <si>
    <t>R9739_IMPRETT3</t>
  </si>
  <si>
    <t>Importe retraso T-2</t>
  </si>
  <si>
    <t>R9739_IMPRETT2</t>
  </si>
  <si>
    <t>Importe retraso T-1</t>
  </si>
  <si>
    <t>R9739_IMPRETT1</t>
  </si>
  <si>
    <t>Saldo dentro de balance del contrato en default en el mes T-3</t>
  </si>
  <si>
    <t>R9739_SLDDBLT3</t>
  </si>
  <si>
    <t>Saldo dentro de balance del contrato en default en el mes T-2</t>
  </si>
  <si>
    <t>R9739_SLDDBLT2</t>
  </si>
  <si>
    <t>Saldo dentro de balance del contrato en default en el mes T-1</t>
  </si>
  <si>
    <t>R9739_SLDDBLT1</t>
  </si>
  <si>
    <t>03.14.06</t>
  </si>
  <si>
    <t>Tabla Output Clientes New Default (Salida)</t>
  </si>
  <si>
    <t>JM_OUT_CLI_ND</t>
  </si>
  <si>
    <t>R9741_FEOPERAC</t>
  </si>
  <si>
    <t>R9741_S1EMP</t>
  </si>
  <si>
    <t>R9741_IDNUMCLI</t>
  </si>
  <si>
    <t>R9741_IND_DEF</t>
  </si>
  <si>
    <t>R9741_DIAS_PP</t>
  </si>
  <si>
    <t>R9741_DIAS_ATR</t>
  </si>
  <si>
    <t>R9741_FEC_DEF</t>
  </si>
  <si>
    <t>R9741_FINI_PP</t>
  </si>
  <si>
    <t>R9741_FFIN_PP</t>
  </si>
  <si>
    <t>Importe atrasado del cliente</t>
  </si>
  <si>
    <t>R9741_IMP_ATR</t>
  </si>
  <si>
    <t>Saldo dentro de balance del cliente en el momento de entrada en default</t>
  </si>
  <si>
    <t>R9741_SONBLDEF</t>
  </si>
  <si>
    <t>R9741_FLGTECNI</t>
  </si>
  <si>
    <t>R9741_FINALIND</t>
  </si>
  <si>
    <t>R9741_IMP_IMPA</t>
  </si>
  <si>
    <t>R9741_SALOFBAL</t>
  </si>
  <si>
    <t>R9741_DIARETT3</t>
  </si>
  <si>
    <t>R9741_DIARETT2</t>
  </si>
  <si>
    <t>R9741_DIARETT1</t>
  </si>
  <si>
    <t>R9741_IMPRETT3</t>
  </si>
  <si>
    <t>R9741_IMPRETT2</t>
  </si>
  <si>
    <t>R9741_IMPRETT1</t>
  </si>
  <si>
    <t>R9741_SLDDBLT3</t>
  </si>
  <si>
    <t>R9741_SLDDBLT2</t>
  </si>
  <si>
    <t>R9741_SLDDBLT1</t>
  </si>
  <si>
    <t>03.14.07</t>
  </si>
  <si>
    <t>Tabla Filtros New Default (Salida)</t>
  </si>
  <si>
    <t>JM_FILTROS_ND</t>
  </si>
  <si>
    <t>R9748_FEOPERAC</t>
  </si>
  <si>
    <t>R9748_S1EMP</t>
  </si>
  <si>
    <t>R9748_CONTRA1</t>
  </si>
  <si>
    <t>R9748_CTA_CONT</t>
  </si>
  <si>
    <t>R9748_TIP_IMPT</t>
  </si>
  <si>
    <t>R9748_CENTCTBL</t>
  </si>
  <si>
    <t>R9748_AGRCTACB</t>
  </si>
  <si>
    <t>R9748_CTACGBAL</t>
  </si>
  <si>
    <t>R9748_IMPORTH</t>
  </si>
  <si>
    <t>R9748_FILTROEX</t>
  </si>
  <si>
    <t>03.14.08</t>
  </si>
  <si>
    <t>Expedientes New Default - Contrato</t>
  </si>
  <si>
    <t>JM_EXPEDIEN_ND</t>
  </si>
  <si>
    <t>T1823_S1EMP</t>
  </si>
  <si>
    <t>T1823_CONTRA1</t>
  </si>
  <si>
    <t>T1823_IDNUMCLI</t>
  </si>
  <si>
    <t>Fecha inicio Expediente</t>
  </si>
  <si>
    <t>T1823_FECINI</t>
  </si>
  <si>
    <t>Fecha Fin Expediente</t>
  </si>
  <si>
    <t>T1823_FECFIN</t>
  </si>
  <si>
    <t>Causa Cierre Expediente</t>
  </si>
  <si>
    <t>T1823_CAUS_CIE</t>
  </si>
  <si>
    <t>T1823_FECULTMO</t>
  </si>
  <si>
    <t>03.14.09</t>
  </si>
  <si>
    <t>Cambios de situación New Default - Contrato</t>
  </si>
  <si>
    <t>JM_CAMB_SIT_ND</t>
  </si>
  <si>
    <t>T1824_S1EMP</t>
  </si>
  <si>
    <t>T1824_CONTRA1</t>
  </si>
  <si>
    <t>T1824_IDNUMCLI</t>
  </si>
  <si>
    <t>Fecha Inicio Expediente</t>
  </si>
  <si>
    <t>T1824_FECINI</t>
  </si>
  <si>
    <t>Fecha Cambio Situación</t>
  </si>
  <si>
    <t>T1824_FECSIT</t>
  </si>
  <si>
    <t>Fecha salida situación</t>
  </si>
  <si>
    <t>T1824_FSALIDA</t>
  </si>
  <si>
    <t>Fecha marca</t>
  </si>
  <si>
    <t>T1824_FECMARC</t>
  </si>
  <si>
    <t>Situación ND - días de atraso</t>
  </si>
  <si>
    <t>T1824_NDSIT_DA</t>
  </si>
  <si>
    <t>Situación ND - otros</t>
  </si>
  <si>
    <t>T1824_NDSIT_OT</t>
  </si>
  <si>
    <t>Situación ND - UTP cliente</t>
  </si>
  <si>
    <t>T1824_NDSIT_UC</t>
  </si>
  <si>
    <t>T1824_CTB_SITU</t>
  </si>
  <si>
    <t>T1824_GEST_SIT</t>
  </si>
  <si>
    <t>T1824_GES2_SIT</t>
  </si>
  <si>
    <t>Situación responsabilidad expediente</t>
  </si>
  <si>
    <t>T1824_RESP_SIT</t>
  </si>
  <si>
    <t>T1824_IMPLICON</t>
  </si>
  <si>
    <t>Dispuesto</t>
  </si>
  <si>
    <t>T1824_IMPDIPTO</t>
  </si>
  <si>
    <t>Capital vencido</t>
  </si>
  <si>
    <t>T1824_IMPVDO</t>
  </si>
  <si>
    <t>Capital no vencido</t>
  </si>
  <si>
    <t>T1824_IMPNOVDO</t>
  </si>
  <si>
    <t>intereses normales vencidos</t>
  </si>
  <si>
    <t>T1824_INTEDEV</t>
  </si>
  <si>
    <t>intereses mora vencidos</t>
  </si>
  <si>
    <t>T1824_INTEMOR</t>
  </si>
  <si>
    <t>intereses normales no vencidos</t>
  </si>
  <si>
    <t>T1824_INTNORNV</t>
  </si>
  <si>
    <t>intereses mora no vencidos</t>
  </si>
  <si>
    <t>T1824_INTMORNV</t>
  </si>
  <si>
    <t>comisiones normales vencidas</t>
  </si>
  <si>
    <t>T1824_CONORVEN</t>
  </si>
  <si>
    <t>comisiones mora vencidas</t>
  </si>
  <si>
    <t>T1824_COMORVEN</t>
  </si>
  <si>
    <t>comisiones normales no vencidas</t>
  </si>
  <si>
    <t>T1824_CONORNVE</t>
  </si>
  <si>
    <t>comisiones mora no vencidas</t>
  </si>
  <si>
    <t>T1824_COMORNVE</t>
  </si>
  <si>
    <t>Gastos directos</t>
  </si>
  <si>
    <t>T1824_GTOSDIRE</t>
  </si>
  <si>
    <t>Gastos indirectos</t>
  </si>
  <si>
    <t>T1824_GTOSINDI</t>
  </si>
  <si>
    <t>Indicador arrastre</t>
  </si>
  <si>
    <t>T1824_INDARRAS</t>
  </si>
  <si>
    <t>T1824_FECULTMO</t>
  </si>
  <si>
    <t>T1824_TPCAM</t>
  </si>
  <si>
    <t>Divisa origen</t>
  </si>
  <si>
    <t>T1824_DIVORI</t>
  </si>
  <si>
    <t>Cambios de situación New Default - contrato</t>
  </si>
  <si>
    <t>Situacion Gestion ND</t>
  </si>
  <si>
    <t>T1824_SITGESND</t>
  </si>
  <si>
    <t>T1824_SLDBALAN</t>
  </si>
  <si>
    <t>T1824_SLFBALAN</t>
  </si>
  <si>
    <t>03.14.10</t>
  </si>
  <si>
    <t>Acumulada movimientos Garantias consumer New Default</t>
  </si>
  <si>
    <t>JM_ACMT_GC_ND</t>
  </si>
  <si>
    <t>T1748_FEOPERAC</t>
  </si>
  <si>
    <t>T1748_S1EMP</t>
  </si>
  <si>
    <t>T1748_CONTRA1</t>
  </si>
  <si>
    <t>Guarantee ID: Id de la garantía</t>
  </si>
  <si>
    <t>T1748_BIENGAR1</t>
  </si>
  <si>
    <t>T1748_CLAVENU</t>
  </si>
  <si>
    <t>T1748_INDMOVI</t>
  </si>
  <si>
    <t>T1748_ORGMVTO</t>
  </si>
  <si>
    <t>Origen Movimiento Local (TYP COST)</t>
  </si>
  <si>
    <t>T1748_ORGMVTO2</t>
  </si>
  <si>
    <t>T1748_FECFIN</t>
  </si>
  <si>
    <t>T1748_IAMOUNT</t>
  </si>
  <si>
    <t>T1748_IDNUMCLI</t>
  </si>
  <si>
    <t>12/15</t>
  </si>
  <si>
    <t>Tipo de recuperacion</t>
  </si>
  <si>
    <t>T1748_TIPRECUP</t>
  </si>
  <si>
    <t>Departamento Responsable</t>
  </si>
  <si>
    <t>T1748_DEPTORES</t>
  </si>
  <si>
    <t>Fecha de pago de recuperación</t>
  </si>
  <si>
    <t>T1748_FECPAGRE</t>
  </si>
  <si>
    <t>T1748_TPCAM</t>
  </si>
  <si>
    <t>T1748_DIVORI</t>
  </si>
  <si>
    <t>T1748_FECULTMO</t>
  </si>
  <si>
    <t xml:space="preserve">Capital Movimiento </t>
  </si>
  <si>
    <t>T1748_CAPMOVIM</t>
  </si>
  <si>
    <t>T1748_INTMOVIM</t>
  </si>
  <si>
    <t>T1748_RESMOVIM</t>
  </si>
  <si>
    <t xml:space="preserve">Aplicativo del que procede el movimiento </t>
  </si>
  <si>
    <t>T1748_APLMOVIM</t>
  </si>
  <si>
    <t>OBB detrás del movimiento</t>
  </si>
  <si>
    <t>T1748_OBBMOVIM</t>
  </si>
  <si>
    <t>03.14.11</t>
  </si>
  <si>
    <t>Garantias post-adjudicación ND</t>
  </si>
  <si>
    <t>JM_GAR_POSAD_ND</t>
  </si>
  <si>
    <t>T1746_S1EMP</t>
  </si>
  <si>
    <t>T1746_CONTRA1</t>
  </si>
  <si>
    <t>T1746_TIP_GARA</t>
  </si>
  <si>
    <t>T1746_BIENGAR1</t>
  </si>
  <si>
    <t>T1746_FECDESDE</t>
  </si>
  <si>
    <t>T1746_FECHASTA</t>
  </si>
  <si>
    <t>ID garantía en BDR</t>
  </si>
  <si>
    <t>T1746_INGARANT</t>
  </si>
  <si>
    <t>Código tipo bien</t>
  </si>
  <si>
    <t>T1746_COD_BIEN</t>
  </si>
  <si>
    <t>Clase de bien</t>
  </si>
  <si>
    <t>T1746_CLA_BIEN</t>
  </si>
  <si>
    <t>Pais ubicación de la garantía</t>
  </si>
  <si>
    <t>T1746_ID_PAIS</t>
  </si>
  <si>
    <t>T1746_INF_REGI</t>
  </si>
  <si>
    <t>T1746_NOMENTI</t>
  </si>
  <si>
    <t>Importe valoración garantía</t>
  </si>
  <si>
    <t>T1746_IMGARANT</t>
  </si>
  <si>
    <t>T1746_CODDIV</t>
  </si>
  <si>
    <t>T1746_FECULTMO</t>
  </si>
  <si>
    <t xml:space="preserve">Fecha Adjudicación </t>
  </si>
  <si>
    <t>T1746_FECADJUD</t>
  </si>
  <si>
    <t xml:space="preserve">Valor en el momento de la adjudicación </t>
  </si>
  <si>
    <t>T1746_VALMTADJ</t>
  </si>
  <si>
    <t xml:space="preserve">Valor redución deuda </t>
  </si>
  <si>
    <t>T1746_VELREDDE</t>
  </si>
  <si>
    <t xml:space="preserve">Valor registrado garantía adjudicada </t>
  </si>
  <si>
    <t>T1746_VALREGGA</t>
  </si>
  <si>
    <t xml:space="preserve">Valor activo adjudicado </t>
  </si>
  <si>
    <t>T1746_VALACTAD</t>
  </si>
  <si>
    <t xml:space="preserve">Ultima fecha tasación </t>
  </si>
  <si>
    <t>T1746_ULTFECTS</t>
  </si>
  <si>
    <t xml:space="preserve">Fecha de venta </t>
  </si>
  <si>
    <t>T1746_FECVENTA</t>
  </si>
  <si>
    <t xml:space="preserve">Precio de venta </t>
  </si>
  <si>
    <t>T1746_PREVENTA</t>
  </si>
  <si>
    <t>03.14.12</t>
  </si>
  <si>
    <t>Tasas recobro ND</t>
  </si>
  <si>
    <t>JM_TAS_REC_ND</t>
  </si>
  <si>
    <t>T1750_FEOPERAC</t>
  </si>
  <si>
    <t>T1750_S1EMP</t>
  </si>
  <si>
    <t>Nivel de cuota</t>
  </si>
  <si>
    <t>T1750_NIVCUOTA</t>
  </si>
  <si>
    <t>Tipo de Identificador</t>
  </si>
  <si>
    <t>T1750_TIPIDENT</t>
  </si>
  <si>
    <t>Código de Identificador</t>
  </si>
  <si>
    <t>T1750_ID_IDENT</t>
  </si>
  <si>
    <t>Porcentaje carga/coste</t>
  </si>
  <si>
    <t>T1750_CARGCOST</t>
  </si>
  <si>
    <t>Base liquidación</t>
  </si>
  <si>
    <t>T1750_BASE_LIQ</t>
  </si>
  <si>
    <t>Cantidad</t>
  </si>
  <si>
    <t>T1750_CANTIDAD</t>
  </si>
  <si>
    <t>Tipo de cuota</t>
  </si>
  <si>
    <t>T1750_TIPCUOTA</t>
  </si>
  <si>
    <t>Día efectivo</t>
  </si>
  <si>
    <t>T1750_DIAEFECT</t>
  </si>
  <si>
    <t>T1750_FECHAREG</t>
  </si>
  <si>
    <t>03.14.13</t>
  </si>
  <si>
    <t>Relación Expedientes – Unidad Económica ND</t>
  </si>
  <si>
    <t>JM_REXPUEC_ND</t>
  </si>
  <si>
    <t>T1810_FEOPERAC</t>
  </si>
  <si>
    <t>T1810_S1EMP</t>
  </si>
  <si>
    <t>T1810_CONTRA1</t>
  </si>
  <si>
    <t>Entidad que gestiona la UE</t>
  </si>
  <si>
    <t>T1810_ID_ENTUE</t>
  </si>
  <si>
    <t>Identificador de la UE</t>
  </si>
  <si>
    <t>T1810_ID_UE</t>
  </si>
  <si>
    <t>03.14.14</t>
  </si>
  <si>
    <t>Expedientes New Default - Cliente</t>
  </si>
  <si>
    <t>JM_EXPE_CLI_ND</t>
  </si>
  <si>
    <t>T2432_S1EMP</t>
  </si>
  <si>
    <t>T2432_CONTRA1</t>
  </si>
  <si>
    <t>Fecha Inicio expediente</t>
  </si>
  <si>
    <t>T2432_FECINI</t>
  </si>
  <si>
    <t>T2432_IDNUMCLI</t>
  </si>
  <si>
    <t>Fecha fin expediente</t>
  </si>
  <si>
    <t>T2432_FECFIN</t>
  </si>
  <si>
    <t>T2432_CAUS_CIE</t>
  </si>
  <si>
    <t>T2432_FECULTMO</t>
  </si>
  <si>
    <t>Fecha Inicio Expediente Cliente</t>
  </si>
  <si>
    <t>T2432_FECINICL</t>
  </si>
  <si>
    <t>03.14.15</t>
  </si>
  <si>
    <t>Cambios de situación New Default - Cliente</t>
  </si>
  <si>
    <t>JM_SITU_CLI_ND</t>
  </si>
  <si>
    <t>T2437_S1EMP</t>
  </si>
  <si>
    <t>T2437_CONTRA1</t>
  </si>
  <si>
    <t>T2437_FECINI</t>
  </si>
  <si>
    <t>Fecha cambio situación</t>
  </si>
  <si>
    <t>T2437_FECSIT</t>
  </si>
  <si>
    <t>T2437_IDNUMCLI</t>
  </si>
  <si>
    <t>T2437_FSALIDA</t>
  </si>
  <si>
    <t>T2437_FECMARC</t>
  </si>
  <si>
    <t>T2437_CTB_SITU</t>
  </si>
  <si>
    <t>T2437_GEST_SIT</t>
  </si>
  <si>
    <t>T2437_GES2_SIT</t>
  </si>
  <si>
    <t>T2437_RESP_SIT</t>
  </si>
  <si>
    <t>T2437_IMPLICON</t>
  </si>
  <si>
    <t>T2437_IMPDIPTO</t>
  </si>
  <si>
    <t>T2437_IMPVDO</t>
  </si>
  <si>
    <t>T2437_IMPNOVDO</t>
  </si>
  <si>
    <t>T2437_INTEDEV</t>
  </si>
  <si>
    <t>T2437_INTEMOR</t>
  </si>
  <si>
    <t>T2437_INTNORNV</t>
  </si>
  <si>
    <t>T2437_INTMORNV</t>
  </si>
  <si>
    <t>T2437_CONORVEN</t>
  </si>
  <si>
    <t>T2437_COMORVEN</t>
  </si>
  <si>
    <t>T2437_CONORNVE</t>
  </si>
  <si>
    <t>T2437_COMORNVE</t>
  </si>
  <si>
    <t>T2437_GTOSDIRE</t>
  </si>
  <si>
    <t>T2437_GTOSINDI</t>
  </si>
  <si>
    <t>T2437_INDARRAS</t>
  </si>
  <si>
    <t>T2437_FECULTMO</t>
  </si>
  <si>
    <t>T2437_TPCAM</t>
  </si>
  <si>
    <t>T2437_DIVORI</t>
  </si>
  <si>
    <t>Situación Gestión ND</t>
  </si>
  <si>
    <t>T2437_SITGESND</t>
  </si>
  <si>
    <t>T2437_SLDBALAN</t>
  </si>
  <si>
    <t>T2437_SLFBALAN</t>
  </si>
  <si>
    <t>03.14.16</t>
  </si>
  <si>
    <t>Suspensión Conteo Días</t>
  </si>
  <si>
    <t>JM_SUSP_CONDIAS</t>
  </si>
  <si>
    <t>T2876_S1EMP</t>
  </si>
  <si>
    <t>T2876_CONTRA1</t>
  </si>
  <si>
    <t>T2876_FECDESDE</t>
  </si>
  <si>
    <t>T2876_FECHASTA</t>
  </si>
  <si>
    <t>03.14.17</t>
  </si>
  <si>
    <t>Cambios de Situación y Cierres No automáticos</t>
  </si>
  <si>
    <t>JM_CAMCIE_NOAUT</t>
  </si>
  <si>
    <t>T2896_S1EMP</t>
  </si>
  <si>
    <t>T2896_CONTRA1</t>
  </si>
  <si>
    <t>Fecha de la situación</t>
  </si>
  <si>
    <t>T2896_FECSITU</t>
  </si>
  <si>
    <t>Situación no automática. (BG)</t>
  </si>
  <si>
    <t>T2896_SITNOAUT</t>
  </si>
  <si>
    <t>T2896_FECULTMO</t>
  </si>
  <si>
    <t>03.14.18</t>
  </si>
  <si>
    <t>Contratos Candidatos a cura - ND</t>
  </si>
  <si>
    <t>JM_CURACTO_ND</t>
  </si>
  <si>
    <t>T2880_FEOPERAC</t>
  </si>
  <si>
    <t>T2880_S1EMP</t>
  </si>
  <si>
    <t>T2880_CONTRA1</t>
  </si>
  <si>
    <t>Fecha última salida de probation period</t>
  </si>
  <si>
    <t>T2880_FECULSPP</t>
  </si>
  <si>
    <t>T2880_FECULTMO</t>
  </si>
  <si>
    <t>03.14.19</t>
  </si>
  <si>
    <t>Clientes Candidatos a cura - ND</t>
  </si>
  <si>
    <t>JM_CURACLI_ND</t>
  </si>
  <si>
    <t>T2882_FEOPERAC</t>
  </si>
  <si>
    <t>T2882_S1EMP</t>
  </si>
  <si>
    <t>T2882_IDNUMCLI</t>
  </si>
  <si>
    <t>T2882_FECULSPP</t>
  </si>
  <si>
    <t>T2882_FECULTMO</t>
  </si>
  <si>
    <t>03.14.20</t>
  </si>
  <si>
    <t>Tabla Contratos New default - Clientes globales (Salida)</t>
  </si>
  <si>
    <t>JM_CONTRND_CG</t>
  </si>
  <si>
    <t>T3403_FEOPERAC</t>
  </si>
  <si>
    <t>T3403_S1EMP</t>
  </si>
  <si>
    <t>T3403_CONTRA1</t>
  </si>
  <si>
    <t>T3403_IDNUMCLI</t>
  </si>
  <si>
    <t>T3403_NIVELAPL</t>
  </si>
  <si>
    <t>T3403_IDUMBRAL</t>
  </si>
  <si>
    <t>T3403_SALONBAL</t>
  </si>
  <si>
    <t>T3403_UMBRABS</t>
  </si>
  <si>
    <t>T3403_UMBRREL</t>
  </si>
  <si>
    <t>T3403_UMBRPUL</t>
  </si>
  <si>
    <t>T3403_DIAPRPER</t>
  </si>
  <si>
    <t>T3403_FLGPERIM</t>
  </si>
  <si>
    <t>T3403_PROCECTO</t>
  </si>
  <si>
    <t>T3403_UMBPULS3</t>
  </si>
  <si>
    <t>T3403_FLGPERS3</t>
  </si>
  <si>
    <t>T3403_SALOFBAL</t>
  </si>
  <si>
    <t>T3403_MESCURA</t>
  </si>
  <si>
    <t>T3403_FLGEXIPP</t>
  </si>
  <si>
    <t>03.14.21</t>
  </si>
  <si>
    <t>Tabla Output Contratos New default - Clientes globales (Salida)</t>
  </si>
  <si>
    <t>JM_OUTCTND_CG</t>
  </si>
  <si>
    <t>T3399_FEOPERAC</t>
  </si>
  <si>
    <t>T3399_S1EMP</t>
  </si>
  <si>
    <t>T3399_CONTRA1</t>
  </si>
  <si>
    <t>T3399_IND_DEF</t>
  </si>
  <si>
    <t>T3399_DIAS_PP</t>
  </si>
  <si>
    <t>T3399_DIAS_ATR</t>
  </si>
  <si>
    <t>T3399_FEC_DEF</t>
  </si>
  <si>
    <t>T3399_FINI_PP</t>
  </si>
  <si>
    <t>T3399_FFIN_PP</t>
  </si>
  <si>
    <t>T3399_IMP_ATR</t>
  </si>
  <si>
    <t>T3399_SONBLDEF</t>
  </si>
  <si>
    <t>T3399_FLGTECNI</t>
  </si>
  <si>
    <t>T3399_FINALIND</t>
  </si>
  <si>
    <t>T3399_IMP_IMPA</t>
  </si>
  <si>
    <t>T3399_SALOFBAL</t>
  </si>
  <si>
    <t>T3399_PULLING</t>
  </si>
  <si>
    <t>T3399_DIARETT3</t>
  </si>
  <si>
    <t>T3399_DIARETT2</t>
  </si>
  <si>
    <t>T3399_DIARETT1</t>
  </si>
  <si>
    <t>T3399_IMPRETT3</t>
  </si>
  <si>
    <t>T3399_IMPRETT2</t>
  </si>
  <si>
    <t>T3399_IMPRETT1</t>
  </si>
  <si>
    <t>T3399_SLDDBLT3</t>
  </si>
  <si>
    <t>T3399_SLDDBLT2</t>
  </si>
  <si>
    <t>T3399_SLDDBLT1</t>
  </si>
  <si>
    <t>03.14.22</t>
  </si>
  <si>
    <t>Tabla  Output Clientes New default - Clientes globales (Salida)</t>
  </si>
  <si>
    <t>JM_OUTCLND_CG</t>
  </si>
  <si>
    <t>T3401_FEOPERAC</t>
  </si>
  <si>
    <t>T3401_S1EMP</t>
  </si>
  <si>
    <t>T3401_IDNUMCLI</t>
  </si>
  <si>
    <t>T3401_IND_DEF</t>
  </si>
  <si>
    <t>T3401_DIAS_PP</t>
  </si>
  <si>
    <t>T3401_DIAS_ATR</t>
  </si>
  <si>
    <t>T3401_FEC_DEF</t>
  </si>
  <si>
    <t>T3401_FINI_PP</t>
  </si>
  <si>
    <t>T3401_FFIN_PP</t>
  </si>
  <si>
    <t>T3401_IMP_ATR</t>
  </si>
  <si>
    <t>T3401_SONBLDEF</t>
  </si>
  <si>
    <t>T3401_FLGTECNI</t>
  </si>
  <si>
    <t>T3401_FINALIND</t>
  </si>
  <si>
    <t>T3401_IMP_IMPA</t>
  </si>
  <si>
    <t>T3401_SALOFBAL</t>
  </si>
  <si>
    <t>T3401_DIARETT3</t>
  </si>
  <si>
    <t>T3401_DIARETT2</t>
  </si>
  <si>
    <t>T3401_DIARETT1</t>
  </si>
  <si>
    <t>T3401_IMPRETT3</t>
  </si>
  <si>
    <t>T3401_IMPRETT2</t>
  </si>
  <si>
    <t>T3401_IMPRETT1</t>
  </si>
  <si>
    <t>T3401_SLDDBLT3</t>
  </si>
  <si>
    <t>T3401_SLDDBLT2</t>
  </si>
  <si>
    <t>T3401_SLDDBLT1</t>
  </si>
  <si>
    <t>03.14.23</t>
  </si>
  <si>
    <t>Tabla Filtros New default - Clientes globales (Salida)</t>
  </si>
  <si>
    <t>JM_FILTRND_CG</t>
  </si>
  <si>
    <t>T3397_FEOPERAC</t>
  </si>
  <si>
    <t>T3397_S1EMP</t>
  </si>
  <si>
    <t>T3397_CONTRA1</t>
  </si>
  <si>
    <t>T3397_CTA_CONT</t>
  </si>
  <si>
    <t>T3397_TIP_IMPT</t>
  </si>
  <si>
    <t>T3397_CENTCTBL</t>
  </si>
  <si>
    <t>T3397_AGRCTACB</t>
  </si>
  <si>
    <t>T3397_CTACGBAL</t>
  </si>
  <si>
    <t>T3397_IMPORTH</t>
  </si>
  <si>
    <t>T3397_FILTROEX</t>
  </si>
  <si>
    <t>03.14.24</t>
  </si>
  <si>
    <t>New Default Contrato Final Status Default/Stage3/NPL (Salida)</t>
  </si>
  <si>
    <t>JM_CONT_FINST</t>
  </si>
  <si>
    <t>T3405_FEOPERAC</t>
  </si>
  <si>
    <t>T3405_S1EMP</t>
  </si>
  <si>
    <t>T3405_CONTRA1</t>
  </si>
  <si>
    <t>T3405_FINALIND</t>
  </si>
  <si>
    <t>Flag Default/Stage3/NPL</t>
  </si>
  <si>
    <t>T3405_FDFSTNPL</t>
  </si>
  <si>
    <t>Fecha entrada en default</t>
  </si>
  <si>
    <t>T3405_FEC_DEF</t>
  </si>
  <si>
    <t>T3405_FLGTECNI</t>
  </si>
  <si>
    <t>03.15.01</t>
  </si>
  <si>
    <t>Costes Contrato</t>
  </si>
  <si>
    <t>JM_COSTES_CTO</t>
  </si>
  <si>
    <t>T1793_FEOPERAC</t>
  </si>
  <si>
    <t>T1793_S1EMP</t>
  </si>
  <si>
    <t>T1793_CONTRA1</t>
  </si>
  <si>
    <t>Tipo Gasto/ingreso</t>
  </si>
  <si>
    <t>T1793_TIPGASIN</t>
  </si>
  <si>
    <t>Subtipo de Gasto/ingreso</t>
  </si>
  <si>
    <t>T1793_STPGASIN</t>
  </si>
  <si>
    <t>Situación del Gasto</t>
  </si>
  <si>
    <t>T1793_SITGASTO</t>
  </si>
  <si>
    <t>Importe del gasto/ingreso no activable</t>
  </si>
  <si>
    <t>T1793_IMPGASIN</t>
  </si>
  <si>
    <t>Empresa externa</t>
  </si>
  <si>
    <t>T1793_EMPREXT</t>
  </si>
  <si>
    <t>03.15.02</t>
  </si>
  <si>
    <t>Costes Inmuebles</t>
  </si>
  <si>
    <t>JM_COSTES_INM</t>
  </si>
  <si>
    <t>T1791_FEOPERAC</t>
  </si>
  <si>
    <t>T1791_S1EMP</t>
  </si>
  <si>
    <t>inmueble</t>
  </si>
  <si>
    <t>T1791_IDINMUEB</t>
  </si>
  <si>
    <t>T1791_TIPGASIN</t>
  </si>
  <si>
    <t>T1791_STPGASIN</t>
  </si>
  <si>
    <t>T1791_SITGASTO</t>
  </si>
  <si>
    <t>T1791_IMPGASIN</t>
  </si>
  <si>
    <t>03.15.03</t>
  </si>
  <si>
    <t>Contrato Inmueble</t>
  </si>
  <si>
    <t>JM_CTO_INMU</t>
  </si>
  <si>
    <t>T1789_FEOPERAC</t>
  </si>
  <si>
    <t>T1789_S1EMP</t>
  </si>
  <si>
    <t>Contratos</t>
  </si>
  <si>
    <t>T1789_CONTRA1</t>
  </si>
  <si>
    <t>Inmueble</t>
  </si>
  <si>
    <t>T1789_IDINMUEB</t>
  </si>
  <si>
    <t>T1789_PORCENT</t>
  </si>
  <si>
    <t>Deuda bruta</t>
  </si>
  <si>
    <t>T1789_DEUDBRUT</t>
  </si>
  <si>
    <t>Identificador local de garantía</t>
  </si>
  <si>
    <t>T1789_IDLOCGAR</t>
  </si>
  <si>
    <t>04.01.01</t>
  </si>
  <si>
    <t>Expedientes</t>
  </si>
  <si>
    <t>JM_EXPEDIEN_BDI</t>
  </si>
  <si>
    <t>E0685_S1EMP</t>
  </si>
  <si>
    <t>E0685_CONTRA1</t>
  </si>
  <si>
    <t>E0685_FECINI</t>
  </si>
  <si>
    <t>E0685_FECFIN</t>
  </si>
  <si>
    <t>E0685_IDSUCUR</t>
  </si>
  <si>
    <t>E0685_ID_PROD</t>
  </si>
  <si>
    <t>Producto Local</t>
  </si>
  <si>
    <t>E0685_IDPRO_LC</t>
  </si>
  <si>
    <t>Situación BDI de Entrada</t>
  </si>
  <si>
    <t>E0685_BDSITU</t>
  </si>
  <si>
    <t>Situación BDI de Salida</t>
  </si>
  <si>
    <t>E0685_BDSITUSA</t>
  </si>
  <si>
    <t>E0685_CAUS_CIE</t>
  </si>
  <si>
    <t>E0685_FECULTMO</t>
  </si>
  <si>
    <t>04.01.02</t>
  </si>
  <si>
    <t>Deudas Iniciales por Situación BDI</t>
  </si>
  <si>
    <t>JM_DEUD_INI_BDI</t>
  </si>
  <si>
    <t>E0687_S1EMP</t>
  </si>
  <si>
    <t>E0687_CONTRA1</t>
  </si>
  <si>
    <t>E0687_FECINI</t>
  </si>
  <si>
    <t>Situación BDI</t>
  </si>
  <si>
    <t>E0687_BDSITU</t>
  </si>
  <si>
    <t>Fecha Situación BDI calculo</t>
  </si>
  <si>
    <t>E0687_FECSITU</t>
  </si>
  <si>
    <t>Valor Deuda Inicial</t>
  </si>
  <si>
    <t>E0687_IMPVALOR</t>
  </si>
  <si>
    <t>E0687_FECULTMO</t>
  </si>
  <si>
    <t>04.01.03</t>
  </si>
  <si>
    <t>Cambios de Situación</t>
  </si>
  <si>
    <t>JM_CAMB_SIT_BDI</t>
  </si>
  <si>
    <t>E0688_S1EMP</t>
  </si>
  <si>
    <t>E0688_CONTRA1</t>
  </si>
  <si>
    <t>E0688_FECINI</t>
  </si>
  <si>
    <t>E0688_FECSIT</t>
  </si>
  <si>
    <t>E0688_FSALIDA</t>
  </si>
  <si>
    <t>E0688_FECMARC</t>
  </si>
  <si>
    <t>E0688_IDNUMCLI</t>
  </si>
  <si>
    <t>E0688_BDSITU</t>
  </si>
  <si>
    <t>E0688_CTB_SITU</t>
  </si>
  <si>
    <t>E0688_GEST_SIT</t>
  </si>
  <si>
    <t>E0688_GES2_SIT</t>
  </si>
  <si>
    <t>E0688_RESP_SIT</t>
  </si>
  <si>
    <t>E0688_IMPLICON</t>
  </si>
  <si>
    <t>E0688_IMPDIPTO</t>
  </si>
  <si>
    <t>E0688_IMPVDO</t>
  </si>
  <si>
    <t>E0688_IMPNOVDO</t>
  </si>
  <si>
    <t>Intereses Devengados</t>
  </si>
  <si>
    <t>E0688_INTEDEV</t>
  </si>
  <si>
    <t>Intereses mora</t>
  </si>
  <si>
    <t>E0688_INTEMOR</t>
  </si>
  <si>
    <t>Comisiones financieras</t>
  </si>
  <si>
    <t>E0688_COMFINA</t>
  </si>
  <si>
    <t>Comisiones no financieras</t>
  </si>
  <si>
    <t>E0688_COMFINB</t>
  </si>
  <si>
    <t>E0688_GTOSDIRE</t>
  </si>
  <si>
    <t>E0688_GTOSINDI</t>
  </si>
  <si>
    <t>E0688_INDARRAS</t>
  </si>
  <si>
    <t>E0688_FECULTMO</t>
  </si>
  <si>
    <t>04.01.05</t>
  </si>
  <si>
    <t>Garantías Post Adjudicación</t>
  </si>
  <si>
    <t>JM_GAR_POSADJ</t>
  </si>
  <si>
    <t>H0911_S1EMP</t>
  </si>
  <si>
    <t>H0911_CONTRA1</t>
  </si>
  <si>
    <t>H0911_FECINI</t>
  </si>
  <si>
    <t>H0911_TIP_GARA</t>
  </si>
  <si>
    <t>H0911_BIENGAR1</t>
  </si>
  <si>
    <t>H0911_FECDESDE</t>
  </si>
  <si>
    <t>H0911_FECHASTA</t>
  </si>
  <si>
    <t>H0911_INGARANT</t>
  </si>
  <si>
    <t>H0911_COD_BIEN</t>
  </si>
  <si>
    <t>H0911_CLA_BIEN</t>
  </si>
  <si>
    <t>H0911_ID_PAIS</t>
  </si>
  <si>
    <t>H0911_INF_REGI</t>
  </si>
  <si>
    <t>H0911_NOMENTI</t>
  </si>
  <si>
    <t>H0911_IMGARANT</t>
  </si>
  <si>
    <t>H0911_CODDIV</t>
  </si>
  <si>
    <t>H0911_FECULTMO</t>
  </si>
  <si>
    <t>04.01.06</t>
  </si>
  <si>
    <t xml:space="preserve">Acumulado Movimientos BDI </t>
  </si>
  <si>
    <t>JM_ACUMTO_BDI</t>
  </si>
  <si>
    <t>N0742_FEOPERAC</t>
  </si>
  <si>
    <t>N0742_S1EMP</t>
  </si>
  <si>
    <t>N0742_CONTRA1</t>
  </si>
  <si>
    <t>N0742_FECINI</t>
  </si>
  <si>
    <t>N0742_CLAVENU</t>
  </si>
  <si>
    <t>N0742_INDMOVI</t>
  </si>
  <si>
    <t>N0742_ORGMVTO</t>
  </si>
  <si>
    <t>N0742_ORGMVTO2</t>
  </si>
  <si>
    <t>N0742_FECFIN</t>
  </si>
  <si>
    <t>N0742_IMPORTH</t>
  </si>
  <si>
    <t>N0742_FECULTMO</t>
  </si>
  <si>
    <t>04.01.07</t>
  </si>
  <si>
    <t>Relación expedientes - Unidad Económica</t>
  </si>
  <si>
    <t>JM_REL_EXPUEC</t>
  </si>
  <si>
    <t>O2828_FEOPERAC</t>
  </si>
  <si>
    <t>O2828_S1EMP</t>
  </si>
  <si>
    <t>O2828_CONTRA1</t>
  </si>
  <si>
    <t>O2828_FECINI</t>
  </si>
  <si>
    <t>O2828_ID_ENTUE</t>
  </si>
  <si>
    <t>O2828_ID_UE</t>
  </si>
  <si>
    <t>O2828_FECFIN</t>
  </si>
  <si>
    <t>04.01.08</t>
  </si>
  <si>
    <t>Inmuebles Post Adjudicación</t>
  </si>
  <si>
    <t>JM_INM_POSADJ</t>
  </si>
  <si>
    <t>O9220_FEOPERAC</t>
  </si>
  <si>
    <t xml:space="preserve">O9220_S1EMP   </t>
  </si>
  <si>
    <t>Identificador del inmueble</t>
  </si>
  <si>
    <t>O9220_IDINMUEB</t>
  </si>
  <si>
    <t>Identificador de UE</t>
  </si>
  <si>
    <t xml:space="preserve">O9220_ID_UE   </t>
  </si>
  <si>
    <t>Referencia Catastral</t>
  </si>
  <si>
    <t>O9220_REF_CATA</t>
  </si>
  <si>
    <t>Dirección</t>
  </si>
  <si>
    <t xml:space="preserve">O9220_DSDIREC </t>
  </si>
  <si>
    <t xml:space="preserve">O9220_CD_POST </t>
  </si>
  <si>
    <t xml:space="preserve">O9220_ID_PAIS </t>
  </si>
  <si>
    <t>Tipo de Activo</t>
  </si>
  <si>
    <t>O9220_TIP_ACTI</t>
  </si>
  <si>
    <t>Subtipo de Activo</t>
  </si>
  <si>
    <t>O9220_STIP_ACT</t>
  </si>
  <si>
    <t>Tipo de suelo</t>
  </si>
  <si>
    <t>O9220_TIP_SUEL</t>
  </si>
  <si>
    <t>Situación de la construcción</t>
  </si>
  <si>
    <t>O9220_SIT_CONS</t>
  </si>
  <si>
    <t>Cliente Causante</t>
  </si>
  <si>
    <t>O9220_IDNUMCLI</t>
  </si>
  <si>
    <t>Fecha de la adjudicación</t>
  </si>
  <si>
    <t>O9220_FECADJUD</t>
  </si>
  <si>
    <t>Origen de la adjudicación</t>
  </si>
  <si>
    <t>O9220_ORIADJUD</t>
  </si>
  <si>
    <t xml:space="preserve">O9220_DEUDABR </t>
  </si>
  <si>
    <t>Provisiones de activo adjudicado</t>
  </si>
  <si>
    <t>O9220_PROVACAD</t>
  </si>
  <si>
    <t>Provisión por deterioro del activo adjudicado</t>
  </si>
  <si>
    <t>O9220_PROVDTAC</t>
  </si>
  <si>
    <t>Gastos activables</t>
  </si>
  <si>
    <t>O9220_GASTOSAC</t>
  </si>
  <si>
    <t>Gastos no activables</t>
  </si>
  <si>
    <t>O9220_GASTOSNA</t>
  </si>
  <si>
    <t>Valor del activo momento de la adjudicación</t>
  </si>
  <si>
    <t>O9220_VALACMOM</t>
  </si>
  <si>
    <t>Valor del activo adjudicado</t>
  </si>
  <si>
    <t>O9220_VALACADJ</t>
  </si>
  <si>
    <t>Última fecha de tasación</t>
  </si>
  <si>
    <t>O9220_FECULTAS</t>
  </si>
  <si>
    <t>Indicador de Estado del inmueble</t>
  </si>
  <si>
    <t>O9220_IND_ESTA</t>
  </si>
  <si>
    <t>Precio alquiler</t>
  </si>
  <si>
    <t>O9220_PREC_ALQ</t>
  </si>
  <si>
    <t>Fecha de venta</t>
  </si>
  <si>
    <t>O9220_FEC_VENT</t>
  </si>
  <si>
    <t>Precio de venta</t>
  </si>
  <si>
    <t>O9220_PRE_VENT</t>
  </si>
  <si>
    <t>Coste de venta incurridos</t>
  </si>
  <si>
    <t>O9220_COS_VENT</t>
  </si>
  <si>
    <t>O9220_ENT_VALO</t>
  </si>
  <si>
    <t xml:space="preserve">O9220_CODDIV  </t>
  </si>
  <si>
    <t>Enfoque para la solucion de la situacion</t>
  </si>
  <si>
    <t>O9220_ENFQ_SOL</t>
  </si>
  <si>
    <t>Código de sociedad</t>
  </si>
  <si>
    <t>O9220_ID_SOCI</t>
  </si>
  <si>
    <t>Estatus</t>
  </si>
  <si>
    <t>O9220_ESTATUS</t>
  </si>
  <si>
    <t>Procedencia</t>
  </si>
  <si>
    <t>O9220_PROCEDEN</t>
  </si>
  <si>
    <t>Método/Canal de venta</t>
  </si>
  <si>
    <t>O9220_METCNVTA</t>
  </si>
  <si>
    <t xml:space="preserve">NIF Comprador </t>
  </si>
  <si>
    <t>O9220_NIF_COMP</t>
  </si>
  <si>
    <t>CHAR (09,00)</t>
  </si>
  <si>
    <t xml:space="preserve">Sociedad Origen Adjudicado </t>
  </si>
  <si>
    <t>O9220_SOCORADJ</t>
  </si>
  <si>
    <t xml:space="preserve">Identificación traspaso entre sociedades </t>
  </si>
  <si>
    <t>O9220_IDTRASOC</t>
  </si>
  <si>
    <t xml:space="preserve">NIF Causante </t>
  </si>
  <si>
    <t>O9220_NIFCAUSA</t>
  </si>
  <si>
    <t xml:space="preserve">SAP Origen del adjudicado </t>
  </si>
  <si>
    <t>O9220_SAPORADJ</t>
  </si>
  <si>
    <t xml:space="preserve">% Reparto Contrato </t>
  </si>
  <si>
    <t>O9220_PRREPCTO</t>
  </si>
  <si>
    <t>NUM(03,02)</t>
  </si>
  <si>
    <t>04.01.09</t>
  </si>
  <si>
    <t>Acumulado Movimientos BDI Garantías Consumer</t>
  </si>
  <si>
    <t>JM_ACUMTO_GC</t>
  </si>
  <si>
    <t>O2832_FEOPERAC</t>
  </si>
  <si>
    <t>O2832_S1EMP</t>
  </si>
  <si>
    <t>O2832_CONTRA1</t>
  </si>
  <si>
    <t>O2832_FECINI</t>
  </si>
  <si>
    <t>O2832_BIENGAR1</t>
  </si>
  <si>
    <t>O2832_CLAVENU</t>
  </si>
  <si>
    <t>O2832_INDMOVI</t>
  </si>
  <si>
    <t>O2832_ORGMVTO</t>
  </si>
  <si>
    <t>O2832_ORGMVTO2</t>
  </si>
  <si>
    <t>O2832_FECFIN</t>
  </si>
  <si>
    <t>O2832_IAMOUNT</t>
  </si>
  <si>
    <t>O2832_IDNUMCLI</t>
  </si>
  <si>
    <t>O2832_TIPRECUP</t>
  </si>
  <si>
    <t>O2832_DEPTORES</t>
  </si>
  <si>
    <t>O2832_FECPAGRE</t>
  </si>
  <si>
    <t>O2832_FECULTMO</t>
  </si>
  <si>
    <t>04.01.10</t>
  </si>
  <si>
    <t>Tasas Recobro</t>
  </si>
  <si>
    <t>JM_TASA_RECOB</t>
  </si>
  <si>
    <t>R8179_FEOPERAC</t>
  </si>
  <si>
    <t>R8179_S1EMP</t>
  </si>
  <si>
    <t>R8179_NIVCUOTA</t>
  </si>
  <si>
    <t>R8179_TIPIDENT</t>
  </si>
  <si>
    <t>R8179_ID_IDENT</t>
  </si>
  <si>
    <t>R8179_CARGCOST</t>
  </si>
  <si>
    <t>R8179_BASE_LIQ</t>
  </si>
  <si>
    <t>R8179_CANTIDAD</t>
  </si>
  <si>
    <t>R8179_TIPCUOTA</t>
  </si>
  <si>
    <t>R8179_DIAEFECT</t>
  </si>
  <si>
    <t>R8179_FECHAREG</t>
  </si>
  <si>
    <t>05.01.01</t>
  </si>
  <si>
    <t>MMFF Importe-Pata-Contrato</t>
  </si>
  <si>
    <t>JM_PATA_CONTRAT</t>
  </si>
  <si>
    <t>E1904_S1EMP</t>
  </si>
  <si>
    <t>E1904_CONTRA1</t>
  </si>
  <si>
    <t xml:space="preserve">Número de pata </t>
  </si>
  <si>
    <t>E1904_NUMEPATA</t>
  </si>
  <si>
    <t>E1904_FEC_MES</t>
  </si>
  <si>
    <t>E1904_FECVENTO</t>
  </si>
  <si>
    <t>E1904_FECULTMO</t>
  </si>
  <si>
    <t>05.01.02</t>
  </si>
  <si>
    <t>MMFF Derivados de Crédito</t>
  </si>
  <si>
    <t>JM_DERIVAD_CRED</t>
  </si>
  <si>
    <t>E1905_S1EMP</t>
  </si>
  <si>
    <t>E1905_CONTRA1</t>
  </si>
  <si>
    <t>E1905_NUMEPATA</t>
  </si>
  <si>
    <t>Identificador de cliente subyacente</t>
  </si>
  <si>
    <t>E1905_IDNUMCLI</t>
  </si>
  <si>
    <t>E1905_FECDESDE</t>
  </si>
  <si>
    <t>E1905_FECHASTA</t>
  </si>
  <si>
    <t>Evento Reestructuración</t>
  </si>
  <si>
    <t>E1905_EVENREST</t>
  </si>
  <si>
    <t>E1905_FECULTMO</t>
  </si>
  <si>
    <t>Fecha de ruptura</t>
  </si>
  <si>
    <t>E1905_FECRUPTR</t>
  </si>
  <si>
    <t>05.01.03</t>
  </si>
  <si>
    <t>MMFF Posiciones Cartera</t>
  </si>
  <si>
    <t>JM_POS_CARTERA</t>
  </si>
  <si>
    <t>E1901_S1EMP</t>
  </si>
  <si>
    <t>E1901_IDSUCUR</t>
  </si>
  <si>
    <t>Código de  emisión</t>
  </si>
  <si>
    <t>E1901_IDEMISI</t>
  </si>
  <si>
    <t>E1901_IDEMIS</t>
  </si>
  <si>
    <t>E1901_IDINVNEG</t>
  </si>
  <si>
    <t>E1901_FEC_MES</t>
  </si>
  <si>
    <t>Importe Nominal</t>
  </si>
  <si>
    <t>E1901_IMPTNOMI</t>
  </si>
  <si>
    <t>Efectivo Contable</t>
  </si>
  <si>
    <t>E1901_IMPCBLE</t>
  </si>
  <si>
    <t>Periódica de Intereses</t>
  </si>
  <si>
    <t>E1901_INT_PERI</t>
  </si>
  <si>
    <t>E1901_FECULTMO</t>
  </si>
  <si>
    <t>05.01.04</t>
  </si>
  <si>
    <t>MMFF Características Emisión</t>
  </si>
  <si>
    <t>JM_CARAC_EMISIO</t>
  </si>
  <si>
    <t>E1907_S1EMP</t>
  </si>
  <si>
    <t>Código de emisiones</t>
  </si>
  <si>
    <t>E1907_IDEMISI</t>
  </si>
  <si>
    <t>E1907_IDEMIS</t>
  </si>
  <si>
    <t>E1907_FECDESDE</t>
  </si>
  <si>
    <t>E1907_FECHASTA</t>
  </si>
  <si>
    <t xml:space="preserve">Identificador de cliente </t>
  </si>
  <si>
    <t>E1907_IDNUMCLI</t>
  </si>
  <si>
    <t>E1907_CODDIV</t>
  </si>
  <si>
    <t>Fecha de Vencimiento</t>
  </si>
  <si>
    <t>E1907_FECVENTO</t>
  </si>
  <si>
    <t>Seniority</t>
  </si>
  <si>
    <t>E1907_DSUBOR</t>
  </si>
  <si>
    <t>Indicador tipo emisión</t>
  </si>
  <si>
    <t>E1907_DEUDPUBL</t>
  </si>
  <si>
    <t>E1907_FECULTMO</t>
  </si>
  <si>
    <t>05.02.01</t>
  </si>
  <si>
    <t>MMFF Acuerdos de Netting</t>
  </si>
  <si>
    <t>JM_NETTING</t>
  </si>
  <si>
    <t>E1892_S1EMP</t>
  </si>
  <si>
    <t>Identificador Acuerdo Netting</t>
  </si>
  <si>
    <t>E1892_IDNETING</t>
  </si>
  <si>
    <t>E1892_FECDESDE</t>
  </si>
  <si>
    <t>E1892_FECHASTA</t>
  </si>
  <si>
    <t>E1892_IDNUMCLI</t>
  </si>
  <si>
    <t>Tipo Acuerdo </t>
  </si>
  <si>
    <t>E1892_TIPACUER</t>
  </si>
  <si>
    <t>E1892_FECULTMO</t>
  </si>
  <si>
    <t>Net Gross Ratio - MMFF</t>
  </si>
  <si>
    <t>E1892_NETGROSS</t>
  </si>
  <si>
    <t xml:space="preserve">Cross product netting </t>
  </si>
  <si>
    <t>E1892_CROSPRN</t>
  </si>
  <si>
    <t>Divisa de Liquidación</t>
  </si>
  <si>
    <t>E1892_DIV_LIQ</t>
  </si>
  <si>
    <t>05.02.02</t>
  </si>
  <si>
    <t>MMFF Acuerdos de Colateral</t>
  </si>
  <si>
    <t>JM_COLATERAL</t>
  </si>
  <si>
    <t>E1900_S1EMP</t>
  </si>
  <si>
    <t>Identificador Acuerdo Colateral</t>
  </si>
  <si>
    <t>E1900_IDCOLATE</t>
  </si>
  <si>
    <t>E1900_FECDESDE</t>
  </si>
  <si>
    <t>E1900_FECHASTA</t>
  </si>
  <si>
    <t>E1900_IDNUMCLI</t>
  </si>
  <si>
    <t>E1900_IDNETING</t>
  </si>
  <si>
    <t>Tipo Colateral</t>
  </si>
  <si>
    <t>E1900_TIPCOLAT</t>
  </si>
  <si>
    <t>E1900_CODDIV</t>
  </si>
  <si>
    <t>Threshold Propio</t>
  </si>
  <si>
    <t>E1900_THOLDOWN</t>
  </si>
  <si>
    <t>Threshold Contrapartida</t>
  </si>
  <si>
    <t>E1900_THOLDCLI</t>
  </si>
  <si>
    <t>Tipo de frecuencia de Holding Period</t>
  </si>
  <si>
    <t>E1900_TPHOLPER</t>
  </si>
  <si>
    <t>Plazo de frecuencia de Holding Period</t>
  </si>
  <si>
    <t>E1900_HOLPERPL</t>
  </si>
  <si>
    <t>Tipo de frecuencia de valoración</t>
  </si>
  <si>
    <t>E1900_FRECVAL</t>
  </si>
  <si>
    <t>Plazo de frecuencia de valoración</t>
  </si>
  <si>
    <t>E1900_VALORPL</t>
  </si>
  <si>
    <t>Minimum Transfer Ammount Propio</t>
  </si>
  <si>
    <t>E1900_MTAOWN</t>
  </si>
  <si>
    <t>Minimum Transfer Ammount Contrapartida</t>
  </si>
  <si>
    <t>E1900_MTACLI</t>
  </si>
  <si>
    <t>E1900_FECULTMO</t>
  </si>
  <si>
    <t>Indicador Cotización</t>
  </si>
  <si>
    <t>E1900_FLGCOTIZ</t>
  </si>
  <si>
    <t>05.02.03</t>
  </si>
  <si>
    <t>MMFF Colateral Cash</t>
  </si>
  <si>
    <t>JM_COL_CASH</t>
  </si>
  <si>
    <t>E1899_S1EMP</t>
  </si>
  <si>
    <t>E1899_IDCOLATE</t>
  </si>
  <si>
    <t>E1899_FEC_MES</t>
  </si>
  <si>
    <t>Importe Depositado</t>
  </si>
  <si>
    <t>E1899_IMPT_DEP</t>
  </si>
  <si>
    <t>E1899_FECULTMO</t>
  </si>
  <si>
    <t>05.02.04</t>
  </si>
  <si>
    <t>MMFF Colateral Deuda</t>
  </si>
  <si>
    <t>JM_COL_DEUDA</t>
  </si>
  <si>
    <t>E1898_S1EMP</t>
  </si>
  <si>
    <t>E1898_IDCOLATE</t>
  </si>
  <si>
    <t>Código de emisión</t>
  </si>
  <si>
    <t>E1898_IDEMISI</t>
  </si>
  <si>
    <t>E1898_IDEMIS</t>
  </si>
  <si>
    <t>E1898_FEC_MES</t>
  </si>
  <si>
    <t>E1898_IMPTNOMI</t>
  </si>
  <si>
    <t>Valor de Mercado</t>
  </si>
  <si>
    <t>E1898_IMPT_MER</t>
  </si>
  <si>
    <t>Collateral Haircut</t>
  </si>
  <si>
    <t>E1898_HAIRCUT</t>
  </si>
  <si>
    <t>E1898_FECULTMO</t>
  </si>
  <si>
    <t>05.02.05</t>
  </si>
  <si>
    <t>MMFF Colateral Elegible</t>
  </si>
  <si>
    <t>JM_COL_ELEGIBLE</t>
  </si>
  <si>
    <t>E1897_S1EMP</t>
  </si>
  <si>
    <t>E1897_IDCOLATE</t>
  </si>
  <si>
    <t>E1897_FECDESDE</t>
  </si>
  <si>
    <t>E1897_FECHASTA</t>
  </si>
  <si>
    <t>Descripción Colateral Elegible</t>
  </si>
  <si>
    <t>E1897_DESCELEG</t>
  </si>
  <si>
    <t>E1897_FECULTMO</t>
  </si>
  <si>
    <t>05.02.06</t>
  </si>
  <si>
    <t>MMFF Colateral Equity</t>
  </si>
  <si>
    <t>JM_COL_EQUITY</t>
  </si>
  <si>
    <t>E1895_S1EMP</t>
  </si>
  <si>
    <t>E1895_IDCOLATE</t>
  </si>
  <si>
    <t>E1895_IDEMISI</t>
  </si>
  <si>
    <t>E1895_IDEMIS</t>
  </si>
  <si>
    <t>E1895_FEC_MES</t>
  </si>
  <si>
    <t>E1895_NU_TITUL</t>
  </si>
  <si>
    <t>E1895_IMPT_MER</t>
  </si>
  <si>
    <t>E1895_HAIRCUT</t>
  </si>
  <si>
    <t>E1895_FECULTMO</t>
  </si>
  <si>
    <t>05.02.07</t>
  </si>
  <si>
    <t>MMFF Productos Colateral</t>
  </si>
  <si>
    <t>JM_COL_PRODUCTO</t>
  </si>
  <si>
    <t>E1894_S1EMP</t>
  </si>
  <si>
    <t>E1894_IDCOLATE</t>
  </si>
  <si>
    <t>E1894_ID_PROD</t>
  </si>
  <si>
    <t>E1894_FECDESDE</t>
  </si>
  <si>
    <t>E1894_FECHASTA</t>
  </si>
  <si>
    <t>E1894_FECULTMO</t>
  </si>
  <si>
    <t>05.02.08</t>
  </si>
  <si>
    <t>MMFF Garantías Repo</t>
  </si>
  <si>
    <t>JM_REPOS</t>
  </si>
  <si>
    <t>E1891_S1EMP</t>
  </si>
  <si>
    <t>E1891_CONTRA1</t>
  </si>
  <si>
    <t>E1891_NUMEPATA</t>
  </si>
  <si>
    <t>E1891_FEC_MES</t>
  </si>
  <si>
    <t>E1891_IDEMISI</t>
  </si>
  <si>
    <t>E1891_IDEMIS</t>
  </si>
  <si>
    <t>E1891_IMPT_MER</t>
  </si>
  <si>
    <t>E1891_IMPTNOMI</t>
  </si>
  <si>
    <t>E1891_FECULTMO</t>
  </si>
  <si>
    <t>05.03.02</t>
  </si>
  <si>
    <t>MMFF Exposición Acuerdo Marco</t>
  </si>
  <si>
    <t>JM_EAD_NETTING</t>
  </si>
  <si>
    <t>E1889_S1EMP</t>
  </si>
  <si>
    <t>E1889_IDNETING</t>
  </si>
  <si>
    <t>Método Aplicado</t>
  </si>
  <si>
    <t>E1889_METAPLIC</t>
  </si>
  <si>
    <t>Fase Cálculo</t>
  </si>
  <si>
    <t>E1889_FASECALC</t>
  </si>
  <si>
    <t>E1889_FEC_MES</t>
  </si>
  <si>
    <t xml:space="preserve">EAD </t>
  </si>
  <si>
    <t>E1889_EAD</t>
  </si>
  <si>
    <t>E1889_FECULTMO</t>
  </si>
  <si>
    <t>05.03.03</t>
  </si>
  <si>
    <t>MMFF Exposición Cliente</t>
  </si>
  <si>
    <t>JM_EAD_CLIENTE</t>
  </si>
  <si>
    <t>E1888_S1EMP</t>
  </si>
  <si>
    <t>E1888_IDNUMCLI</t>
  </si>
  <si>
    <t>E1888_METAPLIC</t>
  </si>
  <si>
    <t>E1888_FASECALC</t>
  </si>
  <si>
    <t>E1888_FEC_MES</t>
  </si>
  <si>
    <t>E1888_EAD</t>
  </si>
  <si>
    <t>E1888_FECULTMO</t>
  </si>
  <si>
    <t>05.03.14</t>
  </si>
  <si>
    <t>MMFF Exposición Contrato BIS</t>
  </si>
  <si>
    <t>JM_EAD_CONTR</t>
  </si>
  <si>
    <t>G5519_FEOPERAC</t>
  </si>
  <si>
    <t>G5519_S1EMP</t>
  </si>
  <si>
    <t>G5519_CONTRA1</t>
  </si>
  <si>
    <t>G5519_METAPLIC</t>
  </si>
  <si>
    <t>G5519_FASECALC</t>
  </si>
  <si>
    <t>MTM </t>
  </si>
  <si>
    <t>G5519_MTM</t>
  </si>
  <si>
    <t>G5519_EAD</t>
  </si>
  <si>
    <t>Provisiones Específicas</t>
  </si>
  <si>
    <t>G5519_ESPEPROV</t>
  </si>
  <si>
    <t>G5519_FECULTMO</t>
  </si>
  <si>
    <t>Nominal del Contrato</t>
  </si>
  <si>
    <t>G5519_IMPNOMCT</t>
  </si>
  <si>
    <t>Add-on bruto - MMFF</t>
  </si>
  <si>
    <t>G5519_ADDONBRU</t>
  </si>
  <si>
    <t>Add-on neto - MMFF</t>
  </si>
  <si>
    <t>G5519_ADDONNET</t>
  </si>
  <si>
    <t>Coeficiente regulatorio – MMFF</t>
  </si>
  <si>
    <t>G5519_COEFREGU</t>
  </si>
  <si>
    <t>Método de liquidación</t>
  </si>
  <si>
    <t>G5519_METLIQUI</t>
  </si>
  <si>
    <t>MTM Bruto</t>
  </si>
  <si>
    <t>G5519_MTM_BRUT</t>
  </si>
  <si>
    <t>06.01.01</t>
  </si>
  <si>
    <t>Código de baremo</t>
  </si>
  <si>
    <t>JM_EMPRESA</t>
  </si>
  <si>
    <t>E0732_CODBAREM</t>
  </si>
  <si>
    <t>Descripción baremo</t>
  </si>
  <si>
    <t>E0732_DESCRIP</t>
  </si>
  <si>
    <t>E0732_FECDESDE</t>
  </si>
  <si>
    <t xml:space="preserve">E0732_FECHASTA </t>
  </si>
  <si>
    <t>E0732_FECULTMO</t>
  </si>
  <si>
    <t>06.01.02</t>
  </si>
  <si>
    <t>Pais</t>
  </si>
  <si>
    <t>JM_PAIS</t>
  </si>
  <si>
    <t>E3109_CODBAREM</t>
  </si>
  <si>
    <t>E3109_DESCRIP</t>
  </si>
  <si>
    <t>E3109_FEC_DES</t>
  </si>
  <si>
    <t>E3109_FEC_HAS</t>
  </si>
  <si>
    <t>E3109_FEC_MOD</t>
  </si>
  <si>
    <t>06.01.03</t>
  </si>
  <si>
    <t>JM_AGRUP_PROD</t>
  </si>
  <si>
    <t>E3111_CODBAREM</t>
  </si>
  <si>
    <t>E3111_DESCRIP</t>
  </si>
  <si>
    <t>E3111_FEC_DES</t>
  </si>
  <si>
    <t>E3111_FEC_HAS</t>
  </si>
  <si>
    <t>E3111_FEC_MOD</t>
  </si>
  <si>
    <t>06.01.04</t>
  </si>
  <si>
    <t>JM_FINALIDAD</t>
  </si>
  <si>
    <t>E3113_CODBAREM</t>
  </si>
  <si>
    <t>E3113_DESCRIP</t>
  </si>
  <si>
    <t>E3113_FEC_DES</t>
  </si>
  <si>
    <t>E3113_FEC_HAS</t>
  </si>
  <si>
    <t>E3113_FEC_MOD</t>
  </si>
  <si>
    <t>06.01.05</t>
  </si>
  <si>
    <t>Código de Canal</t>
  </si>
  <si>
    <t>JM_COD_CANAL</t>
  </si>
  <si>
    <t>E3117_CODBAREM</t>
  </si>
  <si>
    <t>E3117_DESCRIP</t>
  </si>
  <si>
    <t>E3117_FEC_DES</t>
  </si>
  <si>
    <t>E3117_FEC_HAS</t>
  </si>
  <si>
    <t>E3117_FEC_MOD</t>
  </si>
  <si>
    <t>06.01.06</t>
  </si>
  <si>
    <t>JM_DIVISA</t>
  </si>
  <si>
    <t>E3114_CCODMONE</t>
  </si>
  <si>
    <t>E3114_DESCRIP</t>
  </si>
  <si>
    <t>E3114_FEC_DES</t>
  </si>
  <si>
    <t>E3114_FEC_HAS</t>
  </si>
  <si>
    <t>E3114_FEC_MOD</t>
  </si>
  <si>
    <t>06.01.07</t>
  </si>
  <si>
    <t>Naturaleza del contrato</t>
  </si>
  <si>
    <t>JM_NATU_CONTRAT</t>
  </si>
  <si>
    <t>E3118_CODBAREM</t>
  </si>
  <si>
    <t>E3118_DESCRIP</t>
  </si>
  <si>
    <t>E3118_FEC_DES</t>
  </si>
  <si>
    <t>E3118_FEC_HAS</t>
  </si>
  <si>
    <t>E3118_FEC_MOD</t>
  </si>
  <si>
    <t>06.01.08</t>
  </si>
  <si>
    <t>Tipo de Interes</t>
  </si>
  <si>
    <t>JM_TIPO_INTERES</t>
  </si>
  <si>
    <t>E3119_CODBAREM</t>
  </si>
  <si>
    <t>E3119_DESCRIP</t>
  </si>
  <si>
    <t>E3119_FEC_DES</t>
  </si>
  <si>
    <t>E3119_FEC_HAS</t>
  </si>
  <si>
    <t>E3119_FEC_MOD</t>
  </si>
  <si>
    <t>06.01.09</t>
  </si>
  <si>
    <t>Sector Actividad</t>
  </si>
  <si>
    <t>JM_SECTOR_ACTIV</t>
  </si>
  <si>
    <t>E3147_CODBAREM</t>
  </si>
  <si>
    <t>E3147_DESCRIP</t>
  </si>
  <si>
    <t>E3147_FEC_DES</t>
  </si>
  <si>
    <t>E3147_FEC_HAS</t>
  </si>
  <si>
    <t>E3147_FEC_MOD</t>
  </si>
  <si>
    <t>06.01.10</t>
  </si>
  <si>
    <t>JM_TIPO_INTERV</t>
  </si>
  <si>
    <t>E3122_CODBAREM</t>
  </si>
  <si>
    <t>E3122_DESCRIP</t>
  </si>
  <si>
    <t>E3122_FEC_DES</t>
  </si>
  <si>
    <t>E3122_FEC_HAS</t>
  </si>
  <si>
    <t>E3122_FEC_MOD</t>
  </si>
  <si>
    <t>06.01.11</t>
  </si>
  <si>
    <t>Forma de Intervención</t>
  </si>
  <si>
    <t>JM_FORM_INTERV</t>
  </si>
  <si>
    <t>E3123_CODBAREM</t>
  </si>
  <si>
    <t>E3123_DESCRIP</t>
  </si>
  <si>
    <t>E3123_FEC_DES</t>
  </si>
  <si>
    <t>E3123_FEC_HAS</t>
  </si>
  <si>
    <t>E3123_FEC_MOD</t>
  </si>
  <si>
    <t>06.01.12</t>
  </si>
  <si>
    <t>JM_TIPO_MOD_SR</t>
  </si>
  <si>
    <t>E3124_CODBAREM</t>
  </si>
  <si>
    <t>E3124_DESCRIP</t>
  </si>
  <si>
    <t>E3124_FEC_DES</t>
  </si>
  <si>
    <t>E3124_FEC_HAS</t>
  </si>
  <si>
    <t>E3124_FEC_MOD</t>
  </si>
  <si>
    <t>06.01.13</t>
  </si>
  <si>
    <t>Tipo de Frecuencia</t>
  </si>
  <si>
    <t>JM_TIPO_FRECUEN</t>
  </si>
  <si>
    <t>E3125_CODBAREM</t>
  </si>
  <si>
    <t>E3125_DESCRIP</t>
  </si>
  <si>
    <t>E3125_FEC_DES</t>
  </si>
  <si>
    <t>E3125_FEC_HAS</t>
  </si>
  <si>
    <t>E3125_FEC_MOD</t>
  </si>
  <si>
    <t>06.01.14</t>
  </si>
  <si>
    <t>Prelación de la Emisión</t>
  </si>
  <si>
    <t>JM_PRELAC_EMIS</t>
  </si>
  <si>
    <t>E3130_CODBAREM</t>
  </si>
  <si>
    <t>E3130_DESCRIP</t>
  </si>
  <si>
    <t>E3130_FEC_DES</t>
  </si>
  <si>
    <t>E3130_FEC_HAS</t>
  </si>
  <si>
    <t>E3130_FEC_MOD</t>
  </si>
  <si>
    <t>06.01.15</t>
  </si>
  <si>
    <t>JM_CATEG_BISII</t>
  </si>
  <si>
    <t>E3153_CODBAREM</t>
  </si>
  <si>
    <t>E3153_DESCRIP</t>
  </si>
  <si>
    <t>E3153_FEC_DES</t>
  </si>
  <si>
    <t>E3153_FEC_HAS</t>
  </si>
  <si>
    <t>E3153_FEC_MOD</t>
  </si>
  <si>
    <t>06.01.16</t>
  </si>
  <si>
    <t>JM_SITU_GESTION</t>
  </si>
  <si>
    <t>E3126_CODBAREM</t>
  </si>
  <si>
    <t>E3126_DESCRIP</t>
  </si>
  <si>
    <t>E3126_FEC_DES</t>
  </si>
  <si>
    <t>E3126_FEC_HAS</t>
  </si>
  <si>
    <t>E3126_FEC_MOD</t>
  </si>
  <si>
    <t>06.01.17</t>
  </si>
  <si>
    <t>Identificación inversión/negociación</t>
  </si>
  <si>
    <t>JM_ID_INVERNEG</t>
  </si>
  <si>
    <t>E3127_CODBAREM</t>
  </si>
  <si>
    <t>E3127_DESCRIP</t>
  </si>
  <si>
    <t>E3127_FEC_DES</t>
  </si>
  <si>
    <t>E3127_FEC_HAS</t>
  </si>
  <si>
    <t>E3127_FEC_MOD</t>
  </si>
  <si>
    <t>06.01.18</t>
  </si>
  <si>
    <t>Origen de la Información</t>
  </si>
  <si>
    <t>JM_ORIGEN_INFOR</t>
  </si>
  <si>
    <t>E3150_CODBAREM</t>
  </si>
  <si>
    <t>E3150_DESCRIP</t>
  </si>
  <si>
    <t>E3150_FEC_DES</t>
  </si>
  <si>
    <t>E3150_FEC_HAS</t>
  </si>
  <si>
    <t>E3150_FEC_MOD</t>
  </si>
  <si>
    <t>06.01.19</t>
  </si>
  <si>
    <t>Segmento BIS II</t>
  </si>
  <si>
    <t>JM_SEGME_BISII</t>
  </si>
  <si>
    <t>E3154_CODBAREM</t>
  </si>
  <si>
    <t>E3154_DESCRIP</t>
  </si>
  <si>
    <t>E3154_FEC_DES</t>
  </si>
  <si>
    <t>E3154_FEC_HAS</t>
  </si>
  <si>
    <t>E3154_FEC_MOD</t>
  </si>
  <si>
    <t>06.01.20</t>
  </si>
  <si>
    <t>Tipo de Deuda Publica</t>
  </si>
  <si>
    <t>JM_TIPO_DEUDAPU</t>
  </si>
  <si>
    <t>E3172_CODBAREM</t>
  </si>
  <si>
    <t>E3172_DESCRIP</t>
  </si>
  <si>
    <t>E3172_FEC_DES</t>
  </si>
  <si>
    <t>E3172_FEC_HAS</t>
  </si>
  <si>
    <t>E3172_FEC_MOD</t>
  </si>
  <si>
    <t>06.01.21</t>
  </si>
  <si>
    <t>JM_ESTAD_FEVE</t>
  </si>
  <si>
    <t>E3155_CODBAREM</t>
  </si>
  <si>
    <t>E3155_DESCRIP</t>
  </si>
  <si>
    <t>E3155_FEC_DES</t>
  </si>
  <si>
    <t>E3155_FEC_HAS</t>
  </si>
  <si>
    <t>E3155_FEC_MOD</t>
  </si>
  <si>
    <t>06.01.22</t>
  </si>
  <si>
    <t>Grado FEVE</t>
  </si>
  <si>
    <t>JM_GRADO_FEVE</t>
  </si>
  <si>
    <t>E3160_CODBAREM</t>
  </si>
  <si>
    <t>E3160_DESCRIP</t>
  </si>
  <si>
    <t>E3160_FEC_DES</t>
  </si>
  <si>
    <t>E3160_FEC_HAS</t>
  </si>
  <si>
    <t>E3160_FEC_MOD</t>
  </si>
  <si>
    <t>06.01.23</t>
  </si>
  <si>
    <t>Tipo de Persona</t>
  </si>
  <si>
    <t>JM_TIPO_PERSONA</t>
  </si>
  <si>
    <t>E3134_CODBAREM</t>
  </si>
  <si>
    <t>E3134_DESCRIP</t>
  </si>
  <si>
    <t>E3134_FEC_DES</t>
  </si>
  <si>
    <t>E3134_FEC_HAS</t>
  </si>
  <si>
    <t>E3134_FEC_MOD</t>
  </si>
  <si>
    <t>06.01.24</t>
  </si>
  <si>
    <t>JM_SEGMENTO</t>
  </si>
  <si>
    <t>E3149_CODBAREM</t>
  </si>
  <si>
    <t>E3149_DESCRIP</t>
  </si>
  <si>
    <t>E3149_FEC_DES</t>
  </si>
  <si>
    <t>E3149_FEC_HAS</t>
  </si>
  <si>
    <t>E3149_FEC_MOD</t>
  </si>
  <si>
    <t>06.01.25</t>
  </si>
  <si>
    <t>JM_TIPO_GARANTI</t>
  </si>
  <si>
    <t>E3164_CODBAREM</t>
  </si>
  <si>
    <t>E3164_DESCRIP</t>
  </si>
  <si>
    <t>E3164_FEC_DES</t>
  </si>
  <si>
    <t>E3164_FEC_HAS</t>
  </si>
  <si>
    <t>E3164_FEC_MOD</t>
  </si>
  <si>
    <t>06.01.26</t>
  </si>
  <si>
    <t>Código de Garantía</t>
  </si>
  <si>
    <t>JM_COD_GARANTI</t>
  </si>
  <si>
    <t>E3166_CODBAREM</t>
  </si>
  <si>
    <t>E3166_DESCRIP</t>
  </si>
  <si>
    <t>E3166_FEC_DES</t>
  </si>
  <si>
    <t>E3166_FEC_HAS</t>
  </si>
  <si>
    <t>E3166_FEC_MOD</t>
  </si>
  <si>
    <t>06.01.27</t>
  </si>
  <si>
    <t>Tipo de Aval</t>
  </si>
  <si>
    <t>JM_TIPO_AVAL</t>
  </si>
  <si>
    <t>E3167_CODBAREM</t>
  </si>
  <si>
    <t>E3167_DESCRIP</t>
  </si>
  <si>
    <t>E3167_FEC_DES</t>
  </si>
  <si>
    <t>E3167_FEC_HAS</t>
  </si>
  <si>
    <t>E3167_FEC_MOD</t>
  </si>
  <si>
    <t>06.01.28</t>
  </si>
  <si>
    <t>Tipo de Cobertura</t>
  </si>
  <si>
    <t>JM_TIPO_COBERT</t>
  </si>
  <si>
    <t>E3169_CODBAREM</t>
  </si>
  <si>
    <t>E3169_DESCRIP</t>
  </si>
  <si>
    <t>E3169_FEC_DES</t>
  </si>
  <si>
    <t>E3169_FEC_HAS</t>
  </si>
  <si>
    <t>E3169_FEC_MOD</t>
  </si>
  <si>
    <t>06.01.29</t>
  </si>
  <si>
    <t>Estado de la Garantía</t>
  </si>
  <si>
    <t>JM_ESTAD_GARANT</t>
  </si>
  <si>
    <t>E3170_CODBAREM</t>
  </si>
  <si>
    <t>E3170_DESCRIP</t>
  </si>
  <si>
    <t>E3170_FEC_DES</t>
  </si>
  <si>
    <t>E3170_FEC_HAS</t>
  </si>
  <si>
    <t>E3170_FEC_MOD</t>
  </si>
  <si>
    <t>06.01.30</t>
  </si>
  <si>
    <t>JM_TIPO_COMLETT</t>
  </si>
  <si>
    <t>E3171_CODBAREM</t>
  </si>
  <si>
    <t>E3171_DESCRIP</t>
  </si>
  <si>
    <t>E3171_FEC_DES</t>
  </si>
  <si>
    <t>E3171_FEC_HAS</t>
  </si>
  <si>
    <t>E3171_FEC_MOD</t>
  </si>
  <si>
    <t>06.01.31</t>
  </si>
  <si>
    <t>JM_SITUACI_BDI</t>
  </si>
  <si>
    <t>E3183_CODBAREM</t>
  </si>
  <si>
    <t>E3183_DESCRIP</t>
  </si>
  <si>
    <t>E3183_FEC_DES</t>
  </si>
  <si>
    <t>E3183_FEC_HAS</t>
  </si>
  <si>
    <t>E3183_FEC_MOD</t>
  </si>
  <si>
    <t>06.01.32</t>
  </si>
  <si>
    <t>Indicador Deuda Publica</t>
  </si>
  <si>
    <t>JM_INDI_DEUDAPU</t>
  </si>
  <si>
    <t>E3173_CODBAREM</t>
  </si>
  <si>
    <t>E3173_DESCRIP</t>
  </si>
  <si>
    <t>E3173_FEC_DES</t>
  </si>
  <si>
    <t>E3173_FEC_HAS</t>
  </si>
  <si>
    <t>E3173_FEC_MOD</t>
  </si>
  <si>
    <t>06.01.33</t>
  </si>
  <si>
    <t>Causa cierre expediente</t>
  </si>
  <si>
    <t>JM_CAUSAL_BDI</t>
  </si>
  <si>
    <t>E3185_CODBAREM</t>
  </si>
  <si>
    <t>E3185_DESCRIP</t>
  </si>
  <si>
    <t>E3185_FEC_DES</t>
  </si>
  <si>
    <t>E3185_FEC_HAS</t>
  </si>
  <si>
    <t>E3185_FEC_MOD</t>
  </si>
  <si>
    <t>06.01.34</t>
  </si>
  <si>
    <t>Tipo Movimiento</t>
  </si>
  <si>
    <t>JM_TIPO_MOVIM</t>
  </si>
  <si>
    <t>E3186_CODBAREM</t>
  </si>
  <si>
    <t>E3186_DESCRIP</t>
  </si>
  <si>
    <t>E3186_FEC_DES</t>
  </si>
  <si>
    <t>E3186_FEC_HAS</t>
  </si>
  <si>
    <t>E3186_FEC_MOD</t>
  </si>
  <si>
    <t>06.01.35</t>
  </si>
  <si>
    <t>JM_ORIGEN_MOVIM</t>
  </si>
  <si>
    <t>E3187_CODBAREM</t>
  </si>
  <si>
    <t>E3187_DESCRIP</t>
  </si>
  <si>
    <t>E3187_FEC_DES</t>
  </si>
  <si>
    <t>E3187_FEC_HAS</t>
  </si>
  <si>
    <t>E3187_FEC_MOD</t>
  </si>
  <si>
    <t>06.01.36</t>
  </si>
  <si>
    <t>JM_TIPO_TITULIZ</t>
  </si>
  <si>
    <t>E3128_CODBAREM</t>
  </si>
  <si>
    <t>E3128_DESCRIP</t>
  </si>
  <si>
    <t>E3128_FEC_DES</t>
  </si>
  <si>
    <t>E3128_FEC_HAS</t>
  </si>
  <si>
    <t>E3128_FEC_MOD</t>
  </si>
  <si>
    <t>06.01.37</t>
  </si>
  <si>
    <t>Identificación Línea de Liquidez / Prestamo subordinado</t>
  </si>
  <si>
    <t>JM_ID_LIQPRES</t>
  </si>
  <si>
    <t>E3132_CODBAREM</t>
  </si>
  <si>
    <t>E3132_DESCRIP</t>
  </si>
  <si>
    <t>E3132_FEC_DES</t>
  </si>
  <si>
    <t>E3132_FEC_HAS</t>
  </si>
  <si>
    <t>E3132_FEC_MOD</t>
  </si>
  <si>
    <t>06.01.38</t>
  </si>
  <si>
    <t>Carácter Línea de Liquidez</t>
  </si>
  <si>
    <t>JM_CARACTER_LIQ</t>
  </si>
  <si>
    <t>E3133_CODBAREM</t>
  </si>
  <si>
    <t>E3133_DESCRIP</t>
  </si>
  <si>
    <t>E3133_FEC_DES</t>
  </si>
  <si>
    <t>E3133_FEC_HAS</t>
  </si>
  <si>
    <t>E3133_FEC_MOD</t>
  </si>
  <si>
    <t>06.01.39</t>
  </si>
  <si>
    <t>Marca de carterizado</t>
  </si>
  <si>
    <t>JM_TIPO_CARTERA</t>
  </si>
  <si>
    <t>E3143_CODBAREM</t>
  </si>
  <si>
    <t>E3143_DESCRIP</t>
  </si>
  <si>
    <t>E3143_FEC_DES</t>
  </si>
  <si>
    <t>E3143_FEC_HAS</t>
  </si>
  <si>
    <t>E3143_FEC_MOD</t>
  </si>
  <si>
    <t>06.01.40</t>
  </si>
  <si>
    <t>Tipo de identificación de Emisiones</t>
  </si>
  <si>
    <t>JM_TIPO_ID_EMIS</t>
  </si>
  <si>
    <t>E3120_CODBAREM</t>
  </si>
  <si>
    <t>E3120_DESCRIP</t>
  </si>
  <si>
    <t>E3120_FEC_DES</t>
  </si>
  <si>
    <t>E3120_FEC_HAS</t>
  </si>
  <si>
    <t>E3120_FEC_MOD</t>
  </si>
  <si>
    <t>06.01.41</t>
  </si>
  <si>
    <t>Tipo de Acuerdo</t>
  </si>
  <si>
    <t>JM_TIPO_ACUERDO</t>
  </si>
  <si>
    <t>E3190_CODBAREM</t>
  </si>
  <si>
    <t>E3190_DESCRIP</t>
  </si>
  <si>
    <t>E3190_FEC_DES</t>
  </si>
  <si>
    <t>E3190_FEC_HAS</t>
  </si>
  <si>
    <t>E3190_FEC_MOD</t>
  </si>
  <si>
    <t>06.01.42</t>
  </si>
  <si>
    <t>Método Aplicado Cálculo Exposición</t>
  </si>
  <si>
    <t>JM_METODO_CALC</t>
  </si>
  <si>
    <t>E3200_CODBAREM</t>
  </si>
  <si>
    <t>E3200_DESCRIP</t>
  </si>
  <si>
    <t>E3200_FEC_DES</t>
  </si>
  <si>
    <t>E3200_FEC_HAS</t>
  </si>
  <si>
    <t>E3200_FEC_MOD</t>
  </si>
  <si>
    <t>06.01.43</t>
  </si>
  <si>
    <t>Fase de Cálculo</t>
  </si>
  <si>
    <t>JM_FASE_CALCULO</t>
  </si>
  <si>
    <t>E3192_CODBAREM</t>
  </si>
  <si>
    <t>E3192_DESCRIP</t>
  </si>
  <si>
    <t>E3192_FEC_DES</t>
  </si>
  <si>
    <t>E3192_FEC_HAS</t>
  </si>
  <si>
    <t>E3192_FEC_MOD</t>
  </si>
  <si>
    <t>06.01.44</t>
  </si>
  <si>
    <t>Agencia Rating</t>
  </si>
  <si>
    <t>JM_AGENCIA_RAT</t>
  </si>
  <si>
    <t>E3131_CODBAREM</t>
  </si>
  <si>
    <t>E3131_DESCRIP</t>
  </si>
  <si>
    <t>E3131_FEC_DES</t>
  </si>
  <si>
    <t>E3131_FEC_HAS</t>
  </si>
  <si>
    <t>E3131_FEC_MOD</t>
  </si>
  <si>
    <t>06.01.45</t>
  </si>
  <si>
    <t>JM_NATUR_ACTSU</t>
  </si>
  <si>
    <t>E3188_CODBAREM</t>
  </si>
  <si>
    <t>E3188_DESCRIP</t>
  </si>
  <si>
    <t>E3188_FEC_DES</t>
  </si>
  <si>
    <t>E3188_FEC_HAS</t>
  </si>
  <si>
    <t>E3188_FEC_MOD</t>
  </si>
  <si>
    <t>06.01.46</t>
  </si>
  <si>
    <t>Tipo de Colateral</t>
  </si>
  <si>
    <t>JM_TIPO_COLATER</t>
  </si>
  <si>
    <t>E3191_CODBAREM</t>
  </si>
  <si>
    <t>E3191_DESCRIP</t>
  </si>
  <si>
    <t>E3191_FEC_DES</t>
  </si>
  <si>
    <t>E3191_FEC_HAS</t>
  </si>
  <si>
    <t>E3191_FEC_MOD</t>
  </si>
  <si>
    <t>06.01.47</t>
  </si>
  <si>
    <t>JM_PLAZO</t>
  </si>
  <si>
    <t>E3174_CODBAREM</t>
  </si>
  <si>
    <t>E3174_DESCRIP</t>
  </si>
  <si>
    <t>E3174_FEC_DES</t>
  </si>
  <si>
    <t>E3174_FEC_HAS</t>
  </si>
  <si>
    <t>E3174_FEC_MOD</t>
  </si>
  <si>
    <t>06.01.48</t>
  </si>
  <si>
    <t>Opción (tasa de descuento)</t>
  </si>
  <si>
    <t>JM_OPCION_TADES</t>
  </si>
  <si>
    <t>E3184_CODBAREM</t>
  </si>
  <si>
    <t>E3184_DESCRIP</t>
  </si>
  <si>
    <t>E3184_FEC_DES</t>
  </si>
  <si>
    <t>E3184_FEC_HAS</t>
  </si>
  <si>
    <t>E3184_FEC_MOD</t>
  </si>
  <si>
    <t>06.01.49</t>
  </si>
  <si>
    <t>JM_MERCADO</t>
  </si>
  <si>
    <t>E3175_CODBAREM</t>
  </si>
  <si>
    <t>E3175_DESCRIP</t>
  </si>
  <si>
    <t>E3175_FEC_DES</t>
  </si>
  <si>
    <t>E3175_FEC_HAS</t>
  </si>
  <si>
    <t>E3175_FEC_MOD</t>
  </si>
  <si>
    <t>06.01.50</t>
  </si>
  <si>
    <t>Indice de Referencia</t>
  </si>
  <si>
    <t>JM_IND_REFEREN</t>
  </si>
  <si>
    <t>E3176_CODBAREM</t>
  </si>
  <si>
    <t>E3176_DESCRIP</t>
  </si>
  <si>
    <t>E3176_FEC_DES</t>
  </si>
  <si>
    <t>E3176_FEC_HAS</t>
  </si>
  <si>
    <t>E3176_FEC_MOD</t>
  </si>
  <si>
    <t>06.01.51</t>
  </si>
  <si>
    <t>Técnicas Mitigación (CRMT)</t>
  </si>
  <si>
    <t>JM_TECNI_MITIGA</t>
  </si>
  <si>
    <t>E3177_CODBAREM</t>
  </si>
  <si>
    <t>E3177_DESCRIP</t>
  </si>
  <si>
    <t>E3177_FEC_DES</t>
  </si>
  <si>
    <t>E3177_FEC_HAS</t>
  </si>
  <si>
    <t>E3177_FEC_MOD</t>
  </si>
  <si>
    <t>06.01.52</t>
  </si>
  <si>
    <t>JM_TIPO_CALIFI</t>
  </si>
  <si>
    <t>E3178_CODBAREM</t>
  </si>
  <si>
    <t>E3178_DESCRIP</t>
  </si>
  <si>
    <t>E3178_FEC_DES</t>
  </si>
  <si>
    <t>E3178_FEC_HAS</t>
  </si>
  <si>
    <t>E3178_FEC_MOD</t>
  </si>
  <si>
    <t>06.01.53</t>
  </si>
  <si>
    <t>JM_SENIORITY</t>
  </si>
  <si>
    <t>E3189_CODBAREM</t>
  </si>
  <si>
    <t>E3189_DESCRIP</t>
  </si>
  <si>
    <t>E3189_FEC_DES</t>
  </si>
  <si>
    <t>E3189_FEC_HAS</t>
  </si>
  <si>
    <t>E3189_FEC_MOD</t>
  </si>
  <si>
    <t>06.01.54</t>
  </si>
  <si>
    <t>Metodo Aplicado</t>
  </si>
  <si>
    <t>JM_METODO_APLIC</t>
  </si>
  <si>
    <t>E3179_CODBAREM</t>
  </si>
  <si>
    <t>E3179_DESCRIP</t>
  </si>
  <si>
    <t>E3179_FEC_DES</t>
  </si>
  <si>
    <t>E3179_FEC_HAS</t>
  </si>
  <si>
    <t>E3179_FEC_MOD</t>
  </si>
  <si>
    <t>06.01.55</t>
  </si>
  <si>
    <t>JM_SUBCAT_BISII</t>
  </si>
  <si>
    <t>E3180_CODBAREM</t>
  </si>
  <si>
    <t>E3180_DESCRIP</t>
  </si>
  <si>
    <t>E3180_FEC_DES</t>
  </si>
  <si>
    <t>E3180_FEC_HAS</t>
  </si>
  <si>
    <t>E3180_FEC_MOD</t>
  </si>
  <si>
    <t>06.01.56</t>
  </si>
  <si>
    <t>Segmento de Operaciones BIS II</t>
  </si>
  <si>
    <t>JM_SEGOPE_BISII</t>
  </si>
  <si>
    <t>E3181_CODBAREM</t>
  </si>
  <si>
    <t>E3181_DESCRIP</t>
  </si>
  <si>
    <t>E3181_FEC_DES</t>
  </si>
  <si>
    <t>E3181_FEC_HAS</t>
  </si>
  <si>
    <t>E3181_FEC_MOD</t>
  </si>
  <si>
    <t>06.01.57</t>
  </si>
  <si>
    <t>Enfoque (EAD)</t>
  </si>
  <si>
    <t>JM_ENFOQUE_EAD</t>
  </si>
  <si>
    <t>E3182_CODBAREM</t>
  </si>
  <si>
    <t>E3182_DESCRIP</t>
  </si>
  <si>
    <t>E3182_FEC_DES</t>
  </si>
  <si>
    <t>E3182_FEC_HAS</t>
  </si>
  <si>
    <t>E3182_FEC_MOD</t>
  </si>
  <si>
    <t>06.01.58</t>
  </si>
  <si>
    <t>JM_ROL_JERARQ</t>
  </si>
  <si>
    <t>E3194_CODBAREM</t>
  </si>
  <si>
    <t>E3194_DESCRIP</t>
  </si>
  <si>
    <t>E3194_FEC_DES</t>
  </si>
  <si>
    <t>E3194_FEC_HAS</t>
  </si>
  <si>
    <t>E3194_FEC_MOD</t>
  </si>
  <si>
    <t>06.01.59</t>
  </si>
  <si>
    <t>Curva de cálculo de capital regulatorio</t>
  </si>
  <si>
    <t>JM_CURVA_CALCUL</t>
  </si>
  <si>
    <t>E4146_CODBAREM</t>
  </si>
  <si>
    <t>E4146_DESCRIP</t>
  </si>
  <si>
    <t>E4146_FEC_DES</t>
  </si>
  <si>
    <t>E4146_FEC_HAS</t>
  </si>
  <si>
    <t>E4146_FEC_MOD</t>
  </si>
  <si>
    <t>06.01.60</t>
  </si>
  <si>
    <t>JM_FINA_CALCULO</t>
  </si>
  <si>
    <t>E4147_CODBAREM</t>
  </si>
  <si>
    <t>E4147_DESCRIP</t>
  </si>
  <si>
    <t>E4147_FEC_DES</t>
  </si>
  <si>
    <t>E4147_FEC_HAS</t>
  </si>
  <si>
    <t>E4147_FEC_MOD</t>
  </si>
  <si>
    <t>06.01.61</t>
  </si>
  <si>
    <t>JM_TIPO_PARAM</t>
  </si>
  <si>
    <t>E9965_CODBAREM</t>
  </si>
  <si>
    <t>E9965_DESCRIP</t>
  </si>
  <si>
    <t>E9965_FEC_DES</t>
  </si>
  <si>
    <t>E9965_FEC_HAS</t>
  </si>
  <si>
    <t>E9965_FEC_MOD</t>
  </si>
  <si>
    <t>06.01.62</t>
  </si>
  <si>
    <t>Motivo exclusión de informes</t>
  </si>
  <si>
    <t>JM_MOTIVO_EXCLU</t>
  </si>
  <si>
    <t xml:space="preserve">G2318_CODBAREM       </t>
  </si>
  <si>
    <t>G2318_DESCRIP</t>
  </si>
  <si>
    <t>G2318_FEC_DES</t>
  </si>
  <si>
    <t>G2318_FEC_HAS</t>
  </si>
  <si>
    <t>G2318_FEC_MOD</t>
  </si>
  <si>
    <t>06.01.63</t>
  </si>
  <si>
    <t>Motivo descarte garantías</t>
  </si>
  <si>
    <t>JM_MOTIVO_DESCA</t>
  </si>
  <si>
    <t xml:space="preserve">G2320_CODBAREM       </t>
  </si>
  <si>
    <t>G2320_DESCRIP</t>
  </si>
  <si>
    <t>G2320_FEC_DES</t>
  </si>
  <si>
    <t>G2320_FEC_HAS</t>
  </si>
  <si>
    <t>G2320_FEC_MOD</t>
  </si>
  <si>
    <t>06.01.64</t>
  </si>
  <si>
    <t>Motivo filtro exclusión</t>
  </si>
  <si>
    <t>JM_FILTRO_EXCLU</t>
  </si>
  <si>
    <t xml:space="preserve">G2319_CODBAREM       </t>
  </si>
  <si>
    <t>G2319_DESCRIP</t>
  </si>
  <si>
    <t>G2319_FEC_DES</t>
  </si>
  <si>
    <t>G2319_FEC_HAS</t>
  </si>
  <si>
    <t>G2319_FEC_MOD</t>
  </si>
  <si>
    <t>06.01.65</t>
  </si>
  <si>
    <t>Código de tabla</t>
  </si>
  <si>
    <t>JM_CODIGO_TABLA</t>
  </si>
  <si>
    <t xml:space="preserve">G2316_CODBAREM       </t>
  </si>
  <si>
    <t>G2316_DESCRIP</t>
  </si>
  <si>
    <t>G2316_FEC_DES</t>
  </si>
  <si>
    <t>G2316_FEC_HAS</t>
  </si>
  <si>
    <t>G2316_FEC_MOD</t>
  </si>
  <si>
    <t>06.01.66</t>
  </si>
  <si>
    <t>Código de campo</t>
  </si>
  <si>
    <t>JM_CODIGO_CAMPO</t>
  </si>
  <si>
    <t xml:space="preserve">G2317_CODBAREM       </t>
  </si>
  <si>
    <t>G2317_DESCRIP</t>
  </si>
  <si>
    <t>G2317_FEC_DES</t>
  </si>
  <si>
    <t>G2317_FEC_HAS</t>
  </si>
  <si>
    <t>G2317_FEC_MOD</t>
  </si>
  <si>
    <t>06.01.67</t>
  </si>
  <si>
    <t>Código de Identificación Cargabal</t>
  </si>
  <si>
    <t xml:space="preserve">JM_TIPO_CARGABA </t>
  </si>
  <si>
    <t xml:space="preserve">G4000_CODBAREM       </t>
  </si>
  <si>
    <t>G4000_DESCRIP</t>
  </si>
  <si>
    <t>G4000_FEC_DES</t>
  </si>
  <si>
    <t>G4000_FEC_HAS</t>
  </si>
  <si>
    <t>G4000_FEC_MOD</t>
  </si>
  <si>
    <t>06.01.68</t>
  </si>
  <si>
    <t>Tipo de Clasificación</t>
  </si>
  <si>
    <t>JM_TIPO_CLASIF</t>
  </si>
  <si>
    <t xml:space="preserve">G3995_CODBAREM       </t>
  </si>
  <si>
    <t>G3995_DESCRIP</t>
  </si>
  <si>
    <t>G3995_FEC_DES</t>
  </si>
  <si>
    <t>G3995_FEC_HAS</t>
  </si>
  <si>
    <t>G3995_FEC_MOD</t>
  </si>
  <si>
    <t>06.01.69</t>
  </si>
  <si>
    <t>Tipo de Haircut</t>
  </si>
  <si>
    <t>JM_TIPO_HAIRCUT</t>
  </si>
  <si>
    <t xml:space="preserve">G7007_CODBAREM       </t>
  </si>
  <si>
    <t>G7007_DESCRIP</t>
  </si>
  <si>
    <t>G7007_FEC_DES</t>
  </si>
  <si>
    <t>G7007_FEC_HAS</t>
  </si>
  <si>
    <t>G7007_FEC_MOD</t>
  </si>
  <si>
    <t>06.01.70</t>
  </si>
  <si>
    <t>Estados de la Tarjeta</t>
  </si>
  <si>
    <t>JM_ESTAD_TARJ</t>
  </si>
  <si>
    <t xml:space="preserve">H0698_CODBAREM       </t>
  </si>
  <si>
    <t>H0698_DESCRIP</t>
  </si>
  <si>
    <t>H0698_FEC_DES</t>
  </si>
  <si>
    <t>H0698_FEC_HAS</t>
  </si>
  <si>
    <t>H0698_FEC_MOD</t>
  </si>
  <si>
    <t>06.01.71</t>
  </si>
  <si>
    <t>Tipos de Riesgo Agregado</t>
  </si>
  <si>
    <t>JM_TIP_RGO_AG</t>
  </si>
  <si>
    <t>H0710_CODBAREM</t>
  </si>
  <si>
    <t>H0710_DESCRIP</t>
  </si>
  <si>
    <t>H0710_FEC_DES</t>
  </si>
  <si>
    <t>H0710_FEC_HAS</t>
  </si>
  <si>
    <t>H0710_FEC_MOD</t>
  </si>
  <si>
    <t>06.01.72</t>
  </si>
  <si>
    <t>Área de negocio corporativa nivel 1</t>
  </si>
  <si>
    <t>JM_UN_NV_TRAN</t>
  </si>
  <si>
    <t xml:space="preserve">H0699_CODBAREM       </t>
  </si>
  <si>
    <t>H0699_DESCRIP</t>
  </si>
  <si>
    <t>H0699_FEC_DES</t>
  </si>
  <si>
    <t>H0699_FEC_HAS</t>
  </si>
  <si>
    <t>H0699_FEC_MOD</t>
  </si>
  <si>
    <t>06.01.76</t>
  </si>
  <si>
    <t>JM_INDUSTRY</t>
  </si>
  <si>
    <t>H0706_CODBAREM</t>
  </si>
  <si>
    <t>H0706_DESCRIP</t>
  </si>
  <si>
    <t>H0706_FEC_DES</t>
  </si>
  <si>
    <t>H0706_FEC_HAS</t>
  </si>
  <si>
    <t>H0706_FEC_MOD</t>
  </si>
  <si>
    <t>06.01.77</t>
  </si>
  <si>
    <t>JM_SEC_GR_ECO</t>
  </si>
  <si>
    <t>H0708_CODBAREM</t>
  </si>
  <si>
    <t>H0708_DESCRIP</t>
  </si>
  <si>
    <t>H0708_FEC_DES</t>
  </si>
  <si>
    <t>H0708_FEC_HAS</t>
  </si>
  <si>
    <t>H0708_FEC_MOD</t>
  </si>
  <si>
    <t>06.01.78</t>
  </si>
  <si>
    <t>Motivos Alta Exposición Mdo Hipotecario</t>
  </si>
  <si>
    <t>JM_MT_EXP_HIP</t>
  </si>
  <si>
    <t>H0703_CODBAREM</t>
  </si>
  <si>
    <t>H0703_DESCRIP</t>
  </si>
  <si>
    <t>H0703_FEC_DES</t>
  </si>
  <si>
    <t>H0703_FEC_HAS</t>
  </si>
  <si>
    <t>H0703_FEC_MOD</t>
  </si>
  <si>
    <t>06.01.79</t>
  </si>
  <si>
    <t>Tipos de Interés de Referencia</t>
  </si>
  <si>
    <t>JM_INT_REFER</t>
  </si>
  <si>
    <t>H0704_CODBAREM</t>
  </si>
  <si>
    <t>H0704_DESCRIP</t>
  </si>
  <si>
    <t>H0704_FEC_DES</t>
  </si>
  <si>
    <t>H0704_FEC_HAS</t>
  </si>
  <si>
    <t>H0704_FEC_MOD</t>
  </si>
  <si>
    <t>06.01.80</t>
  </si>
  <si>
    <t>Estado Promoción Inmobiliaria</t>
  </si>
  <si>
    <t>JM_ESTAD_PRIN</t>
  </si>
  <si>
    <t>H0705_CODBAREM</t>
  </si>
  <si>
    <t>H0705_DESCRIP</t>
  </si>
  <si>
    <t>H0705_FEC_DES</t>
  </si>
  <si>
    <t>H0705_FEC_HAS</t>
  </si>
  <si>
    <t>H0705_FEC_MOD</t>
  </si>
  <si>
    <t>06.01.81</t>
  </si>
  <si>
    <t>Tipo de Valoración de Garantías</t>
  </si>
  <si>
    <t>JM_TIP_VALGAR</t>
  </si>
  <si>
    <t>H0709_CODBAREM</t>
  </si>
  <si>
    <t>H0709_DESCRIP</t>
  </si>
  <si>
    <t>H0709_FEC_DES</t>
  </si>
  <si>
    <t>H0709_FEC_HAS</t>
  </si>
  <si>
    <t>H0709_FEC_MOD</t>
  </si>
  <si>
    <t>06.01.82</t>
  </si>
  <si>
    <t>Tipo de Información Cliente</t>
  </si>
  <si>
    <t>JM_TIP_INFCLI</t>
  </si>
  <si>
    <t>H0707_CODBAREM</t>
  </si>
  <si>
    <t>H0707_DESCRIP</t>
  </si>
  <si>
    <t>H0707_FEC_DES</t>
  </si>
  <si>
    <t>H0707_FEC_HAS</t>
  </si>
  <si>
    <t>H0707_FEC_MOD</t>
  </si>
  <si>
    <t>06.01.83</t>
  </si>
  <si>
    <t>Código de Impago Histórico</t>
  </si>
  <si>
    <t>JM_COD_IMPA_HIS</t>
  </si>
  <si>
    <t>N0571_CODBAREM</t>
  </si>
  <si>
    <t>N0571_DESCRIP</t>
  </si>
  <si>
    <t>N0571_FEC_DES</t>
  </si>
  <si>
    <t>N0571_FEC_HAS</t>
  </si>
  <si>
    <t>N0571_FEC_MOD</t>
  </si>
  <si>
    <t>06.01.84</t>
  </si>
  <si>
    <t>Grado de concentración</t>
  </si>
  <si>
    <t>JM_GRADO_CONCEN</t>
  </si>
  <si>
    <t>N0576_CODBAREM</t>
  </si>
  <si>
    <t>N0576_DESCRIP</t>
  </si>
  <si>
    <t>N0576_FEC_DES</t>
  </si>
  <si>
    <t>N0576_FEC_HAS</t>
  </si>
  <si>
    <t>N0576_FEC_MOD</t>
  </si>
  <si>
    <t>06.01.85</t>
  </si>
  <si>
    <t>Origen del Tipo de Cambio</t>
  </si>
  <si>
    <t>JM_ORIG_TIPCAMB</t>
  </si>
  <si>
    <t>N0577_CODBAREM</t>
  </si>
  <si>
    <t>N0577_DESCRIP</t>
  </si>
  <si>
    <t>N0577_FEC_DES</t>
  </si>
  <si>
    <t>N0577_FEC_HAS</t>
  </si>
  <si>
    <t>N0577_FEC_MOD</t>
  </si>
  <si>
    <t>06.01.86</t>
  </si>
  <si>
    <t>Código de Negocio</t>
  </si>
  <si>
    <t>JM_COD_NEGOCIO</t>
  </si>
  <si>
    <t>N0578_CODBAREM</t>
  </si>
  <si>
    <t>N0578_DESCRIP</t>
  </si>
  <si>
    <t>N0578_FEC_DES</t>
  </si>
  <si>
    <t>N0578_FEC_HAS</t>
  </si>
  <si>
    <t>N0578_FEC_MOD</t>
  </si>
  <si>
    <t>06.01.87</t>
  </si>
  <si>
    <t>Tipo de Relación entre contratos</t>
  </si>
  <si>
    <t>JM_TIPO_REL_CTO</t>
  </si>
  <si>
    <t>N0573_CODBAREM</t>
  </si>
  <si>
    <t>N0573_DESCRIP</t>
  </si>
  <si>
    <t>N0573_FEC_DES</t>
  </si>
  <si>
    <t>N0573_FEC_HAS</t>
  </si>
  <si>
    <t>N0573_FEC_MOD</t>
  </si>
  <si>
    <t>06.01.88</t>
  </si>
  <si>
    <t>JM_TIPO_ACTTITU</t>
  </si>
  <si>
    <t>N0575_CODBAREM</t>
  </si>
  <si>
    <t>N0575_DESCRIP</t>
  </si>
  <si>
    <t>N0575_FEC_DES</t>
  </si>
  <si>
    <t>N0575_FEC_HAS</t>
  </si>
  <si>
    <t>N0575_FEC_MOD</t>
  </si>
  <si>
    <t>06.01.89</t>
  </si>
  <si>
    <t>Tipo de Importe / Provisión</t>
  </si>
  <si>
    <t>JM_TIP_IMP_PROV</t>
  </si>
  <si>
    <t>N0570_CODBAREM</t>
  </si>
  <si>
    <t>N0570_DESCRIP</t>
  </si>
  <si>
    <t>N0570_FEC_DES</t>
  </si>
  <si>
    <t>N0570_FEC_HAS</t>
  </si>
  <si>
    <t>N0570_FEC_MOD</t>
  </si>
  <si>
    <t>06.01.90</t>
  </si>
  <si>
    <t>JM_MOTIVO_RENGL</t>
  </si>
  <si>
    <t>O2793_CODBAREM</t>
  </si>
  <si>
    <t>O2793_DESCRIP</t>
  </si>
  <si>
    <t>O2793_FEC_DES</t>
  </si>
  <si>
    <t>O2793_FEC_HAS</t>
  </si>
  <si>
    <t>O2793_FEC_MOD</t>
  </si>
  <si>
    <t>06.01.91</t>
  </si>
  <si>
    <t>Indicador Tipo de Carencia</t>
  </si>
  <si>
    <t>JM_TIP_CARENCIA</t>
  </si>
  <si>
    <t>O2794_CODBAREM</t>
  </si>
  <si>
    <t>O2794_DESCRIP</t>
  </si>
  <si>
    <t>O2794_FEC_DES</t>
  </si>
  <si>
    <t>O2794_FEC_HAS</t>
  </si>
  <si>
    <t>O2794_FEC_MOD</t>
  </si>
  <si>
    <t>06.01.92</t>
  </si>
  <si>
    <t>JM_IND_OUTLOOK</t>
  </si>
  <si>
    <t>O2795_CODBAREM</t>
  </si>
  <si>
    <t>O2795_DESCRIP</t>
  </si>
  <si>
    <t>O2795_FEC_DES</t>
  </si>
  <si>
    <t>O2795_FEC_HAS</t>
  </si>
  <si>
    <t>O2795_FEC_MOD</t>
  </si>
  <si>
    <t>06.01.93</t>
  </si>
  <si>
    <t>Tramos de puntuaciones externas</t>
  </si>
  <si>
    <t>JM_TRM_PUNT_EXT</t>
  </si>
  <si>
    <t>O2796_CODBAREM</t>
  </si>
  <si>
    <t>O2796_DESCRIP</t>
  </si>
  <si>
    <t>O2796_FEC_DES</t>
  </si>
  <si>
    <t>O2796_FEC_HAS</t>
  </si>
  <si>
    <t>O2796_FEC_MOD</t>
  </si>
  <si>
    <t>06.01.94</t>
  </si>
  <si>
    <t>JM_TIPO_INT_CCP</t>
  </si>
  <si>
    <t>O2797_CODBAREM</t>
  </si>
  <si>
    <t>O2797_DESCRIP</t>
  </si>
  <si>
    <t>O2797_FEC_DES</t>
  </si>
  <si>
    <t>O2797_FEC_HAS</t>
  </si>
  <si>
    <t>O2797_FEC_MOD</t>
  </si>
  <si>
    <t>06.01.95</t>
  </si>
  <si>
    <t>JM_TIPO_ACTIVO</t>
  </si>
  <si>
    <t>O2798_CODBAREM</t>
  </si>
  <si>
    <t>O2798_DESCRIP</t>
  </si>
  <si>
    <t>O2798_FEC_DES</t>
  </si>
  <si>
    <t>O2798_FEC_HAS</t>
  </si>
  <si>
    <t>O2798_FEC_MOD</t>
  </si>
  <si>
    <t>06.01.96</t>
  </si>
  <si>
    <t>JM_STIPO_ACTIVO</t>
  </si>
  <si>
    <t>O2799_CODBAREM</t>
  </si>
  <si>
    <t>O2799_DESCRIP</t>
  </si>
  <si>
    <t>O2799_FEC_DES</t>
  </si>
  <si>
    <t>O2799_FEC_HAS</t>
  </si>
  <si>
    <t>O2799_FEC_MOD</t>
  </si>
  <si>
    <t>06.01.97</t>
  </si>
  <si>
    <t>Tipo de Suelo</t>
  </si>
  <si>
    <t>JM_TIPO_SUELO</t>
  </si>
  <si>
    <t>O2800_CODBAREM</t>
  </si>
  <si>
    <t>O2800_DESCRIP</t>
  </si>
  <si>
    <t>O2800_FEC_DES</t>
  </si>
  <si>
    <t>O2800_FEC_HAS</t>
  </si>
  <si>
    <t>O2800_FEC_MOD</t>
  </si>
  <si>
    <t>06.01.98</t>
  </si>
  <si>
    <t>JM_SIT_CONSTR</t>
  </si>
  <si>
    <t>O2801_CODBAREM</t>
  </si>
  <si>
    <t>O2801_DESCRIP</t>
  </si>
  <si>
    <t>O2801_FEC_DES</t>
  </si>
  <si>
    <t>O2801_FEC_HAS</t>
  </si>
  <si>
    <t>O2801_FEC_MOD</t>
  </si>
  <si>
    <t>06.01.99</t>
  </si>
  <si>
    <t>JM_ORIG_ADJUD</t>
  </si>
  <si>
    <t>O2802_CODBAREM</t>
  </si>
  <si>
    <t>O2802_DESCRIP</t>
  </si>
  <si>
    <t>O2802_FEC_DES</t>
  </si>
  <si>
    <t>O2802_FEC_HAS</t>
  </si>
  <si>
    <t>O2802_FEC_MOD</t>
  </si>
  <si>
    <t>06.01.100</t>
  </si>
  <si>
    <t>Estado del inmueble</t>
  </si>
  <si>
    <t>JM_EST_INMUEBLE</t>
  </si>
  <si>
    <t>O2803_CODBAREM</t>
  </si>
  <si>
    <t>O2803_DESCRIP</t>
  </si>
  <si>
    <t>O2803_FEC_DES</t>
  </si>
  <si>
    <t>O2803_FEC_HAS</t>
  </si>
  <si>
    <t>O2803_FEC_MOD</t>
  </si>
  <si>
    <t>06.01.101</t>
  </si>
  <si>
    <t>Tipo de Hipoteca</t>
  </si>
  <si>
    <t>JM_TIP_HIPOTECA</t>
  </si>
  <si>
    <t>O2804_CODBAREM</t>
  </si>
  <si>
    <t>O2804_DESCRIP</t>
  </si>
  <si>
    <t>O2804_FEC_DES</t>
  </si>
  <si>
    <t>O2804_FEC_HAS</t>
  </si>
  <si>
    <t>O2804_FEC_MOD</t>
  </si>
  <si>
    <t>06.01.102</t>
  </si>
  <si>
    <t>Tipo de Interés Suelo-Techo</t>
  </si>
  <si>
    <t>JM_TIP_INTERES</t>
  </si>
  <si>
    <t>O2805_CODBAREM</t>
  </si>
  <si>
    <t>O2805_DESCRIP</t>
  </si>
  <si>
    <t>O2805_FEC_DES</t>
  </si>
  <si>
    <t>O2805_FEC_HAS</t>
  </si>
  <si>
    <t>O2805_FEC_MOD</t>
  </si>
  <si>
    <t>06.01.103</t>
  </si>
  <si>
    <t>JM_TIPO_EMPRESA</t>
  </si>
  <si>
    <t>O9205_CODBAREM</t>
  </si>
  <si>
    <t>O9205_DESCRIP</t>
  </si>
  <si>
    <t>O9205_FEC_DES</t>
  </si>
  <si>
    <t>O9205_FEC_HAS</t>
  </si>
  <si>
    <t>O9205_FEC_MOD</t>
  </si>
  <si>
    <t>06.01.104</t>
  </si>
  <si>
    <t>Método de Liquidación</t>
  </si>
  <si>
    <t>JM_METOD_LIQ</t>
  </si>
  <si>
    <t>O9202_CODBAREM</t>
  </si>
  <si>
    <t>O9202_DESCRIP</t>
  </si>
  <si>
    <t>O9202_FEC_DES</t>
  </si>
  <si>
    <t>O9202_FEC_HAS</t>
  </si>
  <si>
    <t>O9202_FEC_MOD</t>
  </si>
  <si>
    <t>06.01.105</t>
  </si>
  <si>
    <t>Tipo de Utilización del Inmueble</t>
  </si>
  <si>
    <t>JM_TIP_UTIL_INM</t>
  </si>
  <si>
    <t>O9204_CODBAREM</t>
  </si>
  <si>
    <t>O9204_DESCRIP</t>
  </si>
  <si>
    <t>O9204_FEC_DES</t>
  </si>
  <si>
    <t>O9204_FEC_HAS</t>
  </si>
  <si>
    <t>O9204_FEC_MOD</t>
  </si>
  <si>
    <t>06.01.106</t>
  </si>
  <si>
    <t>Método de Construcción</t>
  </si>
  <si>
    <t>JM_METOD_CONST</t>
  </si>
  <si>
    <t>O9201_CODBAREM</t>
  </si>
  <si>
    <t>O9201_DESCRIP</t>
  </si>
  <si>
    <t>O9201_FEC_DES</t>
  </si>
  <si>
    <t>O9201_FEC_HAS</t>
  </si>
  <si>
    <t>O9201_FEC_MOD</t>
  </si>
  <si>
    <t>06.01.107</t>
  </si>
  <si>
    <t>Tipo de Propiedad</t>
  </si>
  <si>
    <t>JM_TIPO_PROP</t>
  </si>
  <si>
    <t>O9206_CODBAREM</t>
  </si>
  <si>
    <t>O9206_DESCRIP</t>
  </si>
  <si>
    <t>O9206_FEC_DES</t>
  </si>
  <si>
    <t>O9206_FEC_HAS</t>
  </si>
  <si>
    <t>O9206_FEC_MOD</t>
  </si>
  <si>
    <t>06.01.108</t>
  </si>
  <si>
    <t>Poder Adquisitivo de la Zona</t>
  </si>
  <si>
    <t>JM_POD_ADQ_ZON</t>
  </si>
  <si>
    <t>O9203_CODBAREM</t>
  </si>
  <si>
    <t>O9203_DESCRIP</t>
  </si>
  <si>
    <t>O9203_FEC_DES</t>
  </si>
  <si>
    <t>O9203_FEC_HAS</t>
  </si>
  <si>
    <t>O9203_FEC_MOD</t>
  </si>
  <si>
    <t>06.01.109</t>
  </si>
  <si>
    <t>Tipo de Valoración Inmueble</t>
  </si>
  <si>
    <t>JM_TIPO_VALORAC</t>
  </si>
  <si>
    <t>O9207_CODBAREM</t>
  </si>
  <si>
    <t>O9207_DESCRIP</t>
  </si>
  <si>
    <t>O9207_FEC_DES</t>
  </si>
  <si>
    <t>O9207_FEC_HAS</t>
  </si>
  <si>
    <t>O9207_FEC_MOD</t>
  </si>
  <si>
    <t>06.01.110</t>
  </si>
  <si>
    <t>Forma de pago actual</t>
  </si>
  <si>
    <t>JM_FORM_PAGOACT</t>
  </si>
  <si>
    <t>R8174_CODBAREM</t>
  </si>
  <si>
    <t>R8174_DESCRIP</t>
  </si>
  <si>
    <t>R8174_FECDESDE</t>
  </si>
  <si>
    <t>R8174_FECHASTA</t>
  </si>
  <si>
    <t>R8174_FECULTMO</t>
  </si>
  <si>
    <t>06.01.111</t>
  </si>
  <si>
    <t>Origen de la visión</t>
  </si>
  <si>
    <t>JM_ORIG_VISION</t>
  </si>
  <si>
    <t>R8172_CODBAREM</t>
  </si>
  <si>
    <t>R8172_DESCRIP</t>
  </si>
  <si>
    <t>R8172_FEC_DES</t>
  </si>
  <si>
    <t>R8172_FEC_HAS</t>
  </si>
  <si>
    <t>R8172_FEC_MOD</t>
  </si>
  <si>
    <t>06.01.112</t>
  </si>
  <si>
    <t>Alertas SAR</t>
  </si>
  <si>
    <t>JM_ALERTA_SAR</t>
  </si>
  <si>
    <t>R8176_CODBAREM</t>
  </si>
  <si>
    <t>R8176_DESCRIP</t>
  </si>
  <si>
    <t>R8176_FEC_DES</t>
  </si>
  <si>
    <t>R8176_FEC_HAS</t>
  </si>
  <si>
    <t>R8176_FEC_MOD</t>
  </si>
  <si>
    <t>06.01.113</t>
  </si>
  <si>
    <t>Nivel de Cuota</t>
  </si>
  <si>
    <t>JM_NIVEL_CUOTA</t>
  </si>
  <si>
    <t>R8173_CODBAREM</t>
  </si>
  <si>
    <t>R8173_DESCRIP</t>
  </si>
  <si>
    <t>R8173_FEC_DES</t>
  </si>
  <si>
    <t>R8173_FEC_HAS</t>
  </si>
  <si>
    <t>R8173_FEC_MOD</t>
  </si>
  <si>
    <t>06.01.114</t>
  </si>
  <si>
    <t>Tipo de identificador</t>
  </si>
  <si>
    <t>JM_TIPO_IDENTIF</t>
  </si>
  <si>
    <t>R8170_CODBAREM</t>
  </si>
  <si>
    <t>R8170_DESCRIP</t>
  </si>
  <si>
    <t>R8170_FEC_DES</t>
  </si>
  <si>
    <t>R8170_FEC_HAS</t>
  </si>
  <si>
    <t>R8170_FEC_MOD</t>
  </si>
  <si>
    <t>06.01.115</t>
  </si>
  <si>
    <t>Tipo de Cuota</t>
  </si>
  <si>
    <t>JM_TIPO_CUOTA</t>
  </si>
  <si>
    <t>R8171_CODBAREM</t>
  </si>
  <si>
    <t>R8171_DESCRIP</t>
  </si>
  <si>
    <t>R8171_FEC_DES</t>
  </si>
  <si>
    <t>R8171_FEC_HAS</t>
  </si>
  <si>
    <t>R8171_FEC_MOD</t>
  </si>
  <si>
    <t>06.01.116</t>
  </si>
  <si>
    <t>Código Negocio Local</t>
  </si>
  <si>
    <t>JM_COD_NEGO_LOC</t>
  </si>
  <si>
    <t>R8175_CODBAREM</t>
  </si>
  <si>
    <t>R8175_DESCRIP</t>
  </si>
  <si>
    <t>R8175_FEC_DES</t>
  </si>
  <si>
    <t>R8175_FEC_HAS</t>
  </si>
  <si>
    <t>R8175_FEC_MOD</t>
  </si>
  <si>
    <t>06.01.117</t>
  </si>
  <si>
    <t>JM_TTO_ESP_STD</t>
  </si>
  <si>
    <t>R9418_CODBAREM</t>
  </si>
  <si>
    <t>R9418_DESCRIP</t>
  </si>
  <si>
    <t>R9418_FECDESDE</t>
  </si>
  <si>
    <t>R9418_FECHASTA</t>
  </si>
  <si>
    <t>R9418_FECULTMO</t>
  </si>
  <si>
    <t>06.01.118</t>
  </si>
  <si>
    <t>JM_TIPCALC_STD</t>
  </si>
  <si>
    <t>R9419_CODBAREM</t>
  </si>
  <si>
    <t>R9419_DESCRIP</t>
  </si>
  <si>
    <t>R9419_FECDESDE</t>
  </si>
  <si>
    <t>R9419_FECHASTA</t>
  </si>
  <si>
    <t>R9419_FECULTMO</t>
  </si>
  <si>
    <t>06.01.119</t>
  </si>
  <si>
    <t>Código baremo</t>
  </si>
  <si>
    <t>JM_HIPO_CTO</t>
  </si>
  <si>
    <t>R9423_CODBAREM</t>
  </si>
  <si>
    <t>R9423_DESCRIP</t>
  </si>
  <si>
    <t>R9423_FECDESDE</t>
  </si>
  <si>
    <t>R9423_FECHASTA</t>
  </si>
  <si>
    <t>Fecha última modifcación</t>
  </si>
  <si>
    <t>R9423_FECULTMO</t>
  </si>
  <si>
    <t>06.01.120</t>
  </si>
  <si>
    <t>JM_HIPO_GAR</t>
  </si>
  <si>
    <t>R9422_CODBAREM</t>
  </si>
  <si>
    <t>R9422_DESCRIP</t>
  </si>
  <si>
    <t>R9422_FECDESDE</t>
  </si>
  <si>
    <t>R9422_FECHASTA</t>
  </si>
  <si>
    <t>R9422_FECULTMO</t>
  </si>
  <si>
    <t>06.01.121</t>
  </si>
  <si>
    <t>JM_TIP_CALCTO</t>
  </si>
  <si>
    <t>R9420_CODBAREM</t>
  </si>
  <si>
    <t>R9420_DESCRIP</t>
  </si>
  <si>
    <t>R9420_FECDESDE</t>
  </si>
  <si>
    <t>R9420_FECHASTA</t>
  </si>
  <si>
    <t>R9420_FECULTMO</t>
  </si>
  <si>
    <t>06.01.122</t>
  </si>
  <si>
    <t>JM_PAIS_UE</t>
  </si>
  <si>
    <t>R9421_CODBAREM</t>
  </si>
  <si>
    <t>R9421_DESCRIP</t>
  </si>
  <si>
    <t>R9421_FECDESDE</t>
  </si>
  <si>
    <t>R9421_FECHASTA</t>
  </si>
  <si>
    <t>R9421_FECULTMO</t>
  </si>
  <si>
    <t>06.01.123</t>
  </si>
  <si>
    <t>Grado de Vinculación</t>
  </si>
  <si>
    <t>JM_GRA_VINCUL</t>
  </si>
  <si>
    <t>R9618_CODBAREM</t>
  </si>
  <si>
    <t>R9618_DESCRIP</t>
  </si>
  <si>
    <t>R9618_FECDESDE</t>
  </si>
  <si>
    <t>R9618_FECHASTA</t>
  </si>
  <si>
    <t>R9618_FECULTMO</t>
  </si>
  <si>
    <t>06.01.124</t>
  </si>
  <si>
    <t>Indicador Stage</t>
  </si>
  <si>
    <t>JM_IND_STAGE</t>
  </si>
  <si>
    <t>R9617_CODBAREM</t>
  </si>
  <si>
    <t>R9617_DESCRIP</t>
  </si>
  <si>
    <t>R9617_FECDESDE</t>
  </si>
  <si>
    <t>R9617_FECHASTA</t>
  </si>
  <si>
    <t>R9617_FECULTMO</t>
  </si>
  <si>
    <t>06.01.125</t>
  </si>
  <si>
    <t>Tipo de tratamiento de la Unidad de Riesgo</t>
  </si>
  <si>
    <t>JM_TIP_TTP_UR</t>
  </si>
  <si>
    <t>R9622_CODBAREM</t>
  </si>
  <si>
    <t>R9622_DESCRIP</t>
  </si>
  <si>
    <t>R9622_FECDESDE</t>
  </si>
  <si>
    <t>R9622_FECHASTA</t>
  </si>
  <si>
    <t>R9622_FECULTMO</t>
  </si>
  <si>
    <t>06.01.126</t>
  </si>
  <si>
    <t>JM_TIP_CUENTA</t>
  </si>
  <si>
    <t>R9635_CODBAREM</t>
  </si>
  <si>
    <t>R9635_DESCRIP</t>
  </si>
  <si>
    <t>R9635_FECDESDE</t>
  </si>
  <si>
    <t>R9635_FECHASTA</t>
  </si>
  <si>
    <t>R9635_FECULTMO</t>
  </si>
  <si>
    <t>06.01.127</t>
  </si>
  <si>
    <t>Tipo de Mitigación</t>
  </si>
  <si>
    <t>JM_TIP_MITIGA</t>
  </si>
  <si>
    <t>R9634_CODBAREM</t>
  </si>
  <si>
    <t>R9634_DESCRIP</t>
  </si>
  <si>
    <t>R9634_FECDESDE</t>
  </si>
  <si>
    <t>R9634_FECHASTA</t>
  </si>
  <si>
    <t>R9634_FECULTMO</t>
  </si>
  <si>
    <t>06.01.128</t>
  </si>
  <si>
    <t>JM_IND_MORA</t>
  </si>
  <si>
    <t>R9636_CODBAREM</t>
  </si>
  <si>
    <t>R9636_DESCRIP</t>
  </si>
  <si>
    <t>R9636_FECDESDE</t>
  </si>
  <si>
    <t>R9636_FECHASTA</t>
  </si>
  <si>
    <t>R9636_FECULTMO</t>
  </si>
  <si>
    <t>06.01.129</t>
  </si>
  <si>
    <t>JM_UTP_CLIENT</t>
  </si>
  <si>
    <t>R9737_CODBAREM</t>
  </si>
  <si>
    <t>R9737_DESCRIP</t>
  </si>
  <si>
    <t>R9737_FECDESDE</t>
  </si>
  <si>
    <t>R9737_FECHASTA</t>
  </si>
  <si>
    <t>R9737_FECULTMO</t>
  </si>
  <si>
    <t>06.01.130</t>
  </si>
  <si>
    <t>JM_CLAS_MVTO</t>
  </si>
  <si>
    <t>R9751_CODBAREM</t>
  </si>
  <si>
    <t>R9751_DESCRIP</t>
  </si>
  <si>
    <t>R9751_FECDESDE</t>
  </si>
  <si>
    <t>R9751_FECHASTA</t>
  </si>
  <si>
    <t>R9751_FECULTMO</t>
  </si>
  <si>
    <t>06.01.131</t>
  </si>
  <si>
    <t>Nivel de Aplicación</t>
  </si>
  <si>
    <t>JM_NIVEL_APLI</t>
  </si>
  <si>
    <t>R9742_CODBAREM</t>
  </si>
  <si>
    <t>R9742_DESCRIP</t>
  </si>
  <si>
    <t>R9742_FECDESDE</t>
  </si>
  <si>
    <t>R9742_FECHASTA</t>
  </si>
  <si>
    <t>R9742_FECULTMO</t>
  </si>
  <si>
    <t>06.01.132</t>
  </si>
  <si>
    <t xml:space="preserve"> Indicador de Default</t>
  </si>
  <si>
    <t>JM_IND_DEFAULT</t>
  </si>
  <si>
    <t>R9743_CODBAREM</t>
  </si>
  <si>
    <t>R9743_DESCRIP</t>
  </si>
  <si>
    <t>R9743_FECDESDE</t>
  </si>
  <si>
    <t>R9743_FECHASTA</t>
  </si>
  <si>
    <t>R9743_FECULTMO</t>
  </si>
  <si>
    <t>06.01.133</t>
  </si>
  <si>
    <t>JM_TIP_MONEDA</t>
  </si>
  <si>
    <t>T0216_CODBAREM</t>
  </si>
  <si>
    <t>T0216_DESCRIP</t>
  </si>
  <si>
    <t>T0216_FECDESDE</t>
  </si>
  <si>
    <t>T0216_FECHASTA</t>
  </si>
  <si>
    <t>T0216_FECULTMO</t>
  </si>
  <si>
    <t>06.01.134</t>
  </si>
  <si>
    <t>Origen del Contrato</t>
  </si>
  <si>
    <t>JM_ORIGEN_CTO</t>
  </si>
  <si>
    <t>T0235_CODBAREM</t>
  </si>
  <si>
    <t>T0235_DESCRIP</t>
  </si>
  <si>
    <t>T0235_FECDESDE</t>
  </si>
  <si>
    <t>T0235_FECHASTA</t>
  </si>
  <si>
    <t>T0235_FECULTMO</t>
  </si>
  <si>
    <t>06.01.135</t>
  </si>
  <si>
    <t>Origen del Cálculo RWA</t>
  </si>
  <si>
    <t>JM_ORIGEN_RWA</t>
  </si>
  <si>
    <t>T0236_CODBAREM</t>
  </si>
  <si>
    <t>T0236_DESCRIP</t>
  </si>
  <si>
    <t>T0236_FECDESDE</t>
  </si>
  <si>
    <t>T0236_FECHASTA</t>
  </si>
  <si>
    <t>T0236_FECULTMO</t>
  </si>
  <si>
    <t>06.01.136</t>
  </si>
  <si>
    <t>Tipo de Cartera</t>
  </si>
  <si>
    <t>JM_TIP_CARTER</t>
  </si>
  <si>
    <t>T0238_CODBAREM</t>
  </si>
  <si>
    <t>T0238_DESCRIP</t>
  </si>
  <si>
    <t>T0238_FECDESDE</t>
  </si>
  <si>
    <t>T0238_FECHASTA</t>
  </si>
  <si>
    <t>T0238_FECULTMO</t>
  </si>
  <si>
    <t>06.01.137</t>
  </si>
  <si>
    <t>Indicador de Importe</t>
  </si>
  <si>
    <t>JM_IND_IMPT</t>
  </si>
  <si>
    <t>T0241_CODBAREM</t>
  </si>
  <si>
    <t>T0241_DESCRIP</t>
  </si>
  <si>
    <t>T0241_FECDESDE</t>
  </si>
  <si>
    <t>T0241_FECHASTA</t>
  </si>
  <si>
    <t>T0241_FECULTMO</t>
  </si>
  <si>
    <t>06.01.138</t>
  </si>
  <si>
    <t>Indicador de Balance</t>
  </si>
  <si>
    <t>JM_IND_BALAN</t>
  </si>
  <si>
    <t>T0242_CODBAREM</t>
  </si>
  <si>
    <t>T0242_DESCRIP</t>
  </si>
  <si>
    <t>T0242_FECDESDE</t>
  </si>
  <si>
    <t>T0242_FECHASTA</t>
  </si>
  <si>
    <t>T0242_FECULTMO</t>
  </si>
  <si>
    <t>06.01.139</t>
  </si>
  <si>
    <t xml:space="preserve">Tipo de Ajuste </t>
  </si>
  <si>
    <t>JM_TIP_AJUSTE</t>
  </si>
  <si>
    <t>T0239_CODBAREM</t>
  </si>
  <si>
    <t>T0239_DESCRIP</t>
  </si>
  <si>
    <t>T0239_FECDESDE</t>
  </si>
  <si>
    <t>T0239_FECHASTA</t>
  </si>
  <si>
    <t>T0239_FECULTMO</t>
  </si>
  <si>
    <t>06.01.140</t>
  </si>
  <si>
    <t>Indicador de Origen</t>
  </si>
  <si>
    <t>JM_IND_ORIGEN</t>
  </si>
  <si>
    <t>T0240_CODBAREM</t>
  </si>
  <si>
    <t>T0240_DESCRIP</t>
  </si>
  <si>
    <t>T0240_FECDESDE</t>
  </si>
  <si>
    <t>T0240_FECHASTA</t>
  </si>
  <si>
    <t>T0240_FECULTMO</t>
  </si>
  <si>
    <t>06.01.141</t>
  </si>
  <si>
    <t>JM_TIP_CCONTA</t>
  </si>
  <si>
    <t>T0237_CODBAREM</t>
  </si>
  <si>
    <t>T0237_DESCRIP</t>
  </si>
  <si>
    <t>T0237_FECDESDE</t>
  </si>
  <si>
    <t>T0237_FECHASTA</t>
  </si>
  <si>
    <t>T0237_FECULTMO</t>
  </si>
  <si>
    <t>06.01.142</t>
  </si>
  <si>
    <t>Tipo capital en riesgo</t>
  </si>
  <si>
    <t>JM_TIP_CAP_RIES</t>
  </si>
  <si>
    <t>T1332_CODBAREM</t>
  </si>
  <si>
    <t>T1332_DESCRIP</t>
  </si>
  <si>
    <t>T1332_FECDESDE</t>
  </si>
  <si>
    <t>T1332_FECHASTA</t>
  </si>
  <si>
    <t>T1332_FECULTMO</t>
  </si>
  <si>
    <t>06.01.143</t>
  </si>
  <si>
    <t>Fraude</t>
  </si>
  <si>
    <t>JM_FRAUDE</t>
  </si>
  <si>
    <t>T1784_CODBAREM</t>
  </si>
  <si>
    <t>T1784_DESCRIP</t>
  </si>
  <si>
    <t>T1784_FECDESDE</t>
  </si>
  <si>
    <t>T1784_FECHASTA</t>
  </si>
  <si>
    <t>T1784_FECULTMO</t>
  </si>
  <si>
    <t>06.01.144</t>
  </si>
  <si>
    <t>JM_TIPO_IMPORTE</t>
  </si>
  <si>
    <t>T1774_CODBAREM</t>
  </si>
  <si>
    <t>T1774_DESCRIP</t>
  </si>
  <si>
    <t>T1774_FECDESDE</t>
  </si>
  <si>
    <t>T1774_FECHASTA</t>
  </si>
  <si>
    <t>T1774_FECULTMO</t>
  </si>
  <si>
    <t>06.01.145</t>
  </si>
  <si>
    <t>JM_TIP_ANALISIS</t>
  </si>
  <si>
    <t>T1777_CODBAREM</t>
  </si>
  <si>
    <t>T1777_DESCRIP</t>
  </si>
  <si>
    <t>T1777_FECDESDE</t>
  </si>
  <si>
    <t>T1777_FECHASTA</t>
  </si>
  <si>
    <t>T1777_FECULTMO</t>
  </si>
  <si>
    <t>06.01.146</t>
  </si>
  <si>
    <t>Posesión</t>
  </si>
  <si>
    <t>JM_POSESION</t>
  </si>
  <si>
    <t>T1781_CODBAREM</t>
  </si>
  <si>
    <t>T1781_DESCRIP</t>
  </si>
  <si>
    <t>T1781_FECDESDE</t>
  </si>
  <si>
    <t>T1781_FECHASTA</t>
  </si>
  <si>
    <t>T1781_FECULTMO</t>
  </si>
  <si>
    <t>06.01.147</t>
  </si>
  <si>
    <t>Inscripción</t>
  </si>
  <si>
    <t>JM_INSCRIPCION</t>
  </si>
  <si>
    <t>T1783_CODBAREM</t>
  </si>
  <si>
    <t>T1783_DESCRIP</t>
  </si>
  <si>
    <t>T1783_FECDESDE</t>
  </si>
  <si>
    <t>T1783_FECHASTA</t>
  </si>
  <si>
    <t>T1783_FECULTMO</t>
  </si>
  <si>
    <t>06.01.148</t>
  </si>
  <si>
    <t>Cargas</t>
  </si>
  <si>
    <t>JM_CARGAS</t>
  </si>
  <si>
    <t>T1787_CODBAREM</t>
  </si>
  <si>
    <t>T1787_DESCRIP</t>
  </si>
  <si>
    <t>T1787_FECDESDE</t>
  </si>
  <si>
    <t>T1787_FECHASTA</t>
  </si>
  <si>
    <t>T1787_FECULTMO</t>
  </si>
  <si>
    <t>06.01.149</t>
  </si>
  <si>
    <t>Código de Sociedad</t>
  </si>
  <si>
    <t>JM_COD_SOCIEDAD</t>
  </si>
  <si>
    <t>T1786_CODBAREM</t>
  </si>
  <si>
    <t>T1786_DESCRIP</t>
  </si>
  <si>
    <t>T1786_FECDESDE</t>
  </si>
  <si>
    <t>T1786_FECHASTA</t>
  </si>
  <si>
    <t>T1786_FECULTMO</t>
  </si>
  <si>
    <t>06.01.150</t>
  </si>
  <si>
    <t>JM_ESTATUS</t>
  </si>
  <si>
    <t>T1785_CODBAREM</t>
  </si>
  <si>
    <t>T1785_DESCRIP</t>
  </si>
  <si>
    <t>T1785_FECDESDE</t>
  </si>
  <si>
    <t>T1785_FECHASTA</t>
  </si>
  <si>
    <t>T1785_FECULTMO</t>
  </si>
  <si>
    <t>06.01.151</t>
  </si>
  <si>
    <t>Método/Canal de Venta</t>
  </si>
  <si>
    <t>JM_MET_CNAL_VTA</t>
  </si>
  <si>
    <t>T1782_CODBAREM</t>
  </si>
  <si>
    <t>T1782_DESCRIP</t>
  </si>
  <si>
    <t>T1782_FECDESDE</t>
  </si>
  <si>
    <t>T1782_FECHASTA</t>
  </si>
  <si>
    <t>T1782_FECULTMO</t>
  </si>
  <si>
    <t>06.01.152</t>
  </si>
  <si>
    <t>Tipo de situación de la Operación</t>
  </si>
  <si>
    <t>JM_TIP_SIT_OPER</t>
  </si>
  <si>
    <t>T1775_CODBAREM</t>
  </si>
  <si>
    <t>T1775_DESCRIP</t>
  </si>
  <si>
    <t>T1775_FECDESDE</t>
  </si>
  <si>
    <t>T1775_FECHASTA</t>
  </si>
  <si>
    <t>T1775_FECULTMO</t>
  </si>
  <si>
    <t>06.01.153</t>
  </si>
  <si>
    <t>Situación Nuevo Default</t>
  </si>
  <si>
    <t>JM_SITUACION_ND</t>
  </si>
  <si>
    <t>T1779_CODBAREM</t>
  </si>
  <si>
    <t>T1779_DESCRIP</t>
  </si>
  <si>
    <t>T1779_FECDESDE</t>
  </si>
  <si>
    <t>T1779_FECHASTA</t>
  </si>
  <si>
    <t>T1779_FECULTMO</t>
  </si>
  <si>
    <t>06.01.154</t>
  </si>
  <si>
    <t>JM_TIP_GAS_ING</t>
  </si>
  <si>
    <t>T1776_CODBAREM</t>
  </si>
  <si>
    <t>T1776_DESCRIP</t>
  </si>
  <si>
    <t>T1776_FECDESDE</t>
  </si>
  <si>
    <t>T1776_FECHASTA</t>
  </si>
  <si>
    <t>T1776_FECULTMO</t>
  </si>
  <si>
    <t>06.01.155</t>
  </si>
  <si>
    <t>JM_STIP_GAS_ING</t>
  </si>
  <si>
    <t>T1778_CODBAREM</t>
  </si>
  <si>
    <t>T1778_DESCRIP</t>
  </si>
  <si>
    <t>T1778_FECDESDE</t>
  </si>
  <si>
    <t>T1778_FECHASTA</t>
  </si>
  <si>
    <t>T1778_FECULTMO</t>
  </si>
  <si>
    <t>06.01.156</t>
  </si>
  <si>
    <t>JM_SIT_GASTO</t>
  </si>
  <si>
    <t>T1780_CODBAREM</t>
  </si>
  <si>
    <t>T1780_DESCRIP</t>
  </si>
  <si>
    <t>T1780_FECDESDE</t>
  </si>
  <si>
    <t>T1780_FECHASTA</t>
  </si>
  <si>
    <t>T1780_FECULTMO</t>
  </si>
  <si>
    <t>06.01.157</t>
  </si>
  <si>
    <t>Procedencia del contrato</t>
  </si>
  <si>
    <t>JM_PROCED_CONTR</t>
  </si>
  <si>
    <t>T1820_CODBAREM</t>
  </si>
  <si>
    <t>T1820_DESCRIP</t>
  </si>
  <si>
    <t>T1820_FECDESDE</t>
  </si>
  <si>
    <t>T1820_FECHASTA</t>
  </si>
  <si>
    <t>T1820_FECULTMO</t>
  </si>
  <si>
    <t>06.01.158</t>
  </si>
  <si>
    <t>JM_MOT_CANCE_GL</t>
  </si>
  <si>
    <t>T2428_CODBAREM</t>
  </si>
  <si>
    <t>T2428_DESCRIP</t>
  </si>
  <si>
    <t>T2428_FECDESDE</t>
  </si>
  <si>
    <t>T2428_FECHASTA</t>
  </si>
  <si>
    <t>T2428_FECULTMO</t>
  </si>
  <si>
    <t>06.01.159</t>
  </si>
  <si>
    <t>Tipo de ajuste contrato output IFRS9</t>
  </si>
  <si>
    <t>JM_TIP_AJ_IFRS9</t>
  </si>
  <si>
    <t>T2415_CODBAREM</t>
  </si>
  <si>
    <t>T2415_DESCRIP</t>
  </si>
  <si>
    <t>T2415_FECDESDE</t>
  </si>
  <si>
    <t>T2415_FECHASTA</t>
  </si>
  <si>
    <t>T2415_FECULTMO</t>
  </si>
  <si>
    <t>06.01.160</t>
  </si>
  <si>
    <t>Tipo de perdida</t>
  </si>
  <si>
    <t>JM_TIPO_PERDIDA</t>
  </si>
  <si>
    <t>T2414_CODBAREM</t>
  </si>
  <si>
    <t>T2414_DESCRIP</t>
  </si>
  <si>
    <t>T2414_FECDESDE</t>
  </si>
  <si>
    <t>T2414_FECHASTA</t>
  </si>
  <si>
    <t>T2414_FECULTMO</t>
  </si>
  <si>
    <t>06.01.161</t>
  </si>
  <si>
    <t>Motivo Stage</t>
  </si>
  <si>
    <t>JM_MOTIVO_STAGE</t>
  </si>
  <si>
    <t>T2418_CODBAREM</t>
  </si>
  <si>
    <t>T2418_DESCRIP</t>
  </si>
  <si>
    <t>T2418_FECDESDE</t>
  </si>
  <si>
    <t>T2418_FECHASTA</t>
  </si>
  <si>
    <t>T2418_FECULTMO</t>
  </si>
  <si>
    <t>06.01.162</t>
  </si>
  <si>
    <t>JM_SIT_GEST_ND</t>
  </si>
  <si>
    <t>T2431_CODBAREM</t>
  </si>
  <si>
    <t>T2431_DESCRIP</t>
  </si>
  <si>
    <t>T2431_FECDESDE</t>
  </si>
  <si>
    <t>T2431_FECHASTA</t>
  </si>
  <si>
    <t>T2431_FECULTMO</t>
  </si>
  <si>
    <t>06.01.163</t>
  </si>
  <si>
    <t>Finalidad output ND</t>
  </si>
  <si>
    <t>JM_FINALIDAD_ND</t>
  </si>
  <si>
    <t>T2430_CODBAREM</t>
  </si>
  <si>
    <t>T2430_DESCRIP</t>
  </si>
  <si>
    <t>T2430_FECDESDE</t>
  </si>
  <si>
    <t>T2430_FECHASTA</t>
  </si>
  <si>
    <t>T2430_FECULTMO</t>
  </si>
  <si>
    <t>06.01.164</t>
  </si>
  <si>
    <t>Metodo calculo Mt</t>
  </si>
  <si>
    <t>JM_MET_CALC_MT</t>
  </si>
  <si>
    <t>T2423_CODBAREM</t>
  </si>
  <si>
    <t>T2423_DESCRIP</t>
  </si>
  <si>
    <t>T2423_FECDESDE</t>
  </si>
  <si>
    <t>T2423_FECHASTA</t>
  </si>
  <si>
    <t>T2423_FECULTMO</t>
  </si>
  <si>
    <t>06.01.165</t>
  </si>
  <si>
    <t>JM_TAM_EMPRESA</t>
  </si>
  <si>
    <t>T2429_CODBAREM</t>
  </si>
  <si>
    <t>T2429_DESCRIP</t>
  </si>
  <si>
    <t>T2429_FECDESDE</t>
  </si>
  <si>
    <t>T2429_FECHASTA</t>
  </si>
  <si>
    <t>T2429_FECULTMO</t>
  </si>
  <si>
    <t>06.01.166</t>
  </si>
  <si>
    <t>Situación no automática</t>
  </si>
  <si>
    <t>JM_SITU_NOAUT</t>
  </si>
  <si>
    <t>T2895_CODBAREM</t>
  </si>
  <si>
    <t>T2895_DESCRIP</t>
  </si>
  <si>
    <t>T2895_FECDESDE</t>
  </si>
  <si>
    <t>T2895_FECHASTA</t>
  </si>
  <si>
    <t>T2895_FECULTMO</t>
  </si>
  <si>
    <t>06.01.167</t>
  </si>
  <si>
    <t>JM_FLG_DRESDIF</t>
  </si>
  <si>
    <t>T3320_CODBAREM</t>
  </si>
  <si>
    <t>T3320_DESCRIP</t>
  </si>
  <si>
    <t>T3320_FECDESDE</t>
  </si>
  <si>
    <t>T3320_FECHASTA</t>
  </si>
  <si>
    <t>T3320_FECULTMO</t>
  </si>
  <si>
    <t>06.01.168</t>
  </si>
  <si>
    <t>JM_TIP_RELACION</t>
  </si>
  <si>
    <t>T3303_CODBAREM</t>
  </si>
  <si>
    <t>T3303_DESCRIP</t>
  </si>
  <si>
    <t>T3303_FECDESDE</t>
  </si>
  <si>
    <t>T3303_FECHASTA</t>
  </si>
  <si>
    <t>T3303_FECULTMO</t>
  </si>
  <si>
    <t>06.01.169</t>
  </si>
  <si>
    <t>Indicador plan amortización</t>
  </si>
  <si>
    <t>JM_IN_PLAN_AMO</t>
  </si>
  <si>
    <t>T3351_CODBAREM</t>
  </si>
  <si>
    <t>T3351_DESCRIP</t>
  </si>
  <si>
    <t>T3351_FECDESDE</t>
  </si>
  <si>
    <t>T3351_FECHASTA</t>
  </si>
  <si>
    <t>T3351_FECULTMO</t>
  </si>
  <si>
    <t>06.01.170</t>
  </si>
  <si>
    <t>Indicador UTP Distressed</t>
  </si>
  <si>
    <t>JM_IN_UTP_DISTR</t>
  </si>
  <si>
    <t>T3319_CODBAREM</t>
  </si>
  <si>
    <t>T3319_DESCRIP</t>
  </si>
  <si>
    <t>T3319_FECDESDE</t>
  </si>
  <si>
    <t>T3319_FECHASTA</t>
  </si>
  <si>
    <t>T3319_FECULTMO</t>
  </si>
  <si>
    <t>06.01.171</t>
  </si>
  <si>
    <t>JM_SEG_PEC_GLOB</t>
  </si>
  <si>
    <t>T3343_CODBAREM</t>
  </si>
  <si>
    <t>T3343_DESCRIP</t>
  </si>
  <si>
    <t>T3343_FECDESDE</t>
  </si>
  <si>
    <t>T3343_FECHASTA</t>
  </si>
  <si>
    <t>T3343_FECULTMO</t>
  </si>
  <si>
    <t>06.01.172</t>
  </si>
  <si>
    <t>Tipo Capital Económico</t>
  </si>
  <si>
    <t>JM_TIP_CAP_ECO</t>
  </si>
  <si>
    <t>T3341_CODBAREM</t>
  </si>
  <si>
    <t>T3341_DESCRIP</t>
  </si>
  <si>
    <t>T3341_FECDESDE</t>
  </si>
  <si>
    <t>T3341_FECHASTA</t>
  </si>
  <si>
    <t>T3341_FECULTMO</t>
  </si>
  <si>
    <t>06.01.173</t>
  </si>
  <si>
    <t>Tipo Pacto en el contrato</t>
  </si>
  <si>
    <t>JM_TIP_PACT_CTO</t>
  </si>
  <si>
    <t>T3294_CODBAREM</t>
  </si>
  <si>
    <t>T3294_DESCRIP</t>
  </si>
  <si>
    <t>T3294_FECDESDE</t>
  </si>
  <si>
    <t>T3294_FECHASTA</t>
  </si>
  <si>
    <t>T3294_FECULTMO</t>
  </si>
  <si>
    <t>06.01.174</t>
  </si>
  <si>
    <t>JM_TIP_CUADCTBL</t>
  </si>
  <si>
    <t>T3338_CODBAREM</t>
  </si>
  <si>
    <t>T3338_DESCRIP</t>
  </si>
  <si>
    <t>T3338_FECDESDE</t>
  </si>
  <si>
    <t>T3338_FECHASTA</t>
  </si>
  <si>
    <t>T3338_FECULTMO</t>
  </si>
  <si>
    <t>06.01.175</t>
  </si>
  <si>
    <t>JM_UTIL_FONDOS</t>
  </si>
  <si>
    <t>T3293_CODBAREM</t>
  </si>
  <si>
    <t>T3293_DESCRIP</t>
  </si>
  <si>
    <t>T3293_FECDESDE</t>
  </si>
  <si>
    <t>T3293_FECHASTA</t>
  </si>
  <si>
    <t>T3293_FECULTMO</t>
  </si>
  <si>
    <t>06.01.176</t>
  </si>
  <si>
    <t>JM_DEST_FONDOS</t>
  </si>
  <si>
    <t>T3296_CODBAREM</t>
  </si>
  <si>
    <t>T3296_DESCRIP</t>
  </si>
  <si>
    <t>T3296_FECDESDE</t>
  </si>
  <si>
    <t>T3296_FECHASTA</t>
  </si>
  <si>
    <t>T3296_FECULTMO</t>
  </si>
  <si>
    <t>06.01.177</t>
  </si>
  <si>
    <t>JM_TIP_ACU_CTO</t>
  </si>
  <si>
    <t>T3295_CODBAREM</t>
  </si>
  <si>
    <t>T3295_DESCRIP</t>
  </si>
  <si>
    <t>T3295_FECDESDE</t>
  </si>
  <si>
    <t>T3295_FECHASTA</t>
  </si>
  <si>
    <t>T3295_FECULTMO</t>
  </si>
  <si>
    <t>06.01.178</t>
  </si>
  <si>
    <t>Unidad Interna</t>
  </si>
  <si>
    <t>JM_UNIDAD_INTER</t>
  </si>
  <si>
    <t>T3332_CODBAREM</t>
  </si>
  <si>
    <t>T3332_DESCRIP</t>
  </si>
  <si>
    <t>T3332_FECDESDE</t>
  </si>
  <si>
    <t>T3332_FECHASTA</t>
  </si>
  <si>
    <t>T3332_FECULTMO</t>
  </si>
  <si>
    <t>06.01.179</t>
  </si>
  <si>
    <t>Marco contable</t>
  </si>
  <si>
    <t>JM_MARCO_CONT</t>
  </si>
  <si>
    <t>T3350_CODBAREM</t>
  </si>
  <si>
    <t>T3350_DESCRIP</t>
  </si>
  <si>
    <t>T3350_FECDESDE</t>
  </si>
  <si>
    <t>T3350_FECHASTA</t>
  </si>
  <si>
    <t>T3350_FECULTMO</t>
  </si>
  <si>
    <t>06.01.180</t>
  </si>
  <si>
    <t>Estado de empleo</t>
  </si>
  <si>
    <t>JM_ESTAD_EMPLEO</t>
  </si>
  <si>
    <t>T3356_CODBAREM</t>
  </si>
  <si>
    <t>T3356_DESCRIP</t>
  </si>
  <si>
    <t>T3356_FECDESDE</t>
  </si>
  <si>
    <t>T3356_FECHASTA</t>
  </si>
  <si>
    <t>T3356_FECULTMO</t>
  </si>
  <si>
    <t>06.01.181</t>
  </si>
  <si>
    <t>Tipo de deudor SPV</t>
  </si>
  <si>
    <t>JM_TIP_DEUD_SPV</t>
  </si>
  <si>
    <t>T3337_CODBAREM</t>
  </si>
  <si>
    <t>T3337_DESCRIP</t>
  </si>
  <si>
    <t>T3337_FECDESDE</t>
  </si>
  <si>
    <t>T3337_FECHASTA</t>
  </si>
  <si>
    <t>T3337_FECULTMO</t>
  </si>
  <si>
    <t>06.01.182</t>
  </si>
  <si>
    <t>Estado del pacto</t>
  </si>
  <si>
    <t>JM_ESTADO_PACTO</t>
  </si>
  <si>
    <t>T3321_CODBAREM</t>
  </si>
  <si>
    <t>T3321_DESCRIP</t>
  </si>
  <si>
    <t>T3321_FECDESDE</t>
  </si>
  <si>
    <t>T3321_FECHASTA</t>
  </si>
  <si>
    <t>T3321_FECULTMO</t>
  </si>
  <si>
    <t>06.01.183</t>
  </si>
  <si>
    <t>JM_TIPO_PACTO</t>
  </si>
  <si>
    <t>T3302_CODBAREM</t>
  </si>
  <si>
    <t>T3302_DESCRIP</t>
  </si>
  <si>
    <t>T3302_FECDESDE</t>
  </si>
  <si>
    <t>T3302_FECHASTA</t>
  </si>
  <si>
    <t>T3302_FECULTMO</t>
  </si>
  <si>
    <t>06.01.184</t>
  </si>
  <si>
    <t>Estado de aplazamiento</t>
  </si>
  <si>
    <t>JM_ESTADO_APLAZ</t>
  </si>
  <si>
    <t>T3322_CODBAREM</t>
  </si>
  <si>
    <t>T3322_DESCRIP</t>
  </si>
  <si>
    <t>T3322_FECDESDE</t>
  </si>
  <si>
    <t>T3322_FECHASTA</t>
  </si>
  <si>
    <t>T3322_FECULTMO</t>
  </si>
  <si>
    <t>06.01.185</t>
  </si>
  <si>
    <t>JM_LINUNID_NEG</t>
  </si>
  <si>
    <t>T3318_CODBAREM</t>
  </si>
  <si>
    <t>T3318_DESCRIP</t>
  </si>
  <si>
    <t>T3318_FECDESDE</t>
  </si>
  <si>
    <t>T3318_FECHASTA</t>
  </si>
  <si>
    <t>T3318_FECULTMO</t>
  </si>
  <si>
    <t>06.01.186</t>
  </si>
  <si>
    <t>JM_RECURSO</t>
  </si>
  <si>
    <t>T3346_CODBAREM</t>
  </si>
  <si>
    <t>T3346_DESCRIP</t>
  </si>
  <si>
    <t>T3346_FECDESDE</t>
  </si>
  <si>
    <t>T3346_FECHASTA</t>
  </si>
  <si>
    <t>T3346_FECULTMO</t>
  </si>
  <si>
    <t>06.01.187</t>
  </si>
  <si>
    <t>JM_ESTAD_TRANS</t>
  </si>
  <si>
    <t>T3355_CODBAREM</t>
  </si>
  <si>
    <t>T3355_DESCRIP</t>
  </si>
  <si>
    <t>T3355_FECDESDE</t>
  </si>
  <si>
    <t>T3355_FECHASTA</t>
  </si>
  <si>
    <t>T3355_FECULTMO</t>
  </si>
  <si>
    <t>06.01.188</t>
  </si>
  <si>
    <t>Tipo de hipoteca loan tape</t>
  </si>
  <si>
    <t>JM_TIP_HIPOT_LT</t>
  </si>
  <si>
    <t>T3336_CODBAREM</t>
  </si>
  <si>
    <t>T3336_DESCRIP</t>
  </si>
  <si>
    <t>T3336_FECDESDE</t>
  </si>
  <si>
    <t>T3336_FECHASTA</t>
  </si>
  <si>
    <t>T3336_FECULTMO</t>
  </si>
  <si>
    <t>06.01.189</t>
  </si>
  <si>
    <t>JM_TIPOP_CREFIN</t>
  </si>
  <si>
    <t>T3333_CODBAREM</t>
  </si>
  <si>
    <t>T3333_DESCRIP</t>
  </si>
  <si>
    <t>T3333_FECDESDE</t>
  </si>
  <si>
    <t>T3333_FECHASTA</t>
  </si>
  <si>
    <t>T3333_FECULTMO</t>
  </si>
  <si>
    <t>06.01.190</t>
  </si>
  <si>
    <t>JM_CLS_TITACTIV</t>
  </si>
  <si>
    <t>T3358_CODBAREM</t>
  </si>
  <si>
    <t>T3358_DESCRIP</t>
  </si>
  <si>
    <t>T3358_FECDESDE</t>
  </si>
  <si>
    <t>T3358_FECHASTA</t>
  </si>
  <si>
    <t>T3358_FECULTMO</t>
  </si>
  <si>
    <t>06.01.191</t>
  </si>
  <si>
    <t>JM_EMIS_ESA2010</t>
  </si>
  <si>
    <t>T3357_CODBAREM</t>
  </si>
  <si>
    <t>T3357_DESCRIP</t>
  </si>
  <si>
    <t>T3357_FECDESDE</t>
  </si>
  <si>
    <t>T3357_FECHASTA</t>
  </si>
  <si>
    <t>T3357_FECULTMO</t>
  </si>
  <si>
    <t>06.01.192</t>
  </si>
  <si>
    <t>Categoría de búfer LCR</t>
  </si>
  <si>
    <t>JM_CATEG_BUFLCR</t>
  </si>
  <si>
    <t>T3360_CODBAREM</t>
  </si>
  <si>
    <t>T3360_DESCRIP</t>
  </si>
  <si>
    <t>T3360_FECDESDE</t>
  </si>
  <si>
    <t>T3360_FECHASTA</t>
  </si>
  <si>
    <t>T3360_FECULTMO</t>
  </si>
  <si>
    <t>06.01.193</t>
  </si>
  <si>
    <t>JM_FTES_GRAVAM</t>
  </si>
  <si>
    <t>T3353_CODBAREM</t>
  </si>
  <si>
    <t>T3353_DESCRIP</t>
  </si>
  <si>
    <t>T3353_FECDESDE</t>
  </si>
  <si>
    <t>T3353_FECHASTA</t>
  </si>
  <si>
    <t>T3353_FECULTMO</t>
  </si>
  <si>
    <t>06.01.194</t>
  </si>
  <si>
    <t>JM_ROL_PRESSIND</t>
  </si>
  <si>
    <t>T3305_CODBAREM</t>
  </si>
  <si>
    <t>T3305_DESCRIP</t>
  </si>
  <si>
    <t>T3305_FECDESDE</t>
  </si>
  <si>
    <t>T3305_FECHASTA</t>
  </si>
  <si>
    <t>T3305_FECULTMO</t>
  </si>
  <si>
    <t>06.01.195</t>
  </si>
  <si>
    <t>Tipo de cobertura del seguro</t>
  </si>
  <si>
    <t>JM_TIP_COBER_SG</t>
  </si>
  <si>
    <t>T3340_CODBAREM</t>
  </si>
  <si>
    <t>T3340_DESCRIP</t>
  </si>
  <si>
    <t>T3340_FECDESDE</t>
  </si>
  <si>
    <t>T3340_FECHASTA</t>
  </si>
  <si>
    <t>T3340_FECULTMO</t>
  </si>
  <si>
    <t>06.01.196</t>
  </si>
  <si>
    <t>JM_USO_INGRESOS</t>
  </si>
  <si>
    <t>T3299_CODBAREM</t>
  </si>
  <si>
    <t>T3299_DESCRIP</t>
  </si>
  <si>
    <t>T3299_FECDESDE</t>
  </si>
  <si>
    <t>T3299_FECHASTA</t>
  </si>
  <si>
    <t>T3299_FECULTMO</t>
  </si>
  <si>
    <t>06.01.197</t>
  </si>
  <si>
    <t>Tipo de instrumento financiero</t>
  </si>
  <si>
    <t>JM_TIP_INSFINAN</t>
  </si>
  <si>
    <t>T3304_CODBAREM</t>
  </si>
  <si>
    <t>T3304_DESCRIP</t>
  </si>
  <si>
    <t>T3304_FECDESDE</t>
  </si>
  <si>
    <t>T3304_FECHASTA</t>
  </si>
  <si>
    <t>T3304_FECULTMO</t>
  </si>
  <si>
    <t>06.01.198</t>
  </si>
  <si>
    <t>Generación tecnologíca</t>
  </si>
  <si>
    <t>JM_GEN_TECNOLOG</t>
  </si>
  <si>
    <t>T3352_CODBAREM</t>
  </si>
  <si>
    <t>T3352_DESCRIP</t>
  </si>
  <si>
    <t>T3352_FECDESDE</t>
  </si>
  <si>
    <t>T3352_FECHASTA</t>
  </si>
  <si>
    <t>T3352_FECULTMO</t>
  </si>
  <si>
    <t>06.01.199</t>
  </si>
  <si>
    <t>Uso de propiedad</t>
  </si>
  <si>
    <t>JM_USO_PROPIEDA</t>
  </si>
  <si>
    <t>T3331_CODBAREM</t>
  </si>
  <si>
    <t>T3331_DESCRIP</t>
  </si>
  <si>
    <t>T3331_FECDESDE</t>
  </si>
  <si>
    <t>T3331_FECHASTA</t>
  </si>
  <si>
    <t>T3331_FECULTMO</t>
  </si>
  <si>
    <t>06.01.200</t>
  </si>
  <si>
    <t>Modo de Recobro</t>
  </si>
  <si>
    <t>JM_MODO_RECOBRO</t>
  </si>
  <si>
    <t>T3348_CODBAREM</t>
  </si>
  <si>
    <t>T3348_DESCRIP</t>
  </si>
  <si>
    <t>T3348_FECDESDE</t>
  </si>
  <si>
    <t>T3348_FECHASTA</t>
  </si>
  <si>
    <t>T3348_FECULTMO</t>
  </si>
  <si>
    <t>06.01.201</t>
  </si>
  <si>
    <t>JM_TIP_COMBUST</t>
  </si>
  <si>
    <t>T3339_CODBAREM</t>
  </si>
  <si>
    <t>T3339_DESCRIP</t>
  </si>
  <si>
    <t>T3339_FECDESDE</t>
  </si>
  <si>
    <t>T3339_FECHASTA</t>
  </si>
  <si>
    <t>T3339_FECULTMO</t>
  </si>
  <si>
    <t>06.01.202</t>
  </si>
  <si>
    <t>JM_TIP_VEHICULO</t>
  </si>
  <si>
    <t>T3335_CODBAREM</t>
  </si>
  <si>
    <t>T3335_DESCRIP</t>
  </si>
  <si>
    <t>T3335_FECDESDE</t>
  </si>
  <si>
    <t>T3335_FECHASTA</t>
  </si>
  <si>
    <t>T3335_FECULTMO</t>
  </si>
  <si>
    <t>06.01.203</t>
  </si>
  <si>
    <t>JM_TIP_ACTIVIDA</t>
  </si>
  <si>
    <t>T3342_CODBAREM</t>
  </si>
  <si>
    <t>T3342_DESCRIP</t>
  </si>
  <si>
    <t>T3342_FECDESDE</t>
  </si>
  <si>
    <t>T3342_FECHASTA</t>
  </si>
  <si>
    <t>T3342_FECULTMO</t>
  </si>
  <si>
    <t>06.01.204</t>
  </si>
  <si>
    <t>JM_OBJET_MEDAMB</t>
  </si>
  <si>
    <t>T3347_CODBAREM</t>
  </si>
  <si>
    <t>T3347_DESCRIP</t>
  </si>
  <si>
    <t>T3347_FECDESDE</t>
  </si>
  <si>
    <t>T3347_FECHASTA</t>
  </si>
  <si>
    <t>T3347_FECULTMO</t>
  </si>
  <si>
    <t>06.01.205</t>
  </si>
  <si>
    <t>Categoria SFCS</t>
  </si>
  <si>
    <t>JM_CATEG_SFCS</t>
  </si>
  <si>
    <t>T3359_CODBAREM</t>
  </si>
  <si>
    <t>T3359_DESCRIP</t>
  </si>
  <si>
    <t>T3359_FECDESDE</t>
  </si>
  <si>
    <t>T3359_FECHASTA</t>
  </si>
  <si>
    <t>T3359_FECULTMO</t>
  </si>
  <si>
    <t>06.01.206</t>
  </si>
  <si>
    <t>Actividad medioambiental sostenible</t>
  </si>
  <si>
    <t>JM_ACTMEDAM_SOS</t>
  </si>
  <si>
    <t>T3362_CODBAREM</t>
  </si>
  <si>
    <t>T3362_DESCRIP</t>
  </si>
  <si>
    <t>T3362_FECDESDE</t>
  </si>
  <si>
    <t>T3362_FECHASTA</t>
  </si>
  <si>
    <t>T3362_FECULTMO</t>
  </si>
  <si>
    <t>06.01.207</t>
  </si>
  <si>
    <t>JM_CLAS_ACTPRIM</t>
  </si>
  <si>
    <t>T3363_CODBAREM</t>
  </si>
  <si>
    <t>T3363_DESCRIP</t>
  </si>
  <si>
    <t>T3363_FECDESDE</t>
  </si>
  <si>
    <t>T3363_FECHASTA</t>
  </si>
  <si>
    <t>T3363_FECULTMO</t>
  </si>
  <si>
    <t>06.01.208</t>
  </si>
  <si>
    <t>Método de Cálculo deterioro</t>
  </si>
  <si>
    <t>JM_MET_CALC_DET</t>
  </si>
  <si>
    <t>T3349_CODBAREM</t>
  </si>
  <si>
    <t>T3349_DESCRIP</t>
  </si>
  <si>
    <t>T3349_FECDESDE</t>
  </si>
  <si>
    <t>T3349_FECHASTA</t>
  </si>
  <si>
    <t>T3349_FECULTMO</t>
  </si>
  <si>
    <t>06.01.209</t>
  </si>
  <si>
    <t>Aumento significativo en el Método de Riesgo de Crédito</t>
  </si>
  <si>
    <t>JM_AUM_METRG_CR</t>
  </si>
  <si>
    <t>T3361_CODBAREM</t>
  </si>
  <si>
    <t>T3361_DESCRIP</t>
  </si>
  <si>
    <t>T3361_FECDESDE</t>
  </si>
  <si>
    <t>T3361_FECHASTA</t>
  </si>
  <si>
    <t>T3361_FECULTMO</t>
  </si>
  <si>
    <t>06.01.210</t>
  </si>
  <si>
    <t>JM_SEG_FINREP</t>
  </si>
  <si>
    <t>T3344_CODBAREM</t>
  </si>
  <si>
    <t>T3344_DESCRIP</t>
  </si>
  <si>
    <t>T3344_FECDESDE</t>
  </si>
  <si>
    <t>T3344_FECHASTA</t>
  </si>
  <si>
    <t>T3344_FECULTMO</t>
  </si>
  <si>
    <t>06.01.211</t>
  </si>
  <si>
    <t>JM_TIPO_COSTE</t>
  </si>
  <si>
    <t>T3334_CODBAREM</t>
  </si>
  <si>
    <t>T3334_DESCRIP</t>
  </si>
  <si>
    <t>T3334_FECDESDE</t>
  </si>
  <si>
    <t>T3334_FECHASTA</t>
  </si>
  <si>
    <t>T3334_FECULTMO</t>
  </si>
  <si>
    <t>06.01.212</t>
  </si>
  <si>
    <t>Segmento BackStop</t>
  </si>
  <si>
    <t>JM_SEG_BACKSTOP</t>
  </si>
  <si>
    <t>T3345_CODBAREM</t>
  </si>
  <si>
    <t>T3345_DESCRIP</t>
  </si>
  <si>
    <t>T3345_FECDESDE</t>
  </si>
  <si>
    <t>T3345_FECHASTA</t>
  </si>
  <si>
    <t>T3345_FECULTMO</t>
  </si>
  <si>
    <t>06.01.213</t>
  </si>
  <si>
    <t>Finalidad  BackStop</t>
  </si>
  <si>
    <t>JM_FIN_BACKSTOP</t>
  </si>
  <si>
    <t>T3354_CODBAREM</t>
  </si>
  <si>
    <t>T3354_DESCRIP</t>
  </si>
  <si>
    <t>T3354_FECDESDE</t>
  </si>
  <si>
    <t>T3354_FECHASTA</t>
  </si>
  <si>
    <t>T3354_FECULTMO</t>
  </si>
  <si>
    <t>06.01.214</t>
  </si>
  <si>
    <t>JM_TIP_DIVERS</t>
  </si>
  <si>
    <t>T3411_CODBAREM</t>
  </si>
  <si>
    <t>T3411_DESCRIP</t>
  </si>
  <si>
    <t>T3411_FECDESDE</t>
  </si>
  <si>
    <t>T3411_FECHASTA</t>
  </si>
  <si>
    <t>T3411_FECULTMO</t>
  </si>
  <si>
    <t xml:space="preserve"> </t>
  </si>
  <si>
    <t>ac</t>
  </si>
  <si>
    <t>_BDR1_</t>
  </si>
  <si>
    <t>G7162_TIP_GARA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</si>
</sst>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9"/>
      <name val="Calibri Light"/>
      <family val="2"/>
      <scheme val="major"/>
    </font>
    <font>
      <b/>
      <sz val="9"/>
      <name val="Calibri Light"/>
      <family val="2"/>
      <scheme val="major"/>
    </font>
    <font>
      <sz val="9"/>
      <color indexed="8"/>
      <name val="Calibri Light"/>
      <family val="2"/>
      <scheme val="major"/>
    </font>
    <font>
      <strike/>
      <sz val="9"/>
      <color rgb="FFFF0000"/>
      <name val="Calibri Light"/>
      <family val="2"/>
      <scheme val="major"/>
    </font>
    <font>
      <b/>
      <strike/>
      <sz val="9"/>
      <color rgb="FFFF0000"/>
      <name val="Calibri Light"/>
      <family val="2"/>
      <scheme val="major"/>
    </font>
    <font>
      <sz val="9"/>
      <color rgb="FFFF0000"/>
      <name val="Calibri Light"/>
      <family val="2"/>
      <scheme val="major"/>
    </font>
    <font>
      <strike/>
      <sz val="9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64">
    <xf numFmtId="0" fontId="0" fillId="0" borderId="0" xfId="0"/>
    <xf numFmtId="0" fontId="2" fillId="0" borderId="0" xfId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0" fontId="2" fillId="0" borderId="6" xfId="1" applyFont="1" applyBorder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6" xfId="1" applyFont="1" applyBorder="1" applyAlignment="1">
      <alignment wrapText="1"/>
    </xf>
    <xf numFmtId="0" fontId="2" fillId="0" borderId="8" xfId="1" applyFont="1" applyBorder="1" applyAlignment="1">
      <alignment vertical="center" wrapText="1"/>
    </xf>
    <xf numFmtId="0" fontId="3" fillId="0" borderId="0" xfId="1" applyFont="1" applyAlignment="1">
      <alignment vertical="center"/>
    </xf>
    <xf numFmtId="1" fontId="3" fillId="7" borderId="0" xfId="1" applyNumberFormat="1" applyFont="1" applyFill="1" applyAlignment="1">
      <alignment horizontal="right" vertical="center"/>
    </xf>
    <xf numFmtId="0" fontId="3" fillId="5" borderId="0" xfId="1" applyFont="1" applyFill="1" applyAlignment="1">
      <alignment vertical="center"/>
    </xf>
    <xf numFmtId="49" fontId="3" fillId="0" borderId="11" xfId="1" applyNumberFormat="1" applyFont="1" applyBorder="1" applyAlignment="1">
      <alignment horizontal="center"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wrapText="1"/>
    </xf>
    <xf numFmtId="0" fontId="3" fillId="0" borderId="9" xfId="1" applyFont="1" applyBorder="1" applyAlignment="1">
      <alignment vertical="center" wrapText="1"/>
    </xf>
    <xf numFmtId="49" fontId="2" fillId="0" borderId="1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0" xfId="1" applyFont="1" applyBorder="1" applyAlignment="1">
      <alignment vertical="center" wrapText="1"/>
    </xf>
    <xf numFmtId="0" fontId="2" fillId="0" borderId="4" xfId="1" applyFont="1" applyBorder="1" applyAlignment="1">
      <alignment vertical="center" wrapText="1"/>
    </xf>
    <xf numFmtId="49" fontId="2" fillId="0" borderId="11" xfId="1" applyNumberFormat="1" applyFont="1" applyBorder="1" applyAlignment="1">
      <alignment horizontal="center" vertical="center"/>
    </xf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 wrapText="1"/>
    </xf>
    <xf numFmtId="0" fontId="2" fillId="0" borderId="12" xfId="1" applyFont="1" applyBorder="1" applyAlignment="1">
      <alignment wrapText="1"/>
    </xf>
    <xf numFmtId="0" fontId="2" fillId="0" borderId="13" xfId="1" applyFont="1" applyBorder="1" applyAlignment="1">
      <alignment vertical="center" wrapText="1"/>
    </xf>
    <xf numFmtId="0" fontId="2" fillId="0" borderId="9" xfId="1" applyFont="1" applyBorder="1" applyAlignment="1">
      <alignment vertical="center" wrapText="1"/>
    </xf>
    <xf numFmtId="0" fontId="3" fillId="0" borderId="12" xfId="1" applyFont="1" applyBorder="1" applyAlignment="1">
      <alignment wrapText="1"/>
    </xf>
    <xf numFmtId="0" fontId="3" fillId="0" borderId="13" xfId="1" applyFont="1" applyBorder="1" applyAlignment="1">
      <alignment vertical="center" wrapText="1"/>
    </xf>
    <xf numFmtId="49" fontId="3" fillId="0" borderId="5" xfId="1" quotePrefix="1" applyNumberFormat="1" applyFont="1" applyBorder="1" applyAlignment="1">
      <alignment horizontal="center" vertical="center"/>
    </xf>
    <xf numFmtId="0" fontId="3" fillId="0" borderId="6" xfId="1" applyFont="1" applyBorder="1" applyAlignment="1">
      <alignment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14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49" fontId="2" fillId="0" borderId="13" xfId="1" applyNumberFormat="1" applyFont="1" applyBorder="1" applyAlignment="1">
      <alignment horizontal="center" vertical="center"/>
    </xf>
    <xf numFmtId="49" fontId="3" fillId="0" borderId="13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0" fontId="2" fillId="0" borderId="0" xfId="1" applyFont="1" applyAlignment="1">
      <alignment wrapText="1"/>
    </xf>
    <xf numFmtId="0" fontId="2" fillId="0" borderId="0" xfId="1" applyFont="1" applyAlignment="1">
      <alignment vertical="center"/>
    </xf>
    <xf numFmtId="1" fontId="2" fillId="7" borderId="0" xfId="1" applyNumberFormat="1" applyFont="1" applyFill="1" applyAlignment="1">
      <alignment horizontal="right" vertical="center"/>
    </xf>
    <xf numFmtId="0" fontId="2" fillId="5" borderId="0" xfId="1" applyFont="1" applyFill="1" applyAlignment="1">
      <alignment vertical="center"/>
    </xf>
    <xf numFmtId="0" fontId="3" fillId="0" borderId="0" xfId="1" applyFont="1" applyAlignment="1">
      <alignment vertical="top" wrapText="1"/>
    </xf>
    <xf numFmtId="0" fontId="2" fillId="0" borderId="0" xfId="1" applyFont="1" applyAlignment="1">
      <alignment vertical="top" wrapText="1"/>
    </xf>
    <xf numFmtId="0" fontId="3" fillId="0" borderId="6" xfId="1" applyFont="1" applyBorder="1" applyAlignment="1">
      <alignment vertical="top" wrapText="1"/>
    </xf>
    <xf numFmtId="49" fontId="3" fillId="0" borderId="6" xfId="1" applyNumberFormat="1" applyFont="1" applyBorder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3" fillId="0" borderId="0" xfId="1" applyNumberFormat="1" applyFont="1" applyAlignment="1">
      <alignment horizontal="center" vertical="center"/>
    </xf>
    <xf numFmtId="49" fontId="3" fillId="0" borderId="14" xfId="1" applyNumberFormat="1" applyFont="1" applyBorder="1" applyAlignment="1">
      <alignment horizontal="center" vertical="center"/>
    </xf>
    <xf numFmtId="0" fontId="3" fillId="0" borderId="7" xfId="1" applyFont="1" applyBorder="1" applyAlignment="1">
      <alignment wrapText="1"/>
    </xf>
    <xf numFmtId="0" fontId="2" fillId="0" borderId="3" xfId="1" applyFont="1" applyBorder="1" applyAlignment="1">
      <alignment vertical="center" wrapText="1"/>
    </xf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4" fillId="0" borderId="0" xfId="1" applyFont="1"/>
    <xf numFmtId="0" fontId="2" fillId="0" borderId="2" xfId="1" applyFont="1" applyBorder="1" applyAlignment="1">
      <alignment vertical="center"/>
    </xf>
    <xf numFmtId="1" fontId="5" fillId="7" borderId="0" xfId="1" applyNumberFormat="1" applyFont="1" applyFill="1" applyAlignment="1">
      <alignment horizontal="right" vertical="center"/>
    </xf>
    <xf numFmtId="0" fontId="3" fillId="0" borderId="6" xfId="1" applyFont="1" applyBorder="1" applyAlignment="1">
      <alignment vertical="center"/>
    </xf>
    <xf numFmtId="49" fontId="3" fillId="0" borderId="1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 wrapText="1"/>
    </xf>
    <xf numFmtId="1" fontId="6" fillId="7" borderId="0" xfId="1" applyNumberFormat="1" applyFont="1" applyFill="1" applyAlignment="1">
      <alignment horizontal="right" vertical="center"/>
    </xf>
    <xf numFmtId="0" fontId="4" fillId="0" borderId="0" xfId="1" applyFont="1" applyAlignment="1">
      <alignment horizontal="left"/>
    </xf>
    <xf numFmtId="0" fontId="3" fillId="0" borderId="2" xfId="1" applyFont="1" applyBorder="1" applyAlignment="1">
      <alignment vertical="center" wrapText="1"/>
    </xf>
    <xf numFmtId="0" fontId="3" fillId="0" borderId="4" xfId="1" applyFont="1" applyBorder="1" applyAlignment="1">
      <alignment vertical="center" wrapText="1"/>
    </xf>
    <xf numFmtId="0" fontId="2" fillId="0" borderId="7" xfId="1" applyFont="1" applyBorder="1" applyAlignment="1">
      <alignment wrapText="1"/>
    </xf>
    <xf numFmtId="0" fontId="2" fillId="0" borderId="6" xfId="1" applyFont="1" applyBorder="1"/>
    <xf numFmtId="0" fontId="3" fillId="0" borderId="0" xfId="1" applyFont="1"/>
    <xf numFmtId="0" fontId="3" fillId="0" borderId="9" xfId="1" applyFont="1" applyBorder="1"/>
    <xf numFmtId="0" fontId="3" fillId="0" borderId="6" xfId="1" applyFont="1" applyBorder="1"/>
    <xf numFmtId="0" fontId="3" fillId="0" borderId="8" xfId="1" applyFont="1" applyBorder="1"/>
    <xf numFmtId="0" fontId="3" fillId="0" borderId="6" xfId="1" applyFont="1" applyBorder="1" applyAlignment="1">
      <alignment wrapText="1"/>
    </xf>
    <xf numFmtId="0" fontId="2" fillId="0" borderId="4" xfId="1" applyFont="1" applyBorder="1"/>
    <xf numFmtId="0" fontId="2" fillId="0" borderId="9" xfId="1" applyFont="1" applyBorder="1"/>
    <xf numFmtId="0" fontId="3" fillId="5" borderId="6" xfId="1" applyFont="1" applyFill="1" applyBorder="1" applyAlignment="1">
      <alignment vertical="center"/>
    </xf>
    <xf numFmtId="0" fontId="3" fillId="0" borderId="3" xfId="1" applyFont="1" applyBorder="1" applyAlignment="1">
      <alignment wrapText="1"/>
    </xf>
    <xf numFmtId="0" fontId="3" fillId="0" borderId="2" xfId="1" applyFont="1" applyBorder="1"/>
    <xf numFmtId="0" fontId="2" fillId="0" borderId="0" xfId="1" applyFont="1"/>
    <xf numFmtId="0" fontId="3" fillId="0" borderId="12" xfId="1" applyFont="1" applyBorder="1" applyAlignment="1">
      <alignment vertical="top" wrapText="1"/>
    </xf>
    <xf numFmtId="0" fontId="3" fillId="0" borderId="9" xfId="1" applyFont="1" applyBorder="1" applyAlignment="1">
      <alignment wrapText="1"/>
    </xf>
    <xf numFmtId="0" fontId="2" fillId="0" borderId="9" xfId="1" applyFont="1" applyBorder="1" applyAlignment="1">
      <alignment wrapText="1"/>
    </xf>
    <xf numFmtId="1" fontId="3" fillId="7" borderId="0" xfId="1" quotePrefix="1" applyNumberFormat="1" applyFont="1" applyFill="1" applyAlignment="1">
      <alignment horizontal="right" vertical="center"/>
    </xf>
    <xf numFmtId="0" fontId="3" fillId="0" borderId="9" xfId="1" applyFont="1" applyBorder="1" applyAlignment="1">
      <alignment vertical="center"/>
    </xf>
    <xf numFmtId="49" fontId="8" fillId="0" borderId="11" xfId="1" applyNumberFormat="1" applyFont="1" applyBorder="1" applyAlignment="1">
      <alignment horizontal="center" vertical="center"/>
    </xf>
    <xf numFmtId="0" fontId="8" fillId="0" borderId="0" xfId="1" applyFont="1" applyAlignment="1">
      <alignment vertical="center" wrapText="1"/>
    </xf>
    <xf numFmtId="0" fontId="8" fillId="0" borderId="0" xfId="1" applyFont="1" applyAlignment="1">
      <alignment horizontal="center" vertical="center" wrapText="1"/>
    </xf>
    <xf numFmtId="0" fontId="8" fillId="0" borderId="9" xfId="1" applyFont="1" applyBorder="1" applyAlignment="1">
      <alignment vertical="center" wrapText="1"/>
    </xf>
    <xf numFmtId="49" fontId="2" fillId="0" borderId="2" xfId="1" applyNumberFormat="1" applyFont="1" applyBorder="1" applyAlignment="1">
      <alignment horizontal="center" vertical="center"/>
    </xf>
    <xf numFmtId="0" fontId="8" fillId="0" borderId="13" xfId="1" applyFont="1" applyBorder="1" applyAlignment="1">
      <alignment vertical="center" wrapText="1"/>
    </xf>
    <xf numFmtId="0" fontId="8" fillId="0" borderId="0" xfId="1" applyFont="1" applyAlignment="1">
      <alignment vertical="center"/>
    </xf>
    <xf numFmtId="0" fontId="8" fillId="5" borderId="0" xfId="1" applyFont="1" applyFill="1" applyAlignment="1">
      <alignment vertical="center"/>
    </xf>
    <xf numFmtId="0" fontId="3" fillId="0" borderId="10" xfId="1" applyFont="1" applyBorder="1" applyAlignment="1">
      <alignment vertical="center" wrapText="1"/>
    </xf>
    <xf numFmtId="1" fontId="3" fillId="0" borderId="0" xfId="1" applyNumberFormat="1" applyFont="1" applyAlignment="1">
      <alignment horizontal="right" vertical="center"/>
    </xf>
    <xf numFmtId="0" fontId="7" fillId="0" borderId="9" xfId="1" applyFont="1" applyBorder="1" applyAlignment="1">
      <alignment vertical="center" wrapText="1"/>
    </xf>
    <xf numFmtId="0" fontId="7" fillId="0" borderId="9" xfId="1" applyFont="1" applyBorder="1"/>
    <xf numFmtId="1" fontId="2" fillId="0" borderId="0" xfId="1" applyNumberFormat="1" applyFont="1" applyAlignment="1">
      <alignment horizontal="right" vertical="center"/>
    </xf>
    <xf numFmtId="1" fontId="3" fillId="2" borderId="0" xfId="1" applyNumberFormat="1" applyFont="1" applyFill="1" applyAlignment="1">
      <alignment horizontal="right" vertical="center"/>
    </xf>
    <xf numFmtId="49" fontId="8" fillId="0" borderId="13" xfId="1" applyNumberFormat="1" applyFont="1" applyBorder="1" applyAlignment="1">
      <alignment horizontal="center" vertical="center"/>
    </xf>
    <xf numFmtId="49" fontId="8" fillId="0" borderId="0" xfId="1" applyNumberFormat="1" applyFont="1" applyAlignment="1">
      <alignment horizontal="left" vertical="center"/>
    </xf>
    <xf numFmtId="49" fontId="8" fillId="0" borderId="0" xfId="1" applyNumberFormat="1" applyFont="1" applyAlignment="1">
      <alignment horizontal="center" vertical="center"/>
    </xf>
    <xf numFmtId="0" fontId="8" fillId="0" borderId="12" xfId="1" applyFont="1" applyBorder="1" applyAlignment="1">
      <alignment wrapText="1"/>
    </xf>
    <xf numFmtId="1" fontId="3" fillId="3" borderId="0" xfId="1" applyNumberFormat="1" applyFont="1" applyFill="1" applyAlignment="1">
      <alignment horizontal="right" vertical="center"/>
    </xf>
    <xf numFmtId="0" fontId="9" fillId="0" borderId="0" xfId="1" applyFont="1" applyAlignment="1">
      <alignment vertical="center" wrapText="1"/>
    </xf>
    <xf numFmtId="1" fontId="3" fillId="2" borderId="0" xfId="1" quotePrefix="1" applyNumberFormat="1" applyFont="1" applyFill="1" applyAlignment="1">
      <alignment horizontal="right" vertical="center"/>
    </xf>
    <xf numFmtId="1" fontId="3" fillId="4" borderId="0" xfId="1" quotePrefix="1" applyNumberFormat="1" applyFont="1" applyFill="1" applyAlignment="1">
      <alignment horizontal="right" vertical="center"/>
    </xf>
    <xf numFmtId="0" fontId="2" fillId="0" borderId="2" xfId="1" applyFont="1" applyBorder="1" applyAlignment="1">
      <alignment wrapText="1"/>
    </xf>
    <xf numFmtId="0" fontId="3" fillId="0" borderId="10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4" xfId="1" applyFont="1" applyBorder="1" applyAlignment="1">
      <alignment wrapText="1"/>
    </xf>
    <xf numFmtId="0" fontId="3" fillId="0" borderId="2" xfId="1" applyFont="1" applyBorder="1" applyAlignment="1">
      <alignment wrapText="1"/>
    </xf>
    <xf numFmtId="49" fontId="3" fillId="0" borderId="1" xfId="1" quotePrefix="1" applyNumberFormat="1" applyFont="1" applyBorder="1" applyAlignment="1">
      <alignment horizontal="center" vertical="center"/>
    </xf>
    <xf numFmtId="49" fontId="3" fillId="0" borderId="11" xfId="1" quotePrefix="1" applyNumberFormat="1" applyFont="1" applyBorder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0" borderId="13" xfId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left" vertical="center"/>
    </xf>
    <xf numFmtId="0" fontId="3" fillId="0" borderId="6" xfId="1" applyFont="1" applyBorder="1" applyAlignment="1">
      <alignment horizontal="left" vertical="center" wrapText="1"/>
    </xf>
    <xf numFmtId="49" fontId="3" fillId="0" borderId="10" xfId="1" applyNumberFormat="1" applyFont="1" applyBorder="1" applyAlignment="1">
      <alignment horizontal="center" vertical="center"/>
    </xf>
    <xf numFmtId="0" fontId="2" fillId="0" borderId="12" xfId="1" applyFont="1" applyBorder="1"/>
    <xf numFmtId="0" fontId="3" fillId="0" borderId="7" xfId="1" applyFont="1" applyBorder="1"/>
    <xf numFmtId="0" fontId="2" fillId="0" borderId="12" xfId="1" applyFont="1" applyBorder="1" applyAlignment="1">
      <alignment vertical="center" wrapText="1"/>
    </xf>
    <xf numFmtId="0" fontId="3" fillId="0" borderId="12" xfId="1" applyFont="1" applyBorder="1" applyAlignment="1">
      <alignment vertical="center" wrapText="1"/>
    </xf>
    <xf numFmtId="0" fontId="10" fillId="0" borderId="9" xfId="1" applyFont="1" applyBorder="1" applyAlignment="1">
      <alignment vertical="center" wrapText="1"/>
    </xf>
    <xf numFmtId="49" fontId="11" fillId="0" borderId="11" xfId="1" applyNumberFormat="1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11" fillId="0" borderId="0" xfId="1" applyFont="1" applyAlignment="1">
      <alignment horizontal="center" vertical="center" wrapText="1"/>
    </xf>
    <xf numFmtId="0" fontId="11" fillId="0" borderId="0" xfId="1" applyFont="1" applyAlignment="1">
      <alignment vertical="center" wrapText="1"/>
    </xf>
    <xf numFmtId="0" fontId="11" fillId="0" borderId="13" xfId="1" applyFont="1" applyBorder="1" applyAlignment="1">
      <alignment vertical="center" wrapText="1"/>
    </xf>
    <xf numFmtId="0" fontId="11" fillId="0" borderId="9" xfId="1" applyFont="1" applyBorder="1" applyAlignment="1">
      <alignment vertical="center" wrapText="1"/>
    </xf>
    <xf numFmtId="1" fontId="11" fillId="0" borderId="0" xfId="1" applyNumberFormat="1" applyFont="1" applyAlignment="1">
      <alignment horizontal="right" vertical="center"/>
    </xf>
    <xf numFmtId="0" fontId="3" fillId="0" borderId="12" xfId="1" applyFont="1" applyBorder="1"/>
    <xf numFmtId="0" fontId="2" fillId="0" borderId="2" xfId="1" applyFont="1" applyBorder="1"/>
    <xf numFmtId="0" fontId="3" fillId="0" borderId="4" xfId="1" applyFont="1" applyBorder="1"/>
    <xf numFmtId="1" fontId="3" fillId="0" borderId="0" xfId="1" applyNumberFormat="1" applyFont="1" applyAlignment="1">
      <alignment vertical="center"/>
    </xf>
    <xf numFmtId="49" fontId="8" fillId="0" borderId="13" xfId="1" applyNumberFormat="1" applyFont="1" applyBorder="1" applyAlignment="1">
      <alignment horizontal="left" vertical="center"/>
    </xf>
    <xf numFmtId="49" fontId="8" fillId="0" borderId="9" xfId="1" applyNumberFormat="1" applyFont="1" applyBorder="1" applyAlignment="1">
      <alignment horizontal="left" vertical="center"/>
    </xf>
    <xf numFmtId="0" fontId="2" fillId="0" borderId="12" xfId="1" applyFont="1" applyBorder="1" applyAlignment="1">
      <alignment vertical="center"/>
    </xf>
    <xf numFmtId="0" fontId="3" fillId="0" borderId="12" xfId="1" applyFont="1" applyBorder="1" applyAlignment="1">
      <alignment vertical="center"/>
    </xf>
    <xf numFmtId="0" fontId="2" fillId="0" borderId="12" xfId="1" applyFont="1" applyBorder="1" applyAlignment="1">
      <alignment vertical="top" wrapText="1"/>
    </xf>
    <xf numFmtId="0" fontId="3" fillId="0" borderId="7" xfId="1" applyFont="1" applyBorder="1" applyAlignment="1">
      <alignment vertical="top" wrapText="1"/>
    </xf>
    <xf numFmtId="0" fontId="3" fillId="0" borderId="10" xfId="1" applyFont="1" applyBorder="1"/>
    <xf numFmtId="0" fontId="3" fillId="0" borderId="13" xfId="1" applyFont="1" applyBorder="1"/>
    <xf numFmtId="49" fontId="3" fillId="0" borderId="2" xfId="1" applyNumberFormat="1" applyFont="1" applyBorder="1" applyAlignment="1">
      <alignment horizontal="center" vertical="center"/>
    </xf>
    <xf numFmtId="0" fontId="3" fillId="0" borderId="14" xfId="1" applyFont="1" applyBorder="1"/>
    <xf numFmtId="0" fontId="11" fillId="0" borderId="0" xfId="1" applyFont="1"/>
    <xf numFmtId="0" fontId="11" fillId="0" borderId="9" xfId="1" applyFont="1" applyBorder="1"/>
    <xf numFmtId="0" fontId="10" fillId="0" borderId="9" xfId="1" applyFont="1" applyBorder="1"/>
    <xf numFmtId="1" fontId="3" fillId="6" borderId="0" xfId="1" applyNumberFormat="1" applyFont="1" applyFill="1" applyAlignment="1">
      <alignment horizontal="right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10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13" xfId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3" fillId="0" borderId="0" xfId="1" applyFont="1" applyAlignment="1">
      <alignment horizontal="left" vertical="center" wrapText="1"/>
    </xf>
    <xf numFmtId="0" fontId="10" fillId="0" borderId="9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11" xfId="1" applyFont="1" applyBorder="1" applyAlignment="1">
      <alignment horizontal="center" vertical="center" wrapText="1"/>
    </xf>
    <xf numFmtId="0" fontId="2" fillId="0" borderId="9" xfId="1" applyFont="1" applyBorder="1" applyAlignment="1">
      <alignment vertical="center"/>
    </xf>
    <xf numFmtId="0" fontId="5" fillId="0" borderId="12" xfId="1" applyFont="1" applyBorder="1"/>
    <xf numFmtId="0" fontId="3" fillId="0" borderId="7" xfId="1" applyFont="1" applyBorder="1" applyAlignment="1">
      <alignment vertical="center" wrapText="1"/>
    </xf>
    <xf numFmtId="0" fontId="8" fillId="0" borderId="4" xfId="1" applyFont="1" applyBorder="1" applyAlignment="1">
      <alignment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6" xfId="1" applyFont="1" applyBorder="1" applyAlignment="1">
      <alignment vertical="center" wrapText="1"/>
    </xf>
    <xf numFmtId="0" fontId="8" fillId="0" borderId="8" xfId="1" applyFont="1" applyBorder="1" applyAlignment="1">
      <alignment vertical="center" wrapText="1"/>
    </xf>
    <xf numFmtId="0" fontId="3" fillId="0" borderId="2" xfId="1" applyFont="1" applyBorder="1" applyAlignment="1">
      <alignment vertical="top" wrapText="1"/>
    </xf>
    <xf numFmtId="0" fontId="6" fillId="0" borderId="2" xfId="1" applyFont="1" applyBorder="1" applyAlignment="1">
      <alignment vertical="center"/>
    </xf>
    <xf numFmtId="0" fontId="6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8" fillId="0" borderId="9" xfId="1" applyFont="1" applyBorder="1" applyAlignment="1">
      <alignment vertical="center"/>
    </xf>
    <xf numFmtId="1" fontId="3" fillId="6" borderId="0" xfId="1" quotePrefix="1" applyNumberFormat="1" applyFont="1" applyFill="1" applyAlignment="1">
      <alignment horizontal="right" vertical="center"/>
    </xf>
    <xf numFmtId="1" fontId="3" fillId="0" borderId="0" xfId="1" quotePrefix="1" applyNumberFormat="1" applyFont="1" applyAlignment="1">
      <alignment horizontal="right" vertical="center"/>
    </xf>
    <xf numFmtId="0" fontId="8" fillId="0" borderId="0" xfId="1" applyFont="1" applyAlignment="1">
      <alignment horizontal="center" wrapText="1"/>
    </xf>
    <xf numFmtId="0" fontId="8" fillId="0" borderId="0" xfId="1" applyFont="1" applyAlignment="1">
      <alignment wrapText="1"/>
    </xf>
    <xf numFmtId="0" fontId="8" fillId="0" borderId="9" xfId="1" applyFont="1" applyBorder="1" applyAlignment="1">
      <alignment wrapText="1"/>
    </xf>
    <xf numFmtId="0" fontId="3" fillId="0" borderId="12" xfId="1" applyFont="1" applyBorder="1" applyAlignment="1">
      <alignment horizontal="justify" wrapText="1"/>
    </xf>
    <xf numFmtId="0" fontId="3" fillId="5" borderId="0" xfId="1" applyFont="1" applyFill="1"/>
    <xf numFmtId="0" fontId="3" fillId="5" borderId="12" xfId="1" applyFont="1" applyFill="1" applyBorder="1" applyAlignment="1">
      <alignment wrapText="1"/>
    </xf>
    <xf numFmtId="0" fontId="12" fillId="0" borderId="0" xfId="1" applyFont="1" applyAlignment="1">
      <alignment vertical="center" wrapText="1"/>
    </xf>
    <xf numFmtId="0" fontId="8" fillId="0" borderId="13" xfId="1" applyFont="1" applyBorder="1" applyAlignment="1">
      <alignment horizontal="center" wrapText="1"/>
    </xf>
    <xf numFmtId="0" fontId="3" fillId="0" borderId="13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49" fontId="3" fillId="0" borderId="0" xfId="1" quotePrefix="1" applyNumberFormat="1" applyFont="1" applyAlignment="1">
      <alignment horizontal="center" vertical="center"/>
    </xf>
    <xf numFmtId="49" fontId="3" fillId="0" borderId="6" xfId="1" quotePrefix="1" applyNumberFormat="1" applyFont="1" applyBorder="1" applyAlignment="1">
      <alignment horizontal="center" vertical="center"/>
    </xf>
    <xf numFmtId="49" fontId="8" fillId="0" borderId="1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3" fillId="0" borderId="2" xfId="1" quotePrefix="1" applyNumberFormat="1" applyFont="1" applyBorder="1" applyAlignment="1">
      <alignment horizontal="center" vertical="center"/>
    </xf>
    <xf numFmtId="49" fontId="3" fillId="0" borderId="13" xfId="1" quotePrefix="1" applyNumberFormat="1" applyFont="1" applyBorder="1" applyAlignment="1">
      <alignment horizontal="center" vertical="center"/>
    </xf>
    <xf numFmtId="49" fontId="8" fillId="0" borderId="5" xfId="1" applyNumberFormat="1" applyFont="1" applyBorder="1" applyAlignment="1">
      <alignment horizontal="center" vertical="center"/>
    </xf>
    <xf numFmtId="49" fontId="11" fillId="0" borderId="13" xfId="1" applyNumberFormat="1" applyFont="1" applyBorder="1" applyAlignment="1">
      <alignment horizontal="center" vertical="center"/>
    </xf>
    <xf numFmtId="49" fontId="3" fillId="0" borderId="14" xfId="1" quotePrefix="1" applyNumberFormat="1" applyFont="1" applyBorder="1" applyAlignment="1">
      <alignment horizontal="center" vertical="center"/>
    </xf>
    <xf numFmtId="49" fontId="11" fillId="0" borderId="6" xfId="1" applyNumberFormat="1" applyFont="1" applyBorder="1" applyAlignment="1">
      <alignment horizontal="center" vertical="center"/>
    </xf>
    <xf numFmtId="49" fontId="8" fillId="0" borderId="6" xfId="1" applyNumberFormat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 wrapText="1"/>
    </xf>
    <xf numFmtId="49" fontId="8" fillId="0" borderId="14" xfId="1" applyNumberFormat="1" applyFont="1" applyBorder="1" applyAlignment="1">
      <alignment horizontal="center" vertical="center"/>
    </xf>
    <xf numFmtId="49" fontId="2" fillId="0" borderId="14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8" fillId="0" borderId="2" xfId="1" applyFont="1" applyBorder="1" applyAlignment="1">
      <alignment vertical="center" wrapText="1"/>
    </xf>
    <xf numFmtId="0" fontId="3" fillId="0" borderId="6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 wrapText="1"/>
    </xf>
    <xf numFmtId="0" fontId="11" fillId="0" borderId="6" xfId="1" applyFont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49" fontId="3" fillId="0" borderId="2" xfId="1" applyNumberFormat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2" fillId="0" borderId="2" xfId="1" applyFont="1" applyBorder="1" applyAlignment="1">
      <alignment vertical="top" wrapText="1"/>
    </xf>
    <xf numFmtId="0" fontId="3" fillId="0" borderId="3" xfId="1" applyFont="1" applyBorder="1" applyAlignment="1">
      <alignment vertical="center" wrapText="1"/>
    </xf>
    <xf numFmtId="0" fontId="8" fillId="0" borderId="12" xfId="1" applyFont="1" applyBorder="1" applyAlignment="1">
      <alignment vertical="center" wrapText="1"/>
    </xf>
    <xf numFmtId="0" fontId="5" fillId="0" borderId="7" xfId="1" applyFont="1" applyBorder="1" applyAlignment="1">
      <alignment vertical="center"/>
    </xf>
    <xf numFmtId="0" fontId="2" fillId="0" borderId="7" xfId="1" applyFont="1" applyBorder="1" applyAlignment="1">
      <alignment vertical="center" wrapText="1"/>
    </xf>
    <xf numFmtId="0" fontId="3" fillId="0" borderId="12" xfId="1" applyFont="1" applyBorder="1" applyAlignment="1">
      <alignment horizontal="left" vertical="top" wrapText="1"/>
    </xf>
    <xf numFmtId="0" fontId="9" fillId="0" borderId="0" xfId="1" applyFont="1" applyAlignment="1">
      <alignment wrapText="1"/>
    </xf>
    <xf numFmtId="0" fontId="6" fillId="0" borderId="7" xfId="1" applyFont="1" applyBorder="1" applyAlignment="1">
      <alignment vertical="center"/>
    </xf>
    <xf numFmtId="0" fontId="8" fillId="0" borderId="3" xfId="1" applyFont="1" applyBorder="1" applyAlignment="1">
      <alignment vertical="center" wrapText="1"/>
    </xf>
    <xf numFmtId="0" fontId="5" fillId="0" borderId="12" xfId="1" applyFont="1" applyBorder="1" applyAlignment="1">
      <alignment vertical="center"/>
    </xf>
    <xf numFmtId="0" fontId="3" fillId="0" borderId="12" xfId="1" applyFont="1" applyBorder="1" applyAlignment="1">
      <alignment horizontal="left" vertical="center"/>
    </xf>
    <xf numFmtId="0" fontId="3" fillId="0" borderId="6" xfId="1" applyFont="1" applyBorder="1" applyAlignment="1">
      <alignment horizontal="left" vertical="top" wrapText="1"/>
    </xf>
    <xf numFmtId="0" fontId="2" fillId="0" borderId="7" xfId="1" applyFont="1" applyBorder="1" applyAlignment="1">
      <alignment vertical="top" wrapText="1"/>
    </xf>
    <xf numFmtId="0" fontId="8" fillId="0" borderId="2" xfId="1" applyFont="1" applyBorder="1" applyAlignment="1">
      <alignment wrapText="1"/>
    </xf>
    <xf numFmtId="0" fontId="3" fillId="0" borderId="3" xfId="1" applyFont="1" applyBorder="1" applyAlignment="1">
      <alignment horizontal="justify" wrapText="1"/>
    </xf>
    <xf numFmtId="0" fontId="3" fillId="0" borderId="3" xfId="1" applyFont="1" applyBorder="1" applyAlignment="1">
      <alignment vertical="top" wrapText="1"/>
    </xf>
    <xf numFmtId="0" fontId="3" fillId="0" borderId="0" xfId="1" applyFont="1" applyAlignment="1">
      <alignment horizontal="justify"/>
    </xf>
    <xf numFmtId="0" fontId="2" fillId="0" borderId="6" xfId="1" applyFont="1" applyBorder="1" applyAlignment="1">
      <alignment vertical="top" wrapText="1"/>
    </xf>
    <xf numFmtId="0" fontId="3" fillId="0" borderId="7" xfId="1" applyFont="1" applyBorder="1" applyAlignment="1">
      <alignment vertical="center"/>
    </xf>
    <xf numFmtId="0" fontId="11" fillId="0" borderId="12" xfId="1" applyFont="1" applyBorder="1" applyAlignment="1">
      <alignment vertical="center" wrapText="1"/>
    </xf>
    <xf numFmtId="0" fontId="2" fillId="0" borderId="12" xfId="1" applyFont="1" applyBorder="1" applyAlignment="1">
      <alignment horizontal="left" vertical="top" wrapText="1"/>
    </xf>
    <xf numFmtId="0" fontId="3" fillId="5" borderId="12" xfId="1" applyFont="1" applyFill="1" applyBorder="1" applyAlignment="1">
      <alignment vertical="center" wrapText="1"/>
    </xf>
    <xf numFmtId="0" fontId="8" fillId="0" borderId="6" xfId="1" applyFont="1" applyBorder="1" applyAlignment="1">
      <alignment wrapText="1"/>
    </xf>
    <xf numFmtId="0" fontId="3" fillId="0" borderId="3" xfId="1" applyFont="1" applyBorder="1" applyAlignment="1">
      <alignment horizontal="left" vertical="top" wrapText="1"/>
    </xf>
    <xf numFmtId="0" fontId="2" fillId="0" borderId="7" xfId="1" applyFont="1" applyBorder="1"/>
    <xf numFmtId="0" fontId="3" fillId="0" borderId="2" xfId="1" applyFont="1" applyBorder="1" applyAlignment="1">
      <alignment horizontal="left" vertical="top" wrapText="1"/>
    </xf>
    <xf numFmtId="0" fontId="6" fillId="0" borderId="12" xfId="1" applyFont="1" applyBorder="1" applyAlignment="1">
      <alignment vertical="center"/>
    </xf>
    <xf numFmtId="0" fontId="2" fillId="0" borderId="2" xfId="1" applyFont="1" applyBorder="1" applyAlignment="1">
      <alignment horizontal="left" vertical="top" wrapText="1"/>
    </xf>
    <xf numFmtId="0" fontId="8" fillId="0" borderId="7" xfId="1" applyFont="1" applyBorder="1" applyAlignment="1">
      <alignment vertical="center" wrapText="1"/>
    </xf>
    <xf numFmtId="0" fontId="12" fillId="0" borderId="12" xfId="1" applyFont="1" applyBorder="1" applyAlignment="1">
      <alignment vertical="center" wrapText="1"/>
    </xf>
    <xf numFmtId="0" fontId="3" fillId="5" borderId="3" xfId="1" applyFont="1" applyFill="1" applyBorder="1" applyAlignment="1">
      <alignment wrapText="1"/>
    </xf>
    <xf numFmtId="0" fontId="8" fillId="0" borderId="13" xfId="1" applyFont="1" applyBorder="1" applyAlignment="1">
      <alignment wrapText="1"/>
    </xf>
    <xf numFmtId="0" fontId="11" fillId="0" borderId="13" xfId="1" applyFont="1" applyBorder="1"/>
    <xf numFmtId="0" fontId="8" fillId="0" borderId="10" xfId="1" applyFont="1" applyBorder="1" applyAlignment="1">
      <alignment vertical="center" wrapText="1"/>
    </xf>
    <xf numFmtId="0" fontId="3" fillId="0" borderId="14" xfId="1" applyFont="1" applyBorder="1" applyAlignment="1">
      <alignment horizontal="left" vertical="center"/>
    </xf>
    <xf numFmtId="0" fontId="2" fillId="0" borderId="14" xfId="1" applyFont="1" applyBorder="1" applyAlignment="1">
      <alignment vertical="center" wrapText="1"/>
    </xf>
    <xf numFmtId="0" fontId="8" fillId="0" borderId="14" xfId="1" applyFont="1" applyBorder="1" applyAlignment="1">
      <alignment vertical="center" wrapText="1"/>
    </xf>
    <xf numFmtId="0" fontId="11" fillId="0" borderId="14" xfId="1" applyFont="1" applyBorder="1"/>
    <xf numFmtId="0" fontId="3" fillId="0" borderId="14" xfId="1" applyFont="1" applyBorder="1" applyAlignment="1">
      <alignment vertical="center"/>
    </xf>
    <xf numFmtId="0" fontId="3" fillId="0" borderId="14" xfId="1" applyFont="1" applyBorder="1" applyAlignment="1">
      <alignment vertical="top" wrapText="1"/>
    </xf>
    <xf numFmtId="0" fontId="3" fillId="0" borderId="13" xfId="1" applyFont="1" applyBorder="1" applyAlignment="1">
      <alignment vertical="top" wrapText="1"/>
    </xf>
    <xf numFmtId="0" fontId="12" fillId="0" borderId="13" xfId="1" applyFont="1" applyBorder="1" applyAlignment="1">
      <alignment vertical="center" wrapText="1"/>
    </xf>
    <xf numFmtId="0" fontId="11" fillId="0" borderId="6" xfId="1" applyFont="1" applyBorder="1"/>
    <xf numFmtId="0" fontId="2" fillId="0" borderId="6" xfId="1" applyFont="1" applyBorder="1" applyAlignment="1">
      <alignment vertical="center"/>
    </xf>
    <xf numFmtId="0" fontId="10" fillId="0" borderId="8" xfId="1" applyFont="1" applyBorder="1" applyAlignment="1">
      <alignment vertical="center"/>
    </xf>
    <xf numFmtId="49" fontId="3" fillId="0" borderId="8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vertical="center" wrapText="1"/>
    </xf>
    <xf numFmtId="0" fontId="11" fillId="0" borderId="8" xfId="1" applyFont="1" applyBorder="1"/>
    <xf numFmtId="49" fontId="3" fillId="0" borderId="12" xfId="1" applyNumberFormat="1" applyFont="1" applyBorder="1" applyAlignment="1">
      <alignment horizontal="left" vertical="center"/>
    </xf>
    <xf numFmtId="0" fontId="8" fillId="0" borderId="8" xfId="1" applyFont="1" applyBorder="1" applyAlignment="1">
      <alignment vertical="center"/>
    </xf>
    <xf numFmtId="1" fontId="3" fillId="0" borderId="6" xfId="1" applyNumberFormat="1" applyFont="1" applyBorder="1" applyAlignment="1">
      <alignment horizontal="right" vertical="center"/>
    </xf>
    <xf numFmtId="0" fontId="2" fillId="0" borderId="4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49" fontId="2" fillId="0" borderId="5" xfId="1" applyNumberFormat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center" wrapText="1"/>
    </xf>
    <xf numFmtId="49" fontId="2" fillId="0" borderId="6" xfId="1" applyNumberFormat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sbansps.aacc.gs.corp/sites/Finanzas/Capital/Documentos%20compartidos/3.-%20Regulatorio/1-IRB/1-BDR/Tablas%20afectadas%20Evoluci&#243;n%202018%20(V11.1)_v1_Comprobacion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modelos"/>
      <sheetName val="Provisiones"/>
      <sheetName val="Contratos"/>
      <sheetName val="Clientes"/>
      <sheetName val="Calificaciones"/>
      <sheetName val="Motor"/>
      <sheetName val="Estructurales"/>
      <sheetName val="Capital Económico"/>
      <sheetName val="New Default"/>
      <sheetName val="MMFF Riesgos Mercado"/>
      <sheetName val="Baremos"/>
    </sheetNames>
    <sheetDataSet>
      <sheetData sheetId="0"/>
      <sheetData sheetId="1"/>
      <sheetData sheetId="2"/>
      <sheetData sheetId="3"/>
      <sheetData sheetId="4"/>
      <sheetData sheetId="5">
        <row r="128">
          <cell r="K128" t="str">
            <v>DATE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5090"/>
  <sheetViews>
    <sheetView tabSelected="1" zoomScaleNormal="100" workbookViewId="0">
      <pane ySplit="2" topLeftCell="A3" activePane="bottomLeft" state="frozen"/>
      <selection pane="bottomLeft" activeCell="E2072" sqref="E2072"/>
    </sheetView>
  </sheetViews>
  <sheetFormatPr defaultColWidth="11.5703125" defaultRowHeight="12" x14ac:dyDescent="0.25"/>
  <cols>
    <col min="1" max="1" width="9.42578125" style="46" customWidth="1"/>
    <col min="2" max="2" width="50.5703125" style="12" customWidth="1"/>
    <col min="3" max="3" width="4.5703125" style="13" customWidth="1"/>
    <col min="4" max="4" width="70.42578125" style="12" customWidth="1"/>
    <col min="5" max="5" width="19.42578125" style="12" customWidth="1"/>
    <col min="6" max="6" width="24" style="12" customWidth="1"/>
    <col min="7" max="7" width="21.42578125" style="12" customWidth="1"/>
    <col min="8" max="8" width="2.5703125" style="8" customWidth="1"/>
    <col min="9" max="9" width="8.42578125" style="90" bestFit="1" customWidth="1"/>
    <col min="10" max="10" width="12.5703125" style="8" customWidth="1"/>
    <col min="11" max="229" width="11.5703125" style="8"/>
    <col min="230" max="230" width="9.42578125" style="8" customWidth="1"/>
    <col min="231" max="231" width="81.42578125" style="8" customWidth="1"/>
    <col min="232" max="232" width="4.5703125" style="8" customWidth="1"/>
    <col min="233" max="233" width="70.42578125" style="8" customWidth="1"/>
    <col min="234" max="234" width="19.42578125" style="8" customWidth="1"/>
    <col min="235" max="235" width="24" style="8" customWidth="1"/>
    <col min="236" max="236" width="21.42578125" style="8" customWidth="1"/>
    <col min="237" max="237" width="2.5703125" style="8" customWidth="1"/>
    <col min="238" max="238" width="8.42578125" style="8" bestFit="1" customWidth="1"/>
    <col min="239" max="239" width="12.5703125" style="8" customWidth="1"/>
    <col min="240" max="241" width="9.42578125" style="8" customWidth="1"/>
    <col min="242" max="242" width="3.42578125" style="8" bestFit="1" customWidth="1"/>
    <col min="243" max="243" width="35.42578125" style="8" customWidth="1"/>
    <col min="244" max="244" width="85.42578125" style="8" customWidth="1"/>
    <col min="245" max="245" width="4.5703125" style="8" bestFit="1" customWidth="1"/>
    <col min="246" max="246" width="20.5703125" style="8" bestFit="1" customWidth="1"/>
    <col min="247" max="485" width="11.5703125" style="8"/>
    <col min="486" max="486" width="9.42578125" style="8" customWidth="1"/>
    <col min="487" max="487" width="81.42578125" style="8" customWidth="1"/>
    <col min="488" max="488" width="4.5703125" style="8" customWidth="1"/>
    <col min="489" max="489" width="70.42578125" style="8" customWidth="1"/>
    <col min="490" max="490" width="19.42578125" style="8" customWidth="1"/>
    <col min="491" max="491" width="24" style="8" customWidth="1"/>
    <col min="492" max="492" width="21.42578125" style="8" customWidth="1"/>
    <col min="493" max="493" width="2.5703125" style="8" customWidth="1"/>
    <col min="494" max="494" width="8.42578125" style="8" bestFit="1" customWidth="1"/>
    <col min="495" max="495" width="12.5703125" style="8" customWidth="1"/>
    <col min="496" max="497" width="9.42578125" style="8" customWidth="1"/>
    <col min="498" max="498" width="3.42578125" style="8" bestFit="1" customWidth="1"/>
    <col min="499" max="499" width="35.42578125" style="8" customWidth="1"/>
    <col min="500" max="500" width="85.42578125" style="8" customWidth="1"/>
    <col min="501" max="501" width="4.5703125" style="8" bestFit="1" customWidth="1"/>
    <col min="502" max="502" width="20.5703125" style="8" bestFit="1" customWidth="1"/>
    <col min="503" max="741" width="11.5703125" style="8"/>
    <col min="742" max="742" width="9.42578125" style="8" customWidth="1"/>
    <col min="743" max="743" width="81.42578125" style="8" customWidth="1"/>
    <col min="744" max="744" width="4.5703125" style="8" customWidth="1"/>
    <col min="745" max="745" width="70.42578125" style="8" customWidth="1"/>
    <col min="746" max="746" width="19.42578125" style="8" customWidth="1"/>
    <col min="747" max="747" width="24" style="8" customWidth="1"/>
    <col min="748" max="748" width="21.42578125" style="8" customWidth="1"/>
    <col min="749" max="749" width="2.5703125" style="8" customWidth="1"/>
    <col min="750" max="750" width="8.42578125" style="8" bestFit="1" customWidth="1"/>
    <col min="751" max="751" width="12.5703125" style="8" customWidth="1"/>
    <col min="752" max="753" width="9.42578125" style="8" customWidth="1"/>
    <col min="754" max="754" width="3.42578125" style="8" bestFit="1" customWidth="1"/>
    <col min="755" max="755" width="35.42578125" style="8" customWidth="1"/>
    <col min="756" max="756" width="85.42578125" style="8" customWidth="1"/>
    <col min="757" max="757" width="4.5703125" style="8" bestFit="1" customWidth="1"/>
    <col min="758" max="758" width="20.5703125" style="8" bestFit="1" customWidth="1"/>
    <col min="759" max="997" width="11.5703125" style="8"/>
    <col min="998" max="998" width="9.42578125" style="8" customWidth="1"/>
    <col min="999" max="999" width="81.42578125" style="8" customWidth="1"/>
    <col min="1000" max="1000" width="4.5703125" style="8" customWidth="1"/>
    <col min="1001" max="1001" width="70.42578125" style="8" customWidth="1"/>
    <col min="1002" max="1002" width="19.42578125" style="8" customWidth="1"/>
    <col min="1003" max="1003" width="24" style="8" customWidth="1"/>
    <col min="1004" max="1004" width="21.42578125" style="8" customWidth="1"/>
    <col min="1005" max="1005" width="2.5703125" style="8" customWidth="1"/>
    <col min="1006" max="1006" width="8.42578125" style="8" bestFit="1" customWidth="1"/>
    <col min="1007" max="1007" width="12.5703125" style="8" customWidth="1"/>
    <col min="1008" max="1009" width="9.42578125" style="8" customWidth="1"/>
    <col min="1010" max="1010" width="3.42578125" style="8" bestFit="1" customWidth="1"/>
    <col min="1011" max="1011" width="35.42578125" style="8" customWidth="1"/>
    <col min="1012" max="1012" width="85.42578125" style="8" customWidth="1"/>
    <col min="1013" max="1013" width="4.5703125" style="8" bestFit="1" customWidth="1"/>
    <col min="1014" max="1014" width="20.5703125" style="8" bestFit="1" customWidth="1"/>
    <col min="1015" max="1253" width="11.5703125" style="8"/>
    <col min="1254" max="1254" width="9.42578125" style="8" customWidth="1"/>
    <col min="1255" max="1255" width="81.42578125" style="8" customWidth="1"/>
    <col min="1256" max="1256" width="4.5703125" style="8" customWidth="1"/>
    <col min="1257" max="1257" width="70.42578125" style="8" customWidth="1"/>
    <col min="1258" max="1258" width="19.42578125" style="8" customWidth="1"/>
    <col min="1259" max="1259" width="24" style="8" customWidth="1"/>
    <col min="1260" max="1260" width="21.42578125" style="8" customWidth="1"/>
    <col min="1261" max="1261" width="2.5703125" style="8" customWidth="1"/>
    <col min="1262" max="1262" width="8.42578125" style="8" bestFit="1" customWidth="1"/>
    <col min="1263" max="1263" width="12.5703125" style="8" customWidth="1"/>
    <col min="1264" max="1265" width="9.42578125" style="8" customWidth="1"/>
    <col min="1266" max="1266" width="3.42578125" style="8" bestFit="1" customWidth="1"/>
    <col min="1267" max="1267" width="35.42578125" style="8" customWidth="1"/>
    <col min="1268" max="1268" width="85.42578125" style="8" customWidth="1"/>
    <col min="1269" max="1269" width="4.5703125" style="8" bestFit="1" customWidth="1"/>
    <col min="1270" max="1270" width="20.5703125" style="8" bestFit="1" customWidth="1"/>
    <col min="1271" max="1509" width="11.5703125" style="8"/>
    <col min="1510" max="1510" width="9.42578125" style="8" customWidth="1"/>
    <col min="1511" max="1511" width="81.42578125" style="8" customWidth="1"/>
    <col min="1512" max="1512" width="4.5703125" style="8" customWidth="1"/>
    <col min="1513" max="1513" width="70.42578125" style="8" customWidth="1"/>
    <col min="1514" max="1514" width="19.42578125" style="8" customWidth="1"/>
    <col min="1515" max="1515" width="24" style="8" customWidth="1"/>
    <col min="1516" max="1516" width="21.42578125" style="8" customWidth="1"/>
    <col min="1517" max="1517" width="2.5703125" style="8" customWidth="1"/>
    <col min="1518" max="1518" width="8.42578125" style="8" bestFit="1" customWidth="1"/>
    <col min="1519" max="1519" width="12.5703125" style="8" customWidth="1"/>
    <col min="1520" max="1521" width="9.42578125" style="8" customWidth="1"/>
    <col min="1522" max="1522" width="3.42578125" style="8" bestFit="1" customWidth="1"/>
    <col min="1523" max="1523" width="35.42578125" style="8" customWidth="1"/>
    <col min="1524" max="1524" width="85.42578125" style="8" customWidth="1"/>
    <col min="1525" max="1525" width="4.5703125" style="8" bestFit="1" customWidth="1"/>
    <col min="1526" max="1526" width="20.5703125" style="8" bestFit="1" customWidth="1"/>
    <col min="1527" max="1765" width="11.5703125" style="8"/>
    <col min="1766" max="1766" width="9.42578125" style="8" customWidth="1"/>
    <col min="1767" max="1767" width="81.42578125" style="8" customWidth="1"/>
    <col min="1768" max="1768" width="4.5703125" style="8" customWidth="1"/>
    <col min="1769" max="1769" width="70.42578125" style="8" customWidth="1"/>
    <col min="1770" max="1770" width="19.42578125" style="8" customWidth="1"/>
    <col min="1771" max="1771" width="24" style="8" customWidth="1"/>
    <col min="1772" max="1772" width="21.42578125" style="8" customWidth="1"/>
    <col min="1773" max="1773" width="2.5703125" style="8" customWidth="1"/>
    <col min="1774" max="1774" width="8.42578125" style="8" bestFit="1" customWidth="1"/>
    <col min="1775" max="1775" width="12.5703125" style="8" customWidth="1"/>
    <col min="1776" max="1777" width="9.42578125" style="8" customWidth="1"/>
    <col min="1778" max="1778" width="3.42578125" style="8" bestFit="1" customWidth="1"/>
    <col min="1779" max="1779" width="35.42578125" style="8" customWidth="1"/>
    <col min="1780" max="1780" width="85.42578125" style="8" customWidth="1"/>
    <col min="1781" max="1781" width="4.5703125" style="8" bestFit="1" customWidth="1"/>
    <col min="1782" max="1782" width="20.5703125" style="8" bestFit="1" customWidth="1"/>
    <col min="1783" max="2021" width="11.5703125" style="8"/>
    <col min="2022" max="2022" width="9.42578125" style="8" customWidth="1"/>
    <col min="2023" max="2023" width="81.42578125" style="8" customWidth="1"/>
    <col min="2024" max="2024" width="4.5703125" style="8" customWidth="1"/>
    <col min="2025" max="2025" width="70.42578125" style="8" customWidth="1"/>
    <col min="2026" max="2026" width="19.42578125" style="8" customWidth="1"/>
    <col min="2027" max="2027" width="24" style="8" customWidth="1"/>
    <col min="2028" max="2028" width="21.42578125" style="8" customWidth="1"/>
    <col min="2029" max="2029" width="2.5703125" style="8" customWidth="1"/>
    <col min="2030" max="2030" width="8.42578125" style="8" bestFit="1" customWidth="1"/>
    <col min="2031" max="2031" width="12.5703125" style="8" customWidth="1"/>
    <col min="2032" max="2033" width="9.42578125" style="8" customWidth="1"/>
    <col min="2034" max="2034" width="3.42578125" style="8" bestFit="1" customWidth="1"/>
    <col min="2035" max="2035" width="35.42578125" style="8" customWidth="1"/>
    <col min="2036" max="2036" width="85.42578125" style="8" customWidth="1"/>
    <col min="2037" max="2037" width="4.5703125" style="8" bestFit="1" customWidth="1"/>
    <col min="2038" max="2038" width="20.5703125" style="8" bestFit="1" customWidth="1"/>
    <col min="2039" max="2277" width="11.5703125" style="8"/>
    <col min="2278" max="2278" width="9.42578125" style="8" customWidth="1"/>
    <col min="2279" max="2279" width="81.42578125" style="8" customWidth="1"/>
    <col min="2280" max="2280" width="4.5703125" style="8" customWidth="1"/>
    <col min="2281" max="2281" width="70.42578125" style="8" customWidth="1"/>
    <col min="2282" max="2282" width="19.42578125" style="8" customWidth="1"/>
    <col min="2283" max="2283" width="24" style="8" customWidth="1"/>
    <col min="2284" max="2284" width="21.42578125" style="8" customWidth="1"/>
    <col min="2285" max="2285" width="2.5703125" style="8" customWidth="1"/>
    <col min="2286" max="2286" width="8.42578125" style="8" bestFit="1" customWidth="1"/>
    <col min="2287" max="2287" width="12.5703125" style="8" customWidth="1"/>
    <col min="2288" max="2289" width="9.42578125" style="8" customWidth="1"/>
    <col min="2290" max="2290" width="3.42578125" style="8" bestFit="1" customWidth="1"/>
    <col min="2291" max="2291" width="35.42578125" style="8" customWidth="1"/>
    <col min="2292" max="2292" width="85.42578125" style="8" customWidth="1"/>
    <col min="2293" max="2293" width="4.5703125" style="8" bestFit="1" customWidth="1"/>
    <col min="2294" max="2294" width="20.5703125" style="8" bestFit="1" customWidth="1"/>
    <col min="2295" max="2533" width="11.5703125" style="8"/>
    <col min="2534" max="2534" width="9.42578125" style="8" customWidth="1"/>
    <col min="2535" max="2535" width="81.42578125" style="8" customWidth="1"/>
    <col min="2536" max="2536" width="4.5703125" style="8" customWidth="1"/>
    <col min="2537" max="2537" width="70.42578125" style="8" customWidth="1"/>
    <col min="2538" max="2538" width="19.42578125" style="8" customWidth="1"/>
    <col min="2539" max="2539" width="24" style="8" customWidth="1"/>
    <col min="2540" max="2540" width="21.42578125" style="8" customWidth="1"/>
    <col min="2541" max="2541" width="2.5703125" style="8" customWidth="1"/>
    <col min="2542" max="2542" width="8.42578125" style="8" bestFit="1" customWidth="1"/>
    <col min="2543" max="2543" width="12.5703125" style="8" customWidth="1"/>
    <col min="2544" max="2545" width="9.42578125" style="8" customWidth="1"/>
    <col min="2546" max="2546" width="3.42578125" style="8" bestFit="1" customWidth="1"/>
    <col min="2547" max="2547" width="35.42578125" style="8" customWidth="1"/>
    <col min="2548" max="2548" width="85.42578125" style="8" customWidth="1"/>
    <col min="2549" max="2549" width="4.5703125" style="8" bestFit="1" customWidth="1"/>
    <col min="2550" max="2550" width="20.5703125" style="8" bestFit="1" customWidth="1"/>
    <col min="2551" max="2789" width="11.5703125" style="8"/>
    <col min="2790" max="2790" width="9.42578125" style="8" customWidth="1"/>
    <col min="2791" max="2791" width="81.42578125" style="8" customWidth="1"/>
    <col min="2792" max="2792" width="4.5703125" style="8" customWidth="1"/>
    <col min="2793" max="2793" width="70.42578125" style="8" customWidth="1"/>
    <col min="2794" max="2794" width="19.42578125" style="8" customWidth="1"/>
    <col min="2795" max="2795" width="24" style="8" customWidth="1"/>
    <col min="2796" max="2796" width="21.42578125" style="8" customWidth="1"/>
    <col min="2797" max="2797" width="2.5703125" style="8" customWidth="1"/>
    <col min="2798" max="2798" width="8.42578125" style="8" bestFit="1" customWidth="1"/>
    <col min="2799" max="2799" width="12.5703125" style="8" customWidth="1"/>
    <col min="2800" max="2801" width="9.42578125" style="8" customWidth="1"/>
    <col min="2802" max="2802" width="3.42578125" style="8" bestFit="1" customWidth="1"/>
    <col min="2803" max="2803" width="35.42578125" style="8" customWidth="1"/>
    <col min="2804" max="2804" width="85.42578125" style="8" customWidth="1"/>
    <col min="2805" max="2805" width="4.5703125" style="8" bestFit="1" customWidth="1"/>
    <col min="2806" max="2806" width="20.5703125" style="8" bestFit="1" customWidth="1"/>
    <col min="2807" max="3045" width="11.5703125" style="8"/>
    <col min="3046" max="3046" width="9.42578125" style="8" customWidth="1"/>
    <col min="3047" max="3047" width="81.42578125" style="8" customWidth="1"/>
    <col min="3048" max="3048" width="4.5703125" style="8" customWidth="1"/>
    <col min="3049" max="3049" width="70.42578125" style="8" customWidth="1"/>
    <col min="3050" max="3050" width="19.42578125" style="8" customWidth="1"/>
    <col min="3051" max="3051" width="24" style="8" customWidth="1"/>
    <col min="3052" max="3052" width="21.42578125" style="8" customWidth="1"/>
    <col min="3053" max="3053" width="2.5703125" style="8" customWidth="1"/>
    <col min="3054" max="3054" width="8.42578125" style="8" bestFit="1" customWidth="1"/>
    <col min="3055" max="3055" width="12.5703125" style="8" customWidth="1"/>
    <col min="3056" max="3057" width="9.42578125" style="8" customWidth="1"/>
    <col min="3058" max="3058" width="3.42578125" style="8" bestFit="1" customWidth="1"/>
    <col min="3059" max="3059" width="35.42578125" style="8" customWidth="1"/>
    <col min="3060" max="3060" width="85.42578125" style="8" customWidth="1"/>
    <col min="3061" max="3061" width="4.5703125" style="8" bestFit="1" customWidth="1"/>
    <col min="3062" max="3062" width="20.5703125" style="8" bestFit="1" customWidth="1"/>
    <col min="3063" max="3301" width="11.5703125" style="8"/>
    <col min="3302" max="3302" width="9.42578125" style="8" customWidth="1"/>
    <col min="3303" max="3303" width="81.42578125" style="8" customWidth="1"/>
    <col min="3304" max="3304" width="4.5703125" style="8" customWidth="1"/>
    <col min="3305" max="3305" width="70.42578125" style="8" customWidth="1"/>
    <col min="3306" max="3306" width="19.42578125" style="8" customWidth="1"/>
    <col min="3307" max="3307" width="24" style="8" customWidth="1"/>
    <col min="3308" max="3308" width="21.42578125" style="8" customWidth="1"/>
    <col min="3309" max="3309" width="2.5703125" style="8" customWidth="1"/>
    <col min="3310" max="3310" width="8.42578125" style="8" bestFit="1" customWidth="1"/>
    <col min="3311" max="3311" width="12.5703125" style="8" customWidth="1"/>
    <col min="3312" max="3313" width="9.42578125" style="8" customWidth="1"/>
    <col min="3314" max="3314" width="3.42578125" style="8" bestFit="1" customWidth="1"/>
    <col min="3315" max="3315" width="35.42578125" style="8" customWidth="1"/>
    <col min="3316" max="3316" width="85.42578125" style="8" customWidth="1"/>
    <col min="3317" max="3317" width="4.5703125" style="8" bestFit="1" customWidth="1"/>
    <col min="3318" max="3318" width="20.5703125" style="8" bestFit="1" customWidth="1"/>
    <col min="3319" max="3557" width="11.5703125" style="8"/>
    <col min="3558" max="3558" width="9.42578125" style="8" customWidth="1"/>
    <col min="3559" max="3559" width="81.42578125" style="8" customWidth="1"/>
    <col min="3560" max="3560" width="4.5703125" style="8" customWidth="1"/>
    <col min="3561" max="3561" width="70.42578125" style="8" customWidth="1"/>
    <col min="3562" max="3562" width="19.42578125" style="8" customWidth="1"/>
    <col min="3563" max="3563" width="24" style="8" customWidth="1"/>
    <col min="3564" max="3564" width="21.42578125" style="8" customWidth="1"/>
    <col min="3565" max="3565" width="2.5703125" style="8" customWidth="1"/>
    <col min="3566" max="3566" width="8.42578125" style="8" bestFit="1" customWidth="1"/>
    <col min="3567" max="3567" width="12.5703125" style="8" customWidth="1"/>
    <col min="3568" max="3569" width="9.42578125" style="8" customWidth="1"/>
    <col min="3570" max="3570" width="3.42578125" style="8" bestFit="1" customWidth="1"/>
    <col min="3571" max="3571" width="35.42578125" style="8" customWidth="1"/>
    <col min="3572" max="3572" width="85.42578125" style="8" customWidth="1"/>
    <col min="3573" max="3573" width="4.5703125" style="8" bestFit="1" customWidth="1"/>
    <col min="3574" max="3574" width="20.5703125" style="8" bestFit="1" customWidth="1"/>
    <col min="3575" max="3813" width="11.5703125" style="8"/>
    <col min="3814" max="3814" width="9.42578125" style="8" customWidth="1"/>
    <col min="3815" max="3815" width="81.42578125" style="8" customWidth="1"/>
    <col min="3816" max="3816" width="4.5703125" style="8" customWidth="1"/>
    <col min="3817" max="3817" width="70.42578125" style="8" customWidth="1"/>
    <col min="3818" max="3818" width="19.42578125" style="8" customWidth="1"/>
    <col min="3819" max="3819" width="24" style="8" customWidth="1"/>
    <col min="3820" max="3820" width="21.42578125" style="8" customWidth="1"/>
    <col min="3821" max="3821" width="2.5703125" style="8" customWidth="1"/>
    <col min="3822" max="3822" width="8.42578125" style="8" bestFit="1" customWidth="1"/>
    <col min="3823" max="3823" width="12.5703125" style="8" customWidth="1"/>
    <col min="3824" max="3825" width="9.42578125" style="8" customWidth="1"/>
    <col min="3826" max="3826" width="3.42578125" style="8" bestFit="1" customWidth="1"/>
    <col min="3827" max="3827" width="35.42578125" style="8" customWidth="1"/>
    <col min="3828" max="3828" width="85.42578125" style="8" customWidth="1"/>
    <col min="3829" max="3829" width="4.5703125" style="8" bestFit="1" customWidth="1"/>
    <col min="3830" max="3830" width="20.5703125" style="8" bestFit="1" customWidth="1"/>
    <col min="3831" max="4069" width="11.5703125" style="8"/>
    <col min="4070" max="4070" width="9.42578125" style="8" customWidth="1"/>
    <col min="4071" max="4071" width="81.42578125" style="8" customWidth="1"/>
    <col min="4072" max="4072" width="4.5703125" style="8" customWidth="1"/>
    <col min="4073" max="4073" width="70.42578125" style="8" customWidth="1"/>
    <col min="4074" max="4074" width="19.42578125" style="8" customWidth="1"/>
    <col min="4075" max="4075" width="24" style="8" customWidth="1"/>
    <col min="4076" max="4076" width="21.42578125" style="8" customWidth="1"/>
    <col min="4077" max="4077" width="2.5703125" style="8" customWidth="1"/>
    <col min="4078" max="4078" width="8.42578125" style="8" bestFit="1" customWidth="1"/>
    <col min="4079" max="4079" width="12.5703125" style="8" customWidth="1"/>
    <col min="4080" max="4081" width="9.42578125" style="8" customWidth="1"/>
    <col min="4082" max="4082" width="3.42578125" style="8" bestFit="1" customWidth="1"/>
    <col min="4083" max="4083" width="35.42578125" style="8" customWidth="1"/>
    <col min="4084" max="4084" width="85.42578125" style="8" customWidth="1"/>
    <col min="4085" max="4085" width="4.5703125" style="8" bestFit="1" customWidth="1"/>
    <col min="4086" max="4086" width="20.5703125" style="8" bestFit="1" customWidth="1"/>
    <col min="4087" max="4325" width="11.5703125" style="8"/>
    <col min="4326" max="4326" width="9.42578125" style="8" customWidth="1"/>
    <col min="4327" max="4327" width="81.42578125" style="8" customWidth="1"/>
    <col min="4328" max="4328" width="4.5703125" style="8" customWidth="1"/>
    <col min="4329" max="4329" width="70.42578125" style="8" customWidth="1"/>
    <col min="4330" max="4330" width="19.42578125" style="8" customWidth="1"/>
    <col min="4331" max="4331" width="24" style="8" customWidth="1"/>
    <col min="4332" max="4332" width="21.42578125" style="8" customWidth="1"/>
    <col min="4333" max="4333" width="2.5703125" style="8" customWidth="1"/>
    <col min="4334" max="4334" width="8.42578125" style="8" bestFit="1" customWidth="1"/>
    <col min="4335" max="4335" width="12.5703125" style="8" customWidth="1"/>
    <col min="4336" max="4337" width="9.42578125" style="8" customWidth="1"/>
    <col min="4338" max="4338" width="3.42578125" style="8" bestFit="1" customWidth="1"/>
    <col min="4339" max="4339" width="35.42578125" style="8" customWidth="1"/>
    <col min="4340" max="4340" width="85.42578125" style="8" customWidth="1"/>
    <col min="4341" max="4341" width="4.5703125" style="8" bestFit="1" customWidth="1"/>
    <col min="4342" max="4342" width="20.5703125" style="8" bestFit="1" customWidth="1"/>
    <col min="4343" max="4581" width="11.5703125" style="8"/>
    <col min="4582" max="4582" width="9.42578125" style="8" customWidth="1"/>
    <col min="4583" max="4583" width="81.42578125" style="8" customWidth="1"/>
    <col min="4584" max="4584" width="4.5703125" style="8" customWidth="1"/>
    <col min="4585" max="4585" width="70.42578125" style="8" customWidth="1"/>
    <col min="4586" max="4586" width="19.42578125" style="8" customWidth="1"/>
    <col min="4587" max="4587" width="24" style="8" customWidth="1"/>
    <col min="4588" max="4588" width="21.42578125" style="8" customWidth="1"/>
    <col min="4589" max="4589" width="2.5703125" style="8" customWidth="1"/>
    <col min="4590" max="4590" width="8.42578125" style="8" bestFit="1" customWidth="1"/>
    <col min="4591" max="4591" width="12.5703125" style="8" customWidth="1"/>
    <col min="4592" max="4593" width="9.42578125" style="8" customWidth="1"/>
    <col min="4594" max="4594" width="3.42578125" style="8" bestFit="1" customWidth="1"/>
    <col min="4595" max="4595" width="35.42578125" style="8" customWidth="1"/>
    <col min="4596" max="4596" width="85.42578125" style="8" customWidth="1"/>
    <col min="4597" max="4597" width="4.5703125" style="8" bestFit="1" customWidth="1"/>
    <col min="4598" max="4598" width="20.5703125" style="8" bestFit="1" customWidth="1"/>
    <col min="4599" max="4837" width="11.5703125" style="8"/>
    <col min="4838" max="4838" width="9.42578125" style="8" customWidth="1"/>
    <col min="4839" max="4839" width="81.42578125" style="8" customWidth="1"/>
    <col min="4840" max="4840" width="4.5703125" style="8" customWidth="1"/>
    <col min="4841" max="4841" width="70.42578125" style="8" customWidth="1"/>
    <col min="4842" max="4842" width="19.42578125" style="8" customWidth="1"/>
    <col min="4843" max="4843" width="24" style="8" customWidth="1"/>
    <col min="4844" max="4844" width="21.42578125" style="8" customWidth="1"/>
    <col min="4845" max="4845" width="2.5703125" style="8" customWidth="1"/>
    <col min="4846" max="4846" width="8.42578125" style="8" bestFit="1" customWidth="1"/>
    <col min="4847" max="4847" width="12.5703125" style="8" customWidth="1"/>
    <col min="4848" max="4849" width="9.42578125" style="8" customWidth="1"/>
    <col min="4850" max="4850" width="3.42578125" style="8" bestFit="1" customWidth="1"/>
    <col min="4851" max="4851" width="35.42578125" style="8" customWidth="1"/>
    <col min="4852" max="4852" width="85.42578125" style="8" customWidth="1"/>
    <col min="4853" max="4853" width="4.5703125" style="8" bestFit="1" customWidth="1"/>
    <col min="4854" max="4854" width="20.5703125" style="8" bestFit="1" customWidth="1"/>
    <col min="4855" max="5093" width="11.5703125" style="8"/>
    <col min="5094" max="5094" width="9.42578125" style="8" customWidth="1"/>
    <col min="5095" max="5095" width="81.42578125" style="8" customWidth="1"/>
    <col min="5096" max="5096" width="4.5703125" style="8" customWidth="1"/>
    <col min="5097" max="5097" width="70.42578125" style="8" customWidth="1"/>
    <col min="5098" max="5098" width="19.42578125" style="8" customWidth="1"/>
    <col min="5099" max="5099" width="24" style="8" customWidth="1"/>
    <col min="5100" max="5100" width="21.42578125" style="8" customWidth="1"/>
    <col min="5101" max="5101" width="2.5703125" style="8" customWidth="1"/>
    <col min="5102" max="5102" width="8.42578125" style="8" bestFit="1" customWidth="1"/>
    <col min="5103" max="5103" width="12.5703125" style="8" customWidth="1"/>
    <col min="5104" max="5105" width="9.42578125" style="8" customWidth="1"/>
    <col min="5106" max="5106" width="3.42578125" style="8" bestFit="1" customWidth="1"/>
    <col min="5107" max="5107" width="35.42578125" style="8" customWidth="1"/>
    <col min="5108" max="5108" width="85.42578125" style="8" customWidth="1"/>
    <col min="5109" max="5109" width="4.5703125" style="8" bestFit="1" customWidth="1"/>
    <col min="5110" max="5110" width="20.5703125" style="8" bestFit="1" customWidth="1"/>
    <col min="5111" max="5349" width="11.5703125" style="8"/>
    <col min="5350" max="5350" width="9.42578125" style="8" customWidth="1"/>
    <col min="5351" max="5351" width="81.42578125" style="8" customWidth="1"/>
    <col min="5352" max="5352" width="4.5703125" style="8" customWidth="1"/>
    <col min="5353" max="5353" width="70.42578125" style="8" customWidth="1"/>
    <col min="5354" max="5354" width="19.42578125" style="8" customWidth="1"/>
    <col min="5355" max="5355" width="24" style="8" customWidth="1"/>
    <col min="5356" max="5356" width="21.42578125" style="8" customWidth="1"/>
    <col min="5357" max="5357" width="2.5703125" style="8" customWidth="1"/>
    <col min="5358" max="5358" width="8.42578125" style="8" bestFit="1" customWidth="1"/>
    <col min="5359" max="5359" width="12.5703125" style="8" customWidth="1"/>
    <col min="5360" max="5361" width="9.42578125" style="8" customWidth="1"/>
    <col min="5362" max="5362" width="3.42578125" style="8" bestFit="1" customWidth="1"/>
    <col min="5363" max="5363" width="35.42578125" style="8" customWidth="1"/>
    <col min="5364" max="5364" width="85.42578125" style="8" customWidth="1"/>
    <col min="5365" max="5365" width="4.5703125" style="8" bestFit="1" customWidth="1"/>
    <col min="5366" max="5366" width="20.5703125" style="8" bestFit="1" customWidth="1"/>
    <col min="5367" max="5605" width="11.5703125" style="8"/>
    <col min="5606" max="5606" width="9.42578125" style="8" customWidth="1"/>
    <col min="5607" max="5607" width="81.42578125" style="8" customWidth="1"/>
    <col min="5608" max="5608" width="4.5703125" style="8" customWidth="1"/>
    <col min="5609" max="5609" width="70.42578125" style="8" customWidth="1"/>
    <col min="5610" max="5610" width="19.42578125" style="8" customWidth="1"/>
    <col min="5611" max="5611" width="24" style="8" customWidth="1"/>
    <col min="5612" max="5612" width="21.42578125" style="8" customWidth="1"/>
    <col min="5613" max="5613" width="2.5703125" style="8" customWidth="1"/>
    <col min="5614" max="5614" width="8.42578125" style="8" bestFit="1" customWidth="1"/>
    <col min="5615" max="5615" width="12.5703125" style="8" customWidth="1"/>
    <col min="5616" max="5617" width="9.42578125" style="8" customWidth="1"/>
    <col min="5618" max="5618" width="3.42578125" style="8" bestFit="1" customWidth="1"/>
    <col min="5619" max="5619" width="35.42578125" style="8" customWidth="1"/>
    <col min="5620" max="5620" width="85.42578125" style="8" customWidth="1"/>
    <col min="5621" max="5621" width="4.5703125" style="8" bestFit="1" customWidth="1"/>
    <col min="5622" max="5622" width="20.5703125" style="8" bestFit="1" customWidth="1"/>
    <col min="5623" max="5861" width="11.5703125" style="8"/>
    <col min="5862" max="5862" width="9.42578125" style="8" customWidth="1"/>
    <col min="5863" max="5863" width="81.42578125" style="8" customWidth="1"/>
    <col min="5864" max="5864" width="4.5703125" style="8" customWidth="1"/>
    <col min="5865" max="5865" width="70.42578125" style="8" customWidth="1"/>
    <col min="5866" max="5866" width="19.42578125" style="8" customWidth="1"/>
    <col min="5867" max="5867" width="24" style="8" customWidth="1"/>
    <col min="5868" max="5868" width="21.42578125" style="8" customWidth="1"/>
    <col min="5869" max="5869" width="2.5703125" style="8" customWidth="1"/>
    <col min="5870" max="5870" width="8.42578125" style="8" bestFit="1" customWidth="1"/>
    <col min="5871" max="5871" width="12.5703125" style="8" customWidth="1"/>
    <col min="5872" max="5873" width="9.42578125" style="8" customWidth="1"/>
    <col min="5874" max="5874" width="3.42578125" style="8" bestFit="1" customWidth="1"/>
    <col min="5875" max="5875" width="35.42578125" style="8" customWidth="1"/>
    <col min="5876" max="5876" width="85.42578125" style="8" customWidth="1"/>
    <col min="5877" max="5877" width="4.5703125" style="8" bestFit="1" customWidth="1"/>
    <col min="5878" max="5878" width="20.5703125" style="8" bestFit="1" customWidth="1"/>
    <col min="5879" max="6117" width="11.5703125" style="8"/>
    <col min="6118" max="6118" width="9.42578125" style="8" customWidth="1"/>
    <col min="6119" max="6119" width="81.42578125" style="8" customWidth="1"/>
    <col min="6120" max="6120" width="4.5703125" style="8" customWidth="1"/>
    <col min="6121" max="6121" width="70.42578125" style="8" customWidth="1"/>
    <col min="6122" max="6122" width="19.42578125" style="8" customWidth="1"/>
    <col min="6123" max="6123" width="24" style="8" customWidth="1"/>
    <col min="6124" max="6124" width="21.42578125" style="8" customWidth="1"/>
    <col min="6125" max="6125" width="2.5703125" style="8" customWidth="1"/>
    <col min="6126" max="6126" width="8.42578125" style="8" bestFit="1" customWidth="1"/>
    <col min="6127" max="6127" width="12.5703125" style="8" customWidth="1"/>
    <col min="6128" max="6129" width="9.42578125" style="8" customWidth="1"/>
    <col min="6130" max="6130" width="3.42578125" style="8" bestFit="1" customWidth="1"/>
    <col min="6131" max="6131" width="35.42578125" style="8" customWidth="1"/>
    <col min="6132" max="6132" width="85.42578125" style="8" customWidth="1"/>
    <col min="6133" max="6133" width="4.5703125" style="8" bestFit="1" customWidth="1"/>
    <col min="6134" max="6134" width="20.5703125" style="8" bestFit="1" customWidth="1"/>
    <col min="6135" max="6373" width="11.5703125" style="8"/>
    <col min="6374" max="6374" width="9.42578125" style="8" customWidth="1"/>
    <col min="6375" max="6375" width="81.42578125" style="8" customWidth="1"/>
    <col min="6376" max="6376" width="4.5703125" style="8" customWidth="1"/>
    <col min="6377" max="6377" width="70.42578125" style="8" customWidth="1"/>
    <col min="6378" max="6378" width="19.42578125" style="8" customWidth="1"/>
    <col min="6379" max="6379" width="24" style="8" customWidth="1"/>
    <col min="6380" max="6380" width="21.42578125" style="8" customWidth="1"/>
    <col min="6381" max="6381" width="2.5703125" style="8" customWidth="1"/>
    <col min="6382" max="6382" width="8.42578125" style="8" bestFit="1" customWidth="1"/>
    <col min="6383" max="6383" width="12.5703125" style="8" customWidth="1"/>
    <col min="6384" max="6385" width="9.42578125" style="8" customWidth="1"/>
    <col min="6386" max="6386" width="3.42578125" style="8" bestFit="1" customWidth="1"/>
    <col min="6387" max="6387" width="35.42578125" style="8" customWidth="1"/>
    <col min="6388" max="6388" width="85.42578125" style="8" customWidth="1"/>
    <col min="6389" max="6389" width="4.5703125" style="8" bestFit="1" customWidth="1"/>
    <col min="6390" max="6390" width="20.5703125" style="8" bestFit="1" customWidth="1"/>
    <col min="6391" max="6629" width="11.5703125" style="8"/>
    <col min="6630" max="6630" width="9.42578125" style="8" customWidth="1"/>
    <col min="6631" max="6631" width="81.42578125" style="8" customWidth="1"/>
    <col min="6632" max="6632" width="4.5703125" style="8" customWidth="1"/>
    <col min="6633" max="6633" width="70.42578125" style="8" customWidth="1"/>
    <col min="6634" max="6634" width="19.42578125" style="8" customWidth="1"/>
    <col min="6635" max="6635" width="24" style="8" customWidth="1"/>
    <col min="6636" max="6636" width="21.42578125" style="8" customWidth="1"/>
    <col min="6637" max="6637" width="2.5703125" style="8" customWidth="1"/>
    <col min="6638" max="6638" width="8.42578125" style="8" bestFit="1" customWidth="1"/>
    <col min="6639" max="6639" width="12.5703125" style="8" customWidth="1"/>
    <col min="6640" max="6641" width="9.42578125" style="8" customWidth="1"/>
    <col min="6642" max="6642" width="3.42578125" style="8" bestFit="1" customWidth="1"/>
    <col min="6643" max="6643" width="35.42578125" style="8" customWidth="1"/>
    <col min="6644" max="6644" width="85.42578125" style="8" customWidth="1"/>
    <col min="6645" max="6645" width="4.5703125" style="8" bestFit="1" customWidth="1"/>
    <col min="6646" max="6646" width="20.5703125" style="8" bestFit="1" customWidth="1"/>
    <col min="6647" max="6885" width="11.5703125" style="8"/>
    <col min="6886" max="6886" width="9.42578125" style="8" customWidth="1"/>
    <col min="6887" max="6887" width="81.42578125" style="8" customWidth="1"/>
    <col min="6888" max="6888" width="4.5703125" style="8" customWidth="1"/>
    <col min="6889" max="6889" width="70.42578125" style="8" customWidth="1"/>
    <col min="6890" max="6890" width="19.42578125" style="8" customWidth="1"/>
    <col min="6891" max="6891" width="24" style="8" customWidth="1"/>
    <col min="6892" max="6892" width="21.42578125" style="8" customWidth="1"/>
    <col min="6893" max="6893" width="2.5703125" style="8" customWidth="1"/>
    <col min="6894" max="6894" width="8.42578125" style="8" bestFit="1" customWidth="1"/>
    <col min="6895" max="6895" width="12.5703125" style="8" customWidth="1"/>
    <col min="6896" max="6897" width="9.42578125" style="8" customWidth="1"/>
    <col min="6898" max="6898" width="3.42578125" style="8" bestFit="1" customWidth="1"/>
    <col min="6899" max="6899" width="35.42578125" style="8" customWidth="1"/>
    <col min="6900" max="6900" width="85.42578125" style="8" customWidth="1"/>
    <col min="6901" max="6901" width="4.5703125" style="8" bestFit="1" customWidth="1"/>
    <col min="6902" max="6902" width="20.5703125" style="8" bestFit="1" customWidth="1"/>
    <col min="6903" max="7141" width="11.5703125" style="8"/>
    <col min="7142" max="7142" width="9.42578125" style="8" customWidth="1"/>
    <col min="7143" max="7143" width="81.42578125" style="8" customWidth="1"/>
    <col min="7144" max="7144" width="4.5703125" style="8" customWidth="1"/>
    <col min="7145" max="7145" width="70.42578125" style="8" customWidth="1"/>
    <col min="7146" max="7146" width="19.42578125" style="8" customWidth="1"/>
    <col min="7147" max="7147" width="24" style="8" customWidth="1"/>
    <col min="7148" max="7148" width="21.42578125" style="8" customWidth="1"/>
    <col min="7149" max="7149" width="2.5703125" style="8" customWidth="1"/>
    <col min="7150" max="7150" width="8.42578125" style="8" bestFit="1" customWidth="1"/>
    <col min="7151" max="7151" width="12.5703125" style="8" customWidth="1"/>
    <col min="7152" max="7153" width="9.42578125" style="8" customWidth="1"/>
    <col min="7154" max="7154" width="3.42578125" style="8" bestFit="1" customWidth="1"/>
    <col min="7155" max="7155" width="35.42578125" style="8" customWidth="1"/>
    <col min="7156" max="7156" width="85.42578125" style="8" customWidth="1"/>
    <col min="7157" max="7157" width="4.5703125" style="8" bestFit="1" customWidth="1"/>
    <col min="7158" max="7158" width="20.5703125" style="8" bestFit="1" customWidth="1"/>
    <col min="7159" max="7397" width="11.5703125" style="8"/>
    <col min="7398" max="7398" width="9.42578125" style="8" customWidth="1"/>
    <col min="7399" max="7399" width="81.42578125" style="8" customWidth="1"/>
    <col min="7400" max="7400" width="4.5703125" style="8" customWidth="1"/>
    <col min="7401" max="7401" width="70.42578125" style="8" customWidth="1"/>
    <col min="7402" max="7402" width="19.42578125" style="8" customWidth="1"/>
    <col min="7403" max="7403" width="24" style="8" customWidth="1"/>
    <col min="7404" max="7404" width="21.42578125" style="8" customWidth="1"/>
    <col min="7405" max="7405" width="2.5703125" style="8" customWidth="1"/>
    <col min="7406" max="7406" width="8.42578125" style="8" bestFit="1" customWidth="1"/>
    <col min="7407" max="7407" width="12.5703125" style="8" customWidth="1"/>
    <col min="7408" max="7409" width="9.42578125" style="8" customWidth="1"/>
    <col min="7410" max="7410" width="3.42578125" style="8" bestFit="1" customWidth="1"/>
    <col min="7411" max="7411" width="35.42578125" style="8" customWidth="1"/>
    <col min="7412" max="7412" width="85.42578125" style="8" customWidth="1"/>
    <col min="7413" max="7413" width="4.5703125" style="8" bestFit="1" customWidth="1"/>
    <col min="7414" max="7414" width="20.5703125" style="8" bestFit="1" customWidth="1"/>
    <col min="7415" max="7653" width="11.5703125" style="8"/>
    <col min="7654" max="7654" width="9.42578125" style="8" customWidth="1"/>
    <col min="7655" max="7655" width="81.42578125" style="8" customWidth="1"/>
    <col min="7656" max="7656" width="4.5703125" style="8" customWidth="1"/>
    <col min="7657" max="7657" width="70.42578125" style="8" customWidth="1"/>
    <col min="7658" max="7658" width="19.42578125" style="8" customWidth="1"/>
    <col min="7659" max="7659" width="24" style="8" customWidth="1"/>
    <col min="7660" max="7660" width="21.42578125" style="8" customWidth="1"/>
    <col min="7661" max="7661" width="2.5703125" style="8" customWidth="1"/>
    <col min="7662" max="7662" width="8.42578125" style="8" bestFit="1" customWidth="1"/>
    <col min="7663" max="7663" width="12.5703125" style="8" customWidth="1"/>
    <col min="7664" max="7665" width="9.42578125" style="8" customWidth="1"/>
    <col min="7666" max="7666" width="3.42578125" style="8" bestFit="1" customWidth="1"/>
    <col min="7667" max="7667" width="35.42578125" style="8" customWidth="1"/>
    <col min="7668" max="7668" width="85.42578125" style="8" customWidth="1"/>
    <col min="7669" max="7669" width="4.5703125" style="8" bestFit="1" customWidth="1"/>
    <col min="7670" max="7670" width="20.5703125" style="8" bestFit="1" customWidth="1"/>
    <col min="7671" max="7909" width="11.5703125" style="8"/>
    <col min="7910" max="7910" width="9.42578125" style="8" customWidth="1"/>
    <col min="7911" max="7911" width="81.42578125" style="8" customWidth="1"/>
    <col min="7912" max="7912" width="4.5703125" style="8" customWidth="1"/>
    <col min="7913" max="7913" width="70.42578125" style="8" customWidth="1"/>
    <col min="7914" max="7914" width="19.42578125" style="8" customWidth="1"/>
    <col min="7915" max="7915" width="24" style="8" customWidth="1"/>
    <col min="7916" max="7916" width="21.42578125" style="8" customWidth="1"/>
    <col min="7917" max="7917" width="2.5703125" style="8" customWidth="1"/>
    <col min="7918" max="7918" width="8.42578125" style="8" bestFit="1" customWidth="1"/>
    <col min="7919" max="7919" width="12.5703125" style="8" customWidth="1"/>
    <col min="7920" max="7921" width="9.42578125" style="8" customWidth="1"/>
    <col min="7922" max="7922" width="3.42578125" style="8" bestFit="1" customWidth="1"/>
    <col min="7923" max="7923" width="35.42578125" style="8" customWidth="1"/>
    <col min="7924" max="7924" width="85.42578125" style="8" customWidth="1"/>
    <col min="7925" max="7925" width="4.5703125" style="8" bestFit="1" customWidth="1"/>
    <col min="7926" max="7926" width="20.5703125" style="8" bestFit="1" customWidth="1"/>
    <col min="7927" max="8165" width="11.5703125" style="8"/>
    <col min="8166" max="8166" width="9.42578125" style="8" customWidth="1"/>
    <col min="8167" max="8167" width="81.42578125" style="8" customWidth="1"/>
    <col min="8168" max="8168" width="4.5703125" style="8" customWidth="1"/>
    <col min="8169" max="8169" width="70.42578125" style="8" customWidth="1"/>
    <col min="8170" max="8170" width="19.42578125" style="8" customWidth="1"/>
    <col min="8171" max="8171" width="24" style="8" customWidth="1"/>
    <col min="8172" max="8172" width="21.42578125" style="8" customWidth="1"/>
    <col min="8173" max="8173" width="2.5703125" style="8" customWidth="1"/>
    <col min="8174" max="8174" width="8.42578125" style="8" bestFit="1" customWidth="1"/>
    <col min="8175" max="8175" width="12.5703125" style="8" customWidth="1"/>
    <col min="8176" max="8177" width="9.42578125" style="8" customWidth="1"/>
    <col min="8178" max="8178" width="3.42578125" style="8" bestFit="1" customWidth="1"/>
    <col min="8179" max="8179" width="35.42578125" style="8" customWidth="1"/>
    <col min="8180" max="8180" width="85.42578125" style="8" customWidth="1"/>
    <col min="8181" max="8181" width="4.5703125" style="8" bestFit="1" customWidth="1"/>
    <col min="8182" max="8182" width="20.5703125" style="8" bestFit="1" customWidth="1"/>
    <col min="8183" max="8421" width="11.5703125" style="8"/>
    <col min="8422" max="8422" width="9.42578125" style="8" customWidth="1"/>
    <col min="8423" max="8423" width="81.42578125" style="8" customWidth="1"/>
    <col min="8424" max="8424" width="4.5703125" style="8" customWidth="1"/>
    <col min="8425" max="8425" width="70.42578125" style="8" customWidth="1"/>
    <col min="8426" max="8426" width="19.42578125" style="8" customWidth="1"/>
    <col min="8427" max="8427" width="24" style="8" customWidth="1"/>
    <col min="8428" max="8428" width="21.42578125" style="8" customWidth="1"/>
    <col min="8429" max="8429" width="2.5703125" style="8" customWidth="1"/>
    <col min="8430" max="8430" width="8.42578125" style="8" bestFit="1" customWidth="1"/>
    <col min="8431" max="8431" width="12.5703125" style="8" customWidth="1"/>
    <col min="8432" max="8433" width="9.42578125" style="8" customWidth="1"/>
    <col min="8434" max="8434" width="3.42578125" style="8" bestFit="1" customWidth="1"/>
    <col min="8435" max="8435" width="35.42578125" style="8" customWidth="1"/>
    <col min="8436" max="8436" width="85.42578125" style="8" customWidth="1"/>
    <col min="8437" max="8437" width="4.5703125" style="8" bestFit="1" customWidth="1"/>
    <col min="8438" max="8438" width="20.5703125" style="8" bestFit="1" customWidth="1"/>
    <col min="8439" max="8677" width="11.5703125" style="8"/>
    <col min="8678" max="8678" width="9.42578125" style="8" customWidth="1"/>
    <col min="8679" max="8679" width="81.42578125" style="8" customWidth="1"/>
    <col min="8680" max="8680" width="4.5703125" style="8" customWidth="1"/>
    <col min="8681" max="8681" width="70.42578125" style="8" customWidth="1"/>
    <col min="8682" max="8682" width="19.42578125" style="8" customWidth="1"/>
    <col min="8683" max="8683" width="24" style="8" customWidth="1"/>
    <col min="8684" max="8684" width="21.42578125" style="8" customWidth="1"/>
    <col min="8685" max="8685" width="2.5703125" style="8" customWidth="1"/>
    <col min="8686" max="8686" width="8.42578125" style="8" bestFit="1" customWidth="1"/>
    <col min="8687" max="8687" width="12.5703125" style="8" customWidth="1"/>
    <col min="8688" max="8689" width="9.42578125" style="8" customWidth="1"/>
    <col min="8690" max="8690" width="3.42578125" style="8" bestFit="1" customWidth="1"/>
    <col min="8691" max="8691" width="35.42578125" style="8" customWidth="1"/>
    <col min="8692" max="8692" width="85.42578125" style="8" customWidth="1"/>
    <col min="8693" max="8693" width="4.5703125" style="8" bestFit="1" customWidth="1"/>
    <col min="8694" max="8694" width="20.5703125" style="8" bestFit="1" customWidth="1"/>
    <col min="8695" max="8933" width="11.5703125" style="8"/>
    <col min="8934" max="8934" width="9.42578125" style="8" customWidth="1"/>
    <col min="8935" max="8935" width="81.42578125" style="8" customWidth="1"/>
    <col min="8936" max="8936" width="4.5703125" style="8" customWidth="1"/>
    <col min="8937" max="8937" width="70.42578125" style="8" customWidth="1"/>
    <col min="8938" max="8938" width="19.42578125" style="8" customWidth="1"/>
    <col min="8939" max="8939" width="24" style="8" customWidth="1"/>
    <col min="8940" max="8940" width="21.42578125" style="8" customWidth="1"/>
    <col min="8941" max="8941" width="2.5703125" style="8" customWidth="1"/>
    <col min="8942" max="8942" width="8.42578125" style="8" bestFit="1" customWidth="1"/>
    <col min="8943" max="8943" width="12.5703125" style="8" customWidth="1"/>
    <col min="8944" max="8945" width="9.42578125" style="8" customWidth="1"/>
    <col min="8946" max="8946" width="3.42578125" style="8" bestFit="1" customWidth="1"/>
    <col min="8947" max="8947" width="35.42578125" style="8" customWidth="1"/>
    <col min="8948" max="8948" width="85.42578125" style="8" customWidth="1"/>
    <col min="8949" max="8949" width="4.5703125" style="8" bestFit="1" customWidth="1"/>
    <col min="8950" max="8950" width="20.5703125" style="8" bestFit="1" customWidth="1"/>
    <col min="8951" max="9189" width="11.5703125" style="8"/>
    <col min="9190" max="9190" width="9.42578125" style="8" customWidth="1"/>
    <col min="9191" max="9191" width="81.42578125" style="8" customWidth="1"/>
    <col min="9192" max="9192" width="4.5703125" style="8" customWidth="1"/>
    <col min="9193" max="9193" width="70.42578125" style="8" customWidth="1"/>
    <col min="9194" max="9194" width="19.42578125" style="8" customWidth="1"/>
    <col min="9195" max="9195" width="24" style="8" customWidth="1"/>
    <col min="9196" max="9196" width="21.42578125" style="8" customWidth="1"/>
    <col min="9197" max="9197" width="2.5703125" style="8" customWidth="1"/>
    <col min="9198" max="9198" width="8.42578125" style="8" bestFit="1" customWidth="1"/>
    <col min="9199" max="9199" width="12.5703125" style="8" customWidth="1"/>
    <col min="9200" max="9201" width="9.42578125" style="8" customWidth="1"/>
    <col min="9202" max="9202" width="3.42578125" style="8" bestFit="1" customWidth="1"/>
    <col min="9203" max="9203" width="35.42578125" style="8" customWidth="1"/>
    <col min="9204" max="9204" width="85.42578125" style="8" customWidth="1"/>
    <col min="9205" max="9205" width="4.5703125" style="8" bestFit="1" customWidth="1"/>
    <col min="9206" max="9206" width="20.5703125" style="8" bestFit="1" customWidth="1"/>
    <col min="9207" max="9445" width="11.5703125" style="8"/>
    <col min="9446" max="9446" width="9.42578125" style="8" customWidth="1"/>
    <col min="9447" max="9447" width="81.42578125" style="8" customWidth="1"/>
    <col min="9448" max="9448" width="4.5703125" style="8" customWidth="1"/>
    <col min="9449" max="9449" width="70.42578125" style="8" customWidth="1"/>
    <col min="9450" max="9450" width="19.42578125" style="8" customWidth="1"/>
    <col min="9451" max="9451" width="24" style="8" customWidth="1"/>
    <col min="9452" max="9452" width="21.42578125" style="8" customWidth="1"/>
    <col min="9453" max="9453" width="2.5703125" style="8" customWidth="1"/>
    <col min="9454" max="9454" width="8.42578125" style="8" bestFit="1" customWidth="1"/>
    <col min="9455" max="9455" width="12.5703125" style="8" customWidth="1"/>
    <col min="9456" max="9457" width="9.42578125" style="8" customWidth="1"/>
    <col min="9458" max="9458" width="3.42578125" style="8" bestFit="1" customWidth="1"/>
    <col min="9459" max="9459" width="35.42578125" style="8" customWidth="1"/>
    <col min="9460" max="9460" width="85.42578125" style="8" customWidth="1"/>
    <col min="9461" max="9461" width="4.5703125" style="8" bestFit="1" customWidth="1"/>
    <col min="9462" max="9462" width="20.5703125" style="8" bestFit="1" customWidth="1"/>
    <col min="9463" max="9701" width="11.5703125" style="8"/>
    <col min="9702" max="9702" width="9.42578125" style="8" customWidth="1"/>
    <col min="9703" max="9703" width="81.42578125" style="8" customWidth="1"/>
    <col min="9704" max="9704" width="4.5703125" style="8" customWidth="1"/>
    <col min="9705" max="9705" width="70.42578125" style="8" customWidth="1"/>
    <col min="9706" max="9706" width="19.42578125" style="8" customWidth="1"/>
    <col min="9707" max="9707" width="24" style="8" customWidth="1"/>
    <col min="9708" max="9708" width="21.42578125" style="8" customWidth="1"/>
    <col min="9709" max="9709" width="2.5703125" style="8" customWidth="1"/>
    <col min="9710" max="9710" width="8.42578125" style="8" bestFit="1" customWidth="1"/>
    <col min="9711" max="9711" width="12.5703125" style="8" customWidth="1"/>
    <col min="9712" max="9713" width="9.42578125" style="8" customWidth="1"/>
    <col min="9714" max="9714" width="3.42578125" style="8" bestFit="1" customWidth="1"/>
    <col min="9715" max="9715" width="35.42578125" style="8" customWidth="1"/>
    <col min="9716" max="9716" width="85.42578125" style="8" customWidth="1"/>
    <col min="9717" max="9717" width="4.5703125" style="8" bestFit="1" customWidth="1"/>
    <col min="9718" max="9718" width="20.5703125" style="8" bestFit="1" customWidth="1"/>
    <col min="9719" max="9957" width="11.5703125" style="8"/>
    <col min="9958" max="9958" width="9.42578125" style="8" customWidth="1"/>
    <col min="9959" max="9959" width="81.42578125" style="8" customWidth="1"/>
    <col min="9960" max="9960" width="4.5703125" style="8" customWidth="1"/>
    <col min="9961" max="9961" width="70.42578125" style="8" customWidth="1"/>
    <col min="9962" max="9962" width="19.42578125" style="8" customWidth="1"/>
    <col min="9963" max="9963" width="24" style="8" customWidth="1"/>
    <col min="9964" max="9964" width="21.42578125" style="8" customWidth="1"/>
    <col min="9965" max="9965" width="2.5703125" style="8" customWidth="1"/>
    <col min="9966" max="9966" width="8.42578125" style="8" bestFit="1" customWidth="1"/>
    <col min="9967" max="9967" width="12.5703125" style="8" customWidth="1"/>
    <col min="9968" max="9969" width="9.42578125" style="8" customWidth="1"/>
    <col min="9970" max="9970" width="3.42578125" style="8" bestFit="1" customWidth="1"/>
    <col min="9971" max="9971" width="35.42578125" style="8" customWidth="1"/>
    <col min="9972" max="9972" width="85.42578125" style="8" customWidth="1"/>
    <col min="9973" max="9973" width="4.5703125" style="8" bestFit="1" customWidth="1"/>
    <col min="9974" max="9974" width="20.5703125" style="8" bestFit="1" customWidth="1"/>
    <col min="9975" max="10213" width="11.5703125" style="8"/>
    <col min="10214" max="10214" width="9.42578125" style="8" customWidth="1"/>
    <col min="10215" max="10215" width="81.42578125" style="8" customWidth="1"/>
    <col min="10216" max="10216" width="4.5703125" style="8" customWidth="1"/>
    <col min="10217" max="10217" width="70.42578125" style="8" customWidth="1"/>
    <col min="10218" max="10218" width="19.42578125" style="8" customWidth="1"/>
    <col min="10219" max="10219" width="24" style="8" customWidth="1"/>
    <col min="10220" max="10220" width="21.42578125" style="8" customWidth="1"/>
    <col min="10221" max="10221" width="2.5703125" style="8" customWidth="1"/>
    <col min="10222" max="10222" width="8.42578125" style="8" bestFit="1" customWidth="1"/>
    <col min="10223" max="10223" width="12.5703125" style="8" customWidth="1"/>
    <col min="10224" max="10225" width="9.42578125" style="8" customWidth="1"/>
    <col min="10226" max="10226" width="3.42578125" style="8" bestFit="1" customWidth="1"/>
    <col min="10227" max="10227" width="35.42578125" style="8" customWidth="1"/>
    <col min="10228" max="10228" width="85.42578125" style="8" customWidth="1"/>
    <col min="10229" max="10229" width="4.5703125" style="8" bestFit="1" customWidth="1"/>
    <col min="10230" max="10230" width="20.5703125" style="8" bestFit="1" customWidth="1"/>
    <col min="10231" max="10469" width="11.5703125" style="8"/>
    <col min="10470" max="10470" width="9.42578125" style="8" customWidth="1"/>
    <col min="10471" max="10471" width="81.42578125" style="8" customWidth="1"/>
    <col min="10472" max="10472" width="4.5703125" style="8" customWidth="1"/>
    <col min="10473" max="10473" width="70.42578125" style="8" customWidth="1"/>
    <col min="10474" max="10474" width="19.42578125" style="8" customWidth="1"/>
    <col min="10475" max="10475" width="24" style="8" customWidth="1"/>
    <col min="10476" max="10476" width="21.42578125" style="8" customWidth="1"/>
    <col min="10477" max="10477" width="2.5703125" style="8" customWidth="1"/>
    <col min="10478" max="10478" width="8.42578125" style="8" bestFit="1" customWidth="1"/>
    <col min="10479" max="10479" width="12.5703125" style="8" customWidth="1"/>
    <col min="10480" max="10481" width="9.42578125" style="8" customWidth="1"/>
    <col min="10482" max="10482" width="3.42578125" style="8" bestFit="1" customWidth="1"/>
    <col min="10483" max="10483" width="35.42578125" style="8" customWidth="1"/>
    <col min="10484" max="10484" width="85.42578125" style="8" customWidth="1"/>
    <col min="10485" max="10485" width="4.5703125" style="8" bestFit="1" customWidth="1"/>
    <col min="10486" max="10486" width="20.5703125" style="8" bestFit="1" customWidth="1"/>
    <col min="10487" max="10725" width="11.5703125" style="8"/>
    <col min="10726" max="10726" width="9.42578125" style="8" customWidth="1"/>
    <col min="10727" max="10727" width="81.42578125" style="8" customWidth="1"/>
    <col min="10728" max="10728" width="4.5703125" style="8" customWidth="1"/>
    <col min="10729" max="10729" width="70.42578125" style="8" customWidth="1"/>
    <col min="10730" max="10730" width="19.42578125" style="8" customWidth="1"/>
    <col min="10731" max="10731" width="24" style="8" customWidth="1"/>
    <col min="10732" max="10732" width="21.42578125" style="8" customWidth="1"/>
    <col min="10733" max="10733" width="2.5703125" style="8" customWidth="1"/>
    <col min="10734" max="10734" width="8.42578125" style="8" bestFit="1" customWidth="1"/>
    <col min="10735" max="10735" width="12.5703125" style="8" customWidth="1"/>
    <col min="10736" max="10737" width="9.42578125" style="8" customWidth="1"/>
    <col min="10738" max="10738" width="3.42578125" style="8" bestFit="1" customWidth="1"/>
    <col min="10739" max="10739" width="35.42578125" style="8" customWidth="1"/>
    <col min="10740" max="10740" width="85.42578125" style="8" customWidth="1"/>
    <col min="10741" max="10741" width="4.5703125" style="8" bestFit="1" customWidth="1"/>
    <col min="10742" max="10742" width="20.5703125" style="8" bestFit="1" customWidth="1"/>
    <col min="10743" max="10981" width="11.5703125" style="8"/>
    <col min="10982" max="10982" width="9.42578125" style="8" customWidth="1"/>
    <col min="10983" max="10983" width="81.42578125" style="8" customWidth="1"/>
    <col min="10984" max="10984" width="4.5703125" style="8" customWidth="1"/>
    <col min="10985" max="10985" width="70.42578125" style="8" customWidth="1"/>
    <col min="10986" max="10986" width="19.42578125" style="8" customWidth="1"/>
    <col min="10987" max="10987" width="24" style="8" customWidth="1"/>
    <col min="10988" max="10988" width="21.42578125" style="8" customWidth="1"/>
    <col min="10989" max="10989" width="2.5703125" style="8" customWidth="1"/>
    <col min="10990" max="10990" width="8.42578125" style="8" bestFit="1" customWidth="1"/>
    <col min="10991" max="10991" width="12.5703125" style="8" customWidth="1"/>
    <col min="10992" max="10993" width="9.42578125" style="8" customWidth="1"/>
    <col min="10994" max="10994" width="3.42578125" style="8" bestFit="1" customWidth="1"/>
    <col min="10995" max="10995" width="35.42578125" style="8" customWidth="1"/>
    <col min="10996" max="10996" width="85.42578125" style="8" customWidth="1"/>
    <col min="10997" max="10997" width="4.5703125" style="8" bestFit="1" customWidth="1"/>
    <col min="10998" max="10998" width="20.5703125" style="8" bestFit="1" customWidth="1"/>
    <col min="10999" max="11237" width="11.5703125" style="8"/>
    <col min="11238" max="11238" width="9.42578125" style="8" customWidth="1"/>
    <col min="11239" max="11239" width="81.42578125" style="8" customWidth="1"/>
    <col min="11240" max="11240" width="4.5703125" style="8" customWidth="1"/>
    <col min="11241" max="11241" width="70.42578125" style="8" customWidth="1"/>
    <col min="11242" max="11242" width="19.42578125" style="8" customWidth="1"/>
    <col min="11243" max="11243" width="24" style="8" customWidth="1"/>
    <col min="11244" max="11244" width="21.42578125" style="8" customWidth="1"/>
    <col min="11245" max="11245" width="2.5703125" style="8" customWidth="1"/>
    <col min="11246" max="11246" width="8.42578125" style="8" bestFit="1" customWidth="1"/>
    <col min="11247" max="11247" width="12.5703125" style="8" customWidth="1"/>
    <col min="11248" max="11249" width="9.42578125" style="8" customWidth="1"/>
    <col min="11250" max="11250" width="3.42578125" style="8" bestFit="1" customWidth="1"/>
    <col min="11251" max="11251" width="35.42578125" style="8" customWidth="1"/>
    <col min="11252" max="11252" width="85.42578125" style="8" customWidth="1"/>
    <col min="11253" max="11253" width="4.5703125" style="8" bestFit="1" customWidth="1"/>
    <col min="11254" max="11254" width="20.5703125" style="8" bestFit="1" customWidth="1"/>
    <col min="11255" max="11493" width="11.5703125" style="8"/>
    <col min="11494" max="11494" width="9.42578125" style="8" customWidth="1"/>
    <col min="11495" max="11495" width="81.42578125" style="8" customWidth="1"/>
    <col min="11496" max="11496" width="4.5703125" style="8" customWidth="1"/>
    <col min="11497" max="11497" width="70.42578125" style="8" customWidth="1"/>
    <col min="11498" max="11498" width="19.42578125" style="8" customWidth="1"/>
    <col min="11499" max="11499" width="24" style="8" customWidth="1"/>
    <col min="11500" max="11500" width="21.42578125" style="8" customWidth="1"/>
    <col min="11501" max="11501" width="2.5703125" style="8" customWidth="1"/>
    <col min="11502" max="11502" width="8.42578125" style="8" bestFit="1" customWidth="1"/>
    <col min="11503" max="11503" width="12.5703125" style="8" customWidth="1"/>
    <col min="11504" max="11505" width="9.42578125" style="8" customWidth="1"/>
    <col min="11506" max="11506" width="3.42578125" style="8" bestFit="1" customWidth="1"/>
    <col min="11507" max="11507" width="35.42578125" style="8" customWidth="1"/>
    <col min="11508" max="11508" width="85.42578125" style="8" customWidth="1"/>
    <col min="11509" max="11509" width="4.5703125" style="8" bestFit="1" customWidth="1"/>
    <col min="11510" max="11510" width="20.5703125" style="8" bestFit="1" customWidth="1"/>
    <col min="11511" max="11749" width="11.5703125" style="8"/>
    <col min="11750" max="11750" width="9.42578125" style="8" customWidth="1"/>
    <col min="11751" max="11751" width="81.42578125" style="8" customWidth="1"/>
    <col min="11752" max="11752" width="4.5703125" style="8" customWidth="1"/>
    <col min="11753" max="11753" width="70.42578125" style="8" customWidth="1"/>
    <col min="11754" max="11754" width="19.42578125" style="8" customWidth="1"/>
    <col min="11755" max="11755" width="24" style="8" customWidth="1"/>
    <col min="11756" max="11756" width="21.42578125" style="8" customWidth="1"/>
    <col min="11757" max="11757" width="2.5703125" style="8" customWidth="1"/>
    <col min="11758" max="11758" width="8.42578125" style="8" bestFit="1" customWidth="1"/>
    <col min="11759" max="11759" width="12.5703125" style="8" customWidth="1"/>
    <col min="11760" max="11761" width="9.42578125" style="8" customWidth="1"/>
    <col min="11762" max="11762" width="3.42578125" style="8" bestFit="1" customWidth="1"/>
    <col min="11763" max="11763" width="35.42578125" style="8" customWidth="1"/>
    <col min="11764" max="11764" width="85.42578125" style="8" customWidth="1"/>
    <col min="11765" max="11765" width="4.5703125" style="8" bestFit="1" customWidth="1"/>
    <col min="11766" max="11766" width="20.5703125" style="8" bestFit="1" customWidth="1"/>
    <col min="11767" max="12005" width="11.5703125" style="8"/>
    <col min="12006" max="12006" width="9.42578125" style="8" customWidth="1"/>
    <col min="12007" max="12007" width="81.42578125" style="8" customWidth="1"/>
    <col min="12008" max="12008" width="4.5703125" style="8" customWidth="1"/>
    <col min="12009" max="12009" width="70.42578125" style="8" customWidth="1"/>
    <col min="12010" max="12010" width="19.42578125" style="8" customWidth="1"/>
    <col min="12011" max="12011" width="24" style="8" customWidth="1"/>
    <col min="12012" max="12012" width="21.42578125" style="8" customWidth="1"/>
    <col min="12013" max="12013" width="2.5703125" style="8" customWidth="1"/>
    <col min="12014" max="12014" width="8.42578125" style="8" bestFit="1" customWidth="1"/>
    <col min="12015" max="12015" width="12.5703125" style="8" customWidth="1"/>
    <col min="12016" max="12017" width="9.42578125" style="8" customWidth="1"/>
    <col min="12018" max="12018" width="3.42578125" style="8" bestFit="1" customWidth="1"/>
    <col min="12019" max="12019" width="35.42578125" style="8" customWidth="1"/>
    <col min="12020" max="12020" width="85.42578125" style="8" customWidth="1"/>
    <col min="12021" max="12021" width="4.5703125" style="8" bestFit="1" customWidth="1"/>
    <col min="12022" max="12022" width="20.5703125" style="8" bestFit="1" customWidth="1"/>
    <col min="12023" max="12261" width="11.5703125" style="8"/>
    <col min="12262" max="12262" width="9.42578125" style="8" customWidth="1"/>
    <col min="12263" max="12263" width="81.42578125" style="8" customWidth="1"/>
    <col min="12264" max="12264" width="4.5703125" style="8" customWidth="1"/>
    <col min="12265" max="12265" width="70.42578125" style="8" customWidth="1"/>
    <col min="12266" max="12266" width="19.42578125" style="8" customWidth="1"/>
    <col min="12267" max="12267" width="24" style="8" customWidth="1"/>
    <col min="12268" max="12268" width="21.42578125" style="8" customWidth="1"/>
    <col min="12269" max="12269" width="2.5703125" style="8" customWidth="1"/>
    <col min="12270" max="12270" width="8.42578125" style="8" bestFit="1" customWidth="1"/>
    <col min="12271" max="12271" width="12.5703125" style="8" customWidth="1"/>
    <col min="12272" max="12273" width="9.42578125" style="8" customWidth="1"/>
    <col min="12274" max="12274" width="3.42578125" style="8" bestFit="1" customWidth="1"/>
    <col min="12275" max="12275" width="35.42578125" style="8" customWidth="1"/>
    <col min="12276" max="12276" width="85.42578125" style="8" customWidth="1"/>
    <col min="12277" max="12277" width="4.5703125" style="8" bestFit="1" customWidth="1"/>
    <col min="12278" max="12278" width="20.5703125" style="8" bestFit="1" customWidth="1"/>
    <col min="12279" max="12517" width="11.5703125" style="8"/>
    <col min="12518" max="12518" width="9.42578125" style="8" customWidth="1"/>
    <col min="12519" max="12519" width="81.42578125" style="8" customWidth="1"/>
    <col min="12520" max="12520" width="4.5703125" style="8" customWidth="1"/>
    <col min="12521" max="12521" width="70.42578125" style="8" customWidth="1"/>
    <col min="12522" max="12522" width="19.42578125" style="8" customWidth="1"/>
    <col min="12523" max="12523" width="24" style="8" customWidth="1"/>
    <col min="12524" max="12524" width="21.42578125" style="8" customWidth="1"/>
    <col min="12525" max="12525" width="2.5703125" style="8" customWidth="1"/>
    <col min="12526" max="12526" width="8.42578125" style="8" bestFit="1" customWidth="1"/>
    <col min="12527" max="12527" width="12.5703125" style="8" customWidth="1"/>
    <col min="12528" max="12529" width="9.42578125" style="8" customWidth="1"/>
    <col min="12530" max="12530" width="3.42578125" style="8" bestFit="1" customWidth="1"/>
    <col min="12531" max="12531" width="35.42578125" style="8" customWidth="1"/>
    <col min="12532" max="12532" width="85.42578125" style="8" customWidth="1"/>
    <col min="12533" max="12533" width="4.5703125" style="8" bestFit="1" customWidth="1"/>
    <col min="12534" max="12534" width="20.5703125" style="8" bestFit="1" customWidth="1"/>
    <col min="12535" max="12773" width="11.5703125" style="8"/>
    <col min="12774" max="12774" width="9.42578125" style="8" customWidth="1"/>
    <col min="12775" max="12775" width="81.42578125" style="8" customWidth="1"/>
    <col min="12776" max="12776" width="4.5703125" style="8" customWidth="1"/>
    <col min="12777" max="12777" width="70.42578125" style="8" customWidth="1"/>
    <col min="12778" max="12778" width="19.42578125" style="8" customWidth="1"/>
    <col min="12779" max="12779" width="24" style="8" customWidth="1"/>
    <col min="12780" max="12780" width="21.42578125" style="8" customWidth="1"/>
    <col min="12781" max="12781" width="2.5703125" style="8" customWidth="1"/>
    <col min="12782" max="12782" width="8.42578125" style="8" bestFit="1" customWidth="1"/>
    <col min="12783" max="12783" width="12.5703125" style="8" customWidth="1"/>
    <col min="12784" max="12785" width="9.42578125" style="8" customWidth="1"/>
    <col min="12786" max="12786" width="3.42578125" style="8" bestFit="1" customWidth="1"/>
    <col min="12787" max="12787" width="35.42578125" style="8" customWidth="1"/>
    <col min="12788" max="12788" width="85.42578125" style="8" customWidth="1"/>
    <col min="12789" max="12789" width="4.5703125" style="8" bestFit="1" customWidth="1"/>
    <col min="12790" max="12790" width="20.5703125" style="8" bestFit="1" customWidth="1"/>
    <col min="12791" max="13029" width="11.5703125" style="8"/>
    <col min="13030" max="13030" width="9.42578125" style="8" customWidth="1"/>
    <col min="13031" max="13031" width="81.42578125" style="8" customWidth="1"/>
    <col min="13032" max="13032" width="4.5703125" style="8" customWidth="1"/>
    <col min="13033" max="13033" width="70.42578125" style="8" customWidth="1"/>
    <col min="13034" max="13034" width="19.42578125" style="8" customWidth="1"/>
    <col min="13035" max="13035" width="24" style="8" customWidth="1"/>
    <col min="13036" max="13036" width="21.42578125" style="8" customWidth="1"/>
    <col min="13037" max="13037" width="2.5703125" style="8" customWidth="1"/>
    <col min="13038" max="13038" width="8.42578125" style="8" bestFit="1" customWidth="1"/>
    <col min="13039" max="13039" width="12.5703125" style="8" customWidth="1"/>
    <col min="13040" max="13041" width="9.42578125" style="8" customWidth="1"/>
    <col min="13042" max="13042" width="3.42578125" style="8" bestFit="1" customWidth="1"/>
    <col min="13043" max="13043" width="35.42578125" style="8" customWidth="1"/>
    <col min="13044" max="13044" width="85.42578125" style="8" customWidth="1"/>
    <col min="13045" max="13045" width="4.5703125" style="8" bestFit="1" customWidth="1"/>
    <col min="13046" max="13046" width="20.5703125" style="8" bestFit="1" customWidth="1"/>
    <col min="13047" max="13285" width="11.5703125" style="8"/>
    <col min="13286" max="13286" width="9.42578125" style="8" customWidth="1"/>
    <col min="13287" max="13287" width="81.42578125" style="8" customWidth="1"/>
    <col min="13288" max="13288" width="4.5703125" style="8" customWidth="1"/>
    <col min="13289" max="13289" width="70.42578125" style="8" customWidth="1"/>
    <col min="13290" max="13290" width="19.42578125" style="8" customWidth="1"/>
    <col min="13291" max="13291" width="24" style="8" customWidth="1"/>
    <col min="13292" max="13292" width="21.42578125" style="8" customWidth="1"/>
    <col min="13293" max="13293" width="2.5703125" style="8" customWidth="1"/>
    <col min="13294" max="13294" width="8.42578125" style="8" bestFit="1" customWidth="1"/>
    <col min="13295" max="13295" width="12.5703125" style="8" customWidth="1"/>
    <col min="13296" max="13297" width="9.42578125" style="8" customWidth="1"/>
    <col min="13298" max="13298" width="3.42578125" style="8" bestFit="1" customWidth="1"/>
    <col min="13299" max="13299" width="35.42578125" style="8" customWidth="1"/>
    <col min="13300" max="13300" width="85.42578125" style="8" customWidth="1"/>
    <col min="13301" max="13301" width="4.5703125" style="8" bestFit="1" customWidth="1"/>
    <col min="13302" max="13302" width="20.5703125" style="8" bestFit="1" customWidth="1"/>
    <col min="13303" max="13541" width="11.5703125" style="8"/>
    <col min="13542" max="13542" width="9.42578125" style="8" customWidth="1"/>
    <col min="13543" max="13543" width="81.42578125" style="8" customWidth="1"/>
    <col min="13544" max="13544" width="4.5703125" style="8" customWidth="1"/>
    <col min="13545" max="13545" width="70.42578125" style="8" customWidth="1"/>
    <col min="13546" max="13546" width="19.42578125" style="8" customWidth="1"/>
    <col min="13547" max="13547" width="24" style="8" customWidth="1"/>
    <col min="13548" max="13548" width="21.42578125" style="8" customWidth="1"/>
    <col min="13549" max="13549" width="2.5703125" style="8" customWidth="1"/>
    <col min="13550" max="13550" width="8.42578125" style="8" bestFit="1" customWidth="1"/>
    <col min="13551" max="13551" width="12.5703125" style="8" customWidth="1"/>
    <col min="13552" max="13553" width="9.42578125" style="8" customWidth="1"/>
    <col min="13554" max="13554" width="3.42578125" style="8" bestFit="1" customWidth="1"/>
    <col min="13555" max="13555" width="35.42578125" style="8" customWidth="1"/>
    <col min="13556" max="13556" width="85.42578125" style="8" customWidth="1"/>
    <col min="13557" max="13557" width="4.5703125" style="8" bestFit="1" customWidth="1"/>
    <col min="13558" max="13558" width="20.5703125" style="8" bestFit="1" customWidth="1"/>
    <col min="13559" max="13797" width="11.5703125" style="8"/>
    <col min="13798" max="13798" width="9.42578125" style="8" customWidth="1"/>
    <col min="13799" max="13799" width="81.42578125" style="8" customWidth="1"/>
    <col min="13800" max="13800" width="4.5703125" style="8" customWidth="1"/>
    <col min="13801" max="13801" width="70.42578125" style="8" customWidth="1"/>
    <col min="13802" max="13802" width="19.42578125" style="8" customWidth="1"/>
    <col min="13803" max="13803" width="24" style="8" customWidth="1"/>
    <col min="13804" max="13804" width="21.42578125" style="8" customWidth="1"/>
    <col min="13805" max="13805" width="2.5703125" style="8" customWidth="1"/>
    <col min="13806" max="13806" width="8.42578125" style="8" bestFit="1" customWidth="1"/>
    <col min="13807" max="13807" width="12.5703125" style="8" customWidth="1"/>
    <col min="13808" max="13809" width="9.42578125" style="8" customWidth="1"/>
    <col min="13810" max="13810" width="3.42578125" style="8" bestFit="1" customWidth="1"/>
    <col min="13811" max="13811" width="35.42578125" style="8" customWidth="1"/>
    <col min="13812" max="13812" width="85.42578125" style="8" customWidth="1"/>
    <col min="13813" max="13813" width="4.5703125" style="8" bestFit="1" customWidth="1"/>
    <col min="13814" max="13814" width="20.5703125" style="8" bestFit="1" customWidth="1"/>
    <col min="13815" max="14053" width="11.5703125" style="8"/>
    <col min="14054" max="14054" width="9.42578125" style="8" customWidth="1"/>
    <col min="14055" max="14055" width="81.42578125" style="8" customWidth="1"/>
    <col min="14056" max="14056" width="4.5703125" style="8" customWidth="1"/>
    <col min="14057" max="14057" width="70.42578125" style="8" customWidth="1"/>
    <col min="14058" max="14058" width="19.42578125" style="8" customWidth="1"/>
    <col min="14059" max="14059" width="24" style="8" customWidth="1"/>
    <col min="14060" max="14060" width="21.42578125" style="8" customWidth="1"/>
    <col min="14061" max="14061" width="2.5703125" style="8" customWidth="1"/>
    <col min="14062" max="14062" width="8.42578125" style="8" bestFit="1" customWidth="1"/>
    <col min="14063" max="14063" width="12.5703125" style="8" customWidth="1"/>
    <col min="14064" max="14065" width="9.42578125" style="8" customWidth="1"/>
    <col min="14066" max="14066" width="3.42578125" style="8" bestFit="1" customWidth="1"/>
    <col min="14067" max="14067" width="35.42578125" style="8" customWidth="1"/>
    <col min="14068" max="14068" width="85.42578125" style="8" customWidth="1"/>
    <col min="14069" max="14069" width="4.5703125" style="8" bestFit="1" customWidth="1"/>
    <col min="14070" max="14070" width="20.5703125" style="8" bestFit="1" customWidth="1"/>
    <col min="14071" max="14309" width="11.5703125" style="8"/>
    <col min="14310" max="14310" width="9.42578125" style="8" customWidth="1"/>
    <col min="14311" max="14311" width="81.42578125" style="8" customWidth="1"/>
    <col min="14312" max="14312" width="4.5703125" style="8" customWidth="1"/>
    <col min="14313" max="14313" width="70.42578125" style="8" customWidth="1"/>
    <col min="14314" max="14314" width="19.42578125" style="8" customWidth="1"/>
    <col min="14315" max="14315" width="24" style="8" customWidth="1"/>
    <col min="14316" max="14316" width="21.42578125" style="8" customWidth="1"/>
    <col min="14317" max="14317" width="2.5703125" style="8" customWidth="1"/>
    <col min="14318" max="14318" width="8.42578125" style="8" bestFit="1" customWidth="1"/>
    <col min="14319" max="14319" width="12.5703125" style="8" customWidth="1"/>
    <col min="14320" max="14321" width="9.42578125" style="8" customWidth="1"/>
    <col min="14322" max="14322" width="3.42578125" style="8" bestFit="1" customWidth="1"/>
    <col min="14323" max="14323" width="35.42578125" style="8" customWidth="1"/>
    <col min="14324" max="14324" width="85.42578125" style="8" customWidth="1"/>
    <col min="14325" max="14325" width="4.5703125" style="8" bestFit="1" customWidth="1"/>
    <col min="14326" max="14326" width="20.5703125" style="8" bestFit="1" customWidth="1"/>
    <col min="14327" max="14565" width="11.5703125" style="8"/>
    <col min="14566" max="14566" width="9.42578125" style="8" customWidth="1"/>
    <col min="14567" max="14567" width="81.42578125" style="8" customWidth="1"/>
    <col min="14568" max="14568" width="4.5703125" style="8" customWidth="1"/>
    <col min="14569" max="14569" width="70.42578125" style="8" customWidth="1"/>
    <col min="14570" max="14570" width="19.42578125" style="8" customWidth="1"/>
    <col min="14571" max="14571" width="24" style="8" customWidth="1"/>
    <col min="14572" max="14572" width="21.42578125" style="8" customWidth="1"/>
    <col min="14573" max="14573" width="2.5703125" style="8" customWidth="1"/>
    <col min="14574" max="14574" width="8.42578125" style="8" bestFit="1" customWidth="1"/>
    <col min="14575" max="14575" width="12.5703125" style="8" customWidth="1"/>
    <col min="14576" max="14577" width="9.42578125" style="8" customWidth="1"/>
    <col min="14578" max="14578" width="3.42578125" style="8" bestFit="1" customWidth="1"/>
    <col min="14579" max="14579" width="35.42578125" style="8" customWidth="1"/>
    <col min="14580" max="14580" width="85.42578125" style="8" customWidth="1"/>
    <col min="14581" max="14581" width="4.5703125" style="8" bestFit="1" customWidth="1"/>
    <col min="14582" max="14582" width="20.5703125" style="8" bestFit="1" customWidth="1"/>
    <col min="14583" max="14821" width="11.5703125" style="8"/>
    <col min="14822" max="14822" width="9.42578125" style="8" customWidth="1"/>
    <col min="14823" max="14823" width="81.42578125" style="8" customWidth="1"/>
    <col min="14824" max="14824" width="4.5703125" style="8" customWidth="1"/>
    <col min="14825" max="14825" width="70.42578125" style="8" customWidth="1"/>
    <col min="14826" max="14826" width="19.42578125" style="8" customWidth="1"/>
    <col min="14827" max="14827" width="24" style="8" customWidth="1"/>
    <col min="14828" max="14828" width="21.42578125" style="8" customWidth="1"/>
    <col min="14829" max="14829" width="2.5703125" style="8" customWidth="1"/>
    <col min="14830" max="14830" width="8.42578125" style="8" bestFit="1" customWidth="1"/>
    <col min="14831" max="14831" width="12.5703125" style="8" customWidth="1"/>
    <col min="14832" max="14833" width="9.42578125" style="8" customWidth="1"/>
    <col min="14834" max="14834" width="3.42578125" style="8" bestFit="1" customWidth="1"/>
    <col min="14835" max="14835" width="35.42578125" style="8" customWidth="1"/>
    <col min="14836" max="14836" width="85.42578125" style="8" customWidth="1"/>
    <col min="14837" max="14837" width="4.5703125" style="8" bestFit="1" customWidth="1"/>
    <col min="14838" max="14838" width="20.5703125" style="8" bestFit="1" customWidth="1"/>
    <col min="14839" max="15077" width="11.5703125" style="8"/>
    <col min="15078" max="15078" width="9.42578125" style="8" customWidth="1"/>
    <col min="15079" max="15079" width="81.42578125" style="8" customWidth="1"/>
    <col min="15080" max="15080" width="4.5703125" style="8" customWidth="1"/>
    <col min="15081" max="15081" width="70.42578125" style="8" customWidth="1"/>
    <col min="15082" max="15082" width="19.42578125" style="8" customWidth="1"/>
    <col min="15083" max="15083" width="24" style="8" customWidth="1"/>
    <col min="15084" max="15084" width="21.42578125" style="8" customWidth="1"/>
    <col min="15085" max="15085" width="2.5703125" style="8" customWidth="1"/>
    <col min="15086" max="15086" width="8.42578125" style="8" bestFit="1" customWidth="1"/>
    <col min="15087" max="15087" width="12.5703125" style="8" customWidth="1"/>
    <col min="15088" max="15089" width="9.42578125" style="8" customWidth="1"/>
    <col min="15090" max="15090" width="3.42578125" style="8" bestFit="1" customWidth="1"/>
    <col min="15091" max="15091" width="35.42578125" style="8" customWidth="1"/>
    <col min="15092" max="15092" width="85.42578125" style="8" customWidth="1"/>
    <col min="15093" max="15093" width="4.5703125" style="8" bestFit="1" customWidth="1"/>
    <col min="15094" max="15094" width="20.5703125" style="8" bestFit="1" customWidth="1"/>
    <col min="15095" max="15333" width="11.5703125" style="8"/>
    <col min="15334" max="15334" width="9.42578125" style="8" customWidth="1"/>
    <col min="15335" max="15335" width="81.42578125" style="8" customWidth="1"/>
    <col min="15336" max="15336" width="4.5703125" style="8" customWidth="1"/>
    <col min="15337" max="15337" width="70.42578125" style="8" customWidth="1"/>
    <col min="15338" max="15338" width="19.42578125" style="8" customWidth="1"/>
    <col min="15339" max="15339" width="24" style="8" customWidth="1"/>
    <col min="15340" max="15340" width="21.42578125" style="8" customWidth="1"/>
    <col min="15341" max="15341" width="2.5703125" style="8" customWidth="1"/>
    <col min="15342" max="15342" width="8.42578125" style="8" bestFit="1" customWidth="1"/>
    <col min="15343" max="15343" width="12.5703125" style="8" customWidth="1"/>
    <col min="15344" max="15345" width="9.42578125" style="8" customWidth="1"/>
    <col min="15346" max="15346" width="3.42578125" style="8" bestFit="1" customWidth="1"/>
    <col min="15347" max="15347" width="35.42578125" style="8" customWidth="1"/>
    <col min="15348" max="15348" width="85.42578125" style="8" customWidth="1"/>
    <col min="15349" max="15349" width="4.5703125" style="8" bestFit="1" customWidth="1"/>
    <col min="15350" max="15350" width="20.5703125" style="8" bestFit="1" customWidth="1"/>
    <col min="15351" max="15589" width="11.5703125" style="8"/>
    <col min="15590" max="15590" width="9.42578125" style="8" customWidth="1"/>
    <col min="15591" max="15591" width="81.42578125" style="8" customWidth="1"/>
    <col min="15592" max="15592" width="4.5703125" style="8" customWidth="1"/>
    <col min="15593" max="15593" width="70.42578125" style="8" customWidth="1"/>
    <col min="15594" max="15594" width="19.42578125" style="8" customWidth="1"/>
    <col min="15595" max="15595" width="24" style="8" customWidth="1"/>
    <col min="15596" max="15596" width="21.42578125" style="8" customWidth="1"/>
    <col min="15597" max="15597" width="2.5703125" style="8" customWidth="1"/>
    <col min="15598" max="15598" width="8.42578125" style="8" bestFit="1" customWidth="1"/>
    <col min="15599" max="15599" width="12.5703125" style="8" customWidth="1"/>
    <col min="15600" max="15601" width="9.42578125" style="8" customWidth="1"/>
    <col min="15602" max="15602" width="3.42578125" style="8" bestFit="1" customWidth="1"/>
    <col min="15603" max="15603" width="35.42578125" style="8" customWidth="1"/>
    <col min="15604" max="15604" width="85.42578125" style="8" customWidth="1"/>
    <col min="15605" max="15605" width="4.5703125" style="8" bestFit="1" customWidth="1"/>
    <col min="15606" max="15606" width="20.5703125" style="8" bestFit="1" customWidth="1"/>
    <col min="15607" max="15845" width="11.5703125" style="8"/>
    <col min="15846" max="15846" width="9.42578125" style="8" customWidth="1"/>
    <col min="15847" max="15847" width="81.42578125" style="8" customWidth="1"/>
    <col min="15848" max="15848" width="4.5703125" style="8" customWidth="1"/>
    <col min="15849" max="15849" width="70.42578125" style="8" customWidth="1"/>
    <col min="15850" max="15850" width="19.42578125" style="8" customWidth="1"/>
    <col min="15851" max="15851" width="24" style="8" customWidth="1"/>
    <col min="15852" max="15852" width="21.42578125" style="8" customWidth="1"/>
    <col min="15853" max="15853" width="2.5703125" style="8" customWidth="1"/>
    <col min="15854" max="15854" width="8.42578125" style="8" bestFit="1" customWidth="1"/>
    <col min="15855" max="15855" width="12.5703125" style="8" customWidth="1"/>
    <col min="15856" max="15857" width="9.42578125" style="8" customWidth="1"/>
    <col min="15858" max="15858" width="3.42578125" style="8" bestFit="1" customWidth="1"/>
    <col min="15859" max="15859" width="35.42578125" style="8" customWidth="1"/>
    <col min="15860" max="15860" width="85.42578125" style="8" customWidth="1"/>
    <col min="15861" max="15861" width="4.5703125" style="8" bestFit="1" customWidth="1"/>
    <col min="15862" max="15862" width="20.5703125" style="8" bestFit="1" customWidth="1"/>
    <col min="15863" max="16101" width="11.5703125" style="8"/>
    <col min="16102" max="16102" width="9.42578125" style="8" customWidth="1"/>
    <col min="16103" max="16103" width="81.42578125" style="8" customWidth="1"/>
    <col min="16104" max="16104" width="4.5703125" style="8" customWidth="1"/>
    <col min="16105" max="16105" width="70.42578125" style="8" customWidth="1"/>
    <col min="16106" max="16106" width="19.42578125" style="8" customWidth="1"/>
    <col min="16107" max="16107" width="24" style="8" customWidth="1"/>
    <col min="16108" max="16108" width="21.42578125" style="8" customWidth="1"/>
    <col min="16109" max="16109" width="2.5703125" style="8" customWidth="1"/>
    <col min="16110" max="16110" width="8.42578125" style="8" bestFit="1" customWidth="1"/>
    <col min="16111" max="16111" width="12.5703125" style="8" customWidth="1"/>
    <col min="16112" max="16113" width="9.42578125" style="8" customWidth="1"/>
    <col min="16114" max="16114" width="3.42578125" style="8" bestFit="1" customWidth="1"/>
    <col min="16115" max="16115" width="35.42578125" style="8" customWidth="1"/>
    <col min="16116" max="16116" width="85.42578125" style="8" customWidth="1"/>
    <col min="16117" max="16117" width="4.5703125" style="8" bestFit="1" customWidth="1"/>
    <col min="16118" max="16118" width="20.5703125" style="8" bestFit="1" customWidth="1"/>
    <col min="16119" max="16384" width="11.5703125" style="8"/>
  </cols>
  <sheetData>
    <row r="1" spans="1:27" s="1" customFormat="1" x14ac:dyDescent="0.25">
      <c r="A1" s="256" t="s">
        <v>0</v>
      </c>
      <c r="B1" s="258" t="s">
        <v>1</v>
      </c>
      <c r="C1" s="260" t="s">
        <v>2</v>
      </c>
      <c r="D1" s="262" t="s">
        <v>3</v>
      </c>
      <c r="E1" s="258" t="s">
        <v>4</v>
      </c>
      <c r="F1" s="258"/>
      <c r="G1" s="254" t="s">
        <v>5</v>
      </c>
      <c r="I1" s="2" t="s">
        <v>6</v>
      </c>
      <c r="J1" s="1" t="s">
        <v>7</v>
      </c>
    </row>
    <row r="2" spans="1:27" s="1" customFormat="1" ht="12.75" hidden="1" thickBot="1" x14ac:dyDescent="0.3">
      <c r="A2" s="257"/>
      <c r="B2" s="259"/>
      <c r="C2" s="261"/>
      <c r="D2" s="263"/>
      <c r="E2" s="259"/>
      <c r="F2" s="259"/>
      <c r="G2" s="255"/>
      <c r="I2" s="93"/>
    </row>
    <row r="3" spans="1:27" s="1" customFormat="1" hidden="1" x14ac:dyDescent="0.2">
      <c r="A3" s="56" t="s">
        <v>8639</v>
      </c>
      <c r="B3" s="61" t="s">
        <v>1961</v>
      </c>
      <c r="C3" s="58">
        <v>13</v>
      </c>
      <c r="D3" s="73" t="s">
        <v>1984</v>
      </c>
      <c r="E3" s="89" t="s">
        <v>1962</v>
      </c>
      <c r="F3" s="61" t="s">
        <v>1985</v>
      </c>
      <c r="G3" s="62" t="s">
        <v>13</v>
      </c>
      <c r="H3" s="8"/>
      <c r="I3" s="90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s="1" customFormat="1" hidden="1" x14ac:dyDescent="0.2">
      <c r="A4" s="11" t="s">
        <v>484</v>
      </c>
      <c r="B4" s="12" t="s">
        <v>485</v>
      </c>
      <c r="C4" s="13">
        <v>10</v>
      </c>
      <c r="D4" s="27" t="s">
        <v>502</v>
      </c>
      <c r="E4" s="28" t="s">
        <v>486</v>
      </c>
      <c r="F4" s="12" t="s">
        <v>503</v>
      </c>
      <c r="G4" s="15" t="s">
        <v>78</v>
      </c>
      <c r="H4" s="8"/>
      <c r="I4" s="90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idden="1" x14ac:dyDescent="0.25">
      <c r="A5" s="11" t="s">
        <v>1505</v>
      </c>
      <c r="B5" s="12" t="s">
        <v>1506</v>
      </c>
      <c r="C5" s="13">
        <v>10</v>
      </c>
      <c r="D5" s="118" t="s">
        <v>502</v>
      </c>
      <c r="E5" s="28" t="s">
        <v>1507</v>
      </c>
      <c r="F5" s="12" t="s">
        <v>1517</v>
      </c>
      <c r="G5" s="15" t="s">
        <v>78</v>
      </c>
    </row>
    <row r="6" spans="1:27" hidden="1" x14ac:dyDescent="0.25">
      <c r="A6" s="11" t="s">
        <v>1519</v>
      </c>
      <c r="B6" s="12" t="s">
        <v>1520</v>
      </c>
      <c r="C6" s="13">
        <v>10</v>
      </c>
      <c r="D6" s="118" t="s">
        <v>502</v>
      </c>
      <c r="E6" s="28" t="s">
        <v>1521</v>
      </c>
      <c r="F6" s="12" t="s">
        <v>1532</v>
      </c>
      <c r="G6" s="15" t="s">
        <v>42</v>
      </c>
    </row>
    <row r="7" spans="1:27" ht="12.75" hidden="1" thickBot="1" x14ac:dyDescent="0.3">
      <c r="A7" s="36" t="s">
        <v>1568</v>
      </c>
      <c r="B7" s="30" t="s">
        <v>1569</v>
      </c>
      <c r="C7" s="31">
        <v>31</v>
      </c>
      <c r="D7" s="159" t="s">
        <v>1634</v>
      </c>
      <c r="E7" s="32" t="s">
        <v>1570</v>
      </c>
      <c r="F7" s="30" t="s">
        <v>1635</v>
      </c>
      <c r="G7" s="33" t="s">
        <v>1636</v>
      </c>
      <c r="I7" s="94">
        <v>14</v>
      </c>
    </row>
    <row r="8" spans="1:27" s="1" customFormat="1" hidden="1" x14ac:dyDescent="0.25">
      <c r="A8" s="56" t="s">
        <v>2114</v>
      </c>
      <c r="B8" s="61" t="s">
        <v>2115</v>
      </c>
      <c r="C8" s="58">
        <v>11</v>
      </c>
      <c r="D8" s="218" t="s">
        <v>502</v>
      </c>
      <c r="E8" s="89" t="s">
        <v>2116</v>
      </c>
      <c r="F8" s="61" t="s">
        <v>2128</v>
      </c>
      <c r="G8" s="62" t="s">
        <v>78</v>
      </c>
      <c r="H8" s="8"/>
      <c r="I8" s="90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s="1" customFormat="1" hidden="1" x14ac:dyDescent="0.2">
      <c r="A9" s="11" t="s">
        <v>362</v>
      </c>
      <c r="B9" s="12" t="s">
        <v>363</v>
      </c>
      <c r="C9" s="13">
        <v>34</v>
      </c>
      <c r="D9" s="27" t="s">
        <v>426</v>
      </c>
      <c r="E9" s="28" t="s">
        <v>364</v>
      </c>
      <c r="F9" s="12" t="s">
        <v>427</v>
      </c>
      <c r="G9" s="15" t="s">
        <v>191</v>
      </c>
      <c r="H9" s="8"/>
      <c r="I9" s="90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idden="1" x14ac:dyDescent="0.2">
      <c r="A10" s="11" t="s">
        <v>3993</v>
      </c>
      <c r="B10" s="12" t="s">
        <v>3994</v>
      </c>
      <c r="C10" s="13">
        <v>9</v>
      </c>
      <c r="D10" s="118" t="s">
        <v>4009</v>
      </c>
      <c r="E10" s="28" t="s">
        <v>3995</v>
      </c>
      <c r="F10" s="12" t="s">
        <v>4010</v>
      </c>
      <c r="G10" s="66" t="s">
        <v>4011</v>
      </c>
    </row>
    <row r="11" spans="1:27" hidden="1" x14ac:dyDescent="0.2">
      <c r="A11" s="11" t="s">
        <v>3034</v>
      </c>
      <c r="B11" s="12" t="s">
        <v>3035</v>
      </c>
      <c r="C11" s="13">
        <f>+C10+1</f>
        <v>10</v>
      </c>
      <c r="D11" s="27" t="s">
        <v>3103</v>
      </c>
      <c r="E11" s="28" t="s">
        <v>3036</v>
      </c>
      <c r="F11" s="65" t="s">
        <v>3104</v>
      </c>
      <c r="G11" s="66" t="s">
        <v>19</v>
      </c>
    </row>
    <row r="12" spans="1:27" hidden="1" x14ac:dyDescent="0.25">
      <c r="A12" s="109" t="s">
        <v>671</v>
      </c>
      <c r="B12" s="12" t="s">
        <v>672</v>
      </c>
      <c r="C12" s="13">
        <v>7</v>
      </c>
      <c r="D12" s="118" t="s">
        <v>688</v>
      </c>
      <c r="E12" s="28" t="s">
        <v>673</v>
      </c>
      <c r="F12" s="12" t="s">
        <v>689</v>
      </c>
      <c r="G12" s="15" t="s">
        <v>16</v>
      </c>
      <c r="I12" s="94">
        <v>14</v>
      </c>
    </row>
    <row r="13" spans="1:27" hidden="1" x14ac:dyDescent="0.2">
      <c r="A13" s="11" t="s">
        <v>3034</v>
      </c>
      <c r="B13" s="12" t="s">
        <v>3035</v>
      </c>
      <c r="C13" s="13">
        <f>+C12+1</f>
        <v>8</v>
      </c>
      <c r="D13" s="27" t="s">
        <v>688</v>
      </c>
      <c r="E13" s="28" t="s">
        <v>3036</v>
      </c>
      <c r="F13" s="65" t="s">
        <v>3102</v>
      </c>
      <c r="G13" s="66" t="s">
        <v>19</v>
      </c>
    </row>
    <row r="14" spans="1:27" hidden="1" x14ac:dyDescent="0.25">
      <c r="A14" s="109" t="s">
        <v>671</v>
      </c>
      <c r="B14" s="12" t="s">
        <v>672</v>
      </c>
      <c r="C14" s="13">
        <v>6</v>
      </c>
      <c r="D14" s="118" t="s">
        <v>685</v>
      </c>
      <c r="E14" s="28" t="s">
        <v>673</v>
      </c>
      <c r="F14" s="12" t="s">
        <v>686</v>
      </c>
      <c r="G14" s="15" t="s">
        <v>687</v>
      </c>
      <c r="I14" s="94">
        <v>14</v>
      </c>
    </row>
    <row r="15" spans="1:27" hidden="1" x14ac:dyDescent="0.2">
      <c r="A15" s="11" t="s">
        <v>3034</v>
      </c>
      <c r="B15" s="12" t="s">
        <v>3035</v>
      </c>
      <c r="C15" s="13">
        <f>+C14+1</f>
        <v>7</v>
      </c>
      <c r="D15" s="27" t="s">
        <v>685</v>
      </c>
      <c r="E15" s="28" t="s">
        <v>3036</v>
      </c>
      <c r="F15" s="65" t="s">
        <v>3101</v>
      </c>
      <c r="G15" s="66" t="s">
        <v>19</v>
      </c>
    </row>
    <row r="16" spans="1:27" hidden="1" x14ac:dyDescent="0.25">
      <c r="A16" s="109" t="s">
        <v>671</v>
      </c>
      <c r="B16" s="12" t="s">
        <v>672</v>
      </c>
      <c r="C16" s="13">
        <v>5</v>
      </c>
      <c r="D16" s="118" t="s">
        <v>682</v>
      </c>
      <c r="E16" s="28" t="s">
        <v>673</v>
      </c>
      <c r="F16" s="12" t="s">
        <v>683</v>
      </c>
      <c r="G16" s="15" t="s">
        <v>684</v>
      </c>
      <c r="I16" s="94">
        <v>14</v>
      </c>
    </row>
    <row r="17" spans="1:10" hidden="1" x14ac:dyDescent="0.2">
      <c r="A17" s="11" t="s">
        <v>3034</v>
      </c>
      <c r="B17" s="12" t="s">
        <v>3035</v>
      </c>
      <c r="C17" s="13">
        <f>+C16+1</f>
        <v>6</v>
      </c>
      <c r="D17" s="27" t="s">
        <v>682</v>
      </c>
      <c r="E17" s="28" t="s">
        <v>3036</v>
      </c>
      <c r="F17" s="65" t="s">
        <v>3100</v>
      </c>
      <c r="G17" s="66" t="s">
        <v>19</v>
      </c>
    </row>
    <row r="18" spans="1:10" hidden="1" x14ac:dyDescent="0.25">
      <c r="A18" s="186" t="s">
        <v>671</v>
      </c>
      <c r="B18" s="12" t="s">
        <v>672</v>
      </c>
      <c r="C18" s="13">
        <v>4</v>
      </c>
      <c r="D18" s="118" t="s">
        <v>679</v>
      </c>
      <c r="E18" s="28" t="s">
        <v>673</v>
      </c>
      <c r="F18" s="12" t="s">
        <v>680</v>
      </c>
      <c r="G18" s="15" t="s">
        <v>681</v>
      </c>
      <c r="I18" s="94">
        <v>14</v>
      </c>
    </row>
    <row r="19" spans="1:10" hidden="1" x14ac:dyDescent="0.2">
      <c r="A19" s="11" t="s">
        <v>3034</v>
      </c>
      <c r="B19" s="12" t="s">
        <v>3035</v>
      </c>
      <c r="C19" s="13">
        <f>+C18+1</f>
        <v>5</v>
      </c>
      <c r="D19" s="27" t="s">
        <v>679</v>
      </c>
      <c r="E19" s="28" t="s">
        <v>3036</v>
      </c>
      <c r="F19" s="65" t="s">
        <v>3099</v>
      </c>
      <c r="G19" s="66" t="s">
        <v>19</v>
      </c>
    </row>
    <row r="20" spans="1:10" hidden="1" x14ac:dyDescent="0.2">
      <c r="A20" s="56" t="s">
        <v>93</v>
      </c>
      <c r="B20" s="61" t="s">
        <v>94</v>
      </c>
      <c r="C20" s="58">
        <v>91</v>
      </c>
      <c r="D20" s="73" t="s">
        <v>286</v>
      </c>
      <c r="E20" s="89" t="s">
        <v>96</v>
      </c>
      <c r="F20" s="61" t="s">
        <v>287</v>
      </c>
      <c r="G20" s="62" t="s">
        <v>288</v>
      </c>
      <c r="I20" s="94">
        <v>14</v>
      </c>
    </row>
    <row r="21" spans="1:10" hidden="1" x14ac:dyDescent="0.2">
      <c r="A21" s="11" t="s">
        <v>3428</v>
      </c>
      <c r="B21" s="12" t="s">
        <v>3429</v>
      </c>
      <c r="C21" s="13">
        <v>12</v>
      </c>
      <c r="D21" s="118" t="s">
        <v>3449</v>
      </c>
      <c r="E21" s="138" t="s">
        <v>3430</v>
      </c>
      <c r="F21" s="65" t="s">
        <v>3450</v>
      </c>
      <c r="G21" s="66" t="s">
        <v>19</v>
      </c>
    </row>
    <row r="22" spans="1:10" hidden="1" x14ac:dyDescent="0.2">
      <c r="A22" s="11" t="s">
        <v>3428</v>
      </c>
      <c r="B22" s="12" t="s">
        <v>3429</v>
      </c>
      <c r="C22" s="13">
        <v>11</v>
      </c>
      <c r="D22" s="118" t="s">
        <v>3447</v>
      </c>
      <c r="E22" s="138" t="s">
        <v>3430</v>
      </c>
      <c r="F22" s="65" t="s">
        <v>3448</v>
      </c>
      <c r="G22" s="66" t="s">
        <v>19</v>
      </c>
    </row>
    <row r="23" spans="1:10" hidden="1" x14ac:dyDescent="0.2">
      <c r="A23" s="11" t="s">
        <v>3428</v>
      </c>
      <c r="B23" s="12" t="s">
        <v>3429</v>
      </c>
      <c r="C23" s="13">
        <v>13</v>
      </c>
      <c r="D23" s="118" t="s">
        <v>3451</v>
      </c>
      <c r="E23" s="138" t="s">
        <v>3430</v>
      </c>
      <c r="F23" s="65" t="s">
        <v>3452</v>
      </c>
      <c r="G23" s="66" t="s">
        <v>19</v>
      </c>
    </row>
    <row r="24" spans="1:10" hidden="1" x14ac:dyDescent="0.2">
      <c r="A24" s="11" t="s">
        <v>3428</v>
      </c>
      <c r="B24" s="12" t="s">
        <v>3429</v>
      </c>
      <c r="C24" s="13">
        <v>14</v>
      </c>
      <c r="D24" s="118" t="s">
        <v>3453</v>
      </c>
      <c r="E24" s="138" t="s">
        <v>3430</v>
      </c>
      <c r="F24" s="65" t="s">
        <v>3454</v>
      </c>
      <c r="G24" s="66" t="s">
        <v>19</v>
      </c>
    </row>
    <row r="25" spans="1:10" hidden="1" x14ac:dyDescent="0.2">
      <c r="A25" s="11" t="s">
        <v>93</v>
      </c>
      <c r="B25" s="12" t="s">
        <v>94</v>
      </c>
      <c r="C25" s="13">
        <v>78</v>
      </c>
      <c r="D25" s="27" t="s">
        <v>254</v>
      </c>
      <c r="E25" s="28" t="s">
        <v>96</v>
      </c>
      <c r="F25" s="12" t="s">
        <v>255</v>
      </c>
      <c r="G25" s="15" t="s">
        <v>19</v>
      </c>
      <c r="I25" s="90">
        <v>12</v>
      </c>
    </row>
    <row r="26" spans="1:10" ht="15" hidden="1" x14ac:dyDescent="0.25">
      <c r="A26" s="11" t="s">
        <v>6286</v>
      </c>
      <c r="B26" s="12" t="s">
        <v>6287</v>
      </c>
      <c r="C26" s="13">
        <f>C25+1</f>
        <v>79</v>
      </c>
      <c r="D26" s="118" t="s">
        <v>6315</v>
      </c>
      <c r="E26" s="28" t="s">
        <v>6288</v>
      </c>
      <c r="F26" s="12" t="s">
        <v>6316</v>
      </c>
      <c r="G26" s="15" t="s">
        <v>1239</v>
      </c>
      <c r="I26" s="9">
        <v>15</v>
      </c>
      <c r="J26" s="52"/>
    </row>
    <row r="27" spans="1:10" ht="15" hidden="1" x14ac:dyDescent="0.25">
      <c r="A27" s="11" t="s">
        <v>6286</v>
      </c>
      <c r="B27" s="12" t="s">
        <v>6287</v>
      </c>
      <c r="C27" s="13">
        <f>C26+1</f>
        <v>80</v>
      </c>
      <c r="D27" s="118" t="s">
        <v>6313</v>
      </c>
      <c r="E27" s="28" t="s">
        <v>6288</v>
      </c>
      <c r="F27" s="12" t="s">
        <v>6314</v>
      </c>
      <c r="G27" s="15" t="s">
        <v>1239</v>
      </c>
      <c r="I27" s="9">
        <v>15</v>
      </c>
      <c r="J27" s="52"/>
    </row>
    <row r="28" spans="1:10" hidden="1" x14ac:dyDescent="0.2">
      <c r="A28" s="11" t="s">
        <v>2988</v>
      </c>
      <c r="B28" s="12" t="s">
        <v>2989</v>
      </c>
      <c r="C28" s="13">
        <f>1+C27</f>
        <v>81</v>
      </c>
      <c r="D28" s="27" t="s">
        <v>3018</v>
      </c>
      <c r="E28" s="28" t="s">
        <v>2990</v>
      </c>
      <c r="F28" s="65" t="s">
        <v>3019</v>
      </c>
      <c r="G28" s="66" t="s">
        <v>19</v>
      </c>
    </row>
    <row r="29" spans="1:10" hidden="1" x14ac:dyDescent="0.25">
      <c r="A29" s="11" t="s">
        <v>5627</v>
      </c>
      <c r="B29" s="12" t="s">
        <v>5628</v>
      </c>
      <c r="C29" s="13">
        <f>C28+1</f>
        <v>82</v>
      </c>
      <c r="D29" s="118" t="s">
        <v>5641</v>
      </c>
      <c r="E29" s="28" t="s">
        <v>5629</v>
      </c>
      <c r="F29" s="12" t="s">
        <v>5642</v>
      </c>
      <c r="G29" s="15" t="s">
        <v>19</v>
      </c>
      <c r="I29" s="90">
        <v>12</v>
      </c>
    </row>
    <row r="30" spans="1:10" hidden="1" x14ac:dyDescent="0.2">
      <c r="A30" s="56" t="s">
        <v>2988</v>
      </c>
      <c r="B30" s="61" t="s">
        <v>2989</v>
      </c>
      <c r="C30" s="58">
        <f>1+C29</f>
        <v>83</v>
      </c>
      <c r="D30" s="73" t="s">
        <v>3016</v>
      </c>
      <c r="E30" s="89" t="s">
        <v>2990</v>
      </c>
      <c r="F30" s="74" t="s">
        <v>3017</v>
      </c>
      <c r="G30" s="129" t="s">
        <v>126</v>
      </c>
    </row>
    <row r="31" spans="1:10" hidden="1" x14ac:dyDescent="0.2">
      <c r="A31" s="11" t="s">
        <v>2988</v>
      </c>
      <c r="B31" s="12" t="s">
        <v>2989</v>
      </c>
      <c r="C31" s="13">
        <f>1+C30</f>
        <v>84</v>
      </c>
      <c r="D31" s="27" t="s">
        <v>3014</v>
      </c>
      <c r="E31" s="28" t="s">
        <v>2990</v>
      </c>
      <c r="F31" s="65" t="s">
        <v>3015</v>
      </c>
      <c r="G31" s="66" t="s">
        <v>19</v>
      </c>
    </row>
    <row r="32" spans="1:10" ht="15" hidden="1" x14ac:dyDescent="0.25">
      <c r="A32" s="11" t="s">
        <v>6286</v>
      </c>
      <c r="B32" s="12" t="s">
        <v>6287</v>
      </c>
      <c r="C32" s="13">
        <f>C31+1</f>
        <v>85</v>
      </c>
      <c r="D32" s="118" t="s">
        <v>6311</v>
      </c>
      <c r="E32" s="28" t="s">
        <v>6288</v>
      </c>
      <c r="F32" s="12" t="s">
        <v>6312</v>
      </c>
      <c r="G32" s="15" t="s">
        <v>1239</v>
      </c>
      <c r="I32" s="9">
        <v>15</v>
      </c>
      <c r="J32" s="52"/>
    </row>
    <row r="33" spans="1:10" hidden="1" x14ac:dyDescent="0.2">
      <c r="A33" s="11" t="s">
        <v>6601</v>
      </c>
      <c r="B33" s="12" t="s">
        <v>6602</v>
      </c>
      <c r="C33" s="13">
        <v>6</v>
      </c>
      <c r="D33" s="27" t="s">
        <v>6611</v>
      </c>
      <c r="E33" s="28" t="s">
        <v>6603</v>
      </c>
      <c r="F33" s="12" t="s">
        <v>6612</v>
      </c>
      <c r="G33" s="15" t="s">
        <v>19</v>
      </c>
    </row>
    <row r="34" spans="1:10" hidden="1" x14ac:dyDescent="0.25">
      <c r="A34" s="11" t="s">
        <v>5627</v>
      </c>
      <c r="B34" s="12" t="s">
        <v>5628</v>
      </c>
      <c r="C34" s="13">
        <f>C33+1</f>
        <v>7</v>
      </c>
      <c r="D34" s="118" t="s">
        <v>5643</v>
      </c>
      <c r="E34" s="28" t="s">
        <v>5629</v>
      </c>
      <c r="F34" s="12" t="s">
        <v>5644</v>
      </c>
      <c r="G34" s="15" t="s">
        <v>19</v>
      </c>
      <c r="I34" s="90">
        <v>12</v>
      </c>
    </row>
    <row r="35" spans="1:10" hidden="1" x14ac:dyDescent="0.2">
      <c r="A35" s="11" t="s">
        <v>2867</v>
      </c>
      <c r="B35" s="12" t="s">
        <v>2868</v>
      </c>
      <c r="C35" s="13">
        <v>65</v>
      </c>
      <c r="D35" s="27" t="s">
        <v>2986</v>
      </c>
      <c r="E35" s="28" t="s">
        <v>2869</v>
      </c>
      <c r="F35" s="65" t="s">
        <v>2987</v>
      </c>
      <c r="G35" s="66" t="s">
        <v>19</v>
      </c>
    </row>
    <row r="36" spans="1:10" hidden="1" x14ac:dyDescent="0.25">
      <c r="A36" s="11" t="s">
        <v>1017</v>
      </c>
      <c r="B36" s="12" t="s">
        <v>1018</v>
      </c>
      <c r="C36" s="13">
        <v>7</v>
      </c>
      <c r="D36" s="118" t="s">
        <v>1029</v>
      </c>
      <c r="E36" s="28" t="s">
        <v>1019</v>
      </c>
      <c r="F36" s="12" t="s">
        <v>1030</v>
      </c>
      <c r="G36" s="15" t="s">
        <v>881</v>
      </c>
      <c r="I36" s="9">
        <v>15</v>
      </c>
    </row>
    <row r="37" spans="1:10" hidden="1" x14ac:dyDescent="0.2">
      <c r="A37" s="11" t="s">
        <v>2867</v>
      </c>
      <c r="B37" s="12" t="s">
        <v>2868</v>
      </c>
      <c r="C37" s="13">
        <v>12</v>
      </c>
      <c r="D37" s="27" t="s">
        <v>2887</v>
      </c>
      <c r="E37" s="28" t="s">
        <v>2869</v>
      </c>
      <c r="F37" s="65" t="s">
        <v>2888</v>
      </c>
      <c r="G37" s="66" t="s">
        <v>19</v>
      </c>
    </row>
    <row r="38" spans="1:10" hidden="1" x14ac:dyDescent="0.25">
      <c r="A38" s="11" t="s">
        <v>6688</v>
      </c>
      <c r="B38" s="12" t="s">
        <v>6689</v>
      </c>
      <c r="C38" s="13">
        <v>21</v>
      </c>
      <c r="D38" s="118" t="s">
        <v>6726</v>
      </c>
      <c r="E38" s="28" t="s">
        <v>6690</v>
      </c>
      <c r="F38" s="12" t="s">
        <v>6727</v>
      </c>
      <c r="G38" s="15" t="s">
        <v>19</v>
      </c>
    </row>
    <row r="39" spans="1:10" hidden="1" x14ac:dyDescent="0.25">
      <c r="A39" s="11" t="s">
        <v>6688</v>
      </c>
      <c r="B39" s="12" t="s">
        <v>6689</v>
      </c>
      <c r="C39" s="13">
        <v>22</v>
      </c>
      <c r="D39" s="118" t="s">
        <v>6728</v>
      </c>
      <c r="E39" s="28" t="s">
        <v>6690</v>
      </c>
      <c r="F39" s="12" t="s">
        <v>6729</v>
      </c>
      <c r="G39" s="15" t="s">
        <v>19</v>
      </c>
    </row>
    <row r="40" spans="1:10" ht="15" hidden="1" x14ac:dyDescent="0.25">
      <c r="A40" s="11" t="s">
        <v>2194</v>
      </c>
      <c r="B40" s="8" t="s">
        <v>2195</v>
      </c>
      <c r="C40" s="13">
        <v>7</v>
      </c>
      <c r="D40" s="118" t="s">
        <v>2207</v>
      </c>
      <c r="E40" s="28" t="s">
        <v>2196</v>
      </c>
      <c r="F40" s="12" t="s">
        <v>2208</v>
      </c>
      <c r="G40" s="15" t="s">
        <v>780</v>
      </c>
      <c r="I40" s="54">
        <v>15</v>
      </c>
      <c r="J40" s="60"/>
    </row>
    <row r="41" spans="1:10" hidden="1" x14ac:dyDescent="0.2">
      <c r="A41" s="11" t="s">
        <v>6921</v>
      </c>
      <c r="B41" s="12" t="s">
        <v>6922</v>
      </c>
      <c r="C41" s="13">
        <v>7</v>
      </c>
      <c r="D41" s="65" t="s">
        <v>6931</v>
      </c>
      <c r="E41" s="28" t="s">
        <v>6923</v>
      </c>
      <c r="F41" s="12" t="s">
        <v>6932</v>
      </c>
      <c r="G41" s="15" t="s">
        <v>19</v>
      </c>
    </row>
    <row r="42" spans="1:10" hidden="1" x14ac:dyDescent="0.2">
      <c r="A42" s="11" t="s">
        <v>6946</v>
      </c>
      <c r="B42" s="12" t="s">
        <v>6947</v>
      </c>
      <c r="C42" s="13">
        <v>7</v>
      </c>
      <c r="D42" s="127" t="s">
        <v>6931</v>
      </c>
      <c r="E42" s="28" t="s">
        <v>6948</v>
      </c>
      <c r="F42" s="12" t="s">
        <v>6955</v>
      </c>
      <c r="G42" s="15" t="s">
        <v>19</v>
      </c>
    </row>
    <row r="43" spans="1:10" hidden="1" x14ac:dyDescent="0.2">
      <c r="A43" s="56" t="s">
        <v>6967</v>
      </c>
      <c r="B43" s="61" t="s">
        <v>6968</v>
      </c>
      <c r="C43" s="58">
        <v>7</v>
      </c>
      <c r="D43" s="73" t="s">
        <v>6931</v>
      </c>
      <c r="E43" s="89" t="s">
        <v>6969</v>
      </c>
      <c r="F43" s="61" t="s">
        <v>6976</v>
      </c>
      <c r="G43" s="62" t="s">
        <v>19</v>
      </c>
    </row>
    <row r="44" spans="1:10" hidden="1" x14ac:dyDescent="0.2">
      <c r="A44" s="11" t="s">
        <v>2988</v>
      </c>
      <c r="B44" s="12" t="s">
        <v>2989</v>
      </c>
      <c r="C44" s="13">
        <f>1+C43</f>
        <v>8</v>
      </c>
      <c r="D44" s="27" t="s">
        <v>3012</v>
      </c>
      <c r="E44" s="28" t="s">
        <v>2990</v>
      </c>
      <c r="F44" s="65" t="s">
        <v>3013</v>
      </c>
      <c r="G44" s="66" t="s">
        <v>19</v>
      </c>
    </row>
    <row r="45" spans="1:10" hidden="1" x14ac:dyDescent="0.2">
      <c r="A45" s="146" t="s">
        <v>4742</v>
      </c>
      <c r="B45" s="12" t="s">
        <v>4743</v>
      </c>
      <c r="C45" s="13">
        <v>9</v>
      </c>
      <c r="D45" s="118" t="s">
        <v>4757</v>
      </c>
      <c r="E45" s="28" t="s">
        <v>4744</v>
      </c>
      <c r="F45" s="12" t="s">
        <v>4758</v>
      </c>
      <c r="G45" s="66" t="s">
        <v>126</v>
      </c>
    </row>
    <row r="46" spans="1:10" hidden="1" x14ac:dyDescent="0.2">
      <c r="A46" s="146" t="s">
        <v>4759</v>
      </c>
      <c r="B46" s="12" t="s">
        <v>4760</v>
      </c>
      <c r="C46" s="13">
        <v>9</v>
      </c>
      <c r="D46" s="118" t="s">
        <v>4757</v>
      </c>
      <c r="E46" s="28" t="s">
        <v>4761</v>
      </c>
      <c r="F46" s="12" t="s">
        <v>4770</v>
      </c>
      <c r="G46" s="66" t="s">
        <v>126</v>
      </c>
    </row>
    <row r="47" spans="1:10" hidden="1" x14ac:dyDescent="0.2">
      <c r="A47" s="146" t="s">
        <v>4742</v>
      </c>
      <c r="B47" s="12" t="s">
        <v>4743</v>
      </c>
      <c r="C47" s="13">
        <v>8</v>
      </c>
      <c r="D47" s="118" t="s">
        <v>4755</v>
      </c>
      <c r="E47" s="28" t="s">
        <v>4744</v>
      </c>
      <c r="F47" s="12" t="s">
        <v>4756</v>
      </c>
      <c r="G47" s="66" t="s">
        <v>126</v>
      </c>
    </row>
    <row r="48" spans="1:10" hidden="1" x14ac:dyDescent="0.2">
      <c r="A48" s="146" t="s">
        <v>4759</v>
      </c>
      <c r="B48" s="12" t="s">
        <v>4760</v>
      </c>
      <c r="C48" s="13">
        <v>8</v>
      </c>
      <c r="D48" s="118" t="s">
        <v>4755</v>
      </c>
      <c r="E48" s="28" t="s">
        <v>4761</v>
      </c>
      <c r="F48" s="12" t="s">
        <v>4769</v>
      </c>
      <c r="G48" s="66" t="s">
        <v>126</v>
      </c>
    </row>
    <row r="49" spans="1:10" hidden="1" x14ac:dyDescent="0.2">
      <c r="A49" s="11" t="s">
        <v>484</v>
      </c>
      <c r="B49" s="12" t="s">
        <v>485</v>
      </c>
      <c r="C49" s="13">
        <v>6</v>
      </c>
      <c r="D49" s="27" t="s">
        <v>494</v>
      </c>
      <c r="E49" s="28" t="s">
        <v>486</v>
      </c>
      <c r="F49" s="12" t="s">
        <v>495</v>
      </c>
      <c r="G49" s="15" t="s">
        <v>126</v>
      </c>
    </row>
    <row r="50" spans="1:10" hidden="1" x14ac:dyDescent="0.25">
      <c r="A50" s="11" t="s">
        <v>1505</v>
      </c>
      <c r="B50" s="12" t="s">
        <v>1506</v>
      </c>
      <c r="C50" s="13">
        <v>6</v>
      </c>
      <c r="D50" s="134" t="s">
        <v>494</v>
      </c>
      <c r="E50" s="28" t="s">
        <v>1507</v>
      </c>
      <c r="F50" s="12" t="s">
        <v>1513</v>
      </c>
      <c r="G50" s="15" t="s">
        <v>126</v>
      </c>
    </row>
    <row r="51" spans="1:10" hidden="1" x14ac:dyDescent="0.25">
      <c r="A51" s="11" t="s">
        <v>1519</v>
      </c>
      <c r="B51" s="12" t="s">
        <v>1520</v>
      </c>
      <c r="C51" s="13">
        <v>6</v>
      </c>
      <c r="D51" s="118" t="s">
        <v>494</v>
      </c>
      <c r="E51" s="28" t="s">
        <v>1521</v>
      </c>
      <c r="F51" s="12" t="s">
        <v>1528</v>
      </c>
      <c r="G51" s="15" t="s">
        <v>126</v>
      </c>
    </row>
    <row r="52" spans="1:10" hidden="1" x14ac:dyDescent="0.25">
      <c r="A52" s="11" t="s">
        <v>2114</v>
      </c>
      <c r="B52" s="12" t="s">
        <v>2115</v>
      </c>
      <c r="C52" s="13">
        <v>7</v>
      </c>
      <c r="D52" s="76" t="s">
        <v>494</v>
      </c>
      <c r="E52" s="28" t="s">
        <v>2116</v>
      </c>
      <c r="F52" s="12" t="s">
        <v>2124</v>
      </c>
      <c r="G52" s="15" t="s">
        <v>126</v>
      </c>
    </row>
    <row r="53" spans="1:10" hidden="1" x14ac:dyDescent="0.2">
      <c r="A53" s="11" t="s">
        <v>2500</v>
      </c>
      <c r="B53" s="12" t="s">
        <v>2501</v>
      </c>
      <c r="C53" s="13">
        <v>8</v>
      </c>
      <c r="D53" s="27" t="s">
        <v>494</v>
      </c>
      <c r="E53" s="28" t="s">
        <v>2502</v>
      </c>
      <c r="F53" s="12" t="s">
        <v>2511</v>
      </c>
      <c r="G53" s="91" t="s">
        <v>2512</v>
      </c>
      <c r="I53" s="9">
        <v>15</v>
      </c>
    </row>
    <row r="54" spans="1:10" hidden="1" x14ac:dyDescent="0.2">
      <c r="A54" s="11" t="s">
        <v>2516</v>
      </c>
      <c r="B54" s="12" t="s">
        <v>2517</v>
      </c>
      <c r="C54" s="13">
        <v>8</v>
      </c>
      <c r="D54" s="27" t="s">
        <v>494</v>
      </c>
      <c r="E54" s="28" t="s">
        <v>2518</v>
      </c>
      <c r="F54" s="12" t="s">
        <v>2526</v>
      </c>
      <c r="G54" s="91" t="s">
        <v>2512</v>
      </c>
      <c r="I54" s="9">
        <v>15</v>
      </c>
    </row>
    <row r="55" spans="1:10" hidden="1" x14ac:dyDescent="0.2">
      <c r="A55" s="11" t="s">
        <v>2529</v>
      </c>
      <c r="B55" s="12" t="s">
        <v>2530</v>
      </c>
      <c r="C55" s="13">
        <v>6</v>
      </c>
      <c r="D55" s="27" t="s">
        <v>494</v>
      </c>
      <c r="E55" s="28" t="s">
        <v>2531</v>
      </c>
      <c r="F55" s="12" t="s">
        <v>2537</v>
      </c>
      <c r="G55" s="91" t="s">
        <v>2512</v>
      </c>
      <c r="I55" s="9">
        <v>15</v>
      </c>
    </row>
    <row r="56" spans="1:10" hidden="1" x14ac:dyDescent="0.25">
      <c r="A56" s="11" t="s">
        <v>4404</v>
      </c>
      <c r="B56" s="12" t="s">
        <v>4405</v>
      </c>
      <c r="C56" s="13">
        <v>9</v>
      </c>
      <c r="D56" s="118" t="s">
        <v>494</v>
      </c>
      <c r="E56" s="28" t="s">
        <v>4406</v>
      </c>
      <c r="F56" s="12" t="s">
        <v>4418</v>
      </c>
      <c r="G56" s="91" t="s">
        <v>2512</v>
      </c>
      <c r="I56" s="9">
        <v>15</v>
      </c>
    </row>
    <row r="57" spans="1:10" ht="15" hidden="1" x14ac:dyDescent="0.25">
      <c r="A57" s="11" t="s">
        <v>6286</v>
      </c>
      <c r="B57" s="12" t="s">
        <v>6287</v>
      </c>
      <c r="C57" s="13">
        <f>C56+1</f>
        <v>10</v>
      </c>
      <c r="D57" s="118" t="s">
        <v>6317</v>
      </c>
      <c r="E57" s="28" t="s">
        <v>6288</v>
      </c>
      <c r="F57" s="12" t="s">
        <v>6318</v>
      </c>
      <c r="G57" s="15" t="s">
        <v>1239</v>
      </c>
      <c r="I57" s="9">
        <v>15</v>
      </c>
      <c r="J57" s="52"/>
    </row>
    <row r="58" spans="1:10" hidden="1" x14ac:dyDescent="0.25">
      <c r="A58" s="11" t="s">
        <v>1960</v>
      </c>
      <c r="B58" s="12" t="s">
        <v>1961</v>
      </c>
      <c r="C58" s="13">
        <v>1</v>
      </c>
      <c r="D58" s="117" t="s">
        <v>71</v>
      </c>
      <c r="E58" s="28" t="s">
        <v>1962</v>
      </c>
      <c r="F58" s="22" t="s">
        <v>1963</v>
      </c>
      <c r="G58" s="15" t="s">
        <v>16</v>
      </c>
    </row>
    <row r="59" spans="1:10" hidden="1" x14ac:dyDescent="0.25">
      <c r="A59" s="11" t="s">
        <v>1313</v>
      </c>
      <c r="B59" s="12" t="s">
        <v>1314</v>
      </c>
      <c r="C59" s="13">
        <v>33</v>
      </c>
      <c r="D59" s="118" t="s">
        <v>1377</v>
      </c>
      <c r="E59" s="28" t="s">
        <v>1315</v>
      </c>
      <c r="F59" s="12" t="s">
        <v>1378</v>
      </c>
      <c r="G59" s="15" t="s">
        <v>13</v>
      </c>
    </row>
    <row r="60" spans="1:10" ht="15" hidden="1" x14ac:dyDescent="0.25">
      <c r="A60" s="11" t="s">
        <v>4583</v>
      </c>
      <c r="B60" s="12" t="s">
        <v>4584</v>
      </c>
      <c r="C60" s="13">
        <v>9</v>
      </c>
      <c r="D60" s="118" t="s">
        <v>4597</v>
      </c>
      <c r="E60" s="28" t="s">
        <v>4585</v>
      </c>
      <c r="F60" s="12" t="s">
        <v>4598</v>
      </c>
      <c r="G60" s="66" t="s">
        <v>258</v>
      </c>
      <c r="I60" s="9">
        <v>15</v>
      </c>
      <c r="J60" s="52"/>
    </row>
    <row r="61" spans="1:10" hidden="1" x14ac:dyDescent="0.2">
      <c r="A61" s="11" t="s">
        <v>757</v>
      </c>
      <c r="B61" s="12" t="s">
        <v>758</v>
      </c>
      <c r="C61" s="13">
        <v>6</v>
      </c>
      <c r="D61" s="27" t="s">
        <v>768</v>
      </c>
      <c r="E61" s="28" t="s">
        <v>759</v>
      </c>
      <c r="F61" s="12" t="s">
        <v>769</v>
      </c>
      <c r="G61" s="15" t="s">
        <v>13</v>
      </c>
      <c r="I61" s="9">
        <v>15</v>
      </c>
    </row>
    <row r="62" spans="1:10" hidden="1" x14ac:dyDescent="0.2">
      <c r="A62" s="11" t="s">
        <v>2440</v>
      </c>
      <c r="B62" s="12" t="s">
        <v>2441</v>
      </c>
      <c r="C62" s="13">
        <v>29</v>
      </c>
      <c r="D62" s="27" t="s">
        <v>2496</v>
      </c>
      <c r="E62" s="28" t="s">
        <v>2442</v>
      </c>
      <c r="F62" s="12" t="s">
        <v>2497</v>
      </c>
      <c r="G62" s="15" t="s">
        <v>2498</v>
      </c>
    </row>
    <row r="63" spans="1:10" ht="15" hidden="1" x14ac:dyDescent="0.25">
      <c r="A63" s="11" t="s">
        <v>5523</v>
      </c>
      <c r="B63" s="12" t="s">
        <v>5524</v>
      </c>
      <c r="C63" s="13">
        <v>10</v>
      </c>
      <c r="D63" s="27" t="s">
        <v>5544</v>
      </c>
      <c r="E63" s="28" t="s">
        <v>5526</v>
      </c>
      <c r="F63" s="65" t="s">
        <v>5545</v>
      </c>
      <c r="G63" s="15" t="s">
        <v>1323</v>
      </c>
      <c r="I63" s="9">
        <v>15</v>
      </c>
      <c r="J63" s="52"/>
    </row>
    <row r="64" spans="1:10" ht="15" hidden="1" x14ac:dyDescent="0.25">
      <c r="A64" s="11" t="s">
        <v>2237</v>
      </c>
      <c r="B64" s="8" t="s">
        <v>2238</v>
      </c>
      <c r="C64" s="13">
        <v>4</v>
      </c>
      <c r="D64" s="118" t="s">
        <v>2243</v>
      </c>
      <c r="E64" s="28" t="s">
        <v>2239</v>
      </c>
      <c r="F64" s="12" t="s">
        <v>2244</v>
      </c>
      <c r="G64" s="15" t="s">
        <v>13</v>
      </c>
      <c r="I64" s="54">
        <v>15</v>
      </c>
      <c r="J64" s="52"/>
    </row>
    <row r="65" spans="1:10" hidden="1" x14ac:dyDescent="0.25">
      <c r="A65" s="11" t="s">
        <v>1031</v>
      </c>
      <c r="B65" s="12" t="s">
        <v>1032</v>
      </c>
      <c r="C65" s="13">
        <v>4</v>
      </c>
      <c r="D65" s="76" t="s">
        <v>1037</v>
      </c>
      <c r="E65" s="28" t="s">
        <v>1033</v>
      </c>
      <c r="F65" s="12" t="s">
        <v>1038</v>
      </c>
      <c r="G65" s="15" t="s">
        <v>829</v>
      </c>
      <c r="I65" s="9">
        <v>15</v>
      </c>
    </row>
    <row r="66" spans="1:10" hidden="1" x14ac:dyDescent="0.25">
      <c r="A66" s="11" t="s">
        <v>1656</v>
      </c>
      <c r="B66" s="12" t="s">
        <v>1657</v>
      </c>
      <c r="C66" s="13">
        <v>2</v>
      </c>
      <c r="D66" s="117" t="s">
        <v>1660</v>
      </c>
      <c r="E66" s="28" t="s">
        <v>1658</v>
      </c>
      <c r="F66" s="22" t="s">
        <v>1661</v>
      </c>
      <c r="G66" s="15" t="s">
        <v>1574</v>
      </c>
      <c r="I66" s="94">
        <v>14</v>
      </c>
    </row>
    <row r="67" spans="1:10" hidden="1" x14ac:dyDescent="0.25">
      <c r="A67" s="11" t="s">
        <v>1568</v>
      </c>
      <c r="B67" s="12" t="s">
        <v>1569</v>
      </c>
      <c r="C67" s="13">
        <v>2</v>
      </c>
      <c r="D67" s="117" t="s">
        <v>1572</v>
      </c>
      <c r="E67" s="28" t="s">
        <v>1570</v>
      </c>
      <c r="F67" s="22" t="s">
        <v>1573</v>
      </c>
      <c r="G67" s="15" t="s">
        <v>1574</v>
      </c>
      <c r="I67" s="94">
        <v>14</v>
      </c>
    </row>
    <row r="68" spans="1:10" hidden="1" x14ac:dyDescent="0.25">
      <c r="A68" s="11" t="s">
        <v>1568</v>
      </c>
      <c r="B68" s="12" t="s">
        <v>1569</v>
      </c>
      <c r="C68" s="13">
        <v>22</v>
      </c>
      <c r="D68" s="118" t="s">
        <v>1614</v>
      </c>
      <c r="E68" s="28" t="s">
        <v>1570</v>
      </c>
      <c r="F68" s="12" t="s">
        <v>1615</v>
      </c>
      <c r="G68" s="15" t="s">
        <v>1579</v>
      </c>
      <c r="I68" s="94">
        <v>14</v>
      </c>
    </row>
    <row r="69" spans="1:10" hidden="1" x14ac:dyDescent="0.25">
      <c r="A69" s="11" t="s">
        <v>1768</v>
      </c>
      <c r="B69" s="12" t="s">
        <v>1769</v>
      </c>
      <c r="C69" s="13">
        <v>13</v>
      </c>
      <c r="D69" s="118" t="s">
        <v>1614</v>
      </c>
      <c r="E69" s="28" t="s">
        <v>1770</v>
      </c>
      <c r="F69" s="12" t="s">
        <v>1784</v>
      </c>
      <c r="G69" s="15" t="s">
        <v>1579</v>
      </c>
      <c r="I69" s="94">
        <v>14</v>
      </c>
    </row>
    <row r="70" spans="1:10" ht="24" hidden="1" x14ac:dyDescent="0.25">
      <c r="A70" s="11" t="s">
        <v>1882</v>
      </c>
      <c r="B70" s="12" t="s">
        <v>1883</v>
      </c>
      <c r="C70" s="13">
        <v>4</v>
      </c>
      <c r="D70" s="208" t="s">
        <v>1888</v>
      </c>
      <c r="E70" s="28" t="s">
        <v>1884</v>
      </c>
      <c r="F70" s="12" t="s">
        <v>1889</v>
      </c>
      <c r="G70" s="15" t="s">
        <v>13</v>
      </c>
      <c r="I70" s="9">
        <v>15</v>
      </c>
    </row>
    <row r="71" spans="1:10" hidden="1" x14ac:dyDescent="0.25">
      <c r="A71" s="11" t="s">
        <v>6050</v>
      </c>
      <c r="B71" s="12" t="s">
        <v>6051</v>
      </c>
      <c r="C71" s="13">
        <f>C70+1</f>
        <v>5</v>
      </c>
      <c r="D71" s="118" t="s">
        <v>6065</v>
      </c>
      <c r="E71" s="28" t="s">
        <v>6052</v>
      </c>
      <c r="F71" s="12" t="s">
        <v>6066</v>
      </c>
      <c r="G71" s="15" t="s">
        <v>126</v>
      </c>
      <c r="I71" s="90">
        <v>12</v>
      </c>
    </row>
    <row r="72" spans="1:10" hidden="1" x14ac:dyDescent="0.25">
      <c r="A72" s="11" t="s">
        <v>6442</v>
      </c>
      <c r="B72" s="12" t="s">
        <v>6443</v>
      </c>
      <c r="C72" s="13">
        <f>C71+1</f>
        <v>6</v>
      </c>
      <c r="D72" s="118" t="s">
        <v>6065</v>
      </c>
      <c r="E72" s="28" t="s">
        <v>6444</v>
      </c>
      <c r="F72" s="12" t="s">
        <v>6453</v>
      </c>
      <c r="G72" s="15" t="s">
        <v>126</v>
      </c>
      <c r="I72" s="9">
        <v>15</v>
      </c>
    </row>
    <row r="73" spans="1:10" hidden="1" x14ac:dyDescent="0.25">
      <c r="A73" s="11" t="s">
        <v>6050</v>
      </c>
      <c r="B73" s="12" t="s">
        <v>6051</v>
      </c>
      <c r="C73" s="13">
        <v>14</v>
      </c>
      <c r="D73" s="118" t="s">
        <v>6075</v>
      </c>
      <c r="E73" s="28" t="s">
        <v>6052</v>
      </c>
      <c r="F73" s="12" t="s">
        <v>6076</v>
      </c>
      <c r="G73" s="15" t="s">
        <v>1221</v>
      </c>
      <c r="I73" s="99">
        <v>13</v>
      </c>
    </row>
    <row r="74" spans="1:10" hidden="1" x14ac:dyDescent="0.25">
      <c r="A74" s="11" t="s">
        <v>6442</v>
      </c>
      <c r="B74" s="12" t="s">
        <v>6443</v>
      </c>
      <c r="C74" s="13">
        <v>14</v>
      </c>
      <c r="D74" s="118" t="s">
        <v>6075</v>
      </c>
      <c r="E74" s="28" t="s">
        <v>6444</v>
      </c>
      <c r="F74" s="12" t="s">
        <v>6458</v>
      </c>
      <c r="G74" s="15" t="s">
        <v>1221</v>
      </c>
      <c r="I74" s="9">
        <v>15</v>
      </c>
    </row>
    <row r="75" spans="1:10" hidden="1" x14ac:dyDescent="0.25">
      <c r="A75" s="11" t="s">
        <v>6050</v>
      </c>
      <c r="B75" s="12" t="s">
        <v>6051</v>
      </c>
      <c r="C75" s="13">
        <f>C74+1</f>
        <v>15</v>
      </c>
      <c r="D75" s="118" t="s">
        <v>6067</v>
      </c>
      <c r="E75" s="28" t="s">
        <v>6052</v>
      </c>
      <c r="F75" s="12" t="s">
        <v>6068</v>
      </c>
      <c r="G75" s="15" t="s">
        <v>126</v>
      </c>
      <c r="I75" s="90">
        <v>12</v>
      </c>
    </row>
    <row r="76" spans="1:10" hidden="1" x14ac:dyDescent="0.25">
      <c r="A76" s="11" t="s">
        <v>6442</v>
      </c>
      <c r="B76" s="12" t="s">
        <v>6443</v>
      </c>
      <c r="C76" s="13">
        <f>C75+1</f>
        <v>16</v>
      </c>
      <c r="D76" s="118" t="s">
        <v>6067</v>
      </c>
      <c r="E76" s="28" t="s">
        <v>6444</v>
      </c>
      <c r="F76" s="12" t="s">
        <v>6454</v>
      </c>
      <c r="G76" s="15" t="s">
        <v>126</v>
      </c>
      <c r="I76" s="9">
        <v>15</v>
      </c>
    </row>
    <row r="77" spans="1:10" hidden="1" x14ac:dyDescent="0.25">
      <c r="A77" s="11" t="s">
        <v>6050</v>
      </c>
      <c r="B77" s="12" t="s">
        <v>6051</v>
      </c>
      <c r="C77" s="13">
        <f>C76+1</f>
        <v>17</v>
      </c>
      <c r="D77" s="118" t="s">
        <v>6063</v>
      </c>
      <c r="E77" s="28" t="s">
        <v>6052</v>
      </c>
      <c r="F77" s="12" t="s">
        <v>6064</v>
      </c>
      <c r="G77" s="15" t="s">
        <v>19</v>
      </c>
      <c r="I77" s="90">
        <v>12</v>
      </c>
    </row>
    <row r="78" spans="1:10" hidden="1" x14ac:dyDescent="0.25">
      <c r="A78" s="11" t="s">
        <v>6442</v>
      </c>
      <c r="B78" s="12" t="s">
        <v>6443</v>
      </c>
      <c r="C78" s="13">
        <f>C77+1</f>
        <v>18</v>
      </c>
      <c r="D78" s="118" t="s">
        <v>6063</v>
      </c>
      <c r="E78" s="28" t="s">
        <v>6444</v>
      </c>
      <c r="F78" s="12" t="s">
        <v>6452</v>
      </c>
      <c r="G78" s="15" t="s">
        <v>19</v>
      </c>
      <c r="I78" s="9">
        <v>15</v>
      </c>
    </row>
    <row r="79" spans="1:10" ht="15" hidden="1" x14ac:dyDescent="0.25">
      <c r="A79" s="11" t="s">
        <v>6286</v>
      </c>
      <c r="B79" s="12" t="s">
        <v>6287</v>
      </c>
      <c r="C79" s="13">
        <f>C78+1</f>
        <v>19</v>
      </c>
      <c r="D79" s="118" t="s">
        <v>6319</v>
      </c>
      <c r="E79" s="28" t="s">
        <v>6288</v>
      </c>
      <c r="F79" s="12" t="s">
        <v>6320</v>
      </c>
      <c r="G79" s="15" t="s">
        <v>16</v>
      </c>
      <c r="I79" s="9">
        <v>15</v>
      </c>
      <c r="J79" s="52"/>
    </row>
    <row r="80" spans="1:10" hidden="1" x14ac:dyDescent="0.25">
      <c r="A80" s="11" t="s">
        <v>6688</v>
      </c>
      <c r="B80" s="12" t="s">
        <v>6689</v>
      </c>
      <c r="C80" s="13">
        <v>23</v>
      </c>
      <c r="D80" s="118" t="s">
        <v>6730</v>
      </c>
      <c r="E80" s="28" t="s">
        <v>6690</v>
      </c>
      <c r="F80" s="12" t="s">
        <v>6731</v>
      </c>
      <c r="G80" s="15" t="s">
        <v>16</v>
      </c>
    </row>
    <row r="81" spans="1:9" hidden="1" x14ac:dyDescent="0.25">
      <c r="A81" s="11" t="s">
        <v>2171</v>
      </c>
      <c r="B81" s="8" t="s">
        <v>2172</v>
      </c>
      <c r="C81" s="13">
        <v>4</v>
      </c>
      <c r="D81" s="118" t="s">
        <v>2177</v>
      </c>
      <c r="E81" s="28" t="s">
        <v>2173</v>
      </c>
      <c r="F81" s="12" t="s">
        <v>2178</v>
      </c>
      <c r="G81" s="15" t="s">
        <v>1323</v>
      </c>
    </row>
    <row r="82" spans="1:9" hidden="1" x14ac:dyDescent="0.2">
      <c r="A82" s="11" t="s">
        <v>3034</v>
      </c>
      <c r="B82" s="12" t="s">
        <v>3035</v>
      </c>
      <c r="C82" s="13">
        <f>+C81+1</f>
        <v>5</v>
      </c>
      <c r="D82" s="134" t="s">
        <v>3050</v>
      </c>
      <c r="E82" s="28" t="s">
        <v>3036</v>
      </c>
      <c r="F82" s="8" t="s">
        <v>3051</v>
      </c>
      <c r="G82" s="66" t="s">
        <v>13</v>
      </c>
    </row>
    <row r="83" spans="1:9" hidden="1" x14ac:dyDescent="0.2">
      <c r="A83" s="11" t="s">
        <v>3165</v>
      </c>
      <c r="B83" s="12" t="s">
        <v>3166</v>
      </c>
      <c r="C83" s="13">
        <f>C82+1</f>
        <v>6</v>
      </c>
      <c r="D83" s="118" t="s">
        <v>3286</v>
      </c>
      <c r="E83" s="28" t="s">
        <v>3167</v>
      </c>
      <c r="F83" s="12" t="s">
        <v>3287</v>
      </c>
      <c r="G83" s="66" t="s">
        <v>13</v>
      </c>
      <c r="I83" s="99">
        <v>13</v>
      </c>
    </row>
    <row r="84" spans="1:9" hidden="1" x14ac:dyDescent="0.2">
      <c r="A84" s="11" t="s">
        <v>3165</v>
      </c>
      <c r="B84" s="12" t="s">
        <v>3166</v>
      </c>
      <c r="C84" s="13">
        <f>C83+1</f>
        <v>7</v>
      </c>
      <c r="D84" s="118" t="s">
        <v>3288</v>
      </c>
      <c r="E84" s="28" t="s">
        <v>3167</v>
      </c>
      <c r="F84" s="12" t="s">
        <v>3289</v>
      </c>
      <c r="G84" s="66" t="s">
        <v>13</v>
      </c>
      <c r="I84" s="99">
        <v>13</v>
      </c>
    </row>
    <row r="85" spans="1:9" hidden="1" x14ac:dyDescent="0.25">
      <c r="A85" s="11" t="s">
        <v>1313</v>
      </c>
      <c r="B85" s="12" t="s">
        <v>1314</v>
      </c>
      <c r="C85" s="13">
        <v>31</v>
      </c>
      <c r="D85" s="118" t="s">
        <v>1373</v>
      </c>
      <c r="E85" s="28" t="s">
        <v>1315</v>
      </c>
      <c r="F85" s="12" t="s">
        <v>1374</v>
      </c>
      <c r="G85" s="15" t="s">
        <v>13</v>
      </c>
    </row>
    <row r="86" spans="1:9" hidden="1" x14ac:dyDescent="0.2">
      <c r="A86" s="11" t="s">
        <v>2393</v>
      </c>
      <c r="B86" s="12" t="s">
        <v>2394</v>
      </c>
      <c r="C86" s="13">
        <v>2</v>
      </c>
      <c r="D86" s="24" t="s">
        <v>2397</v>
      </c>
      <c r="E86" s="28" t="s">
        <v>2395</v>
      </c>
      <c r="F86" s="22" t="s">
        <v>2398</v>
      </c>
      <c r="G86" s="15" t="s">
        <v>13</v>
      </c>
    </row>
    <row r="87" spans="1:9" hidden="1" x14ac:dyDescent="0.2">
      <c r="A87" s="11" t="s">
        <v>2382</v>
      </c>
      <c r="B87" s="12" t="s">
        <v>2383</v>
      </c>
      <c r="C87" s="13">
        <v>5</v>
      </c>
      <c r="D87" s="27" t="s">
        <v>2389</v>
      </c>
      <c r="E87" s="28" t="s">
        <v>2384</v>
      </c>
      <c r="F87" s="12" t="s">
        <v>2390</v>
      </c>
      <c r="G87" s="15" t="s">
        <v>13</v>
      </c>
    </row>
    <row r="88" spans="1:9" hidden="1" x14ac:dyDescent="0.2">
      <c r="A88" s="11" t="s">
        <v>4564</v>
      </c>
      <c r="B88" s="12" t="s">
        <v>4565</v>
      </c>
      <c r="C88" s="13">
        <v>11</v>
      </c>
      <c r="D88" s="118" t="s">
        <v>2389</v>
      </c>
      <c r="E88" s="28" t="s">
        <v>4566</v>
      </c>
      <c r="F88" s="12" t="s">
        <v>4577</v>
      </c>
      <c r="G88" s="66" t="s">
        <v>829</v>
      </c>
      <c r="I88" s="9">
        <v>15</v>
      </c>
    </row>
    <row r="89" spans="1:9" hidden="1" x14ac:dyDescent="0.25">
      <c r="A89" s="11" t="s">
        <v>1464</v>
      </c>
      <c r="B89" s="12" t="s">
        <v>1465</v>
      </c>
      <c r="C89" s="13">
        <v>16</v>
      </c>
      <c r="D89" s="118" t="s">
        <v>1492</v>
      </c>
      <c r="E89" s="28" t="s">
        <v>1466</v>
      </c>
      <c r="F89" s="12" t="s">
        <v>1493</v>
      </c>
      <c r="G89" s="15" t="s">
        <v>19</v>
      </c>
    </row>
    <row r="90" spans="1:9" hidden="1" x14ac:dyDescent="0.25">
      <c r="A90" s="11" t="s">
        <v>1383</v>
      </c>
      <c r="B90" s="12" t="s">
        <v>1384</v>
      </c>
      <c r="C90" s="13">
        <v>15</v>
      </c>
      <c r="D90" s="118" t="s">
        <v>1411</v>
      </c>
      <c r="E90" s="28" t="s">
        <v>1385</v>
      </c>
      <c r="F90" s="12" t="s">
        <v>1412</v>
      </c>
      <c r="G90" s="15" t="s">
        <v>19</v>
      </c>
    </row>
    <row r="91" spans="1:9" hidden="1" x14ac:dyDescent="0.25">
      <c r="A91" s="11" t="s">
        <v>1464</v>
      </c>
      <c r="B91" s="12" t="s">
        <v>1465</v>
      </c>
      <c r="C91" s="13">
        <v>17</v>
      </c>
      <c r="D91" s="118" t="s">
        <v>1494</v>
      </c>
      <c r="E91" s="28" t="s">
        <v>1466</v>
      </c>
      <c r="F91" s="12" t="s">
        <v>1495</v>
      </c>
      <c r="G91" s="15" t="s">
        <v>19</v>
      </c>
    </row>
    <row r="92" spans="1:9" hidden="1" x14ac:dyDescent="0.25">
      <c r="A92" s="11" t="s">
        <v>1421</v>
      </c>
      <c r="B92" s="12" t="s">
        <v>1422</v>
      </c>
      <c r="C92" s="13">
        <v>19</v>
      </c>
      <c r="D92" s="118" t="s">
        <v>1450</v>
      </c>
      <c r="E92" s="28" t="s">
        <v>1423</v>
      </c>
      <c r="F92" s="12" t="s">
        <v>1451</v>
      </c>
      <c r="G92" s="15" t="s">
        <v>19</v>
      </c>
    </row>
    <row r="93" spans="1:9" hidden="1" x14ac:dyDescent="0.25">
      <c r="A93" s="11" t="s">
        <v>1383</v>
      </c>
      <c r="B93" s="12" t="s">
        <v>1384</v>
      </c>
      <c r="C93" s="13">
        <v>12</v>
      </c>
      <c r="D93" s="118" t="s">
        <v>1405</v>
      </c>
      <c r="E93" s="28" t="s">
        <v>1385</v>
      </c>
      <c r="F93" s="12" t="s">
        <v>1406</v>
      </c>
      <c r="G93" s="15" t="s">
        <v>19</v>
      </c>
    </row>
    <row r="94" spans="1:9" hidden="1" x14ac:dyDescent="0.25">
      <c r="A94" s="11" t="s">
        <v>1421</v>
      </c>
      <c r="B94" s="12" t="s">
        <v>1422</v>
      </c>
      <c r="C94" s="13">
        <v>9</v>
      </c>
      <c r="D94" s="118" t="s">
        <v>1435</v>
      </c>
      <c r="E94" s="28" t="s">
        <v>1423</v>
      </c>
      <c r="F94" s="12" t="s">
        <v>1436</v>
      </c>
      <c r="G94" s="119" t="s">
        <v>1393</v>
      </c>
      <c r="I94" s="90">
        <v>12</v>
      </c>
    </row>
    <row r="95" spans="1:9" hidden="1" x14ac:dyDescent="0.2">
      <c r="A95" s="11" t="s">
        <v>3956</v>
      </c>
      <c r="B95" s="12" t="s">
        <v>3957</v>
      </c>
      <c r="C95" s="13">
        <v>13</v>
      </c>
      <c r="D95" s="118" t="s">
        <v>3978</v>
      </c>
      <c r="E95" s="28" t="s">
        <v>3958</v>
      </c>
      <c r="F95" s="12" t="s">
        <v>3979</v>
      </c>
      <c r="G95" s="143" t="s">
        <v>1393</v>
      </c>
      <c r="I95" s="90">
        <v>12</v>
      </c>
    </row>
    <row r="96" spans="1:9" hidden="1" x14ac:dyDescent="0.2">
      <c r="A96" s="11" t="s">
        <v>3956</v>
      </c>
      <c r="B96" s="12" t="s">
        <v>3957</v>
      </c>
      <c r="C96" s="13">
        <v>12</v>
      </c>
      <c r="D96" s="118" t="s">
        <v>3976</v>
      </c>
      <c r="E96" s="28" t="s">
        <v>3958</v>
      </c>
      <c r="F96" s="12" t="s">
        <v>3977</v>
      </c>
      <c r="G96" s="143" t="s">
        <v>1393</v>
      </c>
      <c r="I96" s="90">
        <v>12</v>
      </c>
    </row>
    <row r="97" spans="1:10" hidden="1" x14ac:dyDescent="0.2">
      <c r="A97" s="11" t="s">
        <v>3956</v>
      </c>
      <c r="B97" s="12" t="s">
        <v>3957</v>
      </c>
      <c r="C97" s="13">
        <v>11</v>
      </c>
      <c r="D97" s="118" t="s">
        <v>3974</v>
      </c>
      <c r="E97" s="28" t="s">
        <v>3958</v>
      </c>
      <c r="F97" s="12" t="s">
        <v>3975</v>
      </c>
      <c r="G97" s="143" t="s">
        <v>1393</v>
      </c>
      <c r="I97" s="90">
        <v>12</v>
      </c>
    </row>
    <row r="98" spans="1:10" hidden="1" x14ac:dyDescent="0.25">
      <c r="A98" s="11" t="s">
        <v>1383</v>
      </c>
      <c r="B98" s="12" t="s">
        <v>1384</v>
      </c>
      <c r="C98" s="13">
        <v>6</v>
      </c>
      <c r="D98" s="118" t="s">
        <v>1394</v>
      </c>
      <c r="E98" s="28" t="s">
        <v>1385</v>
      </c>
      <c r="F98" s="12" t="s">
        <v>1395</v>
      </c>
      <c r="G98" s="119" t="s">
        <v>1393</v>
      </c>
      <c r="I98" s="90">
        <v>12</v>
      </c>
    </row>
    <row r="99" spans="1:10" hidden="1" x14ac:dyDescent="0.25">
      <c r="A99" s="11" t="s">
        <v>1568</v>
      </c>
      <c r="B99" s="12" t="s">
        <v>1569</v>
      </c>
      <c r="C99" s="13">
        <v>20</v>
      </c>
      <c r="D99" s="118" t="s">
        <v>1611</v>
      </c>
      <c r="E99" s="28" t="s">
        <v>1570</v>
      </c>
      <c r="F99" s="12" t="s">
        <v>1612</v>
      </c>
      <c r="G99" s="15" t="s">
        <v>684</v>
      </c>
      <c r="I99" s="94">
        <v>14</v>
      </c>
    </row>
    <row r="100" spans="1:10" hidden="1" x14ac:dyDescent="0.25">
      <c r="A100" s="11" t="s">
        <v>1768</v>
      </c>
      <c r="B100" s="12" t="s">
        <v>1769</v>
      </c>
      <c r="C100" s="13">
        <v>11</v>
      </c>
      <c r="D100" s="118" t="s">
        <v>1611</v>
      </c>
      <c r="E100" s="28" t="s">
        <v>1770</v>
      </c>
      <c r="F100" s="12" t="s">
        <v>1782</v>
      </c>
      <c r="G100" s="15" t="s">
        <v>684</v>
      </c>
      <c r="I100" s="94">
        <v>14</v>
      </c>
    </row>
    <row r="101" spans="1:10" hidden="1" x14ac:dyDescent="0.2">
      <c r="A101" s="11" t="s">
        <v>93</v>
      </c>
      <c r="B101" s="12" t="s">
        <v>94</v>
      </c>
      <c r="C101" s="13">
        <v>63</v>
      </c>
      <c r="D101" s="27" t="s">
        <v>224</v>
      </c>
      <c r="E101" s="28" t="s">
        <v>96</v>
      </c>
      <c r="F101" s="12" t="s">
        <v>225</v>
      </c>
      <c r="G101" s="15" t="s">
        <v>13</v>
      </c>
    </row>
    <row r="102" spans="1:10" ht="15" hidden="1" x14ac:dyDescent="0.25">
      <c r="A102" s="11" t="s">
        <v>1922</v>
      </c>
      <c r="B102" s="12" t="s">
        <v>1923</v>
      </c>
      <c r="C102" s="13">
        <v>16</v>
      </c>
      <c r="D102" s="208" t="s">
        <v>1952</v>
      </c>
      <c r="E102" s="28" t="s">
        <v>1924</v>
      </c>
      <c r="F102" s="12" t="s">
        <v>1953</v>
      </c>
      <c r="G102" s="15" t="s">
        <v>19</v>
      </c>
      <c r="I102" s="9">
        <v>15</v>
      </c>
      <c r="J102" s="52"/>
    </row>
    <row r="103" spans="1:10" ht="15" hidden="1" x14ac:dyDescent="0.25">
      <c r="A103" s="11" t="s">
        <v>1922</v>
      </c>
      <c r="B103" s="12" t="s">
        <v>1923</v>
      </c>
      <c r="C103" s="13">
        <v>17</v>
      </c>
      <c r="D103" s="208" t="s">
        <v>1954</v>
      </c>
      <c r="E103" s="28" t="s">
        <v>1924</v>
      </c>
      <c r="F103" s="12" t="s">
        <v>1955</v>
      </c>
      <c r="G103" s="15" t="s">
        <v>19</v>
      </c>
      <c r="I103" s="9">
        <v>15</v>
      </c>
      <c r="J103" s="52"/>
    </row>
    <row r="104" spans="1:10" ht="15" hidden="1" x14ac:dyDescent="0.25">
      <c r="A104" s="11" t="s">
        <v>1922</v>
      </c>
      <c r="B104" s="12" t="s">
        <v>1923</v>
      </c>
      <c r="C104" s="13">
        <v>12</v>
      </c>
      <c r="D104" s="208" t="s">
        <v>1944</v>
      </c>
      <c r="E104" s="28" t="s">
        <v>1924</v>
      </c>
      <c r="F104" s="12" t="s">
        <v>1945</v>
      </c>
      <c r="G104" s="15" t="s">
        <v>19</v>
      </c>
      <c r="I104" s="9">
        <v>15</v>
      </c>
      <c r="J104" s="52"/>
    </row>
    <row r="105" spans="1:10" ht="15" hidden="1" x14ac:dyDescent="0.25">
      <c r="A105" s="11" t="s">
        <v>1922</v>
      </c>
      <c r="B105" s="12" t="s">
        <v>1923</v>
      </c>
      <c r="C105" s="13">
        <v>14</v>
      </c>
      <c r="D105" s="208" t="s">
        <v>1948</v>
      </c>
      <c r="E105" s="28" t="s">
        <v>1924</v>
      </c>
      <c r="F105" s="12" t="s">
        <v>1949</v>
      </c>
      <c r="G105" s="15" t="s">
        <v>19</v>
      </c>
      <c r="I105" s="9">
        <v>15</v>
      </c>
      <c r="J105" s="52"/>
    </row>
    <row r="106" spans="1:10" hidden="1" x14ac:dyDescent="0.25">
      <c r="A106" s="11" t="s">
        <v>5559</v>
      </c>
      <c r="B106" s="12" t="s">
        <v>5560</v>
      </c>
      <c r="C106" s="13">
        <v>4</v>
      </c>
      <c r="D106" s="118" t="s">
        <v>5565</v>
      </c>
      <c r="E106" s="28" t="s">
        <v>5561</v>
      </c>
      <c r="F106" s="12" t="s">
        <v>5566</v>
      </c>
      <c r="G106" s="80" t="s">
        <v>13</v>
      </c>
    </row>
    <row r="107" spans="1:10" hidden="1" x14ac:dyDescent="0.25">
      <c r="A107" s="11" t="s">
        <v>5676</v>
      </c>
      <c r="B107" s="12" t="s">
        <v>5677</v>
      </c>
      <c r="C107" s="13">
        <v>4</v>
      </c>
      <c r="D107" s="118" t="s">
        <v>5684</v>
      </c>
      <c r="E107" s="28" t="s">
        <v>5678</v>
      </c>
      <c r="F107" s="12" t="s">
        <v>5685</v>
      </c>
      <c r="G107" s="80" t="s">
        <v>13</v>
      </c>
    </row>
    <row r="108" spans="1:10" hidden="1" x14ac:dyDescent="0.25">
      <c r="A108" s="11" t="s">
        <v>1313</v>
      </c>
      <c r="B108" s="12" t="s">
        <v>1314</v>
      </c>
      <c r="C108" s="13">
        <v>21</v>
      </c>
      <c r="D108" s="118" t="s">
        <v>1353</v>
      </c>
      <c r="E108" s="28" t="s">
        <v>1315</v>
      </c>
      <c r="F108" s="12" t="s">
        <v>1354</v>
      </c>
      <c r="G108" s="15" t="s">
        <v>78</v>
      </c>
    </row>
    <row r="109" spans="1:10" hidden="1" x14ac:dyDescent="0.25">
      <c r="A109" s="11" t="s">
        <v>1313</v>
      </c>
      <c r="B109" s="12" t="s">
        <v>1314</v>
      </c>
      <c r="C109" s="13">
        <v>19</v>
      </c>
      <c r="D109" s="118" t="s">
        <v>1349</v>
      </c>
      <c r="E109" s="28" t="s">
        <v>1315</v>
      </c>
      <c r="F109" s="12" t="s">
        <v>1350</v>
      </c>
      <c r="G109" s="15" t="s">
        <v>78</v>
      </c>
    </row>
    <row r="110" spans="1:10" hidden="1" x14ac:dyDescent="0.2">
      <c r="A110" s="11" t="s">
        <v>2541</v>
      </c>
      <c r="B110" s="12" t="s">
        <v>2542</v>
      </c>
      <c r="C110" s="13">
        <v>7</v>
      </c>
      <c r="D110" s="24" t="s">
        <v>2551</v>
      </c>
      <c r="E110" s="28" t="s">
        <v>2543</v>
      </c>
      <c r="F110" s="22" t="s">
        <v>2552</v>
      </c>
      <c r="G110" s="15" t="s">
        <v>13</v>
      </c>
    </row>
    <row r="111" spans="1:10" hidden="1" x14ac:dyDescent="0.2">
      <c r="A111" s="11" t="s">
        <v>2555</v>
      </c>
      <c r="B111" s="12" t="s">
        <v>2556</v>
      </c>
      <c r="C111" s="13">
        <v>7</v>
      </c>
      <c r="D111" s="24" t="s">
        <v>2551</v>
      </c>
      <c r="E111" s="28" t="s">
        <v>2557</v>
      </c>
      <c r="F111" s="22" t="s">
        <v>2565</v>
      </c>
      <c r="G111" s="15" t="s">
        <v>13</v>
      </c>
    </row>
    <row r="112" spans="1:10" hidden="1" x14ac:dyDescent="0.2">
      <c r="A112" s="11" t="s">
        <v>3165</v>
      </c>
      <c r="B112" s="12" t="s">
        <v>3166</v>
      </c>
      <c r="C112" s="13">
        <v>42</v>
      </c>
      <c r="D112" s="118" t="s">
        <v>3224</v>
      </c>
      <c r="E112" s="28" t="s">
        <v>3167</v>
      </c>
      <c r="F112" s="65" t="s">
        <v>3225</v>
      </c>
      <c r="G112" s="66" t="s">
        <v>13</v>
      </c>
    </row>
    <row r="113" spans="1:10" hidden="1" x14ac:dyDescent="0.2">
      <c r="A113" s="11" t="s">
        <v>3165</v>
      </c>
      <c r="B113" s="12" t="s">
        <v>3166</v>
      </c>
      <c r="C113" s="13">
        <v>53</v>
      </c>
      <c r="D113" s="118" t="s">
        <v>3246</v>
      </c>
      <c r="E113" s="28" t="s">
        <v>3167</v>
      </c>
      <c r="F113" s="65" t="s">
        <v>3247</v>
      </c>
      <c r="G113" s="66" t="s">
        <v>13</v>
      </c>
    </row>
    <row r="114" spans="1:10" hidden="1" x14ac:dyDescent="0.25">
      <c r="A114" s="11" t="s">
        <v>1313</v>
      </c>
      <c r="B114" s="12" t="s">
        <v>1314</v>
      </c>
      <c r="C114" s="13">
        <v>4</v>
      </c>
      <c r="D114" s="118" t="s">
        <v>1319</v>
      </c>
      <c r="E114" s="28" t="s">
        <v>1315</v>
      </c>
      <c r="F114" s="12" t="s">
        <v>1320</v>
      </c>
      <c r="G114" s="15" t="s">
        <v>13</v>
      </c>
    </row>
    <row r="115" spans="1:10" hidden="1" x14ac:dyDescent="0.25">
      <c r="A115" s="11" t="s">
        <v>1568</v>
      </c>
      <c r="B115" s="12" t="s">
        <v>1569</v>
      </c>
      <c r="C115" s="13">
        <v>6</v>
      </c>
      <c r="D115" s="118" t="s">
        <v>1319</v>
      </c>
      <c r="E115" s="28" t="s">
        <v>1570</v>
      </c>
      <c r="F115" s="12" t="s">
        <v>1582</v>
      </c>
      <c r="G115" s="15" t="s">
        <v>1583</v>
      </c>
      <c r="I115" s="94">
        <v>14</v>
      </c>
    </row>
    <row r="116" spans="1:10" hidden="1" x14ac:dyDescent="0.2">
      <c r="A116" s="11" t="s">
        <v>5174</v>
      </c>
      <c r="B116" s="12" t="s">
        <v>5175</v>
      </c>
      <c r="C116" s="13">
        <v>5</v>
      </c>
      <c r="D116" s="76" t="s">
        <v>5182</v>
      </c>
      <c r="E116" s="28" t="s">
        <v>5176</v>
      </c>
      <c r="F116" s="65" t="s">
        <v>5183</v>
      </c>
      <c r="G116" s="15" t="s">
        <v>156</v>
      </c>
    </row>
    <row r="117" spans="1:10" hidden="1" x14ac:dyDescent="0.2">
      <c r="A117" s="11" t="s">
        <v>2631</v>
      </c>
      <c r="B117" s="12" t="s">
        <v>2632</v>
      </c>
      <c r="C117" s="13">
        <v>58</v>
      </c>
      <c r="D117" s="27" t="s">
        <v>2743</v>
      </c>
      <c r="E117" s="28" t="s">
        <v>2634</v>
      </c>
      <c r="F117" s="65" t="s">
        <v>2744</v>
      </c>
      <c r="G117" s="66" t="s">
        <v>13</v>
      </c>
    </row>
    <row r="118" spans="1:10" hidden="1" x14ac:dyDescent="0.2">
      <c r="A118" s="11" t="s">
        <v>4657</v>
      </c>
      <c r="B118" s="12" t="s">
        <v>4658</v>
      </c>
      <c r="C118" s="13">
        <v>2</v>
      </c>
      <c r="D118" s="135" t="s">
        <v>4661</v>
      </c>
      <c r="E118" s="138" t="s">
        <v>4659</v>
      </c>
      <c r="F118" s="75" t="s">
        <v>4662</v>
      </c>
      <c r="G118" s="66" t="s">
        <v>13</v>
      </c>
    </row>
    <row r="119" spans="1:10" ht="15" hidden="1" x14ac:dyDescent="0.25">
      <c r="A119" s="11" t="s">
        <v>5523</v>
      </c>
      <c r="B119" s="12" t="s">
        <v>5524</v>
      </c>
      <c r="C119" s="13">
        <v>7</v>
      </c>
      <c r="D119" s="27" t="s">
        <v>5538</v>
      </c>
      <c r="E119" s="28" t="s">
        <v>5526</v>
      </c>
      <c r="F119" s="65" t="s">
        <v>5539</v>
      </c>
      <c r="G119" s="15" t="s">
        <v>1323</v>
      </c>
      <c r="I119" s="9">
        <v>15</v>
      </c>
      <c r="J119" s="52"/>
    </row>
    <row r="120" spans="1:10" hidden="1" x14ac:dyDescent="0.2">
      <c r="A120" s="11" t="s">
        <v>3458</v>
      </c>
      <c r="B120" s="12" t="s">
        <v>3459</v>
      </c>
      <c r="C120" s="13">
        <v>8</v>
      </c>
      <c r="D120" s="118" t="s">
        <v>3470</v>
      </c>
      <c r="E120" s="138" t="s">
        <v>3460</v>
      </c>
      <c r="F120" s="65" t="s">
        <v>3471</v>
      </c>
      <c r="G120" s="66" t="s">
        <v>13</v>
      </c>
    </row>
    <row r="121" spans="1:10" hidden="1" x14ac:dyDescent="0.2">
      <c r="A121" s="11" t="s">
        <v>3633</v>
      </c>
      <c r="B121" s="12" t="s">
        <v>3634</v>
      </c>
      <c r="C121" s="13">
        <v>6</v>
      </c>
      <c r="D121" s="117" t="s">
        <v>3470</v>
      </c>
      <c r="E121" s="138" t="s">
        <v>3635</v>
      </c>
      <c r="F121" s="75" t="s">
        <v>3641</v>
      </c>
      <c r="G121" s="66" t="s">
        <v>13</v>
      </c>
    </row>
    <row r="122" spans="1:10" hidden="1" x14ac:dyDescent="0.2">
      <c r="A122" s="11" t="s">
        <v>4087</v>
      </c>
      <c r="B122" s="12" t="s">
        <v>4088</v>
      </c>
      <c r="C122" s="13">
        <f>C121+1</f>
        <v>7</v>
      </c>
      <c r="D122" s="118" t="s">
        <v>3470</v>
      </c>
      <c r="E122" s="28" t="s">
        <v>4089</v>
      </c>
      <c r="F122" s="12" t="s">
        <v>4101</v>
      </c>
      <c r="G122" s="66" t="s">
        <v>13</v>
      </c>
      <c r="I122" s="90" t="s">
        <v>2426</v>
      </c>
    </row>
    <row r="123" spans="1:10" hidden="1" x14ac:dyDescent="0.2">
      <c r="A123" s="11" t="s">
        <v>4212</v>
      </c>
      <c r="B123" s="12" t="s">
        <v>4213</v>
      </c>
      <c r="C123" s="13">
        <f>C122+1</f>
        <v>8</v>
      </c>
      <c r="D123" s="117" t="s">
        <v>3470</v>
      </c>
      <c r="E123" s="28" t="s">
        <v>4214</v>
      </c>
      <c r="F123" s="22" t="s">
        <v>4220</v>
      </c>
      <c r="G123" s="66" t="s">
        <v>13</v>
      </c>
      <c r="I123" s="90" t="s">
        <v>2426</v>
      </c>
    </row>
    <row r="124" spans="1:10" hidden="1" x14ac:dyDescent="0.2">
      <c r="A124" s="11" t="s">
        <v>93</v>
      </c>
      <c r="B124" s="12" t="s">
        <v>94</v>
      </c>
      <c r="C124" s="13">
        <v>8</v>
      </c>
      <c r="D124" s="27" t="s">
        <v>108</v>
      </c>
      <c r="E124" s="28" t="s">
        <v>96</v>
      </c>
      <c r="F124" s="12" t="s">
        <v>109</v>
      </c>
      <c r="G124" s="15" t="s">
        <v>13</v>
      </c>
    </row>
    <row r="125" spans="1:10" hidden="1" x14ac:dyDescent="0.2">
      <c r="A125" s="11" t="s">
        <v>434</v>
      </c>
      <c r="B125" s="12" t="s">
        <v>435</v>
      </c>
      <c r="C125" s="13">
        <v>5</v>
      </c>
      <c r="D125" s="24" t="s">
        <v>442</v>
      </c>
      <c r="E125" s="28" t="s">
        <v>436</v>
      </c>
      <c r="F125" s="22" t="s">
        <v>443</v>
      </c>
      <c r="G125" s="15" t="s">
        <v>13</v>
      </c>
    </row>
    <row r="126" spans="1:10" hidden="1" x14ac:dyDescent="0.25">
      <c r="A126" s="146" t="s">
        <v>5015</v>
      </c>
      <c r="B126" s="12" t="s">
        <v>5016</v>
      </c>
      <c r="C126" s="13">
        <v>5</v>
      </c>
      <c r="D126" s="117" t="s">
        <v>442</v>
      </c>
      <c r="E126" s="28" t="s">
        <v>5017</v>
      </c>
      <c r="F126" s="38" t="s">
        <v>5023</v>
      </c>
      <c r="G126" s="80" t="s">
        <v>13</v>
      </c>
    </row>
    <row r="127" spans="1:10" hidden="1" x14ac:dyDescent="0.2">
      <c r="A127" s="11" t="s">
        <v>434</v>
      </c>
      <c r="B127" s="12" t="s">
        <v>435</v>
      </c>
      <c r="C127" s="13">
        <v>4</v>
      </c>
      <c r="D127" s="24" t="s">
        <v>440</v>
      </c>
      <c r="E127" s="28" t="s">
        <v>436</v>
      </c>
      <c r="F127" s="22" t="s">
        <v>441</v>
      </c>
      <c r="G127" s="15" t="s">
        <v>13</v>
      </c>
    </row>
    <row r="128" spans="1:10" hidden="1" x14ac:dyDescent="0.2">
      <c r="A128" s="11" t="s">
        <v>839</v>
      </c>
      <c r="B128" s="12" t="s">
        <v>840</v>
      </c>
      <c r="C128" s="13">
        <v>10</v>
      </c>
      <c r="D128" s="27" t="s">
        <v>860</v>
      </c>
      <c r="E128" s="28" t="s">
        <v>841</v>
      </c>
      <c r="F128" s="12" t="s">
        <v>861</v>
      </c>
      <c r="G128" s="15" t="s">
        <v>862</v>
      </c>
      <c r="I128" s="9">
        <v>15</v>
      </c>
    </row>
    <row r="129" spans="1:10" hidden="1" x14ac:dyDescent="0.2">
      <c r="A129" s="11" t="s">
        <v>1960</v>
      </c>
      <c r="B129" s="12" t="s">
        <v>1961</v>
      </c>
      <c r="C129" s="13">
        <v>2</v>
      </c>
      <c r="D129" s="24" t="s">
        <v>10</v>
      </c>
      <c r="E129" s="28" t="s">
        <v>1962</v>
      </c>
      <c r="F129" s="22" t="s">
        <v>1964</v>
      </c>
      <c r="G129" s="15" t="s">
        <v>13</v>
      </c>
    </row>
    <row r="130" spans="1:10" hidden="1" x14ac:dyDescent="0.2">
      <c r="A130" s="11" t="s">
        <v>1960</v>
      </c>
      <c r="B130" s="12" t="s">
        <v>1961</v>
      </c>
      <c r="C130" s="13">
        <v>3</v>
      </c>
      <c r="D130" s="24" t="s">
        <v>475</v>
      </c>
      <c r="E130" s="28" t="s">
        <v>1962</v>
      </c>
      <c r="F130" s="22" t="s">
        <v>1965</v>
      </c>
      <c r="G130" s="15" t="s">
        <v>32</v>
      </c>
    </row>
    <row r="131" spans="1:10" hidden="1" x14ac:dyDescent="0.2">
      <c r="A131" s="11" t="s">
        <v>1082</v>
      </c>
      <c r="B131" s="12" t="s">
        <v>1083</v>
      </c>
      <c r="C131" s="13">
        <v>4</v>
      </c>
      <c r="D131" s="27" t="s">
        <v>1089</v>
      </c>
      <c r="E131" s="28" t="s">
        <v>1084</v>
      </c>
      <c r="F131" s="12" t="s">
        <v>1090</v>
      </c>
      <c r="G131" s="15" t="s">
        <v>829</v>
      </c>
      <c r="I131" s="9">
        <v>15</v>
      </c>
    </row>
    <row r="132" spans="1:10" hidden="1" x14ac:dyDescent="0.25">
      <c r="A132" s="11" t="s">
        <v>1568</v>
      </c>
      <c r="B132" s="12" t="s">
        <v>1569</v>
      </c>
      <c r="C132" s="13">
        <v>8</v>
      </c>
      <c r="D132" s="118" t="s">
        <v>1586</v>
      </c>
      <c r="E132" s="28" t="s">
        <v>1570</v>
      </c>
      <c r="F132" s="12" t="s">
        <v>1587</v>
      </c>
      <c r="G132" s="15" t="s">
        <v>316</v>
      </c>
      <c r="I132" s="94">
        <v>14</v>
      </c>
    </row>
    <row r="133" spans="1:10" hidden="1" x14ac:dyDescent="0.2">
      <c r="A133" s="11" t="s">
        <v>1206</v>
      </c>
      <c r="B133" s="12" t="s">
        <v>1207</v>
      </c>
      <c r="C133" s="13">
        <v>4</v>
      </c>
      <c r="D133" s="27" t="s">
        <v>1213</v>
      </c>
      <c r="E133" s="28" t="s">
        <v>1208</v>
      </c>
      <c r="F133" s="12" t="s">
        <v>1214</v>
      </c>
      <c r="G133" s="15" t="s">
        <v>13</v>
      </c>
      <c r="I133" s="99">
        <v>13</v>
      </c>
    </row>
    <row r="134" spans="1:10" hidden="1" x14ac:dyDescent="0.25">
      <c r="A134" s="11" t="s">
        <v>6543</v>
      </c>
      <c r="B134" s="12" t="s">
        <v>6544</v>
      </c>
      <c r="C134" s="13">
        <f>C133+1</f>
        <v>5</v>
      </c>
      <c r="D134" s="117" t="s">
        <v>6549</v>
      </c>
      <c r="E134" s="28" t="s">
        <v>6545</v>
      </c>
      <c r="F134" s="22" t="s">
        <v>6550</v>
      </c>
      <c r="G134" s="15" t="s">
        <v>13</v>
      </c>
      <c r="I134" s="90">
        <v>12</v>
      </c>
    </row>
    <row r="135" spans="1:10" hidden="1" x14ac:dyDescent="0.25">
      <c r="A135" s="11" t="s">
        <v>6559</v>
      </c>
      <c r="B135" s="12" t="s">
        <v>6560</v>
      </c>
      <c r="C135" s="13">
        <f>C134+1</f>
        <v>6</v>
      </c>
      <c r="D135" s="117" t="s">
        <v>6549</v>
      </c>
      <c r="E135" s="28" t="s">
        <v>6561</v>
      </c>
      <c r="F135" s="22" t="s">
        <v>6566</v>
      </c>
      <c r="G135" s="15" t="s">
        <v>13</v>
      </c>
      <c r="I135" s="90">
        <v>12</v>
      </c>
    </row>
    <row r="136" spans="1:10" hidden="1" x14ac:dyDescent="0.2">
      <c r="A136" s="56" t="s">
        <v>2988</v>
      </c>
      <c r="B136" s="61" t="s">
        <v>2989</v>
      </c>
      <c r="C136" s="58">
        <f>1+C135</f>
        <v>7</v>
      </c>
      <c r="D136" s="107" t="s">
        <v>2998</v>
      </c>
      <c r="E136" s="61" t="s">
        <v>2990</v>
      </c>
      <c r="F136" s="74" t="s">
        <v>2999</v>
      </c>
      <c r="G136" s="129" t="s">
        <v>13</v>
      </c>
    </row>
    <row r="137" spans="1:10" hidden="1" x14ac:dyDescent="0.2">
      <c r="A137" s="11" t="s">
        <v>3355</v>
      </c>
      <c r="B137" s="12" t="s">
        <v>3356</v>
      </c>
      <c r="C137" s="13">
        <v>9</v>
      </c>
      <c r="D137" s="12" t="s">
        <v>3368</v>
      </c>
      <c r="E137" s="12" t="s">
        <v>3357</v>
      </c>
      <c r="F137" s="65" t="s">
        <v>3369</v>
      </c>
      <c r="G137" s="66" t="s">
        <v>13</v>
      </c>
    </row>
    <row r="138" spans="1:10" hidden="1" x14ac:dyDescent="0.25">
      <c r="A138" s="11" t="s">
        <v>1568</v>
      </c>
      <c r="B138" s="12" t="s">
        <v>1569</v>
      </c>
      <c r="C138" s="13">
        <v>33</v>
      </c>
      <c r="D138" s="12" t="s">
        <v>1639</v>
      </c>
      <c r="E138" s="12" t="s">
        <v>1570</v>
      </c>
      <c r="F138" s="12" t="s">
        <v>1640</v>
      </c>
      <c r="G138" s="15" t="s">
        <v>1641</v>
      </c>
      <c r="I138" s="94">
        <v>14</v>
      </c>
    </row>
    <row r="139" spans="1:10" hidden="1" x14ac:dyDescent="0.25">
      <c r="A139" s="11" t="s">
        <v>1568</v>
      </c>
      <c r="B139" s="12" t="s">
        <v>1569</v>
      </c>
      <c r="C139" s="13">
        <v>32</v>
      </c>
      <c r="D139" s="12" t="s">
        <v>1637</v>
      </c>
      <c r="E139" s="12" t="s">
        <v>1570</v>
      </c>
      <c r="F139" s="12" t="s">
        <v>1638</v>
      </c>
      <c r="G139" s="15" t="s">
        <v>1633</v>
      </c>
      <c r="I139" s="94">
        <v>14</v>
      </c>
    </row>
    <row r="140" spans="1:10" hidden="1" x14ac:dyDescent="0.2">
      <c r="A140" s="11" t="s">
        <v>1960</v>
      </c>
      <c r="B140" s="12" t="s">
        <v>1961</v>
      </c>
      <c r="C140" s="13">
        <v>4</v>
      </c>
      <c r="D140" s="37" t="s">
        <v>1966</v>
      </c>
      <c r="E140" s="12" t="s">
        <v>1962</v>
      </c>
      <c r="F140" s="22" t="s">
        <v>1967</v>
      </c>
      <c r="G140" s="15" t="s">
        <v>13</v>
      </c>
    </row>
    <row r="141" spans="1:10" hidden="1" x14ac:dyDescent="0.25">
      <c r="A141" s="11" t="s">
        <v>2130</v>
      </c>
      <c r="B141" s="8" t="s">
        <v>2131</v>
      </c>
      <c r="C141" s="13">
        <v>17</v>
      </c>
      <c r="D141" s="12" t="s">
        <v>2161</v>
      </c>
      <c r="E141" s="12" t="s">
        <v>2132</v>
      </c>
      <c r="F141" s="12" t="s">
        <v>2162</v>
      </c>
      <c r="G141" s="15" t="s">
        <v>13</v>
      </c>
    </row>
    <row r="142" spans="1:10" ht="15" hidden="1" x14ac:dyDescent="0.25">
      <c r="A142" s="11" t="s">
        <v>2237</v>
      </c>
      <c r="B142" s="8" t="s">
        <v>2238</v>
      </c>
      <c r="C142" s="13">
        <v>8</v>
      </c>
      <c r="D142" s="12" t="s">
        <v>2251</v>
      </c>
      <c r="E142" s="12" t="s">
        <v>2239</v>
      </c>
      <c r="F142" s="12" t="s">
        <v>2252</v>
      </c>
      <c r="G142" s="15" t="s">
        <v>13</v>
      </c>
      <c r="I142" s="54">
        <v>15</v>
      </c>
      <c r="J142" s="52"/>
    </row>
    <row r="143" spans="1:10" hidden="1" x14ac:dyDescent="0.25">
      <c r="A143" s="11" t="s">
        <v>5627</v>
      </c>
      <c r="B143" s="12" t="s">
        <v>5628</v>
      </c>
      <c r="C143" s="13">
        <v>5</v>
      </c>
      <c r="D143" s="22" t="s">
        <v>5634</v>
      </c>
      <c r="E143" s="22" t="s">
        <v>5629</v>
      </c>
      <c r="F143" s="22" t="s">
        <v>5635</v>
      </c>
      <c r="G143" s="157" t="s">
        <v>13</v>
      </c>
    </row>
    <row r="144" spans="1:10" hidden="1" x14ac:dyDescent="0.2">
      <c r="A144" s="11" t="s">
        <v>1960</v>
      </c>
      <c r="B144" s="12" t="s">
        <v>1961</v>
      </c>
      <c r="C144" s="13">
        <v>5</v>
      </c>
      <c r="D144" s="37" t="s">
        <v>1968</v>
      </c>
      <c r="E144" s="12" t="s">
        <v>1962</v>
      </c>
      <c r="F144" s="22" t="s">
        <v>1969</v>
      </c>
      <c r="G144" s="15" t="s">
        <v>32</v>
      </c>
    </row>
    <row r="145" spans="1:27" hidden="1" x14ac:dyDescent="0.25">
      <c r="A145" s="146" t="s">
        <v>4881</v>
      </c>
      <c r="B145" s="12" t="s">
        <v>4882</v>
      </c>
      <c r="C145" s="13">
        <v>6</v>
      </c>
      <c r="D145" s="22" t="s">
        <v>4889</v>
      </c>
      <c r="E145" s="12" t="s">
        <v>4883</v>
      </c>
      <c r="F145" s="38" t="s">
        <v>4890</v>
      </c>
      <c r="G145" s="80" t="s">
        <v>13</v>
      </c>
    </row>
    <row r="146" spans="1:27" hidden="1" x14ac:dyDescent="0.25">
      <c r="A146" s="11" t="s">
        <v>5686</v>
      </c>
      <c r="B146" s="12" t="s">
        <v>5687</v>
      </c>
      <c r="C146" s="13">
        <f>C145+1</f>
        <v>7</v>
      </c>
      <c r="D146" s="12" t="s">
        <v>5834</v>
      </c>
      <c r="E146" s="12" t="s">
        <v>5688</v>
      </c>
      <c r="F146" s="12" t="s">
        <v>5835</v>
      </c>
      <c r="G146" s="15" t="s">
        <v>676</v>
      </c>
      <c r="I146" s="101" t="s">
        <v>5818</v>
      </c>
    </row>
    <row r="147" spans="1:27" hidden="1" x14ac:dyDescent="0.2">
      <c r="A147" s="11" t="s">
        <v>1093</v>
      </c>
      <c r="B147" s="12" t="s">
        <v>1094</v>
      </c>
      <c r="C147" s="13">
        <v>4</v>
      </c>
      <c r="D147" s="14" t="s">
        <v>1101</v>
      </c>
      <c r="E147" s="12" t="s">
        <v>1095</v>
      </c>
      <c r="F147" s="12" t="s">
        <v>1102</v>
      </c>
      <c r="G147" s="15" t="s">
        <v>13</v>
      </c>
    </row>
    <row r="148" spans="1:27" hidden="1" x14ac:dyDescent="0.2">
      <c r="A148" s="11" t="s">
        <v>93</v>
      </c>
      <c r="B148" s="12" t="s">
        <v>94</v>
      </c>
      <c r="C148" s="13">
        <v>56</v>
      </c>
      <c r="D148" s="14" t="s">
        <v>210</v>
      </c>
      <c r="E148" s="12" t="s">
        <v>96</v>
      </c>
      <c r="F148" s="12" t="s">
        <v>211</v>
      </c>
      <c r="G148" s="15" t="s">
        <v>13</v>
      </c>
    </row>
    <row r="149" spans="1:27" hidden="1" x14ac:dyDescent="0.2">
      <c r="A149" s="11" t="s">
        <v>93</v>
      </c>
      <c r="B149" s="12" t="s">
        <v>94</v>
      </c>
      <c r="C149" s="13">
        <v>55</v>
      </c>
      <c r="D149" s="14" t="s">
        <v>208</v>
      </c>
      <c r="E149" s="12" t="s">
        <v>96</v>
      </c>
      <c r="F149" s="12" t="s">
        <v>209</v>
      </c>
      <c r="G149" s="15" t="s">
        <v>13</v>
      </c>
    </row>
    <row r="150" spans="1:27" hidden="1" x14ac:dyDescent="0.25">
      <c r="A150" s="11" t="s">
        <v>6688</v>
      </c>
      <c r="B150" s="12" t="s">
        <v>6689</v>
      </c>
      <c r="C150" s="13">
        <v>11</v>
      </c>
      <c r="D150" s="12" t="s">
        <v>6707</v>
      </c>
      <c r="E150" s="12" t="s">
        <v>6690</v>
      </c>
      <c r="F150" s="12" t="s">
        <v>6708</v>
      </c>
      <c r="G150" s="15" t="s">
        <v>13</v>
      </c>
    </row>
    <row r="151" spans="1:27" hidden="1" x14ac:dyDescent="0.2">
      <c r="A151" s="11" t="s">
        <v>453</v>
      </c>
      <c r="B151" s="12" t="s">
        <v>454</v>
      </c>
      <c r="C151" s="13">
        <v>8</v>
      </c>
      <c r="D151" s="14" t="s">
        <v>468</v>
      </c>
      <c r="E151" s="12" t="s">
        <v>455</v>
      </c>
      <c r="F151" s="12" t="s">
        <v>469</v>
      </c>
      <c r="G151" s="15" t="s">
        <v>13</v>
      </c>
      <c r="I151" s="90">
        <v>12</v>
      </c>
    </row>
    <row r="152" spans="1:27" hidden="1" x14ac:dyDescent="0.25">
      <c r="A152" s="11" t="s">
        <v>1000</v>
      </c>
      <c r="B152" s="12" t="s">
        <v>1001</v>
      </c>
      <c r="C152" s="13">
        <v>8</v>
      </c>
      <c r="D152" s="12" t="s">
        <v>1015</v>
      </c>
      <c r="E152" s="12" t="s">
        <v>1002</v>
      </c>
      <c r="F152" s="12" t="s">
        <v>1016</v>
      </c>
      <c r="G152" s="15" t="s">
        <v>829</v>
      </c>
      <c r="I152" s="9">
        <v>15</v>
      </c>
    </row>
    <row r="153" spans="1:27" s="10" customFormat="1" ht="12.75" hidden="1" thickBot="1" x14ac:dyDescent="0.3">
      <c r="A153" s="36" t="s">
        <v>505</v>
      </c>
      <c r="B153" s="30" t="s">
        <v>506</v>
      </c>
      <c r="C153" s="31">
        <v>4</v>
      </c>
      <c r="D153" s="4" t="s">
        <v>513</v>
      </c>
      <c r="E153" s="30" t="s">
        <v>507</v>
      </c>
      <c r="F153" s="4" t="s">
        <v>514</v>
      </c>
      <c r="G153" s="33" t="s">
        <v>515</v>
      </c>
      <c r="H153" s="8"/>
      <c r="I153" s="90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idden="1" x14ac:dyDescent="0.2">
      <c r="A154" s="56" t="s">
        <v>890</v>
      </c>
      <c r="B154" s="61" t="s">
        <v>891</v>
      </c>
      <c r="C154" s="58">
        <v>11</v>
      </c>
      <c r="D154" s="73" t="s">
        <v>908</v>
      </c>
      <c r="E154" s="61" t="s">
        <v>892</v>
      </c>
      <c r="F154" s="61" t="s">
        <v>909</v>
      </c>
      <c r="G154" s="62" t="s">
        <v>829</v>
      </c>
      <c r="I154" s="9">
        <v>15</v>
      </c>
    </row>
    <row r="155" spans="1:27" hidden="1" x14ac:dyDescent="0.25">
      <c r="A155" s="81" t="s">
        <v>6252</v>
      </c>
      <c r="B155" s="82" t="s">
        <v>6253</v>
      </c>
      <c r="C155" s="83">
        <f>C154+1</f>
        <v>12</v>
      </c>
      <c r="D155" s="205" t="s">
        <v>6269</v>
      </c>
      <c r="E155" s="82" t="s">
        <v>6254</v>
      </c>
      <c r="F155" s="82" t="s">
        <v>6270</v>
      </c>
      <c r="G155" s="84" t="s">
        <v>13</v>
      </c>
      <c r="I155" s="79" t="s">
        <v>6268</v>
      </c>
    </row>
    <row r="156" spans="1:27" hidden="1" x14ac:dyDescent="0.25">
      <c r="A156" s="81" t="s">
        <v>6768</v>
      </c>
      <c r="B156" s="82" t="s">
        <v>6769</v>
      </c>
      <c r="C156" s="83">
        <v>13</v>
      </c>
      <c r="D156" s="205" t="s">
        <v>6269</v>
      </c>
      <c r="E156" s="82" t="s">
        <v>6770</v>
      </c>
      <c r="F156" s="82" t="s">
        <v>6783</v>
      </c>
      <c r="G156" s="84" t="s">
        <v>13</v>
      </c>
      <c r="H156" s="87"/>
      <c r="I156" s="54">
        <v>15</v>
      </c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</row>
    <row r="157" spans="1:27" ht="15" hidden="1" x14ac:dyDescent="0.25">
      <c r="A157" s="11" t="s">
        <v>2237</v>
      </c>
      <c r="B157" s="8" t="s">
        <v>2238</v>
      </c>
      <c r="C157" s="13">
        <v>6</v>
      </c>
      <c r="D157" s="118" t="s">
        <v>2247</v>
      </c>
      <c r="E157" s="12" t="s">
        <v>2239</v>
      </c>
      <c r="F157" s="12" t="s">
        <v>2248</v>
      </c>
      <c r="G157" s="15" t="s">
        <v>13</v>
      </c>
      <c r="I157" s="54">
        <v>15</v>
      </c>
      <c r="J157" s="52"/>
    </row>
    <row r="158" spans="1:27" hidden="1" x14ac:dyDescent="0.25">
      <c r="A158" s="11" t="s">
        <v>5559</v>
      </c>
      <c r="B158" s="12" t="s">
        <v>5560</v>
      </c>
      <c r="C158" s="13">
        <v>9</v>
      </c>
      <c r="D158" s="118" t="s">
        <v>2247</v>
      </c>
      <c r="E158" s="12" t="s">
        <v>5561</v>
      </c>
      <c r="F158" s="12" t="s">
        <v>5577</v>
      </c>
      <c r="G158" s="80" t="s">
        <v>13</v>
      </c>
    </row>
    <row r="159" spans="1:27" hidden="1" x14ac:dyDescent="0.25">
      <c r="A159" s="146" t="s">
        <v>4926</v>
      </c>
      <c r="B159" s="12" t="s">
        <v>4927</v>
      </c>
      <c r="C159" s="13">
        <v>5</v>
      </c>
      <c r="D159" s="118" t="s">
        <v>4934</v>
      </c>
      <c r="E159" s="12" t="s">
        <v>4928</v>
      </c>
      <c r="F159" s="8" t="s">
        <v>4935</v>
      </c>
      <c r="G159" s="80" t="s">
        <v>13</v>
      </c>
    </row>
    <row r="160" spans="1:27" hidden="1" x14ac:dyDescent="0.2">
      <c r="A160" s="11" t="s">
        <v>4087</v>
      </c>
      <c r="B160" s="12" t="s">
        <v>4088</v>
      </c>
      <c r="C160" s="13">
        <f>C159+1</f>
        <v>6</v>
      </c>
      <c r="D160" s="118" t="s">
        <v>4168</v>
      </c>
      <c r="E160" s="12" t="s">
        <v>4089</v>
      </c>
      <c r="F160" s="12" t="s">
        <v>4169</v>
      </c>
      <c r="G160" s="66" t="s">
        <v>13</v>
      </c>
      <c r="I160" s="90" t="s">
        <v>2426</v>
      </c>
    </row>
    <row r="161" spans="1:9" hidden="1" x14ac:dyDescent="0.2">
      <c r="A161" s="11" t="s">
        <v>4212</v>
      </c>
      <c r="B161" s="12" t="s">
        <v>4213</v>
      </c>
      <c r="C161" s="13">
        <f>C160+1</f>
        <v>7</v>
      </c>
      <c r="D161" s="118" t="s">
        <v>4168</v>
      </c>
      <c r="E161" s="12" t="s">
        <v>4214</v>
      </c>
      <c r="F161" s="12" t="s">
        <v>4287</v>
      </c>
      <c r="G161" s="66" t="s">
        <v>13</v>
      </c>
      <c r="I161" s="90" t="s">
        <v>2426</v>
      </c>
    </row>
    <row r="162" spans="1:9" hidden="1" x14ac:dyDescent="0.2">
      <c r="A162" s="11" t="s">
        <v>4087</v>
      </c>
      <c r="B162" s="12" t="s">
        <v>4088</v>
      </c>
      <c r="C162" s="13">
        <f>C161+1</f>
        <v>8</v>
      </c>
      <c r="D162" s="118" t="s">
        <v>4170</v>
      </c>
      <c r="E162" s="12" t="s">
        <v>4089</v>
      </c>
      <c r="F162" s="12" t="s">
        <v>4171</v>
      </c>
      <c r="G162" s="66" t="s">
        <v>13</v>
      </c>
      <c r="I162" s="90" t="s">
        <v>2426</v>
      </c>
    </row>
    <row r="163" spans="1:9" hidden="1" x14ac:dyDescent="0.2">
      <c r="A163" s="11" t="s">
        <v>4212</v>
      </c>
      <c r="B163" s="12" t="s">
        <v>4213</v>
      </c>
      <c r="C163" s="13">
        <f>C162+1</f>
        <v>9</v>
      </c>
      <c r="D163" s="118" t="s">
        <v>4170</v>
      </c>
      <c r="E163" s="12" t="s">
        <v>4214</v>
      </c>
      <c r="F163" s="12" t="s">
        <v>4288</v>
      </c>
      <c r="G163" s="66" t="s">
        <v>13</v>
      </c>
      <c r="I163" s="90" t="s">
        <v>2426</v>
      </c>
    </row>
    <row r="164" spans="1:9" hidden="1" x14ac:dyDescent="0.25">
      <c r="A164" s="146" t="s">
        <v>4926</v>
      </c>
      <c r="B164" s="12" t="s">
        <v>4927</v>
      </c>
      <c r="C164" s="13">
        <v>4</v>
      </c>
      <c r="D164" s="118" t="s">
        <v>4932</v>
      </c>
      <c r="E164" s="12" t="s">
        <v>4928</v>
      </c>
      <c r="F164" s="8" t="s">
        <v>4933</v>
      </c>
      <c r="G164" s="80" t="s">
        <v>13</v>
      </c>
    </row>
    <row r="165" spans="1:9" hidden="1" x14ac:dyDescent="0.2">
      <c r="A165" s="11" t="s">
        <v>2867</v>
      </c>
      <c r="B165" s="12" t="s">
        <v>2868</v>
      </c>
      <c r="C165" s="13">
        <v>22</v>
      </c>
      <c r="D165" s="27" t="s">
        <v>2906</v>
      </c>
      <c r="E165" s="12" t="s">
        <v>2869</v>
      </c>
      <c r="F165" s="65" t="s">
        <v>2907</v>
      </c>
      <c r="G165" s="66" t="s">
        <v>13</v>
      </c>
    </row>
    <row r="166" spans="1:9" hidden="1" x14ac:dyDescent="0.25">
      <c r="A166" s="11" t="s">
        <v>5686</v>
      </c>
      <c r="B166" s="12" t="s">
        <v>5687</v>
      </c>
      <c r="C166" s="13">
        <f>C165+1</f>
        <v>23</v>
      </c>
      <c r="D166" s="118" t="s">
        <v>2906</v>
      </c>
      <c r="E166" s="12" t="s">
        <v>5688</v>
      </c>
      <c r="F166" s="12" t="s">
        <v>5829</v>
      </c>
      <c r="G166" s="15" t="s">
        <v>676</v>
      </c>
      <c r="I166" s="101" t="s">
        <v>5818</v>
      </c>
    </row>
    <row r="167" spans="1:9" hidden="1" x14ac:dyDescent="0.2">
      <c r="A167" s="11" t="s">
        <v>585</v>
      </c>
      <c r="B167" s="12" t="s">
        <v>586</v>
      </c>
      <c r="C167" s="13">
        <v>13</v>
      </c>
      <c r="D167" s="27" t="s">
        <v>610</v>
      </c>
      <c r="E167" s="12" t="s">
        <v>587</v>
      </c>
      <c r="F167" s="12" t="s">
        <v>611</v>
      </c>
      <c r="G167" s="15" t="s">
        <v>13</v>
      </c>
      <c r="I167" s="99">
        <v>13</v>
      </c>
    </row>
    <row r="168" spans="1:9" hidden="1" x14ac:dyDescent="0.2">
      <c r="A168" s="11" t="s">
        <v>757</v>
      </c>
      <c r="B168" s="12" t="s">
        <v>758</v>
      </c>
      <c r="C168" s="13">
        <v>5</v>
      </c>
      <c r="D168" s="27" t="s">
        <v>766</v>
      </c>
      <c r="E168" s="12" t="s">
        <v>759</v>
      </c>
      <c r="F168" s="12" t="s">
        <v>767</v>
      </c>
      <c r="G168" s="15" t="s">
        <v>13</v>
      </c>
      <c r="I168" s="9">
        <v>15</v>
      </c>
    </row>
    <row r="169" spans="1:9" hidden="1" x14ac:dyDescent="0.25">
      <c r="A169" s="11" t="s">
        <v>926</v>
      </c>
      <c r="B169" s="12" t="s">
        <v>927</v>
      </c>
      <c r="C169" s="13">
        <v>8</v>
      </c>
      <c r="D169" s="118" t="s">
        <v>941</v>
      </c>
      <c r="E169" s="12" t="s">
        <v>928</v>
      </c>
      <c r="F169" s="12" t="s">
        <v>942</v>
      </c>
      <c r="G169" s="15" t="s">
        <v>829</v>
      </c>
      <c r="I169" s="9">
        <v>15</v>
      </c>
    </row>
    <row r="170" spans="1:9" hidden="1" x14ac:dyDescent="0.2">
      <c r="A170" s="11" t="s">
        <v>943</v>
      </c>
      <c r="B170" s="12" t="s">
        <v>944</v>
      </c>
      <c r="C170" s="13">
        <v>13</v>
      </c>
      <c r="D170" s="27" t="s">
        <v>967</v>
      </c>
      <c r="E170" s="12" t="s">
        <v>945</v>
      </c>
      <c r="F170" s="12" t="s">
        <v>968</v>
      </c>
      <c r="G170" s="15" t="s">
        <v>829</v>
      </c>
      <c r="I170" s="9">
        <v>15</v>
      </c>
    </row>
    <row r="171" spans="1:9" hidden="1" x14ac:dyDescent="0.25">
      <c r="A171" s="11" t="s">
        <v>2130</v>
      </c>
      <c r="B171" s="8" t="s">
        <v>2131</v>
      </c>
      <c r="C171" s="13">
        <v>20</v>
      </c>
      <c r="D171" s="118" t="s">
        <v>2167</v>
      </c>
      <c r="E171" s="12" t="s">
        <v>2132</v>
      </c>
      <c r="F171" s="12" t="s">
        <v>2168</v>
      </c>
      <c r="G171" s="15" t="s">
        <v>13</v>
      </c>
    </row>
    <row r="172" spans="1:9" hidden="1" x14ac:dyDescent="0.25">
      <c r="A172" s="11" t="s">
        <v>6017</v>
      </c>
      <c r="B172" s="12" t="s">
        <v>6018</v>
      </c>
      <c r="C172" s="13">
        <v>5</v>
      </c>
      <c r="D172" s="117" t="s">
        <v>6025</v>
      </c>
      <c r="E172" s="12" t="s">
        <v>6019</v>
      </c>
      <c r="F172" s="22" t="s">
        <v>6026</v>
      </c>
      <c r="G172" s="15" t="s">
        <v>13</v>
      </c>
    </row>
    <row r="173" spans="1:9" hidden="1" x14ac:dyDescent="0.25">
      <c r="A173" s="11" t="s">
        <v>6252</v>
      </c>
      <c r="B173" s="12" t="s">
        <v>6253</v>
      </c>
      <c r="C173" s="13">
        <f>C172+1</f>
        <v>6</v>
      </c>
      <c r="D173" s="117" t="s">
        <v>6025</v>
      </c>
      <c r="E173" s="12" t="s">
        <v>6254</v>
      </c>
      <c r="F173" s="22" t="s">
        <v>6261</v>
      </c>
      <c r="G173" s="15" t="s">
        <v>13</v>
      </c>
      <c r="I173" s="90">
        <v>12</v>
      </c>
    </row>
    <row r="174" spans="1:9" ht="12.75" hidden="1" thickBot="1" x14ac:dyDescent="0.3">
      <c r="A174" s="36" t="s">
        <v>6664</v>
      </c>
      <c r="B174" s="30" t="s">
        <v>6665</v>
      </c>
      <c r="C174" s="31">
        <f>+C173+1</f>
        <v>7</v>
      </c>
      <c r="D174" s="207" t="s">
        <v>6025</v>
      </c>
      <c r="E174" s="30" t="s">
        <v>6666</v>
      </c>
      <c r="F174" s="4" t="s">
        <v>6672</v>
      </c>
      <c r="G174" s="33" t="s">
        <v>13</v>
      </c>
    </row>
    <row r="175" spans="1:9" hidden="1" x14ac:dyDescent="0.25">
      <c r="A175" s="35" t="s">
        <v>6768</v>
      </c>
      <c r="B175" s="12" t="s">
        <v>6769</v>
      </c>
      <c r="C175" s="13">
        <v>7</v>
      </c>
      <c r="D175" s="117" t="s">
        <v>6025</v>
      </c>
      <c r="E175" s="28" t="s">
        <v>6770</v>
      </c>
      <c r="F175" s="22" t="s">
        <v>6777</v>
      </c>
      <c r="G175" s="15" t="s">
        <v>13</v>
      </c>
    </row>
    <row r="176" spans="1:9" hidden="1" x14ac:dyDescent="0.2">
      <c r="A176" s="35" t="s">
        <v>2416</v>
      </c>
      <c r="B176" s="12" t="s">
        <v>2417</v>
      </c>
      <c r="C176" s="13">
        <v>5</v>
      </c>
      <c r="D176" s="24" t="s">
        <v>2424</v>
      </c>
      <c r="E176" s="151" t="s">
        <v>2419</v>
      </c>
      <c r="F176" s="22" t="s">
        <v>2425</v>
      </c>
      <c r="G176" s="15" t="s">
        <v>13</v>
      </c>
      <c r="I176" s="90" t="s">
        <v>2426</v>
      </c>
    </row>
    <row r="177" spans="1:9" hidden="1" x14ac:dyDescent="0.2">
      <c r="A177" s="35" t="s">
        <v>2429</v>
      </c>
      <c r="B177" s="12" t="s">
        <v>2430</v>
      </c>
      <c r="C177" s="13">
        <v>6</v>
      </c>
      <c r="D177" s="24" t="s">
        <v>2424</v>
      </c>
      <c r="E177" s="151" t="s">
        <v>2431</v>
      </c>
      <c r="F177" s="22" t="s">
        <v>2437</v>
      </c>
      <c r="G177" s="15" t="s">
        <v>13</v>
      </c>
      <c r="I177" s="90" t="s">
        <v>2426</v>
      </c>
    </row>
    <row r="178" spans="1:9" hidden="1" x14ac:dyDescent="0.2">
      <c r="A178" s="35" t="s">
        <v>4013</v>
      </c>
      <c r="B178" s="12" t="s">
        <v>4014</v>
      </c>
      <c r="C178" s="13">
        <v>8</v>
      </c>
      <c r="D178" s="118" t="s">
        <v>4025</v>
      </c>
      <c r="E178" s="28" t="s">
        <v>4015</v>
      </c>
      <c r="F178" s="12" t="s">
        <v>4026</v>
      </c>
      <c r="G178" s="66" t="s">
        <v>13</v>
      </c>
      <c r="I178" s="90" t="s">
        <v>2426</v>
      </c>
    </row>
    <row r="179" spans="1:9" hidden="1" x14ac:dyDescent="0.2">
      <c r="A179" s="35" t="s">
        <v>4049</v>
      </c>
      <c r="B179" s="12" t="s">
        <v>4050</v>
      </c>
      <c r="C179" s="13">
        <v>9</v>
      </c>
      <c r="D179" s="118" t="s">
        <v>4025</v>
      </c>
      <c r="E179" s="28" t="s">
        <v>4051</v>
      </c>
      <c r="F179" s="12" t="s">
        <v>4062</v>
      </c>
      <c r="G179" s="66" t="s">
        <v>13</v>
      </c>
      <c r="I179" s="90" t="s">
        <v>2426</v>
      </c>
    </row>
    <row r="180" spans="1:9" hidden="1" x14ac:dyDescent="0.2">
      <c r="A180" s="35" t="s">
        <v>319</v>
      </c>
      <c r="B180" s="12" t="s">
        <v>320</v>
      </c>
      <c r="C180" s="13">
        <v>17</v>
      </c>
      <c r="D180" s="27" t="s">
        <v>351</v>
      </c>
      <c r="E180" s="28" t="s">
        <v>321</v>
      </c>
      <c r="F180" s="12" t="s">
        <v>352</v>
      </c>
      <c r="G180" s="15" t="s">
        <v>13</v>
      </c>
    </row>
    <row r="181" spans="1:9" hidden="1" x14ac:dyDescent="0.2">
      <c r="A181" s="35" t="s">
        <v>319</v>
      </c>
      <c r="B181" s="12" t="s">
        <v>320</v>
      </c>
      <c r="C181" s="13">
        <v>6</v>
      </c>
      <c r="D181" s="24" t="s">
        <v>329</v>
      </c>
      <c r="E181" s="28" t="s">
        <v>321</v>
      </c>
      <c r="F181" s="22" t="s">
        <v>330</v>
      </c>
      <c r="G181" s="15" t="s">
        <v>13</v>
      </c>
    </row>
    <row r="182" spans="1:9" hidden="1" x14ac:dyDescent="0.2">
      <c r="A182" s="35" t="s">
        <v>2337</v>
      </c>
      <c r="B182" s="12" t="s">
        <v>2338</v>
      </c>
      <c r="C182" s="13">
        <v>8</v>
      </c>
      <c r="D182" s="27" t="s">
        <v>329</v>
      </c>
      <c r="E182" s="28" t="s">
        <v>2339</v>
      </c>
      <c r="F182" s="12" t="s">
        <v>2351</v>
      </c>
      <c r="G182" s="15" t="s">
        <v>13</v>
      </c>
    </row>
    <row r="183" spans="1:9" hidden="1" x14ac:dyDescent="0.25">
      <c r="A183" s="35" t="s">
        <v>5686</v>
      </c>
      <c r="B183" s="12" t="s">
        <v>5687</v>
      </c>
      <c r="C183" s="13">
        <f>C182+1</f>
        <v>9</v>
      </c>
      <c r="D183" s="118" t="s">
        <v>5821</v>
      </c>
      <c r="E183" s="28" t="s">
        <v>5688</v>
      </c>
      <c r="F183" s="12" t="s">
        <v>5822</v>
      </c>
      <c r="G183" s="15" t="s">
        <v>676</v>
      </c>
      <c r="I183" s="101" t="s">
        <v>5818</v>
      </c>
    </row>
    <row r="184" spans="1:9" hidden="1" x14ac:dyDescent="0.25">
      <c r="A184" s="35" t="s">
        <v>5686</v>
      </c>
      <c r="B184" s="12" t="s">
        <v>5687</v>
      </c>
      <c r="C184" s="13">
        <f>C183+1</f>
        <v>10</v>
      </c>
      <c r="D184" s="118" t="s">
        <v>5832</v>
      </c>
      <c r="E184" s="28" t="s">
        <v>5688</v>
      </c>
      <c r="F184" s="12" t="s">
        <v>5833</v>
      </c>
      <c r="G184" s="15" t="s">
        <v>676</v>
      </c>
      <c r="I184" s="101" t="s">
        <v>5818</v>
      </c>
    </row>
    <row r="185" spans="1:9" hidden="1" x14ac:dyDescent="0.2">
      <c r="A185" s="35" t="s">
        <v>319</v>
      </c>
      <c r="B185" s="12" t="s">
        <v>320</v>
      </c>
      <c r="C185" s="13">
        <v>5</v>
      </c>
      <c r="D185" s="24" t="s">
        <v>327</v>
      </c>
      <c r="E185" s="28" t="s">
        <v>321</v>
      </c>
      <c r="F185" s="22" t="s">
        <v>328</v>
      </c>
      <c r="G185" s="15" t="s">
        <v>13</v>
      </c>
    </row>
    <row r="186" spans="1:9" hidden="1" x14ac:dyDescent="0.2">
      <c r="A186" s="35" t="s">
        <v>2337</v>
      </c>
      <c r="B186" s="12" t="s">
        <v>2338</v>
      </c>
      <c r="C186" s="13">
        <v>2</v>
      </c>
      <c r="D186" s="24" t="s">
        <v>327</v>
      </c>
      <c r="E186" s="28" t="s">
        <v>2339</v>
      </c>
      <c r="F186" s="22" t="s">
        <v>2341</v>
      </c>
      <c r="G186" s="15" t="s">
        <v>13</v>
      </c>
    </row>
    <row r="187" spans="1:9" hidden="1" x14ac:dyDescent="0.25">
      <c r="A187" s="35" t="s">
        <v>5686</v>
      </c>
      <c r="B187" s="12" t="s">
        <v>5687</v>
      </c>
      <c r="C187" s="13">
        <f>C186+1</f>
        <v>3</v>
      </c>
      <c r="D187" s="118" t="s">
        <v>5736</v>
      </c>
      <c r="E187" s="28" t="s">
        <v>5688</v>
      </c>
      <c r="F187" s="12" t="s">
        <v>5737</v>
      </c>
      <c r="G187" s="80" t="s">
        <v>13</v>
      </c>
      <c r="I187" s="90">
        <v>12</v>
      </c>
    </row>
    <row r="188" spans="1:9" hidden="1" x14ac:dyDescent="0.25">
      <c r="A188" s="35" t="s">
        <v>1260</v>
      </c>
      <c r="B188" s="12" t="s">
        <v>1261</v>
      </c>
      <c r="C188" s="13">
        <v>6</v>
      </c>
      <c r="D188" s="117" t="s">
        <v>1270</v>
      </c>
      <c r="E188" s="28" t="s">
        <v>1262</v>
      </c>
      <c r="F188" s="22" t="s">
        <v>1271</v>
      </c>
      <c r="G188" s="15" t="s">
        <v>13</v>
      </c>
    </row>
    <row r="189" spans="1:9" hidden="1" x14ac:dyDescent="0.25">
      <c r="A189" s="35" t="s">
        <v>1294</v>
      </c>
      <c r="B189" s="12" t="s">
        <v>1295</v>
      </c>
      <c r="C189" s="13">
        <v>6</v>
      </c>
      <c r="D189" s="117" t="s">
        <v>1270</v>
      </c>
      <c r="E189" s="28" t="s">
        <v>1296</v>
      </c>
      <c r="F189" s="22" t="s">
        <v>1304</v>
      </c>
      <c r="G189" s="15" t="s">
        <v>13</v>
      </c>
    </row>
    <row r="190" spans="1:9" hidden="1" x14ac:dyDescent="0.2">
      <c r="A190" s="179" t="s">
        <v>4771</v>
      </c>
      <c r="B190" s="12" t="s">
        <v>4772</v>
      </c>
      <c r="C190" s="13">
        <v>6</v>
      </c>
      <c r="D190" s="117" t="s">
        <v>1270</v>
      </c>
      <c r="E190" s="28" t="s">
        <v>4773</v>
      </c>
      <c r="F190" s="22" t="s">
        <v>4780</v>
      </c>
      <c r="G190" s="66" t="s">
        <v>13</v>
      </c>
    </row>
    <row r="191" spans="1:9" hidden="1" x14ac:dyDescent="0.25">
      <c r="A191" s="179" t="s">
        <v>4800</v>
      </c>
      <c r="B191" s="8" t="s">
        <v>4801</v>
      </c>
      <c r="C191" s="150">
        <v>6</v>
      </c>
      <c r="D191" s="133" t="s">
        <v>1270</v>
      </c>
      <c r="E191" s="151" t="s">
        <v>4802</v>
      </c>
      <c r="F191" s="38" t="s">
        <v>4809</v>
      </c>
      <c r="G191" s="80" t="s">
        <v>13</v>
      </c>
    </row>
    <row r="192" spans="1:9" hidden="1" x14ac:dyDescent="0.25">
      <c r="A192" s="35" t="s">
        <v>1260</v>
      </c>
      <c r="B192" s="12" t="s">
        <v>1261</v>
      </c>
      <c r="C192" s="13">
        <v>5</v>
      </c>
      <c r="D192" s="117" t="s">
        <v>1268</v>
      </c>
      <c r="E192" s="28" t="s">
        <v>1262</v>
      </c>
      <c r="F192" s="22" t="s">
        <v>1269</v>
      </c>
      <c r="G192" s="15" t="s">
        <v>13</v>
      </c>
    </row>
    <row r="193" spans="1:9" hidden="1" x14ac:dyDescent="0.25">
      <c r="A193" s="35" t="s">
        <v>1294</v>
      </c>
      <c r="B193" s="12" t="s">
        <v>1295</v>
      </c>
      <c r="C193" s="13">
        <v>5</v>
      </c>
      <c r="D193" s="117" t="s">
        <v>1268</v>
      </c>
      <c r="E193" s="28" t="s">
        <v>1296</v>
      </c>
      <c r="F193" s="22" t="s">
        <v>1303</v>
      </c>
      <c r="G193" s="15" t="s">
        <v>13</v>
      </c>
    </row>
    <row r="194" spans="1:9" hidden="1" x14ac:dyDescent="0.2">
      <c r="A194" s="179" t="s">
        <v>4771</v>
      </c>
      <c r="B194" s="12" t="s">
        <v>4772</v>
      </c>
      <c r="C194" s="13">
        <v>5</v>
      </c>
      <c r="D194" s="117" t="s">
        <v>4778</v>
      </c>
      <c r="E194" s="28" t="s">
        <v>4773</v>
      </c>
      <c r="F194" s="22" t="s">
        <v>4779</v>
      </c>
      <c r="G194" s="66" t="s">
        <v>625</v>
      </c>
    </row>
    <row r="195" spans="1:9" hidden="1" x14ac:dyDescent="0.25">
      <c r="A195" s="179" t="s">
        <v>4800</v>
      </c>
      <c r="B195" s="8" t="s">
        <v>4801</v>
      </c>
      <c r="C195" s="150">
        <v>5</v>
      </c>
      <c r="D195" s="133" t="s">
        <v>4778</v>
      </c>
      <c r="E195" s="151" t="s">
        <v>4802</v>
      </c>
      <c r="F195" s="38" t="s">
        <v>4808</v>
      </c>
      <c r="G195" s="80" t="s">
        <v>13</v>
      </c>
    </row>
    <row r="196" spans="1:9" hidden="1" x14ac:dyDescent="0.2">
      <c r="A196" s="35" t="s">
        <v>319</v>
      </c>
      <c r="B196" s="12" t="s">
        <v>320</v>
      </c>
      <c r="C196" s="13">
        <f>C195+1</f>
        <v>6</v>
      </c>
      <c r="D196" s="27" t="s">
        <v>357</v>
      </c>
      <c r="E196" s="28" t="s">
        <v>321</v>
      </c>
      <c r="F196" s="12" t="s">
        <v>358</v>
      </c>
      <c r="G196" s="15" t="s">
        <v>13</v>
      </c>
      <c r="I196" s="90">
        <v>12</v>
      </c>
    </row>
    <row r="197" spans="1:9" hidden="1" x14ac:dyDescent="0.25">
      <c r="A197" s="35" t="s">
        <v>5428</v>
      </c>
      <c r="B197" s="12" t="s">
        <v>5429</v>
      </c>
      <c r="C197" s="13">
        <v>4</v>
      </c>
      <c r="D197" s="118" t="s">
        <v>5435</v>
      </c>
      <c r="E197" s="28" t="s">
        <v>5430</v>
      </c>
      <c r="F197" s="12" t="s">
        <v>5436</v>
      </c>
      <c r="G197" s="15" t="s">
        <v>13</v>
      </c>
    </row>
    <row r="198" spans="1:9" hidden="1" x14ac:dyDescent="0.25">
      <c r="A198" s="179" t="s">
        <v>5015</v>
      </c>
      <c r="B198" s="12" t="s">
        <v>5016</v>
      </c>
      <c r="C198" s="13">
        <v>4</v>
      </c>
      <c r="D198" s="117" t="s">
        <v>5021</v>
      </c>
      <c r="E198" s="28" t="s">
        <v>5017</v>
      </c>
      <c r="F198" s="38" t="s">
        <v>5022</v>
      </c>
      <c r="G198" s="80" t="s">
        <v>13</v>
      </c>
    </row>
    <row r="199" spans="1:9" hidden="1" x14ac:dyDescent="0.2">
      <c r="A199" s="35" t="s">
        <v>93</v>
      </c>
      <c r="B199" s="12" t="s">
        <v>94</v>
      </c>
      <c r="C199" s="13">
        <v>35</v>
      </c>
      <c r="D199" s="27" t="s">
        <v>167</v>
      </c>
      <c r="E199" s="28" t="s">
        <v>96</v>
      </c>
      <c r="F199" s="12" t="s">
        <v>168</v>
      </c>
      <c r="G199" s="15" t="s">
        <v>13</v>
      </c>
    </row>
    <row r="200" spans="1:9" hidden="1" x14ac:dyDescent="0.2">
      <c r="A200" s="35" t="s">
        <v>93</v>
      </c>
      <c r="B200" s="12" t="s">
        <v>94</v>
      </c>
      <c r="C200" s="13">
        <v>67</v>
      </c>
      <c r="D200" s="27" t="s">
        <v>232</v>
      </c>
      <c r="E200" s="28" t="s">
        <v>96</v>
      </c>
      <c r="F200" s="12" t="s">
        <v>233</v>
      </c>
      <c r="G200" s="15" t="s">
        <v>126</v>
      </c>
    </row>
    <row r="201" spans="1:9" hidden="1" x14ac:dyDescent="0.2">
      <c r="A201" s="35" t="s">
        <v>362</v>
      </c>
      <c r="B201" s="12" t="s">
        <v>363</v>
      </c>
      <c r="C201" s="13">
        <v>28</v>
      </c>
      <c r="D201" s="27" t="s">
        <v>415</v>
      </c>
      <c r="E201" s="28" t="s">
        <v>364</v>
      </c>
      <c r="F201" s="12" t="s">
        <v>416</v>
      </c>
      <c r="G201" s="15" t="s">
        <v>13</v>
      </c>
    </row>
    <row r="202" spans="1:9" ht="24" hidden="1" x14ac:dyDescent="0.25">
      <c r="A202" s="35" t="s">
        <v>1031</v>
      </c>
      <c r="B202" s="12" t="s">
        <v>1032</v>
      </c>
      <c r="C202" s="13">
        <v>6</v>
      </c>
      <c r="D202" s="76" t="s">
        <v>1041</v>
      </c>
      <c r="E202" s="28" t="s">
        <v>1033</v>
      </c>
      <c r="F202" s="12" t="s">
        <v>1042</v>
      </c>
      <c r="G202" s="15" t="s">
        <v>829</v>
      </c>
      <c r="I202" s="9">
        <v>15</v>
      </c>
    </row>
    <row r="203" spans="1:9" hidden="1" x14ac:dyDescent="0.2">
      <c r="A203" s="35" t="s">
        <v>2867</v>
      </c>
      <c r="B203" s="12" t="s">
        <v>2868</v>
      </c>
      <c r="C203" s="13">
        <v>37</v>
      </c>
      <c r="D203" s="27" t="s">
        <v>2935</v>
      </c>
      <c r="E203" s="28" t="s">
        <v>2869</v>
      </c>
      <c r="F203" s="65" t="s">
        <v>2936</v>
      </c>
      <c r="G203" s="66" t="s">
        <v>156</v>
      </c>
    </row>
    <row r="204" spans="1:9" hidden="1" x14ac:dyDescent="0.25">
      <c r="A204" s="35" t="s">
        <v>1464</v>
      </c>
      <c r="B204" s="12" t="s">
        <v>1465</v>
      </c>
      <c r="C204" s="13">
        <v>4</v>
      </c>
      <c r="D204" s="117" t="s">
        <v>1472</v>
      </c>
      <c r="E204" s="28" t="s">
        <v>1466</v>
      </c>
      <c r="F204" s="22" t="s">
        <v>1473</v>
      </c>
      <c r="G204" s="15" t="s">
        <v>13</v>
      </c>
    </row>
    <row r="205" spans="1:9" hidden="1" x14ac:dyDescent="0.25">
      <c r="A205" s="35" t="s">
        <v>1464</v>
      </c>
      <c r="B205" s="12" t="s">
        <v>1465</v>
      </c>
      <c r="C205" s="13">
        <v>5</v>
      </c>
      <c r="D205" s="117" t="s">
        <v>1474</v>
      </c>
      <c r="E205" s="28" t="s">
        <v>1466</v>
      </c>
      <c r="F205" s="22" t="s">
        <v>1475</v>
      </c>
      <c r="G205" s="15" t="s">
        <v>13</v>
      </c>
    </row>
    <row r="206" spans="1:9" hidden="1" x14ac:dyDescent="0.2">
      <c r="A206" s="35" t="s">
        <v>24</v>
      </c>
      <c r="B206" s="12" t="s">
        <v>25</v>
      </c>
      <c r="C206" s="13">
        <v>4</v>
      </c>
      <c r="D206" s="24" t="s">
        <v>33</v>
      </c>
      <c r="E206" s="28" t="s">
        <v>26</v>
      </c>
      <c r="F206" s="22" t="s">
        <v>34</v>
      </c>
      <c r="G206" s="15" t="s">
        <v>13</v>
      </c>
    </row>
    <row r="207" spans="1:9" hidden="1" x14ac:dyDescent="0.2">
      <c r="A207" s="35" t="s">
        <v>55</v>
      </c>
      <c r="B207" s="12" t="s">
        <v>56</v>
      </c>
      <c r="C207" s="13">
        <v>4</v>
      </c>
      <c r="D207" s="24" t="s">
        <v>33</v>
      </c>
      <c r="E207" s="28" t="s">
        <v>57</v>
      </c>
      <c r="F207" s="22" t="s">
        <v>62</v>
      </c>
      <c r="G207" s="15" t="s">
        <v>13</v>
      </c>
      <c r="I207" s="102" t="s">
        <v>59</v>
      </c>
    </row>
    <row r="208" spans="1:9" hidden="1" x14ac:dyDescent="0.2">
      <c r="A208" s="35" t="s">
        <v>289</v>
      </c>
      <c r="B208" s="12" t="s">
        <v>290</v>
      </c>
      <c r="C208" s="13">
        <v>14</v>
      </c>
      <c r="D208" s="27" t="s">
        <v>310</v>
      </c>
      <c r="E208" s="28" t="s">
        <v>291</v>
      </c>
      <c r="F208" s="12" t="s">
        <v>311</v>
      </c>
      <c r="G208" s="15" t="s">
        <v>13</v>
      </c>
      <c r="I208" s="90">
        <v>12</v>
      </c>
    </row>
    <row r="209" spans="1:27" hidden="1" x14ac:dyDescent="0.25">
      <c r="A209" s="186" t="s">
        <v>708</v>
      </c>
      <c r="B209" s="12" t="s">
        <v>709</v>
      </c>
      <c r="C209" s="13">
        <v>14</v>
      </c>
      <c r="D209" s="118" t="s">
        <v>310</v>
      </c>
      <c r="E209" s="28" t="s">
        <v>710</v>
      </c>
      <c r="F209" s="12" t="s">
        <v>724</v>
      </c>
      <c r="G209" s="15" t="s">
        <v>676</v>
      </c>
      <c r="I209" s="102" t="s">
        <v>59</v>
      </c>
    </row>
    <row r="210" spans="1:27" hidden="1" x14ac:dyDescent="0.2">
      <c r="A210" s="35" t="s">
        <v>69</v>
      </c>
      <c r="B210" s="12" t="s">
        <v>70</v>
      </c>
      <c r="C210" s="13">
        <v>13</v>
      </c>
      <c r="D210" s="27" t="s">
        <v>91</v>
      </c>
      <c r="E210" s="28" t="s">
        <v>72</v>
      </c>
      <c r="F210" s="12" t="s">
        <v>92</v>
      </c>
      <c r="G210" s="15" t="s">
        <v>13</v>
      </c>
      <c r="I210" s="90">
        <v>12</v>
      </c>
    </row>
    <row r="211" spans="1:27" hidden="1" x14ac:dyDescent="0.2">
      <c r="A211" s="35" t="s">
        <v>289</v>
      </c>
      <c r="B211" s="12" t="s">
        <v>290</v>
      </c>
      <c r="C211" s="13">
        <v>13</v>
      </c>
      <c r="D211" s="27" t="s">
        <v>91</v>
      </c>
      <c r="E211" s="28" t="s">
        <v>291</v>
      </c>
      <c r="F211" s="12" t="s">
        <v>309</v>
      </c>
      <c r="G211" s="15" t="s">
        <v>13</v>
      </c>
      <c r="I211" s="90">
        <v>12</v>
      </c>
    </row>
    <row r="212" spans="1:27" hidden="1" x14ac:dyDescent="0.25">
      <c r="A212" s="108" t="s">
        <v>690</v>
      </c>
      <c r="B212" s="61" t="s">
        <v>691</v>
      </c>
      <c r="C212" s="58">
        <v>13</v>
      </c>
      <c r="D212" s="204" t="s">
        <v>91</v>
      </c>
      <c r="E212" s="89" t="s">
        <v>692</v>
      </c>
      <c r="F212" s="61" t="s">
        <v>707</v>
      </c>
      <c r="G212" s="62" t="s">
        <v>676</v>
      </c>
      <c r="I212" s="102" t="s">
        <v>59</v>
      </c>
    </row>
    <row r="213" spans="1:27" hidden="1" x14ac:dyDescent="0.25">
      <c r="A213" s="109" t="s">
        <v>708</v>
      </c>
      <c r="B213" s="12" t="s">
        <v>709</v>
      </c>
      <c r="C213" s="13">
        <v>13</v>
      </c>
      <c r="D213" s="118" t="s">
        <v>91</v>
      </c>
      <c r="E213" s="28" t="s">
        <v>710</v>
      </c>
      <c r="F213" s="12" t="s">
        <v>723</v>
      </c>
      <c r="G213" s="15" t="s">
        <v>676</v>
      </c>
      <c r="I213" s="102" t="s">
        <v>59</v>
      </c>
    </row>
    <row r="214" spans="1:27" hidden="1" x14ac:dyDescent="0.2">
      <c r="A214" s="11" t="s">
        <v>69</v>
      </c>
      <c r="B214" s="12" t="s">
        <v>70</v>
      </c>
      <c r="C214" s="13">
        <v>5</v>
      </c>
      <c r="D214" s="24" t="s">
        <v>79</v>
      </c>
      <c r="E214" s="28" t="s">
        <v>72</v>
      </c>
      <c r="F214" s="22" t="s">
        <v>80</v>
      </c>
      <c r="G214" s="15" t="s">
        <v>13</v>
      </c>
    </row>
    <row r="215" spans="1:27" hidden="1" x14ac:dyDescent="0.25">
      <c r="A215" s="109" t="s">
        <v>690</v>
      </c>
      <c r="B215" s="12" t="s">
        <v>691</v>
      </c>
      <c r="C215" s="13">
        <v>5</v>
      </c>
      <c r="D215" s="117" t="s">
        <v>79</v>
      </c>
      <c r="E215" s="28" t="s">
        <v>692</v>
      </c>
      <c r="F215" s="22" t="s">
        <v>697</v>
      </c>
      <c r="G215" s="15" t="s">
        <v>676</v>
      </c>
      <c r="I215" s="102" t="s">
        <v>59</v>
      </c>
    </row>
    <row r="216" spans="1:27" hidden="1" x14ac:dyDescent="0.2">
      <c r="A216" s="11" t="s">
        <v>2608</v>
      </c>
      <c r="B216" s="12" t="s">
        <v>2609</v>
      </c>
      <c r="C216" s="13">
        <v>12</v>
      </c>
      <c r="D216" s="24" t="s">
        <v>79</v>
      </c>
      <c r="E216" s="28" t="s">
        <v>2610</v>
      </c>
      <c r="F216" s="75" t="s">
        <v>2625</v>
      </c>
      <c r="G216" s="66" t="s">
        <v>13</v>
      </c>
    </row>
    <row r="217" spans="1:27" hidden="1" x14ac:dyDescent="0.2">
      <c r="A217" s="11" t="s">
        <v>3937</v>
      </c>
      <c r="B217" s="12" t="s">
        <v>3938</v>
      </c>
      <c r="C217" s="13">
        <v>5</v>
      </c>
      <c r="D217" s="117" t="s">
        <v>79</v>
      </c>
      <c r="E217" s="28" t="s">
        <v>3939</v>
      </c>
      <c r="F217" s="22" t="s">
        <v>3945</v>
      </c>
      <c r="G217" s="66" t="s">
        <v>13</v>
      </c>
    </row>
    <row r="218" spans="1:27" hidden="1" x14ac:dyDescent="0.25">
      <c r="A218" s="146" t="s">
        <v>5029</v>
      </c>
      <c r="B218" s="12" t="s">
        <v>5030</v>
      </c>
      <c r="C218" s="13">
        <v>5</v>
      </c>
      <c r="D218" s="117" t="s">
        <v>79</v>
      </c>
      <c r="E218" s="28" t="s">
        <v>5031</v>
      </c>
      <c r="F218" s="22" t="s">
        <v>5036</v>
      </c>
      <c r="G218" s="80" t="s">
        <v>13</v>
      </c>
    </row>
    <row r="219" spans="1:27" hidden="1" x14ac:dyDescent="0.25">
      <c r="A219" s="11" t="s">
        <v>6163</v>
      </c>
      <c r="B219" s="12" t="s">
        <v>6164</v>
      </c>
      <c r="C219" s="13">
        <v>5</v>
      </c>
      <c r="D219" s="117" t="s">
        <v>79</v>
      </c>
      <c r="E219" s="28" t="s">
        <v>6165</v>
      </c>
      <c r="F219" s="22" t="s">
        <v>6170</v>
      </c>
      <c r="G219" s="15" t="s">
        <v>13</v>
      </c>
    </row>
    <row r="220" spans="1:27" hidden="1" x14ac:dyDescent="0.25">
      <c r="A220" s="21" t="s">
        <v>6518</v>
      </c>
      <c r="B220" s="22" t="s">
        <v>6519</v>
      </c>
      <c r="C220" s="23">
        <v>5</v>
      </c>
      <c r="D220" s="117" t="s">
        <v>79</v>
      </c>
      <c r="E220" s="25" t="s">
        <v>6520</v>
      </c>
      <c r="F220" s="22" t="s">
        <v>6525</v>
      </c>
      <c r="G220" s="26" t="s">
        <v>13</v>
      </c>
      <c r="H220" s="38"/>
      <c r="I220" s="39">
        <v>15</v>
      </c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 spans="1:27" ht="12.75" hidden="1" thickBot="1" x14ac:dyDescent="0.3">
      <c r="A221" s="147" t="s">
        <v>4926</v>
      </c>
      <c r="B221" s="30" t="s">
        <v>4927</v>
      </c>
      <c r="C221" s="31">
        <v>13</v>
      </c>
      <c r="D221" s="159" t="s">
        <v>4950</v>
      </c>
      <c r="E221" s="32" t="s">
        <v>4928</v>
      </c>
      <c r="F221" s="55" t="s">
        <v>4951</v>
      </c>
      <c r="G221" s="152" t="s">
        <v>42</v>
      </c>
    </row>
    <row r="222" spans="1:27" hidden="1" x14ac:dyDescent="0.25">
      <c r="A222" s="145" t="s">
        <v>4926</v>
      </c>
      <c r="B222" s="61" t="s">
        <v>4927</v>
      </c>
      <c r="C222" s="58">
        <v>12</v>
      </c>
      <c r="D222" s="204" t="s">
        <v>4948</v>
      </c>
      <c r="E222" s="89" t="s">
        <v>4928</v>
      </c>
      <c r="F222" s="57" t="s">
        <v>4949</v>
      </c>
      <c r="G222" s="149" t="s">
        <v>42</v>
      </c>
    </row>
    <row r="223" spans="1:27" hidden="1" x14ac:dyDescent="0.25">
      <c r="A223" s="11" t="s">
        <v>1313</v>
      </c>
      <c r="B223" s="12" t="s">
        <v>1314</v>
      </c>
      <c r="C223" s="13">
        <v>8</v>
      </c>
      <c r="D223" s="118" t="s">
        <v>1328</v>
      </c>
      <c r="E223" s="28" t="s">
        <v>1315</v>
      </c>
      <c r="F223" s="12" t="s">
        <v>1329</v>
      </c>
      <c r="G223" s="15" t="s">
        <v>78</v>
      </c>
    </row>
    <row r="224" spans="1:27" hidden="1" x14ac:dyDescent="0.25">
      <c r="A224" s="11" t="s">
        <v>6325</v>
      </c>
      <c r="B224" s="12" t="s">
        <v>6326</v>
      </c>
      <c r="C224" s="13">
        <f>C223+1</f>
        <v>9</v>
      </c>
      <c r="D224" s="117" t="s">
        <v>6332</v>
      </c>
      <c r="E224" s="28" t="s">
        <v>6327</v>
      </c>
      <c r="F224" s="22" t="s">
        <v>6333</v>
      </c>
      <c r="G224" s="15" t="s">
        <v>13</v>
      </c>
      <c r="I224" s="90">
        <v>12</v>
      </c>
    </row>
    <row r="225" spans="1:9" hidden="1" x14ac:dyDescent="0.25">
      <c r="A225" s="11" t="s">
        <v>6787</v>
      </c>
      <c r="B225" s="12" t="s">
        <v>6788</v>
      </c>
      <c r="C225" s="13">
        <v>4</v>
      </c>
      <c r="D225" s="117" t="s">
        <v>6332</v>
      </c>
      <c r="E225" s="28" t="s">
        <v>6789</v>
      </c>
      <c r="F225" s="22" t="s">
        <v>6793</v>
      </c>
      <c r="G225" s="15" t="s">
        <v>13</v>
      </c>
    </row>
    <row r="226" spans="1:9" hidden="1" x14ac:dyDescent="0.2">
      <c r="A226" s="11" t="s">
        <v>362</v>
      </c>
      <c r="B226" s="12" t="s">
        <v>363</v>
      </c>
      <c r="C226" s="13">
        <v>29</v>
      </c>
      <c r="D226" s="27" t="s">
        <v>417</v>
      </c>
      <c r="E226" s="28" t="s">
        <v>364</v>
      </c>
      <c r="F226" s="12" t="s">
        <v>418</v>
      </c>
      <c r="G226" s="15" t="s">
        <v>13</v>
      </c>
    </row>
    <row r="227" spans="1:9" hidden="1" x14ac:dyDescent="0.2">
      <c r="A227" s="11" t="s">
        <v>1960</v>
      </c>
      <c r="B227" s="12" t="s">
        <v>1961</v>
      </c>
      <c r="C227" s="13">
        <v>6</v>
      </c>
      <c r="D227" s="27" t="s">
        <v>1970</v>
      </c>
      <c r="E227" s="28" t="s">
        <v>1962</v>
      </c>
      <c r="F227" s="12" t="s">
        <v>1971</v>
      </c>
      <c r="G227" s="15" t="s">
        <v>16</v>
      </c>
    </row>
    <row r="228" spans="1:9" hidden="1" x14ac:dyDescent="0.2">
      <c r="A228" s="11" t="s">
        <v>2301</v>
      </c>
      <c r="B228" s="12" t="s">
        <v>2302</v>
      </c>
      <c r="C228" s="13">
        <v>2</v>
      </c>
      <c r="D228" s="24" t="s">
        <v>417</v>
      </c>
      <c r="E228" s="28" t="s">
        <v>2303</v>
      </c>
      <c r="F228" s="22" t="s">
        <v>2305</v>
      </c>
      <c r="G228" s="15" t="s">
        <v>13</v>
      </c>
    </row>
    <row r="229" spans="1:9" ht="12.75" hidden="1" thickBot="1" x14ac:dyDescent="0.25">
      <c r="A229" s="36" t="s">
        <v>2867</v>
      </c>
      <c r="B229" s="30" t="s">
        <v>2868</v>
      </c>
      <c r="C229" s="31">
        <v>20</v>
      </c>
      <c r="D229" s="48" t="s">
        <v>417</v>
      </c>
      <c r="E229" s="32" t="s">
        <v>2869</v>
      </c>
      <c r="F229" s="67" t="s">
        <v>2903</v>
      </c>
      <c r="G229" s="68" t="s">
        <v>13</v>
      </c>
    </row>
    <row r="230" spans="1:9" hidden="1" x14ac:dyDescent="0.2">
      <c r="A230" s="35" t="s">
        <v>6826</v>
      </c>
      <c r="B230" s="12" t="s">
        <v>6827</v>
      </c>
      <c r="C230" s="13">
        <v>4</v>
      </c>
      <c r="D230" s="24" t="s">
        <v>417</v>
      </c>
      <c r="E230" s="28" t="s">
        <v>6828</v>
      </c>
      <c r="F230" s="22" t="s">
        <v>6833</v>
      </c>
      <c r="G230" s="15" t="s">
        <v>13</v>
      </c>
    </row>
    <row r="231" spans="1:9" hidden="1" x14ac:dyDescent="0.2">
      <c r="A231" s="35" t="s">
        <v>6843</v>
      </c>
      <c r="B231" s="12" t="s">
        <v>6844</v>
      </c>
      <c r="C231" s="13">
        <v>3</v>
      </c>
      <c r="D231" s="24" t="s">
        <v>417</v>
      </c>
      <c r="E231" s="28" t="s">
        <v>6845</v>
      </c>
      <c r="F231" s="22" t="s">
        <v>6849</v>
      </c>
      <c r="G231" s="15" t="s">
        <v>13</v>
      </c>
    </row>
    <row r="232" spans="1:9" hidden="1" x14ac:dyDescent="0.2">
      <c r="A232" s="35" t="s">
        <v>6921</v>
      </c>
      <c r="B232" s="12" t="s">
        <v>6922</v>
      </c>
      <c r="C232" s="13">
        <v>4</v>
      </c>
      <c r="D232" s="24" t="s">
        <v>417</v>
      </c>
      <c r="E232" s="28" t="s">
        <v>6923</v>
      </c>
      <c r="F232" s="22" t="s">
        <v>6928</v>
      </c>
      <c r="G232" s="15" t="s">
        <v>13</v>
      </c>
    </row>
    <row r="233" spans="1:9" hidden="1" x14ac:dyDescent="0.2">
      <c r="A233" s="35" t="s">
        <v>6946</v>
      </c>
      <c r="B233" s="12" t="s">
        <v>6947</v>
      </c>
      <c r="C233" s="13">
        <v>4</v>
      </c>
      <c r="D233" s="24" t="s">
        <v>417</v>
      </c>
      <c r="E233" s="28" t="s">
        <v>6948</v>
      </c>
      <c r="F233" s="22" t="s">
        <v>6952</v>
      </c>
      <c r="G233" s="15" t="s">
        <v>13</v>
      </c>
    </row>
    <row r="234" spans="1:9" hidden="1" x14ac:dyDescent="0.2">
      <c r="A234" s="35" t="s">
        <v>6967</v>
      </c>
      <c r="B234" s="12" t="s">
        <v>6968</v>
      </c>
      <c r="C234" s="13">
        <v>6</v>
      </c>
      <c r="D234" s="27" t="s">
        <v>417</v>
      </c>
      <c r="E234" s="28" t="s">
        <v>6969</v>
      </c>
      <c r="F234" s="12" t="s">
        <v>6975</v>
      </c>
      <c r="G234" s="15" t="s">
        <v>13</v>
      </c>
    </row>
    <row r="235" spans="1:9" ht="12.75" hidden="1" thickBot="1" x14ac:dyDescent="0.25">
      <c r="A235" s="47" t="s">
        <v>943</v>
      </c>
      <c r="B235" s="30" t="s">
        <v>944</v>
      </c>
      <c r="C235" s="31">
        <v>12</v>
      </c>
      <c r="D235" s="48" t="s">
        <v>965</v>
      </c>
      <c r="E235" s="32" t="s">
        <v>945</v>
      </c>
      <c r="F235" s="30" t="s">
        <v>966</v>
      </c>
      <c r="G235" s="12" t="s">
        <v>829</v>
      </c>
      <c r="I235" s="9">
        <v>15</v>
      </c>
    </row>
    <row r="236" spans="1:9" hidden="1" x14ac:dyDescent="0.2">
      <c r="A236" s="35" t="s">
        <v>1960</v>
      </c>
      <c r="B236" s="12" t="s">
        <v>1961</v>
      </c>
      <c r="C236" s="13">
        <v>7</v>
      </c>
      <c r="D236" s="27" t="s">
        <v>1972</v>
      </c>
      <c r="E236" s="28" t="s">
        <v>1962</v>
      </c>
      <c r="F236" s="12" t="s">
        <v>1973</v>
      </c>
      <c r="G236" s="15" t="s">
        <v>16</v>
      </c>
    </row>
    <row r="237" spans="1:9" hidden="1" x14ac:dyDescent="0.2">
      <c r="A237" s="35" t="s">
        <v>2867</v>
      </c>
      <c r="B237" s="12" t="s">
        <v>2868</v>
      </c>
      <c r="C237" s="13">
        <v>64</v>
      </c>
      <c r="D237" s="27" t="s">
        <v>2984</v>
      </c>
      <c r="E237" s="28" t="s">
        <v>2869</v>
      </c>
      <c r="F237" s="65" t="s">
        <v>2985</v>
      </c>
      <c r="G237" s="66" t="s">
        <v>13</v>
      </c>
    </row>
    <row r="238" spans="1:9" hidden="1" x14ac:dyDescent="0.2">
      <c r="A238" s="35" t="s">
        <v>1960</v>
      </c>
      <c r="B238" s="12" t="s">
        <v>1961</v>
      </c>
      <c r="C238" s="13">
        <v>8</v>
      </c>
      <c r="D238" s="27" t="s">
        <v>1974</v>
      </c>
      <c r="E238" s="28" t="s">
        <v>1962</v>
      </c>
      <c r="F238" s="12" t="s">
        <v>1975</v>
      </c>
      <c r="G238" s="15" t="s">
        <v>16</v>
      </c>
    </row>
    <row r="239" spans="1:9" hidden="1" x14ac:dyDescent="0.2">
      <c r="A239" s="35" t="s">
        <v>1960</v>
      </c>
      <c r="B239" s="12" t="s">
        <v>1961</v>
      </c>
      <c r="C239" s="13">
        <v>9</v>
      </c>
      <c r="D239" s="27" t="s">
        <v>1976</v>
      </c>
      <c r="E239" s="28" t="s">
        <v>1962</v>
      </c>
      <c r="F239" s="12" t="s">
        <v>1977</v>
      </c>
      <c r="G239" s="15" t="s">
        <v>13</v>
      </c>
    </row>
    <row r="240" spans="1:9" hidden="1" x14ac:dyDescent="0.2">
      <c r="A240" s="35" t="s">
        <v>2529</v>
      </c>
      <c r="B240" s="12" t="s">
        <v>2530</v>
      </c>
      <c r="C240" s="13">
        <v>3</v>
      </c>
      <c r="D240" s="24" t="s">
        <v>1966</v>
      </c>
      <c r="E240" s="28" t="s">
        <v>2531</v>
      </c>
      <c r="F240" s="22" t="s">
        <v>2534</v>
      </c>
      <c r="G240" s="15" t="s">
        <v>13</v>
      </c>
    </row>
    <row r="241" spans="1:9" hidden="1" x14ac:dyDescent="0.2">
      <c r="A241" s="35" t="s">
        <v>2566</v>
      </c>
      <c r="B241" s="12" t="s">
        <v>2567</v>
      </c>
      <c r="C241" s="13">
        <v>4</v>
      </c>
      <c r="D241" s="24" t="s">
        <v>1966</v>
      </c>
      <c r="E241" s="28" t="s">
        <v>2568</v>
      </c>
      <c r="F241" s="75" t="s">
        <v>2572</v>
      </c>
      <c r="G241" s="66" t="s">
        <v>13</v>
      </c>
    </row>
    <row r="242" spans="1:9" hidden="1" x14ac:dyDescent="0.2">
      <c r="A242" s="35" t="s">
        <v>2631</v>
      </c>
      <c r="B242" s="12" t="s">
        <v>2632</v>
      </c>
      <c r="C242" s="13">
        <v>10</v>
      </c>
      <c r="D242" s="27" t="s">
        <v>1966</v>
      </c>
      <c r="E242" s="28" t="s">
        <v>2634</v>
      </c>
      <c r="F242" s="65" t="s">
        <v>8642</v>
      </c>
      <c r="G242" s="66" t="s">
        <v>13</v>
      </c>
    </row>
    <row r="243" spans="1:9" hidden="1" x14ac:dyDescent="0.2">
      <c r="A243" s="35" t="s">
        <v>2867</v>
      </c>
      <c r="B243" s="12" t="s">
        <v>2868</v>
      </c>
      <c r="C243" s="13">
        <v>28</v>
      </c>
      <c r="D243" s="27" t="s">
        <v>1966</v>
      </c>
      <c r="E243" s="28" t="s">
        <v>2869</v>
      </c>
      <c r="F243" s="65" t="s">
        <v>2918</v>
      </c>
      <c r="G243" s="66" t="s">
        <v>13</v>
      </c>
    </row>
    <row r="244" spans="1:9" hidden="1" x14ac:dyDescent="0.2">
      <c r="A244" s="35" t="s">
        <v>3165</v>
      </c>
      <c r="B244" s="12" t="s">
        <v>3166</v>
      </c>
      <c r="C244" s="13">
        <v>11</v>
      </c>
      <c r="D244" s="118" t="s">
        <v>1966</v>
      </c>
      <c r="E244" s="28" t="s">
        <v>3167</v>
      </c>
      <c r="F244" s="65" t="s">
        <v>3183</v>
      </c>
      <c r="G244" s="66" t="s">
        <v>13</v>
      </c>
    </row>
    <row r="245" spans="1:9" hidden="1" x14ac:dyDescent="0.2">
      <c r="A245" s="35" t="s">
        <v>3880</v>
      </c>
      <c r="B245" s="12" t="s">
        <v>3881</v>
      </c>
      <c r="C245" s="13">
        <v>5</v>
      </c>
      <c r="D245" s="117" t="s">
        <v>3887</v>
      </c>
      <c r="E245" s="28" t="s">
        <v>3882</v>
      </c>
      <c r="F245" s="22" t="s">
        <v>3888</v>
      </c>
      <c r="G245" s="66" t="s">
        <v>13</v>
      </c>
    </row>
    <row r="246" spans="1:9" hidden="1" x14ac:dyDescent="0.2">
      <c r="A246" s="35" t="s">
        <v>3914</v>
      </c>
      <c r="B246" s="12" t="s">
        <v>3915</v>
      </c>
      <c r="C246" s="13">
        <v>5</v>
      </c>
      <c r="D246" s="117" t="s">
        <v>3887</v>
      </c>
      <c r="E246" s="28" t="s">
        <v>3916</v>
      </c>
      <c r="F246" s="22" t="s">
        <v>3921</v>
      </c>
      <c r="G246" s="66" t="s">
        <v>13</v>
      </c>
    </row>
    <row r="247" spans="1:9" hidden="1" x14ac:dyDescent="0.2">
      <c r="A247" s="56" t="s">
        <v>4049</v>
      </c>
      <c r="B247" s="61" t="s">
        <v>4050</v>
      </c>
      <c r="C247" s="58">
        <v>5</v>
      </c>
      <c r="D247" s="17" t="s">
        <v>3887</v>
      </c>
      <c r="E247" s="89" t="s">
        <v>4051</v>
      </c>
      <c r="F247" s="17" t="s">
        <v>4056</v>
      </c>
      <c r="G247" s="129" t="s">
        <v>13</v>
      </c>
    </row>
    <row r="248" spans="1:9" hidden="1" x14ac:dyDescent="0.25">
      <c r="A248" s="146" t="s">
        <v>4830</v>
      </c>
      <c r="B248" s="12" t="s">
        <v>4831</v>
      </c>
      <c r="C248" s="13">
        <v>4</v>
      </c>
      <c r="D248" s="22" t="s">
        <v>1966</v>
      </c>
      <c r="E248" s="28" t="s">
        <v>4832</v>
      </c>
      <c r="F248" s="38" t="s">
        <v>4836</v>
      </c>
      <c r="G248" s="80" t="s">
        <v>13</v>
      </c>
    </row>
    <row r="249" spans="1:9" hidden="1" x14ac:dyDescent="0.25">
      <c r="A249" s="146" t="s">
        <v>4881</v>
      </c>
      <c r="B249" s="12" t="s">
        <v>4882</v>
      </c>
      <c r="C249" s="13">
        <v>4</v>
      </c>
      <c r="D249" s="22" t="s">
        <v>1966</v>
      </c>
      <c r="E249" s="28" t="s">
        <v>4883</v>
      </c>
      <c r="F249" s="38" t="s">
        <v>4887</v>
      </c>
      <c r="G249" s="80" t="s">
        <v>13</v>
      </c>
    </row>
    <row r="250" spans="1:9" hidden="1" x14ac:dyDescent="0.2">
      <c r="A250" s="11" t="s">
        <v>5244</v>
      </c>
      <c r="B250" s="12" t="s">
        <v>5245</v>
      </c>
      <c r="C250" s="13">
        <v>4</v>
      </c>
      <c r="D250" s="22" t="s">
        <v>1966</v>
      </c>
      <c r="E250" s="28" t="s">
        <v>5246</v>
      </c>
      <c r="F250" s="75" t="s">
        <v>5250</v>
      </c>
      <c r="G250" s="15" t="s">
        <v>13</v>
      </c>
    </row>
    <row r="251" spans="1:9" hidden="1" x14ac:dyDescent="0.25">
      <c r="A251" s="11" t="s">
        <v>5686</v>
      </c>
      <c r="B251" s="12" t="s">
        <v>5687</v>
      </c>
      <c r="C251" s="13">
        <f>C250+1</f>
        <v>5</v>
      </c>
      <c r="D251" s="12" t="s">
        <v>5801</v>
      </c>
      <c r="E251" s="28" t="s">
        <v>5688</v>
      </c>
      <c r="F251" s="12" t="s">
        <v>5802</v>
      </c>
      <c r="G251" s="80" t="s">
        <v>13</v>
      </c>
      <c r="I251" s="90">
        <v>12</v>
      </c>
    </row>
    <row r="252" spans="1:9" ht="12.75" hidden="1" thickBot="1" x14ac:dyDescent="0.3">
      <c r="A252" s="36" t="s">
        <v>6286</v>
      </c>
      <c r="B252" s="30" t="s">
        <v>6287</v>
      </c>
      <c r="C252" s="31">
        <f>C251+1</f>
        <v>6</v>
      </c>
      <c r="D252" s="4" t="s">
        <v>1966</v>
      </c>
      <c r="E252" s="32" t="s">
        <v>6288</v>
      </c>
      <c r="F252" s="4" t="s">
        <v>6291</v>
      </c>
      <c r="G252" s="33" t="s">
        <v>13</v>
      </c>
      <c r="I252" s="90">
        <v>12</v>
      </c>
    </row>
    <row r="253" spans="1:9" hidden="1" x14ac:dyDescent="0.2">
      <c r="A253" s="56" t="s">
        <v>6645</v>
      </c>
      <c r="B253" s="61" t="s">
        <v>6646</v>
      </c>
      <c r="C253" s="58">
        <f>+C252+1</f>
        <v>7</v>
      </c>
      <c r="D253" s="103" t="s">
        <v>1966</v>
      </c>
      <c r="E253" s="89" t="s">
        <v>6647</v>
      </c>
      <c r="F253" s="17" t="s">
        <v>6651</v>
      </c>
      <c r="G253" s="62" t="s">
        <v>13</v>
      </c>
    </row>
    <row r="254" spans="1:9" hidden="1" x14ac:dyDescent="0.2">
      <c r="A254" s="11" t="s">
        <v>6880</v>
      </c>
      <c r="B254" s="12" t="s">
        <v>6881</v>
      </c>
      <c r="C254" s="13">
        <v>13</v>
      </c>
      <c r="D254" s="14" t="s">
        <v>6901</v>
      </c>
      <c r="E254" s="28" t="s">
        <v>6882</v>
      </c>
      <c r="F254" s="12" t="s">
        <v>6902</v>
      </c>
      <c r="G254" s="15" t="s">
        <v>13</v>
      </c>
    </row>
    <row r="255" spans="1:9" hidden="1" x14ac:dyDescent="0.2">
      <c r="A255" s="11" t="s">
        <v>6880</v>
      </c>
      <c r="B255" s="12" t="s">
        <v>6881</v>
      </c>
      <c r="C255" s="13">
        <v>11</v>
      </c>
      <c r="D255" s="14" t="s">
        <v>6897</v>
      </c>
      <c r="E255" s="28" t="s">
        <v>6882</v>
      </c>
      <c r="F255" s="12" t="s">
        <v>6898</v>
      </c>
      <c r="G255" s="15" t="s">
        <v>13</v>
      </c>
    </row>
    <row r="256" spans="1:9" hidden="1" x14ac:dyDescent="0.2">
      <c r="A256" s="11" t="s">
        <v>1960</v>
      </c>
      <c r="B256" s="12" t="s">
        <v>1961</v>
      </c>
      <c r="C256" s="13">
        <v>10</v>
      </c>
      <c r="D256" s="14" t="s">
        <v>1978</v>
      </c>
      <c r="E256" s="28" t="s">
        <v>1962</v>
      </c>
      <c r="F256" s="12" t="s">
        <v>1979</v>
      </c>
      <c r="G256" s="15" t="s">
        <v>13</v>
      </c>
    </row>
    <row r="257" spans="1:10" hidden="1" x14ac:dyDescent="0.2">
      <c r="A257" s="11" t="s">
        <v>93</v>
      </c>
      <c r="B257" s="12" t="s">
        <v>94</v>
      </c>
      <c r="C257" s="13">
        <v>75</v>
      </c>
      <c r="D257" s="14" t="s">
        <v>248</v>
      </c>
      <c r="E257" s="28" t="s">
        <v>96</v>
      </c>
      <c r="F257" s="12" t="s">
        <v>249</v>
      </c>
      <c r="G257" s="15" t="s">
        <v>13</v>
      </c>
      <c r="I257" s="90">
        <v>12</v>
      </c>
    </row>
    <row r="258" spans="1:10" hidden="1" x14ac:dyDescent="0.2">
      <c r="A258" s="11" t="s">
        <v>3937</v>
      </c>
      <c r="B258" s="12" t="s">
        <v>3938</v>
      </c>
      <c r="C258" s="13">
        <v>10</v>
      </c>
      <c r="D258" s="12" t="s">
        <v>3951</v>
      </c>
      <c r="E258" s="28" t="s">
        <v>3939</v>
      </c>
      <c r="F258" s="12" t="s">
        <v>3952</v>
      </c>
      <c r="G258" s="66" t="s">
        <v>13</v>
      </c>
    </row>
    <row r="259" spans="1:10" hidden="1" x14ac:dyDescent="0.25">
      <c r="A259" s="11" t="s">
        <v>1464</v>
      </c>
      <c r="B259" s="12" t="s">
        <v>1465</v>
      </c>
      <c r="C259" s="13">
        <v>15</v>
      </c>
      <c r="D259" s="12" t="s">
        <v>1490</v>
      </c>
      <c r="E259" s="28" t="s">
        <v>1466</v>
      </c>
      <c r="F259" s="12" t="s">
        <v>1491</v>
      </c>
      <c r="G259" s="15" t="s">
        <v>13</v>
      </c>
    </row>
    <row r="260" spans="1:10" hidden="1" x14ac:dyDescent="0.25">
      <c r="A260" s="11" t="s">
        <v>5957</v>
      </c>
      <c r="B260" s="12" t="s">
        <v>5958</v>
      </c>
      <c r="C260" s="13">
        <v>15</v>
      </c>
      <c r="D260" s="22" t="s">
        <v>5979</v>
      </c>
      <c r="E260" s="28" t="s">
        <v>5959</v>
      </c>
      <c r="F260" s="22" t="s">
        <v>5980</v>
      </c>
      <c r="G260" s="15" t="s">
        <v>13</v>
      </c>
      <c r="I260" s="9">
        <v>15</v>
      </c>
    </row>
    <row r="261" spans="1:10" ht="24.75" hidden="1" thickBot="1" x14ac:dyDescent="0.3">
      <c r="A261" s="36" t="s">
        <v>1882</v>
      </c>
      <c r="B261" s="30" t="s">
        <v>1883</v>
      </c>
      <c r="C261" s="31">
        <v>16</v>
      </c>
      <c r="D261" s="214" t="s">
        <v>1912</v>
      </c>
      <c r="E261" s="32" t="s">
        <v>1884</v>
      </c>
      <c r="F261" s="30" t="s">
        <v>1913</v>
      </c>
      <c r="G261" s="33" t="s">
        <v>13</v>
      </c>
      <c r="I261" s="9">
        <v>15</v>
      </c>
    </row>
    <row r="262" spans="1:10" hidden="1" x14ac:dyDescent="0.25">
      <c r="A262" s="56" t="s">
        <v>6325</v>
      </c>
      <c r="B262" s="61" t="s">
        <v>6326</v>
      </c>
      <c r="C262" s="58">
        <f>C261+1</f>
        <v>17</v>
      </c>
      <c r="D262" s="61" t="s">
        <v>6342</v>
      </c>
      <c r="E262" s="89" t="s">
        <v>6327</v>
      </c>
      <c r="F262" s="61" t="s">
        <v>6343</v>
      </c>
      <c r="G262" s="62" t="s">
        <v>13</v>
      </c>
      <c r="I262" s="90">
        <v>12</v>
      </c>
    </row>
    <row r="263" spans="1:10" hidden="1" x14ac:dyDescent="0.25">
      <c r="A263" s="11" t="s">
        <v>6787</v>
      </c>
      <c r="B263" s="12" t="s">
        <v>6788</v>
      </c>
      <c r="C263" s="13">
        <v>9</v>
      </c>
      <c r="D263" s="12" t="s">
        <v>6342</v>
      </c>
      <c r="E263" s="28" t="s">
        <v>6789</v>
      </c>
      <c r="F263" s="12" t="s">
        <v>6798</v>
      </c>
      <c r="G263" s="15" t="s">
        <v>13</v>
      </c>
    </row>
    <row r="264" spans="1:10" hidden="1" x14ac:dyDescent="0.25">
      <c r="A264" s="11" t="s">
        <v>5921</v>
      </c>
      <c r="B264" s="12" t="s">
        <v>5922</v>
      </c>
      <c r="C264" s="13">
        <v>4</v>
      </c>
      <c r="D264" s="22" t="s">
        <v>5927</v>
      </c>
      <c r="E264" s="28" t="s">
        <v>5923</v>
      </c>
      <c r="F264" s="22" t="s">
        <v>5928</v>
      </c>
      <c r="G264" s="15" t="s">
        <v>285</v>
      </c>
      <c r="I264" s="101" t="s">
        <v>5818</v>
      </c>
    </row>
    <row r="265" spans="1:10" hidden="1" x14ac:dyDescent="0.2">
      <c r="A265" s="11" t="s">
        <v>3400</v>
      </c>
      <c r="B265" s="12" t="s">
        <v>3401</v>
      </c>
      <c r="C265" s="13">
        <v>3</v>
      </c>
      <c r="D265" s="22" t="s">
        <v>3405</v>
      </c>
      <c r="E265" s="138" t="s">
        <v>3402</v>
      </c>
      <c r="F265" s="75" t="s">
        <v>3406</v>
      </c>
      <c r="G265" s="66" t="s">
        <v>13</v>
      </c>
    </row>
    <row r="266" spans="1:10" hidden="1" x14ac:dyDescent="0.2">
      <c r="A266" s="11" t="s">
        <v>3741</v>
      </c>
      <c r="B266" s="12" t="s">
        <v>3742</v>
      </c>
      <c r="C266" s="13">
        <v>3</v>
      </c>
      <c r="D266" s="12" t="s">
        <v>3405</v>
      </c>
      <c r="E266" s="138" t="s">
        <v>3743</v>
      </c>
      <c r="F266" s="75" t="s">
        <v>3746</v>
      </c>
      <c r="G266" s="66" t="s">
        <v>13</v>
      </c>
    </row>
    <row r="267" spans="1:10" hidden="1" x14ac:dyDescent="0.2">
      <c r="A267" s="11" t="s">
        <v>4391</v>
      </c>
      <c r="B267" s="12" t="s">
        <v>4392</v>
      </c>
      <c r="C267" s="13">
        <f>C266+1</f>
        <v>4</v>
      </c>
      <c r="D267" s="12" t="s">
        <v>3405</v>
      </c>
      <c r="E267" s="28" t="s">
        <v>4393</v>
      </c>
      <c r="F267" s="12" t="s">
        <v>4396</v>
      </c>
      <c r="G267" s="66" t="s">
        <v>13</v>
      </c>
      <c r="I267" s="90">
        <v>12</v>
      </c>
    </row>
    <row r="268" spans="1:10" hidden="1" x14ac:dyDescent="0.2">
      <c r="A268" s="11" t="s">
        <v>1960</v>
      </c>
      <c r="B268" s="12" t="s">
        <v>1961</v>
      </c>
      <c r="C268" s="13">
        <v>11</v>
      </c>
      <c r="D268" s="14" t="s">
        <v>1980</v>
      </c>
      <c r="E268" s="28" t="s">
        <v>1962</v>
      </c>
      <c r="F268" s="12" t="s">
        <v>1981</v>
      </c>
      <c r="G268" s="15" t="s">
        <v>13</v>
      </c>
    </row>
    <row r="269" spans="1:10" ht="15" hidden="1" x14ac:dyDescent="0.25">
      <c r="A269" s="56" t="s">
        <v>2237</v>
      </c>
      <c r="B269" s="57" t="s">
        <v>2238</v>
      </c>
      <c r="C269" s="58">
        <v>7</v>
      </c>
      <c r="D269" s="61" t="s">
        <v>2249</v>
      </c>
      <c r="E269" s="61" t="s">
        <v>2239</v>
      </c>
      <c r="F269" s="61" t="s">
        <v>2250</v>
      </c>
      <c r="G269" s="62" t="s">
        <v>13</v>
      </c>
      <c r="I269" s="54">
        <v>15</v>
      </c>
      <c r="J269" s="52"/>
    </row>
    <row r="270" spans="1:10" ht="15" hidden="1" x14ac:dyDescent="0.25">
      <c r="A270" s="11" t="s">
        <v>2215</v>
      </c>
      <c r="B270" s="8" t="s">
        <v>2216</v>
      </c>
      <c r="C270" s="13">
        <v>5</v>
      </c>
      <c r="D270" s="12" t="s">
        <v>2225</v>
      </c>
      <c r="E270" s="12" t="s">
        <v>2217</v>
      </c>
      <c r="F270" s="12" t="s">
        <v>2226</v>
      </c>
      <c r="G270" s="15" t="s">
        <v>13</v>
      </c>
      <c r="I270" s="54">
        <v>15</v>
      </c>
      <c r="J270" s="60"/>
    </row>
    <row r="271" spans="1:10" hidden="1" x14ac:dyDescent="0.2">
      <c r="A271" s="11" t="s">
        <v>4212</v>
      </c>
      <c r="B271" s="12" t="s">
        <v>4213</v>
      </c>
      <c r="C271" s="13">
        <f>C270+1</f>
        <v>6</v>
      </c>
      <c r="D271" s="12" t="s">
        <v>4266</v>
      </c>
      <c r="E271" s="12" t="s">
        <v>4214</v>
      </c>
      <c r="F271" s="12" t="s">
        <v>4267</v>
      </c>
      <c r="G271" s="66" t="s">
        <v>13</v>
      </c>
      <c r="I271" s="90" t="s">
        <v>2426</v>
      </c>
    </row>
    <row r="272" spans="1:10" hidden="1" x14ac:dyDescent="0.2">
      <c r="A272" s="11" t="s">
        <v>3458</v>
      </c>
      <c r="B272" s="12" t="s">
        <v>3459</v>
      </c>
      <c r="C272" s="13">
        <f>C271+1</f>
        <v>7</v>
      </c>
      <c r="D272" s="12" t="s">
        <v>3573</v>
      </c>
      <c r="E272" s="65" t="s">
        <v>3460</v>
      </c>
      <c r="F272" s="65" t="s">
        <v>3574</v>
      </c>
      <c r="G272" s="66" t="s">
        <v>13</v>
      </c>
      <c r="I272" s="90" t="s">
        <v>2426</v>
      </c>
    </row>
    <row r="273" spans="1:27" hidden="1" x14ac:dyDescent="0.2">
      <c r="A273" s="11" t="s">
        <v>3633</v>
      </c>
      <c r="B273" s="12" t="s">
        <v>3634</v>
      </c>
      <c r="C273" s="13">
        <v>56</v>
      </c>
      <c r="D273" s="12" t="s">
        <v>3708</v>
      </c>
      <c r="E273" s="65" t="s">
        <v>3635</v>
      </c>
      <c r="F273" s="65" t="s">
        <v>3709</v>
      </c>
      <c r="G273" s="66" t="s">
        <v>13</v>
      </c>
      <c r="I273" s="90" t="s">
        <v>2426</v>
      </c>
    </row>
    <row r="274" spans="1:27" hidden="1" x14ac:dyDescent="0.2">
      <c r="A274" s="11" t="s">
        <v>4087</v>
      </c>
      <c r="B274" s="12" t="s">
        <v>4088</v>
      </c>
      <c r="C274" s="13">
        <f>C273+1</f>
        <v>57</v>
      </c>
      <c r="D274" s="12" t="s">
        <v>3708</v>
      </c>
      <c r="E274" s="12" t="s">
        <v>4089</v>
      </c>
      <c r="F274" s="12" t="s">
        <v>4142</v>
      </c>
      <c r="G274" s="66" t="s">
        <v>13</v>
      </c>
      <c r="I274" s="90" t="s">
        <v>2426</v>
      </c>
    </row>
    <row r="275" spans="1:27" hidden="1" x14ac:dyDescent="0.2">
      <c r="A275" s="11" t="s">
        <v>4212</v>
      </c>
      <c r="B275" s="12" t="s">
        <v>4213</v>
      </c>
      <c r="C275" s="13">
        <f>C274+1</f>
        <v>58</v>
      </c>
      <c r="D275" s="12" t="s">
        <v>4268</v>
      </c>
      <c r="E275" s="12" t="s">
        <v>4214</v>
      </c>
      <c r="F275" s="12" t="s">
        <v>4269</v>
      </c>
      <c r="G275" s="66" t="s">
        <v>13</v>
      </c>
      <c r="I275" s="90" t="s">
        <v>2426</v>
      </c>
    </row>
    <row r="276" spans="1:27" s="10" customFormat="1" hidden="1" x14ac:dyDescent="0.2">
      <c r="A276" s="11" t="s">
        <v>3458</v>
      </c>
      <c r="B276" s="12" t="s">
        <v>3459</v>
      </c>
      <c r="C276" s="13">
        <f>C275+1</f>
        <v>59</v>
      </c>
      <c r="D276" s="12" t="s">
        <v>3575</v>
      </c>
      <c r="E276" s="65" t="s">
        <v>3460</v>
      </c>
      <c r="F276" s="65" t="s">
        <v>3576</v>
      </c>
      <c r="G276" s="66" t="s">
        <v>13</v>
      </c>
      <c r="H276" s="8"/>
      <c r="I276" s="90" t="s">
        <v>2426</v>
      </c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idden="1" x14ac:dyDescent="0.2">
      <c r="A277" s="56" t="s">
        <v>3633</v>
      </c>
      <c r="B277" s="61" t="s">
        <v>3634</v>
      </c>
      <c r="C277" s="58">
        <v>57</v>
      </c>
      <c r="D277" s="61" t="s">
        <v>3575</v>
      </c>
      <c r="E277" s="74" t="s">
        <v>3635</v>
      </c>
      <c r="F277" s="74" t="s">
        <v>3710</v>
      </c>
      <c r="G277" s="129" t="s">
        <v>13</v>
      </c>
      <c r="I277" s="90" t="s">
        <v>2426</v>
      </c>
    </row>
    <row r="278" spans="1:27" hidden="1" x14ac:dyDescent="0.2">
      <c r="A278" s="11" t="s">
        <v>4087</v>
      </c>
      <c r="B278" s="12" t="s">
        <v>4088</v>
      </c>
      <c r="C278" s="13">
        <f>C277+1</f>
        <v>58</v>
      </c>
      <c r="D278" s="12" t="s">
        <v>3575</v>
      </c>
      <c r="E278" s="12" t="s">
        <v>4089</v>
      </c>
      <c r="F278" s="12" t="s">
        <v>4143</v>
      </c>
      <c r="G278" s="66" t="s">
        <v>13</v>
      </c>
      <c r="I278" s="90" t="s">
        <v>2426</v>
      </c>
    </row>
    <row r="279" spans="1:27" hidden="1" x14ac:dyDescent="0.25">
      <c r="A279" s="11" t="s">
        <v>5957</v>
      </c>
      <c r="B279" s="12" t="s">
        <v>5958</v>
      </c>
      <c r="C279" s="13">
        <v>14</v>
      </c>
      <c r="D279" s="12" t="s">
        <v>5977</v>
      </c>
      <c r="E279" s="12" t="s">
        <v>5959</v>
      </c>
      <c r="F279" s="12" t="s">
        <v>5978</v>
      </c>
      <c r="G279" s="15" t="s">
        <v>13</v>
      </c>
      <c r="I279" s="9">
        <v>15</v>
      </c>
    </row>
    <row r="280" spans="1:27" hidden="1" x14ac:dyDescent="0.25">
      <c r="A280" s="11" t="s">
        <v>1142</v>
      </c>
      <c r="B280" s="12" t="s">
        <v>1143</v>
      </c>
      <c r="C280" s="13">
        <v>25</v>
      </c>
      <c r="D280" s="153" t="s">
        <v>1191</v>
      </c>
      <c r="E280" s="12" t="s">
        <v>1144</v>
      </c>
      <c r="F280" s="12" t="s">
        <v>1192</v>
      </c>
      <c r="G280" s="249" t="s">
        <v>1193</v>
      </c>
      <c r="I280" s="94">
        <v>14</v>
      </c>
    </row>
    <row r="281" spans="1:27" hidden="1" x14ac:dyDescent="0.2">
      <c r="A281" s="11" t="s">
        <v>5509</v>
      </c>
      <c r="B281" s="12" t="s">
        <v>5510</v>
      </c>
      <c r="C281" s="13">
        <v>5</v>
      </c>
      <c r="D281" s="167" t="s">
        <v>5520</v>
      </c>
      <c r="E281" s="12" t="s">
        <v>5512</v>
      </c>
      <c r="F281" s="65" t="s">
        <v>5521</v>
      </c>
      <c r="G281" s="80" t="s">
        <v>5522</v>
      </c>
      <c r="I281" s="90">
        <v>12</v>
      </c>
    </row>
    <row r="282" spans="1:27" hidden="1" x14ac:dyDescent="0.25">
      <c r="A282" s="11" t="s">
        <v>6017</v>
      </c>
      <c r="B282" s="12" t="s">
        <v>6018</v>
      </c>
      <c r="C282" s="13">
        <v>11</v>
      </c>
      <c r="D282" s="12" t="s">
        <v>6035</v>
      </c>
      <c r="E282" s="12" t="s">
        <v>6019</v>
      </c>
      <c r="F282" s="12" t="s">
        <v>6036</v>
      </c>
      <c r="G282" s="15" t="s">
        <v>5522</v>
      </c>
      <c r="I282" s="90">
        <v>12</v>
      </c>
    </row>
    <row r="283" spans="1:27" ht="12.75" hidden="1" thickBot="1" x14ac:dyDescent="0.3">
      <c r="A283" s="36" t="s">
        <v>5379</v>
      </c>
      <c r="B283" s="30" t="s">
        <v>5380</v>
      </c>
      <c r="C283" s="31">
        <v>5</v>
      </c>
      <c r="D283" s="30" t="s">
        <v>5390</v>
      </c>
      <c r="E283" s="30" t="s">
        <v>5382</v>
      </c>
      <c r="F283" s="30" t="s">
        <v>5391</v>
      </c>
      <c r="G283" s="33" t="s">
        <v>5392</v>
      </c>
    </row>
    <row r="284" spans="1:27" hidden="1" x14ac:dyDescent="0.25">
      <c r="A284" s="95" t="s">
        <v>6189</v>
      </c>
      <c r="B284" s="82" t="s">
        <v>6190</v>
      </c>
      <c r="C284" s="83">
        <f>C283+1</f>
        <v>6</v>
      </c>
      <c r="D284" s="205" t="s">
        <v>5390</v>
      </c>
      <c r="E284" s="86" t="s">
        <v>6191</v>
      </c>
      <c r="F284" s="82" t="s">
        <v>6244</v>
      </c>
      <c r="G284" s="84" t="s">
        <v>5522</v>
      </c>
      <c r="I284" s="101" t="s">
        <v>54</v>
      </c>
    </row>
    <row r="285" spans="1:27" hidden="1" x14ac:dyDescent="0.25">
      <c r="A285" s="35" t="s">
        <v>6252</v>
      </c>
      <c r="B285" s="12" t="s">
        <v>6253</v>
      </c>
      <c r="C285" s="13">
        <f>C280+1</f>
        <v>26</v>
      </c>
      <c r="D285" s="118" t="s">
        <v>5390</v>
      </c>
      <c r="E285" s="28" t="s">
        <v>6254</v>
      </c>
      <c r="F285" s="12" t="s">
        <v>6275</v>
      </c>
      <c r="G285" s="15" t="s">
        <v>5522</v>
      </c>
      <c r="I285" s="90">
        <v>12</v>
      </c>
    </row>
    <row r="286" spans="1:27" hidden="1" x14ac:dyDescent="0.25">
      <c r="A286" s="95" t="s">
        <v>6371</v>
      </c>
      <c r="B286" s="82" t="s">
        <v>6372</v>
      </c>
      <c r="C286" s="83">
        <v>28</v>
      </c>
      <c r="D286" s="205" t="s">
        <v>5390</v>
      </c>
      <c r="E286" s="86" t="s">
        <v>6373</v>
      </c>
      <c r="F286" s="82" t="s">
        <v>6402</v>
      </c>
      <c r="G286" s="84" t="s">
        <v>5392</v>
      </c>
      <c r="I286" s="101" t="s">
        <v>2778</v>
      </c>
    </row>
    <row r="287" spans="1:27" hidden="1" x14ac:dyDescent="0.2">
      <c r="A287" s="35" t="s">
        <v>2267</v>
      </c>
      <c r="B287" s="12" t="s">
        <v>2268</v>
      </c>
      <c r="C287" s="13">
        <v>4</v>
      </c>
      <c r="D287" s="24" t="s">
        <v>2274</v>
      </c>
      <c r="E287" s="28" t="s">
        <v>2269</v>
      </c>
      <c r="F287" s="22" t="s">
        <v>2275</v>
      </c>
      <c r="G287" s="15" t="s">
        <v>13</v>
      </c>
    </row>
    <row r="288" spans="1:27" hidden="1" x14ac:dyDescent="0.2">
      <c r="A288" s="35" t="s">
        <v>2369</v>
      </c>
      <c r="B288" s="12" t="s">
        <v>2370</v>
      </c>
      <c r="C288" s="13">
        <v>4</v>
      </c>
      <c r="D288" s="24" t="s">
        <v>2274</v>
      </c>
      <c r="E288" s="28" t="s">
        <v>2371</v>
      </c>
      <c r="F288" s="22" t="s">
        <v>2375</v>
      </c>
      <c r="G288" s="15" t="s">
        <v>13</v>
      </c>
    </row>
    <row r="289" spans="1:27" hidden="1" x14ac:dyDescent="0.2">
      <c r="A289" s="179" t="s">
        <v>4771</v>
      </c>
      <c r="B289" s="12" t="s">
        <v>4772</v>
      </c>
      <c r="C289" s="13">
        <v>8</v>
      </c>
      <c r="D289" s="22" t="s">
        <v>4782</v>
      </c>
      <c r="E289" s="28" t="s">
        <v>4773</v>
      </c>
      <c r="F289" s="22" t="s">
        <v>4783</v>
      </c>
      <c r="G289" s="66" t="s">
        <v>13</v>
      </c>
    </row>
    <row r="290" spans="1:27" hidden="1" x14ac:dyDescent="0.25">
      <c r="A290" s="179" t="s">
        <v>4800</v>
      </c>
      <c r="B290" s="8" t="s">
        <v>4801</v>
      </c>
      <c r="C290" s="150">
        <v>8</v>
      </c>
      <c r="D290" s="38" t="s">
        <v>4782</v>
      </c>
      <c r="E290" s="151" t="s">
        <v>4802</v>
      </c>
      <c r="F290" s="38" t="s">
        <v>4811</v>
      </c>
      <c r="G290" s="80" t="s">
        <v>13</v>
      </c>
    </row>
    <row r="291" spans="1:27" hidden="1" x14ac:dyDescent="0.2">
      <c r="A291" s="35" t="s">
        <v>4391</v>
      </c>
      <c r="B291" s="12" t="s">
        <v>4392</v>
      </c>
      <c r="C291" s="13">
        <f>C290+1</f>
        <v>9</v>
      </c>
      <c r="D291" s="12" t="s">
        <v>4401</v>
      </c>
      <c r="E291" s="28" t="s">
        <v>4393</v>
      </c>
      <c r="F291" s="12" t="s">
        <v>4402</v>
      </c>
      <c r="G291" s="66" t="s">
        <v>13</v>
      </c>
      <c r="I291" s="90">
        <v>12</v>
      </c>
    </row>
    <row r="292" spans="1:27" hidden="1" x14ac:dyDescent="0.2">
      <c r="A292" s="34" t="s">
        <v>839</v>
      </c>
      <c r="B292" s="22" t="s">
        <v>840</v>
      </c>
      <c r="C292" s="23">
        <v>6</v>
      </c>
      <c r="D292" s="37" t="s">
        <v>851</v>
      </c>
      <c r="E292" s="25" t="s">
        <v>841</v>
      </c>
      <c r="F292" s="22" t="s">
        <v>852</v>
      </c>
      <c r="G292" s="26" t="s">
        <v>829</v>
      </c>
      <c r="H292" s="38"/>
      <c r="I292" s="39">
        <v>15</v>
      </c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 spans="1:27" hidden="1" x14ac:dyDescent="0.2">
      <c r="A293" s="95" t="s">
        <v>24</v>
      </c>
      <c r="B293" s="82" t="s">
        <v>25</v>
      </c>
      <c r="C293" s="83">
        <v>12</v>
      </c>
      <c r="D293" s="209" t="s">
        <v>52</v>
      </c>
      <c r="E293" s="86" t="s">
        <v>26</v>
      </c>
      <c r="F293" s="100" t="s">
        <v>53</v>
      </c>
      <c r="G293" s="84" t="s">
        <v>13</v>
      </c>
      <c r="I293" s="101" t="s">
        <v>54</v>
      </c>
    </row>
    <row r="294" spans="1:27" hidden="1" x14ac:dyDescent="0.2">
      <c r="A294" s="35" t="s">
        <v>4087</v>
      </c>
      <c r="B294" s="12" t="s">
        <v>4088</v>
      </c>
      <c r="C294" s="13">
        <f>C293+1</f>
        <v>13</v>
      </c>
      <c r="D294" s="22" t="s">
        <v>4096</v>
      </c>
      <c r="E294" s="28" t="s">
        <v>4089</v>
      </c>
      <c r="F294" s="22" t="s">
        <v>4097</v>
      </c>
      <c r="G294" s="66" t="s">
        <v>13</v>
      </c>
      <c r="I294" s="90" t="s">
        <v>2426</v>
      </c>
    </row>
    <row r="295" spans="1:27" hidden="1" x14ac:dyDescent="0.2">
      <c r="A295" s="35" t="s">
        <v>4212</v>
      </c>
      <c r="B295" s="12" t="s">
        <v>4213</v>
      </c>
      <c r="C295" s="13">
        <f>C294+1</f>
        <v>14</v>
      </c>
      <c r="D295" s="22" t="s">
        <v>4096</v>
      </c>
      <c r="E295" s="28" t="s">
        <v>4214</v>
      </c>
      <c r="F295" s="22" t="s">
        <v>4222</v>
      </c>
      <c r="G295" s="66" t="s">
        <v>13</v>
      </c>
      <c r="I295" s="90" t="s">
        <v>2426</v>
      </c>
    </row>
    <row r="296" spans="1:27" hidden="1" x14ac:dyDescent="0.2">
      <c r="A296" s="35" t="s">
        <v>3355</v>
      </c>
      <c r="B296" s="12" t="s">
        <v>3356</v>
      </c>
      <c r="C296" s="13">
        <v>6</v>
      </c>
      <c r="D296" s="22" t="s">
        <v>3363</v>
      </c>
      <c r="E296" s="25" t="s">
        <v>3357</v>
      </c>
      <c r="F296" s="75" t="s">
        <v>3364</v>
      </c>
      <c r="G296" s="71" t="s">
        <v>13</v>
      </c>
      <c r="H296" s="38"/>
      <c r="I296" s="93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 spans="1:27" hidden="1" x14ac:dyDescent="0.2">
      <c r="A297" s="35" t="s">
        <v>3165</v>
      </c>
      <c r="B297" s="12" t="s">
        <v>3166</v>
      </c>
      <c r="C297" s="13">
        <v>7</v>
      </c>
      <c r="D297" s="22" t="s">
        <v>3175</v>
      </c>
      <c r="E297" s="25" t="s">
        <v>3167</v>
      </c>
      <c r="F297" s="75" t="s">
        <v>3176</v>
      </c>
      <c r="G297" s="71" t="s">
        <v>13</v>
      </c>
    </row>
    <row r="298" spans="1:27" hidden="1" x14ac:dyDescent="0.2">
      <c r="A298" s="35" t="s">
        <v>3384</v>
      </c>
      <c r="B298" s="12" t="s">
        <v>3385</v>
      </c>
      <c r="C298" s="13">
        <v>6</v>
      </c>
      <c r="D298" s="42" t="s">
        <v>3395</v>
      </c>
      <c r="E298" s="138" t="s">
        <v>3386</v>
      </c>
      <c r="F298" s="75" t="s">
        <v>3396</v>
      </c>
      <c r="G298" s="66" t="s">
        <v>13</v>
      </c>
    </row>
    <row r="299" spans="1:27" hidden="1" x14ac:dyDescent="0.2">
      <c r="A299" s="35" t="s">
        <v>4364</v>
      </c>
      <c r="B299" s="12" t="s">
        <v>4365</v>
      </c>
      <c r="C299" s="13">
        <f>C298+1</f>
        <v>7</v>
      </c>
      <c r="D299" s="22" t="s">
        <v>3395</v>
      </c>
      <c r="E299" s="28" t="s">
        <v>4366</v>
      </c>
      <c r="F299" s="22" t="s">
        <v>4373</v>
      </c>
      <c r="G299" s="66" t="s">
        <v>13</v>
      </c>
      <c r="I299" s="90" t="s">
        <v>2426</v>
      </c>
    </row>
    <row r="300" spans="1:27" hidden="1" x14ac:dyDescent="0.2">
      <c r="A300" s="35" t="s">
        <v>1142</v>
      </c>
      <c r="B300" s="12" t="s">
        <v>1143</v>
      </c>
      <c r="C300" s="13">
        <v>14</v>
      </c>
      <c r="D300" s="14" t="s">
        <v>1165</v>
      </c>
      <c r="E300" s="28" t="s">
        <v>1144</v>
      </c>
      <c r="F300" s="12" t="s">
        <v>1166</v>
      </c>
      <c r="G300" s="15" t="s">
        <v>13</v>
      </c>
    </row>
    <row r="301" spans="1:27" hidden="1" x14ac:dyDescent="0.25">
      <c r="A301" s="35" t="s">
        <v>6688</v>
      </c>
      <c r="B301" s="12" t="s">
        <v>6689</v>
      </c>
      <c r="C301" s="13">
        <v>9</v>
      </c>
      <c r="D301" s="12" t="s">
        <v>6703</v>
      </c>
      <c r="E301" s="28" t="s">
        <v>6690</v>
      </c>
      <c r="F301" s="12" t="s">
        <v>6704</v>
      </c>
      <c r="G301" s="15" t="s">
        <v>13</v>
      </c>
    </row>
    <row r="302" spans="1:27" hidden="1" x14ac:dyDescent="0.25">
      <c r="A302" s="35" t="s">
        <v>1031</v>
      </c>
      <c r="B302" s="12" t="s">
        <v>1032</v>
      </c>
      <c r="C302" s="13">
        <v>24</v>
      </c>
      <c r="D302" s="41" t="s">
        <v>1078</v>
      </c>
      <c r="E302" s="28" t="s">
        <v>1033</v>
      </c>
      <c r="F302" s="12" t="s">
        <v>1079</v>
      </c>
      <c r="G302" s="15" t="s">
        <v>829</v>
      </c>
      <c r="I302" s="9">
        <v>15</v>
      </c>
    </row>
    <row r="303" spans="1:27" hidden="1" x14ac:dyDescent="0.2">
      <c r="A303" s="35" t="s">
        <v>4375</v>
      </c>
      <c r="B303" s="12" t="s">
        <v>4376</v>
      </c>
      <c r="C303" s="13">
        <f>C302+1</f>
        <v>25</v>
      </c>
      <c r="D303" s="22" t="s">
        <v>4382</v>
      </c>
      <c r="E303" s="28" t="s">
        <v>4377</v>
      </c>
      <c r="F303" s="22" t="s">
        <v>4383</v>
      </c>
      <c r="G303" s="66" t="s">
        <v>13</v>
      </c>
      <c r="I303" s="90" t="s">
        <v>2426</v>
      </c>
    </row>
    <row r="304" spans="1:27" hidden="1" x14ac:dyDescent="0.25">
      <c r="A304" s="35" t="s">
        <v>5686</v>
      </c>
      <c r="B304" s="12" t="s">
        <v>5687</v>
      </c>
      <c r="C304" s="13">
        <v>90</v>
      </c>
      <c r="D304" s="12" t="s">
        <v>5858</v>
      </c>
      <c r="E304" s="28" t="s">
        <v>5688</v>
      </c>
      <c r="F304" s="12" t="s">
        <v>5859</v>
      </c>
      <c r="G304" s="15" t="s">
        <v>829</v>
      </c>
      <c r="I304" s="79">
        <v>15</v>
      </c>
    </row>
    <row r="305" spans="1:27" hidden="1" x14ac:dyDescent="0.2">
      <c r="A305" s="34" t="s">
        <v>1017</v>
      </c>
      <c r="B305" s="22" t="s">
        <v>1018</v>
      </c>
      <c r="C305" s="23">
        <v>4</v>
      </c>
      <c r="D305" s="37" t="s">
        <v>1023</v>
      </c>
      <c r="E305" s="25" t="s">
        <v>1019</v>
      </c>
      <c r="F305" s="22" t="s">
        <v>1024</v>
      </c>
      <c r="G305" s="26" t="s">
        <v>829</v>
      </c>
      <c r="H305" s="38"/>
      <c r="I305" s="39">
        <v>15</v>
      </c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 spans="1:27" hidden="1" x14ac:dyDescent="0.2">
      <c r="A306" s="35" t="s">
        <v>6880</v>
      </c>
      <c r="B306" s="12" t="s">
        <v>6881</v>
      </c>
      <c r="C306" s="13">
        <v>7</v>
      </c>
      <c r="D306" s="65" t="s">
        <v>6890</v>
      </c>
      <c r="E306" s="28" t="s">
        <v>6882</v>
      </c>
      <c r="F306" s="12" t="s">
        <v>6891</v>
      </c>
      <c r="G306" s="15" t="s">
        <v>13</v>
      </c>
    </row>
    <row r="307" spans="1:27" hidden="1" x14ac:dyDescent="0.2">
      <c r="A307" s="35" t="s">
        <v>1960</v>
      </c>
      <c r="B307" s="12" t="s">
        <v>1961</v>
      </c>
      <c r="C307" s="13">
        <v>12</v>
      </c>
      <c r="D307" s="14" t="s">
        <v>1982</v>
      </c>
      <c r="E307" s="28" t="s">
        <v>1962</v>
      </c>
      <c r="F307" s="12" t="s">
        <v>1983</v>
      </c>
      <c r="G307" s="15" t="s">
        <v>156</v>
      </c>
    </row>
    <row r="308" spans="1:27" hidden="1" x14ac:dyDescent="0.2">
      <c r="A308" s="46" t="s">
        <v>93</v>
      </c>
      <c r="B308" s="12" t="s">
        <v>94</v>
      </c>
      <c r="C308" s="13">
        <v>81</v>
      </c>
      <c r="D308" s="14" t="s">
        <v>261</v>
      </c>
      <c r="E308" s="28" t="s">
        <v>96</v>
      </c>
      <c r="F308" s="12" t="s">
        <v>262</v>
      </c>
      <c r="G308" s="15" t="s">
        <v>258</v>
      </c>
      <c r="I308" s="99">
        <v>13</v>
      </c>
    </row>
    <row r="309" spans="1:27" hidden="1" x14ac:dyDescent="0.25">
      <c r="A309" s="46" t="s">
        <v>1568</v>
      </c>
      <c r="B309" s="12" t="s">
        <v>1569</v>
      </c>
      <c r="C309" s="13">
        <v>10</v>
      </c>
      <c r="D309" s="12" t="s">
        <v>1591</v>
      </c>
      <c r="E309" s="28" t="s">
        <v>1570</v>
      </c>
      <c r="F309" s="12" t="s">
        <v>1592</v>
      </c>
      <c r="G309" s="15" t="s">
        <v>1593</v>
      </c>
      <c r="I309" s="94">
        <v>14</v>
      </c>
    </row>
    <row r="310" spans="1:27" ht="12.75" hidden="1" thickBot="1" x14ac:dyDescent="0.3">
      <c r="A310" s="36" t="s">
        <v>5645</v>
      </c>
      <c r="B310" s="30" t="s">
        <v>5646</v>
      </c>
      <c r="C310" s="31">
        <v>12</v>
      </c>
      <c r="D310" s="4" t="s">
        <v>5666</v>
      </c>
      <c r="E310" s="32" t="s">
        <v>5647</v>
      </c>
      <c r="F310" s="4" t="s">
        <v>5667</v>
      </c>
      <c r="G310" s="33" t="s">
        <v>13</v>
      </c>
      <c r="I310" s="90" t="s">
        <v>5668</v>
      </c>
    </row>
    <row r="311" spans="1:27" hidden="1" x14ac:dyDescent="0.2">
      <c r="A311" s="46" t="s">
        <v>319</v>
      </c>
      <c r="B311" s="12" t="s">
        <v>320</v>
      </c>
      <c r="C311" s="13">
        <v>8</v>
      </c>
      <c r="D311" s="37" t="s">
        <v>333</v>
      </c>
      <c r="E311" s="28" t="s">
        <v>321</v>
      </c>
      <c r="F311" s="22" t="s">
        <v>334</v>
      </c>
      <c r="G311" s="62" t="s">
        <v>13</v>
      </c>
    </row>
    <row r="312" spans="1:27" hidden="1" x14ac:dyDescent="0.2">
      <c r="A312" s="46" t="s">
        <v>3130</v>
      </c>
      <c r="B312" s="12" t="s">
        <v>3131</v>
      </c>
      <c r="C312" s="13">
        <v>18</v>
      </c>
      <c r="D312" s="12" t="s">
        <v>3161</v>
      </c>
      <c r="E312" s="28" t="s">
        <v>3132</v>
      </c>
      <c r="F312" s="65" t="s">
        <v>3162</v>
      </c>
      <c r="G312" s="66" t="s">
        <v>3163</v>
      </c>
      <c r="I312" s="9">
        <v>15</v>
      </c>
    </row>
    <row r="313" spans="1:27" hidden="1" x14ac:dyDescent="0.25">
      <c r="A313" s="46" t="s">
        <v>1260</v>
      </c>
      <c r="B313" s="12" t="s">
        <v>1261</v>
      </c>
      <c r="C313" s="13">
        <v>8</v>
      </c>
      <c r="D313" s="22" t="s">
        <v>1274</v>
      </c>
      <c r="E313" s="28" t="s">
        <v>1262</v>
      </c>
      <c r="F313" s="22" t="s">
        <v>1275</v>
      </c>
      <c r="G313" s="15" t="s">
        <v>13</v>
      </c>
    </row>
    <row r="314" spans="1:27" hidden="1" x14ac:dyDescent="0.2">
      <c r="A314" s="46" t="s">
        <v>3130</v>
      </c>
      <c r="B314" s="12" t="s">
        <v>3131</v>
      </c>
      <c r="C314" s="13">
        <v>19</v>
      </c>
      <c r="D314" s="12" t="s">
        <v>1274</v>
      </c>
      <c r="E314" s="28" t="s">
        <v>3132</v>
      </c>
      <c r="F314" s="65" t="s">
        <v>3164</v>
      </c>
      <c r="G314" s="66" t="s">
        <v>3163</v>
      </c>
      <c r="I314" s="9">
        <v>15</v>
      </c>
    </row>
    <row r="315" spans="1:27" hidden="1" x14ac:dyDescent="0.25">
      <c r="A315" s="46" t="s">
        <v>1294</v>
      </c>
      <c r="B315" s="12" t="s">
        <v>1295</v>
      </c>
      <c r="C315" s="13">
        <v>8</v>
      </c>
      <c r="D315" s="22" t="s">
        <v>1306</v>
      </c>
      <c r="E315" s="28" t="s">
        <v>1296</v>
      </c>
      <c r="F315" s="22" t="s">
        <v>1307</v>
      </c>
      <c r="G315" s="15" t="s">
        <v>13</v>
      </c>
    </row>
    <row r="316" spans="1:27" hidden="1" x14ac:dyDescent="0.2">
      <c r="A316" s="46" t="s">
        <v>1960</v>
      </c>
      <c r="B316" s="12" t="s">
        <v>1961</v>
      </c>
      <c r="C316" s="13">
        <v>14</v>
      </c>
      <c r="D316" s="14" t="s">
        <v>1986</v>
      </c>
      <c r="E316" s="28" t="s">
        <v>1962</v>
      </c>
      <c r="F316" s="12" t="s">
        <v>1987</v>
      </c>
      <c r="G316" s="15" t="s">
        <v>13</v>
      </c>
    </row>
    <row r="317" spans="1:27" hidden="1" x14ac:dyDescent="0.2">
      <c r="A317" s="46" t="s">
        <v>93</v>
      </c>
      <c r="B317" s="12" t="s">
        <v>94</v>
      </c>
      <c r="C317" s="13">
        <v>10</v>
      </c>
      <c r="D317" s="14" t="s">
        <v>112</v>
      </c>
      <c r="E317" s="28" t="s">
        <v>96</v>
      </c>
      <c r="F317" s="12" t="s">
        <v>113</v>
      </c>
      <c r="G317" s="15" t="s">
        <v>13</v>
      </c>
    </row>
    <row r="318" spans="1:27" hidden="1" x14ac:dyDescent="0.2">
      <c r="A318" s="46" t="s">
        <v>585</v>
      </c>
      <c r="B318" s="12" t="s">
        <v>586</v>
      </c>
      <c r="C318" s="13">
        <v>4</v>
      </c>
      <c r="D318" s="37" t="s">
        <v>591</v>
      </c>
      <c r="E318" s="28" t="s">
        <v>587</v>
      </c>
      <c r="F318" s="22" t="s">
        <v>592</v>
      </c>
      <c r="G318" s="15" t="s">
        <v>483</v>
      </c>
      <c r="I318" s="99">
        <v>13</v>
      </c>
    </row>
    <row r="319" spans="1:27" ht="12.75" hidden="1" thickBot="1" x14ac:dyDescent="0.25">
      <c r="A319" s="184" t="s">
        <v>791</v>
      </c>
      <c r="B319" s="4" t="s">
        <v>792</v>
      </c>
      <c r="C319" s="5">
        <v>4</v>
      </c>
      <c r="D319" s="6" t="s">
        <v>591</v>
      </c>
      <c r="E319" s="238" t="s">
        <v>793</v>
      </c>
      <c r="F319" s="4" t="s">
        <v>797</v>
      </c>
      <c r="G319" s="7" t="s">
        <v>483</v>
      </c>
      <c r="I319" s="9">
        <v>15</v>
      </c>
    </row>
    <row r="320" spans="1:27" hidden="1" x14ac:dyDescent="0.25">
      <c r="A320" s="46" t="s">
        <v>5886</v>
      </c>
      <c r="B320" s="12" t="s">
        <v>5887</v>
      </c>
      <c r="C320" s="13">
        <v>8</v>
      </c>
      <c r="D320" s="22" t="s">
        <v>5897</v>
      </c>
      <c r="E320" s="28" t="s">
        <v>5888</v>
      </c>
      <c r="F320" s="22" t="s">
        <v>5898</v>
      </c>
      <c r="G320" s="15" t="s">
        <v>13</v>
      </c>
      <c r="I320" s="99">
        <v>13</v>
      </c>
    </row>
    <row r="321" spans="1:10" hidden="1" x14ac:dyDescent="0.2">
      <c r="A321" s="46" t="s">
        <v>6862</v>
      </c>
      <c r="B321" s="12" t="s">
        <v>6863</v>
      </c>
      <c r="C321" s="13">
        <v>6</v>
      </c>
      <c r="D321" s="65" t="s">
        <v>6871</v>
      </c>
      <c r="E321" s="28" t="s">
        <v>6864</v>
      </c>
      <c r="F321" s="12" t="s">
        <v>6872</v>
      </c>
      <c r="G321" s="15" t="s">
        <v>13</v>
      </c>
    </row>
    <row r="322" spans="1:10" hidden="1" x14ac:dyDescent="0.2">
      <c r="A322" s="46" t="s">
        <v>757</v>
      </c>
      <c r="B322" s="12" t="s">
        <v>758</v>
      </c>
      <c r="C322" s="13">
        <v>8</v>
      </c>
      <c r="D322" s="14" t="s">
        <v>772</v>
      </c>
      <c r="E322" s="28" t="s">
        <v>759</v>
      </c>
      <c r="F322" s="12" t="s">
        <v>773</v>
      </c>
      <c r="G322" s="15" t="s">
        <v>13</v>
      </c>
      <c r="I322" s="9">
        <v>15</v>
      </c>
    </row>
    <row r="323" spans="1:10" ht="15" hidden="1" x14ac:dyDescent="0.25">
      <c r="A323" s="46" t="s">
        <v>4583</v>
      </c>
      <c r="B323" s="12" t="s">
        <v>4584</v>
      </c>
      <c r="C323" s="13">
        <v>6</v>
      </c>
      <c r="D323" s="12" t="s">
        <v>4591</v>
      </c>
      <c r="E323" s="28" t="s">
        <v>4585</v>
      </c>
      <c r="F323" s="12" t="s">
        <v>4592</v>
      </c>
      <c r="G323" s="66" t="s">
        <v>829</v>
      </c>
      <c r="I323" s="9">
        <v>15</v>
      </c>
      <c r="J323" s="52"/>
    </row>
    <row r="324" spans="1:10" hidden="1" x14ac:dyDescent="0.25">
      <c r="A324" s="46" t="s">
        <v>1568</v>
      </c>
      <c r="B324" s="12" t="s">
        <v>1569</v>
      </c>
      <c r="C324" s="13">
        <v>39</v>
      </c>
      <c r="D324" s="12" t="s">
        <v>1654</v>
      </c>
      <c r="E324" s="28" t="s">
        <v>1570</v>
      </c>
      <c r="F324" s="12" t="s">
        <v>1655</v>
      </c>
      <c r="G324" s="15" t="s">
        <v>934</v>
      </c>
      <c r="I324" s="94">
        <v>14</v>
      </c>
    </row>
    <row r="325" spans="1:10" ht="15.75" hidden="1" thickBot="1" x14ac:dyDescent="0.3">
      <c r="A325" s="44" t="s">
        <v>4583</v>
      </c>
      <c r="B325" s="30" t="s">
        <v>4584</v>
      </c>
      <c r="C325" s="31">
        <v>23</v>
      </c>
      <c r="D325" s="30" t="s">
        <v>4623</v>
      </c>
      <c r="E325" s="32" t="s">
        <v>4585</v>
      </c>
      <c r="F325" s="30" t="s">
        <v>4624</v>
      </c>
      <c r="G325" s="68" t="s">
        <v>829</v>
      </c>
      <c r="I325" s="9">
        <v>15</v>
      </c>
      <c r="J325" s="52"/>
    </row>
    <row r="326" spans="1:10" ht="15" hidden="1" x14ac:dyDescent="0.25">
      <c r="A326" s="56" t="s">
        <v>4583</v>
      </c>
      <c r="B326" s="61" t="s">
        <v>4584</v>
      </c>
      <c r="C326" s="58">
        <v>24</v>
      </c>
      <c r="D326" s="61" t="s">
        <v>4625</v>
      </c>
      <c r="E326" s="89" t="s">
        <v>4585</v>
      </c>
      <c r="F326" s="61" t="s">
        <v>4626</v>
      </c>
      <c r="G326" s="129" t="s">
        <v>829</v>
      </c>
      <c r="I326" s="9">
        <v>15</v>
      </c>
      <c r="J326" s="52"/>
    </row>
    <row r="327" spans="1:10" hidden="1" x14ac:dyDescent="0.25">
      <c r="A327" s="11" t="s">
        <v>1656</v>
      </c>
      <c r="B327" s="12" t="s">
        <v>1657</v>
      </c>
      <c r="C327" s="13">
        <v>3</v>
      </c>
      <c r="D327" s="22" t="s">
        <v>1662</v>
      </c>
      <c r="E327" s="28" t="s">
        <v>1658</v>
      </c>
      <c r="F327" s="22" t="s">
        <v>1663</v>
      </c>
      <c r="G327" s="15" t="s">
        <v>1664</v>
      </c>
      <c r="I327" s="94">
        <v>14</v>
      </c>
    </row>
    <row r="328" spans="1:10" hidden="1" x14ac:dyDescent="0.2">
      <c r="A328" s="11" t="s">
        <v>6880</v>
      </c>
      <c r="B328" s="12" t="s">
        <v>6881</v>
      </c>
      <c r="C328" s="13">
        <v>9</v>
      </c>
      <c r="D328" s="14" t="s">
        <v>6893</v>
      </c>
      <c r="E328" s="28" t="s">
        <v>6882</v>
      </c>
      <c r="F328" s="12" t="s">
        <v>6894</v>
      </c>
      <c r="G328" s="15" t="s">
        <v>19</v>
      </c>
    </row>
    <row r="329" spans="1:10" hidden="1" x14ac:dyDescent="0.2">
      <c r="A329" s="11" t="s">
        <v>6880</v>
      </c>
      <c r="B329" s="12" t="s">
        <v>6881</v>
      </c>
      <c r="C329" s="13">
        <v>10</v>
      </c>
      <c r="D329" s="14" t="s">
        <v>6895</v>
      </c>
      <c r="E329" s="28" t="s">
        <v>6882</v>
      </c>
      <c r="F329" s="12" t="s">
        <v>6896</v>
      </c>
      <c r="G329" s="15" t="s">
        <v>19</v>
      </c>
    </row>
    <row r="330" spans="1:10" hidden="1" x14ac:dyDescent="0.2">
      <c r="A330" s="11" t="s">
        <v>93</v>
      </c>
      <c r="B330" s="12" t="s">
        <v>94</v>
      </c>
      <c r="C330" s="13">
        <v>54</v>
      </c>
      <c r="D330" s="14" t="s">
        <v>206</v>
      </c>
      <c r="E330" s="28" t="s">
        <v>96</v>
      </c>
      <c r="F330" s="12" t="s">
        <v>207</v>
      </c>
      <c r="G330" s="15" t="s">
        <v>126</v>
      </c>
    </row>
    <row r="331" spans="1:10" hidden="1" x14ac:dyDescent="0.25">
      <c r="A331" s="11" t="s">
        <v>1383</v>
      </c>
      <c r="B331" s="12" t="s">
        <v>1384</v>
      </c>
      <c r="C331" s="13">
        <v>14</v>
      </c>
      <c r="D331" s="12" t="s">
        <v>1409</v>
      </c>
      <c r="E331" s="28" t="s">
        <v>1385</v>
      </c>
      <c r="F331" s="12" t="s">
        <v>1410</v>
      </c>
      <c r="G331" s="15" t="s">
        <v>126</v>
      </c>
    </row>
    <row r="332" spans="1:10" ht="12.75" hidden="1" thickBot="1" x14ac:dyDescent="0.25">
      <c r="A332" s="36" t="s">
        <v>585</v>
      </c>
      <c r="B332" s="30" t="s">
        <v>586</v>
      </c>
      <c r="C332" s="31">
        <v>26</v>
      </c>
      <c r="D332" s="69" t="s">
        <v>637</v>
      </c>
      <c r="E332" s="32" t="s">
        <v>587</v>
      </c>
      <c r="F332" s="30" t="s">
        <v>638</v>
      </c>
      <c r="G332" s="33" t="s">
        <v>595</v>
      </c>
      <c r="I332" s="94">
        <v>14</v>
      </c>
    </row>
    <row r="333" spans="1:10" hidden="1" x14ac:dyDescent="0.2">
      <c r="A333" s="56" t="s">
        <v>585</v>
      </c>
      <c r="B333" s="61" t="s">
        <v>586</v>
      </c>
      <c r="C333" s="58">
        <v>14</v>
      </c>
      <c r="D333" s="107" t="s">
        <v>612</v>
      </c>
      <c r="E333" s="89" t="s">
        <v>587</v>
      </c>
      <c r="F333" s="61" t="s">
        <v>613</v>
      </c>
      <c r="G333" s="62" t="s">
        <v>595</v>
      </c>
      <c r="I333" s="99">
        <v>13</v>
      </c>
    </row>
    <row r="334" spans="1:10" hidden="1" x14ac:dyDescent="0.25">
      <c r="A334" s="11" t="s">
        <v>1260</v>
      </c>
      <c r="B334" s="12" t="s">
        <v>1261</v>
      </c>
      <c r="C334" s="13">
        <v>11</v>
      </c>
      <c r="D334" s="12" t="s">
        <v>1279</v>
      </c>
      <c r="E334" s="28" t="s">
        <v>1262</v>
      </c>
      <c r="F334" s="12" t="s">
        <v>1280</v>
      </c>
      <c r="G334" s="15" t="s">
        <v>13</v>
      </c>
    </row>
    <row r="335" spans="1:10" hidden="1" x14ac:dyDescent="0.2">
      <c r="A335" s="11" t="s">
        <v>5559</v>
      </c>
      <c r="B335" s="12" t="s">
        <v>5560</v>
      </c>
      <c r="C335" s="13">
        <v>5</v>
      </c>
      <c r="D335" s="12" t="s">
        <v>5567</v>
      </c>
      <c r="E335" s="28" t="s">
        <v>5561</v>
      </c>
      <c r="F335" s="12" t="s">
        <v>5568</v>
      </c>
      <c r="G335" s="77" t="s">
        <v>5569</v>
      </c>
    </row>
    <row r="336" spans="1:10" hidden="1" x14ac:dyDescent="0.2">
      <c r="A336" s="11" t="s">
        <v>93</v>
      </c>
      <c r="B336" s="12" t="s">
        <v>94</v>
      </c>
      <c r="C336" s="13">
        <v>16</v>
      </c>
      <c r="D336" s="14" t="s">
        <v>124</v>
      </c>
      <c r="E336" s="28" t="s">
        <v>96</v>
      </c>
      <c r="F336" s="12" t="s">
        <v>125</v>
      </c>
      <c r="G336" s="15" t="s">
        <v>126</v>
      </c>
    </row>
    <row r="337" spans="1:10" hidden="1" x14ac:dyDescent="0.2">
      <c r="A337" s="11" t="s">
        <v>5559</v>
      </c>
      <c r="B337" s="12" t="s">
        <v>5560</v>
      </c>
      <c r="C337" s="13">
        <f>C336+1</f>
        <v>17</v>
      </c>
      <c r="D337" s="12" t="s">
        <v>5597</v>
      </c>
      <c r="E337" s="28" t="s">
        <v>5561</v>
      </c>
      <c r="F337" s="12" t="s">
        <v>5598</v>
      </c>
      <c r="G337" s="77" t="s">
        <v>5569</v>
      </c>
      <c r="I337" s="90">
        <v>12</v>
      </c>
    </row>
    <row r="338" spans="1:10" ht="15" hidden="1" x14ac:dyDescent="0.25">
      <c r="A338" s="11" t="s">
        <v>2237</v>
      </c>
      <c r="B338" s="8" t="s">
        <v>2238</v>
      </c>
      <c r="C338" s="13">
        <v>5</v>
      </c>
      <c r="D338" s="12" t="s">
        <v>2245</v>
      </c>
      <c r="E338" s="28" t="s">
        <v>2239</v>
      </c>
      <c r="F338" s="12" t="s">
        <v>2246</v>
      </c>
      <c r="G338" s="15" t="s">
        <v>19</v>
      </c>
      <c r="I338" s="54">
        <v>15</v>
      </c>
      <c r="J338" s="52"/>
    </row>
    <row r="339" spans="1:10" hidden="1" x14ac:dyDescent="0.25">
      <c r="A339" s="11" t="s">
        <v>5686</v>
      </c>
      <c r="B339" s="12" t="s">
        <v>5687</v>
      </c>
      <c r="C339" s="13">
        <f>C338+1</f>
        <v>6</v>
      </c>
      <c r="D339" s="12" t="s">
        <v>5779</v>
      </c>
      <c r="E339" s="28" t="s">
        <v>5688</v>
      </c>
      <c r="F339" s="12" t="s">
        <v>5780</v>
      </c>
      <c r="G339" s="15" t="s">
        <v>19</v>
      </c>
      <c r="I339" s="90">
        <v>12</v>
      </c>
    </row>
    <row r="340" spans="1:10" hidden="1" x14ac:dyDescent="0.25">
      <c r="A340" s="11" t="s">
        <v>5866</v>
      </c>
      <c r="B340" s="12" t="s">
        <v>5867</v>
      </c>
      <c r="C340" s="13">
        <f>C339+1</f>
        <v>7</v>
      </c>
      <c r="D340" s="12" t="s">
        <v>5779</v>
      </c>
      <c r="E340" s="28" t="s">
        <v>5868</v>
      </c>
      <c r="F340" s="12" t="s">
        <v>5877</v>
      </c>
      <c r="G340" s="15" t="s">
        <v>19</v>
      </c>
      <c r="I340" s="90">
        <v>12</v>
      </c>
    </row>
    <row r="341" spans="1:10" hidden="1" x14ac:dyDescent="0.2">
      <c r="A341" s="11" t="s">
        <v>93</v>
      </c>
      <c r="B341" s="12" t="s">
        <v>94</v>
      </c>
      <c r="C341" s="13">
        <v>53</v>
      </c>
      <c r="D341" s="14" t="s">
        <v>204</v>
      </c>
      <c r="E341" s="28" t="s">
        <v>96</v>
      </c>
      <c r="F341" s="12" t="s">
        <v>205</v>
      </c>
      <c r="G341" s="15" t="s">
        <v>126</v>
      </c>
    </row>
    <row r="342" spans="1:10" hidden="1" x14ac:dyDescent="0.25">
      <c r="A342" s="146" t="s">
        <v>4926</v>
      </c>
      <c r="B342" s="12" t="s">
        <v>4927</v>
      </c>
      <c r="C342" s="13">
        <v>19</v>
      </c>
      <c r="D342" s="12" t="s">
        <v>4962</v>
      </c>
      <c r="E342" s="28" t="s">
        <v>4928</v>
      </c>
      <c r="F342" s="8" t="s">
        <v>4963</v>
      </c>
      <c r="G342" s="80" t="s">
        <v>42</v>
      </c>
    </row>
    <row r="343" spans="1:10" hidden="1" x14ac:dyDescent="0.2">
      <c r="A343" s="146" t="s">
        <v>5060</v>
      </c>
      <c r="B343" s="12" t="s">
        <v>5061</v>
      </c>
      <c r="C343" s="13">
        <v>5</v>
      </c>
      <c r="D343" s="14" t="s">
        <v>4962</v>
      </c>
      <c r="E343" s="28" t="s">
        <v>5062</v>
      </c>
      <c r="F343" s="12" t="s">
        <v>5068</v>
      </c>
      <c r="G343" s="80" t="s">
        <v>42</v>
      </c>
    </row>
    <row r="344" spans="1:10" hidden="1" x14ac:dyDescent="0.2">
      <c r="A344" s="146" t="s">
        <v>5060</v>
      </c>
      <c r="B344" s="12" t="s">
        <v>5061</v>
      </c>
      <c r="C344" s="13">
        <v>4</v>
      </c>
      <c r="D344" s="14" t="s">
        <v>5066</v>
      </c>
      <c r="E344" s="28" t="s">
        <v>5062</v>
      </c>
      <c r="F344" s="12" t="s">
        <v>5067</v>
      </c>
      <c r="G344" s="80" t="s">
        <v>42</v>
      </c>
    </row>
    <row r="345" spans="1:10" ht="12.75" hidden="1" thickBot="1" x14ac:dyDescent="0.3">
      <c r="A345" s="147" t="s">
        <v>4926</v>
      </c>
      <c r="B345" s="30" t="s">
        <v>4927</v>
      </c>
      <c r="C345" s="31">
        <v>18</v>
      </c>
      <c r="D345" s="30" t="s">
        <v>4960</v>
      </c>
      <c r="E345" s="32" t="s">
        <v>4928</v>
      </c>
      <c r="F345" s="55" t="s">
        <v>4961</v>
      </c>
      <c r="G345" s="152" t="s">
        <v>42</v>
      </c>
    </row>
    <row r="346" spans="1:10" hidden="1" x14ac:dyDescent="0.2">
      <c r="A346" s="56" t="s">
        <v>362</v>
      </c>
      <c r="B346" s="61" t="s">
        <v>363</v>
      </c>
      <c r="C346" s="58">
        <v>4</v>
      </c>
      <c r="D346" s="107" t="s">
        <v>368</v>
      </c>
      <c r="E346" s="89" t="s">
        <v>364</v>
      </c>
      <c r="F346" s="61" t="s">
        <v>369</v>
      </c>
      <c r="G346" s="62" t="s">
        <v>78</v>
      </c>
    </row>
    <row r="347" spans="1:10" hidden="1" x14ac:dyDescent="0.25">
      <c r="A347" s="11" t="s">
        <v>1313</v>
      </c>
      <c r="B347" s="12" t="s">
        <v>1314</v>
      </c>
      <c r="C347" s="13">
        <v>11</v>
      </c>
      <c r="D347" s="12" t="s">
        <v>368</v>
      </c>
      <c r="E347" s="28" t="s">
        <v>1315</v>
      </c>
      <c r="F347" s="12" t="s">
        <v>1334</v>
      </c>
      <c r="G347" s="15" t="s">
        <v>78</v>
      </c>
    </row>
    <row r="348" spans="1:10" hidden="1" x14ac:dyDescent="0.25">
      <c r="A348" s="11" t="s">
        <v>1421</v>
      </c>
      <c r="B348" s="12" t="s">
        <v>1422</v>
      </c>
      <c r="C348" s="13">
        <v>6</v>
      </c>
      <c r="D348" s="12" t="s">
        <v>368</v>
      </c>
      <c r="E348" s="28" t="s">
        <v>1423</v>
      </c>
      <c r="F348" s="12" t="s">
        <v>1431</v>
      </c>
      <c r="G348" s="15" t="s">
        <v>78</v>
      </c>
    </row>
    <row r="349" spans="1:10" hidden="1" x14ac:dyDescent="0.2">
      <c r="A349" s="11" t="s">
        <v>6584</v>
      </c>
      <c r="B349" s="12" t="s">
        <v>6585</v>
      </c>
      <c r="C349" s="13">
        <v>5</v>
      </c>
      <c r="D349" s="14" t="s">
        <v>368</v>
      </c>
      <c r="E349" s="28" t="s">
        <v>6586</v>
      </c>
      <c r="F349" s="12" t="s">
        <v>6591</v>
      </c>
      <c r="G349" s="15" t="s">
        <v>78</v>
      </c>
    </row>
    <row r="350" spans="1:10" hidden="1" x14ac:dyDescent="0.2">
      <c r="A350" s="11" t="s">
        <v>6826</v>
      </c>
      <c r="B350" s="12" t="s">
        <v>6827</v>
      </c>
      <c r="C350" s="13">
        <v>2</v>
      </c>
      <c r="D350" s="37" t="s">
        <v>368</v>
      </c>
      <c r="E350" s="28" t="s">
        <v>6828</v>
      </c>
      <c r="F350" s="22" t="s">
        <v>6830</v>
      </c>
      <c r="G350" s="15" t="s">
        <v>78</v>
      </c>
    </row>
    <row r="351" spans="1:10" ht="15" hidden="1" x14ac:dyDescent="0.25">
      <c r="A351" s="11" t="s">
        <v>5523</v>
      </c>
      <c r="B351" s="12" t="s">
        <v>5524</v>
      </c>
      <c r="C351" s="13">
        <v>8</v>
      </c>
      <c r="D351" s="14" t="s">
        <v>5540</v>
      </c>
      <c r="E351" s="28" t="s">
        <v>5526</v>
      </c>
      <c r="F351" s="65" t="s">
        <v>5541</v>
      </c>
      <c r="G351" s="77" t="s">
        <v>1323</v>
      </c>
      <c r="I351" s="9">
        <v>15</v>
      </c>
      <c r="J351" s="52"/>
    </row>
    <row r="352" spans="1:10" hidden="1" x14ac:dyDescent="0.25">
      <c r="A352" s="11" t="s">
        <v>6543</v>
      </c>
      <c r="B352" s="12" t="s">
        <v>6544</v>
      </c>
      <c r="C352" s="13">
        <f>C351+1</f>
        <v>9</v>
      </c>
      <c r="D352" s="22" t="s">
        <v>6551</v>
      </c>
      <c r="E352" s="28" t="s">
        <v>6545</v>
      </c>
      <c r="F352" s="22" t="s">
        <v>6552</v>
      </c>
      <c r="G352" s="15" t="s">
        <v>13</v>
      </c>
      <c r="I352" s="90">
        <v>12</v>
      </c>
    </row>
    <row r="353" spans="1:10" hidden="1" x14ac:dyDescent="0.25">
      <c r="A353" s="11" t="s">
        <v>6559</v>
      </c>
      <c r="B353" s="12" t="s">
        <v>6560</v>
      </c>
      <c r="C353" s="13">
        <f>C352+1</f>
        <v>10</v>
      </c>
      <c r="D353" s="22" t="s">
        <v>6551</v>
      </c>
      <c r="E353" s="28" t="s">
        <v>6561</v>
      </c>
      <c r="F353" s="22" t="s">
        <v>6567</v>
      </c>
      <c r="G353" s="15" t="s">
        <v>13</v>
      </c>
      <c r="I353" s="90">
        <v>12</v>
      </c>
    </row>
    <row r="354" spans="1:10" hidden="1" x14ac:dyDescent="0.25">
      <c r="A354" s="11" t="s">
        <v>6688</v>
      </c>
      <c r="B354" s="12" t="s">
        <v>6689</v>
      </c>
      <c r="C354" s="13">
        <v>10</v>
      </c>
      <c r="D354" s="12" t="s">
        <v>6705</v>
      </c>
      <c r="E354" s="28" t="s">
        <v>6690</v>
      </c>
      <c r="F354" s="12" t="s">
        <v>6706</v>
      </c>
      <c r="G354" s="15" t="s">
        <v>13</v>
      </c>
    </row>
    <row r="355" spans="1:10" ht="15" hidden="1" x14ac:dyDescent="0.25">
      <c r="A355" s="11" t="s">
        <v>5523</v>
      </c>
      <c r="B355" s="12" t="s">
        <v>5524</v>
      </c>
      <c r="C355" s="13">
        <v>6</v>
      </c>
      <c r="D355" s="14" t="s">
        <v>5536</v>
      </c>
      <c r="E355" s="28" t="s">
        <v>5526</v>
      </c>
      <c r="F355" s="65" t="s">
        <v>5537</v>
      </c>
      <c r="G355" s="15" t="s">
        <v>1323</v>
      </c>
      <c r="I355" s="9">
        <v>15</v>
      </c>
      <c r="J355" s="52"/>
    </row>
    <row r="356" spans="1:10" hidden="1" x14ac:dyDescent="0.25">
      <c r="A356" s="11" t="s">
        <v>5686</v>
      </c>
      <c r="B356" s="12" t="s">
        <v>5687</v>
      </c>
      <c r="C356" s="13">
        <f>C355+1</f>
        <v>7</v>
      </c>
      <c r="D356" s="12" t="s">
        <v>5797</v>
      </c>
      <c r="E356" s="28" t="s">
        <v>5688</v>
      </c>
      <c r="F356" s="12" t="s">
        <v>5798</v>
      </c>
      <c r="G356" s="80" t="s">
        <v>13</v>
      </c>
      <c r="I356" s="90">
        <v>12</v>
      </c>
    </row>
    <row r="357" spans="1:10" hidden="1" x14ac:dyDescent="0.25">
      <c r="A357" s="11" t="s">
        <v>5921</v>
      </c>
      <c r="B357" s="12" t="s">
        <v>5922</v>
      </c>
      <c r="C357" s="13">
        <v>11</v>
      </c>
      <c r="D357" s="12" t="s">
        <v>5939</v>
      </c>
      <c r="E357" s="28" t="s">
        <v>5923</v>
      </c>
      <c r="F357" s="12" t="s">
        <v>5940</v>
      </c>
      <c r="G357" s="15" t="s">
        <v>676</v>
      </c>
      <c r="I357" s="101" t="s">
        <v>5818</v>
      </c>
    </row>
    <row r="358" spans="1:10" hidden="1" x14ac:dyDescent="0.2">
      <c r="A358" s="11" t="s">
        <v>3458</v>
      </c>
      <c r="B358" s="12" t="s">
        <v>3459</v>
      </c>
      <c r="C358" s="13">
        <v>7</v>
      </c>
      <c r="D358" s="12" t="s">
        <v>3468</v>
      </c>
      <c r="E358" s="138" t="s">
        <v>3460</v>
      </c>
      <c r="F358" s="65" t="s">
        <v>3469</v>
      </c>
      <c r="G358" s="66" t="s">
        <v>13</v>
      </c>
    </row>
    <row r="359" spans="1:10" hidden="1" x14ac:dyDescent="0.2">
      <c r="A359" s="11" t="s">
        <v>3633</v>
      </c>
      <c r="B359" s="12" t="s">
        <v>3634</v>
      </c>
      <c r="C359" s="13">
        <v>8</v>
      </c>
      <c r="D359" s="12" t="s">
        <v>3468</v>
      </c>
      <c r="E359" s="138" t="s">
        <v>3635</v>
      </c>
      <c r="F359" s="65" t="s">
        <v>3643</v>
      </c>
      <c r="G359" s="66" t="s">
        <v>13</v>
      </c>
    </row>
    <row r="360" spans="1:10" hidden="1" x14ac:dyDescent="0.2">
      <c r="A360" s="11" t="s">
        <v>4087</v>
      </c>
      <c r="B360" s="12" t="s">
        <v>4088</v>
      </c>
      <c r="C360" s="13">
        <f>C359+1</f>
        <v>9</v>
      </c>
      <c r="D360" s="12" t="s">
        <v>3468</v>
      </c>
      <c r="E360" s="28" t="s">
        <v>4089</v>
      </c>
      <c r="F360" s="12" t="s">
        <v>4100</v>
      </c>
      <c r="G360" s="66" t="s">
        <v>13</v>
      </c>
      <c r="I360" s="90" t="s">
        <v>2426</v>
      </c>
    </row>
    <row r="361" spans="1:10" hidden="1" x14ac:dyDescent="0.2">
      <c r="A361" s="11" t="s">
        <v>4212</v>
      </c>
      <c r="B361" s="12" t="s">
        <v>4213</v>
      </c>
      <c r="C361" s="13">
        <f>C360+1</f>
        <v>10</v>
      </c>
      <c r="D361" s="12" t="s">
        <v>3468</v>
      </c>
      <c r="E361" s="28" t="s">
        <v>4214</v>
      </c>
      <c r="F361" s="12" t="s">
        <v>4224</v>
      </c>
      <c r="G361" s="66" t="s">
        <v>13</v>
      </c>
      <c r="I361" s="90" t="s">
        <v>2426</v>
      </c>
    </row>
    <row r="362" spans="1:10" hidden="1" x14ac:dyDescent="0.2">
      <c r="A362" s="11" t="s">
        <v>3458</v>
      </c>
      <c r="B362" s="12" t="s">
        <v>3459</v>
      </c>
      <c r="C362" s="13">
        <v>22</v>
      </c>
      <c r="D362" s="12" t="s">
        <v>3496</v>
      </c>
      <c r="E362" s="138" t="s">
        <v>3460</v>
      </c>
      <c r="F362" s="65" t="s">
        <v>3497</v>
      </c>
      <c r="G362" s="66" t="s">
        <v>13</v>
      </c>
    </row>
    <row r="363" spans="1:10" ht="12.75" hidden="1" thickBot="1" x14ac:dyDescent="0.25">
      <c r="A363" s="36" t="s">
        <v>3633</v>
      </c>
      <c r="B363" s="30" t="s">
        <v>3634</v>
      </c>
      <c r="C363" s="31">
        <v>23</v>
      </c>
      <c r="D363" s="30" t="s">
        <v>3496</v>
      </c>
      <c r="E363" s="67" t="s">
        <v>3635</v>
      </c>
      <c r="F363" s="67" t="s">
        <v>3662</v>
      </c>
      <c r="G363" s="68" t="s">
        <v>13</v>
      </c>
    </row>
    <row r="364" spans="1:10" hidden="1" x14ac:dyDescent="0.2">
      <c r="A364" s="56" t="s">
        <v>3763</v>
      </c>
      <c r="B364" s="61" t="s">
        <v>3764</v>
      </c>
      <c r="C364" s="58">
        <v>7</v>
      </c>
      <c r="D364" s="61" t="s">
        <v>3496</v>
      </c>
      <c r="E364" s="89" t="s">
        <v>3765</v>
      </c>
      <c r="F364" s="74" t="s">
        <v>3772</v>
      </c>
      <c r="G364" s="129" t="s">
        <v>13</v>
      </c>
    </row>
    <row r="365" spans="1:10" hidden="1" x14ac:dyDescent="0.2">
      <c r="A365" s="11" t="s">
        <v>3799</v>
      </c>
      <c r="B365" s="12" t="s">
        <v>3800</v>
      </c>
      <c r="C365" s="13">
        <v>7</v>
      </c>
      <c r="D365" s="12" t="s">
        <v>3496</v>
      </c>
      <c r="E365" s="28" t="s">
        <v>3801</v>
      </c>
      <c r="F365" s="65" t="s">
        <v>3808</v>
      </c>
      <c r="G365" s="66" t="s">
        <v>13</v>
      </c>
    </row>
    <row r="366" spans="1:10" hidden="1" x14ac:dyDescent="0.2">
      <c r="A366" s="11" t="s">
        <v>3839</v>
      </c>
      <c r="B366" s="12" t="s">
        <v>3840</v>
      </c>
      <c r="C366" s="13">
        <v>7</v>
      </c>
      <c r="D366" s="12" t="s">
        <v>3496</v>
      </c>
      <c r="E366" s="28" t="s">
        <v>3841</v>
      </c>
      <c r="F366" s="65" t="s">
        <v>3848</v>
      </c>
      <c r="G366" s="66" t="s">
        <v>13</v>
      </c>
    </row>
    <row r="367" spans="1:10" hidden="1" x14ac:dyDescent="0.2">
      <c r="A367" s="11" t="s">
        <v>3858</v>
      </c>
      <c r="B367" s="12" t="s">
        <v>3859</v>
      </c>
      <c r="C367" s="13">
        <v>7</v>
      </c>
      <c r="D367" s="12" t="s">
        <v>3496</v>
      </c>
      <c r="E367" s="28" t="s">
        <v>3860</v>
      </c>
      <c r="F367" s="65" t="s">
        <v>3867</v>
      </c>
      <c r="G367" s="66" t="s">
        <v>13</v>
      </c>
    </row>
    <row r="368" spans="1:10" hidden="1" x14ac:dyDescent="0.2">
      <c r="A368" s="11" t="s">
        <v>3880</v>
      </c>
      <c r="B368" s="12" t="s">
        <v>3881</v>
      </c>
      <c r="C368" s="13">
        <v>8</v>
      </c>
      <c r="D368" s="12" t="s">
        <v>3496</v>
      </c>
      <c r="E368" s="28" t="s">
        <v>3882</v>
      </c>
      <c r="F368" s="12" t="s">
        <v>3891</v>
      </c>
      <c r="G368" s="66" t="s">
        <v>13</v>
      </c>
    </row>
    <row r="369" spans="1:9" hidden="1" x14ac:dyDescent="0.2">
      <c r="A369" s="11" t="s">
        <v>3914</v>
      </c>
      <c r="B369" s="12" t="s">
        <v>3915</v>
      </c>
      <c r="C369" s="13">
        <v>8</v>
      </c>
      <c r="D369" s="12" t="s">
        <v>3496</v>
      </c>
      <c r="E369" s="28" t="s">
        <v>3916</v>
      </c>
      <c r="F369" s="12" t="s">
        <v>3924</v>
      </c>
      <c r="G369" s="66" t="s">
        <v>13</v>
      </c>
    </row>
    <row r="370" spans="1:9" hidden="1" x14ac:dyDescent="0.2">
      <c r="A370" s="11" t="s">
        <v>4087</v>
      </c>
      <c r="B370" s="12" t="s">
        <v>4088</v>
      </c>
      <c r="C370" s="13">
        <f>C369+1</f>
        <v>9</v>
      </c>
      <c r="D370" s="12" t="s">
        <v>3496</v>
      </c>
      <c r="E370" s="28" t="s">
        <v>4089</v>
      </c>
      <c r="F370" s="12" t="s">
        <v>4115</v>
      </c>
      <c r="G370" s="66" t="s">
        <v>13</v>
      </c>
      <c r="I370" s="90" t="s">
        <v>2426</v>
      </c>
    </row>
    <row r="371" spans="1:9" hidden="1" x14ac:dyDescent="0.2">
      <c r="A371" s="11" t="s">
        <v>4212</v>
      </c>
      <c r="B371" s="12" t="s">
        <v>4213</v>
      </c>
      <c r="C371" s="13">
        <f>C370+1</f>
        <v>10</v>
      </c>
      <c r="D371" s="12" t="s">
        <v>3496</v>
      </c>
      <c r="E371" s="28" t="s">
        <v>4214</v>
      </c>
      <c r="F371" s="12" t="s">
        <v>4239</v>
      </c>
      <c r="G371" s="66" t="s">
        <v>13</v>
      </c>
      <c r="I371" s="90" t="s">
        <v>2426</v>
      </c>
    </row>
    <row r="372" spans="1:9" hidden="1" x14ac:dyDescent="0.2">
      <c r="A372" s="11" t="s">
        <v>2631</v>
      </c>
      <c r="B372" s="12" t="s">
        <v>2632</v>
      </c>
      <c r="C372" s="13">
        <v>7</v>
      </c>
      <c r="D372" s="14" t="s">
        <v>2643</v>
      </c>
      <c r="E372" s="28" t="s">
        <v>2634</v>
      </c>
      <c r="F372" s="65" t="s">
        <v>2644</v>
      </c>
      <c r="G372" s="66" t="s">
        <v>13</v>
      </c>
    </row>
    <row r="373" spans="1:9" hidden="1" x14ac:dyDescent="0.25">
      <c r="A373" s="11" t="s">
        <v>5886</v>
      </c>
      <c r="B373" s="12" t="s">
        <v>5887</v>
      </c>
      <c r="C373" s="13">
        <v>11</v>
      </c>
      <c r="D373" s="12" t="s">
        <v>2643</v>
      </c>
      <c r="E373" s="28" t="s">
        <v>5888</v>
      </c>
      <c r="F373" s="12" t="s">
        <v>5902</v>
      </c>
      <c r="G373" s="15" t="s">
        <v>13</v>
      </c>
      <c r="I373" s="99">
        <v>13</v>
      </c>
    </row>
    <row r="374" spans="1:9" hidden="1" x14ac:dyDescent="0.2">
      <c r="A374" s="11" t="s">
        <v>3165</v>
      </c>
      <c r="B374" s="12" t="s">
        <v>3166</v>
      </c>
      <c r="C374" s="13">
        <v>8</v>
      </c>
      <c r="D374" s="12" t="s">
        <v>3177</v>
      </c>
      <c r="E374" s="28" t="s">
        <v>3167</v>
      </c>
      <c r="F374" s="65" t="s">
        <v>3178</v>
      </c>
      <c r="G374" s="66" t="s">
        <v>13</v>
      </c>
    </row>
    <row r="375" spans="1:9" hidden="1" x14ac:dyDescent="0.2">
      <c r="A375" s="11" t="s">
        <v>2867</v>
      </c>
      <c r="B375" s="12" t="s">
        <v>2868</v>
      </c>
      <c r="C375" s="13">
        <v>14</v>
      </c>
      <c r="D375" s="14" t="s">
        <v>2891</v>
      </c>
      <c r="E375" s="28" t="s">
        <v>2869</v>
      </c>
      <c r="F375" s="65" t="s">
        <v>2892</v>
      </c>
      <c r="G375" s="66" t="s">
        <v>13</v>
      </c>
    </row>
    <row r="376" spans="1:9" hidden="1" x14ac:dyDescent="0.2">
      <c r="A376" s="11" t="s">
        <v>3458</v>
      </c>
      <c r="B376" s="12" t="s">
        <v>3459</v>
      </c>
      <c r="C376" s="13">
        <v>39</v>
      </c>
      <c r="D376" s="12" t="s">
        <v>3530</v>
      </c>
      <c r="E376" s="138" t="s">
        <v>3460</v>
      </c>
      <c r="F376" s="65" t="s">
        <v>3531</v>
      </c>
      <c r="G376" s="66" t="s">
        <v>13</v>
      </c>
    </row>
    <row r="377" spans="1:9" ht="12.75" hidden="1" thickBot="1" x14ac:dyDescent="0.25">
      <c r="A377" s="36" t="s">
        <v>3633</v>
      </c>
      <c r="B377" s="30" t="s">
        <v>3634</v>
      </c>
      <c r="C377" s="31">
        <v>40</v>
      </c>
      <c r="D377" s="30" t="s">
        <v>3530</v>
      </c>
      <c r="E377" s="140" t="s">
        <v>3635</v>
      </c>
      <c r="F377" s="67" t="s">
        <v>3683</v>
      </c>
      <c r="G377" s="68" t="s">
        <v>13</v>
      </c>
    </row>
    <row r="378" spans="1:9" hidden="1" x14ac:dyDescent="0.2">
      <c r="A378" s="56" t="s">
        <v>4087</v>
      </c>
      <c r="B378" s="61" t="s">
        <v>4088</v>
      </c>
      <c r="C378" s="58">
        <f>C377+1</f>
        <v>41</v>
      </c>
      <c r="D378" s="204" t="s">
        <v>3530</v>
      </c>
      <c r="E378" s="89" t="s">
        <v>4089</v>
      </c>
      <c r="F378" s="61" t="s">
        <v>4128</v>
      </c>
      <c r="G378" s="129" t="s">
        <v>13</v>
      </c>
      <c r="I378" s="90" t="s">
        <v>2426</v>
      </c>
    </row>
    <row r="379" spans="1:9" hidden="1" x14ac:dyDescent="0.2">
      <c r="A379" s="11" t="s">
        <v>4212</v>
      </c>
      <c r="B379" s="12" t="s">
        <v>4213</v>
      </c>
      <c r="C379" s="13">
        <f>C378+1</f>
        <v>42</v>
      </c>
      <c r="D379" s="118" t="s">
        <v>3530</v>
      </c>
      <c r="E379" s="28" t="s">
        <v>4214</v>
      </c>
      <c r="F379" s="12" t="s">
        <v>4253</v>
      </c>
      <c r="G379" s="66" t="s">
        <v>13</v>
      </c>
      <c r="I379" s="90" t="s">
        <v>2426</v>
      </c>
    </row>
    <row r="380" spans="1:9" hidden="1" x14ac:dyDescent="0.2">
      <c r="A380" s="11" t="s">
        <v>2566</v>
      </c>
      <c r="B380" s="12" t="s">
        <v>2567</v>
      </c>
      <c r="C380" s="13">
        <v>21</v>
      </c>
      <c r="D380" s="27" t="s">
        <v>2602</v>
      </c>
      <c r="E380" s="28" t="s">
        <v>2568</v>
      </c>
      <c r="F380" s="65" t="s">
        <v>2603</v>
      </c>
      <c r="G380" s="66" t="s">
        <v>13</v>
      </c>
    </row>
    <row r="381" spans="1:9" hidden="1" x14ac:dyDescent="0.2">
      <c r="A381" s="11" t="s">
        <v>2631</v>
      </c>
      <c r="B381" s="12" t="s">
        <v>2632</v>
      </c>
      <c r="C381" s="13">
        <v>9</v>
      </c>
      <c r="D381" s="27" t="s">
        <v>2647</v>
      </c>
      <c r="E381" s="28" t="s">
        <v>2634</v>
      </c>
      <c r="F381" s="65" t="s">
        <v>2648</v>
      </c>
      <c r="G381" s="66" t="s">
        <v>13</v>
      </c>
    </row>
    <row r="382" spans="1:9" hidden="1" x14ac:dyDescent="0.2">
      <c r="A382" s="11" t="s">
        <v>3165</v>
      </c>
      <c r="B382" s="12" t="s">
        <v>3166</v>
      </c>
      <c r="C382" s="13">
        <v>10</v>
      </c>
      <c r="D382" s="118" t="s">
        <v>3181</v>
      </c>
      <c r="E382" s="28" t="s">
        <v>3167</v>
      </c>
      <c r="F382" s="65" t="s">
        <v>3182</v>
      </c>
      <c r="G382" s="66" t="s">
        <v>13</v>
      </c>
    </row>
    <row r="383" spans="1:9" hidden="1" x14ac:dyDescent="0.25">
      <c r="A383" s="11" t="s">
        <v>5886</v>
      </c>
      <c r="B383" s="12" t="s">
        <v>5887</v>
      </c>
      <c r="C383" s="13">
        <v>13</v>
      </c>
      <c r="D383" s="118" t="s">
        <v>2647</v>
      </c>
      <c r="E383" s="28" t="s">
        <v>5888</v>
      </c>
      <c r="F383" s="12" t="s">
        <v>5904</v>
      </c>
      <c r="G383" s="15" t="s">
        <v>13</v>
      </c>
      <c r="I383" s="99">
        <v>13</v>
      </c>
    </row>
    <row r="384" spans="1:9" hidden="1" x14ac:dyDescent="0.2">
      <c r="A384" s="11" t="s">
        <v>2608</v>
      </c>
      <c r="B384" s="12" t="s">
        <v>2609</v>
      </c>
      <c r="C384" s="13">
        <v>10</v>
      </c>
      <c r="D384" s="27" t="s">
        <v>2622</v>
      </c>
      <c r="E384" s="28" t="s">
        <v>2610</v>
      </c>
      <c r="F384" s="65" t="s">
        <v>2623</v>
      </c>
      <c r="G384" s="66" t="s">
        <v>13</v>
      </c>
    </row>
    <row r="385" spans="1:27" hidden="1" x14ac:dyDescent="0.2">
      <c r="A385" s="11" t="s">
        <v>2566</v>
      </c>
      <c r="B385" s="12" t="s">
        <v>2567</v>
      </c>
      <c r="C385" s="13">
        <v>15</v>
      </c>
      <c r="D385" s="27" t="s">
        <v>2590</v>
      </c>
      <c r="E385" s="28" t="s">
        <v>2568</v>
      </c>
      <c r="F385" s="65" t="s">
        <v>2591</v>
      </c>
      <c r="G385" s="66" t="s">
        <v>13</v>
      </c>
    </row>
    <row r="386" spans="1:27" hidden="1" x14ac:dyDescent="0.25">
      <c r="A386" s="81" t="s">
        <v>5686</v>
      </c>
      <c r="B386" s="82" t="s">
        <v>5687</v>
      </c>
      <c r="C386" s="83">
        <f>C385+1</f>
        <v>16</v>
      </c>
      <c r="D386" s="205" t="s">
        <v>5773</v>
      </c>
      <c r="E386" s="86" t="s">
        <v>5688</v>
      </c>
      <c r="F386" s="82" t="s">
        <v>5774</v>
      </c>
      <c r="G386" s="168" t="s">
        <v>13</v>
      </c>
      <c r="I386" s="101" t="s">
        <v>54</v>
      </c>
    </row>
    <row r="387" spans="1:27" hidden="1" x14ac:dyDescent="0.2">
      <c r="A387" s="11" t="s">
        <v>3400</v>
      </c>
      <c r="B387" s="12" t="s">
        <v>3401</v>
      </c>
      <c r="C387" s="13">
        <v>8</v>
      </c>
      <c r="D387" s="118" t="s">
        <v>3414</v>
      </c>
      <c r="E387" s="138" t="s">
        <v>3402</v>
      </c>
      <c r="F387" s="65" t="s">
        <v>3415</v>
      </c>
      <c r="G387" s="66" t="s">
        <v>13</v>
      </c>
    </row>
    <row r="388" spans="1:27" hidden="1" x14ac:dyDescent="0.2">
      <c r="A388" s="11" t="s">
        <v>3741</v>
      </c>
      <c r="B388" s="12" t="s">
        <v>3742</v>
      </c>
      <c r="C388" s="13">
        <v>10</v>
      </c>
      <c r="D388" s="118" t="s">
        <v>3414</v>
      </c>
      <c r="E388" s="138" t="s">
        <v>3743</v>
      </c>
      <c r="F388" s="65" t="s">
        <v>3756</v>
      </c>
      <c r="G388" s="66" t="s">
        <v>13</v>
      </c>
    </row>
    <row r="389" spans="1:27" hidden="1" x14ac:dyDescent="0.2">
      <c r="A389" s="11" t="s">
        <v>4347</v>
      </c>
      <c r="B389" s="12" t="s">
        <v>4348</v>
      </c>
      <c r="C389" s="13">
        <f>C388+1</f>
        <v>11</v>
      </c>
      <c r="D389" s="118" t="s">
        <v>3414</v>
      </c>
      <c r="E389" s="28" t="s">
        <v>4349</v>
      </c>
      <c r="F389" s="12" t="s">
        <v>4357</v>
      </c>
      <c r="G389" s="66" t="s">
        <v>13</v>
      </c>
      <c r="I389" s="90" t="s">
        <v>2426</v>
      </c>
    </row>
    <row r="390" spans="1:27" hidden="1" x14ac:dyDescent="0.25">
      <c r="A390" s="11" t="s">
        <v>641</v>
      </c>
      <c r="B390" s="12" t="s">
        <v>642</v>
      </c>
      <c r="C390" s="13">
        <v>5</v>
      </c>
      <c r="D390" s="118" t="s">
        <v>649</v>
      </c>
      <c r="E390" s="28" t="s">
        <v>643</v>
      </c>
      <c r="F390" s="12" t="s">
        <v>650</v>
      </c>
      <c r="G390" s="15" t="s">
        <v>483</v>
      </c>
      <c r="I390" s="99">
        <v>13</v>
      </c>
    </row>
    <row r="391" spans="1:27" hidden="1" x14ac:dyDescent="0.25">
      <c r="A391" s="11" t="s">
        <v>5921</v>
      </c>
      <c r="B391" s="12" t="s">
        <v>5922</v>
      </c>
      <c r="C391" s="13">
        <v>17</v>
      </c>
      <c r="D391" s="118" t="s">
        <v>5948</v>
      </c>
      <c r="E391" s="28" t="s">
        <v>5923</v>
      </c>
      <c r="F391" s="12" t="s">
        <v>5949</v>
      </c>
      <c r="G391" s="15" t="s">
        <v>676</v>
      </c>
      <c r="I391" s="101" t="s">
        <v>5818</v>
      </c>
    </row>
    <row r="392" spans="1:27" hidden="1" x14ac:dyDescent="0.25">
      <c r="A392" s="11" t="s">
        <v>5686</v>
      </c>
      <c r="B392" s="12" t="s">
        <v>5687</v>
      </c>
      <c r="C392" s="13">
        <f>C391+1</f>
        <v>18</v>
      </c>
      <c r="D392" s="118" t="s">
        <v>5787</v>
      </c>
      <c r="E392" s="28" t="s">
        <v>5688</v>
      </c>
      <c r="F392" s="12" t="s">
        <v>5788</v>
      </c>
      <c r="G392" s="80" t="s">
        <v>13</v>
      </c>
      <c r="I392" s="90">
        <v>12</v>
      </c>
    </row>
    <row r="393" spans="1:27" ht="12.75" hidden="1" thickBot="1" x14ac:dyDescent="0.25">
      <c r="A393" s="36" t="s">
        <v>791</v>
      </c>
      <c r="B393" s="30" t="s">
        <v>792</v>
      </c>
      <c r="C393" s="31">
        <v>20</v>
      </c>
      <c r="D393" s="69" t="s">
        <v>830</v>
      </c>
      <c r="E393" s="32" t="s">
        <v>793</v>
      </c>
      <c r="F393" s="30" t="s">
        <v>831</v>
      </c>
      <c r="G393" s="33" t="s">
        <v>832</v>
      </c>
      <c r="I393" s="9">
        <v>15</v>
      </c>
    </row>
    <row r="394" spans="1:27" s="10" customFormat="1" hidden="1" x14ac:dyDescent="0.2">
      <c r="A394" s="95" t="s">
        <v>24</v>
      </c>
      <c r="B394" s="96" t="s">
        <v>25</v>
      </c>
      <c r="C394" s="97">
        <v>11</v>
      </c>
      <c r="D394" s="98" t="s">
        <v>50</v>
      </c>
      <c r="E394" s="86" t="s">
        <v>26</v>
      </c>
      <c r="F394" s="82" t="s">
        <v>51</v>
      </c>
      <c r="G394" s="84" t="s">
        <v>13</v>
      </c>
      <c r="H394" s="8"/>
      <c r="I394" s="99">
        <v>13</v>
      </c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s="10" customFormat="1" hidden="1" x14ac:dyDescent="0.2">
      <c r="A395" s="35" t="s">
        <v>585</v>
      </c>
      <c r="B395" s="12" t="s">
        <v>586</v>
      </c>
      <c r="C395" s="13">
        <v>20</v>
      </c>
      <c r="D395" s="27" t="s">
        <v>50</v>
      </c>
      <c r="E395" s="28" t="s">
        <v>587</v>
      </c>
      <c r="F395" s="12" t="s">
        <v>624</v>
      </c>
      <c r="G395" s="15" t="s">
        <v>625</v>
      </c>
      <c r="H395" s="8"/>
      <c r="I395" s="99">
        <v>13</v>
      </c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s="10" customFormat="1" hidden="1" x14ac:dyDescent="0.2">
      <c r="A396" s="35" t="s">
        <v>2440</v>
      </c>
      <c r="B396" s="12" t="s">
        <v>2441</v>
      </c>
      <c r="C396" s="13">
        <v>2</v>
      </c>
      <c r="D396" s="24" t="s">
        <v>2444</v>
      </c>
      <c r="E396" s="28" t="s">
        <v>2442</v>
      </c>
      <c r="F396" s="22" t="s">
        <v>2445</v>
      </c>
      <c r="G396" s="15" t="s">
        <v>78</v>
      </c>
      <c r="H396" s="8"/>
      <c r="I396" s="90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s="10" customFormat="1" hidden="1" x14ac:dyDescent="0.25">
      <c r="A397" s="35" t="s">
        <v>1656</v>
      </c>
      <c r="B397" s="12" t="s">
        <v>1657</v>
      </c>
      <c r="C397" s="13">
        <v>31</v>
      </c>
      <c r="D397" s="118" t="s">
        <v>1720</v>
      </c>
      <c r="E397" s="28" t="s">
        <v>1658</v>
      </c>
      <c r="F397" s="12" t="s">
        <v>1721</v>
      </c>
      <c r="G397" s="15" t="s">
        <v>1626</v>
      </c>
      <c r="H397" s="8"/>
      <c r="I397" s="94">
        <v>14</v>
      </c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s="10" customFormat="1" hidden="1" x14ac:dyDescent="0.25">
      <c r="A398" s="35" t="s">
        <v>1656</v>
      </c>
      <c r="B398" s="12" t="s">
        <v>1657</v>
      </c>
      <c r="C398" s="13">
        <v>30</v>
      </c>
      <c r="D398" s="118" t="s">
        <v>1718</v>
      </c>
      <c r="E398" s="28" t="s">
        <v>1658</v>
      </c>
      <c r="F398" s="12" t="s">
        <v>1719</v>
      </c>
      <c r="G398" s="15" t="s">
        <v>271</v>
      </c>
      <c r="H398" s="8"/>
      <c r="I398" s="94">
        <v>14</v>
      </c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s="10" customFormat="1" hidden="1" x14ac:dyDescent="0.25">
      <c r="A399" s="35" t="s">
        <v>1656</v>
      </c>
      <c r="B399" s="12" t="s">
        <v>1657</v>
      </c>
      <c r="C399" s="13">
        <v>28</v>
      </c>
      <c r="D399" s="12" t="s">
        <v>1714</v>
      </c>
      <c r="E399" s="28" t="s">
        <v>1658</v>
      </c>
      <c r="F399" s="12" t="s">
        <v>1715</v>
      </c>
      <c r="G399" s="15" t="s">
        <v>1669</v>
      </c>
      <c r="H399" s="8"/>
      <c r="I399" s="94">
        <v>14</v>
      </c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s="10" customFormat="1" hidden="1" x14ac:dyDescent="0.25">
      <c r="A400" s="35" t="s">
        <v>1656</v>
      </c>
      <c r="B400" s="12" t="s">
        <v>1657</v>
      </c>
      <c r="C400" s="13">
        <v>29</v>
      </c>
      <c r="D400" s="12" t="s">
        <v>1716</v>
      </c>
      <c r="E400" s="28" t="s">
        <v>1658</v>
      </c>
      <c r="F400" s="12" t="s">
        <v>1717</v>
      </c>
      <c r="G400" s="15" t="s">
        <v>1626</v>
      </c>
      <c r="H400" s="8"/>
      <c r="I400" s="94">
        <v>14</v>
      </c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s="10" customFormat="1" hidden="1" x14ac:dyDescent="0.25">
      <c r="A401" s="35" t="s">
        <v>1656</v>
      </c>
      <c r="B401" s="12" t="s">
        <v>1657</v>
      </c>
      <c r="C401" s="13">
        <v>27</v>
      </c>
      <c r="D401" s="12" t="s">
        <v>1712</v>
      </c>
      <c r="E401" s="28" t="s">
        <v>1658</v>
      </c>
      <c r="F401" s="12" t="s">
        <v>1713</v>
      </c>
      <c r="G401" s="15" t="s">
        <v>271</v>
      </c>
      <c r="H401" s="8"/>
      <c r="I401" s="94">
        <v>14</v>
      </c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s="10" customFormat="1" hidden="1" x14ac:dyDescent="0.25">
      <c r="A402" s="35" t="s">
        <v>1656</v>
      </c>
      <c r="B402" s="12" t="s">
        <v>1657</v>
      </c>
      <c r="C402" s="13">
        <v>25</v>
      </c>
      <c r="D402" s="12" t="s">
        <v>1708</v>
      </c>
      <c r="E402" s="28" t="s">
        <v>1658</v>
      </c>
      <c r="F402" s="12" t="s">
        <v>1709</v>
      </c>
      <c r="G402" s="15" t="s">
        <v>1669</v>
      </c>
      <c r="H402" s="8"/>
      <c r="I402" s="94">
        <v>14</v>
      </c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s="10" customFormat="1" hidden="1" x14ac:dyDescent="0.25">
      <c r="A403" s="35" t="s">
        <v>1656</v>
      </c>
      <c r="B403" s="12" t="s">
        <v>1657</v>
      </c>
      <c r="C403" s="13">
        <v>26</v>
      </c>
      <c r="D403" s="12" t="s">
        <v>1710</v>
      </c>
      <c r="E403" s="28" t="s">
        <v>1658</v>
      </c>
      <c r="F403" s="12" t="s">
        <v>1711</v>
      </c>
      <c r="G403" s="15" t="s">
        <v>1626</v>
      </c>
      <c r="H403" s="8"/>
      <c r="I403" s="94">
        <v>14</v>
      </c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s="10" customFormat="1" hidden="1" x14ac:dyDescent="0.25">
      <c r="A404" s="35" t="s">
        <v>1656</v>
      </c>
      <c r="B404" s="12" t="s">
        <v>1657</v>
      </c>
      <c r="C404" s="13">
        <v>24</v>
      </c>
      <c r="D404" s="12" t="s">
        <v>1706</v>
      </c>
      <c r="E404" s="28" t="s">
        <v>1658</v>
      </c>
      <c r="F404" s="12" t="s">
        <v>1707</v>
      </c>
      <c r="G404" s="15" t="s">
        <v>271</v>
      </c>
      <c r="H404" s="8"/>
      <c r="I404" s="94">
        <v>14</v>
      </c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s="10" customFormat="1" hidden="1" x14ac:dyDescent="0.2">
      <c r="A405" s="35" t="s">
        <v>3034</v>
      </c>
      <c r="B405" s="12" t="s">
        <v>3035</v>
      </c>
      <c r="C405" s="13">
        <f>+C404+1</f>
        <v>25</v>
      </c>
      <c r="D405" s="8" t="s">
        <v>3060</v>
      </c>
      <c r="E405" s="28" t="s">
        <v>3036</v>
      </c>
      <c r="F405" s="8" t="s">
        <v>3061</v>
      </c>
      <c r="G405" s="66" t="s">
        <v>13</v>
      </c>
      <c r="H405" s="8"/>
      <c r="I405" s="90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s="10" customFormat="1" hidden="1" x14ac:dyDescent="0.2">
      <c r="A406" s="35" t="s">
        <v>3034</v>
      </c>
      <c r="B406" s="12" t="s">
        <v>3035</v>
      </c>
      <c r="C406" s="13">
        <f>+C405+1</f>
        <v>26</v>
      </c>
      <c r="D406" s="8" t="s">
        <v>3048</v>
      </c>
      <c r="E406" s="28" t="s">
        <v>3036</v>
      </c>
      <c r="F406" s="8" t="s">
        <v>3049</v>
      </c>
      <c r="G406" s="66" t="s">
        <v>13</v>
      </c>
      <c r="H406" s="8"/>
      <c r="I406" s="90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s="10" customFormat="1" hidden="1" x14ac:dyDescent="0.2">
      <c r="A407" s="179" t="s">
        <v>4771</v>
      </c>
      <c r="B407" s="12" t="s">
        <v>4772</v>
      </c>
      <c r="C407" s="13">
        <v>14</v>
      </c>
      <c r="D407" s="12" t="s">
        <v>4794</v>
      </c>
      <c r="E407" s="28" t="s">
        <v>4773</v>
      </c>
      <c r="F407" s="12" t="s">
        <v>4795</v>
      </c>
      <c r="G407" s="66" t="s">
        <v>13</v>
      </c>
      <c r="H407" s="8"/>
      <c r="I407" s="90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s="10" customFormat="1" hidden="1" x14ac:dyDescent="0.2">
      <c r="A408" s="179" t="s">
        <v>4771</v>
      </c>
      <c r="B408" s="12" t="s">
        <v>4772</v>
      </c>
      <c r="C408" s="13">
        <v>13</v>
      </c>
      <c r="D408" s="12" t="s">
        <v>4792</v>
      </c>
      <c r="E408" s="28" t="s">
        <v>4773</v>
      </c>
      <c r="F408" s="12" t="s">
        <v>4793</v>
      </c>
      <c r="G408" s="66" t="s">
        <v>13</v>
      </c>
      <c r="H408" s="8"/>
      <c r="I408" s="90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s="10" customFormat="1" hidden="1" x14ac:dyDescent="0.2">
      <c r="A409" s="35" t="s">
        <v>319</v>
      </c>
      <c r="B409" s="12" t="s">
        <v>320</v>
      </c>
      <c r="C409" s="13">
        <v>11</v>
      </c>
      <c r="D409" s="14" t="s">
        <v>340</v>
      </c>
      <c r="E409" s="28" t="s">
        <v>321</v>
      </c>
      <c r="F409" s="12" t="s">
        <v>341</v>
      </c>
      <c r="G409" s="15" t="s">
        <v>13</v>
      </c>
      <c r="H409" s="8"/>
      <c r="I409" s="90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s="10" customFormat="1" hidden="1" x14ac:dyDescent="0.25">
      <c r="A410" s="35" t="s">
        <v>1260</v>
      </c>
      <c r="B410" s="12" t="s">
        <v>1261</v>
      </c>
      <c r="C410" s="13">
        <v>12</v>
      </c>
      <c r="D410" s="12" t="s">
        <v>1281</v>
      </c>
      <c r="E410" s="28" t="s">
        <v>1262</v>
      </c>
      <c r="F410" s="12" t="s">
        <v>1282</v>
      </c>
      <c r="G410" s="15" t="s">
        <v>13</v>
      </c>
      <c r="H410" s="8"/>
      <c r="I410" s="90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s="10" customFormat="1" hidden="1" x14ac:dyDescent="0.25">
      <c r="A411" s="35" t="s">
        <v>1656</v>
      </c>
      <c r="B411" s="12" t="s">
        <v>1657</v>
      </c>
      <c r="C411" s="13">
        <v>43</v>
      </c>
      <c r="D411" s="12" t="s">
        <v>1744</v>
      </c>
      <c r="E411" s="28" t="s">
        <v>1658</v>
      </c>
      <c r="F411" s="12" t="s">
        <v>1745</v>
      </c>
      <c r="G411" s="15" t="s">
        <v>1012</v>
      </c>
      <c r="H411" s="8"/>
      <c r="I411" s="9">
        <v>15</v>
      </c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s="10" customFormat="1" hidden="1" x14ac:dyDescent="0.25">
      <c r="A412" s="35" t="s">
        <v>1656</v>
      </c>
      <c r="B412" s="12" t="s">
        <v>1657</v>
      </c>
      <c r="C412" s="13">
        <v>47</v>
      </c>
      <c r="D412" s="12" t="s">
        <v>1752</v>
      </c>
      <c r="E412" s="28" t="s">
        <v>1658</v>
      </c>
      <c r="F412" s="12" t="s">
        <v>1753</v>
      </c>
      <c r="G412" s="15" t="s">
        <v>1626</v>
      </c>
      <c r="H412" s="8"/>
      <c r="I412" s="9">
        <v>15</v>
      </c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s="10" customFormat="1" hidden="1" x14ac:dyDescent="0.25">
      <c r="A413" s="35" t="s">
        <v>1656</v>
      </c>
      <c r="B413" s="12" t="s">
        <v>1657</v>
      </c>
      <c r="C413" s="13">
        <v>44</v>
      </c>
      <c r="D413" s="12" t="s">
        <v>1746</v>
      </c>
      <c r="E413" s="28" t="s">
        <v>1658</v>
      </c>
      <c r="F413" s="12" t="s">
        <v>1747</v>
      </c>
      <c r="G413" s="15" t="s">
        <v>1012</v>
      </c>
      <c r="H413" s="8"/>
      <c r="I413" s="9">
        <v>15</v>
      </c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s="10" customFormat="1" hidden="1" x14ac:dyDescent="0.25">
      <c r="A414" s="35" t="s">
        <v>1656</v>
      </c>
      <c r="B414" s="12" t="s">
        <v>1657</v>
      </c>
      <c r="C414" s="13">
        <v>48</v>
      </c>
      <c r="D414" s="12" t="s">
        <v>1754</v>
      </c>
      <c r="E414" s="28" t="s">
        <v>1658</v>
      </c>
      <c r="F414" s="12" t="s">
        <v>1755</v>
      </c>
      <c r="G414" s="15" t="s">
        <v>1626</v>
      </c>
      <c r="H414" s="8"/>
      <c r="I414" s="9">
        <v>15</v>
      </c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s="10" customFormat="1" hidden="1" x14ac:dyDescent="0.25">
      <c r="A415" s="35" t="s">
        <v>1656</v>
      </c>
      <c r="B415" s="12" t="s">
        <v>1657</v>
      </c>
      <c r="C415" s="13">
        <v>46</v>
      </c>
      <c r="D415" s="12" t="s">
        <v>1750</v>
      </c>
      <c r="E415" s="28" t="s">
        <v>1658</v>
      </c>
      <c r="F415" s="12" t="s">
        <v>1751</v>
      </c>
      <c r="G415" s="15" t="s">
        <v>1012</v>
      </c>
      <c r="H415" s="8"/>
      <c r="I415" s="9">
        <v>15</v>
      </c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s="10" customFormat="1" ht="12.75" hidden="1" thickBot="1" x14ac:dyDescent="0.3">
      <c r="A416" s="36" t="s">
        <v>1656</v>
      </c>
      <c r="B416" s="30" t="s">
        <v>1657</v>
      </c>
      <c r="C416" s="31">
        <v>50</v>
      </c>
      <c r="D416" s="30" t="s">
        <v>1758</v>
      </c>
      <c r="E416" s="32" t="s">
        <v>1658</v>
      </c>
      <c r="F416" s="30" t="s">
        <v>1759</v>
      </c>
      <c r="G416" s="33" t="s">
        <v>1626</v>
      </c>
      <c r="H416" s="8"/>
      <c r="I416" s="9">
        <v>15</v>
      </c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s="40" customFormat="1" hidden="1" x14ac:dyDescent="0.25">
      <c r="A417" s="35" t="s">
        <v>1656</v>
      </c>
      <c r="B417" s="12" t="s">
        <v>1657</v>
      </c>
      <c r="C417" s="13">
        <v>45</v>
      </c>
      <c r="D417" s="12" t="s">
        <v>1748</v>
      </c>
      <c r="E417" s="28" t="s">
        <v>1658</v>
      </c>
      <c r="F417" s="12" t="s">
        <v>1749</v>
      </c>
      <c r="G417" s="15" t="s">
        <v>1012</v>
      </c>
      <c r="H417" s="8"/>
      <c r="I417" s="9">
        <v>15</v>
      </c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s="40" customFormat="1" hidden="1" x14ac:dyDescent="0.25">
      <c r="A418" s="35" t="s">
        <v>1656</v>
      </c>
      <c r="B418" s="12" t="s">
        <v>1657</v>
      </c>
      <c r="C418" s="13">
        <v>49</v>
      </c>
      <c r="D418" s="12" t="s">
        <v>1756</v>
      </c>
      <c r="E418" s="28" t="s">
        <v>1658</v>
      </c>
      <c r="F418" s="12" t="s">
        <v>1757</v>
      </c>
      <c r="G418" s="15" t="s">
        <v>1626</v>
      </c>
      <c r="H418" s="8"/>
      <c r="I418" s="9">
        <v>15</v>
      </c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s="40" customFormat="1" hidden="1" x14ac:dyDescent="0.25">
      <c r="A419" s="35" t="s">
        <v>6688</v>
      </c>
      <c r="B419" s="12" t="s">
        <v>6689</v>
      </c>
      <c r="C419" s="13">
        <v>37</v>
      </c>
      <c r="D419" s="12" t="s">
        <v>6757</v>
      </c>
      <c r="E419" s="28" t="s">
        <v>6690</v>
      </c>
      <c r="F419" s="12" t="s">
        <v>6758</v>
      </c>
      <c r="G419" s="15" t="s">
        <v>13</v>
      </c>
      <c r="H419" s="8"/>
      <c r="I419" s="99">
        <v>13</v>
      </c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s="40" customFormat="1" hidden="1" x14ac:dyDescent="0.2">
      <c r="A420" s="35" t="s">
        <v>757</v>
      </c>
      <c r="B420" s="12" t="s">
        <v>758</v>
      </c>
      <c r="C420" s="13">
        <v>13</v>
      </c>
      <c r="D420" s="14" t="s">
        <v>783</v>
      </c>
      <c r="E420" s="28" t="s">
        <v>759</v>
      </c>
      <c r="F420" s="12" t="s">
        <v>784</v>
      </c>
      <c r="G420" s="15" t="s">
        <v>13</v>
      </c>
      <c r="H420" s="8"/>
      <c r="I420" s="9">
        <v>15</v>
      </c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s="40" customFormat="1" hidden="1" x14ac:dyDescent="0.25">
      <c r="A421" s="95" t="s">
        <v>6189</v>
      </c>
      <c r="B421" s="82" t="s">
        <v>6190</v>
      </c>
      <c r="C421" s="83">
        <f>C420+1</f>
        <v>14</v>
      </c>
      <c r="D421" s="82" t="s">
        <v>6212</v>
      </c>
      <c r="E421" s="86" t="s">
        <v>6191</v>
      </c>
      <c r="F421" s="82" t="s">
        <v>6213</v>
      </c>
      <c r="G421" s="84" t="s">
        <v>13</v>
      </c>
      <c r="H421" s="8"/>
      <c r="I421" s="101" t="s">
        <v>54</v>
      </c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s="40" customFormat="1" hidden="1" x14ac:dyDescent="0.25">
      <c r="A422" s="95" t="s">
        <v>6371</v>
      </c>
      <c r="B422" s="82" t="s">
        <v>6372</v>
      </c>
      <c r="C422" s="83">
        <v>11</v>
      </c>
      <c r="D422" s="82" t="s">
        <v>6212</v>
      </c>
      <c r="E422" s="86" t="s">
        <v>6373</v>
      </c>
      <c r="F422" s="82" t="s">
        <v>6385</v>
      </c>
      <c r="G422" s="84" t="s">
        <v>483</v>
      </c>
      <c r="H422" s="8"/>
      <c r="I422" s="101" t="s">
        <v>2778</v>
      </c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s="40" customFormat="1" hidden="1" x14ac:dyDescent="0.2">
      <c r="A423" s="35" t="s">
        <v>6614</v>
      </c>
      <c r="B423" s="12" t="s">
        <v>6615</v>
      </c>
      <c r="C423" s="13">
        <v>12</v>
      </c>
      <c r="D423" s="14" t="s">
        <v>6212</v>
      </c>
      <c r="E423" s="28" t="s">
        <v>6616</v>
      </c>
      <c r="F423" s="12" t="s">
        <v>6628</v>
      </c>
      <c r="G423" s="15" t="s">
        <v>13</v>
      </c>
      <c r="H423" s="8"/>
      <c r="I423" s="90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s="10" customFormat="1" hidden="1" x14ac:dyDescent="0.25">
      <c r="A424" s="35" t="s">
        <v>6415</v>
      </c>
      <c r="B424" s="12" t="s">
        <v>6416</v>
      </c>
      <c r="C424" s="13">
        <v>4</v>
      </c>
      <c r="D424" s="12" t="s">
        <v>6422</v>
      </c>
      <c r="E424" s="28" t="s">
        <v>6417</v>
      </c>
      <c r="F424" s="12" t="s">
        <v>6423</v>
      </c>
      <c r="G424" s="15" t="s">
        <v>829</v>
      </c>
      <c r="H424" s="8"/>
      <c r="I424" s="101" t="s">
        <v>5818</v>
      </c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s="10" customFormat="1" hidden="1" x14ac:dyDescent="0.2">
      <c r="A425" s="178" t="s">
        <v>6189</v>
      </c>
      <c r="B425" s="172" t="s">
        <v>6190</v>
      </c>
      <c r="C425" s="171">
        <f>C424+1</f>
        <v>5</v>
      </c>
      <c r="D425" s="172" t="s">
        <v>6207</v>
      </c>
      <c r="E425" s="234" t="s">
        <v>6191</v>
      </c>
      <c r="F425" s="172" t="s">
        <v>6208</v>
      </c>
      <c r="G425" s="173" t="s">
        <v>13</v>
      </c>
      <c r="H425" s="8"/>
      <c r="I425" s="99" t="s">
        <v>1183</v>
      </c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s="10" customFormat="1" hidden="1" x14ac:dyDescent="0.2">
      <c r="A426" s="178" t="s">
        <v>6189</v>
      </c>
      <c r="B426" s="172" t="s">
        <v>6190</v>
      </c>
      <c r="C426" s="171">
        <f>C425+1</f>
        <v>6</v>
      </c>
      <c r="D426" s="172" t="s">
        <v>6205</v>
      </c>
      <c r="E426" s="234" t="s">
        <v>6191</v>
      </c>
      <c r="F426" s="172" t="s">
        <v>6206</v>
      </c>
      <c r="G426" s="173" t="s">
        <v>13</v>
      </c>
      <c r="H426" s="8"/>
      <c r="I426" s="99" t="s">
        <v>1183</v>
      </c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s="10" customFormat="1" hidden="1" x14ac:dyDescent="0.2">
      <c r="A427" s="178" t="s">
        <v>6189</v>
      </c>
      <c r="B427" s="172" t="s">
        <v>6190</v>
      </c>
      <c r="C427" s="171">
        <f>C426+1</f>
        <v>7</v>
      </c>
      <c r="D427" s="172" t="s">
        <v>6203</v>
      </c>
      <c r="E427" s="234" t="s">
        <v>6191</v>
      </c>
      <c r="F427" s="172" t="s">
        <v>6204</v>
      </c>
      <c r="G427" s="173" t="s">
        <v>13</v>
      </c>
      <c r="H427" s="8"/>
      <c r="I427" s="99" t="s">
        <v>1183</v>
      </c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s="10" customFormat="1" hidden="1" x14ac:dyDescent="0.25">
      <c r="A428" s="35" t="s">
        <v>6371</v>
      </c>
      <c r="B428" s="12" t="s">
        <v>6372</v>
      </c>
      <c r="C428" s="13">
        <f>C425+1</f>
        <v>6</v>
      </c>
      <c r="D428" s="12" t="s">
        <v>6404</v>
      </c>
      <c r="E428" s="28" t="s">
        <v>6373</v>
      </c>
      <c r="F428" s="12" t="s">
        <v>6405</v>
      </c>
      <c r="G428" s="15" t="s">
        <v>483</v>
      </c>
      <c r="H428" s="8"/>
      <c r="I428" s="99">
        <v>13</v>
      </c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s="10" customFormat="1" hidden="1" x14ac:dyDescent="0.25">
      <c r="A429" s="35" t="s">
        <v>6189</v>
      </c>
      <c r="B429" s="12" t="s">
        <v>6247</v>
      </c>
      <c r="C429" s="13">
        <v>11</v>
      </c>
      <c r="D429" s="12" t="s">
        <v>6248</v>
      </c>
      <c r="E429" s="28" t="s">
        <v>6191</v>
      </c>
      <c r="F429" s="12" t="s">
        <v>6249</v>
      </c>
      <c r="G429" s="15" t="s">
        <v>483</v>
      </c>
      <c r="H429" s="8"/>
      <c r="I429" s="99">
        <v>13</v>
      </c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s="10" customFormat="1" ht="12.75" hidden="1" thickBot="1" x14ac:dyDescent="0.3">
      <c r="A430" s="147" t="s">
        <v>5060</v>
      </c>
      <c r="B430" s="30" t="s">
        <v>5061</v>
      </c>
      <c r="C430" s="31">
        <v>39</v>
      </c>
      <c r="D430" s="30" t="s">
        <v>5133</v>
      </c>
      <c r="E430" s="32" t="s">
        <v>5062</v>
      </c>
      <c r="F430" s="30" t="s">
        <v>5134</v>
      </c>
      <c r="G430" s="152" t="s">
        <v>13</v>
      </c>
      <c r="H430" s="8"/>
      <c r="I430" s="90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s="40" customFormat="1" hidden="1" x14ac:dyDescent="0.25">
      <c r="A431" s="179" t="s">
        <v>5060</v>
      </c>
      <c r="B431" s="12" t="s">
        <v>5061</v>
      </c>
      <c r="C431" s="13">
        <v>38</v>
      </c>
      <c r="D431" s="12" t="s">
        <v>5131</v>
      </c>
      <c r="E431" s="28" t="s">
        <v>5062</v>
      </c>
      <c r="F431" s="12" t="s">
        <v>5132</v>
      </c>
      <c r="G431" s="80" t="s">
        <v>13</v>
      </c>
      <c r="H431" s="8"/>
      <c r="I431" s="90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s="40" customFormat="1" hidden="1" x14ac:dyDescent="0.2">
      <c r="A432" s="35" t="s">
        <v>93</v>
      </c>
      <c r="B432" s="12" t="s">
        <v>94</v>
      </c>
      <c r="C432" s="13">
        <v>15</v>
      </c>
      <c r="D432" s="14" t="s">
        <v>122</v>
      </c>
      <c r="E432" s="28" t="s">
        <v>96</v>
      </c>
      <c r="F432" s="12" t="s">
        <v>123</v>
      </c>
      <c r="G432" s="15" t="s">
        <v>13</v>
      </c>
      <c r="H432" s="8"/>
      <c r="I432" s="90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s="40" customFormat="1" hidden="1" x14ac:dyDescent="0.25">
      <c r="A433" s="35" t="s">
        <v>6189</v>
      </c>
      <c r="B433" s="12" t="s">
        <v>6190</v>
      </c>
      <c r="C433" s="13">
        <v>9</v>
      </c>
      <c r="D433" s="12" t="s">
        <v>122</v>
      </c>
      <c r="E433" s="28" t="s">
        <v>6191</v>
      </c>
      <c r="F433" s="12" t="s">
        <v>6211</v>
      </c>
      <c r="G433" s="15" t="s">
        <v>13</v>
      </c>
      <c r="H433" s="8"/>
      <c r="I433" s="90">
        <v>12</v>
      </c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s="40" customFormat="1" hidden="1" x14ac:dyDescent="0.25">
      <c r="A434" s="35" t="s">
        <v>6371</v>
      </c>
      <c r="B434" s="12" t="s">
        <v>6372</v>
      </c>
      <c r="C434" s="13">
        <f>C433+1</f>
        <v>10</v>
      </c>
      <c r="D434" s="12" t="s">
        <v>122</v>
      </c>
      <c r="E434" s="28" t="s">
        <v>6373</v>
      </c>
      <c r="F434" s="12" t="s">
        <v>6384</v>
      </c>
      <c r="G434" s="15" t="s">
        <v>483</v>
      </c>
      <c r="H434" s="8"/>
      <c r="I434" s="99">
        <v>13</v>
      </c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s="10" customFormat="1" ht="12.75" hidden="1" thickBot="1" x14ac:dyDescent="0.25">
      <c r="A435" s="36" t="s">
        <v>6614</v>
      </c>
      <c r="B435" s="30" t="s">
        <v>6615</v>
      </c>
      <c r="C435" s="31">
        <v>11</v>
      </c>
      <c r="D435" s="69" t="s">
        <v>122</v>
      </c>
      <c r="E435" s="32" t="s">
        <v>6616</v>
      </c>
      <c r="F435" s="30" t="s">
        <v>6627</v>
      </c>
      <c r="G435" s="33" t="s">
        <v>13</v>
      </c>
      <c r="H435" s="8"/>
      <c r="I435" s="90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s="40" customFormat="1" hidden="1" x14ac:dyDescent="0.25">
      <c r="A436" s="179" t="s">
        <v>5060</v>
      </c>
      <c r="B436" s="12" t="s">
        <v>5061</v>
      </c>
      <c r="C436" s="13">
        <v>37</v>
      </c>
      <c r="D436" s="12" t="s">
        <v>5129</v>
      </c>
      <c r="E436" s="28" t="s">
        <v>5062</v>
      </c>
      <c r="F436" s="12" t="s">
        <v>5130</v>
      </c>
      <c r="G436" s="80" t="s">
        <v>13</v>
      </c>
      <c r="H436" s="8"/>
      <c r="I436" s="90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s="40" customFormat="1" hidden="1" x14ac:dyDescent="0.25">
      <c r="A437" s="179" t="s">
        <v>5060</v>
      </c>
      <c r="B437" s="12" t="s">
        <v>5061</v>
      </c>
      <c r="C437" s="13">
        <v>36</v>
      </c>
      <c r="D437" s="12" t="s">
        <v>5127</v>
      </c>
      <c r="E437" s="28" t="s">
        <v>5062</v>
      </c>
      <c r="F437" s="12" t="s">
        <v>5128</v>
      </c>
      <c r="G437" s="80" t="s">
        <v>13</v>
      </c>
      <c r="H437" s="8"/>
      <c r="I437" s="90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s="40" customFormat="1" hidden="1" x14ac:dyDescent="0.2">
      <c r="A438" s="35" t="s">
        <v>93</v>
      </c>
      <c r="B438" s="12" t="s">
        <v>94</v>
      </c>
      <c r="C438" s="13">
        <v>14</v>
      </c>
      <c r="D438" s="14" t="s">
        <v>120</v>
      </c>
      <c r="E438" s="28" t="s">
        <v>96</v>
      </c>
      <c r="F438" s="12" t="s">
        <v>121</v>
      </c>
      <c r="G438" s="15" t="s">
        <v>13</v>
      </c>
      <c r="H438" s="8"/>
      <c r="I438" s="90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s="40" customFormat="1" hidden="1" x14ac:dyDescent="0.25">
      <c r="A439" s="35" t="s">
        <v>6189</v>
      </c>
      <c r="B439" s="12" t="s">
        <v>6190</v>
      </c>
      <c r="C439" s="13">
        <v>8</v>
      </c>
      <c r="D439" s="12" t="s">
        <v>120</v>
      </c>
      <c r="E439" s="28" t="s">
        <v>6191</v>
      </c>
      <c r="F439" s="12" t="s">
        <v>6210</v>
      </c>
      <c r="G439" s="15" t="s">
        <v>13</v>
      </c>
      <c r="H439" s="8"/>
      <c r="I439" s="90">
        <v>12</v>
      </c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s="10" customFormat="1" ht="12.75" hidden="1" thickBot="1" x14ac:dyDescent="0.3">
      <c r="A440" s="36" t="s">
        <v>6371</v>
      </c>
      <c r="B440" s="30" t="s">
        <v>6372</v>
      </c>
      <c r="C440" s="31">
        <f>C439+1</f>
        <v>9</v>
      </c>
      <c r="D440" s="30" t="s">
        <v>120</v>
      </c>
      <c r="E440" s="32" t="s">
        <v>6373</v>
      </c>
      <c r="F440" s="30" t="s">
        <v>6383</v>
      </c>
      <c r="G440" s="33" t="s">
        <v>483</v>
      </c>
      <c r="H440" s="8"/>
      <c r="I440" s="99">
        <v>13</v>
      </c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s="40" customFormat="1" hidden="1" x14ac:dyDescent="0.2">
      <c r="A441" s="35" t="s">
        <v>6614</v>
      </c>
      <c r="B441" s="12" t="s">
        <v>6615</v>
      </c>
      <c r="C441" s="13">
        <v>10</v>
      </c>
      <c r="D441" s="14" t="s">
        <v>120</v>
      </c>
      <c r="E441" s="28" t="s">
        <v>6616</v>
      </c>
      <c r="F441" s="12" t="s">
        <v>6626</v>
      </c>
      <c r="G441" s="15" t="s">
        <v>13</v>
      </c>
      <c r="H441" s="8"/>
      <c r="I441" s="90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s="40" customFormat="1" hidden="1" x14ac:dyDescent="0.25">
      <c r="A442" s="35" t="s">
        <v>6543</v>
      </c>
      <c r="B442" s="12" t="s">
        <v>6544</v>
      </c>
      <c r="C442" s="13">
        <f>C441+1</f>
        <v>11</v>
      </c>
      <c r="D442" s="12" t="s">
        <v>6553</v>
      </c>
      <c r="E442" s="28" t="s">
        <v>6545</v>
      </c>
      <c r="F442" s="12" t="s">
        <v>6554</v>
      </c>
      <c r="G442" s="15" t="s">
        <v>13</v>
      </c>
      <c r="H442" s="8"/>
      <c r="I442" s="90">
        <v>12</v>
      </c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s="40" customFormat="1" hidden="1" x14ac:dyDescent="0.25">
      <c r="A443" s="35" t="s">
        <v>6559</v>
      </c>
      <c r="B443" s="12" t="s">
        <v>6560</v>
      </c>
      <c r="C443" s="13">
        <f>C442+1</f>
        <v>12</v>
      </c>
      <c r="D443" s="12" t="s">
        <v>6553</v>
      </c>
      <c r="E443" s="28" t="s">
        <v>6561</v>
      </c>
      <c r="F443" s="12" t="s">
        <v>6568</v>
      </c>
      <c r="G443" s="15" t="s">
        <v>13</v>
      </c>
      <c r="H443" s="8"/>
      <c r="I443" s="90">
        <v>12</v>
      </c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s="40" customFormat="1" hidden="1" x14ac:dyDescent="0.25">
      <c r="A444" s="35" t="s">
        <v>6688</v>
      </c>
      <c r="B444" s="12" t="s">
        <v>6689</v>
      </c>
      <c r="C444" s="13">
        <v>12</v>
      </c>
      <c r="D444" s="12" t="s">
        <v>6709</v>
      </c>
      <c r="E444" s="28" t="s">
        <v>6690</v>
      </c>
      <c r="F444" s="12" t="s">
        <v>6710</v>
      </c>
      <c r="G444" s="15" t="s">
        <v>13</v>
      </c>
      <c r="H444" s="8"/>
      <c r="I444" s="90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s="40" customFormat="1" hidden="1" x14ac:dyDescent="0.2">
      <c r="A445" s="35" t="s">
        <v>570</v>
      </c>
      <c r="B445" s="12" t="s">
        <v>571</v>
      </c>
      <c r="C445" s="13">
        <v>7</v>
      </c>
      <c r="D445" s="12" t="s">
        <v>583</v>
      </c>
      <c r="E445" s="105" t="s">
        <v>573</v>
      </c>
      <c r="F445" s="12" t="s">
        <v>584</v>
      </c>
      <c r="G445" s="15" t="s">
        <v>13</v>
      </c>
      <c r="H445" s="8"/>
      <c r="I445" s="90">
        <v>12</v>
      </c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s="40" customFormat="1" hidden="1" x14ac:dyDescent="0.25">
      <c r="A446" s="35" t="s">
        <v>5686</v>
      </c>
      <c r="B446" s="12" t="s">
        <v>5687</v>
      </c>
      <c r="C446" s="13">
        <f>C445+1</f>
        <v>8</v>
      </c>
      <c r="D446" s="12" t="s">
        <v>583</v>
      </c>
      <c r="E446" s="28" t="s">
        <v>5688</v>
      </c>
      <c r="F446" s="12" t="s">
        <v>5820</v>
      </c>
      <c r="G446" s="15" t="s">
        <v>676</v>
      </c>
      <c r="H446" s="8"/>
      <c r="I446" s="101" t="s">
        <v>5818</v>
      </c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s="10" customFormat="1" hidden="1" x14ac:dyDescent="0.2">
      <c r="A447" s="35" t="s">
        <v>570</v>
      </c>
      <c r="B447" s="12" t="s">
        <v>571</v>
      </c>
      <c r="C447" s="13">
        <v>6</v>
      </c>
      <c r="D447" s="12" t="s">
        <v>581</v>
      </c>
      <c r="E447" s="105" t="s">
        <v>573</v>
      </c>
      <c r="F447" s="12" t="s">
        <v>582</v>
      </c>
      <c r="G447" s="15" t="s">
        <v>13</v>
      </c>
      <c r="H447" s="8"/>
      <c r="I447" s="90">
        <v>12</v>
      </c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s="10" customFormat="1" hidden="1" x14ac:dyDescent="0.25">
      <c r="A448" s="35" t="s">
        <v>5686</v>
      </c>
      <c r="B448" s="12" t="s">
        <v>5687</v>
      </c>
      <c r="C448" s="13">
        <f>C447+1</f>
        <v>7</v>
      </c>
      <c r="D448" s="12" t="s">
        <v>581</v>
      </c>
      <c r="E448" s="28" t="s">
        <v>5688</v>
      </c>
      <c r="F448" s="12" t="s">
        <v>5819</v>
      </c>
      <c r="G448" s="15" t="s">
        <v>676</v>
      </c>
      <c r="H448" s="8"/>
      <c r="I448" s="101" t="s">
        <v>5818</v>
      </c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s="10" customFormat="1" hidden="1" x14ac:dyDescent="0.2">
      <c r="A449" s="35" t="s">
        <v>93</v>
      </c>
      <c r="B449" s="12" t="s">
        <v>94</v>
      </c>
      <c r="C449" s="13">
        <v>13</v>
      </c>
      <c r="D449" s="14" t="s">
        <v>118</v>
      </c>
      <c r="E449" s="28" t="s">
        <v>96</v>
      </c>
      <c r="F449" s="12" t="s">
        <v>119</v>
      </c>
      <c r="G449" s="15" t="s">
        <v>13</v>
      </c>
      <c r="H449" s="8"/>
      <c r="I449" s="90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s="10" customFormat="1" hidden="1" x14ac:dyDescent="0.25">
      <c r="A450" s="35" t="s">
        <v>6189</v>
      </c>
      <c r="B450" s="12" t="s">
        <v>6190</v>
      </c>
      <c r="C450" s="13">
        <v>7</v>
      </c>
      <c r="D450" s="12" t="s">
        <v>118</v>
      </c>
      <c r="E450" s="28" t="s">
        <v>6191</v>
      </c>
      <c r="F450" s="12" t="s">
        <v>6209</v>
      </c>
      <c r="G450" s="15" t="s">
        <v>13</v>
      </c>
      <c r="H450" s="8"/>
      <c r="I450" s="90">
        <v>12</v>
      </c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s="10" customFormat="1" hidden="1" x14ac:dyDescent="0.25">
      <c r="A451" s="35" t="s">
        <v>6371</v>
      </c>
      <c r="B451" s="12" t="s">
        <v>6372</v>
      </c>
      <c r="C451" s="13">
        <f>C449+1</f>
        <v>14</v>
      </c>
      <c r="D451" s="12" t="s">
        <v>118</v>
      </c>
      <c r="E451" s="28" t="s">
        <v>6373</v>
      </c>
      <c r="F451" s="12" t="s">
        <v>6382</v>
      </c>
      <c r="G451" s="15" t="s">
        <v>483</v>
      </c>
      <c r="H451" s="8"/>
      <c r="I451" s="99">
        <v>13</v>
      </c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s="10" customFormat="1" hidden="1" x14ac:dyDescent="0.2">
      <c r="A452" s="35" t="s">
        <v>6614</v>
      </c>
      <c r="B452" s="12" t="s">
        <v>6615</v>
      </c>
      <c r="C452" s="13">
        <v>9</v>
      </c>
      <c r="D452" s="14" t="s">
        <v>118</v>
      </c>
      <c r="E452" s="28" t="s">
        <v>6616</v>
      </c>
      <c r="F452" s="12" t="s">
        <v>6625</v>
      </c>
      <c r="G452" s="15" t="s">
        <v>13</v>
      </c>
      <c r="H452" s="8"/>
      <c r="I452" s="90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s="10" customFormat="1" hidden="1" x14ac:dyDescent="0.2">
      <c r="A453" s="35" t="s">
        <v>6584</v>
      </c>
      <c r="B453" s="12" t="s">
        <v>6585</v>
      </c>
      <c r="C453" s="13">
        <v>9</v>
      </c>
      <c r="D453" s="14" t="s">
        <v>6597</v>
      </c>
      <c r="E453" s="28" t="s">
        <v>6586</v>
      </c>
      <c r="F453" s="12" t="s">
        <v>6598</v>
      </c>
      <c r="G453" s="15" t="s">
        <v>13</v>
      </c>
      <c r="H453" s="8"/>
      <c r="I453" s="90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s="10" customFormat="1" ht="12.75" hidden="1" thickBot="1" x14ac:dyDescent="0.25">
      <c r="A454" s="36" t="s">
        <v>6584</v>
      </c>
      <c r="B454" s="30" t="s">
        <v>6585</v>
      </c>
      <c r="C454" s="31">
        <v>8</v>
      </c>
      <c r="D454" s="69" t="s">
        <v>6595</v>
      </c>
      <c r="E454" s="32" t="s">
        <v>6586</v>
      </c>
      <c r="F454" s="30" t="s">
        <v>6596</v>
      </c>
      <c r="G454" s="33" t="s">
        <v>13</v>
      </c>
      <c r="H454" s="8"/>
      <c r="I454" s="90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s="40" customFormat="1" hidden="1" x14ac:dyDescent="0.2">
      <c r="A455" s="35" t="s">
        <v>6601</v>
      </c>
      <c r="B455" s="12" t="s">
        <v>6602</v>
      </c>
      <c r="C455" s="13">
        <v>4</v>
      </c>
      <c r="D455" s="37" t="s">
        <v>6607</v>
      </c>
      <c r="E455" s="28" t="s">
        <v>6603</v>
      </c>
      <c r="F455" s="22" t="s">
        <v>6608</v>
      </c>
      <c r="G455" s="15" t="s">
        <v>13</v>
      </c>
      <c r="H455" s="8"/>
      <c r="I455" s="90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s="40" customFormat="1" hidden="1" x14ac:dyDescent="0.2">
      <c r="A456" s="35" t="s">
        <v>6614</v>
      </c>
      <c r="B456" s="12" t="s">
        <v>6615</v>
      </c>
      <c r="C456" s="13">
        <v>8</v>
      </c>
      <c r="D456" s="14" t="s">
        <v>6607</v>
      </c>
      <c r="E456" s="28" t="s">
        <v>6616</v>
      </c>
      <c r="F456" s="12" t="s">
        <v>6624</v>
      </c>
      <c r="G456" s="15" t="s">
        <v>13</v>
      </c>
      <c r="H456" s="8"/>
      <c r="I456" s="90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s="40" customFormat="1" hidden="1" x14ac:dyDescent="0.2">
      <c r="A457" s="35" t="s">
        <v>93</v>
      </c>
      <c r="B457" s="12" t="s">
        <v>94</v>
      </c>
      <c r="C457" s="13">
        <v>12</v>
      </c>
      <c r="D457" s="14" t="s">
        <v>116</v>
      </c>
      <c r="E457" s="28" t="s">
        <v>96</v>
      </c>
      <c r="F457" s="12" t="s">
        <v>117</v>
      </c>
      <c r="G457" s="15" t="s">
        <v>13</v>
      </c>
      <c r="H457" s="8"/>
      <c r="I457" s="90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s="40" customFormat="1" ht="15" hidden="1" x14ac:dyDescent="0.25">
      <c r="A458" s="35" t="s">
        <v>5523</v>
      </c>
      <c r="B458" s="12" t="s">
        <v>5524</v>
      </c>
      <c r="C458" s="13">
        <v>16</v>
      </c>
      <c r="D458" s="14" t="s">
        <v>5555</v>
      </c>
      <c r="E458" s="28" t="s">
        <v>5526</v>
      </c>
      <c r="F458" s="65" t="s">
        <v>5556</v>
      </c>
      <c r="G458" s="15" t="s">
        <v>1323</v>
      </c>
      <c r="H458" s="8"/>
      <c r="I458" s="9">
        <v>15</v>
      </c>
      <c r="J458" s="52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s="10" customFormat="1" ht="24" hidden="1" x14ac:dyDescent="0.25">
      <c r="A459" s="35" t="s">
        <v>943</v>
      </c>
      <c r="B459" s="12" t="s">
        <v>944</v>
      </c>
      <c r="C459" s="13">
        <v>4</v>
      </c>
      <c r="D459" s="41" t="s">
        <v>949</v>
      </c>
      <c r="E459" s="28" t="s">
        <v>945</v>
      </c>
      <c r="F459" s="12" t="s">
        <v>950</v>
      </c>
      <c r="G459" s="15" t="s">
        <v>832</v>
      </c>
      <c r="H459" s="8"/>
      <c r="I459" s="9">
        <v>15</v>
      </c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s="10" customFormat="1" ht="12.75" hidden="1" thickBot="1" x14ac:dyDescent="0.3">
      <c r="A460" s="36" t="s">
        <v>5686</v>
      </c>
      <c r="B460" s="30" t="s">
        <v>5687</v>
      </c>
      <c r="C460" s="31">
        <f>C459+1</f>
        <v>5</v>
      </c>
      <c r="D460" s="30" t="s">
        <v>5769</v>
      </c>
      <c r="E460" s="32" t="s">
        <v>5688</v>
      </c>
      <c r="F460" s="30" t="s">
        <v>5770</v>
      </c>
      <c r="G460" s="33" t="s">
        <v>32</v>
      </c>
      <c r="H460" s="8"/>
      <c r="I460" s="90">
        <v>12</v>
      </c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s="40" customFormat="1" hidden="1" x14ac:dyDescent="0.2">
      <c r="A461" s="35" t="s">
        <v>1122</v>
      </c>
      <c r="B461" s="12" t="s">
        <v>1123</v>
      </c>
      <c r="C461" s="13">
        <v>2</v>
      </c>
      <c r="D461" s="37" t="s">
        <v>1126</v>
      </c>
      <c r="E461" s="28" t="s">
        <v>1124</v>
      </c>
      <c r="F461" s="22" t="s">
        <v>1127</v>
      </c>
      <c r="G461" s="15" t="s">
        <v>78</v>
      </c>
      <c r="H461" s="8"/>
      <c r="I461" s="90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s="40" customFormat="1" ht="24" hidden="1" x14ac:dyDescent="0.25">
      <c r="A462" s="35" t="s">
        <v>2237</v>
      </c>
      <c r="B462" s="8" t="s">
        <v>2238</v>
      </c>
      <c r="C462" s="13">
        <v>11</v>
      </c>
      <c r="D462" s="12" t="s">
        <v>2257</v>
      </c>
      <c r="E462" s="28" t="s">
        <v>2239</v>
      </c>
      <c r="F462" s="12" t="s">
        <v>2258</v>
      </c>
      <c r="G462" s="15" t="s">
        <v>276</v>
      </c>
      <c r="H462" s="8"/>
      <c r="I462" s="54">
        <v>15</v>
      </c>
      <c r="J462" s="52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s="40" customFormat="1" hidden="1" x14ac:dyDescent="0.2">
      <c r="A463" s="35" t="s">
        <v>6843</v>
      </c>
      <c r="B463" s="12" t="s">
        <v>6844</v>
      </c>
      <c r="C463" s="13">
        <v>9</v>
      </c>
      <c r="D463" s="14" t="s">
        <v>6857</v>
      </c>
      <c r="E463" s="28" t="s">
        <v>6845</v>
      </c>
      <c r="F463" s="12" t="s">
        <v>6858</v>
      </c>
      <c r="G463" s="15" t="s">
        <v>13</v>
      </c>
      <c r="H463" s="8"/>
      <c r="I463" s="90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s="40" customFormat="1" hidden="1" x14ac:dyDescent="0.2">
      <c r="A464" s="35" t="s">
        <v>93</v>
      </c>
      <c r="B464" s="12" t="s">
        <v>94</v>
      </c>
      <c r="C464" s="13">
        <v>60</v>
      </c>
      <c r="D464" s="14" t="s">
        <v>218</v>
      </c>
      <c r="E464" s="28" t="s">
        <v>96</v>
      </c>
      <c r="F464" s="12" t="s">
        <v>219</v>
      </c>
      <c r="G464" s="15" t="s">
        <v>13</v>
      </c>
      <c r="H464" s="8"/>
      <c r="I464" s="90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s="10" customFormat="1" hidden="1" x14ac:dyDescent="0.25">
      <c r="A465" s="35" t="s">
        <v>1794</v>
      </c>
      <c r="B465" s="12" t="s">
        <v>1795</v>
      </c>
      <c r="C465" s="13">
        <v>9</v>
      </c>
      <c r="D465" s="12" t="s">
        <v>1810</v>
      </c>
      <c r="E465" s="28" t="s">
        <v>1796</v>
      </c>
      <c r="F465" s="12" t="s">
        <v>1811</v>
      </c>
      <c r="G465" s="15" t="s">
        <v>13</v>
      </c>
      <c r="H465" s="8"/>
      <c r="I465" s="9">
        <v>15</v>
      </c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s="10" customFormat="1" hidden="1" x14ac:dyDescent="0.25">
      <c r="A466" s="35" t="s">
        <v>1794</v>
      </c>
      <c r="B466" s="12" t="s">
        <v>1795</v>
      </c>
      <c r="C466" s="13">
        <v>8</v>
      </c>
      <c r="D466" s="12" t="s">
        <v>1808</v>
      </c>
      <c r="E466" s="28" t="s">
        <v>1796</v>
      </c>
      <c r="F466" s="12" t="s">
        <v>1809</v>
      </c>
      <c r="G466" s="15" t="s">
        <v>13</v>
      </c>
      <c r="H466" s="8"/>
      <c r="I466" s="9">
        <v>15</v>
      </c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s="10" customFormat="1" hidden="1" x14ac:dyDescent="0.25">
      <c r="A467" s="35" t="s">
        <v>5686</v>
      </c>
      <c r="B467" s="12" t="s">
        <v>5687</v>
      </c>
      <c r="C467" s="13">
        <f>C466+1</f>
        <v>9</v>
      </c>
      <c r="D467" s="12" t="s">
        <v>5723</v>
      </c>
      <c r="E467" s="28" t="s">
        <v>5688</v>
      </c>
      <c r="F467" s="12" t="s">
        <v>5724</v>
      </c>
      <c r="G467" s="80" t="s">
        <v>13</v>
      </c>
      <c r="H467" s="8"/>
      <c r="I467" s="90">
        <v>12</v>
      </c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s="10" customFormat="1" ht="12.75" hidden="1" thickBot="1" x14ac:dyDescent="0.3">
      <c r="A468" s="36" t="s">
        <v>5686</v>
      </c>
      <c r="B468" s="30" t="s">
        <v>5687</v>
      </c>
      <c r="C468" s="31">
        <f>C467+1</f>
        <v>10</v>
      </c>
      <c r="D468" s="30" t="s">
        <v>5721</v>
      </c>
      <c r="E468" s="32" t="s">
        <v>5688</v>
      </c>
      <c r="F468" s="30" t="s">
        <v>5722</v>
      </c>
      <c r="G468" s="152" t="s">
        <v>13</v>
      </c>
      <c r="H468" s="8"/>
      <c r="I468" s="90">
        <v>12</v>
      </c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s="40" customFormat="1" hidden="1" x14ac:dyDescent="0.2">
      <c r="A469" s="35" t="s">
        <v>2631</v>
      </c>
      <c r="B469" s="12" t="s">
        <v>2632</v>
      </c>
      <c r="C469" s="13">
        <v>56</v>
      </c>
      <c r="D469" s="14" t="s">
        <v>2739</v>
      </c>
      <c r="E469" s="28" t="s">
        <v>2634</v>
      </c>
      <c r="F469" s="65" t="s">
        <v>2740</v>
      </c>
      <c r="G469" s="66" t="s">
        <v>13</v>
      </c>
      <c r="H469" s="8"/>
      <c r="I469" s="90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s="40" customFormat="1" hidden="1" x14ac:dyDescent="0.25">
      <c r="A470" s="35" t="s">
        <v>1464</v>
      </c>
      <c r="B470" s="12" t="s">
        <v>1465</v>
      </c>
      <c r="C470" s="13">
        <v>21</v>
      </c>
      <c r="D470" s="12" t="s">
        <v>1502</v>
      </c>
      <c r="E470" s="28" t="s">
        <v>1466</v>
      </c>
      <c r="F470" s="12" t="s">
        <v>1503</v>
      </c>
      <c r="G470" s="15" t="s">
        <v>1504</v>
      </c>
      <c r="H470" s="8"/>
      <c r="I470" s="94">
        <v>14</v>
      </c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s="40" customFormat="1" hidden="1" x14ac:dyDescent="0.2">
      <c r="A471" s="35" t="s">
        <v>585</v>
      </c>
      <c r="B471" s="12" t="s">
        <v>586</v>
      </c>
      <c r="C471" s="13">
        <v>12</v>
      </c>
      <c r="D471" s="14" t="s">
        <v>608</v>
      </c>
      <c r="E471" s="28" t="s">
        <v>587</v>
      </c>
      <c r="F471" s="12" t="s">
        <v>609</v>
      </c>
      <c r="G471" s="15" t="s">
        <v>13</v>
      </c>
      <c r="H471" s="8"/>
      <c r="I471" s="99">
        <v>13</v>
      </c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s="10" customFormat="1" hidden="1" x14ac:dyDescent="0.25">
      <c r="A472" s="35" t="s">
        <v>5686</v>
      </c>
      <c r="B472" s="12" t="s">
        <v>5687</v>
      </c>
      <c r="C472" s="13">
        <f>C471+1</f>
        <v>13</v>
      </c>
      <c r="D472" s="12" t="s">
        <v>5719</v>
      </c>
      <c r="E472" s="28" t="s">
        <v>5688</v>
      </c>
      <c r="F472" s="12" t="s">
        <v>5720</v>
      </c>
      <c r="G472" s="80" t="s">
        <v>13</v>
      </c>
      <c r="H472" s="8"/>
      <c r="I472" s="90">
        <v>12</v>
      </c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s="10" customFormat="1" hidden="1" x14ac:dyDescent="0.25">
      <c r="A473" s="35" t="s">
        <v>1794</v>
      </c>
      <c r="B473" s="12" t="s">
        <v>1795</v>
      </c>
      <c r="C473" s="13">
        <v>11</v>
      </c>
      <c r="D473" s="12" t="s">
        <v>1814</v>
      </c>
      <c r="E473" s="28" t="s">
        <v>1796</v>
      </c>
      <c r="F473" s="12" t="s">
        <v>1815</v>
      </c>
      <c r="G473" s="15" t="s">
        <v>13</v>
      </c>
      <c r="H473" s="8"/>
      <c r="I473" s="9">
        <v>15</v>
      </c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s="10" customFormat="1" hidden="1" x14ac:dyDescent="0.2">
      <c r="A474" s="35" t="s">
        <v>552</v>
      </c>
      <c r="B474" s="12" t="s">
        <v>553</v>
      </c>
      <c r="C474" s="13">
        <v>8</v>
      </c>
      <c r="D474" s="12" t="s">
        <v>567</v>
      </c>
      <c r="E474" s="105" t="s">
        <v>554</v>
      </c>
      <c r="F474" s="12" t="s">
        <v>568</v>
      </c>
      <c r="G474" s="15" t="s">
        <v>569</v>
      </c>
      <c r="H474" s="8"/>
      <c r="I474" s="9">
        <v>15</v>
      </c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s="10" customFormat="1" hidden="1" x14ac:dyDescent="0.2">
      <c r="A475" s="35" t="s">
        <v>585</v>
      </c>
      <c r="B475" s="12" t="s">
        <v>586</v>
      </c>
      <c r="C475" s="13">
        <v>24</v>
      </c>
      <c r="D475" s="14" t="s">
        <v>633</v>
      </c>
      <c r="E475" s="28" t="s">
        <v>587</v>
      </c>
      <c r="F475" s="12" t="s">
        <v>634</v>
      </c>
      <c r="G475" s="15" t="s">
        <v>625</v>
      </c>
      <c r="H475" s="8"/>
      <c r="I475" s="99">
        <v>13</v>
      </c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s="10" customFormat="1" ht="15" hidden="1" x14ac:dyDescent="0.25">
      <c r="A476" s="35" t="s">
        <v>4583</v>
      </c>
      <c r="B476" s="12" t="s">
        <v>4584</v>
      </c>
      <c r="C476" s="13">
        <v>8</v>
      </c>
      <c r="D476" s="12" t="s">
        <v>4595</v>
      </c>
      <c r="E476" s="28" t="s">
        <v>4585</v>
      </c>
      <c r="F476" s="12" t="s">
        <v>4596</v>
      </c>
      <c r="G476" s="66" t="s">
        <v>829</v>
      </c>
      <c r="H476" s="8"/>
      <c r="I476" s="9">
        <v>15</v>
      </c>
      <c r="J476" s="52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s="10" customFormat="1" hidden="1" x14ac:dyDescent="0.2">
      <c r="A477" s="35" t="s">
        <v>4657</v>
      </c>
      <c r="B477" s="12" t="s">
        <v>4658</v>
      </c>
      <c r="C477" s="13">
        <v>3</v>
      </c>
      <c r="D477" s="42" t="s">
        <v>4595</v>
      </c>
      <c r="E477" s="138" t="s">
        <v>4659</v>
      </c>
      <c r="F477" s="75" t="s">
        <v>4663</v>
      </c>
      <c r="G477" s="66" t="s">
        <v>13</v>
      </c>
      <c r="H477" s="8"/>
      <c r="I477" s="90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s="10" customFormat="1" hidden="1" x14ac:dyDescent="0.2">
      <c r="A478" s="35" t="s">
        <v>4680</v>
      </c>
      <c r="B478" s="12" t="s">
        <v>4681</v>
      </c>
      <c r="C478" s="13">
        <v>2</v>
      </c>
      <c r="D478" s="42" t="s">
        <v>4595</v>
      </c>
      <c r="E478" s="138" t="s">
        <v>4682</v>
      </c>
      <c r="F478" s="75" t="s">
        <v>4684</v>
      </c>
      <c r="G478" s="66" t="s">
        <v>13</v>
      </c>
      <c r="H478" s="8"/>
      <c r="I478" s="90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s="10" customFormat="1" hidden="1" x14ac:dyDescent="0.25">
      <c r="A479" s="35" t="s">
        <v>1568</v>
      </c>
      <c r="B479" s="12" t="s">
        <v>1569</v>
      </c>
      <c r="C479" s="13">
        <v>35</v>
      </c>
      <c r="D479" s="12" t="s">
        <v>1645</v>
      </c>
      <c r="E479" s="28" t="s">
        <v>1570</v>
      </c>
      <c r="F479" s="12" t="s">
        <v>1646</v>
      </c>
      <c r="G479" s="15" t="s">
        <v>1599</v>
      </c>
      <c r="H479" s="8"/>
      <c r="I479" s="94">
        <v>14</v>
      </c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s="10" customFormat="1" hidden="1" x14ac:dyDescent="0.25">
      <c r="A480" s="179" t="s">
        <v>4895</v>
      </c>
      <c r="B480" s="12" t="s">
        <v>4896</v>
      </c>
      <c r="C480" s="13">
        <v>15</v>
      </c>
      <c r="D480" s="12" t="s">
        <v>4924</v>
      </c>
      <c r="E480" s="28" t="s">
        <v>4897</v>
      </c>
      <c r="F480" s="8" t="s">
        <v>4925</v>
      </c>
      <c r="G480" s="80" t="s">
        <v>13</v>
      </c>
      <c r="H480" s="8"/>
      <c r="I480" s="90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s="10" customFormat="1" hidden="1" x14ac:dyDescent="0.25">
      <c r="A481" s="179" t="s">
        <v>4895</v>
      </c>
      <c r="B481" s="12" t="s">
        <v>4896</v>
      </c>
      <c r="C481" s="13">
        <v>14</v>
      </c>
      <c r="D481" s="12" t="s">
        <v>4922</v>
      </c>
      <c r="E481" s="28" t="s">
        <v>4897</v>
      </c>
      <c r="F481" s="8" t="s">
        <v>4923</v>
      </c>
      <c r="G481" s="80" t="s">
        <v>13</v>
      </c>
      <c r="H481" s="8"/>
      <c r="I481" s="90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s="10" customFormat="1" hidden="1" x14ac:dyDescent="0.25">
      <c r="A482" s="35" t="s">
        <v>1421</v>
      </c>
      <c r="B482" s="12" t="s">
        <v>1422</v>
      </c>
      <c r="C482" s="13">
        <v>16</v>
      </c>
      <c r="D482" s="12" t="s">
        <v>1445</v>
      </c>
      <c r="E482" s="28" t="s">
        <v>1423</v>
      </c>
      <c r="F482" s="12" t="s">
        <v>1446</v>
      </c>
      <c r="G482" s="15" t="s">
        <v>13</v>
      </c>
      <c r="H482" s="8"/>
      <c r="I482" s="90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s="10" customFormat="1" hidden="1" x14ac:dyDescent="0.25">
      <c r="A483" s="35" t="s">
        <v>5686</v>
      </c>
      <c r="B483" s="12" t="s">
        <v>5687</v>
      </c>
      <c r="C483" s="13">
        <f>C482+1</f>
        <v>17</v>
      </c>
      <c r="D483" s="12" t="s">
        <v>5749</v>
      </c>
      <c r="E483" s="28" t="s">
        <v>5688</v>
      </c>
      <c r="F483" s="12" t="s">
        <v>5750</v>
      </c>
      <c r="G483" s="80" t="s">
        <v>13</v>
      </c>
      <c r="H483" s="8"/>
      <c r="I483" s="90">
        <v>12</v>
      </c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s="10" customFormat="1" hidden="1" x14ac:dyDescent="0.25">
      <c r="A484" s="35" t="s">
        <v>5866</v>
      </c>
      <c r="B484" s="12" t="s">
        <v>5867</v>
      </c>
      <c r="C484" s="13">
        <f>C483+1</f>
        <v>18</v>
      </c>
      <c r="D484" s="12" t="s">
        <v>5749</v>
      </c>
      <c r="E484" s="28" t="s">
        <v>5868</v>
      </c>
      <c r="F484" s="12" t="s">
        <v>5876</v>
      </c>
      <c r="G484" s="80" t="s">
        <v>13</v>
      </c>
      <c r="H484" s="8"/>
      <c r="I484" s="90">
        <v>12</v>
      </c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s="10" customFormat="1" hidden="1" x14ac:dyDescent="0.25">
      <c r="A485" s="35" t="s">
        <v>1568</v>
      </c>
      <c r="B485" s="12" t="s">
        <v>1569</v>
      </c>
      <c r="C485" s="13">
        <v>34</v>
      </c>
      <c r="D485" s="12" t="s">
        <v>1642</v>
      </c>
      <c r="E485" s="28" t="s">
        <v>1570</v>
      </c>
      <c r="F485" s="12" t="s">
        <v>1643</v>
      </c>
      <c r="G485" s="15" t="s">
        <v>1644</v>
      </c>
      <c r="H485" s="8"/>
      <c r="I485" s="94">
        <v>14</v>
      </c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s="10" customFormat="1" hidden="1" x14ac:dyDescent="0.2">
      <c r="A486" s="35" t="s">
        <v>3458</v>
      </c>
      <c r="B486" s="12" t="s">
        <v>3459</v>
      </c>
      <c r="C486" s="13">
        <f>C485+1</f>
        <v>35</v>
      </c>
      <c r="D486" s="12" t="s">
        <v>3608</v>
      </c>
      <c r="E486" s="138" t="s">
        <v>3460</v>
      </c>
      <c r="F486" s="65" t="s">
        <v>3609</v>
      </c>
      <c r="G486" s="66" t="s">
        <v>1239</v>
      </c>
      <c r="H486" s="8"/>
      <c r="I486" s="99" t="s">
        <v>3607</v>
      </c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s="10" customFormat="1" hidden="1" x14ac:dyDescent="0.2">
      <c r="A487" s="35" t="s">
        <v>3633</v>
      </c>
      <c r="B487" s="12" t="s">
        <v>3634</v>
      </c>
      <c r="C487" s="13">
        <v>74</v>
      </c>
      <c r="D487" s="12" t="s">
        <v>3608</v>
      </c>
      <c r="E487" s="138" t="s">
        <v>3635</v>
      </c>
      <c r="F487" s="65" t="s">
        <v>3727</v>
      </c>
      <c r="G487" s="66" t="s">
        <v>1239</v>
      </c>
      <c r="H487" s="8"/>
      <c r="I487" s="99" t="s">
        <v>3607</v>
      </c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s="10" customFormat="1" hidden="1" x14ac:dyDescent="0.25">
      <c r="A488" s="35" t="s">
        <v>4087</v>
      </c>
      <c r="B488" s="12" t="s">
        <v>4088</v>
      </c>
      <c r="C488" s="13">
        <f>C487+1</f>
        <v>75</v>
      </c>
      <c r="D488" s="12" t="s">
        <v>3608</v>
      </c>
      <c r="E488" s="28" t="s">
        <v>4089</v>
      </c>
      <c r="F488" s="12" t="s">
        <v>4199</v>
      </c>
      <c r="G488" s="15" t="s">
        <v>1239</v>
      </c>
      <c r="H488" s="8"/>
      <c r="I488" s="99" t="s">
        <v>3607</v>
      </c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s="10" customFormat="1" hidden="1" x14ac:dyDescent="0.25">
      <c r="A489" s="35" t="s">
        <v>4212</v>
      </c>
      <c r="B489" s="12" t="s">
        <v>4213</v>
      </c>
      <c r="C489" s="13">
        <f>C488+1</f>
        <v>76</v>
      </c>
      <c r="D489" s="12" t="s">
        <v>3608</v>
      </c>
      <c r="E489" s="28" t="s">
        <v>4214</v>
      </c>
      <c r="F489" s="12" t="s">
        <v>4307</v>
      </c>
      <c r="G489" s="15" t="s">
        <v>1239</v>
      </c>
      <c r="H489" s="8"/>
      <c r="I489" s="99" t="s">
        <v>3607</v>
      </c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s="10" customFormat="1" hidden="1" x14ac:dyDescent="0.2">
      <c r="A490" s="35" t="s">
        <v>3458</v>
      </c>
      <c r="B490" s="12" t="s">
        <v>3459</v>
      </c>
      <c r="C490" s="13">
        <f>C489+1</f>
        <v>77</v>
      </c>
      <c r="D490" s="12" t="s">
        <v>3610</v>
      </c>
      <c r="E490" s="138" t="s">
        <v>3460</v>
      </c>
      <c r="F490" s="65" t="s">
        <v>3611</v>
      </c>
      <c r="G490" s="66" t="s">
        <v>1239</v>
      </c>
      <c r="H490" s="8"/>
      <c r="I490" s="99" t="s">
        <v>3607</v>
      </c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s="10" customFormat="1" hidden="1" x14ac:dyDescent="0.2">
      <c r="A491" s="35" t="s">
        <v>3633</v>
      </c>
      <c r="B491" s="12" t="s">
        <v>3634</v>
      </c>
      <c r="C491" s="13">
        <v>75</v>
      </c>
      <c r="D491" s="12" t="s">
        <v>3610</v>
      </c>
      <c r="E491" s="138" t="s">
        <v>3635</v>
      </c>
      <c r="F491" s="65" t="s">
        <v>3728</v>
      </c>
      <c r="G491" s="66" t="s">
        <v>1239</v>
      </c>
      <c r="H491" s="8"/>
      <c r="I491" s="99" t="s">
        <v>3607</v>
      </c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s="10" customFormat="1" hidden="1" x14ac:dyDescent="0.25">
      <c r="A492" s="35" t="s">
        <v>4087</v>
      </c>
      <c r="B492" s="12" t="s">
        <v>4088</v>
      </c>
      <c r="C492" s="13">
        <f>C491+1</f>
        <v>76</v>
      </c>
      <c r="D492" s="12" t="s">
        <v>3610</v>
      </c>
      <c r="E492" s="28" t="s">
        <v>4089</v>
      </c>
      <c r="F492" s="12" t="s">
        <v>4200</v>
      </c>
      <c r="G492" s="15" t="s">
        <v>1239</v>
      </c>
      <c r="H492" s="8"/>
      <c r="I492" s="99" t="s">
        <v>3607</v>
      </c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s="10" customFormat="1" hidden="1" x14ac:dyDescent="0.25">
      <c r="A493" s="35" t="s">
        <v>4212</v>
      </c>
      <c r="B493" s="12" t="s">
        <v>4213</v>
      </c>
      <c r="C493" s="13">
        <f>C492+1</f>
        <v>77</v>
      </c>
      <c r="D493" s="12" t="s">
        <v>3610</v>
      </c>
      <c r="E493" s="28" t="s">
        <v>4214</v>
      </c>
      <c r="F493" s="12" t="s">
        <v>4308</v>
      </c>
      <c r="G493" s="15" t="s">
        <v>1239</v>
      </c>
      <c r="H493" s="8"/>
      <c r="I493" s="99" t="s">
        <v>3607</v>
      </c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s="10" customFormat="1" ht="15" hidden="1" x14ac:dyDescent="0.25">
      <c r="A494" s="35" t="s">
        <v>2237</v>
      </c>
      <c r="B494" s="8" t="s">
        <v>2238</v>
      </c>
      <c r="C494" s="13">
        <v>14</v>
      </c>
      <c r="D494" s="12" t="s">
        <v>2263</v>
      </c>
      <c r="E494" s="28" t="s">
        <v>2239</v>
      </c>
      <c r="F494" s="12" t="s">
        <v>2264</v>
      </c>
      <c r="G494" s="15" t="s">
        <v>276</v>
      </c>
      <c r="H494" s="8"/>
      <c r="I494" s="54">
        <v>15</v>
      </c>
      <c r="J494" s="52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s="10" customFormat="1" hidden="1" x14ac:dyDescent="0.2">
      <c r="A495" s="35" t="s">
        <v>2337</v>
      </c>
      <c r="B495" s="12" t="s">
        <v>2338</v>
      </c>
      <c r="C495" s="13">
        <v>5</v>
      </c>
      <c r="D495" s="37" t="s">
        <v>2346</v>
      </c>
      <c r="E495" s="28" t="s">
        <v>2339</v>
      </c>
      <c r="F495" s="22" t="s">
        <v>2347</v>
      </c>
      <c r="G495" s="15" t="s">
        <v>2345</v>
      </c>
      <c r="H495" s="8"/>
      <c r="I495" s="90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s="10" customFormat="1" ht="12.75" hidden="1" thickBot="1" x14ac:dyDescent="0.25">
      <c r="A496" s="36" t="s">
        <v>2337</v>
      </c>
      <c r="B496" s="30" t="s">
        <v>2338</v>
      </c>
      <c r="C496" s="31">
        <v>4</v>
      </c>
      <c r="D496" s="6" t="s">
        <v>2343</v>
      </c>
      <c r="E496" s="32" t="s">
        <v>2339</v>
      </c>
      <c r="F496" s="4" t="s">
        <v>2344</v>
      </c>
      <c r="G496" s="33" t="s">
        <v>2345</v>
      </c>
      <c r="H496" s="8"/>
      <c r="I496" s="90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s="40" customFormat="1" hidden="1" x14ac:dyDescent="0.2">
      <c r="A497" s="35" t="s">
        <v>520</v>
      </c>
      <c r="B497" s="12" t="s">
        <v>521</v>
      </c>
      <c r="C497" s="13">
        <v>9</v>
      </c>
      <c r="D497" s="12" t="s">
        <v>535</v>
      </c>
      <c r="E497" s="105" t="s">
        <v>522</v>
      </c>
      <c r="F497" s="12" t="s">
        <v>536</v>
      </c>
      <c r="G497" s="15" t="s">
        <v>156</v>
      </c>
      <c r="H497" s="8"/>
      <c r="I497" s="90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s="40" customFormat="1" hidden="1" x14ac:dyDescent="0.2">
      <c r="A498" s="179" t="s">
        <v>4771</v>
      </c>
      <c r="B498" s="12" t="s">
        <v>4772</v>
      </c>
      <c r="C498" s="13">
        <v>10</v>
      </c>
      <c r="D498" s="12" t="s">
        <v>4786</v>
      </c>
      <c r="E498" s="28" t="s">
        <v>4773</v>
      </c>
      <c r="F498" s="12" t="s">
        <v>4787</v>
      </c>
      <c r="G498" s="66" t="s">
        <v>337</v>
      </c>
      <c r="H498" s="8"/>
      <c r="I498" s="90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s="40" customFormat="1" hidden="1" x14ac:dyDescent="0.25">
      <c r="A499" s="179" t="s">
        <v>4800</v>
      </c>
      <c r="B499" s="8" t="s">
        <v>4801</v>
      </c>
      <c r="C499" s="150">
        <v>10</v>
      </c>
      <c r="D499" s="8" t="s">
        <v>4786</v>
      </c>
      <c r="E499" s="151" t="s">
        <v>4802</v>
      </c>
      <c r="F499" s="8" t="s">
        <v>4814</v>
      </c>
      <c r="G499" s="80" t="s">
        <v>4813</v>
      </c>
      <c r="H499" s="8"/>
      <c r="I499" s="90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s="10" customFormat="1" hidden="1" x14ac:dyDescent="0.2">
      <c r="A500" s="179" t="s">
        <v>4771</v>
      </c>
      <c r="B500" s="12" t="s">
        <v>4772</v>
      </c>
      <c r="C500" s="13">
        <v>9</v>
      </c>
      <c r="D500" s="12" t="s">
        <v>4784</v>
      </c>
      <c r="E500" s="28" t="s">
        <v>4773</v>
      </c>
      <c r="F500" s="12" t="s">
        <v>4785</v>
      </c>
      <c r="G500" s="66" t="s">
        <v>337</v>
      </c>
      <c r="H500" s="8"/>
      <c r="I500" s="90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s="10" customFormat="1" hidden="1" x14ac:dyDescent="0.25">
      <c r="A501" s="179" t="s">
        <v>4800</v>
      </c>
      <c r="B501" s="8" t="s">
        <v>4801</v>
      </c>
      <c r="C501" s="150">
        <v>9</v>
      </c>
      <c r="D501" s="8" t="s">
        <v>4784</v>
      </c>
      <c r="E501" s="151" t="s">
        <v>4802</v>
      </c>
      <c r="F501" s="8" t="s">
        <v>4812</v>
      </c>
      <c r="G501" s="80" t="s">
        <v>4813</v>
      </c>
      <c r="H501" s="8"/>
      <c r="I501" s="90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s="10" customFormat="1" hidden="1" x14ac:dyDescent="0.25">
      <c r="A502" s="35" t="s">
        <v>1260</v>
      </c>
      <c r="B502" s="12" t="s">
        <v>1261</v>
      </c>
      <c r="C502" s="13">
        <v>9</v>
      </c>
      <c r="D502" s="12" t="s">
        <v>1276</v>
      </c>
      <c r="E502" s="28" t="s">
        <v>1262</v>
      </c>
      <c r="F502" s="12" t="s">
        <v>1277</v>
      </c>
      <c r="G502" s="15" t="s">
        <v>337</v>
      </c>
      <c r="H502" s="8"/>
      <c r="I502" s="90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s="10" customFormat="1" hidden="1" x14ac:dyDescent="0.25">
      <c r="A503" s="35" t="s">
        <v>1294</v>
      </c>
      <c r="B503" s="12" t="s">
        <v>1295</v>
      </c>
      <c r="C503" s="13">
        <v>9</v>
      </c>
      <c r="D503" s="12" t="s">
        <v>1276</v>
      </c>
      <c r="E503" s="28" t="s">
        <v>1296</v>
      </c>
      <c r="F503" s="12" t="s">
        <v>1308</v>
      </c>
      <c r="G503" s="15" t="s">
        <v>337</v>
      </c>
      <c r="H503" s="8"/>
      <c r="I503" s="90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s="10" customFormat="1" ht="12.75" hidden="1" thickBot="1" x14ac:dyDescent="0.25">
      <c r="A504" s="36" t="s">
        <v>319</v>
      </c>
      <c r="B504" s="12" t="s">
        <v>320</v>
      </c>
      <c r="C504" s="31">
        <f>C503+1</f>
        <v>10</v>
      </c>
      <c r="D504" s="69" t="s">
        <v>353</v>
      </c>
      <c r="E504" s="32" t="s">
        <v>321</v>
      </c>
      <c r="F504" s="30" t="s">
        <v>354</v>
      </c>
      <c r="G504" s="33" t="s">
        <v>337</v>
      </c>
      <c r="H504" s="8"/>
      <c r="I504" s="90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s="40" customFormat="1" ht="15" hidden="1" x14ac:dyDescent="0.25">
      <c r="A505" s="35" t="s">
        <v>5523</v>
      </c>
      <c r="B505" s="12" t="s">
        <v>5524</v>
      </c>
      <c r="C505" s="13">
        <v>5</v>
      </c>
      <c r="D505" s="41" t="s">
        <v>5534</v>
      </c>
      <c r="E505" s="28" t="s">
        <v>5526</v>
      </c>
      <c r="F505" s="65" t="s">
        <v>5535</v>
      </c>
      <c r="G505" s="15" t="s">
        <v>1323</v>
      </c>
      <c r="H505" s="8"/>
      <c r="I505" s="9">
        <v>15</v>
      </c>
      <c r="J505" s="52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s="40" customFormat="1" hidden="1" x14ac:dyDescent="0.25">
      <c r="A506" s="35" t="s">
        <v>6688</v>
      </c>
      <c r="B506" s="12" t="s">
        <v>6689</v>
      </c>
      <c r="C506" s="13">
        <v>40</v>
      </c>
      <c r="D506" s="12" t="s">
        <v>6763</v>
      </c>
      <c r="E506" s="28" t="s">
        <v>6690</v>
      </c>
      <c r="F506" s="12" t="s">
        <v>6764</v>
      </c>
      <c r="G506" s="15" t="s">
        <v>285</v>
      </c>
      <c r="H506" s="8"/>
      <c r="I506" s="99">
        <v>13</v>
      </c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s="40" customFormat="1" hidden="1" x14ac:dyDescent="0.2">
      <c r="A507" s="35" t="s">
        <v>319</v>
      </c>
      <c r="B507" s="12" t="s">
        <v>320</v>
      </c>
      <c r="C507" s="13">
        <v>9</v>
      </c>
      <c r="D507" s="14" t="s">
        <v>335</v>
      </c>
      <c r="E507" s="28" t="s">
        <v>321</v>
      </c>
      <c r="F507" s="12" t="s">
        <v>336</v>
      </c>
      <c r="G507" s="15" t="s">
        <v>337</v>
      </c>
      <c r="H507" s="8"/>
      <c r="I507" s="90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s="40" customFormat="1" hidden="1" x14ac:dyDescent="0.2">
      <c r="A508" s="35" t="s">
        <v>1142</v>
      </c>
      <c r="B508" s="12" t="s">
        <v>1143</v>
      </c>
      <c r="C508" s="13">
        <v>15</v>
      </c>
      <c r="D508" s="14" t="s">
        <v>1167</v>
      </c>
      <c r="E508" s="28" t="s">
        <v>1144</v>
      </c>
      <c r="F508" s="12" t="s">
        <v>1168</v>
      </c>
      <c r="G508" s="15" t="s">
        <v>19</v>
      </c>
      <c r="H508" s="8"/>
      <c r="I508" s="90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s="10" customFormat="1" hidden="1" x14ac:dyDescent="0.25">
      <c r="A509" s="35" t="s">
        <v>5985</v>
      </c>
      <c r="B509" s="12" t="s">
        <v>5986</v>
      </c>
      <c r="C509" s="13">
        <v>7</v>
      </c>
      <c r="D509" s="12" t="s">
        <v>5996</v>
      </c>
      <c r="E509" s="28" t="s">
        <v>5987</v>
      </c>
      <c r="F509" s="12" t="s">
        <v>5997</v>
      </c>
      <c r="G509" s="15" t="s">
        <v>19</v>
      </c>
      <c r="H509" s="8"/>
      <c r="I509" s="90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s="10" customFormat="1" hidden="1" x14ac:dyDescent="0.25">
      <c r="A510" s="35" t="s">
        <v>5985</v>
      </c>
      <c r="B510" s="12" t="s">
        <v>5986</v>
      </c>
      <c r="C510" s="13">
        <v>8</v>
      </c>
      <c r="D510" s="12" t="s">
        <v>5998</v>
      </c>
      <c r="E510" s="28" t="s">
        <v>5987</v>
      </c>
      <c r="F510" s="12" t="s">
        <v>5999</v>
      </c>
      <c r="G510" s="15" t="s">
        <v>780</v>
      </c>
      <c r="H510" s="8"/>
      <c r="I510" s="101" t="s">
        <v>5818</v>
      </c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s="10" customFormat="1" ht="12.75" hidden="1" thickBot="1" x14ac:dyDescent="0.3">
      <c r="A511" s="36" t="s">
        <v>6050</v>
      </c>
      <c r="B511" s="30" t="s">
        <v>6051</v>
      </c>
      <c r="C511" s="31">
        <v>16</v>
      </c>
      <c r="D511" s="30" t="s">
        <v>5998</v>
      </c>
      <c r="E511" s="32" t="s">
        <v>6052</v>
      </c>
      <c r="F511" s="30" t="s">
        <v>6079</v>
      </c>
      <c r="G511" s="33" t="s">
        <v>6080</v>
      </c>
      <c r="H511" s="8"/>
      <c r="I511" s="101" t="s">
        <v>5818</v>
      </c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s="40" customFormat="1" hidden="1" x14ac:dyDescent="0.25">
      <c r="A512" s="35" t="s">
        <v>6086</v>
      </c>
      <c r="B512" s="12" t="s">
        <v>6087</v>
      </c>
      <c r="C512" s="13">
        <v>15</v>
      </c>
      <c r="D512" s="12" t="s">
        <v>5998</v>
      </c>
      <c r="E512" s="28" t="s">
        <v>6088</v>
      </c>
      <c r="F512" s="12" t="s">
        <v>6113</v>
      </c>
      <c r="G512" s="15" t="s">
        <v>6080</v>
      </c>
      <c r="H512" s="8"/>
      <c r="I512" s="101" t="s">
        <v>5818</v>
      </c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s="40" customFormat="1" hidden="1" x14ac:dyDescent="0.25">
      <c r="A513" s="35" t="s">
        <v>6134</v>
      </c>
      <c r="B513" s="12" t="s">
        <v>6135</v>
      </c>
      <c r="C513" s="13">
        <v>15</v>
      </c>
      <c r="D513" s="12" t="s">
        <v>5998</v>
      </c>
      <c r="E513" s="28" t="s">
        <v>6136</v>
      </c>
      <c r="F513" s="12" t="s">
        <v>6153</v>
      </c>
      <c r="G513" s="15" t="s">
        <v>6080</v>
      </c>
      <c r="H513" s="8"/>
      <c r="I513" s="101" t="s">
        <v>5818</v>
      </c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s="40" customFormat="1" hidden="1" x14ac:dyDescent="0.25">
      <c r="A514" s="35" t="s">
        <v>6442</v>
      </c>
      <c r="B514" s="12" t="s">
        <v>6443</v>
      </c>
      <c r="C514" s="13">
        <v>16</v>
      </c>
      <c r="D514" s="12" t="s">
        <v>5998</v>
      </c>
      <c r="E514" s="28" t="s">
        <v>6444</v>
      </c>
      <c r="F514" s="12" t="s">
        <v>6460</v>
      </c>
      <c r="G514" s="15" t="s">
        <v>6080</v>
      </c>
      <c r="H514" s="8"/>
      <c r="I514" s="9">
        <v>15</v>
      </c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s="10" customFormat="1" hidden="1" x14ac:dyDescent="0.25">
      <c r="A515" s="35" t="s">
        <v>6463</v>
      </c>
      <c r="B515" s="12" t="s">
        <v>6464</v>
      </c>
      <c r="C515" s="13">
        <v>15</v>
      </c>
      <c r="D515" s="12" t="s">
        <v>5998</v>
      </c>
      <c r="E515" s="28" t="s">
        <v>6465</v>
      </c>
      <c r="F515" s="12" t="s">
        <v>6480</v>
      </c>
      <c r="G515" s="15" t="s">
        <v>6080</v>
      </c>
      <c r="H515" s="8"/>
      <c r="I515" s="9">
        <v>15</v>
      </c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s="10" customFormat="1" hidden="1" x14ac:dyDescent="0.25">
      <c r="A516" s="35" t="s">
        <v>6491</v>
      </c>
      <c r="B516" s="12" t="s">
        <v>6492</v>
      </c>
      <c r="C516" s="13">
        <v>15</v>
      </c>
      <c r="D516" s="12" t="s">
        <v>5998</v>
      </c>
      <c r="E516" s="28" t="s">
        <v>6493</v>
      </c>
      <c r="F516" s="12" t="s">
        <v>6508</v>
      </c>
      <c r="G516" s="15" t="s">
        <v>6080</v>
      </c>
      <c r="H516" s="8"/>
      <c r="I516" s="9">
        <v>15</v>
      </c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s="10" customFormat="1" hidden="1" x14ac:dyDescent="0.2">
      <c r="A517" s="35" t="s">
        <v>3633</v>
      </c>
      <c r="B517" s="12" t="s">
        <v>3634</v>
      </c>
      <c r="C517" s="13">
        <v>33</v>
      </c>
      <c r="D517" s="12" t="s">
        <v>3675</v>
      </c>
      <c r="E517" s="138" t="s">
        <v>3635</v>
      </c>
      <c r="F517" s="65" t="s">
        <v>3676</v>
      </c>
      <c r="G517" s="66" t="s">
        <v>1239</v>
      </c>
      <c r="H517" s="8"/>
      <c r="I517" s="99">
        <v>13</v>
      </c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s="10" customFormat="1" hidden="1" x14ac:dyDescent="0.2">
      <c r="A518" s="35" t="s">
        <v>3799</v>
      </c>
      <c r="B518" s="12" t="s">
        <v>3800</v>
      </c>
      <c r="C518" s="13">
        <v>12</v>
      </c>
      <c r="D518" s="12" t="s">
        <v>3675</v>
      </c>
      <c r="E518" s="28" t="s">
        <v>3801</v>
      </c>
      <c r="F518" s="65" t="s">
        <v>3813</v>
      </c>
      <c r="G518" s="66" t="s">
        <v>19</v>
      </c>
      <c r="H518" s="8"/>
      <c r="I518" s="90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s="10" customFormat="1" hidden="1" x14ac:dyDescent="0.2">
      <c r="A519" s="35" t="s">
        <v>3858</v>
      </c>
      <c r="B519" s="12" t="s">
        <v>3859</v>
      </c>
      <c r="C519" s="13">
        <v>12</v>
      </c>
      <c r="D519" s="12" t="s">
        <v>3675</v>
      </c>
      <c r="E519" s="28" t="s">
        <v>3860</v>
      </c>
      <c r="F519" s="65" t="s">
        <v>3872</v>
      </c>
      <c r="G519" s="66" t="s">
        <v>19</v>
      </c>
      <c r="H519" s="8"/>
      <c r="I519" s="90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s="10" customFormat="1" hidden="1" x14ac:dyDescent="0.2">
      <c r="A520" s="35" t="s">
        <v>3880</v>
      </c>
      <c r="B520" s="12" t="s">
        <v>3881</v>
      </c>
      <c r="C520" s="13">
        <v>15</v>
      </c>
      <c r="D520" s="12" t="s">
        <v>3675</v>
      </c>
      <c r="E520" s="28" t="s">
        <v>3882</v>
      </c>
      <c r="F520" s="12" t="s">
        <v>3899</v>
      </c>
      <c r="G520" s="66" t="s">
        <v>19</v>
      </c>
      <c r="H520" s="8"/>
      <c r="I520" s="90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s="10" customFormat="1" hidden="1" x14ac:dyDescent="0.2">
      <c r="A521" s="35" t="s">
        <v>3914</v>
      </c>
      <c r="B521" s="12" t="s">
        <v>3915</v>
      </c>
      <c r="C521" s="13">
        <v>16</v>
      </c>
      <c r="D521" s="12" t="s">
        <v>3675</v>
      </c>
      <c r="E521" s="28" t="s">
        <v>3916</v>
      </c>
      <c r="F521" s="12" t="s">
        <v>3932</v>
      </c>
      <c r="G521" s="66" t="s">
        <v>19</v>
      </c>
      <c r="H521" s="8"/>
      <c r="I521" s="90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s="10" customFormat="1" hidden="1" x14ac:dyDescent="0.2">
      <c r="A522" s="35" t="s">
        <v>4212</v>
      </c>
      <c r="B522" s="12" t="s">
        <v>4213</v>
      </c>
      <c r="C522" s="13">
        <f>C521+1</f>
        <v>17</v>
      </c>
      <c r="D522" s="12" t="s">
        <v>3675</v>
      </c>
      <c r="E522" s="28" t="s">
        <v>4214</v>
      </c>
      <c r="F522" s="12" t="s">
        <v>4248</v>
      </c>
      <c r="G522" s="66" t="s">
        <v>1239</v>
      </c>
      <c r="H522" s="8"/>
      <c r="I522" s="99">
        <v>13</v>
      </c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s="10" customFormat="1" hidden="1" x14ac:dyDescent="0.2">
      <c r="A523" s="35" t="s">
        <v>3458</v>
      </c>
      <c r="B523" s="12" t="s">
        <v>3459</v>
      </c>
      <c r="C523" s="13">
        <f>C522+1</f>
        <v>18</v>
      </c>
      <c r="D523" s="12" t="s">
        <v>3548</v>
      </c>
      <c r="E523" s="138" t="s">
        <v>3460</v>
      </c>
      <c r="F523" s="65" t="s">
        <v>3549</v>
      </c>
      <c r="G523" s="66" t="s">
        <v>1239</v>
      </c>
      <c r="H523" s="8"/>
      <c r="I523" s="99">
        <v>13</v>
      </c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s="10" customFormat="1" hidden="1" x14ac:dyDescent="0.2">
      <c r="A524" s="35" t="s">
        <v>3633</v>
      </c>
      <c r="B524" s="12" t="s">
        <v>3634</v>
      </c>
      <c r="C524" s="13">
        <f>C523+1</f>
        <v>19</v>
      </c>
      <c r="D524" s="12" t="s">
        <v>3548</v>
      </c>
      <c r="E524" s="138" t="s">
        <v>3635</v>
      </c>
      <c r="F524" s="65" t="s">
        <v>3694</v>
      </c>
      <c r="G524" s="66" t="s">
        <v>1239</v>
      </c>
      <c r="H524" s="8"/>
      <c r="I524" s="99">
        <v>13</v>
      </c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s="10" customFormat="1" hidden="1" x14ac:dyDescent="0.2">
      <c r="A525" s="35" t="s">
        <v>4087</v>
      </c>
      <c r="B525" s="12" t="s">
        <v>4088</v>
      </c>
      <c r="C525" s="13">
        <f>C524+1</f>
        <v>20</v>
      </c>
      <c r="D525" s="12" t="s">
        <v>3548</v>
      </c>
      <c r="E525" s="28" t="s">
        <v>4089</v>
      </c>
      <c r="F525" s="12" t="s">
        <v>4132</v>
      </c>
      <c r="G525" s="66" t="s">
        <v>1239</v>
      </c>
      <c r="H525" s="8"/>
      <c r="I525" s="99">
        <v>13</v>
      </c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s="10" customFormat="1" hidden="1" x14ac:dyDescent="0.2">
      <c r="A526" s="35" t="s">
        <v>4212</v>
      </c>
      <c r="B526" s="12" t="s">
        <v>4213</v>
      </c>
      <c r="C526" s="13">
        <f>C525+1</f>
        <v>21</v>
      </c>
      <c r="D526" s="12" t="s">
        <v>3548</v>
      </c>
      <c r="E526" s="28" t="s">
        <v>4214</v>
      </c>
      <c r="F526" s="12" t="s">
        <v>4257</v>
      </c>
      <c r="G526" s="66" t="s">
        <v>1239</v>
      </c>
      <c r="H526" s="8"/>
      <c r="I526" s="99">
        <v>13</v>
      </c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s="10" customFormat="1" hidden="1" x14ac:dyDescent="0.2">
      <c r="A527" s="35" t="s">
        <v>3799</v>
      </c>
      <c r="B527" s="12" t="s">
        <v>3800</v>
      </c>
      <c r="C527" s="13">
        <v>22</v>
      </c>
      <c r="D527" s="12" t="s">
        <v>3830</v>
      </c>
      <c r="E527" s="28" t="s">
        <v>3801</v>
      </c>
      <c r="F527" s="65" t="s">
        <v>3831</v>
      </c>
      <c r="G527" s="66" t="s">
        <v>19</v>
      </c>
      <c r="H527" s="8"/>
      <c r="I527" s="90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s="10" customFormat="1" hidden="1" x14ac:dyDescent="0.2">
      <c r="A528" s="35" t="s">
        <v>3880</v>
      </c>
      <c r="B528" s="12" t="s">
        <v>3881</v>
      </c>
      <c r="C528" s="13">
        <v>20</v>
      </c>
      <c r="D528" s="12" t="s">
        <v>3830</v>
      </c>
      <c r="E528" s="28" t="s">
        <v>3882</v>
      </c>
      <c r="F528" s="12" t="s">
        <v>3906</v>
      </c>
      <c r="G528" s="66" t="s">
        <v>19</v>
      </c>
      <c r="H528" s="8"/>
      <c r="I528" s="90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s="10" customFormat="1" hidden="1" x14ac:dyDescent="0.2">
      <c r="A529" s="35" t="s">
        <v>3799</v>
      </c>
      <c r="B529" s="12" t="s">
        <v>3800</v>
      </c>
      <c r="C529" s="13">
        <v>20</v>
      </c>
      <c r="D529" s="12" t="s">
        <v>3827</v>
      </c>
      <c r="E529" s="28" t="s">
        <v>3801</v>
      </c>
      <c r="F529" s="65" t="s">
        <v>3828</v>
      </c>
      <c r="G529" s="66" t="s">
        <v>19</v>
      </c>
      <c r="H529" s="8"/>
      <c r="I529" s="90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s="10" customFormat="1" hidden="1" x14ac:dyDescent="0.2">
      <c r="A530" s="35" t="s">
        <v>3763</v>
      </c>
      <c r="B530" s="12" t="s">
        <v>3764</v>
      </c>
      <c r="C530" s="13">
        <v>14</v>
      </c>
      <c r="D530" s="12" t="s">
        <v>3782</v>
      </c>
      <c r="E530" s="28" t="s">
        <v>3765</v>
      </c>
      <c r="F530" s="65" t="s">
        <v>3783</v>
      </c>
      <c r="G530" s="66" t="s">
        <v>19</v>
      </c>
      <c r="H530" s="8"/>
      <c r="I530" s="90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s="10" customFormat="1" hidden="1" x14ac:dyDescent="0.2">
      <c r="A531" s="35" t="s">
        <v>3763</v>
      </c>
      <c r="B531" s="12" t="s">
        <v>3764</v>
      </c>
      <c r="C531" s="13">
        <v>16</v>
      </c>
      <c r="D531" s="12" t="s">
        <v>3786</v>
      </c>
      <c r="E531" s="28" t="s">
        <v>3765</v>
      </c>
      <c r="F531" s="65" t="s">
        <v>3787</v>
      </c>
      <c r="G531" s="66" t="s">
        <v>19</v>
      </c>
      <c r="H531" s="8"/>
      <c r="I531" s="90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s="10" customFormat="1" hidden="1" x14ac:dyDescent="0.2">
      <c r="A532" s="35" t="s">
        <v>3799</v>
      </c>
      <c r="B532" s="12" t="s">
        <v>3800</v>
      </c>
      <c r="C532" s="13">
        <v>19</v>
      </c>
      <c r="D532" s="12" t="s">
        <v>3825</v>
      </c>
      <c r="E532" s="28" t="s">
        <v>3801</v>
      </c>
      <c r="F532" s="65" t="s">
        <v>3826</v>
      </c>
      <c r="G532" s="66" t="s">
        <v>19</v>
      </c>
      <c r="H532" s="8"/>
      <c r="I532" s="90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s="10" customFormat="1" hidden="1" x14ac:dyDescent="0.2">
      <c r="A533" s="35" t="s">
        <v>3633</v>
      </c>
      <c r="B533" s="12" t="s">
        <v>3634</v>
      </c>
      <c r="C533" s="13">
        <v>32</v>
      </c>
      <c r="D533" s="12" t="s">
        <v>3673</v>
      </c>
      <c r="E533" s="138" t="s">
        <v>3635</v>
      </c>
      <c r="F533" s="65" t="s">
        <v>3674</v>
      </c>
      <c r="G533" s="66" t="s">
        <v>1239</v>
      </c>
      <c r="H533" s="8"/>
      <c r="I533" s="99">
        <v>13</v>
      </c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s="10" customFormat="1" hidden="1" x14ac:dyDescent="0.2">
      <c r="A534" s="35" t="s">
        <v>3799</v>
      </c>
      <c r="B534" s="12" t="s">
        <v>3800</v>
      </c>
      <c r="C534" s="13">
        <v>11</v>
      </c>
      <c r="D534" s="12" t="s">
        <v>3673</v>
      </c>
      <c r="E534" s="28" t="s">
        <v>3801</v>
      </c>
      <c r="F534" s="65" t="s">
        <v>3812</v>
      </c>
      <c r="G534" s="66" t="s">
        <v>19</v>
      </c>
      <c r="H534" s="8"/>
      <c r="I534" s="90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s="10" customFormat="1" hidden="1" x14ac:dyDescent="0.2">
      <c r="A535" s="35" t="s">
        <v>3858</v>
      </c>
      <c r="B535" s="12" t="s">
        <v>3859</v>
      </c>
      <c r="C535" s="13">
        <v>11</v>
      </c>
      <c r="D535" s="12" t="s">
        <v>3673</v>
      </c>
      <c r="E535" s="28" t="s">
        <v>3860</v>
      </c>
      <c r="F535" s="65" t="s">
        <v>3871</v>
      </c>
      <c r="G535" s="66" t="s">
        <v>19</v>
      </c>
      <c r="H535" s="8"/>
      <c r="I535" s="90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s="10" customFormat="1" ht="12.75" hidden="1" thickBot="1" x14ac:dyDescent="0.25">
      <c r="A536" s="36" t="s">
        <v>3880</v>
      </c>
      <c r="B536" s="30" t="s">
        <v>3881</v>
      </c>
      <c r="C536" s="31">
        <v>14</v>
      </c>
      <c r="D536" s="30" t="s">
        <v>3673</v>
      </c>
      <c r="E536" s="32" t="s">
        <v>3882</v>
      </c>
      <c r="F536" s="30" t="s">
        <v>3898</v>
      </c>
      <c r="G536" s="68" t="s">
        <v>19</v>
      </c>
      <c r="H536" s="8"/>
      <c r="I536" s="90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s="40" customFormat="1" hidden="1" x14ac:dyDescent="0.2">
      <c r="A537" s="35" t="s">
        <v>3914</v>
      </c>
      <c r="B537" s="12" t="s">
        <v>3915</v>
      </c>
      <c r="C537" s="13">
        <v>15</v>
      </c>
      <c r="D537" s="12" t="s">
        <v>3673</v>
      </c>
      <c r="E537" s="28" t="s">
        <v>3916</v>
      </c>
      <c r="F537" s="12" t="s">
        <v>3931</v>
      </c>
      <c r="G537" s="66" t="s">
        <v>19</v>
      </c>
      <c r="H537" s="8"/>
      <c r="I537" s="90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s="40" customFormat="1" hidden="1" x14ac:dyDescent="0.2">
      <c r="A538" s="35" t="s">
        <v>4212</v>
      </c>
      <c r="B538" s="12" t="s">
        <v>4213</v>
      </c>
      <c r="C538" s="13">
        <f>C537+1</f>
        <v>16</v>
      </c>
      <c r="D538" s="12" t="s">
        <v>3673</v>
      </c>
      <c r="E538" s="28" t="s">
        <v>4214</v>
      </c>
      <c r="F538" s="12" t="s">
        <v>4247</v>
      </c>
      <c r="G538" s="66" t="s">
        <v>1239</v>
      </c>
      <c r="H538" s="8"/>
      <c r="I538" s="99">
        <v>13</v>
      </c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s="40" customFormat="1" hidden="1" x14ac:dyDescent="0.2">
      <c r="A539" s="35" t="s">
        <v>3458</v>
      </c>
      <c r="B539" s="12" t="s">
        <v>3459</v>
      </c>
      <c r="C539" s="13">
        <v>43</v>
      </c>
      <c r="D539" s="12" t="s">
        <v>3546</v>
      </c>
      <c r="E539" s="138" t="s">
        <v>3460</v>
      </c>
      <c r="F539" s="65" t="s">
        <v>3547</v>
      </c>
      <c r="G539" s="66" t="s">
        <v>1239</v>
      </c>
      <c r="H539" s="8"/>
      <c r="I539" s="99">
        <v>13</v>
      </c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s="10" customFormat="1" hidden="1" x14ac:dyDescent="0.2">
      <c r="A540" s="35" t="s">
        <v>3633</v>
      </c>
      <c r="B540" s="12" t="s">
        <v>3634</v>
      </c>
      <c r="C540" s="13">
        <v>44</v>
      </c>
      <c r="D540" s="12" t="s">
        <v>3546</v>
      </c>
      <c r="E540" s="138" t="s">
        <v>3635</v>
      </c>
      <c r="F540" s="65" t="s">
        <v>3693</v>
      </c>
      <c r="G540" s="66" t="s">
        <v>1239</v>
      </c>
      <c r="H540" s="8"/>
      <c r="I540" s="99">
        <v>13</v>
      </c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s="10" customFormat="1" ht="12.75" hidden="1" thickBot="1" x14ac:dyDescent="0.25">
      <c r="A541" s="36" t="s">
        <v>4087</v>
      </c>
      <c r="B541" s="30" t="s">
        <v>4088</v>
      </c>
      <c r="C541" s="31">
        <f>C540+1</f>
        <v>45</v>
      </c>
      <c r="D541" s="30" t="s">
        <v>3546</v>
      </c>
      <c r="E541" s="32" t="s">
        <v>4089</v>
      </c>
      <c r="F541" s="30" t="s">
        <v>4131</v>
      </c>
      <c r="G541" s="68" t="s">
        <v>1239</v>
      </c>
      <c r="H541" s="8"/>
      <c r="I541" s="99">
        <v>13</v>
      </c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idden="1" x14ac:dyDescent="0.2">
      <c r="A542" s="35" t="s">
        <v>4212</v>
      </c>
      <c r="B542" s="12" t="s">
        <v>4213</v>
      </c>
      <c r="C542" s="13">
        <f>C541+1</f>
        <v>46</v>
      </c>
      <c r="D542" s="118" t="s">
        <v>3546</v>
      </c>
      <c r="E542" s="28" t="s">
        <v>4214</v>
      </c>
      <c r="F542" s="12" t="s">
        <v>4256</v>
      </c>
      <c r="G542" s="66" t="s">
        <v>1239</v>
      </c>
      <c r="I542" s="99">
        <v>13</v>
      </c>
    </row>
    <row r="543" spans="1:27" hidden="1" x14ac:dyDescent="0.2">
      <c r="A543" s="35" t="s">
        <v>3763</v>
      </c>
      <c r="B543" s="12" t="s">
        <v>3764</v>
      </c>
      <c r="C543" s="13">
        <v>15</v>
      </c>
      <c r="D543" s="118" t="s">
        <v>3784</v>
      </c>
      <c r="E543" s="28" t="s">
        <v>3765</v>
      </c>
      <c r="F543" s="65" t="s">
        <v>3785</v>
      </c>
      <c r="G543" s="66" t="s">
        <v>19</v>
      </c>
    </row>
    <row r="544" spans="1:27" hidden="1" x14ac:dyDescent="0.2">
      <c r="A544" s="35" t="s">
        <v>3799</v>
      </c>
      <c r="B544" s="12" t="s">
        <v>3800</v>
      </c>
      <c r="C544" s="13">
        <v>21</v>
      </c>
      <c r="D544" s="118" t="s">
        <v>3784</v>
      </c>
      <c r="E544" s="28" t="s">
        <v>3801</v>
      </c>
      <c r="F544" s="65" t="s">
        <v>3829</v>
      </c>
      <c r="G544" s="66" t="s">
        <v>19</v>
      </c>
    </row>
    <row r="545" spans="1:27" hidden="1" x14ac:dyDescent="0.2">
      <c r="A545" s="35" t="s">
        <v>3880</v>
      </c>
      <c r="B545" s="12" t="s">
        <v>3881</v>
      </c>
      <c r="C545" s="13">
        <v>19</v>
      </c>
      <c r="D545" s="118" t="s">
        <v>3784</v>
      </c>
      <c r="E545" s="28" t="s">
        <v>3882</v>
      </c>
      <c r="F545" s="12" t="s">
        <v>3905</v>
      </c>
      <c r="G545" s="66" t="s">
        <v>19</v>
      </c>
    </row>
    <row r="546" spans="1:27" hidden="1" x14ac:dyDescent="0.2">
      <c r="A546" s="35" t="s">
        <v>3763</v>
      </c>
      <c r="B546" s="12" t="s">
        <v>3764</v>
      </c>
      <c r="C546" s="13">
        <v>13</v>
      </c>
      <c r="D546" s="118" t="s">
        <v>3780</v>
      </c>
      <c r="E546" s="28" t="s">
        <v>3765</v>
      </c>
      <c r="F546" s="65" t="s">
        <v>3781</v>
      </c>
      <c r="G546" s="66" t="s">
        <v>19</v>
      </c>
    </row>
    <row r="547" spans="1:27" hidden="1" x14ac:dyDescent="0.2">
      <c r="A547" s="35" t="s">
        <v>3458</v>
      </c>
      <c r="B547" s="12" t="s">
        <v>3459</v>
      </c>
      <c r="C547" s="13">
        <v>32</v>
      </c>
      <c r="D547" s="118" t="s">
        <v>3516</v>
      </c>
      <c r="E547" s="138" t="s">
        <v>3460</v>
      </c>
      <c r="F547" s="65" t="s">
        <v>3517</v>
      </c>
      <c r="G547" s="66" t="s">
        <v>1239</v>
      </c>
      <c r="I547" s="99">
        <v>13</v>
      </c>
    </row>
    <row r="548" spans="1:27" hidden="1" x14ac:dyDescent="0.2">
      <c r="A548" s="35" t="s">
        <v>4087</v>
      </c>
      <c r="B548" s="12" t="s">
        <v>4088</v>
      </c>
      <c r="C548" s="13">
        <f>C547+1</f>
        <v>33</v>
      </c>
      <c r="D548" s="118" t="s">
        <v>3516</v>
      </c>
      <c r="E548" s="28" t="s">
        <v>4089</v>
      </c>
      <c r="F548" s="12" t="s">
        <v>4123</v>
      </c>
      <c r="G548" s="66" t="s">
        <v>1239</v>
      </c>
      <c r="I548" s="99">
        <v>13</v>
      </c>
    </row>
    <row r="549" spans="1:27" hidden="1" x14ac:dyDescent="0.2">
      <c r="A549" s="46" t="s">
        <v>3458</v>
      </c>
      <c r="B549" s="12" t="s">
        <v>3459</v>
      </c>
      <c r="C549" s="13">
        <v>31</v>
      </c>
      <c r="D549" s="12" t="s">
        <v>3514</v>
      </c>
      <c r="E549" s="138" t="s">
        <v>3460</v>
      </c>
      <c r="F549" s="65" t="s">
        <v>3515</v>
      </c>
      <c r="G549" s="66" t="s">
        <v>1239</v>
      </c>
      <c r="I549" s="99">
        <v>13</v>
      </c>
    </row>
    <row r="550" spans="1:27" hidden="1" x14ac:dyDescent="0.2">
      <c r="A550" s="46" t="s">
        <v>4087</v>
      </c>
      <c r="B550" s="12" t="s">
        <v>4088</v>
      </c>
      <c r="C550" s="13">
        <f>C549+1</f>
        <v>32</v>
      </c>
      <c r="D550" s="12" t="s">
        <v>3514</v>
      </c>
      <c r="E550" s="28" t="s">
        <v>4089</v>
      </c>
      <c r="F550" s="12" t="s">
        <v>4122</v>
      </c>
      <c r="G550" s="66" t="s">
        <v>1239</v>
      </c>
      <c r="I550" s="99">
        <v>13</v>
      </c>
    </row>
    <row r="551" spans="1:27" hidden="1" x14ac:dyDescent="0.2">
      <c r="A551" s="46" t="s">
        <v>3458</v>
      </c>
      <c r="B551" s="12" t="s">
        <v>3459</v>
      </c>
      <c r="C551" s="13">
        <v>28</v>
      </c>
      <c r="D551" s="12" t="s">
        <v>3508</v>
      </c>
      <c r="E551" s="138" t="s">
        <v>3460</v>
      </c>
      <c r="F551" s="65" t="s">
        <v>3509</v>
      </c>
      <c r="G551" s="66" t="s">
        <v>1239</v>
      </c>
      <c r="I551" s="99">
        <v>13</v>
      </c>
    </row>
    <row r="552" spans="1:27" hidden="1" x14ac:dyDescent="0.2">
      <c r="A552" s="46" t="s">
        <v>3633</v>
      </c>
      <c r="B552" s="12" t="s">
        <v>3634</v>
      </c>
      <c r="C552" s="13">
        <v>29</v>
      </c>
      <c r="D552" s="12" t="s">
        <v>3508</v>
      </c>
      <c r="E552" s="138" t="s">
        <v>3635</v>
      </c>
      <c r="F552" s="65" t="s">
        <v>3670</v>
      </c>
      <c r="G552" s="66" t="s">
        <v>1239</v>
      </c>
      <c r="I552" s="99">
        <v>13</v>
      </c>
    </row>
    <row r="553" spans="1:27" hidden="1" x14ac:dyDescent="0.2">
      <c r="A553" s="46" t="s">
        <v>4087</v>
      </c>
      <c r="B553" s="12" t="s">
        <v>4088</v>
      </c>
      <c r="C553" s="13">
        <f>C552+1</f>
        <v>30</v>
      </c>
      <c r="D553" s="12" t="s">
        <v>3508</v>
      </c>
      <c r="E553" s="28" t="s">
        <v>4089</v>
      </c>
      <c r="F553" s="12" t="s">
        <v>4119</v>
      </c>
      <c r="G553" s="66" t="s">
        <v>1239</v>
      </c>
      <c r="I553" s="99">
        <v>13</v>
      </c>
    </row>
    <row r="554" spans="1:27" hidden="1" x14ac:dyDescent="0.2">
      <c r="A554" s="46" t="s">
        <v>4212</v>
      </c>
      <c r="B554" s="12" t="s">
        <v>4213</v>
      </c>
      <c r="C554" s="13">
        <f>C553+1</f>
        <v>31</v>
      </c>
      <c r="D554" s="12" t="s">
        <v>3508</v>
      </c>
      <c r="E554" s="28" t="s">
        <v>4214</v>
      </c>
      <c r="F554" s="12" t="s">
        <v>4244</v>
      </c>
      <c r="G554" s="66" t="s">
        <v>1239</v>
      </c>
      <c r="I554" s="99">
        <v>13</v>
      </c>
    </row>
    <row r="555" spans="1:27" s="10" customFormat="1" ht="12.75" hidden="1" thickBot="1" x14ac:dyDescent="0.25">
      <c r="A555" s="190" t="s">
        <v>3458</v>
      </c>
      <c r="B555" s="199" t="s">
        <v>3459</v>
      </c>
      <c r="C555" s="202">
        <v>44</v>
      </c>
      <c r="D555" s="199" t="s">
        <v>3540</v>
      </c>
      <c r="E555" s="240" t="s">
        <v>3460</v>
      </c>
      <c r="F555" s="245" t="s">
        <v>3541</v>
      </c>
      <c r="G555" s="250" t="s">
        <v>19</v>
      </c>
      <c r="H555" s="8"/>
      <c r="I555" s="90" t="s">
        <v>2426</v>
      </c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idden="1" x14ac:dyDescent="0.2">
      <c r="A556" s="188" t="s">
        <v>3633</v>
      </c>
      <c r="B556" s="123" t="s">
        <v>3634</v>
      </c>
      <c r="C556" s="122">
        <v>45</v>
      </c>
      <c r="D556" s="222" t="s">
        <v>3540</v>
      </c>
      <c r="E556" s="235" t="s">
        <v>3635</v>
      </c>
      <c r="F556" s="141" t="s">
        <v>3690</v>
      </c>
      <c r="G556" s="142" t="s">
        <v>19</v>
      </c>
      <c r="I556" s="90" t="s">
        <v>2426</v>
      </c>
    </row>
    <row r="557" spans="1:27" hidden="1" x14ac:dyDescent="0.2">
      <c r="A557" s="35" t="s">
        <v>3165</v>
      </c>
      <c r="B557" s="12" t="s">
        <v>3166</v>
      </c>
      <c r="C557" s="13">
        <v>58</v>
      </c>
      <c r="D557" s="118" t="s">
        <v>3256</v>
      </c>
      <c r="E557" s="28" t="s">
        <v>3167</v>
      </c>
      <c r="F557" s="65" t="s">
        <v>3257</v>
      </c>
      <c r="G557" s="66" t="s">
        <v>1239</v>
      </c>
      <c r="I557" s="99">
        <v>13</v>
      </c>
    </row>
    <row r="558" spans="1:27" hidden="1" x14ac:dyDescent="0.2">
      <c r="A558" s="35" t="s">
        <v>3165</v>
      </c>
      <c r="B558" s="12" t="s">
        <v>3166</v>
      </c>
      <c r="C558" s="13">
        <f>C557+1</f>
        <v>59</v>
      </c>
      <c r="D558" s="118" t="s">
        <v>3298</v>
      </c>
      <c r="E558" s="28" t="s">
        <v>3167</v>
      </c>
      <c r="F558" s="12" t="s">
        <v>3299</v>
      </c>
      <c r="G558" s="66" t="s">
        <v>1239</v>
      </c>
      <c r="I558" s="99">
        <v>13</v>
      </c>
    </row>
    <row r="559" spans="1:27" hidden="1" x14ac:dyDescent="0.2">
      <c r="A559" s="35" t="s">
        <v>2631</v>
      </c>
      <c r="B559" s="12" t="s">
        <v>2632</v>
      </c>
      <c r="C559" s="13">
        <v>33</v>
      </c>
      <c r="D559" s="27" t="s">
        <v>2693</v>
      </c>
      <c r="E559" s="28" t="s">
        <v>2634</v>
      </c>
      <c r="F559" s="65" t="s">
        <v>2694</v>
      </c>
      <c r="G559" s="66" t="s">
        <v>1239</v>
      </c>
      <c r="I559" s="99">
        <v>13</v>
      </c>
    </row>
    <row r="560" spans="1:27" hidden="1" x14ac:dyDescent="0.2">
      <c r="A560" s="35" t="s">
        <v>3165</v>
      </c>
      <c r="B560" s="12" t="s">
        <v>3166</v>
      </c>
      <c r="C560" s="13">
        <v>23</v>
      </c>
      <c r="D560" s="118" t="s">
        <v>2693</v>
      </c>
      <c r="E560" s="28" t="s">
        <v>3167</v>
      </c>
      <c r="F560" s="65" t="s">
        <v>3196</v>
      </c>
      <c r="G560" s="66" t="s">
        <v>1239</v>
      </c>
      <c r="I560" s="99">
        <v>13</v>
      </c>
    </row>
    <row r="561" spans="1:9" hidden="1" x14ac:dyDescent="0.2">
      <c r="A561" s="35" t="s">
        <v>2631</v>
      </c>
      <c r="B561" s="12" t="s">
        <v>2632</v>
      </c>
      <c r="C561" s="13">
        <f>C560+1</f>
        <v>24</v>
      </c>
      <c r="D561" s="27" t="s">
        <v>2789</v>
      </c>
      <c r="E561" s="28" t="s">
        <v>2634</v>
      </c>
      <c r="F561" s="65" t="s">
        <v>2790</v>
      </c>
      <c r="G561" s="66" t="s">
        <v>1239</v>
      </c>
      <c r="I561" s="99">
        <v>13</v>
      </c>
    </row>
    <row r="562" spans="1:9" hidden="1" x14ac:dyDescent="0.2">
      <c r="A562" s="35" t="s">
        <v>2867</v>
      </c>
      <c r="B562" s="12" t="s">
        <v>2868</v>
      </c>
      <c r="C562" s="13">
        <v>17</v>
      </c>
      <c r="D562" s="27" t="s">
        <v>2897</v>
      </c>
      <c r="E562" s="28" t="s">
        <v>2869</v>
      </c>
      <c r="F562" s="65" t="s">
        <v>2898</v>
      </c>
      <c r="G562" s="66" t="s">
        <v>19</v>
      </c>
    </row>
    <row r="563" spans="1:9" hidden="1" x14ac:dyDescent="0.2">
      <c r="A563" s="35" t="s">
        <v>3428</v>
      </c>
      <c r="B563" s="12" t="s">
        <v>3429</v>
      </c>
      <c r="C563" s="13">
        <v>8</v>
      </c>
      <c r="D563" s="118" t="s">
        <v>3441</v>
      </c>
      <c r="E563" s="138" t="s">
        <v>3430</v>
      </c>
      <c r="F563" s="65" t="s">
        <v>3442</v>
      </c>
      <c r="G563" s="66" t="s">
        <v>19</v>
      </c>
    </row>
    <row r="564" spans="1:9" hidden="1" x14ac:dyDescent="0.2">
      <c r="A564" s="35" t="s">
        <v>4657</v>
      </c>
      <c r="B564" s="12" t="s">
        <v>4658</v>
      </c>
      <c r="C564" s="13">
        <v>7</v>
      </c>
      <c r="D564" s="76" t="s">
        <v>2897</v>
      </c>
      <c r="E564" s="138" t="s">
        <v>4659</v>
      </c>
      <c r="F564" s="65" t="s">
        <v>4667</v>
      </c>
      <c r="G564" s="66" t="s">
        <v>19</v>
      </c>
    </row>
    <row r="565" spans="1:9" ht="12.75" hidden="1" thickBot="1" x14ac:dyDescent="0.3">
      <c r="A565" s="47" t="s">
        <v>5686</v>
      </c>
      <c r="B565" s="30" t="s">
        <v>5687</v>
      </c>
      <c r="C565" s="31">
        <f>C564+1</f>
        <v>8</v>
      </c>
      <c r="D565" s="159" t="s">
        <v>2897</v>
      </c>
      <c r="E565" s="32" t="s">
        <v>5688</v>
      </c>
      <c r="F565" s="30" t="s">
        <v>5755</v>
      </c>
      <c r="G565" s="33" t="s">
        <v>19</v>
      </c>
      <c r="I565" s="90">
        <v>12</v>
      </c>
    </row>
    <row r="566" spans="1:9" hidden="1" x14ac:dyDescent="0.25">
      <c r="A566" s="35" t="s">
        <v>6189</v>
      </c>
      <c r="B566" s="12" t="s">
        <v>6247</v>
      </c>
      <c r="C566" s="13">
        <v>13</v>
      </c>
      <c r="D566" s="118" t="s">
        <v>2897</v>
      </c>
      <c r="E566" s="28" t="s">
        <v>6191</v>
      </c>
      <c r="F566" s="12" t="s">
        <v>6251</v>
      </c>
      <c r="G566" s="15" t="s">
        <v>1239</v>
      </c>
      <c r="I566" s="9">
        <v>15</v>
      </c>
    </row>
    <row r="567" spans="1:9" hidden="1" x14ac:dyDescent="0.25">
      <c r="A567" s="35" t="s">
        <v>6371</v>
      </c>
      <c r="B567" s="12" t="s">
        <v>6372</v>
      </c>
      <c r="C567" s="13">
        <v>13</v>
      </c>
      <c r="D567" s="118" t="s">
        <v>2897</v>
      </c>
      <c r="E567" s="28" t="s">
        <v>6373</v>
      </c>
      <c r="F567" s="12" t="s">
        <v>6407</v>
      </c>
      <c r="G567" s="15" t="s">
        <v>1239</v>
      </c>
      <c r="I567" s="9">
        <v>15</v>
      </c>
    </row>
    <row r="568" spans="1:9" hidden="1" x14ac:dyDescent="0.25">
      <c r="A568" s="35" t="s">
        <v>5921</v>
      </c>
      <c r="B568" s="12" t="s">
        <v>5922</v>
      </c>
      <c r="C568" s="13">
        <v>15</v>
      </c>
      <c r="D568" s="118" t="s">
        <v>5945</v>
      </c>
      <c r="E568" s="28" t="s">
        <v>5923</v>
      </c>
      <c r="F568" s="12" t="s">
        <v>5946</v>
      </c>
      <c r="G568" s="15" t="s">
        <v>684</v>
      </c>
      <c r="I568" s="101" t="s">
        <v>5818</v>
      </c>
    </row>
    <row r="569" spans="1:9" hidden="1" x14ac:dyDescent="0.2">
      <c r="A569" s="35" t="s">
        <v>3034</v>
      </c>
      <c r="B569" s="12" t="s">
        <v>3035</v>
      </c>
      <c r="C569" s="13">
        <f>+C568+1</f>
        <v>16</v>
      </c>
      <c r="D569" s="134" t="s">
        <v>3044</v>
      </c>
      <c r="E569" s="28" t="s">
        <v>3036</v>
      </c>
      <c r="F569" s="8" t="s">
        <v>3045</v>
      </c>
      <c r="G569" s="66" t="s">
        <v>19</v>
      </c>
    </row>
    <row r="570" spans="1:9" hidden="1" x14ac:dyDescent="0.2">
      <c r="A570" s="35" t="s">
        <v>3034</v>
      </c>
      <c r="B570" s="12" t="s">
        <v>3035</v>
      </c>
      <c r="C570" s="13">
        <f>+C569+1</f>
        <v>17</v>
      </c>
      <c r="D570" s="27" t="s">
        <v>3083</v>
      </c>
      <c r="E570" s="28" t="s">
        <v>3036</v>
      </c>
      <c r="F570" s="65" t="s">
        <v>3084</v>
      </c>
      <c r="G570" s="66" t="s">
        <v>19</v>
      </c>
    </row>
    <row r="571" spans="1:9" hidden="1" x14ac:dyDescent="0.25">
      <c r="A571" s="35" t="s">
        <v>5686</v>
      </c>
      <c r="B571" s="12" t="s">
        <v>5687</v>
      </c>
      <c r="C571" s="13">
        <f>C570+1</f>
        <v>18</v>
      </c>
      <c r="D571" s="118" t="s">
        <v>5753</v>
      </c>
      <c r="E571" s="28" t="s">
        <v>5688</v>
      </c>
      <c r="F571" s="12" t="s">
        <v>5754</v>
      </c>
      <c r="G571" s="15" t="s">
        <v>19</v>
      </c>
      <c r="I571" s="90">
        <v>12</v>
      </c>
    </row>
    <row r="572" spans="1:9" hidden="1" x14ac:dyDescent="0.2">
      <c r="A572" s="35" t="s">
        <v>3034</v>
      </c>
      <c r="B572" s="12" t="s">
        <v>3035</v>
      </c>
      <c r="C572" s="13">
        <f>+C571+1</f>
        <v>19</v>
      </c>
      <c r="D572" s="134" t="s">
        <v>3077</v>
      </c>
      <c r="E572" s="28" t="s">
        <v>3036</v>
      </c>
      <c r="F572" s="8" t="s">
        <v>3078</v>
      </c>
      <c r="G572" s="66" t="s">
        <v>19</v>
      </c>
    </row>
    <row r="573" spans="1:9" hidden="1" x14ac:dyDescent="0.2">
      <c r="A573" s="35" t="s">
        <v>3034</v>
      </c>
      <c r="B573" s="12" t="s">
        <v>3035</v>
      </c>
      <c r="C573" s="13">
        <f>+C572+1</f>
        <v>20</v>
      </c>
      <c r="D573" s="27" t="s">
        <v>3079</v>
      </c>
      <c r="E573" s="28" t="s">
        <v>3036</v>
      </c>
      <c r="F573" s="8" t="s">
        <v>3080</v>
      </c>
      <c r="G573" s="66" t="s">
        <v>19</v>
      </c>
    </row>
    <row r="574" spans="1:9" hidden="1" x14ac:dyDescent="0.2">
      <c r="A574" s="35" t="s">
        <v>3458</v>
      </c>
      <c r="B574" s="12" t="s">
        <v>3459</v>
      </c>
      <c r="C574" s="13">
        <v>27</v>
      </c>
      <c r="D574" s="118" t="s">
        <v>3506</v>
      </c>
      <c r="E574" s="138" t="s">
        <v>3460</v>
      </c>
      <c r="F574" s="65" t="s">
        <v>3507</v>
      </c>
      <c r="G574" s="66" t="s">
        <v>1239</v>
      </c>
      <c r="I574" s="99">
        <v>13</v>
      </c>
    </row>
    <row r="575" spans="1:9" hidden="1" x14ac:dyDescent="0.2">
      <c r="A575" s="35" t="s">
        <v>3633</v>
      </c>
      <c r="B575" s="12" t="s">
        <v>3634</v>
      </c>
      <c r="C575" s="13">
        <v>28</v>
      </c>
      <c r="D575" s="118" t="s">
        <v>3506</v>
      </c>
      <c r="E575" s="138" t="s">
        <v>3635</v>
      </c>
      <c r="F575" s="65" t="s">
        <v>3669</v>
      </c>
      <c r="G575" s="66" t="s">
        <v>1239</v>
      </c>
      <c r="I575" s="99">
        <v>13</v>
      </c>
    </row>
    <row r="576" spans="1:9" hidden="1" x14ac:dyDescent="0.2">
      <c r="A576" s="35" t="s">
        <v>4087</v>
      </c>
      <c r="B576" s="12" t="s">
        <v>4088</v>
      </c>
      <c r="C576" s="13">
        <f>C575+1</f>
        <v>29</v>
      </c>
      <c r="D576" s="118" t="s">
        <v>3506</v>
      </c>
      <c r="E576" s="28" t="s">
        <v>4089</v>
      </c>
      <c r="F576" s="12" t="s">
        <v>4118</v>
      </c>
      <c r="G576" s="66" t="s">
        <v>1239</v>
      </c>
      <c r="I576" s="99">
        <v>13</v>
      </c>
    </row>
    <row r="577" spans="1:27" hidden="1" x14ac:dyDescent="0.2">
      <c r="A577" s="35" t="s">
        <v>4212</v>
      </c>
      <c r="B577" s="12" t="s">
        <v>4213</v>
      </c>
      <c r="C577" s="13">
        <f>C576+1</f>
        <v>30</v>
      </c>
      <c r="D577" s="118" t="s">
        <v>3506</v>
      </c>
      <c r="E577" s="28" t="s">
        <v>4214</v>
      </c>
      <c r="F577" s="12" t="s">
        <v>4243</v>
      </c>
      <c r="G577" s="66" t="s">
        <v>1239</v>
      </c>
      <c r="I577" s="99">
        <v>13</v>
      </c>
    </row>
    <row r="578" spans="1:27" hidden="1" x14ac:dyDescent="0.2">
      <c r="A578" s="188" t="s">
        <v>3458</v>
      </c>
      <c r="B578" s="123" t="s">
        <v>3459</v>
      </c>
      <c r="C578" s="122">
        <v>43</v>
      </c>
      <c r="D578" s="222" t="s">
        <v>3538</v>
      </c>
      <c r="E578" s="235" t="s">
        <v>3460</v>
      </c>
      <c r="F578" s="141" t="s">
        <v>3539</v>
      </c>
      <c r="G578" s="142" t="s">
        <v>19</v>
      </c>
      <c r="I578" s="90" t="s">
        <v>2426</v>
      </c>
    </row>
    <row r="579" spans="1:27" hidden="1" x14ac:dyDescent="0.2">
      <c r="A579" s="188" t="s">
        <v>3633</v>
      </c>
      <c r="B579" s="123" t="s">
        <v>3634</v>
      </c>
      <c r="C579" s="122">
        <v>44</v>
      </c>
      <c r="D579" s="222" t="s">
        <v>3538</v>
      </c>
      <c r="E579" s="235" t="s">
        <v>3635</v>
      </c>
      <c r="F579" s="141" t="s">
        <v>3689</v>
      </c>
      <c r="G579" s="142" t="s">
        <v>19</v>
      </c>
      <c r="I579" s="90" t="s">
        <v>2426</v>
      </c>
    </row>
    <row r="580" spans="1:27" hidden="1" x14ac:dyDescent="0.2">
      <c r="A580" s="35" t="s">
        <v>3165</v>
      </c>
      <c r="B580" s="12" t="s">
        <v>3166</v>
      </c>
      <c r="C580" s="13">
        <v>57</v>
      </c>
      <c r="D580" s="118" t="s">
        <v>3254</v>
      </c>
      <c r="E580" s="28" t="s">
        <v>3167</v>
      </c>
      <c r="F580" s="65" t="s">
        <v>3255</v>
      </c>
      <c r="G580" s="66" t="s">
        <v>1239</v>
      </c>
      <c r="I580" s="99">
        <v>13</v>
      </c>
    </row>
    <row r="581" spans="1:27" hidden="1" x14ac:dyDescent="0.25">
      <c r="A581" s="35" t="s">
        <v>6086</v>
      </c>
      <c r="B581" s="12" t="s">
        <v>6087</v>
      </c>
      <c r="C581" s="13">
        <v>11</v>
      </c>
      <c r="D581" s="118" t="s">
        <v>6106</v>
      </c>
      <c r="E581" s="28" t="s">
        <v>6088</v>
      </c>
      <c r="F581" s="12" t="s">
        <v>6107</v>
      </c>
      <c r="G581" s="15" t="s">
        <v>19</v>
      </c>
    </row>
    <row r="582" spans="1:27" hidden="1" x14ac:dyDescent="0.25">
      <c r="A582" s="35" t="s">
        <v>6463</v>
      </c>
      <c r="B582" s="12" t="s">
        <v>6464</v>
      </c>
      <c r="C582" s="13">
        <v>11</v>
      </c>
      <c r="D582" s="118" t="s">
        <v>6106</v>
      </c>
      <c r="E582" s="28" t="s">
        <v>6465</v>
      </c>
      <c r="F582" s="12" t="s">
        <v>6476</v>
      </c>
      <c r="G582" s="15" t="s">
        <v>19</v>
      </c>
      <c r="I582" s="9">
        <v>15</v>
      </c>
    </row>
    <row r="583" spans="1:27" ht="15" hidden="1" x14ac:dyDescent="0.25">
      <c r="A583" s="35" t="s">
        <v>6086</v>
      </c>
      <c r="B583" s="12" t="s">
        <v>6087</v>
      </c>
      <c r="C583" s="13">
        <v>23</v>
      </c>
      <c r="D583" s="118" t="s">
        <v>6128</v>
      </c>
      <c r="E583" s="28" t="s">
        <v>6088</v>
      </c>
      <c r="F583" s="12" t="s">
        <v>6129</v>
      </c>
      <c r="G583" s="15" t="s">
        <v>6080</v>
      </c>
      <c r="I583" s="9">
        <v>15</v>
      </c>
      <c r="J583" s="52"/>
    </row>
    <row r="584" spans="1:27" ht="15" hidden="1" x14ac:dyDescent="0.25">
      <c r="A584" s="35" t="s">
        <v>6134</v>
      </c>
      <c r="B584" s="12" t="s">
        <v>6135</v>
      </c>
      <c r="C584" s="13">
        <v>22</v>
      </c>
      <c r="D584" s="118" t="s">
        <v>6128</v>
      </c>
      <c r="E584" s="28" t="s">
        <v>6136</v>
      </c>
      <c r="F584" s="12" t="s">
        <v>6160</v>
      </c>
      <c r="G584" s="15" t="s">
        <v>6080</v>
      </c>
      <c r="I584" s="9">
        <v>15</v>
      </c>
      <c r="J584" s="52"/>
    </row>
    <row r="585" spans="1:27" ht="15" hidden="1" x14ac:dyDescent="0.25">
      <c r="A585" s="35" t="s">
        <v>6463</v>
      </c>
      <c r="B585" s="12" t="s">
        <v>6464</v>
      </c>
      <c r="C585" s="13">
        <v>23</v>
      </c>
      <c r="D585" s="118" t="s">
        <v>6128</v>
      </c>
      <c r="E585" s="28" t="s">
        <v>6465</v>
      </c>
      <c r="F585" s="12" t="s">
        <v>6488</v>
      </c>
      <c r="G585" s="15" t="s">
        <v>6080</v>
      </c>
      <c r="I585" s="9">
        <v>15</v>
      </c>
      <c r="J585" s="52"/>
    </row>
    <row r="586" spans="1:27" s="46" customFormat="1" ht="15" hidden="1" x14ac:dyDescent="0.25">
      <c r="A586" s="46" t="s">
        <v>6491</v>
      </c>
      <c r="B586" s="12" t="s">
        <v>6492</v>
      </c>
      <c r="C586" s="13">
        <v>22</v>
      </c>
      <c r="D586" s="12" t="s">
        <v>6128</v>
      </c>
      <c r="E586" s="28" t="s">
        <v>6493</v>
      </c>
      <c r="F586" s="12" t="s">
        <v>6515</v>
      </c>
      <c r="G586" s="15" t="s">
        <v>6080</v>
      </c>
      <c r="H586" s="8"/>
      <c r="I586" s="9">
        <v>15</v>
      </c>
      <c r="J586" s="52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s="46" customFormat="1" ht="15" hidden="1" x14ac:dyDescent="0.25">
      <c r="A587" s="46" t="s">
        <v>6086</v>
      </c>
      <c r="B587" s="12" t="s">
        <v>6087</v>
      </c>
      <c r="C587" s="13">
        <v>24</v>
      </c>
      <c r="D587" s="12" t="s">
        <v>6130</v>
      </c>
      <c r="E587" s="28" t="s">
        <v>6088</v>
      </c>
      <c r="F587" s="12" t="s">
        <v>6131</v>
      </c>
      <c r="G587" s="15" t="s">
        <v>6080</v>
      </c>
      <c r="H587" s="8"/>
      <c r="I587" s="79">
        <v>15</v>
      </c>
      <c r="J587" s="52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s="46" customFormat="1" ht="15" hidden="1" x14ac:dyDescent="0.25">
      <c r="A588" s="46" t="s">
        <v>6134</v>
      </c>
      <c r="B588" s="12" t="s">
        <v>6135</v>
      </c>
      <c r="C588" s="13">
        <v>23</v>
      </c>
      <c r="D588" s="12" t="s">
        <v>6130</v>
      </c>
      <c r="E588" s="28" t="s">
        <v>6136</v>
      </c>
      <c r="F588" s="12" t="s">
        <v>6161</v>
      </c>
      <c r="G588" s="15" t="s">
        <v>6080</v>
      </c>
      <c r="H588" s="8"/>
      <c r="I588" s="79">
        <v>15</v>
      </c>
      <c r="J588" s="52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s="46" customFormat="1" ht="15" hidden="1" x14ac:dyDescent="0.25">
      <c r="A589" s="46" t="s">
        <v>6463</v>
      </c>
      <c r="B589" s="12" t="s">
        <v>6464</v>
      </c>
      <c r="C589" s="13">
        <v>24</v>
      </c>
      <c r="D589" s="12" t="s">
        <v>6130</v>
      </c>
      <c r="E589" s="28" t="s">
        <v>6465</v>
      </c>
      <c r="F589" s="12" t="s">
        <v>6489</v>
      </c>
      <c r="G589" s="15" t="s">
        <v>6080</v>
      </c>
      <c r="H589" s="8"/>
      <c r="I589" s="9">
        <v>15</v>
      </c>
      <c r="J589" s="52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5.75" hidden="1" thickBot="1" x14ac:dyDescent="0.3">
      <c r="A590" s="44" t="s">
        <v>6491</v>
      </c>
      <c r="B590" s="30" t="s">
        <v>6492</v>
      </c>
      <c r="C590" s="31">
        <v>23</v>
      </c>
      <c r="D590" s="30" t="s">
        <v>6130</v>
      </c>
      <c r="E590" s="32" t="s">
        <v>6493</v>
      </c>
      <c r="F590" s="30" t="s">
        <v>6516</v>
      </c>
      <c r="G590" s="33" t="s">
        <v>6080</v>
      </c>
      <c r="I590" s="9">
        <v>15</v>
      </c>
      <c r="J590" s="52"/>
    </row>
    <row r="591" spans="1:27" ht="15" hidden="1" x14ac:dyDescent="0.25">
      <c r="A591" s="35" t="s">
        <v>6086</v>
      </c>
      <c r="B591" s="12" t="s">
        <v>6087</v>
      </c>
      <c r="C591" s="13">
        <v>25</v>
      </c>
      <c r="D591" s="118" t="s">
        <v>6132</v>
      </c>
      <c r="E591" s="28" t="s">
        <v>6088</v>
      </c>
      <c r="F591" s="12" t="s">
        <v>6133</v>
      </c>
      <c r="G591" s="15" t="s">
        <v>6080</v>
      </c>
      <c r="I591" s="79">
        <v>15</v>
      </c>
      <c r="J591" s="52"/>
    </row>
    <row r="592" spans="1:27" ht="15" hidden="1" x14ac:dyDescent="0.25">
      <c r="A592" s="35" t="s">
        <v>6134</v>
      </c>
      <c r="B592" s="12" t="s">
        <v>6135</v>
      </c>
      <c r="C592" s="13">
        <v>24</v>
      </c>
      <c r="D592" s="118" t="s">
        <v>6132</v>
      </c>
      <c r="E592" s="28" t="s">
        <v>6136</v>
      </c>
      <c r="F592" s="12" t="s">
        <v>6162</v>
      </c>
      <c r="G592" s="15" t="s">
        <v>6080</v>
      </c>
      <c r="I592" s="79">
        <v>15</v>
      </c>
      <c r="J592" s="52"/>
    </row>
    <row r="593" spans="1:27" ht="15" hidden="1" x14ac:dyDescent="0.25">
      <c r="A593" s="35" t="s">
        <v>6463</v>
      </c>
      <c r="B593" s="12" t="s">
        <v>6464</v>
      </c>
      <c r="C593" s="13">
        <v>25</v>
      </c>
      <c r="D593" s="118" t="s">
        <v>6132</v>
      </c>
      <c r="E593" s="28" t="s">
        <v>6465</v>
      </c>
      <c r="F593" s="12" t="s">
        <v>6490</v>
      </c>
      <c r="G593" s="15" t="s">
        <v>6080</v>
      </c>
      <c r="I593" s="9">
        <v>15</v>
      </c>
      <c r="J593" s="52"/>
    </row>
    <row r="594" spans="1:27" ht="15" hidden="1" x14ac:dyDescent="0.25">
      <c r="A594" s="35" t="s">
        <v>6491</v>
      </c>
      <c r="B594" s="12" t="s">
        <v>6492</v>
      </c>
      <c r="C594" s="13">
        <v>24</v>
      </c>
      <c r="D594" s="118" t="s">
        <v>6132</v>
      </c>
      <c r="E594" s="28" t="s">
        <v>6493</v>
      </c>
      <c r="F594" s="12" t="s">
        <v>6517</v>
      </c>
      <c r="G594" s="15" t="s">
        <v>6080</v>
      </c>
      <c r="I594" s="9">
        <v>15</v>
      </c>
      <c r="J594" s="52"/>
    </row>
    <row r="595" spans="1:27" hidden="1" x14ac:dyDescent="0.25">
      <c r="A595" s="35" t="s">
        <v>6050</v>
      </c>
      <c r="B595" s="12" t="s">
        <v>6051</v>
      </c>
      <c r="C595" s="13">
        <v>7</v>
      </c>
      <c r="D595" s="118" t="s">
        <v>6061</v>
      </c>
      <c r="E595" s="28" t="s">
        <v>6052</v>
      </c>
      <c r="F595" s="12" t="s">
        <v>6062</v>
      </c>
      <c r="G595" s="15" t="s">
        <v>19</v>
      </c>
    </row>
    <row r="596" spans="1:27" hidden="1" x14ac:dyDescent="0.25">
      <c r="A596" s="35" t="s">
        <v>6442</v>
      </c>
      <c r="B596" s="12" t="s">
        <v>6443</v>
      </c>
      <c r="C596" s="13">
        <v>7</v>
      </c>
      <c r="D596" s="118" t="s">
        <v>6061</v>
      </c>
      <c r="E596" s="28" t="s">
        <v>6444</v>
      </c>
      <c r="F596" s="12" t="s">
        <v>6451</v>
      </c>
      <c r="G596" s="15" t="s">
        <v>19</v>
      </c>
      <c r="I596" s="9">
        <v>15</v>
      </c>
    </row>
    <row r="597" spans="1:27" ht="12.75" hidden="1" thickBot="1" x14ac:dyDescent="0.3">
      <c r="A597" s="47" t="s">
        <v>6134</v>
      </c>
      <c r="B597" s="30" t="s">
        <v>6135</v>
      </c>
      <c r="C597" s="31">
        <v>11</v>
      </c>
      <c r="D597" s="159" t="s">
        <v>6148</v>
      </c>
      <c r="E597" s="32" t="s">
        <v>6136</v>
      </c>
      <c r="F597" s="30" t="s">
        <v>6149</v>
      </c>
      <c r="G597" s="33" t="s">
        <v>19</v>
      </c>
    </row>
    <row r="598" spans="1:27" hidden="1" x14ac:dyDescent="0.25">
      <c r="A598" s="114" t="s">
        <v>6491</v>
      </c>
      <c r="B598" s="61" t="s">
        <v>6492</v>
      </c>
      <c r="C598" s="58">
        <v>11</v>
      </c>
      <c r="D598" s="204" t="s">
        <v>6148</v>
      </c>
      <c r="E598" s="89" t="s">
        <v>6493</v>
      </c>
      <c r="F598" s="61" t="s">
        <v>6504</v>
      </c>
      <c r="G598" s="15" t="s">
        <v>19</v>
      </c>
      <c r="I598" s="9">
        <v>15</v>
      </c>
    </row>
    <row r="599" spans="1:27" hidden="1" x14ac:dyDescent="0.2">
      <c r="A599" s="46" t="s">
        <v>839</v>
      </c>
      <c r="B599" s="12" t="s">
        <v>840</v>
      </c>
      <c r="C599" s="13">
        <v>8</v>
      </c>
      <c r="D599" s="14" t="s">
        <v>855</v>
      </c>
      <c r="E599" s="28" t="s">
        <v>841</v>
      </c>
      <c r="F599" s="12" t="s">
        <v>856</v>
      </c>
      <c r="G599" s="15" t="s">
        <v>857</v>
      </c>
      <c r="I599" s="9">
        <v>15</v>
      </c>
    </row>
    <row r="600" spans="1:27" hidden="1" x14ac:dyDescent="0.2">
      <c r="A600" s="46" t="s">
        <v>839</v>
      </c>
      <c r="B600" s="12" t="s">
        <v>840</v>
      </c>
      <c r="C600" s="13">
        <v>9</v>
      </c>
      <c r="D600" s="14" t="s">
        <v>858</v>
      </c>
      <c r="E600" s="28" t="s">
        <v>841</v>
      </c>
      <c r="F600" s="12" t="s">
        <v>859</v>
      </c>
      <c r="G600" s="15" t="s">
        <v>857</v>
      </c>
      <c r="I600" s="9">
        <v>15</v>
      </c>
    </row>
    <row r="601" spans="1:27" hidden="1" x14ac:dyDescent="0.2">
      <c r="A601" s="46" t="s">
        <v>2631</v>
      </c>
      <c r="B601" s="12" t="s">
        <v>2632</v>
      </c>
      <c r="C601" s="13">
        <v>32</v>
      </c>
      <c r="D601" s="14" t="s">
        <v>2691</v>
      </c>
      <c r="E601" s="28" t="s">
        <v>2634</v>
      </c>
      <c r="F601" s="65" t="s">
        <v>2692</v>
      </c>
      <c r="G601" s="66" t="s">
        <v>1239</v>
      </c>
      <c r="I601" s="99">
        <v>13</v>
      </c>
    </row>
    <row r="602" spans="1:27" hidden="1" x14ac:dyDescent="0.2">
      <c r="A602" s="46" t="s">
        <v>3165</v>
      </c>
      <c r="B602" s="12" t="s">
        <v>3166</v>
      </c>
      <c r="C602" s="13">
        <v>22</v>
      </c>
      <c r="D602" s="12" t="s">
        <v>2691</v>
      </c>
      <c r="E602" s="28" t="s">
        <v>3167</v>
      </c>
      <c r="F602" s="65" t="s">
        <v>3195</v>
      </c>
      <c r="G602" s="66" t="s">
        <v>1239</v>
      </c>
      <c r="I602" s="99">
        <v>13</v>
      </c>
    </row>
    <row r="603" spans="1:27" hidden="1" x14ac:dyDescent="0.2">
      <c r="A603" s="46" t="s">
        <v>2867</v>
      </c>
      <c r="B603" s="12" t="s">
        <v>2868</v>
      </c>
      <c r="C603" s="13">
        <v>16</v>
      </c>
      <c r="D603" s="14" t="s">
        <v>2895</v>
      </c>
      <c r="E603" s="28" t="s">
        <v>2869</v>
      </c>
      <c r="F603" s="65" t="s">
        <v>2896</v>
      </c>
      <c r="G603" s="66" t="s">
        <v>19</v>
      </c>
    </row>
    <row r="604" spans="1:27" hidden="1" x14ac:dyDescent="0.2">
      <c r="A604" s="46" t="s">
        <v>3428</v>
      </c>
      <c r="B604" s="12" t="s">
        <v>3429</v>
      </c>
      <c r="C604" s="13">
        <v>7</v>
      </c>
      <c r="D604" s="12" t="s">
        <v>3439</v>
      </c>
      <c r="E604" s="138" t="s">
        <v>3430</v>
      </c>
      <c r="F604" s="65" t="s">
        <v>3440</v>
      </c>
      <c r="G604" s="66" t="s">
        <v>19</v>
      </c>
    </row>
    <row r="605" spans="1:27" hidden="1" x14ac:dyDescent="0.2">
      <c r="A605" s="46" t="s">
        <v>4657</v>
      </c>
      <c r="B605" s="12" t="s">
        <v>4658</v>
      </c>
      <c r="C605" s="13">
        <v>6</v>
      </c>
      <c r="D605" s="41" t="s">
        <v>2895</v>
      </c>
      <c r="E605" s="138" t="s">
        <v>4659</v>
      </c>
      <c r="F605" s="65" t="s">
        <v>4666</v>
      </c>
      <c r="G605" s="66" t="s">
        <v>19</v>
      </c>
    </row>
    <row r="606" spans="1:27" hidden="1" x14ac:dyDescent="0.25">
      <c r="A606" s="46" t="s">
        <v>6189</v>
      </c>
      <c r="B606" s="12" t="s">
        <v>6247</v>
      </c>
      <c r="C606" s="13">
        <v>12</v>
      </c>
      <c r="D606" s="12" t="s">
        <v>2895</v>
      </c>
      <c r="E606" s="28" t="s">
        <v>6191</v>
      </c>
      <c r="F606" s="12" t="s">
        <v>6250</v>
      </c>
      <c r="G606" s="15" t="s">
        <v>1239</v>
      </c>
      <c r="I606" s="9">
        <v>15</v>
      </c>
    </row>
    <row r="607" spans="1:27" ht="12.75" hidden="1" thickBot="1" x14ac:dyDescent="0.3">
      <c r="A607" s="47" t="s">
        <v>6371</v>
      </c>
      <c r="B607" s="30" t="s">
        <v>6372</v>
      </c>
      <c r="C607" s="31">
        <v>12</v>
      </c>
      <c r="D607" s="159" t="s">
        <v>2895</v>
      </c>
      <c r="E607" s="32" t="s">
        <v>6373</v>
      </c>
      <c r="F607" s="30" t="s">
        <v>6406</v>
      </c>
      <c r="G607" s="33" t="s">
        <v>1239</v>
      </c>
      <c r="I607" s="9">
        <v>15</v>
      </c>
    </row>
    <row r="608" spans="1:27" s="40" customFormat="1" hidden="1" x14ac:dyDescent="0.25">
      <c r="A608" s="114" t="s">
        <v>5921</v>
      </c>
      <c r="B608" s="61" t="s">
        <v>5922</v>
      </c>
      <c r="C608" s="58">
        <v>14</v>
      </c>
      <c r="D608" s="204" t="s">
        <v>5943</v>
      </c>
      <c r="E608" s="89" t="s">
        <v>5923</v>
      </c>
      <c r="F608" s="61" t="s">
        <v>5944</v>
      </c>
      <c r="G608" s="15" t="s">
        <v>684</v>
      </c>
      <c r="H608" s="8"/>
      <c r="I608" s="101" t="s">
        <v>5818</v>
      </c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s="40" customFormat="1" hidden="1" x14ac:dyDescent="0.2">
      <c r="A609" s="46" t="s">
        <v>3034</v>
      </c>
      <c r="B609" s="12" t="s">
        <v>3035</v>
      </c>
      <c r="C609" s="13">
        <f>+C608+1</f>
        <v>15</v>
      </c>
      <c r="D609" s="8" t="s">
        <v>3042</v>
      </c>
      <c r="E609" s="28" t="s">
        <v>3036</v>
      </c>
      <c r="F609" s="8" t="s">
        <v>3043</v>
      </c>
      <c r="G609" s="66" t="s">
        <v>19</v>
      </c>
      <c r="H609" s="8"/>
      <c r="I609" s="90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s="40" customFormat="1" hidden="1" x14ac:dyDescent="0.2">
      <c r="A610" s="46" t="s">
        <v>1142</v>
      </c>
      <c r="B610" s="12" t="s">
        <v>1143</v>
      </c>
      <c r="C610" s="13">
        <v>16</v>
      </c>
      <c r="D610" s="14" t="s">
        <v>1169</v>
      </c>
      <c r="E610" s="28" t="s">
        <v>1144</v>
      </c>
      <c r="F610" s="12" t="s">
        <v>1170</v>
      </c>
      <c r="G610" s="15" t="s">
        <v>19</v>
      </c>
      <c r="H610" s="8"/>
      <c r="I610" s="90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s="40" customFormat="1" hidden="1" x14ac:dyDescent="0.2">
      <c r="A611" s="46" t="s">
        <v>1142</v>
      </c>
      <c r="B611" s="12" t="s">
        <v>1143</v>
      </c>
      <c r="C611" s="13">
        <v>9</v>
      </c>
      <c r="D611" s="14" t="s">
        <v>1156</v>
      </c>
      <c r="E611" s="28" t="s">
        <v>1144</v>
      </c>
      <c r="F611" s="12" t="s">
        <v>1157</v>
      </c>
      <c r="G611" s="15" t="s">
        <v>19</v>
      </c>
      <c r="H611" s="8"/>
      <c r="I611" s="90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s="40" customFormat="1" hidden="1" x14ac:dyDescent="0.2">
      <c r="A612" s="46" t="s">
        <v>1142</v>
      </c>
      <c r="B612" s="12" t="s">
        <v>1143</v>
      </c>
      <c r="C612" s="13">
        <v>8</v>
      </c>
      <c r="D612" s="14" t="s">
        <v>1154</v>
      </c>
      <c r="E612" s="28" t="s">
        <v>1144</v>
      </c>
      <c r="F612" s="12" t="s">
        <v>1155</v>
      </c>
      <c r="G612" s="15" t="s">
        <v>19</v>
      </c>
      <c r="H612" s="8"/>
      <c r="I612" s="90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s="10" customFormat="1" hidden="1" x14ac:dyDescent="0.2">
      <c r="A613" s="46" t="s">
        <v>4375</v>
      </c>
      <c r="B613" s="12" t="s">
        <v>4376</v>
      </c>
      <c r="C613" s="13">
        <f>C612+1</f>
        <v>9</v>
      </c>
      <c r="D613" s="12" t="s">
        <v>4387</v>
      </c>
      <c r="E613" s="28" t="s">
        <v>4377</v>
      </c>
      <c r="F613" s="12" t="s">
        <v>4388</v>
      </c>
      <c r="G613" s="66" t="s">
        <v>19</v>
      </c>
      <c r="H613" s="8"/>
      <c r="I613" s="90" t="s">
        <v>2426</v>
      </c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s="10" customFormat="1" ht="12.75" hidden="1" thickBot="1" x14ac:dyDescent="0.25">
      <c r="A614" s="47" t="s">
        <v>3034</v>
      </c>
      <c r="B614" s="30" t="s">
        <v>3035</v>
      </c>
      <c r="C614" s="31">
        <f>+C613+1</f>
        <v>10</v>
      </c>
      <c r="D614" s="221" t="s">
        <v>3040</v>
      </c>
      <c r="E614" s="32" t="s">
        <v>3036</v>
      </c>
      <c r="F614" s="55" t="s">
        <v>3041</v>
      </c>
      <c r="G614" s="68" t="s">
        <v>19</v>
      </c>
      <c r="H614" s="8"/>
      <c r="I614" s="90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idden="1" x14ac:dyDescent="0.2">
      <c r="A615" s="35" t="s">
        <v>3458</v>
      </c>
      <c r="B615" s="12" t="s">
        <v>3459</v>
      </c>
      <c r="C615" s="13">
        <v>36</v>
      </c>
      <c r="D615" s="118" t="s">
        <v>3524</v>
      </c>
      <c r="E615" s="138" t="s">
        <v>3460</v>
      </c>
      <c r="F615" s="65" t="s">
        <v>3525</v>
      </c>
      <c r="G615" s="66" t="s">
        <v>1239</v>
      </c>
      <c r="I615" s="99">
        <v>13</v>
      </c>
    </row>
    <row r="616" spans="1:27" hidden="1" x14ac:dyDescent="0.2">
      <c r="A616" s="35" t="s">
        <v>3633</v>
      </c>
      <c r="B616" s="12" t="s">
        <v>3634</v>
      </c>
      <c r="C616" s="13">
        <v>37</v>
      </c>
      <c r="D616" s="118" t="s">
        <v>3524</v>
      </c>
      <c r="E616" s="138" t="s">
        <v>3635</v>
      </c>
      <c r="F616" s="65" t="s">
        <v>3680</v>
      </c>
      <c r="G616" s="66" t="s">
        <v>1239</v>
      </c>
      <c r="I616" s="99">
        <v>13</v>
      </c>
    </row>
    <row r="617" spans="1:27" hidden="1" x14ac:dyDescent="0.2">
      <c r="A617" s="35" t="s">
        <v>4087</v>
      </c>
      <c r="B617" s="12" t="s">
        <v>4088</v>
      </c>
      <c r="C617" s="13">
        <f t="shared" ref="C617:C624" si="0">C616+1</f>
        <v>38</v>
      </c>
      <c r="D617" s="118" t="s">
        <v>3524</v>
      </c>
      <c r="E617" s="28" t="s">
        <v>4089</v>
      </c>
      <c r="F617" s="12" t="s">
        <v>4126</v>
      </c>
      <c r="G617" s="66" t="s">
        <v>1239</v>
      </c>
      <c r="I617" s="99">
        <v>13</v>
      </c>
    </row>
    <row r="618" spans="1:27" hidden="1" x14ac:dyDescent="0.2">
      <c r="A618" s="35" t="s">
        <v>4212</v>
      </c>
      <c r="B618" s="12" t="s">
        <v>4213</v>
      </c>
      <c r="C618" s="13">
        <f t="shared" si="0"/>
        <v>39</v>
      </c>
      <c r="D618" s="118" t="s">
        <v>3524</v>
      </c>
      <c r="E618" s="28" t="s">
        <v>4214</v>
      </c>
      <c r="F618" s="12" t="s">
        <v>4251</v>
      </c>
      <c r="G618" s="66" t="s">
        <v>1239</v>
      </c>
      <c r="I618" s="99">
        <v>13</v>
      </c>
    </row>
    <row r="619" spans="1:27" hidden="1" x14ac:dyDescent="0.2">
      <c r="A619" s="35" t="s">
        <v>4087</v>
      </c>
      <c r="B619" s="12" t="s">
        <v>4088</v>
      </c>
      <c r="C619" s="13">
        <f t="shared" si="0"/>
        <v>40</v>
      </c>
      <c r="D619" s="118" t="s">
        <v>4156</v>
      </c>
      <c r="E619" s="28" t="s">
        <v>4089</v>
      </c>
      <c r="F619" s="12" t="s">
        <v>4157</v>
      </c>
      <c r="G619" s="66" t="s">
        <v>1239</v>
      </c>
      <c r="I619" s="99">
        <v>13</v>
      </c>
    </row>
    <row r="620" spans="1:27" hidden="1" x14ac:dyDescent="0.2">
      <c r="A620" s="35" t="s">
        <v>4212</v>
      </c>
      <c r="B620" s="12" t="s">
        <v>4213</v>
      </c>
      <c r="C620" s="13">
        <f t="shared" si="0"/>
        <v>41</v>
      </c>
      <c r="D620" s="118" t="s">
        <v>4156</v>
      </c>
      <c r="E620" s="28" t="s">
        <v>4214</v>
      </c>
      <c r="F620" s="12" t="s">
        <v>4281</v>
      </c>
      <c r="G620" s="66" t="s">
        <v>1239</v>
      </c>
      <c r="I620" s="99">
        <v>13</v>
      </c>
    </row>
    <row r="621" spans="1:27" hidden="1" x14ac:dyDescent="0.2">
      <c r="A621" s="35" t="s">
        <v>3458</v>
      </c>
      <c r="B621" s="12" t="s">
        <v>3459</v>
      </c>
      <c r="C621" s="13">
        <f t="shared" si="0"/>
        <v>42</v>
      </c>
      <c r="D621" s="118" t="s">
        <v>3556</v>
      </c>
      <c r="E621" s="138" t="s">
        <v>3460</v>
      </c>
      <c r="F621" s="65" t="s">
        <v>3557</v>
      </c>
      <c r="G621" s="66" t="s">
        <v>1239</v>
      </c>
      <c r="I621" s="99">
        <v>13</v>
      </c>
    </row>
    <row r="622" spans="1:27" hidden="1" x14ac:dyDescent="0.2">
      <c r="A622" s="35" t="s">
        <v>3633</v>
      </c>
      <c r="B622" s="12" t="s">
        <v>3634</v>
      </c>
      <c r="C622" s="13">
        <f t="shared" si="0"/>
        <v>43</v>
      </c>
      <c r="D622" s="118" t="s">
        <v>3556</v>
      </c>
      <c r="E622" s="138" t="s">
        <v>3635</v>
      </c>
      <c r="F622" s="65" t="s">
        <v>3698</v>
      </c>
      <c r="G622" s="66" t="s">
        <v>1239</v>
      </c>
      <c r="I622" s="99">
        <v>13</v>
      </c>
    </row>
    <row r="623" spans="1:27" ht="12.75" hidden="1" thickBot="1" x14ac:dyDescent="0.25">
      <c r="A623" s="47" t="s">
        <v>4087</v>
      </c>
      <c r="B623" s="30" t="s">
        <v>4088</v>
      </c>
      <c r="C623" s="31">
        <f t="shared" si="0"/>
        <v>44</v>
      </c>
      <c r="D623" s="159" t="s">
        <v>3556</v>
      </c>
      <c r="E623" s="32" t="s">
        <v>4089</v>
      </c>
      <c r="F623" s="30" t="s">
        <v>4135</v>
      </c>
      <c r="G623" s="68" t="s">
        <v>1239</v>
      </c>
      <c r="I623" s="99">
        <v>13</v>
      </c>
    </row>
    <row r="624" spans="1:27" hidden="1" x14ac:dyDescent="0.2">
      <c r="A624" s="35" t="s">
        <v>4212</v>
      </c>
      <c r="B624" s="12" t="s">
        <v>4213</v>
      </c>
      <c r="C624" s="13">
        <f t="shared" si="0"/>
        <v>45</v>
      </c>
      <c r="D624" s="12" t="s">
        <v>3556</v>
      </c>
      <c r="E624" s="28" t="s">
        <v>4214</v>
      </c>
      <c r="F624" s="12" t="s">
        <v>4260</v>
      </c>
      <c r="G624" s="66" t="s">
        <v>1239</v>
      </c>
      <c r="I624" s="99">
        <v>13</v>
      </c>
    </row>
    <row r="625" spans="1:9" hidden="1" x14ac:dyDescent="0.2">
      <c r="A625" s="35" t="s">
        <v>3165</v>
      </c>
      <c r="B625" s="12" t="s">
        <v>3166</v>
      </c>
      <c r="C625" s="13">
        <v>52</v>
      </c>
      <c r="D625" s="12" t="s">
        <v>3244</v>
      </c>
      <c r="E625" s="28" t="s">
        <v>3167</v>
      </c>
      <c r="F625" s="65" t="s">
        <v>3245</v>
      </c>
      <c r="G625" s="66" t="s">
        <v>1239</v>
      </c>
      <c r="I625" s="99">
        <v>13</v>
      </c>
    </row>
    <row r="626" spans="1:9" hidden="1" x14ac:dyDescent="0.2">
      <c r="A626" s="35" t="s">
        <v>2631</v>
      </c>
      <c r="B626" s="12" t="s">
        <v>2632</v>
      </c>
      <c r="C626" s="13">
        <v>44</v>
      </c>
      <c r="D626" s="14" t="s">
        <v>2715</v>
      </c>
      <c r="E626" s="28" t="s">
        <v>2634</v>
      </c>
      <c r="F626" s="65" t="s">
        <v>2716</v>
      </c>
      <c r="G626" s="66" t="s">
        <v>1239</v>
      </c>
      <c r="I626" s="99">
        <v>13</v>
      </c>
    </row>
    <row r="627" spans="1:9" hidden="1" x14ac:dyDescent="0.2">
      <c r="A627" s="35" t="s">
        <v>2631</v>
      </c>
      <c r="B627" s="12" t="s">
        <v>2632</v>
      </c>
      <c r="C627" s="13">
        <v>16</v>
      </c>
      <c r="D627" s="14" t="s">
        <v>2659</v>
      </c>
      <c r="E627" s="28" t="s">
        <v>2634</v>
      </c>
      <c r="F627" s="65" t="s">
        <v>2660</v>
      </c>
      <c r="G627" s="66" t="s">
        <v>1239</v>
      </c>
      <c r="I627" s="99">
        <v>13</v>
      </c>
    </row>
    <row r="628" spans="1:9" hidden="1" x14ac:dyDescent="0.2">
      <c r="A628" s="35" t="s">
        <v>2440</v>
      </c>
      <c r="B628" s="12" t="s">
        <v>2441</v>
      </c>
      <c r="C628" s="13">
        <v>10</v>
      </c>
      <c r="D628" s="14" t="s">
        <v>2458</v>
      </c>
      <c r="E628" s="28" t="s">
        <v>2442</v>
      </c>
      <c r="F628" s="12" t="s">
        <v>2459</v>
      </c>
      <c r="G628" s="15" t="s">
        <v>19</v>
      </c>
    </row>
    <row r="629" spans="1:9" hidden="1" x14ac:dyDescent="0.2">
      <c r="A629" s="35" t="s">
        <v>2440</v>
      </c>
      <c r="B629" s="12" t="s">
        <v>2441</v>
      </c>
      <c r="C629" s="13">
        <v>11</v>
      </c>
      <c r="D629" s="14" t="s">
        <v>2460</v>
      </c>
      <c r="E629" s="28" t="s">
        <v>2442</v>
      </c>
      <c r="F629" s="12" t="s">
        <v>2461</v>
      </c>
      <c r="G629" s="15" t="s">
        <v>19</v>
      </c>
    </row>
    <row r="630" spans="1:9" hidden="1" x14ac:dyDescent="0.2">
      <c r="A630" s="35" t="s">
        <v>2440</v>
      </c>
      <c r="B630" s="12" t="s">
        <v>2441</v>
      </c>
      <c r="C630" s="13">
        <v>12</v>
      </c>
      <c r="D630" s="14" t="s">
        <v>2462</v>
      </c>
      <c r="E630" s="28" t="s">
        <v>2442</v>
      </c>
      <c r="F630" s="12" t="s">
        <v>2463</v>
      </c>
      <c r="G630" s="15" t="s">
        <v>19</v>
      </c>
    </row>
    <row r="631" spans="1:9" hidden="1" x14ac:dyDescent="0.2">
      <c r="A631" s="35" t="s">
        <v>2440</v>
      </c>
      <c r="B631" s="12" t="s">
        <v>2441</v>
      </c>
      <c r="C631" s="13">
        <v>13</v>
      </c>
      <c r="D631" s="14" t="s">
        <v>2464</v>
      </c>
      <c r="E631" s="28" t="s">
        <v>2442</v>
      </c>
      <c r="F631" s="12" t="s">
        <v>2465</v>
      </c>
      <c r="G631" s="15" t="s">
        <v>19</v>
      </c>
    </row>
    <row r="632" spans="1:9" hidden="1" x14ac:dyDescent="0.2">
      <c r="A632" s="35" t="s">
        <v>2631</v>
      </c>
      <c r="B632" s="12" t="s">
        <v>2632</v>
      </c>
      <c r="C632" s="13">
        <v>43</v>
      </c>
      <c r="D632" s="14" t="s">
        <v>2713</v>
      </c>
      <c r="E632" s="28" t="s">
        <v>2634</v>
      </c>
      <c r="F632" s="65" t="s">
        <v>2714</v>
      </c>
      <c r="G632" s="66" t="s">
        <v>1239</v>
      </c>
      <c r="I632" s="99">
        <v>13</v>
      </c>
    </row>
    <row r="633" spans="1:9" hidden="1" x14ac:dyDescent="0.2">
      <c r="A633" s="35" t="s">
        <v>2631</v>
      </c>
      <c r="B633" s="12" t="s">
        <v>2632</v>
      </c>
      <c r="C633" s="13">
        <v>15</v>
      </c>
      <c r="D633" s="14" t="s">
        <v>2657</v>
      </c>
      <c r="E633" s="28" t="s">
        <v>2634</v>
      </c>
      <c r="F633" s="65" t="s">
        <v>2658</v>
      </c>
      <c r="G633" s="66" t="s">
        <v>1239</v>
      </c>
      <c r="I633" s="99">
        <v>13</v>
      </c>
    </row>
    <row r="634" spans="1:9" hidden="1" x14ac:dyDescent="0.2">
      <c r="A634" s="35" t="s">
        <v>2867</v>
      </c>
      <c r="B634" s="12" t="s">
        <v>2868</v>
      </c>
      <c r="C634" s="13">
        <v>45</v>
      </c>
      <c r="D634" s="14" t="s">
        <v>2948</v>
      </c>
      <c r="E634" s="28" t="s">
        <v>2869</v>
      </c>
      <c r="F634" s="65" t="s">
        <v>2949</v>
      </c>
      <c r="G634" s="66" t="s">
        <v>19</v>
      </c>
    </row>
    <row r="635" spans="1:9" hidden="1" x14ac:dyDescent="0.2">
      <c r="A635" s="35" t="s">
        <v>3741</v>
      </c>
      <c r="B635" s="12" t="s">
        <v>3742</v>
      </c>
      <c r="C635" s="13">
        <v>14</v>
      </c>
      <c r="D635" s="12" t="s">
        <v>2948</v>
      </c>
      <c r="E635" s="138" t="s">
        <v>3743</v>
      </c>
      <c r="F635" s="65" t="s">
        <v>3760</v>
      </c>
      <c r="G635" s="66" t="s">
        <v>19</v>
      </c>
    </row>
    <row r="636" spans="1:9" hidden="1" x14ac:dyDescent="0.2">
      <c r="A636" s="35" t="s">
        <v>3458</v>
      </c>
      <c r="B636" s="12" t="s">
        <v>3459</v>
      </c>
      <c r="C636" s="13">
        <v>25</v>
      </c>
      <c r="D636" s="12" t="s">
        <v>3502</v>
      </c>
      <c r="E636" s="138" t="s">
        <v>3460</v>
      </c>
      <c r="F636" s="65" t="s">
        <v>3503</v>
      </c>
      <c r="G636" s="66" t="s">
        <v>862</v>
      </c>
      <c r="I636" s="94">
        <v>14</v>
      </c>
    </row>
    <row r="637" spans="1:9" hidden="1" x14ac:dyDescent="0.2">
      <c r="A637" s="35" t="s">
        <v>3633</v>
      </c>
      <c r="B637" s="12" t="s">
        <v>3634</v>
      </c>
      <c r="C637" s="13">
        <v>26</v>
      </c>
      <c r="D637" s="12" t="s">
        <v>3502</v>
      </c>
      <c r="E637" s="138" t="s">
        <v>3635</v>
      </c>
      <c r="F637" s="65" t="s">
        <v>3666</v>
      </c>
      <c r="G637" s="66" t="s">
        <v>862</v>
      </c>
      <c r="I637" s="94">
        <v>14</v>
      </c>
    </row>
    <row r="638" spans="1:9" hidden="1" x14ac:dyDescent="0.2">
      <c r="A638" s="35" t="s">
        <v>3458</v>
      </c>
      <c r="B638" s="12" t="s">
        <v>3459</v>
      </c>
      <c r="C638" s="13">
        <v>26</v>
      </c>
      <c r="D638" s="12" t="s">
        <v>3504</v>
      </c>
      <c r="E638" s="138" t="s">
        <v>3460</v>
      </c>
      <c r="F638" s="65" t="s">
        <v>3505</v>
      </c>
      <c r="G638" s="66" t="s">
        <v>862</v>
      </c>
      <c r="I638" s="94">
        <v>14</v>
      </c>
    </row>
    <row r="639" spans="1:9" hidden="1" x14ac:dyDescent="0.2">
      <c r="A639" s="35" t="s">
        <v>4087</v>
      </c>
      <c r="B639" s="12" t="s">
        <v>4088</v>
      </c>
      <c r="C639" s="13">
        <f>C638+1</f>
        <v>27</v>
      </c>
      <c r="D639" s="12" t="s">
        <v>3504</v>
      </c>
      <c r="E639" s="28" t="s">
        <v>4089</v>
      </c>
      <c r="F639" s="12" t="s">
        <v>4117</v>
      </c>
      <c r="G639" s="66" t="s">
        <v>862</v>
      </c>
      <c r="I639" s="94" t="s">
        <v>3570</v>
      </c>
    </row>
    <row r="640" spans="1:9" hidden="1" x14ac:dyDescent="0.2">
      <c r="A640" s="35" t="s">
        <v>2631</v>
      </c>
      <c r="B640" s="12" t="s">
        <v>2632</v>
      </c>
      <c r="C640" s="13">
        <v>42</v>
      </c>
      <c r="D640" s="14" t="s">
        <v>2711</v>
      </c>
      <c r="E640" s="28" t="s">
        <v>2634</v>
      </c>
      <c r="F640" s="65" t="s">
        <v>2712</v>
      </c>
      <c r="G640" s="66" t="s">
        <v>862</v>
      </c>
      <c r="I640" s="94">
        <v>14</v>
      </c>
    </row>
    <row r="641" spans="1:9" hidden="1" x14ac:dyDescent="0.2">
      <c r="A641" s="35" t="s">
        <v>3165</v>
      </c>
      <c r="B641" s="12" t="s">
        <v>3166</v>
      </c>
      <c r="C641" s="13">
        <v>39</v>
      </c>
      <c r="D641" s="12" t="s">
        <v>2711</v>
      </c>
      <c r="E641" s="28" t="s">
        <v>3167</v>
      </c>
      <c r="F641" s="65" t="s">
        <v>3220</v>
      </c>
      <c r="G641" s="66" t="s">
        <v>862</v>
      </c>
      <c r="I641" s="94">
        <v>14</v>
      </c>
    </row>
    <row r="642" spans="1:9" ht="12.75" hidden="1" thickBot="1" x14ac:dyDescent="0.25">
      <c r="A642" s="47" t="s">
        <v>3633</v>
      </c>
      <c r="B642" s="30" t="s">
        <v>3634</v>
      </c>
      <c r="C642" s="31">
        <v>27</v>
      </c>
      <c r="D642" s="30" t="s">
        <v>3667</v>
      </c>
      <c r="E642" s="140" t="s">
        <v>3635</v>
      </c>
      <c r="F642" s="67" t="s">
        <v>3668</v>
      </c>
      <c r="G642" s="68" t="s">
        <v>862</v>
      </c>
      <c r="I642" s="94">
        <v>14</v>
      </c>
    </row>
    <row r="643" spans="1:9" hidden="1" x14ac:dyDescent="0.2">
      <c r="A643" s="35" t="s">
        <v>3763</v>
      </c>
      <c r="B643" s="12" t="s">
        <v>3764</v>
      </c>
      <c r="C643" s="13">
        <v>12</v>
      </c>
      <c r="D643" s="12" t="s">
        <v>3667</v>
      </c>
      <c r="E643" s="28" t="s">
        <v>3765</v>
      </c>
      <c r="F643" s="65" t="s">
        <v>3779</v>
      </c>
      <c r="G643" s="66" t="s">
        <v>126</v>
      </c>
    </row>
    <row r="644" spans="1:9" hidden="1" x14ac:dyDescent="0.2">
      <c r="A644" s="35" t="s">
        <v>3839</v>
      </c>
      <c r="B644" s="12" t="s">
        <v>3840</v>
      </c>
      <c r="C644" s="13">
        <v>11</v>
      </c>
      <c r="D644" s="12" t="s">
        <v>3667</v>
      </c>
      <c r="E644" s="28" t="s">
        <v>3841</v>
      </c>
      <c r="F644" s="65" t="s">
        <v>3853</v>
      </c>
      <c r="G644" s="66" t="s">
        <v>126</v>
      </c>
    </row>
    <row r="645" spans="1:9" hidden="1" x14ac:dyDescent="0.2">
      <c r="A645" s="35" t="s">
        <v>3880</v>
      </c>
      <c r="B645" s="12" t="s">
        <v>3881</v>
      </c>
      <c r="C645" s="13">
        <v>13</v>
      </c>
      <c r="D645" s="12" t="s">
        <v>3667</v>
      </c>
      <c r="E645" s="28" t="s">
        <v>3882</v>
      </c>
      <c r="F645" s="12" t="s">
        <v>3897</v>
      </c>
      <c r="G645" s="66" t="s">
        <v>126</v>
      </c>
    </row>
    <row r="646" spans="1:9" hidden="1" x14ac:dyDescent="0.2">
      <c r="A646" s="35" t="s">
        <v>3914</v>
      </c>
      <c r="B646" s="12" t="s">
        <v>3915</v>
      </c>
      <c r="C646" s="13">
        <v>14</v>
      </c>
      <c r="D646" s="12" t="s">
        <v>3667</v>
      </c>
      <c r="E646" s="28" t="s">
        <v>3916</v>
      </c>
      <c r="F646" s="12" t="s">
        <v>3930</v>
      </c>
      <c r="G646" s="66" t="s">
        <v>126</v>
      </c>
    </row>
    <row r="647" spans="1:9" hidden="1" x14ac:dyDescent="0.2">
      <c r="A647" s="35" t="s">
        <v>4212</v>
      </c>
      <c r="B647" s="12" t="s">
        <v>4213</v>
      </c>
      <c r="C647" s="13">
        <f>C646+1</f>
        <v>15</v>
      </c>
      <c r="D647" s="12" t="s">
        <v>3667</v>
      </c>
      <c r="E647" s="28" t="s">
        <v>4214</v>
      </c>
      <c r="F647" s="12" t="s">
        <v>4242</v>
      </c>
      <c r="G647" s="66" t="s">
        <v>862</v>
      </c>
      <c r="I647" s="94" t="s">
        <v>3570</v>
      </c>
    </row>
    <row r="648" spans="1:9" hidden="1" x14ac:dyDescent="0.2">
      <c r="A648" s="35" t="s">
        <v>3458</v>
      </c>
      <c r="B648" s="12" t="s">
        <v>3459</v>
      </c>
      <c r="C648" s="13">
        <v>42</v>
      </c>
      <c r="D648" s="12" t="s">
        <v>3536</v>
      </c>
      <c r="E648" s="138" t="s">
        <v>3460</v>
      </c>
      <c r="F648" s="65" t="s">
        <v>3537</v>
      </c>
      <c r="G648" s="66" t="s">
        <v>862</v>
      </c>
      <c r="I648" s="94">
        <v>14</v>
      </c>
    </row>
    <row r="649" spans="1:9" hidden="1" x14ac:dyDescent="0.2">
      <c r="A649" s="35" t="s">
        <v>3633</v>
      </c>
      <c r="B649" s="12" t="s">
        <v>3634</v>
      </c>
      <c r="C649" s="13">
        <v>43</v>
      </c>
      <c r="D649" s="12" t="s">
        <v>3536</v>
      </c>
      <c r="E649" s="138" t="s">
        <v>3635</v>
      </c>
      <c r="F649" s="65" t="s">
        <v>3688</v>
      </c>
      <c r="G649" s="66" t="s">
        <v>862</v>
      </c>
      <c r="I649" s="94">
        <v>14</v>
      </c>
    </row>
    <row r="650" spans="1:9" hidden="1" x14ac:dyDescent="0.2">
      <c r="A650" s="35" t="s">
        <v>3763</v>
      </c>
      <c r="B650" s="12" t="s">
        <v>3764</v>
      </c>
      <c r="C650" s="13">
        <v>18</v>
      </c>
      <c r="D650" s="12" t="s">
        <v>3536</v>
      </c>
      <c r="E650" s="28" t="s">
        <v>3765</v>
      </c>
      <c r="F650" s="65" t="s">
        <v>3790</v>
      </c>
      <c r="G650" s="66" t="s">
        <v>126</v>
      </c>
    </row>
    <row r="651" spans="1:9" hidden="1" x14ac:dyDescent="0.2">
      <c r="A651" s="35" t="s">
        <v>3880</v>
      </c>
      <c r="B651" s="12" t="s">
        <v>3881</v>
      </c>
      <c r="C651" s="13">
        <v>21</v>
      </c>
      <c r="D651" s="12" t="s">
        <v>3536</v>
      </c>
      <c r="E651" s="28" t="s">
        <v>3882</v>
      </c>
      <c r="F651" s="12" t="s">
        <v>3907</v>
      </c>
      <c r="G651" s="66" t="s">
        <v>126</v>
      </c>
    </row>
    <row r="652" spans="1:9" hidden="1" x14ac:dyDescent="0.2">
      <c r="A652" s="35" t="s">
        <v>4087</v>
      </c>
      <c r="B652" s="12" t="s">
        <v>4088</v>
      </c>
      <c r="C652" s="13">
        <f>C651+1</f>
        <v>22</v>
      </c>
      <c r="D652" s="12" t="s">
        <v>3536</v>
      </c>
      <c r="E652" s="28" t="s">
        <v>4089</v>
      </c>
      <c r="F652" s="12" t="s">
        <v>4130</v>
      </c>
      <c r="G652" s="66" t="s">
        <v>862</v>
      </c>
      <c r="I652" s="94" t="s">
        <v>3570</v>
      </c>
    </row>
    <row r="653" spans="1:9" hidden="1" x14ac:dyDescent="0.2">
      <c r="A653" s="35" t="s">
        <v>4212</v>
      </c>
      <c r="B653" s="12" t="s">
        <v>4213</v>
      </c>
      <c r="C653" s="13">
        <f>C652+1</f>
        <v>23</v>
      </c>
      <c r="D653" s="12" t="s">
        <v>3536</v>
      </c>
      <c r="E653" s="28" t="s">
        <v>4214</v>
      </c>
      <c r="F653" s="12" t="s">
        <v>4255</v>
      </c>
      <c r="G653" s="66" t="s">
        <v>862</v>
      </c>
      <c r="I653" s="94" t="s">
        <v>3570</v>
      </c>
    </row>
    <row r="654" spans="1:9" hidden="1" x14ac:dyDescent="0.2">
      <c r="A654" s="35" t="s">
        <v>5482</v>
      </c>
      <c r="B654" s="12" t="s">
        <v>5483</v>
      </c>
      <c r="C654" s="13">
        <v>5</v>
      </c>
      <c r="D654" s="167" t="s">
        <v>5490</v>
      </c>
      <c r="E654" s="28" t="s">
        <v>5484</v>
      </c>
      <c r="F654" s="65" t="s">
        <v>5491</v>
      </c>
      <c r="G654" s="15" t="s">
        <v>126</v>
      </c>
    </row>
    <row r="655" spans="1:9" ht="12.75" hidden="1" thickBot="1" x14ac:dyDescent="0.25">
      <c r="A655" s="47" t="s">
        <v>2440</v>
      </c>
      <c r="B655" s="30" t="s">
        <v>2441</v>
      </c>
      <c r="C655" s="31">
        <v>7</v>
      </c>
      <c r="D655" s="69" t="s">
        <v>2452</v>
      </c>
      <c r="E655" s="32" t="s">
        <v>2442</v>
      </c>
      <c r="F655" s="30" t="s">
        <v>2453</v>
      </c>
      <c r="G655" s="33" t="s">
        <v>126</v>
      </c>
    </row>
    <row r="656" spans="1:9" hidden="1" x14ac:dyDescent="0.2">
      <c r="A656" s="56" t="s">
        <v>2440</v>
      </c>
      <c r="B656" s="61" t="s">
        <v>2441</v>
      </c>
      <c r="C656" s="58">
        <v>9</v>
      </c>
      <c r="D656" s="73" t="s">
        <v>2456</v>
      </c>
      <c r="E656" s="89" t="s">
        <v>2442</v>
      </c>
      <c r="F656" s="61" t="s">
        <v>2457</v>
      </c>
      <c r="G656" s="62" t="s">
        <v>126</v>
      </c>
    </row>
    <row r="657" spans="1:9" hidden="1" x14ac:dyDescent="0.2">
      <c r="A657" s="11" t="s">
        <v>2440</v>
      </c>
      <c r="B657" s="12" t="s">
        <v>2441</v>
      </c>
      <c r="C657" s="13">
        <v>6</v>
      </c>
      <c r="D657" s="14" t="s">
        <v>2450</v>
      </c>
      <c r="E657" s="28" t="s">
        <v>2442</v>
      </c>
      <c r="F657" s="12" t="s">
        <v>2451</v>
      </c>
      <c r="G657" s="15" t="s">
        <v>126</v>
      </c>
    </row>
    <row r="658" spans="1:9" hidden="1" x14ac:dyDescent="0.2">
      <c r="A658" s="11" t="s">
        <v>2440</v>
      </c>
      <c r="B658" s="12" t="s">
        <v>2441</v>
      </c>
      <c r="C658" s="13">
        <v>8</v>
      </c>
      <c r="D658" s="14" t="s">
        <v>2454</v>
      </c>
      <c r="E658" s="28" t="s">
        <v>2442</v>
      </c>
      <c r="F658" s="12" t="s">
        <v>2455</v>
      </c>
      <c r="G658" s="15" t="s">
        <v>126</v>
      </c>
    </row>
    <row r="659" spans="1:9" hidden="1" x14ac:dyDescent="0.2">
      <c r="A659" s="11" t="s">
        <v>2631</v>
      </c>
      <c r="B659" s="12" t="s">
        <v>2632</v>
      </c>
      <c r="C659" s="13">
        <v>14</v>
      </c>
      <c r="D659" s="14" t="s">
        <v>2655</v>
      </c>
      <c r="E659" s="28" t="s">
        <v>2634</v>
      </c>
      <c r="F659" s="65" t="s">
        <v>2656</v>
      </c>
      <c r="G659" s="66" t="s">
        <v>862</v>
      </c>
      <c r="I659" s="94">
        <v>14</v>
      </c>
    </row>
    <row r="660" spans="1:9" hidden="1" x14ac:dyDescent="0.2">
      <c r="A660" s="11" t="s">
        <v>3165</v>
      </c>
      <c r="B660" s="12" t="s">
        <v>3166</v>
      </c>
      <c r="C660" s="13">
        <v>40</v>
      </c>
      <c r="D660" s="12" t="s">
        <v>2655</v>
      </c>
      <c r="E660" s="28" t="s">
        <v>3167</v>
      </c>
      <c r="F660" s="65" t="s">
        <v>3221</v>
      </c>
      <c r="G660" s="66" t="s">
        <v>862</v>
      </c>
      <c r="I660" s="94">
        <v>14</v>
      </c>
    </row>
    <row r="661" spans="1:9" hidden="1" x14ac:dyDescent="0.2">
      <c r="A661" s="11" t="s">
        <v>3458</v>
      </c>
      <c r="B661" s="12" t="s">
        <v>3459</v>
      </c>
      <c r="C661" s="13">
        <v>24</v>
      </c>
      <c r="D661" s="12" t="s">
        <v>3500</v>
      </c>
      <c r="E661" s="138" t="s">
        <v>3460</v>
      </c>
      <c r="F661" s="65" t="s">
        <v>3501</v>
      </c>
      <c r="G661" s="66" t="s">
        <v>862</v>
      </c>
      <c r="I661" s="94">
        <v>14</v>
      </c>
    </row>
    <row r="662" spans="1:9" hidden="1" x14ac:dyDescent="0.2">
      <c r="A662" s="11" t="s">
        <v>3633</v>
      </c>
      <c r="B662" s="12" t="s">
        <v>3634</v>
      </c>
      <c r="C662" s="13">
        <v>25</v>
      </c>
      <c r="D662" s="12" t="s">
        <v>3500</v>
      </c>
      <c r="E662" s="138" t="s">
        <v>3635</v>
      </c>
      <c r="F662" s="65" t="s">
        <v>3665</v>
      </c>
      <c r="G662" s="66" t="s">
        <v>862</v>
      </c>
      <c r="I662" s="94">
        <v>14</v>
      </c>
    </row>
    <row r="663" spans="1:9" hidden="1" x14ac:dyDescent="0.2">
      <c r="A663" s="11" t="s">
        <v>3633</v>
      </c>
      <c r="B663" s="12" t="s">
        <v>3634</v>
      </c>
      <c r="C663" s="13">
        <v>42</v>
      </c>
      <c r="D663" s="12" t="s">
        <v>3686</v>
      </c>
      <c r="E663" s="138" t="s">
        <v>3635</v>
      </c>
      <c r="F663" s="65" t="s">
        <v>3687</v>
      </c>
      <c r="G663" s="66" t="s">
        <v>862</v>
      </c>
      <c r="I663" s="94">
        <v>14</v>
      </c>
    </row>
    <row r="664" spans="1:9" hidden="1" x14ac:dyDescent="0.2">
      <c r="A664" s="11" t="s">
        <v>3458</v>
      </c>
      <c r="B664" s="12" t="s">
        <v>3459</v>
      </c>
      <c r="C664" s="13">
        <v>41</v>
      </c>
      <c r="D664" s="12" t="s">
        <v>3534</v>
      </c>
      <c r="E664" s="138" t="s">
        <v>3460</v>
      </c>
      <c r="F664" s="65" t="s">
        <v>3535</v>
      </c>
      <c r="G664" s="66" t="s">
        <v>862</v>
      </c>
      <c r="I664" s="94">
        <v>14</v>
      </c>
    </row>
    <row r="665" spans="1:9" hidden="1" x14ac:dyDescent="0.2">
      <c r="A665" s="11" t="s">
        <v>3763</v>
      </c>
      <c r="B665" s="12" t="s">
        <v>3764</v>
      </c>
      <c r="C665" s="13">
        <v>11</v>
      </c>
      <c r="D665" s="12" t="s">
        <v>3534</v>
      </c>
      <c r="E665" s="28" t="s">
        <v>3765</v>
      </c>
      <c r="F665" s="65" t="s">
        <v>3778</v>
      </c>
      <c r="G665" s="66" t="s">
        <v>126</v>
      </c>
    </row>
    <row r="666" spans="1:9" hidden="1" x14ac:dyDescent="0.2">
      <c r="A666" s="11" t="s">
        <v>3839</v>
      </c>
      <c r="B666" s="12" t="s">
        <v>3840</v>
      </c>
      <c r="C666" s="13">
        <v>12</v>
      </c>
      <c r="D666" s="12" t="s">
        <v>3534</v>
      </c>
      <c r="E666" s="28" t="s">
        <v>3841</v>
      </c>
      <c r="F666" s="65" t="s">
        <v>3854</v>
      </c>
      <c r="G666" s="66" t="s">
        <v>126</v>
      </c>
    </row>
    <row r="667" spans="1:9" hidden="1" x14ac:dyDescent="0.2">
      <c r="A667" s="11" t="s">
        <v>3880</v>
      </c>
      <c r="B667" s="12" t="s">
        <v>3881</v>
      </c>
      <c r="C667" s="13">
        <v>18</v>
      </c>
      <c r="D667" s="12" t="s">
        <v>3903</v>
      </c>
      <c r="E667" s="28" t="s">
        <v>3882</v>
      </c>
      <c r="F667" s="12" t="s">
        <v>3904</v>
      </c>
      <c r="G667" s="66" t="s">
        <v>126</v>
      </c>
    </row>
    <row r="668" spans="1:9" hidden="1" x14ac:dyDescent="0.2">
      <c r="A668" s="11" t="s">
        <v>3914</v>
      </c>
      <c r="B668" s="12" t="s">
        <v>3915</v>
      </c>
      <c r="C668" s="13">
        <v>13</v>
      </c>
      <c r="D668" s="12" t="s">
        <v>3903</v>
      </c>
      <c r="E668" s="28" t="s">
        <v>3916</v>
      </c>
      <c r="F668" s="12" t="s">
        <v>3929</v>
      </c>
      <c r="G668" s="66" t="s">
        <v>126</v>
      </c>
    </row>
    <row r="669" spans="1:9" hidden="1" x14ac:dyDescent="0.2">
      <c r="A669" s="11" t="s">
        <v>2393</v>
      </c>
      <c r="B669" s="12" t="s">
        <v>2394</v>
      </c>
      <c r="C669" s="13">
        <v>4</v>
      </c>
      <c r="D669" s="14" t="s">
        <v>2400</v>
      </c>
      <c r="E669" s="28" t="s">
        <v>2395</v>
      </c>
      <c r="F669" s="12" t="s">
        <v>2401</v>
      </c>
      <c r="G669" s="15" t="s">
        <v>126</v>
      </c>
    </row>
    <row r="670" spans="1:9" hidden="1" x14ac:dyDescent="0.2">
      <c r="A670" s="11" t="s">
        <v>2867</v>
      </c>
      <c r="B670" s="12" t="s">
        <v>2868</v>
      </c>
      <c r="C670" s="13">
        <v>44</v>
      </c>
      <c r="D670" s="14" t="s">
        <v>2400</v>
      </c>
      <c r="E670" s="28" t="s">
        <v>2869</v>
      </c>
      <c r="F670" s="65" t="s">
        <v>2947</v>
      </c>
      <c r="G670" s="66" t="s">
        <v>126</v>
      </c>
    </row>
    <row r="671" spans="1:9" hidden="1" x14ac:dyDescent="0.2">
      <c r="A671" s="11" t="s">
        <v>3400</v>
      </c>
      <c r="B671" s="12" t="s">
        <v>3401</v>
      </c>
      <c r="C671" s="13">
        <v>5</v>
      </c>
      <c r="D671" s="12" t="s">
        <v>2400</v>
      </c>
      <c r="E671" s="138" t="s">
        <v>3402</v>
      </c>
      <c r="F671" s="65" t="s">
        <v>3409</v>
      </c>
      <c r="G671" s="66" t="s">
        <v>126</v>
      </c>
    </row>
    <row r="672" spans="1:9" hidden="1" x14ac:dyDescent="0.2">
      <c r="A672" s="11" t="s">
        <v>3741</v>
      </c>
      <c r="B672" s="12" t="s">
        <v>3742</v>
      </c>
      <c r="C672" s="13">
        <v>8</v>
      </c>
      <c r="D672" s="12" t="s">
        <v>2400</v>
      </c>
      <c r="E672" s="138" t="s">
        <v>3743</v>
      </c>
      <c r="F672" s="65" t="s">
        <v>3753</v>
      </c>
      <c r="G672" s="66" t="s">
        <v>32</v>
      </c>
    </row>
    <row r="673" spans="1:10" hidden="1" x14ac:dyDescent="0.2">
      <c r="A673" s="11" t="s">
        <v>4347</v>
      </c>
      <c r="B673" s="12" t="s">
        <v>4348</v>
      </c>
      <c r="C673" s="13">
        <f>C672+1</f>
        <v>9</v>
      </c>
      <c r="D673" s="12" t="s">
        <v>2400</v>
      </c>
      <c r="E673" s="28" t="s">
        <v>4349</v>
      </c>
      <c r="F673" s="12" t="s">
        <v>4354</v>
      </c>
      <c r="G673" s="66" t="s">
        <v>126</v>
      </c>
      <c r="I673" s="90" t="s">
        <v>2426</v>
      </c>
    </row>
    <row r="674" spans="1:10" hidden="1" x14ac:dyDescent="0.2">
      <c r="A674" s="11" t="s">
        <v>3034</v>
      </c>
      <c r="B674" s="12" t="s">
        <v>3035</v>
      </c>
      <c r="C674" s="13">
        <f>+C673+1</f>
        <v>10</v>
      </c>
      <c r="D674" s="8" t="s">
        <v>3071</v>
      </c>
      <c r="E674" s="28" t="s">
        <v>3036</v>
      </c>
      <c r="F674" s="8" t="s">
        <v>3072</v>
      </c>
      <c r="G674" s="66" t="s">
        <v>103</v>
      </c>
    </row>
    <row r="675" spans="1:10" hidden="1" x14ac:dyDescent="0.2">
      <c r="A675" s="11" t="s">
        <v>1242</v>
      </c>
      <c r="B675" s="12" t="s">
        <v>1243</v>
      </c>
      <c r="C675" s="13">
        <v>4</v>
      </c>
      <c r="D675" s="37" t="s">
        <v>1249</v>
      </c>
      <c r="E675" s="28" t="s">
        <v>1244</v>
      </c>
      <c r="F675" s="22" t="s">
        <v>1250</v>
      </c>
      <c r="G675" s="15" t="s">
        <v>13</v>
      </c>
    </row>
    <row r="676" spans="1:10" hidden="1" x14ac:dyDescent="0.25">
      <c r="A676" s="146" t="s">
        <v>5004</v>
      </c>
      <c r="B676" s="12" t="s">
        <v>5005</v>
      </c>
      <c r="C676" s="13">
        <v>6</v>
      </c>
      <c r="D676" s="12" t="s">
        <v>5013</v>
      </c>
      <c r="E676" s="28" t="s">
        <v>5006</v>
      </c>
      <c r="F676" s="8" t="s">
        <v>5014</v>
      </c>
      <c r="G676" s="80" t="s">
        <v>13</v>
      </c>
    </row>
    <row r="677" spans="1:10" hidden="1" x14ac:dyDescent="0.25">
      <c r="A677" s="146" t="s">
        <v>5004</v>
      </c>
      <c r="B677" s="12" t="s">
        <v>5005</v>
      </c>
      <c r="C677" s="13">
        <v>5</v>
      </c>
      <c r="D677" s="12" t="s">
        <v>5011</v>
      </c>
      <c r="E677" s="28" t="s">
        <v>5006</v>
      </c>
      <c r="F677" s="8" t="s">
        <v>5012</v>
      </c>
      <c r="G677" s="80" t="s">
        <v>13</v>
      </c>
    </row>
    <row r="678" spans="1:10" hidden="1" x14ac:dyDescent="0.25">
      <c r="A678" s="11" t="s">
        <v>1454</v>
      </c>
      <c r="B678" s="12" t="s">
        <v>1455</v>
      </c>
      <c r="C678" s="13">
        <v>5</v>
      </c>
      <c r="D678" s="12" t="s">
        <v>1461</v>
      </c>
      <c r="E678" s="28" t="s">
        <v>1456</v>
      </c>
      <c r="F678" s="12" t="s">
        <v>1462</v>
      </c>
      <c r="G678" s="15" t="s">
        <v>13</v>
      </c>
    </row>
    <row r="679" spans="1:10" hidden="1" x14ac:dyDescent="0.2">
      <c r="A679" s="11" t="s">
        <v>3956</v>
      </c>
      <c r="B679" s="12" t="s">
        <v>3957</v>
      </c>
      <c r="C679" s="13">
        <v>5</v>
      </c>
      <c r="D679" s="12" t="s">
        <v>1461</v>
      </c>
      <c r="E679" s="28" t="s">
        <v>3958</v>
      </c>
      <c r="F679" s="12" t="s">
        <v>3964</v>
      </c>
      <c r="G679" s="66" t="s">
        <v>13</v>
      </c>
    </row>
    <row r="680" spans="1:10" hidden="1" x14ac:dyDescent="0.2">
      <c r="A680" s="11" t="s">
        <v>1000</v>
      </c>
      <c r="B680" s="12" t="s">
        <v>1001</v>
      </c>
      <c r="C680" s="13">
        <v>4</v>
      </c>
      <c r="D680" s="14" t="s">
        <v>1006</v>
      </c>
      <c r="E680" s="28" t="s">
        <v>1002</v>
      </c>
      <c r="F680" s="12" t="s">
        <v>1007</v>
      </c>
      <c r="G680" s="15" t="s">
        <v>829</v>
      </c>
      <c r="I680" s="9">
        <v>15</v>
      </c>
    </row>
    <row r="681" spans="1:10" ht="15" hidden="1" x14ac:dyDescent="0.25">
      <c r="A681" s="11" t="s">
        <v>2215</v>
      </c>
      <c r="B681" s="8" t="s">
        <v>2216</v>
      </c>
      <c r="C681" s="13">
        <v>9</v>
      </c>
      <c r="D681" s="12" t="s">
        <v>2233</v>
      </c>
      <c r="E681" s="28" t="s">
        <v>2217</v>
      </c>
      <c r="F681" s="12" t="s">
        <v>2234</v>
      </c>
      <c r="G681" s="15" t="s">
        <v>780</v>
      </c>
      <c r="I681" s="54">
        <v>15</v>
      </c>
      <c r="J681" s="60"/>
    </row>
    <row r="682" spans="1:10" hidden="1" x14ac:dyDescent="0.2">
      <c r="A682" s="11" t="s">
        <v>93</v>
      </c>
      <c r="B682" s="12" t="s">
        <v>94</v>
      </c>
      <c r="C682" s="13">
        <v>29</v>
      </c>
      <c r="D682" s="14" t="s">
        <v>154</v>
      </c>
      <c r="E682" s="28" t="s">
        <v>96</v>
      </c>
      <c r="F682" s="12" t="s">
        <v>155</v>
      </c>
      <c r="G682" s="15" t="s">
        <v>156</v>
      </c>
    </row>
    <row r="683" spans="1:10" hidden="1" x14ac:dyDescent="0.25">
      <c r="A683" s="11" t="s">
        <v>1421</v>
      </c>
      <c r="B683" s="12" t="s">
        <v>1422</v>
      </c>
      <c r="C683" s="13">
        <v>14</v>
      </c>
      <c r="D683" s="12" t="s">
        <v>1442</v>
      </c>
      <c r="E683" s="28" t="s">
        <v>1423</v>
      </c>
      <c r="F683" s="12" t="s">
        <v>1443</v>
      </c>
      <c r="G683" s="15" t="s">
        <v>19</v>
      </c>
    </row>
    <row r="684" spans="1:10" hidden="1" x14ac:dyDescent="0.2">
      <c r="A684" s="11" t="s">
        <v>2541</v>
      </c>
      <c r="B684" s="12" t="s">
        <v>2542</v>
      </c>
      <c r="C684" s="13">
        <v>8</v>
      </c>
      <c r="D684" s="14" t="s">
        <v>2553</v>
      </c>
      <c r="E684" s="28" t="s">
        <v>2543</v>
      </c>
      <c r="F684" s="12" t="s">
        <v>2554</v>
      </c>
      <c r="G684" s="15" t="s">
        <v>19</v>
      </c>
    </row>
    <row r="685" spans="1:10" hidden="1" x14ac:dyDescent="0.2">
      <c r="A685" s="11" t="s">
        <v>3956</v>
      </c>
      <c r="B685" s="12" t="s">
        <v>3957</v>
      </c>
      <c r="C685" s="13">
        <v>17</v>
      </c>
      <c r="D685" s="12" t="s">
        <v>3986</v>
      </c>
      <c r="E685" s="28" t="s">
        <v>3958</v>
      </c>
      <c r="F685" s="12" t="s">
        <v>3987</v>
      </c>
      <c r="G685" s="66" t="s">
        <v>19</v>
      </c>
    </row>
    <row r="686" spans="1:10" hidden="1" x14ac:dyDescent="0.2">
      <c r="A686" s="11" t="s">
        <v>2555</v>
      </c>
      <c r="B686" s="12" t="s">
        <v>2556</v>
      </c>
      <c r="C686" s="13">
        <v>5</v>
      </c>
      <c r="D686" s="14" t="s">
        <v>2562</v>
      </c>
      <c r="E686" s="28" t="s">
        <v>2557</v>
      </c>
      <c r="F686" s="12" t="s">
        <v>2563</v>
      </c>
      <c r="G686" s="15" t="s">
        <v>19</v>
      </c>
    </row>
    <row r="687" spans="1:10" hidden="1" x14ac:dyDescent="0.2">
      <c r="A687" s="11" t="s">
        <v>3956</v>
      </c>
      <c r="B687" s="12" t="s">
        <v>3957</v>
      </c>
      <c r="C687" s="13">
        <v>15</v>
      </c>
      <c r="D687" s="12" t="s">
        <v>3982</v>
      </c>
      <c r="E687" s="28" t="s">
        <v>3958</v>
      </c>
      <c r="F687" s="12" t="s">
        <v>3983</v>
      </c>
      <c r="G687" s="66" t="s">
        <v>19</v>
      </c>
    </row>
    <row r="688" spans="1:10" hidden="1" x14ac:dyDescent="0.2">
      <c r="A688" s="11" t="s">
        <v>3956</v>
      </c>
      <c r="B688" s="12" t="s">
        <v>3957</v>
      </c>
      <c r="C688" s="13">
        <v>16</v>
      </c>
      <c r="D688" s="12" t="s">
        <v>3984</v>
      </c>
      <c r="E688" s="28" t="s">
        <v>3958</v>
      </c>
      <c r="F688" s="12" t="s">
        <v>3985</v>
      </c>
      <c r="G688" s="66" t="s">
        <v>19</v>
      </c>
    </row>
    <row r="689" spans="1:10" hidden="1" x14ac:dyDescent="0.2">
      <c r="A689" s="11" t="s">
        <v>3956</v>
      </c>
      <c r="B689" s="12" t="s">
        <v>3957</v>
      </c>
      <c r="C689" s="13">
        <v>14</v>
      </c>
      <c r="D689" s="12" t="s">
        <v>3980</v>
      </c>
      <c r="E689" s="28" t="s">
        <v>3958</v>
      </c>
      <c r="F689" s="12" t="s">
        <v>3981</v>
      </c>
      <c r="G689" s="66" t="s">
        <v>19</v>
      </c>
    </row>
    <row r="690" spans="1:10" ht="12.75" hidden="1" thickBot="1" x14ac:dyDescent="0.25">
      <c r="A690" s="36" t="s">
        <v>2541</v>
      </c>
      <c r="B690" s="30" t="s">
        <v>2542</v>
      </c>
      <c r="C690" s="31">
        <v>5</v>
      </c>
      <c r="D690" s="14" t="s">
        <v>2548</v>
      </c>
      <c r="E690" s="32" t="s">
        <v>2543</v>
      </c>
      <c r="F690" s="12" t="s">
        <v>2549</v>
      </c>
      <c r="G690" s="15" t="s">
        <v>19</v>
      </c>
    </row>
    <row r="691" spans="1:10" hidden="1" x14ac:dyDescent="0.25">
      <c r="A691" s="56" t="s">
        <v>6017</v>
      </c>
      <c r="B691" s="61" t="s">
        <v>6018</v>
      </c>
      <c r="C691" s="58">
        <v>15</v>
      </c>
      <c r="D691" s="204" t="s">
        <v>6044</v>
      </c>
      <c r="E691" s="61" t="s">
        <v>6019</v>
      </c>
      <c r="F691" s="61" t="s">
        <v>6045</v>
      </c>
      <c r="G691" s="62" t="s">
        <v>6041</v>
      </c>
      <c r="I691" s="99">
        <v>13</v>
      </c>
    </row>
    <row r="692" spans="1:10" ht="15" hidden="1" x14ac:dyDescent="0.25">
      <c r="A692" s="11" t="s">
        <v>6252</v>
      </c>
      <c r="B692" s="12" t="s">
        <v>6253</v>
      </c>
      <c r="C692" s="13">
        <f>C691+1</f>
        <v>16</v>
      </c>
      <c r="D692" s="118" t="s">
        <v>6044</v>
      </c>
      <c r="E692" s="12" t="s">
        <v>6254</v>
      </c>
      <c r="F692" s="12" t="s">
        <v>6281</v>
      </c>
      <c r="G692" s="15" t="s">
        <v>1239</v>
      </c>
      <c r="I692" s="9">
        <v>15</v>
      </c>
      <c r="J692" s="52"/>
    </row>
    <row r="693" spans="1:10" hidden="1" x14ac:dyDescent="0.2">
      <c r="A693" s="11" t="s">
        <v>319</v>
      </c>
      <c r="B693" s="12" t="s">
        <v>320</v>
      </c>
      <c r="C693" s="13">
        <v>13</v>
      </c>
      <c r="D693" s="27" t="s">
        <v>344</v>
      </c>
      <c r="E693" s="12" t="s">
        <v>321</v>
      </c>
      <c r="F693" s="12" t="s">
        <v>345</v>
      </c>
      <c r="G693" s="15" t="s">
        <v>13</v>
      </c>
    </row>
    <row r="694" spans="1:10" hidden="1" x14ac:dyDescent="0.2">
      <c r="A694" s="11" t="s">
        <v>943</v>
      </c>
      <c r="B694" s="12" t="s">
        <v>944</v>
      </c>
      <c r="C694" s="13">
        <v>15</v>
      </c>
      <c r="D694" s="27" t="s">
        <v>971</v>
      </c>
      <c r="E694" s="12" t="s">
        <v>945</v>
      </c>
      <c r="F694" s="12" t="s">
        <v>972</v>
      </c>
      <c r="G694" s="15" t="s">
        <v>881</v>
      </c>
      <c r="I694" s="9">
        <v>15</v>
      </c>
    </row>
    <row r="695" spans="1:10" hidden="1" x14ac:dyDescent="0.25">
      <c r="A695" s="11" t="s">
        <v>1464</v>
      </c>
      <c r="B695" s="12" t="s">
        <v>1465</v>
      </c>
      <c r="C695" s="13">
        <v>14</v>
      </c>
      <c r="D695" s="118" t="s">
        <v>1488</v>
      </c>
      <c r="E695" s="12" t="s">
        <v>1466</v>
      </c>
      <c r="F695" s="12" t="s">
        <v>1489</v>
      </c>
      <c r="G695" s="15" t="s">
        <v>126</v>
      </c>
    </row>
    <row r="696" spans="1:10" hidden="1" x14ac:dyDescent="0.25">
      <c r="A696" s="11" t="s">
        <v>1031</v>
      </c>
      <c r="B696" s="12" t="s">
        <v>1032</v>
      </c>
      <c r="C696" s="13">
        <v>21</v>
      </c>
      <c r="D696" s="76" t="s">
        <v>1072</v>
      </c>
      <c r="E696" s="12" t="s">
        <v>1033</v>
      </c>
      <c r="F696" s="12" t="s">
        <v>1073</v>
      </c>
      <c r="G696" s="15" t="s">
        <v>862</v>
      </c>
      <c r="I696" s="9">
        <v>15</v>
      </c>
    </row>
    <row r="697" spans="1:10" hidden="1" x14ac:dyDescent="0.2">
      <c r="A697" s="11" t="s">
        <v>5559</v>
      </c>
      <c r="B697" s="12" t="s">
        <v>5560</v>
      </c>
      <c r="C697" s="13">
        <f>C696+1</f>
        <v>22</v>
      </c>
      <c r="D697" s="118" t="s">
        <v>5607</v>
      </c>
      <c r="E697" s="12" t="s">
        <v>5561</v>
      </c>
      <c r="F697" s="12" t="s">
        <v>5608</v>
      </c>
      <c r="G697" s="66" t="s">
        <v>42</v>
      </c>
      <c r="I697" s="90">
        <v>12</v>
      </c>
    </row>
    <row r="698" spans="1:10" hidden="1" x14ac:dyDescent="0.25">
      <c r="A698" s="11" t="s">
        <v>6688</v>
      </c>
      <c r="B698" s="12" t="s">
        <v>6689</v>
      </c>
      <c r="C698" s="13">
        <v>5</v>
      </c>
      <c r="D698" s="118" t="s">
        <v>6697</v>
      </c>
      <c r="E698" s="12" t="s">
        <v>6690</v>
      </c>
      <c r="F698" s="12" t="s">
        <v>6698</v>
      </c>
      <c r="G698" s="15" t="s">
        <v>78</v>
      </c>
    </row>
    <row r="699" spans="1:10" ht="15" hidden="1" x14ac:dyDescent="0.25">
      <c r="A699" s="11" t="s">
        <v>4583</v>
      </c>
      <c r="B699" s="12" t="s">
        <v>4584</v>
      </c>
      <c r="C699" s="13">
        <v>10</v>
      </c>
      <c r="D699" s="118" t="s">
        <v>4599</v>
      </c>
      <c r="E699" s="12" t="s">
        <v>4585</v>
      </c>
      <c r="F699" s="12" t="s">
        <v>4600</v>
      </c>
      <c r="G699" s="66" t="s">
        <v>258</v>
      </c>
      <c r="I699" s="9">
        <v>15</v>
      </c>
      <c r="J699" s="52"/>
    </row>
    <row r="700" spans="1:10" ht="15" hidden="1" x14ac:dyDescent="0.25">
      <c r="A700" s="11" t="s">
        <v>4583</v>
      </c>
      <c r="B700" s="12" t="s">
        <v>4584</v>
      </c>
      <c r="C700" s="13">
        <v>19</v>
      </c>
      <c r="D700" s="118" t="s">
        <v>4615</v>
      </c>
      <c r="E700" s="12" t="s">
        <v>4585</v>
      </c>
      <c r="F700" s="12" t="s">
        <v>4616</v>
      </c>
      <c r="G700" s="66" t="s">
        <v>829</v>
      </c>
      <c r="I700" s="9">
        <v>15</v>
      </c>
      <c r="J700" s="52"/>
    </row>
    <row r="701" spans="1:10" hidden="1" x14ac:dyDescent="0.2">
      <c r="A701" s="11" t="s">
        <v>943</v>
      </c>
      <c r="B701" s="12" t="s">
        <v>944</v>
      </c>
      <c r="C701" s="13">
        <v>9</v>
      </c>
      <c r="D701" s="27" t="s">
        <v>959</v>
      </c>
      <c r="E701" s="12" t="s">
        <v>945</v>
      </c>
      <c r="F701" s="12" t="s">
        <v>960</v>
      </c>
      <c r="G701" s="15" t="s">
        <v>832</v>
      </c>
      <c r="I701" s="9">
        <v>15</v>
      </c>
    </row>
    <row r="702" spans="1:10" hidden="1" x14ac:dyDescent="0.2">
      <c r="A702" s="11" t="s">
        <v>757</v>
      </c>
      <c r="B702" s="12" t="s">
        <v>758</v>
      </c>
      <c r="C702" s="13">
        <v>12</v>
      </c>
      <c r="D702" s="27" t="s">
        <v>781</v>
      </c>
      <c r="E702" s="12" t="s">
        <v>759</v>
      </c>
      <c r="F702" s="12" t="s">
        <v>782</v>
      </c>
      <c r="G702" s="15" t="s">
        <v>780</v>
      </c>
      <c r="I702" s="9">
        <v>15</v>
      </c>
    </row>
    <row r="703" spans="1:10" ht="15" hidden="1" x14ac:dyDescent="0.25">
      <c r="A703" s="11" t="s">
        <v>4421</v>
      </c>
      <c r="B703" s="12" t="s">
        <v>4422</v>
      </c>
      <c r="C703" s="13">
        <v>17</v>
      </c>
      <c r="D703" s="118" t="s">
        <v>781</v>
      </c>
      <c r="E703" s="12" t="s">
        <v>4423</v>
      </c>
      <c r="F703" s="12" t="s">
        <v>4452</v>
      </c>
      <c r="G703" s="66" t="s">
        <v>881</v>
      </c>
      <c r="I703" s="9">
        <v>15</v>
      </c>
      <c r="J703" s="52"/>
    </row>
    <row r="704" spans="1:10" ht="15" hidden="1" x14ac:dyDescent="0.25">
      <c r="A704" s="11" t="s">
        <v>4465</v>
      </c>
      <c r="B704" s="12" t="s">
        <v>4466</v>
      </c>
      <c r="C704" s="13">
        <v>23</v>
      </c>
      <c r="D704" s="118" t="s">
        <v>781</v>
      </c>
      <c r="E704" s="12" t="s">
        <v>4467</v>
      </c>
      <c r="F704" s="12" t="s">
        <v>4501</v>
      </c>
      <c r="G704" s="66" t="s">
        <v>881</v>
      </c>
      <c r="I704" s="9">
        <v>15</v>
      </c>
      <c r="J704" s="52"/>
    </row>
    <row r="705" spans="1:27" hidden="1" x14ac:dyDescent="0.2">
      <c r="A705" s="11" t="s">
        <v>4513</v>
      </c>
      <c r="B705" s="12" t="s">
        <v>4514</v>
      </c>
      <c r="C705" s="13">
        <v>17</v>
      </c>
      <c r="D705" s="118" t="s">
        <v>781</v>
      </c>
      <c r="E705" s="12" t="s">
        <v>4515</v>
      </c>
      <c r="F705" s="12" t="s">
        <v>4535</v>
      </c>
      <c r="G705" s="66" t="s">
        <v>881</v>
      </c>
      <c r="I705" s="9">
        <v>15</v>
      </c>
    </row>
    <row r="706" spans="1:27" hidden="1" x14ac:dyDescent="0.2">
      <c r="A706" s="11" t="s">
        <v>3458</v>
      </c>
      <c r="B706" s="12" t="s">
        <v>3459</v>
      </c>
      <c r="C706" s="13">
        <f>C705+1</f>
        <v>18</v>
      </c>
      <c r="D706" s="118" t="s">
        <v>3588</v>
      </c>
      <c r="E706" s="65" t="s">
        <v>3460</v>
      </c>
      <c r="F706" s="65" t="s">
        <v>3589</v>
      </c>
      <c r="G706" s="66" t="s">
        <v>1239</v>
      </c>
      <c r="I706" s="99">
        <v>13</v>
      </c>
    </row>
    <row r="707" spans="1:27" hidden="1" x14ac:dyDescent="0.2">
      <c r="A707" s="11" t="s">
        <v>4087</v>
      </c>
      <c r="B707" s="12" t="s">
        <v>4088</v>
      </c>
      <c r="C707" s="13">
        <f>C706+1</f>
        <v>19</v>
      </c>
      <c r="D707" s="118" t="s">
        <v>3588</v>
      </c>
      <c r="E707" s="12" t="s">
        <v>4089</v>
      </c>
      <c r="F707" s="12" t="s">
        <v>4188</v>
      </c>
      <c r="G707" s="66" t="s">
        <v>1239</v>
      </c>
      <c r="I707" s="99">
        <v>13</v>
      </c>
    </row>
    <row r="708" spans="1:27" hidden="1" x14ac:dyDescent="0.2">
      <c r="A708" s="46" t="s">
        <v>943</v>
      </c>
      <c r="B708" s="12" t="s">
        <v>944</v>
      </c>
      <c r="C708" s="13">
        <v>10</v>
      </c>
      <c r="D708" s="27" t="s">
        <v>961</v>
      </c>
      <c r="E708" s="12" t="s">
        <v>945</v>
      </c>
      <c r="F708" s="12" t="s">
        <v>962</v>
      </c>
      <c r="G708" s="15" t="s">
        <v>829</v>
      </c>
      <c r="I708" s="9">
        <v>15</v>
      </c>
    </row>
    <row r="709" spans="1:27" ht="12.75" hidden="1" thickBot="1" x14ac:dyDescent="0.25">
      <c r="A709" s="47" t="s">
        <v>5244</v>
      </c>
      <c r="B709" s="30" t="s">
        <v>5245</v>
      </c>
      <c r="C709" s="31">
        <v>10</v>
      </c>
      <c r="D709" s="159" t="s">
        <v>5259</v>
      </c>
      <c r="E709" s="32" t="s">
        <v>5246</v>
      </c>
      <c r="F709" s="67" t="s">
        <v>5260</v>
      </c>
      <c r="G709" s="33" t="s">
        <v>126</v>
      </c>
    </row>
    <row r="710" spans="1:27" hidden="1" x14ac:dyDescent="0.2">
      <c r="A710" s="35" t="s">
        <v>5244</v>
      </c>
      <c r="B710" s="12" t="s">
        <v>5245</v>
      </c>
      <c r="C710" s="13">
        <v>11</v>
      </c>
      <c r="D710" s="118" t="s">
        <v>5261</v>
      </c>
      <c r="E710" s="28" t="s">
        <v>5246</v>
      </c>
      <c r="F710" s="65" t="s">
        <v>5262</v>
      </c>
      <c r="G710" s="15" t="s">
        <v>126</v>
      </c>
    </row>
    <row r="711" spans="1:27" hidden="1" x14ac:dyDescent="0.2">
      <c r="A711" s="35" t="s">
        <v>5244</v>
      </c>
      <c r="B711" s="12" t="s">
        <v>5245</v>
      </c>
      <c r="C711" s="13">
        <v>9</v>
      </c>
      <c r="D711" s="12" t="s">
        <v>5257</v>
      </c>
      <c r="E711" s="28" t="s">
        <v>5246</v>
      </c>
      <c r="F711" s="65" t="s">
        <v>5258</v>
      </c>
      <c r="G711" s="15" t="s">
        <v>126</v>
      </c>
    </row>
    <row r="712" spans="1:27" hidden="1" x14ac:dyDescent="0.25">
      <c r="A712" s="35" t="s">
        <v>1031</v>
      </c>
      <c r="B712" s="12" t="s">
        <v>1032</v>
      </c>
      <c r="C712" s="13">
        <v>20</v>
      </c>
      <c r="D712" s="41" t="s">
        <v>1070</v>
      </c>
      <c r="E712" s="28" t="s">
        <v>1033</v>
      </c>
      <c r="F712" s="12" t="s">
        <v>1071</v>
      </c>
      <c r="G712" s="15" t="s">
        <v>862</v>
      </c>
      <c r="I712" s="9">
        <v>15</v>
      </c>
    </row>
    <row r="713" spans="1:27" hidden="1" x14ac:dyDescent="0.25">
      <c r="A713" s="188" t="s">
        <v>2130</v>
      </c>
      <c r="B713" s="121" t="s">
        <v>2131</v>
      </c>
      <c r="C713" s="122">
        <v>8</v>
      </c>
      <c r="D713" s="123" t="s">
        <v>2143</v>
      </c>
      <c r="E713" s="124" t="s">
        <v>2132</v>
      </c>
      <c r="F713" s="123" t="s">
        <v>2144</v>
      </c>
      <c r="G713" s="125" t="s">
        <v>126</v>
      </c>
      <c r="H713" s="121"/>
      <c r="I713" s="126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  <c r="AA713" s="121"/>
    </row>
    <row r="714" spans="1:27" hidden="1" x14ac:dyDescent="0.25">
      <c r="A714" s="35" t="s">
        <v>5559</v>
      </c>
      <c r="B714" s="12" t="s">
        <v>5560</v>
      </c>
      <c r="C714" s="13">
        <v>11</v>
      </c>
      <c r="D714" s="12" t="s">
        <v>2143</v>
      </c>
      <c r="E714" s="28" t="s">
        <v>5561</v>
      </c>
      <c r="F714" s="12" t="s">
        <v>5579</v>
      </c>
      <c r="G714" s="80" t="s">
        <v>126</v>
      </c>
    </row>
    <row r="715" spans="1:27" hidden="1" x14ac:dyDescent="0.25">
      <c r="A715" s="188" t="s">
        <v>2130</v>
      </c>
      <c r="B715" s="121" t="s">
        <v>2131</v>
      </c>
      <c r="C715" s="122">
        <v>9</v>
      </c>
      <c r="D715" s="123" t="s">
        <v>2145</v>
      </c>
      <c r="E715" s="124" t="s">
        <v>2132</v>
      </c>
      <c r="F715" s="123" t="s">
        <v>2146</v>
      </c>
      <c r="G715" s="125" t="s">
        <v>126</v>
      </c>
      <c r="H715" s="121"/>
      <c r="I715" s="126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  <c r="AA715" s="121"/>
    </row>
    <row r="716" spans="1:27" hidden="1" x14ac:dyDescent="0.25">
      <c r="A716" s="35" t="s">
        <v>5559</v>
      </c>
      <c r="B716" s="12" t="s">
        <v>5560</v>
      </c>
      <c r="C716" s="13">
        <v>10</v>
      </c>
      <c r="D716" s="12" t="s">
        <v>2145</v>
      </c>
      <c r="E716" s="28" t="s">
        <v>5561</v>
      </c>
      <c r="F716" s="12" t="s">
        <v>5578</v>
      </c>
      <c r="G716" s="80" t="s">
        <v>126</v>
      </c>
    </row>
    <row r="717" spans="1:27" hidden="1" x14ac:dyDescent="0.25">
      <c r="A717" s="35" t="s">
        <v>5559</v>
      </c>
      <c r="B717" s="12" t="s">
        <v>5560</v>
      </c>
      <c r="C717" s="13">
        <v>14</v>
      </c>
      <c r="D717" s="12" t="s">
        <v>5584</v>
      </c>
      <c r="E717" s="28" t="s">
        <v>5561</v>
      </c>
      <c r="F717" s="12" t="s">
        <v>5585</v>
      </c>
      <c r="G717" s="80" t="s">
        <v>126</v>
      </c>
    </row>
    <row r="718" spans="1:27" hidden="1" x14ac:dyDescent="0.25">
      <c r="A718" s="35" t="s">
        <v>5559</v>
      </c>
      <c r="B718" s="12" t="s">
        <v>5560</v>
      </c>
      <c r="C718" s="13">
        <v>13</v>
      </c>
      <c r="D718" s="12" t="s">
        <v>5582</v>
      </c>
      <c r="E718" s="28" t="s">
        <v>5561</v>
      </c>
      <c r="F718" s="12" t="s">
        <v>5583</v>
      </c>
      <c r="G718" s="80" t="s">
        <v>126</v>
      </c>
    </row>
    <row r="719" spans="1:27" ht="24" hidden="1" x14ac:dyDescent="0.25">
      <c r="A719" s="35" t="s">
        <v>1882</v>
      </c>
      <c r="B719" s="12" t="s">
        <v>1883</v>
      </c>
      <c r="C719" s="13">
        <v>19</v>
      </c>
      <c r="D719" s="51" t="s">
        <v>1918</v>
      </c>
      <c r="E719" s="28" t="s">
        <v>1884</v>
      </c>
      <c r="F719" s="12" t="s">
        <v>1919</v>
      </c>
      <c r="G719" s="15" t="s">
        <v>780</v>
      </c>
      <c r="I719" s="9">
        <v>15</v>
      </c>
    </row>
    <row r="720" spans="1:27" ht="24" hidden="1" x14ac:dyDescent="0.25">
      <c r="A720" s="35" t="s">
        <v>1818</v>
      </c>
      <c r="B720" s="12" t="s">
        <v>1819</v>
      </c>
      <c r="C720" s="13">
        <v>28</v>
      </c>
      <c r="D720" s="12" t="s">
        <v>1873</v>
      </c>
      <c r="E720" s="28" t="s">
        <v>1820</v>
      </c>
      <c r="F720" s="12" t="s">
        <v>1874</v>
      </c>
      <c r="G720" s="15" t="s">
        <v>780</v>
      </c>
      <c r="I720" s="9">
        <v>15</v>
      </c>
    </row>
    <row r="721" spans="1:9" ht="24" hidden="1" x14ac:dyDescent="0.25">
      <c r="A721" s="35" t="s">
        <v>1818</v>
      </c>
      <c r="B721" s="12" t="s">
        <v>1819</v>
      </c>
      <c r="C721" s="13">
        <v>31</v>
      </c>
      <c r="D721" s="12" t="s">
        <v>1880</v>
      </c>
      <c r="E721" s="28" t="s">
        <v>1820</v>
      </c>
      <c r="F721" s="12" t="s">
        <v>1881</v>
      </c>
      <c r="G721" s="15" t="s">
        <v>780</v>
      </c>
      <c r="I721" s="9">
        <v>15</v>
      </c>
    </row>
    <row r="722" spans="1:9" hidden="1" x14ac:dyDescent="0.25">
      <c r="A722" s="35" t="s">
        <v>1383</v>
      </c>
      <c r="B722" s="12" t="s">
        <v>1384</v>
      </c>
      <c r="C722" s="13">
        <v>13</v>
      </c>
      <c r="D722" s="12" t="s">
        <v>1407</v>
      </c>
      <c r="E722" s="28" t="s">
        <v>1385</v>
      </c>
      <c r="F722" s="12" t="s">
        <v>1408</v>
      </c>
      <c r="G722" s="15" t="s">
        <v>126</v>
      </c>
    </row>
    <row r="723" spans="1:9" hidden="1" x14ac:dyDescent="0.25">
      <c r="A723" s="35" t="s">
        <v>5686</v>
      </c>
      <c r="B723" s="12" t="s">
        <v>5687</v>
      </c>
      <c r="C723" s="13">
        <f>C722+1</f>
        <v>14</v>
      </c>
      <c r="D723" s="12" t="s">
        <v>5809</v>
      </c>
      <c r="E723" s="28" t="s">
        <v>5688</v>
      </c>
      <c r="F723" s="12" t="s">
        <v>5810</v>
      </c>
      <c r="G723" s="15" t="s">
        <v>337</v>
      </c>
      <c r="I723" s="90">
        <v>12</v>
      </c>
    </row>
    <row r="724" spans="1:9" hidden="1" x14ac:dyDescent="0.25">
      <c r="A724" s="35" t="s">
        <v>5686</v>
      </c>
      <c r="B724" s="12" t="s">
        <v>5687</v>
      </c>
      <c r="C724" s="13">
        <f>C723+1</f>
        <v>15</v>
      </c>
      <c r="D724" s="12" t="s">
        <v>5795</v>
      </c>
      <c r="E724" s="28" t="s">
        <v>5688</v>
      </c>
      <c r="F724" s="12" t="s">
        <v>5796</v>
      </c>
      <c r="G724" s="15" t="s">
        <v>337</v>
      </c>
      <c r="I724" s="90">
        <v>12</v>
      </c>
    </row>
    <row r="725" spans="1:9" hidden="1" x14ac:dyDescent="0.25">
      <c r="A725" s="35" t="s">
        <v>5686</v>
      </c>
      <c r="B725" s="12" t="s">
        <v>5687</v>
      </c>
      <c r="C725" s="13">
        <f>C724+1</f>
        <v>16</v>
      </c>
      <c r="D725" s="12" t="s">
        <v>5738</v>
      </c>
      <c r="E725" s="28" t="s">
        <v>5688</v>
      </c>
      <c r="F725" s="12" t="s">
        <v>5739</v>
      </c>
      <c r="G725" s="15" t="s">
        <v>337</v>
      </c>
      <c r="I725" s="90">
        <v>12</v>
      </c>
    </row>
    <row r="726" spans="1:9" hidden="1" x14ac:dyDescent="0.2">
      <c r="A726" s="35" t="s">
        <v>2631</v>
      </c>
      <c r="B726" s="12" t="s">
        <v>2632</v>
      </c>
      <c r="C726" s="13">
        <f>C725+1</f>
        <v>17</v>
      </c>
      <c r="D726" s="14" t="s">
        <v>2808</v>
      </c>
      <c r="E726" s="28" t="s">
        <v>2634</v>
      </c>
      <c r="F726" s="65" t="s">
        <v>2809</v>
      </c>
      <c r="G726" s="66" t="s">
        <v>2810</v>
      </c>
      <c r="I726" s="99">
        <v>13</v>
      </c>
    </row>
    <row r="727" spans="1:9" hidden="1" x14ac:dyDescent="0.2">
      <c r="A727" s="35" t="s">
        <v>3165</v>
      </c>
      <c r="B727" s="12" t="s">
        <v>3166</v>
      </c>
      <c r="C727" s="13">
        <f>C726+1</f>
        <v>18</v>
      </c>
      <c r="D727" s="12" t="s">
        <v>3313</v>
      </c>
      <c r="E727" s="28" t="s">
        <v>3167</v>
      </c>
      <c r="F727" s="12" t="s">
        <v>3314</v>
      </c>
      <c r="G727" s="66" t="s">
        <v>3315</v>
      </c>
      <c r="I727" s="99">
        <v>13</v>
      </c>
    </row>
    <row r="728" spans="1:9" hidden="1" x14ac:dyDescent="0.25">
      <c r="A728" s="35" t="s">
        <v>5686</v>
      </c>
      <c r="B728" s="12" t="s">
        <v>5687</v>
      </c>
      <c r="C728" s="13">
        <v>91</v>
      </c>
      <c r="D728" s="12" t="s">
        <v>5860</v>
      </c>
      <c r="E728" s="28" t="s">
        <v>5688</v>
      </c>
      <c r="F728" s="12" t="s">
        <v>5861</v>
      </c>
      <c r="G728" s="15" t="s">
        <v>5862</v>
      </c>
      <c r="I728" s="79">
        <v>15</v>
      </c>
    </row>
    <row r="729" spans="1:9" ht="12.75" hidden="1" thickBot="1" x14ac:dyDescent="0.3">
      <c r="A729" s="47" t="s">
        <v>1568</v>
      </c>
      <c r="B729" s="30" t="s">
        <v>1569</v>
      </c>
      <c r="C729" s="31">
        <v>26</v>
      </c>
      <c r="D729" s="30" t="s">
        <v>1621</v>
      </c>
      <c r="E729" s="32" t="s">
        <v>1570</v>
      </c>
      <c r="F729" s="30" t="s">
        <v>1622</v>
      </c>
      <c r="G729" s="33" t="s">
        <v>1623</v>
      </c>
      <c r="I729" s="94">
        <v>14</v>
      </c>
    </row>
    <row r="730" spans="1:9" hidden="1" x14ac:dyDescent="0.2">
      <c r="A730" s="35" t="s">
        <v>585</v>
      </c>
      <c r="B730" s="12" t="s">
        <v>586</v>
      </c>
      <c r="C730" s="13">
        <v>25</v>
      </c>
      <c r="D730" s="27" t="s">
        <v>635</v>
      </c>
      <c r="E730" s="28" t="s">
        <v>587</v>
      </c>
      <c r="F730" s="12" t="s">
        <v>636</v>
      </c>
      <c r="G730" s="15" t="s">
        <v>595</v>
      </c>
      <c r="I730" s="99">
        <v>13</v>
      </c>
    </row>
    <row r="731" spans="1:9" hidden="1" x14ac:dyDescent="0.2">
      <c r="A731" s="35" t="s">
        <v>1122</v>
      </c>
      <c r="B731" s="12" t="s">
        <v>1123</v>
      </c>
      <c r="C731" s="13">
        <v>9</v>
      </c>
      <c r="D731" s="14" t="s">
        <v>1139</v>
      </c>
      <c r="E731" s="28" t="s">
        <v>1124</v>
      </c>
      <c r="F731" s="12" t="s">
        <v>1140</v>
      </c>
      <c r="G731" s="15" t="s">
        <v>156</v>
      </c>
    </row>
    <row r="732" spans="1:9" hidden="1" x14ac:dyDescent="0.2">
      <c r="A732" s="35" t="s">
        <v>1122</v>
      </c>
      <c r="B732" s="12" t="s">
        <v>1123</v>
      </c>
      <c r="C732" s="13">
        <v>8</v>
      </c>
      <c r="D732" s="14" t="s">
        <v>1137</v>
      </c>
      <c r="E732" s="28" t="s">
        <v>1124</v>
      </c>
      <c r="F732" s="12" t="s">
        <v>1138</v>
      </c>
      <c r="G732" s="15" t="s">
        <v>78</v>
      </c>
    </row>
    <row r="733" spans="1:9" hidden="1" x14ac:dyDescent="0.2">
      <c r="A733" s="35" t="s">
        <v>3799</v>
      </c>
      <c r="B733" s="12" t="s">
        <v>3800</v>
      </c>
      <c r="C733" s="13">
        <v>15</v>
      </c>
      <c r="D733" s="12" t="s">
        <v>3817</v>
      </c>
      <c r="E733" s="28" t="s">
        <v>3801</v>
      </c>
      <c r="F733" s="65" t="s">
        <v>3818</v>
      </c>
      <c r="G733" s="66" t="s">
        <v>13</v>
      </c>
    </row>
    <row r="734" spans="1:9" hidden="1" x14ac:dyDescent="0.2">
      <c r="A734" s="35" t="s">
        <v>3858</v>
      </c>
      <c r="B734" s="12" t="s">
        <v>3859</v>
      </c>
      <c r="C734" s="13">
        <v>15</v>
      </c>
      <c r="D734" s="12" t="s">
        <v>3817</v>
      </c>
      <c r="E734" s="28" t="s">
        <v>3860</v>
      </c>
      <c r="F734" s="65" t="s">
        <v>3875</v>
      </c>
      <c r="G734" s="66" t="s">
        <v>13</v>
      </c>
    </row>
    <row r="735" spans="1:9" hidden="1" x14ac:dyDescent="0.2">
      <c r="A735" s="35" t="s">
        <v>3458</v>
      </c>
      <c r="B735" s="12" t="s">
        <v>3459</v>
      </c>
      <c r="C735" s="13">
        <v>19</v>
      </c>
      <c r="D735" s="12" t="s">
        <v>3490</v>
      </c>
      <c r="E735" s="138" t="s">
        <v>3460</v>
      </c>
      <c r="F735" s="65" t="s">
        <v>3491</v>
      </c>
      <c r="G735" s="66" t="s">
        <v>13</v>
      </c>
    </row>
    <row r="736" spans="1:9" hidden="1" x14ac:dyDescent="0.2">
      <c r="A736" s="56" t="s">
        <v>3633</v>
      </c>
      <c r="B736" s="61" t="s">
        <v>3634</v>
      </c>
      <c r="C736" s="58">
        <v>20</v>
      </c>
      <c r="D736" s="61" t="s">
        <v>3490</v>
      </c>
      <c r="E736" s="74" t="s">
        <v>3635</v>
      </c>
      <c r="F736" s="74" t="s">
        <v>3658</v>
      </c>
      <c r="G736" s="129" t="s">
        <v>13</v>
      </c>
    </row>
    <row r="737" spans="1:9" hidden="1" x14ac:dyDescent="0.2">
      <c r="A737" s="11" t="s">
        <v>4087</v>
      </c>
      <c r="B737" s="12" t="s">
        <v>4088</v>
      </c>
      <c r="C737" s="13">
        <f>C736+1</f>
        <v>21</v>
      </c>
      <c r="D737" s="12" t="s">
        <v>3490</v>
      </c>
      <c r="E737" s="12" t="s">
        <v>4089</v>
      </c>
      <c r="F737" s="12" t="s">
        <v>4112</v>
      </c>
      <c r="G737" s="66" t="s">
        <v>13</v>
      </c>
      <c r="I737" s="90" t="s">
        <v>2426</v>
      </c>
    </row>
    <row r="738" spans="1:9" hidden="1" x14ac:dyDescent="0.2">
      <c r="A738" s="11" t="s">
        <v>4212</v>
      </c>
      <c r="B738" s="12" t="s">
        <v>4213</v>
      </c>
      <c r="C738" s="13">
        <f>C737+1</f>
        <v>22</v>
      </c>
      <c r="D738" s="12" t="s">
        <v>3490</v>
      </c>
      <c r="E738" s="12" t="s">
        <v>4214</v>
      </c>
      <c r="F738" s="12" t="s">
        <v>4236</v>
      </c>
      <c r="G738" s="66" t="s">
        <v>13</v>
      </c>
      <c r="I738" s="90" t="s">
        <v>2426</v>
      </c>
    </row>
    <row r="739" spans="1:9" hidden="1" x14ac:dyDescent="0.2">
      <c r="A739" s="11" t="s">
        <v>3633</v>
      </c>
      <c r="B739" s="12" t="s">
        <v>3634</v>
      </c>
      <c r="C739" s="13">
        <v>21</v>
      </c>
      <c r="D739" s="12" t="s">
        <v>3659</v>
      </c>
      <c r="E739" s="65" t="s">
        <v>3635</v>
      </c>
      <c r="F739" s="65" t="s">
        <v>3660</v>
      </c>
      <c r="G739" s="66" t="s">
        <v>13</v>
      </c>
    </row>
    <row r="740" spans="1:9" hidden="1" x14ac:dyDescent="0.2">
      <c r="A740" s="11" t="s">
        <v>4212</v>
      </c>
      <c r="B740" s="12" t="s">
        <v>4213</v>
      </c>
      <c r="C740" s="13">
        <f>C739+1</f>
        <v>22</v>
      </c>
      <c r="D740" s="12" t="s">
        <v>3659</v>
      </c>
      <c r="E740" s="12" t="s">
        <v>4214</v>
      </c>
      <c r="F740" s="12" t="s">
        <v>4237</v>
      </c>
      <c r="G740" s="66" t="s">
        <v>13</v>
      </c>
      <c r="I740" s="90" t="s">
        <v>2426</v>
      </c>
    </row>
    <row r="741" spans="1:9" hidden="1" x14ac:dyDescent="0.2">
      <c r="A741" s="11" t="s">
        <v>3458</v>
      </c>
      <c r="B741" s="12" t="s">
        <v>3459</v>
      </c>
      <c r="C741" s="13">
        <v>20</v>
      </c>
      <c r="D741" s="12" t="s">
        <v>3492</v>
      </c>
      <c r="E741" s="65" t="s">
        <v>3460</v>
      </c>
      <c r="F741" s="65" t="s">
        <v>3493</v>
      </c>
      <c r="G741" s="66" t="s">
        <v>13</v>
      </c>
    </row>
    <row r="742" spans="1:9" hidden="1" x14ac:dyDescent="0.2">
      <c r="A742" s="11" t="s">
        <v>4087</v>
      </c>
      <c r="B742" s="12" t="s">
        <v>4088</v>
      </c>
      <c r="C742" s="13">
        <f>C741+1</f>
        <v>21</v>
      </c>
      <c r="D742" s="12" t="s">
        <v>3492</v>
      </c>
      <c r="E742" s="12" t="s">
        <v>4089</v>
      </c>
      <c r="F742" s="12" t="s">
        <v>4113</v>
      </c>
      <c r="G742" s="66" t="s">
        <v>13</v>
      </c>
      <c r="I742" s="90" t="s">
        <v>2426</v>
      </c>
    </row>
    <row r="743" spans="1:9" hidden="1" x14ac:dyDescent="0.2">
      <c r="A743" s="11" t="s">
        <v>4013</v>
      </c>
      <c r="B743" s="12" t="s">
        <v>4014</v>
      </c>
      <c r="C743" s="13">
        <v>17</v>
      </c>
      <c r="D743" s="12" t="s">
        <v>4040</v>
      </c>
      <c r="E743" s="12" t="s">
        <v>4015</v>
      </c>
      <c r="F743" s="12" t="s">
        <v>4041</v>
      </c>
      <c r="G743" s="66" t="s">
        <v>13</v>
      </c>
    </row>
    <row r="744" spans="1:9" hidden="1" x14ac:dyDescent="0.2">
      <c r="A744" s="11" t="s">
        <v>4049</v>
      </c>
      <c r="B744" s="12" t="s">
        <v>4050</v>
      </c>
      <c r="C744" s="13">
        <v>18</v>
      </c>
      <c r="D744" s="12" t="s">
        <v>4078</v>
      </c>
      <c r="E744" s="12" t="s">
        <v>4051</v>
      </c>
      <c r="F744" s="12" t="s">
        <v>4079</v>
      </c>
      <c r="G744" s="66" t="s">
        <v>13</v>
      </c>
    </row>
    <row r="745" spans="1:9" hidden="1" x14ac:dyDescent="0.2">
      <c r="A745" s="11" t="s">
        <v>3633</v>
      </c>
      <c r="B745" s="12" t="s">
        <v>3634</v>
      </c>
      <c r="C745" s="13">
        <v>18</v>
      </c>
      <c r="D745" s="12" t="s">
        <v>3654</v>
      </c>
      <c r="E745" s="65" t="s">
        <v>3635</v>
      </c>
      <c r="F745" s="65" t="s">
        <v>3655</v>
      </c>
      <c r="G745" s="66" t="s">
        <v>13</v>
      </c>
    </row>
    <row r="746" spans="1:9" hidden="1" x14ac:dyDescent="0.2">
      <c r="A746" s="11" t="s">
        <v>3799</v>
      </c>
      <c r="B746" s="12" t="s">
        <v>3800</v>
      </c>
      <c r="C746" s="13">
        <v>13</v>
      </c>
      <c r="D746" s="12" t="s">
        <v>3654</v>
      </c>
      <c r="E746" s="12" t="s">
        <v>3801</v>
      </c>
      <c r="F746" s="65" t="s">
        <v>3814</v>
      </c>
      <c r="G746" s="66" t="s">
        <v>13</v>
      </c>
    </row>
    <row r="747" spans="1:9" hidden="1" x14ac:dyDescent="0.2">
      <c r="A747" s="11" t="s">
        <v>3858</v>
      </c>
      <c r="B747" s="12" t="s">
        <v>3859</v>
      </c>
      <c r="C747" s="13">
        <v>13</v>
      </c>
      <c r="D747" s="12" t="s">
        <v>3654</v>
      </c>
      <c r="E747" s="12" t="s">
        <v>3860</v>
      </c>
      <c r="F747" s="65" t="s">
        <v>3873</v>
      </c>
      <c r="G747" s="66" t="s">
        <v>13</v>
      </c>
    </row>
    <row r="748" spans="1:9" hidden="1" x14ac:dyDescent="0.2">
      <c r="A748" s="11" t="s">
        <v>4049</v>
      </c>
      <c r="B748" s="12" t="s">
        <v>4050</v>
      </c>
      <c r="C748" s="13">
        <v>10</v>
      </c>
      <c r="D748" s="12" t="s">
        <v>3654</v>
      </c>
      <c r="E748" s="12" t="s">
        <v>4051</v>
      </c>
      <c r="F748" s="12" t="s">
        <v>4063</v>
      </c>
      <c r="G748" s="66" t="s">
        <v>13</v>
      </c>
    </row>
    <row r="749" spans="1:9" hidden="1" x14ac:dyDescent="0.2">
      <c r="A749" s="11" t="s">
        <v>4212</v>
      </c>
      <c r="B749" s="12" t="s">
        <v>4213</v>
      </c>
      <c r="C749" s="13">
        <f>C748+1</f>
        <v>11</v>
      </c>
      <c r="D749" s="12" t="s">
        <v>3654</v>
      </c>
      <c r="E749" s="12" t="s">
        <v>4214</v>
      </c>
      <c r="F749" s="12" t="s">
        <v>4234</v>
      </c>
      <c r="G749" s="66" t="s">
        <v>13</v>
      </c>
      <c r="I749" s="90" t="s">
        <v>2426</v>
      </c>
    </row>
    <row r="750" spans="1:9" hidden="1" x14ac:dyDescent="0.2">
      <c r="A750" s="11" t="s">
        <v>3799</v>
      </c>
      <c r="B750" s="12" t="s">
        <v>3800</v>
      </c>
      <c r="C750" s="13">
        <v>14</v>
      </c>
      <c r="D750" s="12" t="s">
        <v>3815</v>
      </c>
      <c r="E750" s="12" t="s">
        <v>3801</v>
      </c>
      <c r="F750" s="65" t="s">
        <v>3816</v>
      </c>
      <c r="G750" s="66" t="s">
        <v>13</v>
      </c>
    </row>
    <row r="751" spans="1:9" hidden="1" x14ac:dyDescent="0.2">
      <c r="A751" s="11" t="s">
        <v>3858</v>
      </c>
      <c r="B751" s="12" t="s">
        <v>3859</v>
      </c>
      <c r="C751" s="13">
        <v>14</v>
      </c>
      <c r="D751" s="12" t="s">
        <v>3815</v>
      </c>
      <c r="E751" s="12" t="s">
        <v>3860</v>
      </c>
      <c r="F751" s="65" t="s">
        <v>3874</v>
      </c>
      <c r="G751" s="66" t="s">
        <v>13</v>
      </c>
    </row>
    <row r="752" spans="1:9" hidden="1" x14ac:dyDescent="0.2">
      <c r="A752" s="11" t="s">
        <v>3458</v>
      </c>
      <c r="B752" s="12" t="s">
        <v>3459</v>
      </c>
      <c r="C752" s="13">
        <v>16</v>
      </c>
      <c r="D752" s="12" t="s">
        <v>3484</v>
      </c>
      <c r="E752" s="65" t="s">
        <v>3460</v>
      </c>
      <c r="F752" s="65" t="s">
        <v>3485</v>
      </c>
      <c r="G752" s="66" t="s">
        <v>13</v>
      </c>
    </row>
    <row r="753" spans="1:9" hidden="1" x14ac:dyDescent="0.2">
      <c r="A753" s="11" t="s">
        <v>3633</v>
      </c>
      <c r="B753" s="12" t="s">
        <v>3634</v>
      </c>
      <c r="C753" s="13">
        <v>16</v>
      </c>
      <c r="D753" s="12" t="s">
        <v>3484</v>
      </c>
      <c r="E753" s="65" t="s">
        <v>3635</v>
      </c>
      <c r="F753" s="65" t="s">
        <v>3652</v>
      </c>
      <c r="G753" s="66" t="s">
        <v>13</v>
      </c>
    </row>
    <row r="754" spans="1:9" hidden="1" x14ac:dyDescent="0.2">
      <c r="A754" s="11" t="s">
        <v>4013</v>
      </c>
      <c r="B754" s="12" t="s">
        <v>4014</v>
      </c>
      <c r="C754" s="13">
        <v>9</v>
      </c>
      <c r="D754" s="12" t="s">
        <v>3484</v>
      </c>
      <c r="E754" s="12" t="s">
        <v>4015</v>
      </c>
      <c r="F754" s="12" t="s">
        <v>4027</v>
      </c>
      <c r="G754" s="66" t="s">
        <v>13</v>
      </c>
    </row>
    <row r="755" spans="1:9" hidden="1" x14ac:dyDescent="0.2">
      <c r="A755" s="11" t="s">
        <v>4087</v>
      </c>
      <c r="B755" s="12" t="s">
        <v>4088</v>
      </c>
      <c r="C755" s="13">
        <f>C754+1</f>
        <v>10</v>
      </c>
      <c r="D755" s="12" t="s">
        <v>3484</v>
      </c>
      <c r="E755" s="12" t="s">
        <v>4089</v>
      </c>
      <c r="F755" s="12" t="s">
        <v>4109</v>
      </c>
      <c r="G755" s="66" t="s">
        <v>13</v>
      </c>
      <c r="I755" s="90" t="s">
        <v>2426</v>
      </c>
    </row>
    <row r="756" spans="1:9" ht="12.75" hidden="1" thickBot="1" x14ac:dyDescent="0.25">
      <c r="A756" s="36" t="s">
        <v>4212</v>
      </c>
      <c r="B756" s="30" t="s">
        <v>4213</v>
      </c>
      <c r="C756" s="31">
        <f>C755+1</f>
        <v>11</v>
      </c>
      <c r="D756" s="30" t="s">
        <v>3484</v>
      </c>
      <c r="E756" s="30" t="s">
        <v>4214</v>
      </c>
      <c r="F756" s="30" t="s">
        <v>4232</v>
      </c>
      <c r="G756" s="68" t="s">
        <v>13</v>
      </c>
      <c r="I756" s="90" t="s">
        <v>2426</v>
      </c>
    </row>
    <row r="757" spans="1:9" hidden="1" x14ac:dyDescent="0.2">
      <c r="A757" s="35" t="s">
        <v>3458</v>
      </c>
      <c r="B757" s="12" t="s">
        <v>3459</v>
      </c>
      <c r="C757" s="13">
        <v>17</v>
      </c>
      <c r="D757" s="12" t="s">
        <v>3486</v>
      </c>
      <c r="E757" s="138" t="s">
        <v>3460</v>
      </c>
      <c r="F757" s="65" t="s">
        <v>3487</v>
      </c>
      <c r="G757" s="66" t="s">
        <v>13</v>
      </c>
    </row>
    <row r="758" spans="1:9" hidden="1" x14ac:dyDescent="0.2">
      <c r="A758" s="35" t="s">
        <v>3633</v>
      </c>
      <c r="B758" s="12" t="s">
        <v>3634</v>
      </c>
      <c r="C758" s="13">
        <v>17</v>
      </c>
      <c r="D758" s="12" t="s">
        <v>3486</v>
      </c>
      <c r="E758" s="138" t="s">
        <v>3635</v>
      </c>
      <c r="F758" s="65" t="s">
        <v>3653</v>
      </c>
      <c r="G758" s="66" t="s">
        <v>13</v>
      </c>
    </row>
    <row r="759" spans="1:9" hidden="1" x14ac:dyDescent="0.2">
      <c r="A759" s="35" t="s">
        <v>4013</v>
      </c>
      <c r="B759" s="12" t="s">
        <v>4014</v>
      </c>
      <c r="C759" s="13">
        <v>13</v>
      </c>
      <c r="D759" s="12" t="s">
        <v>3486</v>
      </c>
      <c r="E759" s="28" t="s">
        <v>4015</v>
      </c>
      <c r="F759" s="12" t="s">
        <v>4033</v>
      </c>
      <c r="G759" s="66" t="s">
        <v>13</v>
      </c>
    </row>
    <row r="760" spans="1:9" hidden="1" x14ac:dyDescent="0.2">
      <c r="A760" s="35" t="s">
        <v>4087</v>
      </c>
      <c r="B760" s="12" t="s">
        <v>4088</v>
      </c>
      <c r="C760" s="13">
        <f>C759+1</f>
        <v>14</v>
      </c>
      <c r="D760" s="12" t="s">
        <v>3486</v>
      </c>
      <c r="E760" s="28" t="s">
        <v>4089</v>
      </c>
      <c r="F760" s="12" t="s">
        <v>4110</v>
      </c>
      <c r="G760" s="66" t="s">
        <v>13</v>
      </c>
      <c r="I760" s="90" t="s">
        <v>2426</v>
      </c>
    </row>
    <row r="761" spans="1:9" hidden="1" x14ac:dyDescent="0.2">
      <c r="A761" s="35" t="s">
        <v>4212</v>
      </c>
      <c r="B761" s="12" t="s">
        <v>4213</v>
      </c>
      <c r="C761" s="13">
        <f>C760+1</f>
        <v>15</v>
      </c>
      <c r="D761" s="12" t="s">
        <v>3486</v>
      </c>
      <c r="E761" s="28" t="s">
        <v>4214</v>
      </c>
      <c r="F761" s="12" t="s">
        <v>4233</v>
      </c>
      <c r="G761" s="66" t="s">
        <v>13</v>
      </c>
      <c r="I761" s="90" t="s">
        <v>2426</v>
      </c>
    </row>
    <row r="762" spans="1:9" hidden="1" x14ac:dyDescent="0.2">
      <c r="A762" s="35" t="s">
        <v>4049</v>
      </c>
      <c r="B762" s="12" t="s">
        <v>4050</v>
      </c>
      <c r="C762" s="13">
        <v>14</v>
      </c>
      <c r="D762" s="12" t="s">
        <v>4070</v>
      </c>
      <c r="E762" s="28" t="s">
        <v>4051</v>
      </c>
      <c r="F762" s="12" t="s">
        <v>4071</v>
      </c>
      <c r="G762" s="66" t="s">
        <v>13</v>
      </c>
    </row>
    <row r="763" spans="1:9" hidden="1" x14ac:dyDescent="0.2">
      <c r="A763" s="35" t="s">
        <v>3633</v>
      </c>
      <c r="B763" s="12" t="s">
        <v>3634</v>
      </c>
      <c r="C763" s="13">
        <v>19</v>
      </c>
      <c r="D763" s="12" t="s">
        <v>3656</v>
      </c>
      <c r="E763" s="138" t="s">
        <v>3635</v>
      </c>
      <c r="F763" s="65" t="s">
        <v>3657</v>
      </c>
      <c r="G763" s="66" t="s">
        <v>13</v>
      </c>
    </row>
    <row r="764" spans="1:9" hidden="1" x14ac:dyDescent="0.2">
      <c r="A764" s="35" t="s">
        <v>4212</v>
      </c>
      <c r="B764" s="12" t="s">
        <v>4213</v>
      </c>
      <c r="C764" s="13">
        <f>C763+1</f>
        <v>20</v>
      </c>
      <c r="D764" s="12" t="s">
        <v>3656</v>
      </c>
      <c r="E764" s="28" t="s">
        <v>4214</v>
      </c>
      <c r="F764" s="12" t="s">
        <v>4235</v>
      </c>
      <c r="G764" s="66" t="s">
        <v>13</v>
      </c>
      <c r="I764" s="90" t="s">
        <v>2426</v>
      </c>
    </row>
    <row r="765" spans="1:9" hidden="1" x14ac:dyDescent="0.2">
      <c r="A765" s="35" t="s">
        <v>3458</v>
      </c>
      <c r="B765" s="12" t="s">
        <v>3459</v>
      </c>
      <c r="C765" s="13">
        <v>18</v>
      </c>
      <c r="D765" s="12" t="s">
        <v>3488</v>
      </c>
      <c r="E765" s="138" t="s">
        <v>3460</v>
      </c>
      <c r="F765" s="65" t="s">
        <v>3489</v>
      </c>
      <c r="G765" s="66" t="s">
        <v>13</v>
      </c>
    </row>
    <row r="766" spans="1:9" hidden="1" x14ac:dyDescent="0.2">
      <c r="A766" s="35" t="s">
        <v>4087</v>
      </c>
      <c r="B766" s="12" t="s">
        <v>4088</v>
      </c>
      <c r="C766" s="13">
        <f>C765+1</f>
        <v>19</v>
      </c>
      <c r="D766" s="12" t="s">
        <v>3488</v>
      </c>
      <c r="E766" s="28" t="s">
        <v>4089</v>
      </c>
      <c r="F766" s="12" t="s">
        <v>4111</v>
      </c>
      <c r="G766" s="66" t="s">
        <v>13</v>
      </c>
      <c r="I766" s="90" t="s">
        <v>2426</v>
      </c>
    </row>
    <row r="767" spans="1:9" hidden="1" x14ac:dyDescent="0.25">
      <c r="A767" s="35" t="s">
        <v>1260</v>
      </c>
      <c r="B767" s="12" t="s">
        <v>1261</v>
      </c>
      <c r="C767" s="13">
        <v>16</v>
      </c>
      <c r="D767" s="12" t="s">
        <v>1288</v>
      </c>
      <c r="E767" s="28" t="s">
        <v>1262</v>
      </c>
      <c r="F767" s="12" t="s">
        <v>1289</v>
      </c>
      <c r="G767" s="15" t="s">
        <v>337</v>
      </c>
    </row>
    <row r="768" spans="1:9" hidden="1" x14ac:dyDescent="0.25">
      <c r="A768" s="56" t="s">
        <v>5686</v>
      </c>
      <c r="B768" s="61" t="s">
        <v>5687</v>
      </c>
      <c r="C768" s="58">
        <f>C767+1</f>
        <v>17</v>
      </c>
      <c r="D768" s="61" t="s">
        <v>5799</v>
      </c>
      <c r="E768" s="89" t="s">
        <v>5688</v>
      </c>
      <c r="F768" s="61" t="s">
        <v>5800</v>
      </c>
      <c r="G768" s="62" t="s">
        <v>337</v>
      </c>
      <c r="I768" s="90">
        <v>12</v>
      </c>
    </row>
    <row r="769" spans="1:9" hidden="1" x14ac:dyDescent="0.2">
      <c r="A769" s="11" t="s">
        <v>1960</v>
      </c>
      <c r="B769" s="12" t="s">
        <v>1961</v>
      </c>
      <c r="C769" s="13">
        <v>15</v>
      </c>
      <c r="D769" s="14" t="s">
        <v>1988</v>
      </c>
      <c r="E769" s="28" t="s">
        <v>1962</v>
      </c>
      <c r="F769" s="12" t="s">
        <v>1989</v>
      </c>
      <c r="G769" s="15" t="s">
        <v>13</v>
      </c>
    </row>
    <row r="770" spans="1:9" hidden="1" x14ac:dyDescent="0.2">
      <c r="A770" s="11" t="s">
        <v>3034</v>
      </c>
      <c r="B770" s="12" t="s">
        <v>3035</v>
      </c>
      <c r="C770" s="13">
        <f>+C769+1</f>
        <v>16</v>
      </c>
      <c r="D770" s="8" t="s">
        <v>3073</v>
      </c>
      <c r="E770" s="28" t="s">
        <v>3036</v>
      </c>
      <c r="F770" s="8" t="s">
        <v>3074</v>
      </c>
      <c r="G770" s="66" t="s">
        <v>103</v>
      </c>
    </row>
    <row r="771" spans="1:9" hidden="1" x14ac:dyDescent="0.2">
      <c r="A771" s="11" t="s">
        <v>3034</v>
      </c>
      <c r="B771" s="12" t="s">
        <v>3035</v>
      </c>
      <c r="C771" s="13">
        <f>+C770+1</f>
        <v>17</v>
      </c>
      <c r="D771" s="8" t="s">
        <v>3075</v>
      </c>
      <c r="E771" s="28" t="s">
        <v>3036</v>
      </c>
      <c r="F771" s="8" t="s">
        <v>3076</v>
      </c>
      <c r="G771" s="66" t="s">
        <v>103</v>
      </c>
    </row>
    <row r="772" spans="1:9" hidden="1" x14ac:dyDescent="0.25">
      <c r="A772" s="11" t="s">
        <v>1568</v>
      </c>
      <c r="B772" s="12" t="s">
        <v>1569</v>
      </c>
      <c r="C772" s="13">
        <v>38</v>
      </c>
      <c r="D772" s="12" t="s">
        <v>1651</v>
      </c>
      <c r="E772" s="28" t="s">
        <v>1570</v>
      </c>
      <c r="F772" s="12" t="s">
        <v>1652</v>
      </c>
      <c r="G772" s="15" t="s">
        <v>1653</v>
      </c>
      <c r="I772" s="94">
        <v>14</v>
      </c>
    </row>
    <row r="773" spans="1:9" hidden="1" x14ac:dyDescent="0.2">
      <c r="A773" s="11" t="s">
        <v>943</v>
      </c>
      <c r="B773" s="12" t="s">
        <v>944</v>
      </c>
      <c r="C773" s="13">
        <v>16</v>
      </c>
      <c r="D773" s="14" t="s">
        <v>973</v>
      </c>
      <c r="E773" s="28" t="s">
        <v>945</v>
      </c>
      <c r="F773" s="12" t="s">
        <v>974</v>
      </c>
      <c r="G773" s="15" t="s">
        <v>16</v>
      </c>
      <c r="I773" s="9">
        <v>15</v>
      </c>
    </row>
    <row r="774" spans="1:9" hidden="1" x14ac:dyDescent="0.2">
      <c r="A774" s="11" t="s">
        <v>93</v>
      </c>
      <c r="B774" s="12" t="s">
        <v>94</v>
      </c>
      <c r="C774" s="13">
        <v>58</v>
      </c>
      <c r="D774" s="14" t="s">
        <v>214</v>
      </c>
      <c r="E774" s="28" t="s">
        <v>96</v>
      </c>
      <c r="F774" s="12" t="s">
        <v>215</v>
      </c>
      <c r="G774" s="15" t="s">
        <v>16</v>
      </c>
    </row>
    <row r="775" spans="1:9" hidden="1" x14ac:dyDescent="0.2">
      <c r="A775" s="11" t="s">
        <v>839</v>
      </c>
      <c r="B775" s="12" t="s">
        <v>840</v>
      </c>
      <c r="C775" s="13">
        <v>12</v>
      </c>
      <c r="D775" s="14" t="s">
        <v>865</v>
      </c>
      <c r="E775" s="28" t="s">
        <v>841</v>
      </c>
      <c r="F775" s="12" t="s">
        <v>866</v>
      </c>
      <c r="G775" s="15" t="s">
        <v>16</v>
      </c>
      <c r="I775" s="9">
        <v>15</v>
      </c>
    </row>
    <row r="776" spans="1:9" hidden="1" x14ac:dyDescent="0.2">
      <c r="A776" s="11" t="s">
        <v>839</v>
      </c>
      <c r="B776" s="12" t="s">
        <v>840</v>
      </c>
      <c r="C776" s="13">
        <v>13</v>
      </c>
      <c r="D776" s="14" t="s">
        <v>867</v>
      </c>
      <c r="E776" s="28" t="s">
        <v>841</v>
      </c>
      <c r="F776" s="12" t="s">
        <v>868</v>
      </c>
      <c r="G776" s="15" t="s">
        <v>16</v>
      </c>
      <c r="I776" s="9">
        <v>15</v>
      </c>
    </row>
    <row r="777" spans="1:9" hidden="1" x14ac:dyDescent="0.2">
      <c r="A777" s="11" t="s">
        <v>2631</v>
      </c>
      <c r="B777" s="12" t="s">
        <v>2632</v>
      </c>
      <c r="C777" s="13">
        <f>C776+1</f>
        <v>14</v>
      </c>
      <c r="D777" s="14" t="s">
        <v>2770</v>
      </c>
      <c r="E777" s="28" t="s">
        <v>2634</v>
      </c>
      <c r="F777" s="65" t="s">
        <v>2771</v>
      </c>
      <c r="G777" s="66" t="s">
        <v>1239</v>
      </c>
      <c r="I777" s="99">
        <v>13</v>
      </c>
    </row>
    <row r="778" spans="1:9" ht="12.75" hidden="1" thickBot="1" x14ac:dyDescent="0.25">
      <c r="A778" s="36" t="s">
        <v>3165</v>
      </c>
      <c r="B778" s="30" t="s">
        <v>3166</v>
      </c>
      <c r="C778" s="31">
        <f>C777+1</f>
        <v>15</v>
      </c>
      <c r="D778" s="30" t="s">
        <v>2770</v>
      </c>
      <c r="E778" s="32" t="s">
        <v>3167</v>
      </c>
      <c r="F778" s="67" t="s">
        <v>3281</v>
      </c>
      <c r="G778" s="68" t="s">
        <v>1239</v>
      </c>
      <c r="I778" s="99">
        <v>13</v>
      </c>
    </row>
    <row r="779" spans="1:9" hidden="1" x14ac:dyDescent="0.25">
      <c r="A779" s="56" t="s">
        <v>5886</v>
      </c>
      <c r="B779" s="61" t="s">
        <v>5887</v>
      </c>
      <c r="C779" s="58">
        <v>22</v>
      </c>
      <c r="D779" s="61" t="s">
        <v>5919</v>
      </c>
      <c r="E779" s="89" t="s">
        <v>5888</v>
      </c>
      <c r="F779" s="61" t="s">
        <v>5920</v>
      </c>
      <c r="G779" s="62" t="s">
        <v>1182</v>
      </c>
      <c r="I779" s="99">
        <v>13</v>
      </c>
    </row>
    <row r="780" spans="1:9" hidden="1" x14ac:dyDescent="0.25">
      <c r="A780" s="11" t="s">
        <v>5921</v>
      </c>
      <c r="B780" s="12" t="s">
        <v>5922</v>
      </c>
      <c r="C780" s="13">
        <v>18</v>
      </c>
      <c r="D780" s="12" t="s">
        <v>5919</v>
      </c>
      <c r="E780" s="28" t="s">
        <v>5923</v>
      </c>
      <c r="F780" s="12" t="s">
        <v>5950</v>
      </c>
      <c r="G780" s="15" t="s">
        <v>684</v>
      </c>
      <c r="I780" s="101" t="s">
        <v>5818</v>
      </c>
    </row>
    <row r="781" spans="1:9" hidden="1" x14ac:dyDescent="0.2">
      <c r="A781" s="11" t="s">
        <v>7002</v>
      </c>
      <c r="B781" s="12" t="s">
        <v>7003</v>
      </c>
      <c r="C781" s="13">
        <v>8</v>
      </c>
      <c r="D781" s="14" t="s">
        <v>7013</v>
      </c>
      <c r="E781" s="28" t="s">
        <v>7004</v>
      </c>
      <c r="F781" s="12" t="s">
        <v>7014</v>
      </c>
      <c r="G781" s="15" t="s">
        <v>19</v>
      </c>
    </row>
    <row r="782" spans="1:9" hidden="1" x14ac:dyDescent="0.2">
      <c r="A782" s="11" t="s">
        <v>2631</v>
      </c>
      <c r="B782" s="12" t="s">
        <v>2632</v>
      </c>
      <c r="C782" s="13">
        <f>C781+1</f>
        <v>9</v>
      </c>
      <c r="D782" s="14" t="s">
        <v>2768</v>
      </c>
      <c r="E782" s="28" t="s">
        <v>2634</v>
      </c>
      <c r="F782" s="65" t="s">
        <v>2769</v>
      </c>
      <c r="G782" s="66" t="s">
        <v>1239</v>
      </c>
      <c r="I782" s="99">
        <v>13</v>
      </c>
    </row>
    <row r="783" spans="1:9" hidden="1" x14ac:dyDescent="0.2">
      <c r="A783" s="11" t="s">
        <v>3165</v>
      </c>
      <c r="B783" s="12" t="s">
        <v>3166</v>
      </c>
      <c r="C783" s="13">
        <f>C782+1</f>
        <v>10</v>
      </c>
      <c r="D783" s="12" t="s">
        <v>2768</v>
      </c>
      <c r="E783" s="28" t="s">
        <v>3167</v>
      </c>
      <c r="F783" s="65" t="s">
        <v>3280</v>
      </c>
      <c r="G783" s="66" t="s">
        <v>1239</v>
      </c>
      <c r="I783" s="99">
        <v>13</v>
      </c>
    </row>
    <row r="784" spans="1:9" hidden="1" x14ac:dyDescent="0.25">
      <c r="A784" s="11" t="s">
        <v>5886</v>
      </c>
      <c r="B784" s="12" t="s">
        <v>5887</v>
      </c>
      <c r="C784" s="13">
        <v>21</v>
      </c>
      <c r="D784" s="12" t="s">
        <v>5917</v>
      </c>
      <c r="E784" s="28" t="s">
        <v>5888</v>
      </c>
      <c r="F784" s="12" t="s">
        <v>5918</v>
      </c>
      <c r="G784" s="15" t="s">
        <v>1182</v>
      </c>
      <c r="I784" s="99">
        <v>13</v>
      </c>
    </row>
    <row r="785" spans="1:10" hidden="1" x14ac:dyDescent="0.25">
      <c r="A785" s="11" t="s">
        <v>5921</v>
      </c>
      <c r="B785" s="12" t="s">
        <v>5922</v>
      </c>
      <c r="C785" s="13">
        <v>19</v>
      </c>
      <c r="D785" s="12" t="s">
        <v>5917</v>
      </c>
      <c r="E785" s="28" t="s">
        <v>5923</v>
      </c>
      <c r="F785" s="12" t="s">
        <v>5951</v>
      </c>
      <c r="G785" s="15" t="s">
        <v>684</v>
      </c>
      <c r="I785" s="101" t="s">
        <v>5818</v>
      </c>
    </row>
    <row r="786" spans="1:10" ht="15" hidden="1" x14ac:dyDescent="0.25">
      <c r="A786" s="11" t="s">
        <v>4421</v>
      </c>
      <c r="B786" s="12" t="s">
        <v>4422</v>
      </c>
      <c r="C786" s="13">
        <v>15</v>
      </c>
      <c r="D786" s="12" t="s">
        <v>4449</v>
      </c>
      <c r="E786" s="28" t="s">
        <v>4423</v>
      </c>
      <c r="F786" s="12" t="s">
        <v>4450</v>
      </c>
      <c r="G786" s="66" t="s">
        <v>881</v>
      </c>
      <c r="I786" s="9">
        <v>15</v>
      </c>
      <c r="J786" s="52"/>
    </row>
    <row r="787" spans="1:10" ht="15" hidden="1" x14ac:dyDescent="0.25">
      <c r="A787" s="11" t="s">
        <v>4465</v>
      </c>
      <c r="B787" s="12" t="s">
        <v>4466</v>
      </c>
      <c r="C787" s="13">
        <v>21</v>
      </c>
      <c r="D787" s="12" t="s">
        <v>4449</v>
      </c>
      <c r="E787" s="28" t="s">
        <v>4467</v>
      </c>
      <c r="F787" s="12" t="s">
        <v>4499</v>
      </c>
      <c r="G787" s="66" t="s">
        <v>881</v>
      </c>
      <c r="I787" s="9">
        <v>15</v>
      </c>
      <c r="J787" s="52"/>
    </row>
    <row r="788" spans="1:10" hidden="1" x14ac:dyDescent="0.2">
      <c r="A788" s="11" t="s">
        <v>4513</v>
      </c>
      <c r="B788" s="12" t="s">
        <v>4514</v>
      </c>
      <c r="C788" s="13">
        <v>15</v>
      </c>
      <c r="D788" s="12" t="s">
        <v>4449</v>
      </c>
      <c r="E788" s="28" t="s">
        <v>4515</v>
      </c>
      <c r="F788" s="12" t="s">
        <v>4533</v>
      </c>
      <c r="G788" s="66" t="s">
        <v>881</v>
      </c>
      <c r="I788" s="9">
        <v>15</v>
      </c>
    </row>
    <row r="789" spans="1:10" ht="12.75" hidden="1" thickBot="1" x14ac:dyDescent="0.3">
      <c r="A789" s="36" t="s">
        <v>6688</v>
      </c>
      <c r="B789" s="30" t="s">
        <v>6689</v>
      </c>
      <c r="C789" s="31">
        <v>17</v>
      </c>
      <c r="D789" s="30" t="s">
        <v>6718</v>
      </c>
      <c r="E789" s="32" t="s">
        <v>6690</v>
      </c>
      <c r="F789" s="30" t="s">
        <v>6719</v>
      </c>
      <c r="G789" s="33" t="s">
        <v>19</v>
      </c>
    </row>
    <row r="790" spans="1:10" hidden="1" x14ac:dyDescent="0.2">
      <c r="A790" s="56" t="s">
        <v>2440</v>
      </c>
      <c r="B790" s="61" t="s">
        <v>2441</v>
      </c>
      <c r="C790" s="58">
        <v>16</v>
      </c>
      <c r="D790" s="107" t="s">
        <v>2470</v>
      </c>
      <c r="E790" s="89" t="s">
        <v>2442</v>
      </c>
      <c r="F790" s="61" t="s">
        <v>2471</v>
      </c>
      <c r="G790" s="62" t="s">
        <v>19</v>
      </c>
    </row>
    <row r="791" spans="1:10" ht="15" hidden="1" x14ac:dyDescent="0.25">
      <c r="A791" s="11" t="s">
        <v>4421</v>
      </c>
      <c r="B791" s="12" t="s">
        <v>4422</v>
      </c>
      <c r="C791" s="13">
        <v>22</v>
      </c>
      <c r="D791" s="12" t="s">
        <v>4461</v>
      </c>
      <c r="E791" s="28" t="s">
        <v>4423</v>
      </c>
      <c r="F791" s="12" t="s">
        <v>4462</v>
      </c>
      <c r="G791" s="66" t="s">
        <v>881</v>
      </c>
      <c r="I791" s="9">
        <v>15</v>
      </c>
      <c r="J791" s="52"/>
    </row>
    <row r="792" spans="1:10" hidden="1" x14ac:dyDescent="0.25">
      <c r="A792" s="11" t="s">
        <v>6688</v>
      </c>
      <c r="B792" s="12" t="s">
        <v>6689</v>
      </c>
      <c r="C792" s="13">
        <v>18</v>
      </c>
      <c r="D792" s="12" t="s">
        <v>6720</v>
      </c>
      <c r="E792" s="28" t="s">
        <v>6690</v>
      </c>
      <c r="F792" s="12" t="s">
        <v>6721</v>
      </c>
      <c r="G792" s="15" t="s">
        <v>19</v>
      </c>
    </row>
    <row r="793" spans="1:10" ht="15" hidden="1" x14ac:dyDescent="0.25">
      <c r="A793" s="11" t="s">
        <v>4421</v>
      </c>
      <c r="B793" s="12" t="s">
        <v>4422</v>
      </c>
      <c r="C793" s="13">
        <v>14</v>
      </c>
      <c r="D793" s="12" t="s">
        <v>4447</v>
      </c>
      <c r="E793" s="28" t="s">
        <v>4423</v>
      </c>
      <c r="F793" s="12" t="s">
        <v>4448</v>
      </c>
      <c r="G793" s="66" t="s">
        <v>881</v>
      </c>
      <c r="I793" s="9">
        <v>15</v>
      </c>
      <c r="J793" s="52"/>
    </row>
    <row r="794" spans="1:10" ht="15" hidden="1" x14ac:dyDescent="0.25">
      <c r="A794" s="11" t="s">
        <v>4465</v>
      </c>
      <c r="B794" s="12" t="s">
        <v>4466</v>
      </c>
      <c r="C794" s="13">
        <v>20</v>
      </c>
      <c r="D794" s="12" t="s">
        <v>4447</v>
      </c>
      <c r="E794" s="28" t="s">
        <v>4467</v>
      </c>
      <c r="F794" s="12" t="s">
        <v>4498</v>
      </c>
      <c r="G794" s="66" t="s">
        <v>881</v>
      </c>
      <c r="I794" s="9">
        <v>15</v>
      </c>
      <c r="J794" s="52"/>
    </row>
    <row r="795" spans="1:10" ht="15.75" hidden="1" thickBot="1" x14ac:dyDescent="0.3">
      <c r="A795" s="36" t="s">
        <v>4583</v>
      </c>
      <c r="B795" s="30" t="s">
        <v>4584</v>
      </c>
      <c r="C795" s="31">
        <v>16</v>
      </c>
      <c r="D795" s="30" t="s">
        <v>4447</v>
      </c>
      <c r="E795" s="32" t="s">
        <v>4585</v>
      </c>
      <c r="F795" s="30" t="s">
        <v>4611</v>
      </c>
      <c r="G795" s="68" t="s">
        <v>881</v>
      </c>
      <c r="I795" s="9">
        <v>15</v>
      </c>
      <c r="J795" s="52"/>
    </row>
    <row r="796" spans="1:10" hidden="1" x14ac:dyDescent="0.2">
      <c r="A796" s="56" t="s">
        <v>8</v>
      </c>
      <c r="B796" s="61" t="s">
        <v>9</v>
      </c>
      <c r="C796" s="58">
        <v>4</v>
      </c>
      <c r="D796" s="107" t="s">
        <v>20</v>
      </c>
      <c r="E796" s="89" t="s">
        <v>11</v>
      </c>
      <c r="F796" s="61" t="s">
        <v>21</v>
      </c>
      <c r="G796" s="62" t="s">
        <v>19</v>
      </c>
    </row>
    <row r="797" spans="1:10" hidden="1" x14ac:dyDescent="0.2">
      <c r="A797" s="11" t="s">
        <v>8</v>
      </c>
      <c r="B797" s="12" t="s">
        <v>9</v>
      </c>
      <c r="C797" s="13">
        <v>3</v>
      </c>
      <c r="D797" s="14" t="s">
        <v>17</v>
      </c>
      <c r="E797" s="28" t="s">
        <v>11</v>
      </c>
      <c r="F797" s="12" t="s">
        <v>18</v>
      </c>
      <c r="G797" s="15" t="s">
        <v>19</v>
      </c>
    </row>
    <row r="798" spans="1:10" hidden="1" x14ac:dyDescent="0.2">
      <c r="A798" s="11" t="s">
        <v>2867</v>
      </c>
      <c r="B798" s="12" t="s">
        <v>2868</v>
      </c>
      <c r="C798" s="13">
        <v>38</v>
      </c>
      <c r="D798" s="14" t="s">
        <v>17</v>
      </c>
      <c r="E798" s="28" t="s">
        <v>2869</v>
      </c>
      <c r="F798" s="65" t="s">
        <v>2937</v>
      </c>
      <c r="G798" s="66" t="s">
        <v>19</v>
      </c>
    </row>
    <row r="799" spans="1:10" ht="24" hidden="1" x14ac:dyDescent="0.25">
      <c r="A799" s="11" t="s">
        <v>4465</v>
      </c>
      <c r="B799" s="12" t="s">
        <v>4466</v>
      </c>
      <c r="C799" s="13">
        <v>30</v>
      </c>
      <c r="D799" s="12" t="s">
        <v>4510</v>
      </c>
      <c r="E799" s="28" t="s">
        <v>4467</v>
      </c>
      <c r="F799" s="12" t="s">
        <v>4511</v>
      </c>
      <c r="G799" s="66" t="s">
        <v>881</v>
      </c>
      <c r="I799" s="9">
        <v>15</v>
      </c>
      <c r="J799" s="52"/>
    </row>
    <row r="800" spans="1:10" ht="15" hidden="1" x14ac:dyDescent="0.25">
      <c r="A800" s="11" t="s">
        <v>4465</v>
      </c>
      <c r="B800" s="12" t="s">
        <v>4466</v>
      </c>
      <c r="C800" s="13">
        <v>29</v>
      </c>
      <c r="D800" s="12" t="s">
        <v>4508</v>
      </c>
      <c r="E800" s="28" t="s">
        <v>4467</v>
      </c>
      <c r="F800" s="12" t="s">
        <v>4509</v>
      </c>
      <c r="G800" s="66" t="s">
        <v>881</v>
      </c>
      <c r="I800" s="9">
        <v>15</v>
      </c>
      <c r="J800" s="52"/>
    </row>
    <row r="801" spans="1:10" ht="15" hidden="1" x14ac:dyDescent="0.25">
      <c r="A801" s="11" t="s">
        <v>4465</v>
      </c>
      <c r="B801" s="12" t="s">
        <v>4466</v>
      </c>
      <c r="C801" s="13">
        <v>28</v>
      </c>
      <c r="D801" s="12" t="s">
        <v>4506</v>
      </c>
      <c r="E801" s="28" t="s">
        <v>4467</v>
      </c>
      <c r="F801" s="12" t="s">
        <v>4507</v>
      </c>
      <c r="G801" s="66" t="s">
        <v>881</v>
      </c>
      <c r="I801" s="9">
        <v>15</v>
      </c>
      <c r="J801" s="52"/>
    </row>
    <row r="802" spans="1:10" ht="15" hidden="1" x14ac:dyDescent="0.25">
      <c r="A802" s="11" t="s">
        <v>4421</v>
      </c>
      <c r="B802" s="12" t="s">
        <v>4422</v>
      </c>
      <c r="C802" s="13">
        <v>21</v>
      </c>
      <c r="D802" s="12" t="s">
        <v>4459</v>
      </c>
      <c r="E802" s="28" t="s">
        <v>4423</v>
      </c>
      <c r="F802" s="12" t="s">
        <v>4460</v>
      </c>
      <c r="G802" s="66" t="s">
        <v>881</v>
      </c>
      <c r="I802" s="9">
        <v>15</v>
      </c>
      <c r="J802" s="52"/>
    </row>
    <row r="803" spans="1:10" ht="15" hidden="1" x14ac:dyDescent="0.25">
      <c r="A803" s="11" t="s">
        <v>4465</v>
      </c>
      <c r="B803" s="12" t="s">
        <v>4466</v>
      </c>
      <c r="C803" s="13">
        <v>27</v>
      </c>
      <c r="D803" s="12" t="s">
        <v>4459</v>
      </c>
      <c r="E803" s="28" t="s">
        <v>4467</v>
      </c>
      <c r="F803" s="12" t="s">
        <v>4505</v>
      </c>
      <c r="G803" s="66" t="s">
        <v>881</v>
      </c>
      <c r="I803" s="9">
        <v>15</v>
      </c>
      <c r="J803" s="52"/>
    </row>
    <row r="804" spans="1:10" hidden="1" x14ac:dyDescent="0.2">
      <c r="A804" s="11" t="s">
        <v>3458</v>
      </c>
      <c r="B804" s="12" t="s">
        <v>3459</v>
      </c>
      <c r="C804" s="13">
        <v>30</v>
      </c>
      <c r="D804" s="12" t="s">
        <v>3512</v>
      </c>
      <c r="E804" s="138" t="s">
        <v>3460</v>
      </c>
      <c r="F804" s="65" t="s">
        <v>3513</v>
      </c>
      <c r="G804" s="66" t="s">
        <v>1239</v>
      </c>
      <c r="I804" s="99">
        <v>13</v>
      </c>
    </row>
    <row r="805" spans="1:10" hidden="1" x14ac:dyDescent="0.2">
      <c r="A805" s="11" t="s">
        <v>3633</v>
      </c>
      <c r="B805" s="12" t="s">
        <v>3634</v>
      </c>
      <c r="C805" s="13">
        <v>31</v>
      </c>
      <c r="D805" s="12" t="s">
        <v>3512</v>
      </c>
      <c r="E805" s="138" t="s">
        <v>3635</v>
      </c>
      <c r="F805" s="65" t="s">
        <v>3672</v>
      </c>
      <c r="G805" s="66" t="s">
        <v>1239</v>
      </c>
      <c r="I805" s="99">
        <v>13</v>
      </c>
    </row>
    <row r="806" spans="1:10" hidden="1" x14ac:dyDescent="0.2">
      <c r="A806" s="11" t="s">
        <v>4087</v>
      </c>
      <c r="B806" s="12" t="s">
        <v>4088</v>
      </c>
      <c r="C806" s="13">
        <f>C805+1</f>
        <v>32</v>
      </c>
      <c r="D806" s="12" t="s">
        <v>3512</v>
      </c>
      <c r="E806" s="28" t="s">
        <v>4089</v>
      </c>
      <c r="F806" s="12" t="s">
        <v>4121</v>
      </c>
      <c r="G806" s="66" t="s">
        <v>1239</v>
      </c>
      <c r="I806" s="99">
        <v>13</v>
      </c>
    </row>
    <row r="807" spans="1:10" hidden="1" x14ac:dyDescent="0.2">
      <c r="A807" s="11" t="s">
        <v>4212</v>
      </c>
      <c r="B807" s="12" t="s">
        <v>4213</v>
      </c>
      <c r="C807" s="13">
        <f>C806+1</f>
        <v>33</v>
      </c>
      <c r="D807" s="12" t="s">
        <v>3512</v>
      </c>
      <c r="E807" s="28" t="s">
        <v>4214</v>
      </c>
      <c r="F807" s="12" t="s">
        <v>4246</v>
      </c>
      <c r="G807" s="66" t="s">
        <v>1239</v>
      </c>
      <c r="I807" s="99">
        <v>13</v>
      </c>
    </row>
    <row r="808" spans="1:10" hidden="1" x14ac:dyDescent="0.2">
      <c r="A808" s="120" t="s">
        <v>3458</v>
      </c>
      <c r="B808" s="123" t="s">
        <v>3459</v>
      </c>
      <c r="C808" s="122">
        <v>46</v>
      </c>
      <c r="D808" s="123" t="s">
        <v>3544</v>
      </c>
      <c r="E808" s="235" t="s">
        <v>3460</v>
      </c>
      <c r="F808" s="141" t="s">
        <v>3545</v>
      </c>
      <c r="G808" s="142" t="s">
        <v>19</v>
      </c>
      <c r="I808" s="90" t="s">
        <v>2426</v>
      </c>
    </row>
    <row r="809" spans="1:10" hidden="1" x14ac:dyDescent="0.2">
      <c r="A809" s="120" t="s">
        <v>3633</v>
      </c>
      <c r="B809" s="123" t="s">
        <v>3634</v>
      </c>
      <c r="C809" s="122">
        <v>47</v>
      </c>
      <c r="D809" s="123" t="s">
        <v>3544</v>
      </c>
      <c r="E809" s="235" t="s">
        <v>3635</v>
      </c>
      <c r="F809" s="141" t="s">
        <v>3692</v>
      </c>
      <c r="G809" s="142" t="s">
        <v>19</v>
      </c>
      <c r="I809" s="90" t="s">
        <v>2426</v>
      </c>
    </row>
    <row r="810" spans="1:10" hidden="1" x14ac:dyDescent="0.2">
      <c r="A810" s="11" t="s">
        <v>93</v>
      </c>
      <c r="B810" s="12" t="s">
        <v>94</v>
      </c>
      <c r="C810" s="13">
        <v>23</v>
      </c>
      <c r="D810" s="14" t="s">
        <v>139</v>
      </c>
      <c r="E810" s="28" t="s">
        <v>96</v>
      </c>
      <c r="F810" s="12" t="s">
        <v>140</v>
      </c>
      <c r="G810" s="15" t="s">
        <v>19</v>
      </c>
    </row>
    <row r="811" spans="1:10" hidden="1" x14ac:dyDescent="0.2">
      <c r="A811" s="146" t="s">
        <v>5060</v>
      </c>
      <c r="B811" s="12" t="s">
        <v>5061</v>
      </c>
      <c r="C811" s="13">
        <v>45</v>
      </c>
      <c r="D811" s="14" t="s">
        <v>5145</v>
      </c>
      <c r="E811" s="28" t="s">
        <v>5062</v>
      </c>
      <c r="F811" s="12" t="s">
        <v>5146</v>
      </c>
      <c r="G811" s="15" t="s">
        <v>19</v>
      </c>
    </row>
    <row r="812" spans="1:10" hidden="1" x14ac:dyDescent="0.2">
      <c r="A812" s="146" t="s">
        <v>5060</v>
      </c>
      <c r="B812" s="12" t="s">
        <v>5061</v>
      </c>
      <c r="C812" s="13">
        <v>44</v>
      </c>
      <c r="D812" s="14" t="s">
        <v>5143</v>
      </c>
      <c r="E812" s="28" t="s">
        <v>5062</v>
      </c>
      <c r="F812" s="12" t="s">
        <v>5144</v>
      </c>
      <c r="G812" s="15" t="s">
        <v>19</v>
      </c>
    </row>
    <row r="813" spans="1:10" hidden="1" x14ac:dyDescent="0.2">
      <c r="A813" s="11" t="s">
        <v>93</v>
      </c>
      <c r="B813" s="12" t="s">
        <v>94</v>
      </c>
      <c r="C813" s="13">
        <v>22</v>
      </c>
      <c r="D813" s="14" t="s">
        <v>137</v>
      </c>
      <c r="E813" s="28" t="s">
        <v>96</v>
      </c>
      <c r="F813" s="12" t="s">
        <v>138</v>
      </c>
      <c r="G813" s="15" t="s">
        <v>19</v>
      </c>
    </row>
    <row r="814" spans="1:10" hidden="1" x14ac:dyDescent="0.2">
      <c r="A814" s="11" t="s">
        <v>4634</v>
      </c>
      <c r="B814" s="12" t="s">
        <v>4635</v>
      </c>
      <c r="C814" s="13">
        <v>13</v>
      </c>
      <c r="D814" s="41" t="s">
        <v>4654</v>
      </c>
      <c r="E814" s="138" t="s">
        <v>4636</v>
      </c>
      <c r="F814" s="65" t="s">
        <v>4655</v>
      </c>
      <c r="G814" s="66" t="s">
        <v>19</v>
      </c>
    </row>
    <row r="815" spans="1:10" hidden="1" x14ac:dyDescent="0.2">
      <c r="A815" s="11" t="s">
        <v>4680</v>
      </c>
      <c r="B815" s="12" t="s">
        <v>4681</v>
      </c>
      <c r="C815" s="13">
        <v>15</v>
      </c>
      <c r="D815" s="41" t="s">
        <v>4654</v>
      </c>
      <c r="E815" s="138" t="s">
        <v>4682</v>
      </c>
      <c r="F815" s="65" t="s">
        <v>4699</v>
      </c>
      <c r="G815" s="66" t="s">
        <v>19</v>
      </c>
    </row>
    <row r="816" spans="1:10" hidden="1" x14ac:dyDescent="0.2">
      <c r="A816" s="11" t="s">
        <v>3458</v>
      </c>
      <c r="B816" s="12" t="s">
        <v>3459</v>
      </c>
      <c r="C816" s="13">
        <v>29</v>
      </c>
      <c r="D816" s="12" t="s">
        <v>3510</v>
      </c>
      <c r="E816" s="138" t="s">
        <v>3460</v>
      </c>
      <c r="F816" s="65" t="s">
        <v>3511</v>
      </c>
      <c r="G816" s="66" t="s">
        <v>1239</v>
      </c>
      <c r="I816" s="99">
        <v>13</v>
      </c>
    </row>
    <row r="817" spans="1:27" hidden="1" x14ac:dyDescent="0.2">
      <c r="A817" s="11" t="s">
        <v>3633</v>
      </c>
      <c r="B817" s="12" t="s">
        <v>3634</v>
      </c>
      <c r="C817" s="13">
        <v>30</v>
      </c>
      <c r="D817" s="12" t="s">
        <v>3510</v>
      </c>
      <c r="E817" s="138" t="s">
        <v>3635</v>
      </c>
      <c r="F817" s="65" t="s">
        <v>3671</v>
      </c>
      <c r="G817" s="66" t="s">
        <v>1239</v>
      </c>
      <c r="I817" s="99">
        <v>13</v>
      </c>
    </row>
    <row r="818" spans="1:27" hidden="1" x14ac:dyDescent="0.2">
      <c r="A818" s="11" t="s">
        <v>4087</v>
      </c>
      <c r="B818" s="12" t="s">
        <v>4088</v>
      </c>
      <c r="C818" s="13">
        <f>C817+1</f>
        <v>31</v>
      </c>
      <c r="D818" s="12" t="s">
        <v>3510</v>
      </c>
      <c r="E818" s="28" t="s">
        <v>4089</v>
      </c>
      <c r="F818" s="12" t="s">
        <v>4120</v>
      </c>
      <c r="G818" s="66" t="s">
        <v>1239</v>
      </c>
      <c r="I818" s="99">
        <v>13</v>
      </c>
    </row>
    <row r="819" spans="1:27" hidden="1" x14ac:dyDescent="0.2">
      <c r="A819" s="11" t="s">
        <v>4212</v>
      </c>
      <c r="B819" s="12" t="s">
        <v>4213</v>
      </c>
      <c r="C819" s="13">
        <f>C818+1</f>
        <v>32</v>
      </c>
      <c r="D819" s="12" t="s">
        <v>3510</v>
      </c>
      <c r="E819" s="28" t="s">
        <v>4214</v>
      </c>
      <c r="F819" s="12" t="s">
        <v>4245</v>
      </c>
      <c r="G819" s="66" t="s">
        <v>1239</v>
      </c>
      <c r="I819" s="99">
        <v>13</v>
      </c>
    </row>
    <row r="820" spans="1:27" hidden="1" x14ac:dyDescent="0.2">
      <c r="A820" s="120" t="s">
        <v>3458</v>
      </c>
      <c r="B820" s="123" t="s">
        <v>3459</v>
      </c>
      <c r="C820" s="122">
        <v>45</v>
      </c>
      <c r="D820" s="123" t="s">
        <v>3542</v>
      </c>
      <c r="E820" s="235" t="s">
        <v>3460</v>
      </c>
      <c r="F820" s="141" t="s">
        <v>3543</v>
      </c>
      <c r="G820" s="142" t="s">
        <v>19</v>
      </c>
      <c r="I820" s="90" t="s">
        <v>2426</v>
      </c>
    </row>
    <row r="821" spans="1:27" hidden="1" x14ac:dyDescent="0.2">
      <c r="A821" s="120" t="s">
        <v>3633</v>
      </c>
      <c r="B821" s="123" t="s">
        <v>3634</v>
      </c>
      <c r="C821" s="122">
        <v>46</v>
      </c>
      <c r="D821" s="123" t="s">
        <v>3542</v>
      </c>
      <c r="E821" s="235" t="s">
        <v>3635</v>
      </c>
      <c r="F821" s="141" t="s">
        <v>3691</v>
      </c>
      <c r="G821" s="142" t="s">
        <v>19</v>
      </c>
      <c r="I821" s="90" t="s">
        <v>2426</v>
      </c>
    </row>
    <row r="822" spans="1:27" hidden="1" x14ac:dyDescent="0.2">
      <c r="A822" s="11" t="s">
        <v>585</v>
      </c>
      <c r="B822" s="12" t="s">
        <v>586</v>
      </c>
      <c r="C822" s="13">
        <v>19</v>
      </c>
      <c r="D822" s="14" t="s">
        <v>622</v>
      </c>
      <c r="E822" s="28" t="s">
        <v>587</v>
      </c>
      <c r="F822" s="12" t="s">
        <v>623</v>
      </c>
      <c r="G822" s="15" t="s">
        <v>595</v>
      </c>
      <c r="I822" s="99">
        <v>13</v>
      </c>
    </row>
    <row r="823" spans="1:27" hidden="1" x14ac:dyDescent="0.2">
      <c r="A823" s="11" t="s">
        <v>4513</v>
      </c>
      <c r="B823" s="12" t="s">
        <v>4514</v>
      </c>
      <c r="C823" s="13">
        <v>14</v>
      </c>
      <c r="D823" s="12" t="s">
        <v>4531</v>
      </c>
      <c r="E823" s="28" t="s">
        <v>4515</v>
      </c>
      <c r="F823" s="12" t="s">
        <v>4532</v>
      </c>
      <c r="G823" s="66" t="s">
        <v>881</v>
      </c>
      <c r="I823" s="9">
        <v>15</v>
      </c>
    </row>
    <row r="824" spans="1:27" hidden="1" x14ac:dyDescent="0.25">
      <c r="A824" s="11" t="s">
        <v>5686</v>
      </c>
      <c r="B824" s="12" t="s">
        <v>5687</v>
      </c>
      <c r="C824" s="13">
        <f>C823+1</f>
        <v>15</v>
      </c>
      <c r="D824" s="12" t="s">
        <v>5791</v>
      </c>
      <c r="E824" s="28" t="s">
        <v>5688</v>
      </c>
      <c r="F824" s="12" t="s">
        <v>5792</v>
      </c>
      <c r="G824" s="15" t="s">
        <v>19</v>
      </c>
      <c r="I824" s="90">
        <v>12</v>
      </c>
    </row>
    <row r="825" spans="1:27" hidden="1" x14ac:dyDescent="0.25">
      <c r="A825" s="11" t="s">
        <v>5686</v>
      </c>
      <c r="B825" s="12" t="s">
        <v>5687</v>
      </c>
      <c r="C825" s="13">
        <f>C824+1</f>
        <v>16</v>
      </c>
      <c r="D825" s="12" t="s">
        <v>5789</v>
      </c>
      <c r="E825" s="28" t="s">
        <v>5688</v>
      </c>
      <c r="F825" s="12" t="s">
        <v>5790</v>
      </c>
      <c r="G825" s="15" t="s">
        <v>19</v>
      </c>
      <c r="I825" s="90">
        <v>12</v>
      </c>
    </row>
    <row r="826" spans="1:27" hidden="1" x14ac:dyDescent="0.2">
      <c r="A826" s="11" t="s">
        <v>585</v>
      </c>
      <c r="B826" s="12" t="s">
        <v>586</v>
      </c>
      <c r="C826" s="13">
        <v>18</v>
      </c>
      <c r="D826" s="14" t="s">
        <v>620</v>
      </c>
      <c r="E826" s="28" t="s">
        <v>587</v>
      </c>
      <c r="F826" s="12" t="s">
        <v>621</v>
      </c>
      <c r="G826" s="15" t="s">
        <v>595</v>
      </c>
      <c r="I826" s="99">
        <v>13</v>
      </c>
    </row>
    <row r="827" spans="1:27" ht="15" hidden="1" x14ac:dyDescent="0.25">
      <c r="A827" s="11" t="s">
        <v>1922</v>
      </c>
      <c r="B827" s="12" t="s">
        <v>1923</v>
      </c>
      <c r="C827" s="13">
        <v>15</v>
      </c>
      <c r="D827" s="51" t="s">
        <v>1950</v>
      </c>
      <c r="E827" s="28" t="s">
        <v>1924</v>
      </c>
      <c r="F827" s="12" t="s">
        <v>1951</v>
      </c>
      <c r="G827" s="15" t="s">
        <v>19</v>
      </c>
      <c r="I827" s="9">
        <v>15</v>
      </c>
      <c r="J827" s="52"/>
    </row>
    <row r="828" spans="1:27" ht="15" hidden="1" x14ac:dyDescent="0.25">
      <c r="A828" s="11" t="s">
        <v>1922</v>
      </c>
      <c r="B828" s="12" t="s">
        <v>1923</v>
      </c>
      <c r="C828" s="13">
        <v>13</v>
      </c>
      <c r="D828" s="51" t="s">
        <v>1946</v>
      </c>
      <c r="E828" s="28" t="s">
        <v>1924</v>
      </c>
      <c r="F828" s="12" t="s">
        <v>1947</v>
      </c>
      <c r="G828" s="15" t="s">
        <v>19</v>
      </c>
      <c r="I828" s="9">
        <v>15</v>
      </c>
      <c r="J828" s="52"/>
    </row>
    <row r="829" spans="1:27" hidden="1" x14ac:dyDescent="0.25">
      <c r="A829" s="120" t="s">
        <v>2130</v>
      </c>
      <c r="B829" s="121" t="s">
        <v>2131</v>
      </c>
      <c r="C829" s="122">
        <v>13</v>
      </c>
      <c r="D829" s="123" t="s">
        <v>2153</v>
      </c>
      <c r="E829" s="124" t="s">
        <v>2132</v>
      </c>
      <c r="F829" s="123" t="s">
        <v>2154</v>
      </c>
      <c r="G829" s="125" t="s">
        <v>191</v>
      </c>
      <c r="H829" s="121"/>
      <c r="I829" s="126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  <c r="AA829" s="121"/>
    </row>
    <row r="830" spans="1:27" hidden="1" x14ac:dyDescent="0.2">
      <c r="A830" s="11" t="s">
        <v>6584</v>
      </c>
      <c r="B830" s="12" t="s">
        <v>6585</v>
      </c>
      <c r="C830" s="13">
        <v>7</v>
      </c>
      <c r="D830" s="14" t="s">
        <v>6593</v>
      </c>
      <c r="E830" s="28" t="s">
        <v>6586</v>
      </c>
      <c r="F830" s="12" t="s">
        <v>6594</v>
      </c>
      <c r="G830" s="15" t="s">
        <v>13</v>
      </c>
    </row>
    <row r="831" spans="1:27" hidden="1" x14ac:dyDescent="0.2">
      <c r="A831" s="11" t="s">
        <v>585</v>
      </c>
      <c r="B831" s="12" t="s">
        <v>586</v>
      </c>
      <c r="C831" s="13">
        <v>21</v>
      </c>
      <c r="D831" s="14" t="s">
        <v>626</v>
      </c>
      <c r="E831" s="28" t="s">
        <v>587</v>
      </c>
      <c r="F831" s="12" t="s">
        <v>627</v>
      </c>
      <c r="G831" s="15" t="s">
        <v>625</v>
      </c>
      <c r="I831" s="99">
        <v>13</v>
      </c>
    </row>
    <row r="832" spans="1:27" hidden="1" x14ac:dyDescent="0.2">
      <c r="A832" s="11" t="s">
        <v>3165</v>
      </c>
      <c r="B832" s="12" t="s">
        <v>3166</v>
      </c>
      <c r="C832" s="13">
        <v>31</v>
      </c>
      <c r="D832" s="12" t="s">
        <v>3206</v>
      </c>
      <c r="E832" s="28" t="s">
        <v>3167</v>
      </c>
      <c r="F832" s="65" t="s">
        <v>3207</v>
      </c>
      <c r="G832" s="66" t="s">
        <v>13</v>
      </c>
    </row>
    <row r="833" spans="1:27" ht="15" hidden="1" x14ac:dyDescent="0.25">
      <c r="A833" s="11" t="s">
        <v>5523</v>
      </c>
      <c r="B833" s="12" t="s">
        <v>5524</v>
      </c>
      <c r="C833" s="13">
        <v>17</v>
      </c>
      <c r="D833" s="14" t="s">
        <v>5557</v>
      </c>
      <c r="E833" s="28" t="s">
        <v>5526</v>
      </c>
      <c r="F833" s="65" t="s">
        <v>5558</v>
      </c>
      <c r="G833" s="77" t="s">
        <v>1323</v>
      </c>
      <c r="I833" s="9">
        <v>15</v>
      </c>
      <c r="J833" s="52"/>
    </row>
    <row r="834" spans="1:27" ht="12.75" hidden="1" thickBot="1" x14ac:dyDescent="0.3">
      <c r="A834" s="36" t="s">
        <v>6688</v>
      </c>
      <c r="B834" s="30" t="s">
        <v>6689</v>
      </c>
      <c r="C834" s="31">
        <f>C833+1</f>
        <v>18</v>
      </c>
      <c r="D834" s="30" t="s">
        <v>6750</v>
      </c>
      <c r="E834" s="32" t="s">
        <v>6690</v>
      </c>
      <c r="F834" s="30" t="s">
        <v>6751</v>
      </c>
      <c r="G834" s="33" t="s">
        <v>13</v>
      </c>
      <c r="I834" s="90">
        <v>12</v>
      </c>
    </row>
    <row r="835" spans="1:27" hidden="1" x14ac:dyDescent="0.25">
      <c r="A835" s="56" t="s">
        <v>5686</v>
      </c>
      <c r="B835" s="61" t="s">
        <v>5687</v>
      </c>
      <c r="C835" s="58">
        <f>C834+1</f>
        <v>19</v>
      </c>
      <c r="D835" s="61" t="s">
        <v>5765</v>
      </c>
      <c r="E835" s="89" t="s">
        <v>5688</v>
      </c>
      <c r="F835" s="61" t="s">
        <v>5766</v>
      </c>
      <c r="G835" s="62" t="s">
        <v>3022</v>
      </c>
      <c r="I835" s="90">
        <v>12</v>
      </c>
    </row>
    <row r="836" spans="1:27" hidden="1" x14ac:dyDescent="0.25">
      <c r="A836" s="11" t="s">
        <v>641</v>
      </c>
      <c r="B836" s="12" t="s">
        <v>642</v>
      </c>
      <c r="C836" s="13">
        <v>4</v>
      </c>
      <c r="D836" s="22" t="s">
        <v>647</v>
      </c>
      <c r="E836" s="28" t="s">
        <v>643</v>
      </c>
      <c r="F836" s="22" t="s">
        <v>648</v>
      </c>
      <c r="G836" s="15" t="s">
        <v>483</v>
      </c>
      <c r="I836" s="99">
        <v>13</v>
      </c>
    </row>
    <row r="837" spans="1:27" hidden="1" x14ac:dyDescent="0.25">
      <c r="A837" s="11" t="s">
        <v>1568</v>
      </c>
      <c r="B837" s="12" t="s">
        <v>1569</v>
      </c>
      <c r="C837" s="13">
        <v>37</v>
      </c>
      <c r="D837" s="12" t="s">
        <v>1649</v>
      </c>
      <c r="E837" s="28" t="s">
        <v>1570</v>
      </c>
      <c r="F837" s="12" t="s">
        <v>1650</v>
      </c>
      <c r="G837" s="15" t="s">
        <v>1579</v>
      </c>
      <c r="I837" s="94">
        <v>14</v>
      </c>
    </row>
    <row r="838" spans="1:27" hidden="1" x14ac:dyDescent="0.25">
      <c r="A838" s="11" t="s">
        <v>1768</v>
      </c>
      <c r="B838" s="12" t="s">
        <v>1769</v>
      </c>
      <c r="C838" s="13">
        <v>16</v>
      </c>
      <c r="D838" s="12" t="s">
        <v>1649</v>
      </c>
      <c r="E838" s="28" t="s">
        <v>1770</v>
      </c>
      <c r="F838" s="12" t="s">
        <v>1787</v>
      </c>
      <c r="G838" s="15" t="s">
        <v>1579</v>
      </c>
      <c r="I838" s="94">
        <v>14</v>
      </c>
    </row>
    <row r="839" spans="1:27" hidden="1" x14ac:dyDescent="0.25">
      <c r="A839" s="11" t="s">
        <v>1568</v>
      </c>
      <c r="B839" s="12" t="s">
        <v>1569</v>
      </c>
      <c r="C839" s="13">
        <v>17</v>
      </c>
      <c r="D839" s="12" t="s">
        <v>1605</v>
      </c>
      <c r="E839" s="28" t="s">
        <v>1570</v>
      </c>
      <c r="F839" s="12" t="s">
        <v>1606</v>
      </c>
      <c r="G839" s="15" t="s">
        <v>684</v>
      </c>
      <c r="I839" s="94">
        <v>14</v>
      </c>
    </row>
    <row r="840" spans="1:27" hidden="1" x14ac:dyDescent="0.25">
      <c r="A840" s="11" t="s">
        <v>1768</v>
      </c>
      <c r="B840" s="12" t="s">
        <v>1769</v>
      </c>
      <c r="C840" s="13">
        <v>8</v>
      </c>
      <c r="D840" s="12" t="s">
        <v>1605</v>
      </c>
      <c r="E840" s="28" t="s">
        <v>1770</v>
      </c>
      <c r="F840" s="12" t="s">
        <v>1779</v>
      </c>
      <c r="G840" s="15" t="s">
        <v>684</v>
      </c>
      <c r="I840" s="94">
        <v>14</v>
      </c>
    </row>
    <row r="841" spans="1:27" hidden="1" x14ac:dyDescent="0.2">
      <c r="A841" s="11" t="s">
        <v>362</v>
      </c>
      <c r="B841" s="12" t="s">
        <v>363</v>
      </c>
      <c r="C841" s="13">
        <v>35</v>
      </c>
      <c r="D841" s="14" t="s">
        <v>428</v>
      </c>
      <c r="E841" s="28" t="s">
        <v>364</v>
      </c>
      <c r="F841" s="12" t="s">
        <v>429</v>
      </c>
      <c r="G841" s="15" t="s">
        <v>13</v>
      </c>
    </row>
    <row r="842" spans="1:27" hidden="1" x14ac:dyDescent="0.25">
      <c r="A842" s="11" t="s">
        <v>2130</v>
      </c>
      <c r="B842" s="8" t="s">
        <v>2131</v>
      </c>
      <c r="C842" s="13">
        <v>15</v>
      </c>
      <c r="D842" s="12" t="s">
        <v>2157</v>
      </c>
      <c r="E842" s="28" t="s">
        <v>2132</v>
      </c>
      <c r="F842" s="12" t="s">
        <v>2158</v>
      </c>
      <c r="G842" s="15" t="s">
        <v>19</v>
      </c>
    </row>
    <row r="843" spans="1:27" hidden="1" x14ac:dyDescent="0.2">
      <c r="A843" s="11" t="s">
        <v>1122</v>
      </c>
      <c r="B843" s="12" t="s">
        <v>1123</v>
      </c>
      <c r="C843" s="13">
        <v>5</v>
      </c>
      <c r="D843" s="14" t="s">
        <v>1131</v>
      </c>
      <c r="E843" s="28" t="s">
        <v>1124</v>
      </c>
      <c r="F843" s="12" t="s">
        <v>1132</v>
      </c>
      <c r="G843" s="15" t="s">
        <v>13</v>
      </c>
    </row>
    <row r="844" spans="1:27" hidden="1" x14ac:dyDescent="0.25">
      <c r="A844" s="11" t="s">
        <v>1142</v>
      </c>
      <c r="B844" s="110" t="s">
        <v>1143</v>
      </c>
      <c r="C844" s="46">
        <v>24</v>
      </c>
      <c r="D844" s="110" t="s">
        <v>1189</v>
      </c>
      <c r="E844" s="111" t="s">
        <v>1144</v>
      </c>
      <c r="F844" s="110" t="s">
        <v>1190</v>
      </c>
      <c r="G844" s="112" t="s">
        <v>881</v>
      </c>
      <c r="H844" s="46"/>
      <c r="I844" s="94">
        <v>14</v>
      </c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</row>
    <row r="845" spans="1:27" ht="15" hidden="1" x14ac:dyDescent="0.25">
      <c r="A845" s="11" t="s">
        <v>6286</v>
      </c>
      <c r="B845" s="12" t="s">
        <v>6287</v>
      </c>
      <c r="C845" s="13">
        <f>C844+1</f>
        <v>25</v>
      </c>
      <c r="D845" s="12" t="s">
        <v>6323</v>
      </c>
      <c r="E845" s="28" t="s">
        <v>6288</v>
      </c>
      <c r="F845" s="12" t="s">
        <v>6324</v>
      </c>
      <c r="G845" s="15" t="s">
        <v>1239</v>
      </c>
      <c r="I845" s="9">
        <v>15</v>
      </c>
      <c r="J845" s="52"/>
    </row>
    <row r="846" spans="1:27" hidden="1" x14ac:dyDescent="0.25">
      <c r="A846" s="11" t="s">
        <v>6688</v>
      </c>
      <c r="B846" s="12" t="s">
        <v>6689</v>
      </c>
      <c r="C846" s="13">
        <v>27</v>
      </c>
      <c r="D846" s="12" t="s">
        <v>6738</v>
      </c>
      <c r="E846" s="28" t="s">
        <v>6690</v>
      </c>
      <c r="F846" s="12" t="s">
        <v>6739</v>
      </c>
      <c r="G846" s="15" t="s">
        <v>19</v>
      </c>
    </row>
    <row r="847" spans="1:27" hidden="1" x14ac:dyDescent="0.25">
      <c r="A847" s="11" t="s">
        <v>6688</v>
      </c>
      <c r="B847" s="12" t="s">
        <v>6689</v>
      </c>
      <c r="C847" s="13">
        <v>25</v>
      </c>
      <c r="D847" s="12" t="s">
        <v>6734</v>
      </c>
      <c r="E847" s="28" t="s">
        <v>6690</v>
      </c>
      <c r="F847" s="12" t="s">
        <v>6735</v>
      </c>
      <c r="G847" s="15" t="s">
        <v>19</v>
      </c>
    </row>
    <row r="848" spans="1:27" hidden="1" x14ac:dyDescent="0.25">
      <c r="A848" s="11" t="s">
        <v>6000</v>
      </c>
      <c r="B848" s="12" t="s">
        <v>6001</v>
      </c>
      <c r="C848" s="13">
        <v>6</v>
      </c>
      <c r="D848" s="12" t="s">
        <v>6010</v>
      </c>
      <c r="E848" s="28" t="s">
        <v>6002</v>
      </c>
      <c r="F848" s="12" t="s">
        <v>6011</v>
      </c>
      <c r="G848" s="15" t="s">
        <v>19</v>
      </c>
    </row>
    <row r="849" spans="1:9" hidden="1" x14ac:dyDescent="0.25">
      <c r="A849" s="11" t="s">
        <v>5559</v>
      </c>
      <c r="B849" s="12" t="s">
        <v>5560</v>
      </c>
      <c r="C849" s="13">
        <f>C848+1</f>
        <v>7</v>
      </c>
      <c r="D849" s="12" t="s">
        <v>5599</v>
      </c>
      <c r="E849" s="28" t="s">
        <v>5561</v>
      </c>
      <c r="F849" s="12" t="s">
        <v>5600</v>
      </c>
      <c r="G849" s="80" t="s">
        <v>13</v>
      </c>
      <c r="I849" s="90">
        <v>12</v>
      </c>
    </row>
    <row r="850" spans="1:9" hidden="1" x14ac:dyDescent="0.2">
      <c r="A850" s="11" t="s">
        <v>3034</v>
      </c>
      <c r="B850" s="12" t="s">
        <v>3035</v>
      </c>
      <c r="C850" s="13">
        <f>+C849+1</f>
        <v>8</v>
      </c>
      <c r="D850" s="14" t="s">
        <v>3089</v>
      </c>
      <c r="E850" s="28" t="s">
        <v>3036</v>
      </c>
      <c r="F850" s="65" t="s">
        <v>3090</v>
      </c>
      <c r="G850" s="66" t="s">
        <v>126</v>
      </c>
    </row>
    <row r="851" spans="1:9" hidden="1" x14ac:dyDescent="0.2">
      <c r="A851" s="11" t="s">
        <v>2631</v>
      </c>
      <c r="B851" s="12" t="s">
        <v>2632</v>
      </c>
      <c r="C851" s="13">
        <f>C850+1</f>
        <v>9</v>
      </c>
      <c r="D851" s="14" t="s">
        <v>2779</v>
      </c>
      <c r="E851" s="28" t="s">
        <v>2634</v>
      </c>
      <c r="F851" s="65" t="s">
        <v>2780</v>
      </c>
      <c r="G851" s="66" t="s">
        <v>862</v>
      </c>
      <c r="I851" s="94" t="s">
        <v>2778</v>
      </c>
    </row>
    <row r="852" spans="1:9" hidden="1" x14ac:dyDescent="0.2">
      <c r="A852" s="11" t="s">
        <v>3165</v>
      </c>
      <c r="B852" s="12" t="s">
        <v>3166</v>
      </c>
      <c r="C852" s="13">
        <f>C851+1</f>
        <v>10</v>
      </c>
      <c r="D852" s="12" t="s">
        <v>2779</v>
      </c>
      <c r="E852" s="28" t="s">
        <v>3167</v>
      </c>
      <c r="F852" s="12" t="s">
        <v>3330</v>
      </c>
      <c r="G852" s="66" t="s">
        <v>862</v>
      </c>
      <c r="I852" s="94" t="s">
        <v>2778</v>
      </c>
    </row>
    <row r="853" spans="1:9" hidden="1" x14ac:dyDescent="0.2">
      <c r="A853" s="11" t="s">
        <v>3458</v>
      </c>
      <c r="B853" s="12" t="s">
        <v>3459</v>
      </c>
      <c r="C853" s="13">
        <f>C852+1</f>
        <v>11</v>
      </c>
      <c r="D853" s="12" t="s">
        <v>2779</v>
      </c>
      <c r="E853" s="138" t="s">
        <v>3460</v>
      </c>
      <c r="F853" s="65" t="s">
        <v>3598</v>
      </c>
      <c r="G853" s="66" t="s">
        <v>862</v>
      </c>
      <c r="I853" s="94" t="s">
        <v>2778</v>
      </c>
    </row>
    <row r="854" spans="1:9" hidden="1" x14ac:dyDescent="0.2">
      <c r="A854" s="11" t="s">
        <v>3633</v>
      </c>
      <c r="B854" s="12" t="s">
        <v>3634</v>
      </c>
      <c r="C854" s="13">
        <v>68</v>
      </c>
      <c r="D854" s="12" t="s">
        <v>2779</v>
      </c>
      <c r="E854" s="138" t="s">
        <v>3635</v>
      </c>
      <c r="F854" s="65" t="s">
        <v>3721</v>
      </c>
      <c r="G854" s="66" t="s">
        <v>862</v>
      </c>
      <c r="I854" s="94" t="s">
        <v>2778</v>
      </c>
    </row>
    <row r="855" spans="1:9" hidden="1" x14ac:dyDescent="0.2">
      <c r="A855" s="11" t="s">
        <v>4087</v>
      </c>
      <c r="B855" s="12" t="s">
        <v>4088</v>
      </c>
      <c r="C855" s="13">
        <f>C854+1</f>
        <v>69</v>
      </c>
      <c r="D855" s="12" t="s">
        <v>2779</v>
      </c>
      <c r="E855" s="28" t="s">
        <v>4089</v>
      </c>
      <c r="F855" s="12" t="s">
        <v>4193</v>
      </c>
      <c r="G855" s="66" t="s">
        <v>862</v>
      </c>
      <c r="I855" s="94" t="s">
        <v>2778</v>
      </c>
    </row>
    <row r="856" spans="1:9" hidden="1" x14ac:dyDescent="0.2">
      <c r="A856" s="11" t="s">
        <v>4212</v>
      </c>
      <c r="B856" s="12" t="s">
        <v>4213</v>
      </c>
      <c r="C856" s="13">
        <f>C855+1</f>
        <v>70</v>
      </c>
      <c r="D856" s="12" t="s">
        <v>2779</v>
      </c>
      <c r="E856" s="28" t="s">
        <v>4214</v>
      </c>
      <c r="F856" s="12" t="s">
        <v>4301</v>
      </c>
      <c r="G856" s="66" t="s">
        <v>862</v>
      </c>
      <c r="I856" s="94" t="s">
        <v>2778</v>
      </c>
    </row>
    <row r="857" spans="1:9" hidden="1" x14ac:dyDescent="0.2">
      <c r="A857" s="11" t="s">
        <v>2631</v>
      </c>
      <c r="B857" s="12" t="s">
        <v>2632</v>
      </c>
      <c r="C857" s="13">
        <f>C856+1</f>
        <v>71</v>
      </c>
      <c r="D857" s="14" t="s">
        <v>2776</v>
      </c>
      <c r="E857" s="28" t="s">
        <v>2634</v>
      </c>
      <c r="F857" s="65" t="s">
        <v>2777</v>
      </c>
      <c r="G857" s="66" t="s">
        <v>862</v>
      </c>
      <c r="I857" s="94" t="s">
        <v>2778</v>
      </c>
    </row>
    <row r="858" spans="1:9" hidden="1" x14ac:dyDescent="0.2">
      <c r="A858" s="11" t="s">
        <v>3165</v>
      </c>
      <c r="B858" s="12" t="s">
        <v>3166</v>
      </c>
      <c r="C858" s="13">
        <f>C857+1</f>
        <v>72</v>
      </c>
      <c r="D858" s="12" t="s">
        <v>2776</v>
      </c>
      <c r="E858" s="28" t="s">
        <v>3167</v>
      </c>
      <c r="F858" s="12" t="s">
        <v>3329</v>
      </c>
      <c r="G858" s="66" t="s">
        <v>862</v>
      </c>
      <c r="I858" s="94" t="s">
        <v>2778</v>
      </c>
    </row>
    <row r="859" spans="1:9" hidden="1" x14ac:dyDescent="0.2">
      <c r="A859" s="11" t="s">
        <v>3458</v>
      </c>
      <c r="B859" s="12" t="s">
        <v>3459</v>
      </c>
      <c r="C859" s="13">
        <f>C858+1</f>
        <v>73</v>
      </c>
      <c r="D859" s="12" t="s">
        <v>2776</v>
      </c>
      <c r="E859" s="138" t="s">
        <v>3460</v>
      </c>
      <c r="F859" s="65" t="s">
        <v>3597</v>
      </c>
      <c r="G859" s="66" t="s">
        <v>862</v>
      </c>
      <c r="I859" s="94" t="s">
        <v>2778</v>
      </c>
    </row>
    <row r="860" spans="1:9" hidden="1" x14ac:dyDescent="0.2">
      <c r="A860" s="11" t="s">
        <v>3633</v>
      </c>
      <c r="B860" s="12" t="s">
        <v>3634</v>
      </c>
      <c r="C860" s="13">
        <v>67</v>
      </c>
      <c r="D860" s="12" t="s">
        <v>2776</v>
      </c>
      <c r="E860" s="138" t="s">
        <v>3635</v>
      </c>
      <c r="F860" s="65" t="s">
        <v>3720</v>
      </c>
      <c r="G860" s="66" t="s">
        <v>862</v>
      </c>
      <c r="I860" s="94" t="s">
        <v>2778</v>
      </c>
    </row>
    <row r="861" spans="1:9" hidden="1" x14ac:dyDescent="0.2">
      <c r="A861" s="11" t="s">
        <v>4087</v>
      </c>
      <c r="B861" s="12" t="s">
        <v>4088</v>
      </c>
      <c r="C861" s="13">
        <f>C860+1</f>
        <v>68</v>
      </c>
      <c r="D861" s="12" t="s">
        <v>2776</v>
      </c>
      <c r="E861" s="28" t="s">
        <v>4089</v>
      </c>
      <c r="F861" s="12" t="s">
        <v>4192</v>
      </c>
      <c r="G861" s="66" t="s">
        <v>862</v>
      </c>
      <c r="I861" s="94" t="s">
        <v>2778</v>
      </c>
    </row>
    <row r="862" spans="1:9" hidden="1" x14ac:dyDescent="0.2">
      <c r="A862" s="11" t="s">
        <v>4212</v>
      </c>
      <c r="B862" s="12" t="s">
        <v>4213</v>
      </c>
      <c r="C862" s="13">
        <f>C861+1</f>
        <v>69</v>
      </c>
      <c r="D862" s="12" t="s">
        <v>2776</v>
      </c>
      <c r="E862" s="28" t="s">
        <v>4214</v>
      </c>
      <c r="F862" s="12" t="s">
        <v>4300</v>
      </c>
      <c r="G862" s="66" t="s">
        <v>862</v>
      </c>
      <c r="I862" s="94" t="s">
        <v>2778</v>
      </c>
    </row>
    <row r="863" spans="1:9" hidden="1" x14ac:dyDescent="0.2">
      <c r="A863" s="11" t="s">
        <v>1142</v>
      </c>
      <c r="B863" s="12" t="s">
        <v>1143</v>
      </c>
      <c r="C863" s="13">
        <v>13</v>
      </c>
      <c r="D863" s="14" t="s">
        <v>1163</v>
      </c>
      <c r="E863" s="28" t="s">
        <v>1144</v>
      </c>
      <c r="F863" s="12" t="s">
        <v>1164</v>
      </c>
      <c r="G863" s="15" t="s">
        <v>126</v>
      </c>
    </row>
    <row r="864" spans="1:9" hidden="1" x14ac:dyDescent="0.2">
      <c r="A864" s="11" t="s">
        <v>1229</v>
      </c>
      <c r="B864" s="12" t="s">
        <v>1230</v>
      </c>
      <c r="C864" s="13">
        <v>7</v>
      </c>
      <c r="D864" s="14" t="s">
        <v>1240</v>
      </c>
      <c r="E864" s="28" t="s">
        <v>1231</v>
      </c>
      <c r="F864" s="12" t="s">
        <v>1241</v>
      </c>
      <c r="G864" s="15" t="s">
        <v>687</v>
      </c>
      <c r="I864" s="9">
        <v>15</v>
      </c>
    </row>
    <row r="865" spans="1:27" hidden="1" x14ac:dyDescent="0.2">
      <c r="A865" s="11" t="s">
        <v>434</v>
      </c>
      <c r="B865" s="12" t="s">
        <v>435</v>
      </c>
      <c r="C865" s="13">
        <v>9</v>
      </c>
      <c r="D865" s="14" t="s">
        <v>450</v>
      </c>
      <c r="E865" s="28" t="s">
        <v>436</v>
      </c>
      <c r="F865" s="12" t="s">
        <v>451</v>
      </c>
      <c r="G865" s="15" t="s">
        <v>126</v>
      </c>
    </row>
    <row r="866" spans="1:27" ht="15" hidden="1" x14ac:dyDescent="0.25">
      <c r="A866" s="11" t="s">
        <v>6086</v>
      </c>
      <c r="B866" s="12" t="s">
        <v>6087</v>
      </c>
      <c r="C866" s="13">
        <v>16</v>
      </c>
      <c r="D866" s="12" t="s">
        <v>6114</v>
      </c>
      <c r="E866" s="28" t="s">
        <v>6088</v>
      </c>
      <c r="F866" s="12" t="s">
        <v>6115</v>
      </c>
      <c r="G866" s="15" t="s">
        <v>862</v>
      </c>
      <c r="I866" s="9">
        <v>15</v>
      </c>
      <c r="J866" s="52"/>
    </row>
    <row r="867" spans="1:27" ht="15" hidden="1" x14ac:dyDescent="0.25">
      <c r="A867" s="11" t="s">
        <v>6463</v>
      </c>
      <c r="B867" s="12" t="s">
        <v>6464</v>
      </c>
      <c r="C867" s="13">
        <v>16</v>
      </c>
      <c r="D867" s="12" t="s">
        <v>6114</v>
      </c>
      <c r="E867" s="28" t="s">
        <v>6465</v>
      </c>
      <c r="F867" s="12" t="s">
        <v>6481</v>
      </c>
      <c r="G867" s="15" t="s">
        <v>862</v>
      </c>
      <c r="I867" s="9">
        <v>15</v>
      </c>
      <c r="J867" s="52"/>
    </row>
    <row r="868" spans="1:27" hidden="1" x14ac:dyDescent="0.2">
      <c r="A868" s="11" t="s">
        <v>1142</v>
      </c>
      <c r="B868" s="12" t="s">
        <v>1143</v>
      </c>
      <c r="C868" s="13">
        <v>6</v>
      </c>
      <c r="D868" s="14" t="s">
        <v>1150</v>
      </c>
      <c r="E868" s="28" t="s">
        <v>1144</v>
      </c>
      <c r="F868" s="12" t="s">
        <v>1151</v>
      </c>
      <c r="G868" s="15" t="s">
        <v>126</v>
      </c>
    </row>
    <row r="869" spans="1:27" hidden="1" x14ac:dyDescent="0.25">
      <c r="A869" s="81" t="s">
        <v>3458</v>
      </c>
      <c r="B869" s="96" t="s">
        <v>3459</v>
      </c>
      <c r="C869" s="97">
        <f>C868+1</f>
        <v>7</v>
      </c>
      <c r="D869" s="96" t="s">
        <v>1150</v>
      </c>
      <c r="E869" s="131" t="s">
        <v>3460</v>
      </c>
      <c r="F869" s="96" t="s">
        <v>3566</v>
      </c>
      <c r="G869" s="132" t="s">
        <v>126</v>
      </c>
      <c r="I869" s="99">
        <v>13</v>
      </c>
    </row>
    <row r="870" spans="1:27" hidden="1" x14ac:dyDescent="0.25">
      <c r="A870" s="81" t="s">
        <v>3633</v>
      </c>
      <c r="B870" s="96" t="s">
        <v>3634</v>
      </c>
      <c r="C870" s="97">
        <f>C869+1</f>
        <v>8</v>
      </c>
      <c r="D870" s="96" t="s">
        <v>1150</v>
      </c>
      <c r="E870" s="131" t="s">
        <v>3635</v>
      </c>
      <c r="F870" s="96" t="s">
        <v>3705</v>
      </c>
      <c r="G870" s="132" t="s">
        <v>126</v>
      </c>
      <c r="I870" s="99">
        <v>13</v>
      </c>
    </row>
    <row r="871" spans="1:27" hidden="1" x14ac:dyDescent="0.25">
      <c r="A871" s="81" t="s">
        <v>4087</v>
      </c>
      <c r="B871" s="96" t="s">
        <v>4088</v>
      </c>
      <c r="C871" s="97">
        <f>C870+1</f>
        <v>9</v>
      </c>
      <c r="D871" s="96" t="s">
        <v>1150</v>
      </c>
      <c r="E871" s="131" t="s">
        <v>4089</v>
      </c>
      <c r="F871" s="96" t="s">
        <v>4139</v>
      </c>
      <c r="G871" s="132" t="s">
        <v>126</v>
      </c>
      <c r="I871" s="99">
        <v>13</v>
      </c>
    </row>
    <row r="872" spans="1:27" hidden="1" x14ac:dyDescent="0.25">
      <c r="A872" s="81" t="s">
        <v>4212</v>
      </c>
      <c r="B872" s="96" t="s">
        <v>4213</v>
      </c>
      <c r="C872" s="97">
        <f>C871+1</f>
        <v>10</v>
      </c>
      <c r="D872" s="96" t="s">
        <v>1150</v>
      </c>
      <c r="E872" s="131" t="s">
        <v>4214</v>
      </c>
      <c r="F872" s="96" t="s">
        <v>4263</v>
      </c>
      <c r="G872" s="132" t="s">
        <v>126</v>
      </c>
      <c r="I872" s="99">
        <v>13</v>
      </c>
    </row>
    <row r="873" spans="1:27" hidden="1" x14ac:dyDescent="0.2">
      <c r="A873" s="11" t="s">
        <v>4634</v>
      </c>
      <c r="B873" s="12" t="s">
        <v>4635</v>
      </c>
      <c r="C873" s="13">
        <v>10</v>
      </c>
      <c r="D873" s="41" t="s">
        <v>4649</v>
      </c>
      <c r="E873" s="138" t="s">
        <v>4636</v>
      </c>
      <c r="F873" s="65" t="s">
        <v>4650</v>
      </c>
      <c r="G873" s="66" t="s">
        <v>126</v>
      </c>
    </row>
    <row r="874" spans="1:27" hidden="1" x14ac:dyDescent="0.2">
      <c r="A874" s="11" t="s">
        <v>4680</v>
      </c>
      <c r="B874" s="12" t="s">
        <v>4681</v>
      </c>
      <c r="C874" s="13">
        <v>12</v>
      </c>
      <c r="D874" s="41" t="s">
        <v>4649</v>
      </c>
      <c r="E874" s="138" t="s">
        <v>4682</v>
      </c>
      <c r="F874" s="65" t="s">
        <v>4696</v>
      </c>
      <c r="G874" s="66" t="s">
        <v>126</v>
      </c>
    </row>
    <row r="875" spans="1:27" hidden="1" x14ac:dyDescent="0.2">
      <c r="A875" s="11" t="s">
        <v>5453</v>
      </c>
      <c r="B875" s="12" t="s">
        <v>5454</v>
      </c>
      <c r="C875" s="13">
        <v>5</v>
      </c>
      <c r="D875" s="167" t="s">
        <v>5464</v>
      </c>
      <c r="E875" s="28" t="s">
        <v>5456</v>
      </c>
      <c r="F875" s="65" t="s">
        <v>5465</v>
      </c>
      <c r="G875" s="15" t="s">
        <v>3399</v>
      </c>
    </row>
    <row r="876" spans="1:27" hidden="1" x14ac:dyDescent="0.2">
      <c r="A876" s="11" t="s">
        <v>1142</v>
      </c>
      <c r="B876" s="12" t="s">
        <v>1143</v>
      </c>
      <c r="C876" s="13">
        <v>7</v>
      </c>
      <c r="D876" s="14" t="s">
        <v>1152</v>
      </c>
      <c r="E876" s="28" t="s">
        <v>1144</v>
      </c>
      <c r="F876" s="12" t="s">
        <v>1153</v>
      </c>
      <c r="G876" s="15" t="s">
        <v>126</v>
      </c>
    </row>
    <row r="877" spans="1:27" s="10" customFormat="1" hidden="1" x14ac:dyDescent="0.2">
      <c r="A877" s="11" t="s">
        <v>3384</v>
      </c>
      <c r="B877" s="12" t="s">
        <v>3385</v>
      </c>
      <c r="C877" s="13">
        <v>7</v>
      </c>
      <c r="D877" s="41" t="s">
        <v>3397</v>
      </c>
      <c r="E877" s="138" t="s">
        <v>3386</v>
      </c>
      <c r="F877" s="65" t="s">
        <v>3398</v>
      </c>
      <c r="G877" s="66" t="s">
        <v>3399</v>
      </c>
      <c r="H877" s="8"/>
      <c r="I877" s="90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s="10" customFormat="1" hidden="1" x14ac:dyDescent="0.2">
      <c r="A878" s="11" t="s">
        <v>4364</v>
      </c>
      <c r="B878" s="12" t="s">
        <v>4365</v>
      </c>
      <c r="C878" s="13">
        <f>C877+1</f>
        <v>8</v>
      </c>
      <c r="D878" s="12" t="s">
        <v>3397</v>
      </c>
      <c r="E878" s="28" t="s">
        <v>4366</v>
      </c>
      <c r="F878" s="12" t="s">
        <v>4374</v>
      </c>
      <c r="G878" s="66" t="s">
        <v>3399</v>
      </c>
      <c r="H878" s="8"/>
      <c r="I878" s="90" t="s">
        <v>2426</v>
      </c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s="10" customFormat="1" hidden="1" x14ac:dyDescent="0.2">
      <c r="A879" s="11" t="s">
        <v>5453</v>
      </c>
      <c r="B879" s="12" t="s">
        <v>5454</v>
      </c>
      <c r="C879" s="13">
        <v>6</v>
      </c>
      <c r="D879" s="167" t="s">
        <v>3397</v>
      </c>
      <c r="E879" s="28" t="s">
        <v>5456</v>
      </c>
      <c r="F879" s="65" t="s">
        <v>5466</v>
      </c>
      <c r="G879" s="15" t="s">
        <v>3399</v>
      </c>
      <c r="H879" s="8"/>
      <c r="I879" s="90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s="10" customFormat="1" hidden="1" x14ac:dyDescent="0.25">
      <c r="A880" s="109" t="s">
        <v>757</v>
      </c>
      <c r="B880" s="12" t="s">
        <v>758</v>
      </c>
      <c r="C880" s="13">
        <v>16</v>
      </c>
      <c r="D880" s="12" t="s">
        <v>789</v>
      </c>
      <c r="E880" s="28" t="s">
        <v>759</v>
      </c>
      <c r="F880" s="12" t="s">
        <v>790</v>
      </c>
      <c r="G880" s="15" t="s">
        <v>126</v>
      </c>
      <c r="H880" s="8"/>
      <c r="I880" s="9">
        <v>15</v>
      </c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s="10" customFormat="1" hidden="1" x14ac:dyDescent="0.2">
      <c r="A881" s="11" t="s">
        <v>93</v>
      </c>
      <c r="B881" s="12" t="s">
        <v>94</v>
      </c>
      <c r="C881" s="13">
        <v>88</v>
      </c>
      <c r="D881" s="14" t="s">
        <v>277</v>
      </c>
      <c r="E881" s="28" t="s">
        <v>96</v>
      </c>
      <c r="F881" s="12" t="s">
        <v>278</v>
      </c>
      <c r="G881" s="15" t="s">
        <v>279</v>
      </c>
      <c r="H881" s="8"/>
      <c r="I881" s="94">
        <v>14</v>
      </c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s="10" customFormat="1" hidden="1" x14ac:dyDescent="0.2">
      <c r="A882" s="11" t="s">
        <v>5453</v>
      </c>
      <c r="B882" s="12" t="s">
        <v>5454</v>
      </c>
      <c r="C882" s="13">
        <v>7</v>
      </c>
      <c r="D882" s="167" t="s">
        <v>5467</v>
      </c>
      <c r="E882" s="28" t="s">
        <v>5456</v>
      </c>
      <c r="F882" s="65" t="s">
        <v>5468</v>
      </c>
      <c r="G882" s="15" t="s">
        <v>3399</v>
      </c>
      <c r="H882" s="8"/>
      <c r="I882" s="90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s="10" customFormat="1" hidden="1" x14ac:dyDescent="0.2">
      <c r="A883" s="11" t="s">
        <v>4657</v>
      </c>
      <c r="B883" s="12" t="s">
        <v>4658</v>
      </c>
      <c r="C883" s="13">
        <v>9</v>
      </c>
      <c r="D883" s="41" t="s">
        <v>4669</v>
      </c>
      <c r="E883" s="138" t="s">
        <v>4659</v>
      </c>
      <c r="F883" s="65" t="s">
        <v>4670</v>
      </c>
      <c r="G883" s="66" t="s">
        <v>126</v>
      </c>
      <c r="H883" s="8"/>
      <c r="I883" s="90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s="10" customFormat="1" hidden="1" x14ac:dyDescent="0.2">
      <c r="A884" s="11" t="s">
        <v>4634</v>
      </c>
      <c r="B884" s="12" t="s">
        <v>4635</v>
      </c>
      <c r="C884" s="13">
        <v>6</v>
      </c>
      <c r="D884" s="41" t="s">
        <v>4643</v>
      </c>
      <c r="E884" s="138" t="s">
        <v>4636</v>
      </c>
      <c r="F884" s="65" t="s">
        <v>4644</v>
      </c>
      <c r="G884" s="66" t="s">
        <v>126</v>
      </c>
      <c r="H884" s="8"/>
      <c r="I884" s="90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s="10" customFormat="1" hidden="1" x14ac:dyDescent="0.2">
      <c r="A885" s="11" t="s">
        <v>4680</v>
      </c>
      <c r="B885" s="12" t="s">
        <v>4681</v>
      </c>
      <c r="C885" s="13">
        <v>6</v>
      </c>
      <c r="D885" s="41" t="s">
        <v>4689</v>
      </c>
      <c r="E885" s="138" t="s">
        <v>4682</v>
      </c>
      <c r="F885" s="65" t="s">
        <v>4690</v>
      </c>
      <c r="G885" s="66" t="s">
        <v>126</v>
      </c>
      <c r="H885" s="8"/>
      <c r="I885" s="90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s="10" customFormat="1" hidden="1" x14ac:dyDescent="0.2">
      <c r="A886" s="11" t="s">
        <v>93</v>
      </c>
      <c r="B886" s="12" t="s">
        <v>94</v>
      </c>
      <c r="C886" s="13">
        <v>17</v>
      </c>
      <c r="D886" s="14" t="s">
        <v>127</v>
      </c>
      <c r="E886" s="28" t="s">
        <v>96</v>
      </c>
      <c r="F886" s="12" t="s">
        <v>128</v>
      </c>
      <c r="G886" s="15" t="s">
        <v>126</v>
      </c>
      <c r="H886" s="8"/>
      <c r="I886" s="90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s="10" customFormat="1" hidden="1" x14ac:dyDescent="0.2">
      <c r="A887" s="11" t="s">
        <v>2631</v>
      </c>
      <c r="B887" s="12" t="s">
        <v>2632</v>
      </c>
      <c r="C887" s="13">
        <f>C886+1</f>
        <v>18</v>
      </c>
      <c r="D887" s="14" t="s">
        <v>2825</v>
      </c>
      <c r="E887" s="28" t="s">
        <v>2634</v>
      </c>
      <c r="F887" s="65" t="s">
        <v>2826</v>
      </c>
      <c r="G887" s="66" t="s">
        <v>862</v>
      </c>
      <c r="H887" s="8"/>
      <c r="I887" s="94" t="s">
        <v>2778</v>
      </c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s="10" customFormat="1" ht="12.75" hidden="1" thickBot="1" x14ac:dyDescent="0.25">
      <c r="A888" s="36" t="s">
        <v>3165</v>
      </c>
      <c r="B888" s="30" t="s">
        <v>3166</v>
      </c>
      <c r="C888" s="31">
        <f>C887+1</f>
        <v>19</v>
      </c>
      <c r="D888" s="30" t="s">
        <v>2825</v>
      </c>
      <c r="E888" s="32" t="s">
        <v>3167</v>
      </c>
      <c r="F888" s="30" t="s">
        <v>3331</v>
      </c>
      <c r="G888" s="68" t="s">
        <v>862</v>
      </c>
      <c r="H888" s="8"/>
      <c r="I888" s="94" t="s">
        <v>2778</v>
      </c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idden="1" x14ac:dyDescent="0.2">
      <c r="A889" s="11" t="s">
        <v>93</v>
      </c>
      <c r="B889" s="12" t="s">
        <v>94</v>
      </c>
      <c r="C889" s="13">
        <v>61</v>
      </c>
      <c r="D889" s="14" t="s">
        <v>220</v>
      </c>
      <c r="E889" s="28" t="s">
        <v>96</v>
      </c>
      <c r="F889" s="12" t="s">
        <v>221</v>
      </c>
      <c r="G889" s="15" t="s">
        <v>19</v>
      </c>
    </row>
    <row r="890" spans="1:27" hidden="1" x14ac:dyDescent="0.25">
      <c r="A890" s="81" t="s">
        <v>2631</v>
      </c>
      <c r="B890" s="96" t="s">
        <v>2632</v>
      </c>
      <c r="C890" s="96">
        <v>69</v>
      </c>
      <c r="D890" s="96" t="s">
        <v>2764</v>
      </c>
      <c r="E890" s="131" t="s">
        <v>2634</v>
      </c>
      <c r="F890" s="96" t="s">
        <v>2765</v>
      </c>
      <c r="G890" s="132" t="s">
        <v>126</v>
      </c>
      <c r="I890" s="99">
        <v>13</v>
      </c>
    </row>
    <row r="891" spans="1:27" hidden="1" x14ac:dyDescent="0.25">
      <c r="A891" s="81" t="s">
        <v>3165</v>
      </c>
      <c r="B891" s="96" t="s">
        <v>3166</v>
      </c>
      <c r="C891" s="97">
        <v>61</v>
      </c>
      <c r="D891" s="96" t="s">
        <v>2764</v>
      </c>
      <c r="E891" s="131" t="s">
        <v>3167</v>
      </c>
      <c r="F891" s="96" t="s">
        <v>3262</v>
      </c>
      <c r="G891" s="132" t="s">
        <v>126</v>
      </c>
      <c r="I891" s="99">
        <v>13</v>
      </c>
    </row>
    <row r="892" spans="1:27" hidden="1" x14ac:dyDescent="0.25">
      <c r="A892" s="11" t="s">
        <v>5686</v>
      </c>
      <c r="B892" s="12" t="s">
        <v>5687</v>
      </c>
      <c r="C892" s="13">
        <f>C891+1</f>
        <v>62</v>
      </c>
      <c r="D892" s="12" t="s">
        <v>5805</v>
      </c>
      <c r="E892" s="28" t="s">
        <v>5688</v>
      </c>
      <c r="F892" s="12" t="s">
        <v>5806</v>
      </c>
      <c r="G892" s="15" t="s">
        <v>32</v>
      </c>
      <c r="I892" s="90">
        <v>12</v>
      </c>
    </row>
    <row r="893" spans="1:27" hidden="1" x14ac:dyDescent="0.25">
      <c r="A893" s="146" t="s">
        <v>4830</v>
      </c>
      <c r="B893" s="12" t="s">
        <v>4831</v>
      </c>
      <c r="C893" s="13">
        <v>21</v>
      </c>
      <c r="D893" s="12" t="s">
        <v>4868</v>
      </c>
      <c r="E893" s="28" t="s">
        <v>4832</v>
      </c>
      <c r="F893" s="8" t="s">
        <v>4869</v>
      </c>
      <c r="G893" s="80" t="s">
        <v>126</v>
      </c>
    </row>
    <row r="894" spans="1:27" hidden="1" x14ac:dyDescent="0.25">
      <c r="A894" s="146" t="s">
        <v>4830</v>
      </c>
      <c r="B894" s="12" t="s">
        <v>4831</v>
      </c>
      <c r="C894" s="13">
        <v>20</v>
      </c>
      <c r="D894" s="12" t="s">
        <v>4866</v>
      </c>
      <c r="E894" s="28" t="s">
        <v>4832</v>
      </c>
      <c r="F894" s="8" t="s">
        <v>4867</v>
      </c>
      <c r="G894" s="80" t="s">
        <v>126</v>
      </c>
    </row>
    <row r="895" spans="1:27" hidden="1" x14ac:dyDescent="0.2">
      <c r="A895" s="11" t="s">
        <v>1960</v>
      </c>
      <c r="B895" s="12" t="s">
        <v>1961</v>
      </c>
      <c r="C895" s="13">
        <v>16</v>
      </c>
      <c r="D895" s="14" t="s">
        <v>1990</v>
      </c>
      <c r="E895" s="28" t="s">
        <v>1962</v>
      </c>
      <c r="F895" s="12" t="s">
        <v>1991</v>
      </c>
      <c r="G895" s="15" t="s">
        <v>126</v>
      </c>
    </row>
    <row r="896" spans="1:27" hidden="1" x14ac:dyDescent="0.2">
      <c r="A896" s="11" t="s">
        <v>1242</v>
      </c>
      <c r="B896" s="12" t="s">
        <v>1243</v>
      </c>
      <c r="C896" s="13">
        <v>8</v>
      </c>
      <c r="D896" s="14" t="s">
        <v>1257</v>
      </c>
      <c r="E896" s="28" t="s">
        <v>1244</v>
      </c>
      <c r="F896" s="12" t="s">
        <v>1258</v>
      </c>
      <c r="G896" s="15" t="s">
        <v>126</v>
      </c>
    </row>
    <row r="897" spans="1:27" hidden="1" x14ac:dyDescent="0.2">
      <c r="A897" s="11" t="s">
        <v>5244</v>
      </c>
      <c r="B897" s="12" t="s">
        <v>5245</v>
      </c>
      <c r="C897" s="13">
        <v>7</v>
      </c>
      <c r="D897" s="12" t="s">
        <v>5253</v>
      </c>
      <c r="E897" s="28" t="s">
        <v>5246</v>
      </c>
      <c r="F897" s="65" t="s">
        <v>5254</v>
      </c>
      <c r="G897" s="15" t="s">
        <v>126</v>
      </c>
    </row>
    <row r="898" spans="1:27" hidden="1" x14ac:dyDescent="0.2">
      <c r="A898" s="11" t="s">
        <v>3165</v>
      </c>
      <c r="B898" s="12" t="s">
        <v>3166</v>
      </c>
      <c r="C898" s="13">
        <v>49</v>
      </c>
      <c r="D898" s="12" t="s">
        <v>3237</v>
      </c>
      <c r="E898" s="28" t="s">
        <v>3167</v>
      </c>
      <c r="F898" s="65" t="s">
        <v>3238</v>
      </c>
      <c r="G898" s="66" t="s">
        <v>862</v>
      </c>
      <c r="I898" s="94">
        <v>14</v>
      </c>
    </row>
    <row r="899" spans="1:27" hidden="1" x14ac:dyDescent="0.2">
      <c r="A899" s="11" t="s">
        <v>3458</v>
      </c>
      <c r="B899" s="12" t="s">
        <v>3459</v>
      </c>
      <c r="C899" s="13">
        <f>C898+1</f>
        <v>50</v>
      </c>
      <c r="D899" s="12" t="s">
        <v>3601</v>
      </c>
      <c r="E899" s="138" t="s">
        <v>3460</v>
      </c>
      <c r="F899" s="65" t="s">
        <v>3602</v>
      </c>
      <c r="G899" s="66" t="s">
        <v>862</v>
      </c>
      <c r="I899" s="94" t="s">
        <v>2778</v>
      </c>
    </row>
    <row r="900" spans="1:27" hidden="1" x14ac:dyDescent="0.2">
      <c r="A900" s="11" t="s">
        <v>3633</v>
      </c>
      <c r="B900" s="12" t="s">
        <v>3634</v>
      </c>
      <c r="C900" s="13">
        <v>70</v>
      </c>
      <c r="D900" s="12" t="s">
        <v>3601</v>
      </c>
      <c r="E900" s="138" t="s">
        <v>3635</v>
      </c>
      <c r="F900" s="65" t="s">
        <v>3723</v>
      </c>
      <c r="G900" s="66" t="s">
        <v>862</v>
      </c>
      <c r="I900" s="94" t="s">
        <v>2778</v>
      </c>
    </row>
    <row r="901" spans="1:27" hidden="1" x14ac:dyDescent="0.2">
      <c r="A901" s="11" t="s">
        <v>4087</v>
      </c>
      <c r="B901" s="12" t="s">
        <v>4088</v>
      </c>
      <c r="C901" s="13">
        <f>C900+1</f>
        <v>71</v>
      </c>
      <c r="D901" s="12" t="s">
        <v>3601</v>
      </c>
      <c r="E901" s="28" t="s">
        <v>4089</v>
      </c>
      <c r="F901" s="12" t="s">
        <v>4195</v>
      </c>
      <c r="G901" s="66" t="s">
        <v>862</v>
      </c>
      <c r="I901" s="94" t="s">
        <v>2778</v>
      </c>
    </row>
    <row r="902" spans="1:27" hidden="1" x14ac:dyDescent="0.2">
      <c r="A902" s="11" t="s">
        <v>4212</v>
      </c>
      <c r="B902" s="12" t="s">
        <v>4213</v>
      </c>
      <c r="C902" s="13">
        <f>C901+1</f>
        <v>72</v>
      </c>
      <c r="D902" s="12" t="s">
        <v>3601</v>
      </c>
      <c r="E902" s="28" t="s">
        <v>4214</v>
      </c>
      <c r="F902" s="12" t="s">
        <v>4303</v>
      </c>
      <c r="G902" s="66" t="s">
        <v>862</v>
      </c>
      <c r="I902" s="94" t="s">
        <v>2778</v>
      </c>
    </row>
    <row r="903" spans="1:27" hidden="1" x14ac:dyDescent="0.2">
      <c r="A903" s="11" t="s">
        <v>5244</v>
      </c>
      <c r="B903" s="12" t="s">
        <v>5245</v>
      </c>
      <c r="C903" s="13">
        <v>15</v>
      </c>
      <c r="D903" s="12" t="s">
        <v>5269</v>
      </c>
      <c r="E903" s="28" t="s">
        <v>5246</v>
      </c>
      <c r="F903" s="65" t="s">
        <v>5270</v>
      </c>
      <c r="G903" s="15" t="s">
        <v>126</v>
      </c>
    </row>
    <row r="904" spans="1:27" hidden="1" x14ac:dyDescent="0.2">
      <c r="A904" s="11" t="s">
        <v>3763</v>
      </c>
      <c r="B904" s="12" t="s">
        <v>3764</v>
      </c>
      <c r="C904" s="13">
        <v>17</v>
      </c>
      <c r="D904" s="12" t="s">
        <v>3788</v>
      </c>
      <c r="E904" s="28" t="s">
        <v>3765</v>
      </c>
      <c r="F904" s="65" t="s">
        <v>3789</v>
      </c>
      <c r="G904" s="66" t="s">
        <v>126</v>
      </c>
    </row>
    <row r="905" spans="1:27" hidden="1" x14ac:dyDescent="0.25">
      <c r="A905" s="146" t="s">
        <v>4830</v>
      </c>
      <c r="B905" s="153" t="s">
        <v>4831</v>
      </c>
      <c r="C905" s="13">
        <v>15</v>
      </c>
      <c r="D905" s="12" t="s">
        <v>4856</v>
      </c>
      <c r="E905" s="28" t="s">
        <v>4832</v>
      </c>
      <c r="F905" s="8" t="s">
        <v>4857</v>
      </c>
      <c r="G905" s="80" t="s">
        <v>126</v>
      </c>
    </row>
    <row r="906" spans="1:27" hidden="1" x14ac:dyDescent="0.25">
      <c r="A906" s="146" t="s">
        <v>4830</v>
      </c>
      <c r="B906" s="153" t="s">
        <v>4831</v>
      </c>
      <c r="C906" s="13">
        <v>14</v>
      </c>
      <c r="D906" s="12" t="s">
        <v>4854</v>
      </c>
      <c r="E906" s="28" t="s">
        <v>4832</v>
      </c>
      <c r="F906" s="8" t="s">
        <v>4855</v>
      </c>
      <c r="G906" s="80" t="s">
        <v>126</v>
      </c>
    </row>
    <row r="907" spans="1:27" hidden="1" x14ac:dyDescent="0.2">
      <c r="A907" s="11" t="s">
        <v>1960</v>
      </c>
      <c r="B907" s="12" t="s">
        <v>1961</v>
      </c>
      <c r="C907" s="13">
        <v>17</v>
      </c>
      <c r="D907" s="14" t="s">
        <v>1992</v>
      </c>
      <c r="E907" s="28" t="s">
        <v>1962</v>
      </c>
      <c r="F907" s="12" t="s">
        <v>1993</v>
      </c>
      <c r="G907" s="15" t="s">
        <v>126</v>
      </c>
    </row>
    <row r="908" spans="1:27" s="40" customFormat="1" hidden="1" x14ac:dyDescent="0.2">
      <c r="A908" s="56" t="s">
        <v>3355</v>
      </c>
      <c r="B908" s="61" t="s">
        <v>3356</v>
      </c>
      <c r="C908" s="58">
        <v>18</v>
      </c>
      <c r="D908" s="204" t="s">
        <v>3382</v>
      </c>
      <c r="E908" s="89" t="s">
        <v>3357</v>
      </c>
      <c r="F908" s="74" t="s">
        <v>3383</v>
      </c>
      <c r="G908" s="129" t="s">
        <v>126</v>
      </c>
      <c r="H908" s="8"/>
      <c r="I908" s="90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s="40" customFormat="1" hidden="1" x14ac:dyDescent="0.2">
      <c r="A909" s="11" t="s">
        <v>2867</v>
      </c>
      <c r="B909" s="12" t="s">
        <v>2868</v>
      </c>
      <c r="C909" s="13">
        <v>61</v>
      </c>
      <c r="D909" s="14" t="s">
        <v>2978</v>
      </c>
      <c r="E909" s="28" t="s">
        <v>2869</v>
      </c>
      <c r="F909" s="65" t="s">
        <v>2979</v>
      </c>
      <c r="G909" s="66" t="s">
        <v>126</v>
      </c>
      <c r="H909" s="8"/>
      <c r="I909" s="90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s="40" customFormat="1" hidden="1" x14ac:dyDescent="0.2">
      <c r="A910" s="11" t="s">
        <v>3633</v>
      </c>
      <c r="B910" s="12" t="s">
        <v>3634</v>
      </c>
      <c r="C910" s="13">
        <f>C909+1</f>
        <v>62</v>
      </c>
      <c r="D910" s="12" t="s">
        <v>3702</v>
      </c>
      <c r="E910" s="138" t="s">
        <v>3635</v>
      </c>
      <c r="F910" s="65" t="s">
        <v>3703</v>
      </c>
      <c r="G910" s="66" t="s">
        <v>862</v>
      </c>
      <c r="H910" s="8"/>
      <c r="I910" s="94">
        <v>14</v>
      </c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s="10" customFormat="1" hidden="1" x14ac:dyDescent="0.2">
      <c r="A911" s="11" t="s">
        <v>3763</v>
      </c>
      <c r="B911" s="12" t="s">
        <v>3764</v>
      </c>
      <c r="C911" s="13">
        <v>22</v>
      </c>
      <c r="D911" s="12" t="s">
        <v>3702</v>
      </c>
      <c r="E911" s="28" t="s">
        <v>3765</v>
      </c>
      <c r="F911" s="65" t="s">
        <v>3794</v>
      </c>
      <c r="G911" s="66" t="s">
        <v>687</v>
      </c>
      <c r="H911" s="8"/>
      <c r="I911" s="94">
        <v>14</v>
      </c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s="10" customFormat="1" hidden="1" x14ac:dyDescent="0.2">
      <c r="A912" s="11" t="s">
        <v>3880</v>
      </c>
      <c r="B912" s="12" t="s">
        <v>3881</v>
      </c>
      <c r="C912" s="13">
        <v>24</v>
      </c>
      <c r="D912" s="12" t="s">
        <v>3702</v>
      </c>
      <c r="E912" s="28" t="s">
        <v>3882</v>
      </c>
      <c r="F912" s="12" t="s">
        <v>3910</v>
      </c>
      <c r="G912" s="66" t="s">
        <v>126</v>
      </c>
      <c r="H912" s="8"/>
      <c r="I912" s="90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s="10" customFormat="1" hidden="1" x14ac:dyDescent="0.2">
      <c r="A913" s="11" t="s">
        <v>4212</v>
      </c>
      <c r="B913" s="12" t="s">
        <v>4213</v>
      </c>
      <c r="C913" s="13">
        <f>C912+1</f>
        <v>25</v>
      </c>
      <c r="D913" s="12" t="s">
        <v>3702</v>
      </c>
      <c r="E913" s="28" t="s">
        <v>4214</v>
      </c>
      <c r="F913" s="12" t="s">
        <v>4262</v>
      </c>
      <c r="G913" s="66" t="s">
        <v>862</v>
      </c>
      <c r="H913" s="8"/>
      <c r="I913" s="94" t="s">
        <v>3570</v>
      </c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s="10" customFormat="1" hidden="1" x14ac:dyDescent="0.2">
      <c r="A914" s="11" t="s">
        <v>3633</v>
      </c>
      <c r="B914" s="12" t="s">
        <v>3634</v>
      </c>
      <c r="C914" s="13">
        <f>C913+1</f>
        <v>26</v>
      </c>
      <c r="D914" s="12" t="s">
        <v>3700</v>
      </c>
      <c r="E914" s="138" t="s">
        <v>3635</v>
      </c>
      <c r="F914" s="65" t="s">
        <v>3701</v>
      </c>
      <c r="G914" s="66" t="s">
        <v>862</v>
      </c>
      <c r="H914" s="8"/>
      <c r="I914" s="94">
        <v>14</v>
      </c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s="10" customFormat="1" hidden="1" x14ac:dyDescent="0.2">
      <c r="A915" s="11" t="s">
        <v>3763</v>
      </c>
      <c r="B915" s="12" t="s">
        <v>3764</v>
      </c>
      <c r="C915" s="13">
        <v>21</v>
      </c>
      <c r="D915" s="12" t="s">
        <v>3700</v>
      </c>
      <c r="E915" s="28" t="s">
        <v>3765</v>
      </c>
      <c r="F915" s="65" t="s">
        <v>3793</v>
      </c>
      <c r="G915" s="66" t="s">
        <v>687</v>
      </c>
      <c r="H915" s="8"/>
      <c r="I915" s="94">
        <v>14</v>
      </c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s="10" customFormat="1" hidden="1" x14ac:dyDescent="0.2">
      <c r="A916" s="11" t="s">
        <v>3880</v>
      </c>
      <c r="B916" s="12" t="s">
        <v>3881</v>
      </c>
      <c r="C916" s="13">
        <v>23</v>
      </c>
      <c r="D916" s="12" t="s">
        <v>3700</v>
      </c>
      <c r="E916" s="28" t="s">
        <v>3882</v>
      </c>
      <c r="F916" s="12" t="s">
        <v>3909</v>
      </c>
      <c r="G916" s="66" t="s">
        <v>126</v>
      </c>
      <c r="H916" s="8"/>
      <c r="I916" s="90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s="10" customFormat="1" hidden="1" x14ac:dyDescent="0.2">
      <c r="A917" s="11" t="s">
        <v>4212</v>
      </c>
      <c r="B917" s="12" t="s">
        <v>4213</v>
      </c>
      <c r="C917" s="13">
        <f>C916+1</f>
        <v>24</v>
      </c>
      <c r="D917" s="12" t="s">
        <v>3700</v>
      </c>
      <c r="E917" s="28" t="s">
        <v>4214</v>
      </c>
      <c r="F917" s="12" t="s">
        <v>4261</v>
      </c>
      <c r="G917" s="66" t="s">
        <v>862</v>
      </c>
      <c r="H917" s="8"/>
      <c r="I917" s="94" t="s">
        <v>3570</v>
      </c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s="10" customFormat="1" hidden="1" x14ac:dyDescent="0.2">
      <c r="A918" s="11" t="s">
        <v>3458</v>
      </c>
      <c r="B918" s="12" t="s">
        <v>3459</v>
      </c>
      <c r="C918" s="13">
        <f>C917+1</f>
        <v>25</v>
      </c>
      <c r="D918" s="12" t="s">
        <v>3560</v>
      </c>
      <c r="E918" s="138" t="s">
        <v>3460</v>
      </c>
      <c r="F918" s="65" t="s">
        <v>3561</v>
      </c>
      <c r="G918" s="66" t="s">
        <v>862</v>
      </c>
      <c r="H918" s="8"/>
      <c r="I918" s="94">
        <v>14</v>
      </c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s="10" customFormat="1" hidden="1" x14ac:dyDescent="0.2">
      <c r="A919" s="11" t="s">
        <v>4087</v>
      </c>
      <c r="B919" s="12" t="s">
        <v>4088</v>
      </c>
      <c r="C919" s="13">
        <f>C918+1</f>
        <v>26</v>
      </c>
      <c r="D919" s="12" t="s">
        <v>3560</v>
      </c>
      <c r="E919" s="28" t="s">
        <v>4089</v>
      </c>
      <c r="F919" s="12" t="s">
        <v>4136</v>
      </c>
      <c r="G919" s="66" t="s">
        <v>862</v>
      </c>
      <c r="H919" s="8"/>
      <c r="I919" s="94" t="s">
        <v>3570</v>
      </c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s="40" customFormat="1" hidden="1" x14ac:dyDescent="0.25">
      <c r="A920" s="145" t="s">
        <v>4830</v>
      </c>
      <c r="B920" s="198" t="s">
        <v>4831</v>
      </c>
      <c r="C920" s="58">
        <v>13</v>
      </c>
      <c r="D920" s="204" t="s">
        <v>4852</v>
      </c>
      <c r="E920" s="89" t="s">
        <v>4832</v>
      </c>
      <c r="F920" s="57" t="s">
        <v>4853</v>
      </c>
      <c r="G920" s="149" t="s">
        <v>126</v>
      </c>
      <c r="H920" s="8"/>
      <c r="I920" s="90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s="40" customFormat="1" hidden="1" x14ac:dyDescent="0.25">
      <c r="A921" s="146" t="s">
        <v>4830</v>
      </c>
      <c r="B921" s="153" t="s">
        <v>4831</v>
      </c>
      <c r="C921" s="13">
        <v>12</v>
      </c>
      <c r="D921" s="12" t="s">
        <v>4850</v>
      </c>
      <c r="E921" s="28" t="s">
        <v>4832</v>
      </c>
      <c r="F921" s="8" t="s">
        <v>4851</v>
      </c>
      <c r="G921" s="80" t="s">
        <v>126</v>
      </c>
      <c r="H921" s="8"/>
      <c r="I921" s="90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s="40" customFormat="1" hidden="1" x14ac:dyDescent="0.2">
      <c r="A922" s="11" t="s">
        <v>1960</v>
      </c>
      <c r="B922" s="12" t="s">
        <v>1961</v>
      </c>
      <c r="C922" s="13">
        <v>18</v>
      </c>
      <c r="D922" s="14" t="s">
        <v>1994</v>
      </c>
      <c r="E922" s="28" t="s">
        <v>1962</v>
      </c>
      <c r="F922" s="12" t="s">
        <v>1995</v>
      </c>
      <c r="G922" s="15" t="s">
        <v>19</v>
      </c>
      <c r="H922" s="8"/>
      <c r="I922" s="90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s="10" customFormat="1" hidden="1" x14ac:dyDescent="0.2">
      <c r="A923" s="11" t="s">
        <v>2867</v>
      </c>
      <c r="B923" s="12" t="s">
        <v>2868</v>
      </c>
      <c r="C923" s="13">
        <v>50</v>
      </c>
      <c r="D923" s="14" t="s">
        <v>2958</v>
      </c>
      <c r="E923" s="28" t="s">
        <v>2869</v>
      </c>
      <c r="F923" s="65" t="s">
        <v>2959</v>
      </c>
      <c r="G923" s="66" t="s">
        <v>126</v>
      </c>
      <c r="H923" s="8"/>
      <c r="I923" s="90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s="10" customFormat="1" hidden="1" x14ac:dyDescent="0.2">
      <c r="A924" s="11" t="s">
        <v>3355</v>
      </c>
      <c r="B924" s="12" t="s">
        <v>3356</v>
      </c>
      <c r="C924" s="13">
        <v>8</v>
      </c>
      <c r="D924" s="12" t="s">
        <v>2958</v>
      </c>
      <c r="E924" s="28" t="s">
        <v>3357</v>
      </c>
      <c r="F924" s="65" t="s">
        <v>3367</v>
      </c>
      <c r="G924" s="66" t="s">
        <v>126</v>
      </c>
      <c r="H924" s="8"/>
      <c r="I924" s="90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s="10" customFormat="1" hidden="1" x14ac:dyDescent="0.2">
      <c r="A925" s="11" t="s">
        <v>3763</v>
      </c>
      <c r="B925" s="12" t="s">
        <v>3764</v>
      </c>
      <c r="C925" s="13">
        <v>9</v>
      </c>
      <c r="D925" s="12" t="s">
        <v>3774</v>
      </c>
      <c r="E925" s="28" t="s">
        <v>3765</v>
      </c>
      <c r="F925" s="65" t="s">
        <v>3775</v>
      </c>
      <c r="G925" s="66" t="s">
        <v>126</v>
      </c>
      <c r="H925" s="8"/>
      <c r="I925" s="90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s="10" customFormat="1" hidden="1" x14ac:dyDescent="0.2">
      <c r="A926" s="11" t="s">
        <v>3839</v>
      </c>
      <c r="B926" s="12" t="s">
        <v>3840</v>
      </c>
      <c r="C926" s="13">
        <v>10</v>
      </c>
      <c r="D926" s="12" t="s">
        <v>3774</v>
      </c>
      <c r="E926" s="28" t="s">
        <v>3841</v>
      </c>
      <c r="F926" s="65" t="s">
        <v>3852</v>
      </c>
      <c r="G926" s="66" t="s">
        <v>126</v>
      </c>
      <c r="H926" s="8"/>
      <c r="I926" s="90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s="10" customFormat="1" hidden="1" x14ac:dyDescent="0.2">
      <c r="A927" s="11" t="s">
        <v>3880</v>
      </c>
      <c r="B927" s="12" t="s">
        <v>3881</v>
      </c>
      <c r="C927" s="13">
        <v>16</v>
      </c>
      <c r="D927" s="12" t="s">
        <v>3774</v>
      </c>
      <c r="E927" s="28" t="s">
        <v>3882</v>
      </c>
      <c r="F927" s="12" t="s">
        <v>3900</v>
      </c>
      <c r="G927" s="66" t="s">
        <v>126</v>
      </c>
      <c r="H927" s="8"/>
      <c r="I927" s="90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s="10" customFormat="1" hidden="1" x14ac:dyDescent="0.2">
      <c r="A928" s="11" t="s">
        <v>3914</v>
      </c>
      <c r="B928" s="12" t="s">
        <v>3915</v>
      </c>
      <c r="C928" s="13">
        <v>17</v>
      </c>
      <c r="D928" s="12" t="s">
        <v>3774</v>
      </c>
      <c r="E928" s="28" t="s">
        <v>3916</v>
      </c>
      <c r="F928" s="12" t="s">
        <v>3933</v>
      </c>
      <c r="G928" s="66" t="s">
        <v>126</v>
      </c>
      <c r="H928" s="8"/>
      <c r="I928" s="90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s="10" customFormat="1" hidden="1" x14ac:dyDescent="0.2">
      <c r="A929" s="11" t="s">
        <v>2440</v>
      </c>
      <c r="B929" s="12" t="s">
        <v>2441</v>
      </c>
      <c r="C929" s="13">
        <v>21</v>
      </c>
      <c r="D929" s="14" t="s">
        <v>2480</v>
      </c>
      <c r="E929" s="28" t="s">
        <v>2442</v>
      </c>
      <c r="F929" s="12" t="s">
        <v>2481</v>
      </c>
      <c r="G929" s="15" t="s">
        <v>126</v>
      </c>
      <c r="H929" s="8"/>
      <c r="I929" s="90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s="10" customFormat="1" hidden="1" x14ac:dyDescent="0.2">
      <c r="A930" s="11" t="s">
        <v>2440</v>
      </c>
      <c r="B930" s="12" t="s">
        <v>2441</v>
      </c>
      <c r="C930" s="13">
        <v>22</v>
      </c>
      <c r="D930" s="14" t="s">
        <v>2482</v>
      </c>
      <c r="E930" s="28" t="s">
        <v>2442</v>
      </c>
      <c r="F930" s="12" t="s">
        <v>2483</v>
      </c>
      <c r="G930" s="15" t="s">
        <v>126</v>
      </c>
      <c r="H930" s="8"/>
      <c r="I930" s="90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s="10" customFormat="1" hidden="1" x14ac:dyDescent="0.2">
      <c r="A931" s="11" t="s">
        <v>2440</v>
      </c>
      <c r="B931" s="12" t="s">
        <v>2441</v>
      </c>
      <c r="C931" s="13">
        <v>23</v>
      </c>
      <c r="D931" s="14" t="s">
        <v>2484</v>
      </c>
      <c r="E931" s="28" t="s">
        <v>2442</v>
      </c>
      <c r="F931" s="12" t="s">
        <v>2485</v>
      </c>
      <c r="G931" s="15" t="s">
        <v>126</v>
      </c>
      <c r="H931" s="8"/>
      <c r="I931" s="90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s="10" customFormat="1" hidden="1" x14ac:dyDescent="0.2">
      <c r="A932" s="11" t="s">
        <v>2440</v>
      </c>
      <c r="B932" s="12" t="s">
        <v>2441</v>
      </c>
      <c r="C932" s="13">
        <v>24</v>
      </c>
      <c r="D932" s="14" t="s">
        <v>2486</v>
      </c>
      <c r="E932" s="28" t="s">
        <v>2442</v>
      </c>
      <c r="F932" s="12" t="s">
        <v>2487</v>
      </c>
      <c r="G932" s="15" t="s">
        <v>126</v>
      </c>
      <c r="H932" s="8"/>
      <c r="I932" s="90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s="10" customFormat="1" hidden="1" x14ac:dyDescent="0.2">
      <c r="A933" s="11" t="s">
        <v>2440</v>
      </c>
      <c r="B933" s="12" t="s">
        <v>2441</v>
      </c>
      <c r="C933" s="13">
        <v>27</v>
      </c>
      <c r="D933" s="14" t="s">
        <v>2492</v>
      </c>
      <c r="E933" s="28" t="s">
        <v>2442</v>
      </c>
      <c r="F933" s="12" t="s">
        <v>2493</v>
      </c>
      <c r="G933" s="15" t="s">
        <v>126</v>
      </c>
      <c r="H933" s="8"/>
      <c r="I933" s="90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s="10" customFormat="1" hidden="1" x14ac:dyDescent="0.2">
      <c r="A934" s="11" t="s">
        <v>2440</v>
      </c>
      <c r="B934" s="12" t="s">
        <v>2441</v>
      </c>
      <c r="C934" s="13">
        <v>28</v>
      </c>
      <c r="D934" s="14" t="s">
        <v>2494</v>
      </c>
      <c r="E934" s="28" t="s">
        <v>2442</v>
      </c>
      <c r="F934" s="12" t="s">
        <v>2495</v>
      </c>
      <c r="G934" s="15" t="s">
        <v>126</v>
      </c>
      <c r="H934" s="8"/>
      <c r="I934" s="90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s="10" customFormat="1" hidden="1" x14ac:dyDescent="0.2">
      <c r="A935" s="11" t="s">
        <v>4657</v>
      </c>
      <c r="B935" s="12" t="s">
        <v>4658</v>
      </c>
      <c r="C935" s="13">
        <v>11</v>
      </c>
      <c r="D935" s="41" t="s">
        <v>4673</v>
      </c>
      <c r="E935" s="138" t="s">
        <v>4659</v>
      </c>
      <c r="F935" s="65" t="s">
        <v>4674</v>
      </c>
      <c r="G935" s="66" t="s">
        <v>126</v>
      </c>
      <c r="H935" s="8"/>
      <c r="I935" s="90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s="10" customFormat="1" hidden="1" x14ac:dyDescent="0.2">
      <c r="A936" s="11" t="s">
        <v>3458</v>
      </c>
      <c r="B936" s="12" t="s">
        <v>3459</v>
      </c>
      <c r="C936" s="13">
        <f>C935+1</f>
        <v>12</v>
      </c>
      <c r="D936" s="12" t="s">
        <v>3620</v>
      </c>
      <c r="E936" s="138" t="s">
        <v>3460</v>
      </c>
      <c r="F936" s="65" t="s">
        <v>3621</v>
      </c>
      <c r="G936" s="66" t="s">
        <v>687</v>
      </c>
      <c r="H936" s="8"/>
      <c r="I936" s="94">
        <v>14</v>
      </c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s="10" customFormat="1" hidden="1" x14ac:dyDescent="0.2">
      <c r="A937" s="11" t="s">
        <v>3799</v>
      </c>
      <c r="B937" s="12" t="s">
        <v>3800</v>
      </c>
      <c r="C937" s="13">
        <v>26</v>
      </c>
      <c r="D937" s="12" t="s">
        <v>3620</v>
      </c>
      <c r="E937" s="28" t="s">
        <v>3801</v>
      </c>
      <c r="F937" s="65" t="s">
        <v>3835</v>
      </c>
      <c r="G937" s="66" t="s">
        <v>687</v>
      </c>
      <c r="H937" s="8"/>
      <c r="I937" s="94">
        <v>14</v>
      </c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s="10" customFormat="1" hidden="1" x14ac:dyDescent="0.25">
      <c r="A938" s="11" t="s">
        <v>4087</v>
      </c>
      <c r="B938" s="12" t="s">
        <v>4088</v>
      </c>
      <c r="C938" s="13">
        <f>C937+1</f>
        <v>27</v>
      </c>
      <c r="D938" s="12" t="s">
        <v>3620</v>
      </c>
      <c r="E938" s="28" t="s">
        <v>4089</v>
      </c>
      <c r="F938" s="12" t="s">
        <v>4205</v>
      </c>
      <c r="G938" s="15" t="s">
        <v>687</v>
      </c>
      <c r="H938" s="8"/>
      <c r="I938" s="94">
        <v>14</v>
      </c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s="10" customFormat="1" hidden="1" x14ac:dyDescent="0.2">
      <c r="A939" s="11" t="s">
        <v>3458</v>
      </c>
      <c r="B939" s="12" t="s">
        <v>3459</v>
      </c>
      <c r="C939" s="13">
        <f>C938+1</f>
        <v>28</v>
      </c>
      <c r="D939" s="12" t="s">
        <v>3618</v>
      </c>
      <c r="E939" s="138" t="s">
        <v>3460</v>
      </c>
      <c r="F939" s="65" t="s">
        <v>3619</v>
      </c>
      <c r="G939" s="66" t="s">
        <v>687</v>
      </c>
      <c r="H939" s="8"/>
      <c r="I939" s="94">
        <v>14</v>
      </c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s="10" customFormat="1" hidden="1" x14ac:dyDescent="0.2">
      <c r="A940" s="11" t="s">
        <v>3799</v>
      </c>
      <c r="B940" s="12" t="s">
        <v>3800</v>
      </c>
      <c r="C940" s="13">
        <v>25</v>
      </c>
      <c r="D940" s="12" t="s">
        <v>3618</v>
      </c>
      <c r="E940" s="28" t="s">
        <v>3801</v>
      </c>
      <c r="F940" s="65" t="s">
        <v>3834</v>
      </c>
      <c r="G940" s="66" t="s">
        <v>687</v>
      </c>
      <c r="H940" s="8"/>
      <c r="I940" s="94">
        <v>14</v>
      </c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s="10" customFormat="1" hidden="1" x14ac:dyDescent="0.25">
      <c r="A941" s="11" t="s">
        <v>4087</v>
      </c>
      <c r="B941" s="12" t="s">
        <v>4088</v>
      </c>
      <c r="C941" s="13">
        <f>C940+1</f>
        <v>26</v>
      </c>
      <c r="D941" s="12" t="s">
        <v>3618</v>
      </c>
      <c r="E941" s="28" t="s">
        <v>4089</v>
      </c>
      <c r="F941" s="12" t="s">
        <v>4204</v>
      </c>
      <c r="G941" s="15" t="s">
        <v>687</v>
      </c>
      <c r="H941" s="8"/>
      <c r="I941" s="94">
        <v>14</v>
      </c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s="10" customFormat="1" hidden="1" x14ac:dyDescent="0.2">
      <c r="A942" s="11" t="s">
        <v>4657</v>
      </c>
      <c r="B942" s="12" t="s">
        <v>4658</v>
      </c>
      <c r="C942" s="13">
        <v>13</v>
      </c>
      <c r="D942" s="41" t="s">
        <v>4677</v>
      </c>
      <c r="E942" s="138" t="s">
        <v>4659</v>
      </c>
      <c r="F942" s="65" t="s">
        <v>4678</v>
      </c>
      <c r="G942" s="66" t="s">
        <v>126</v>
      </c>
      <c r="H942" s="8"/>
      <c r="I942" s="90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s="10" customFormat="1" hidden="1" x14ac:dyDescent="0.25">
      <c r="A943" s="11" t="s">
        <v>6325</v>
      </c>
      <c r="B943" s="12" t="s">
        <v>6326</v>
      </c>
      <c r="C943" s="13">
        <f>C942+1</f>
        <v>14</v>
      </c>
      <c r="D943" s="12" t="s">
        <v>6336</v>
      </c>
      <c r="E943" s="28" t="s">
        <v>6327</v>
      </c>
      <c r="F943" s="12" t="s">
        <v>6337</v>
      </c>
      <c r="G943" s="15" t="s">
        <v>337</v>
      </c>
      <c r="H943" s="8"/>
      <c r="I943" s="90">
        <v>12</v>
      </c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s="10" customFormat="1" hidden="1" x14ac:dyDescent="0.25">
      <c r="A944" s="11" t="s">
        <v>6787</v>
      </c>
      <c r="B944" s="12" t="s">
        <v>6788</v>
      </c>
      <c r="C944" s="13">
        <v>6</v>
      </c>
      <c r="D944" s="12" t="s">
        <v>6336</v>
      </c>
      <c r="E944" s="28" t="s">
        <v>6789</v>
      </c>
      <c r="F944" s="12" t="s">
        <v>6795</v>
      </c>
      <c r="G944" s="15" t="s">
        <v>337</v>
      </c>
      <c r="H944" s="8"/>
      <c r="I944" s="90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s="10" customFormat="1" hidden="1" x14ac:dyDescent="0.2">
      <c r="A945" s="11" t="s">
        <v>4634</v>
      </c>
      <c r="B945" s="12" t="s">
        <v>4635</v>
      </c>
      <c r="C945" s="13">
        <v>12</v>
      </c>
      <c r="D945" s="41" t="s">
        <v>4652</v>
      </c>
      <c r="E945" s="138" t="s">
        <v>4636</v>
      </c>
      <c r="F945" s="65" t="s">
        <v>4653</v>
      </c>
      <c r="G945" s="66" t="s">
        <v>126</v>
      </c>
      <c r="H945" s="8"/>
      <c r="I945" s="90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s="10" customFormat="1" hidden="1" x14ac:dyDescent="0.2">
      <c r="A946" s="11" t="s">
        <v>4680</v>
      </c>
      <c r="B946" s="12" t="s">
        <v>4681</v>
      </c>
      <c r="C946" s="13">
        <v>14</v>
      </c>
      <c r="D946" s="41" t="s">
        <v>4652</v>
      </c>
      <c r="E946" s="138" t="s">
        <v>4682</v>
      </c>
      <c r="F946" s="65" t="s">
        <v>4698</v>
      </c>
      <c r="G946" s="66" t="s">
        <v>126</v>
      </c>
      <c r="H946" s="8"/>
      <c r="I946" s="90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s="10" customFormat="1" hidden="1" x14ac:dyDescent="0.2">
      <c r="A947" s="11" t="s">
        <v>552</v>
      </c>
      <c r="B947" s="12" t="s">
        <v>553</v>
      </c>
      <c r="C947" s="13">
        <v>6</v>
      </c>
      <c r="D947" s="12" t="s">
        <v>563</v>
      </c>
      <c r="E947" s="105" t="s">
        <v>554</v>
      </c>
      <c r="F947" s="12" t="s">
        <v>564</v>
      </c>
      <c r="G947" s="15" t="s">
        <v>126</v>
      </c>
      <c r="H947" s="8"/>
      <c r="I947" s="90">
        <v>12</v>
      </c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s="10" customFormat="1" hidden="1" x14ac:dyDescent="0.25">
      <c r="A948" s="11" t="s">
        <v>6570</v>
      </c>
      <c r="B948" s="12" t="s">
        <v>6571</v>
      </c>
      <c r="C948" s="13">
        <f>C947+1</f>
        <v>7</v>
      </c>
      <c r="D948" s="12" t="s">
        <v>563</v>
      </c>
      <c r="E948" s="28" t="s">
        <v>6572</v>
      </c>
      <c r="F948" s="12" t="s">
        <v>6579</v>
      </c>
      <c r="G948" s="15" t="s">
        <v>32</v>
      </c>
      <c r="H948" s="8"/>
      <c r="I948" s="90">
        <v>12</v>
      </c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s="10" customFormat="1" hidden="1" x14ac:dyDescent="0.25">
      <c r="A949" s="11" t="s">
        <v>6000</v>
      </c>
      <c r="B949" s="12" t="s">
        <v>6001</v>
      </c>
      <c r="C949" s="13">
        <v>9</v>
      </c>
      <c r="D949" s="12" t="s">
        <v>6015</v>
      </c>
      <c r="E949" s="28" t="s">
        <v>6002</v>
      </c>
      <c r="F949" s="12" t="s">
        <v>6016</v>
      </c>
      <c r="G949" s="15" t="s">
        <v>42</v>
      </c>
      <c r="H949" s="8"/>
      <c r="I949" s="79">
        <v>15</v>
      </c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s="10" customFormat="1" hidden="1" x14ac:dyDescent="0.2">
      <c r="A950" s="11" t="s">
        <v>2631</v>
      </c>
      <c r="B950" s="12" t="s">
        <v>2632</v>
      </c>
      <c r="C950" s="13">
        <f>C949+1</f>
        <v>10</v>
      </c>
      <c r="D950" s="14" t="s">
        <v>2817</v>
      </c>
      <c r="E950" s="28" t="s">
        <v>2634</v>
      </c>
      <c r="F950" s="65" t="s">
        <v>2818</v>
      </c>
      <c r="G950" s="66" t="s">
        <v>1239</v>
      </c>
      <c r="H950" s="8"/>
      <c r="I950" s="99">
        <v>13</v>
      </c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s="40" customFormat="1" hidden="1" x14ac:dyDescent="0.2">
      <c r="A951" s="56" t="s">
        <v>3165</v>
      </c>
      <c r="B951" s="61" t="s">
        <v>3166</v>
      </c>
      <c r="C951" s="58">
        <f>C950+1</f>
        <v>11</v>
      </c>
      <c r="D951" s="204" t="s">
        <v>2817</v>
      </c>
      <c r="E951" s="89" t="s">
        <v>3167</v>
      </c>
      <c r="F951" s="61" t="s">
        <v>3320</v>
      </c>
      <c r="G951" s="129" t="s">
        <v>1239</v>
      </c>
      <c r="H951" s="8"/>
      <c r="I951" s="99">
        <v>13</v>
      </c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s="40" customFormat="1" ht="15" hidden="1" x14ac:dyDescent="0.25">
      <c r="A952" s="11" t="s">
        <v>2215</v>
      </c>
      <c r="B952" s="8" t="s">
        <v>2216</v>
      </c>
      <c r="C952" s="13">
        <v>4</v>
      </c>
      <c r="D952" s="12" t="s">
        <v>2222</v>
      </c>
      <c r="E952" s="28" t="s">
        <v>2217</v>
      </c>
      <c r="F952" s="12" t="s">
        <v>2223</v>
      </c>
      <c r="G952" s="15" t="s">
        <v>2224</v>
      </c>
      <c r="H952" s="8"/>
      <c r="I952" s="54">
        <v>15</v>
      </c>
      <c r="J952" s="60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s="40" customFormat="1" hidden="1" x14ac:dyDescent="0.25">
      <c r="A953" s="120" t="s">
        <v>2130</v>
      </c>
      <c r="B953" s="121" t="s">
        <v>2131</v>
      </c>
      <c r="C953" s="122">
        <v>14</v>
      </c>
      <c r="D953" s="123" t="s">
        <v>2155</v>
      </c>
      <c r="E953" s="124" t="s">
        <v>2132</v>
      </c>
      <c r="F953" s="123" t="s">
        <v>2156</v>
      </c>
      <c r="G953" s="125" t="s">
        <v>13</v>
      </c>
      <c r="H953" s="121"/>
      <c r="I953" s="126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  <c r="AA953" s="121"/>
    </row>
    <row r="954" spans="1:27" s="10" customFormat="1" hidden="1" x14ac:dyDescent="0.25">
      <c r="A954" s="11" t="s">
        <v>5559</v>
      </c>
      <c r="B954" s="12" t="s">
        <v>5560</v>
      </c>
      <c r="C954" s="13">
        <f>C953+1</f>
        <v>15</v>
      </c>
      <c r="D954" s="12" t="s">
        <v>2155</v>
      </c>
      <c r="E954" s="28" t="s">
        <v>5561</v>
      </c>
      <c r="F954" s="12" t="s">
        <v>5596</v>
      </c>
      <c r="G954" s="80" t="s">
        <v>13</v>
      </c>
      <c r="H954" s="8"/>
      <c r="I954" s="90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s="10" customFormat="1" hidden="1" x14ac:dyDescent="0.2">
      <c r="A955" s="11" t="s">
        <v>93</v>
      </c>
      <c r="B955" s="12" t="s">
        <v>94</v>
      </c>
      <c r="C955" s="13">
        <v>9</v>
      </c>
      <c r="D955" s="14" t="s">
        <v>110</v>
      </c>
      <c r="E955" s="28" t="s">
        <v>96</v>
      </c>
      <c r="F955" s="12" t="s">
        <v>111</v>
      </c>
      <c r="G955" s="15" t="s">
        <v>103</v>
      </c>
      <c r="H955" s="8"/>
      <c r="I955" s="90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s="10" customFormat="1" hidden="1" x14ac:dyDescent="0.2">
      <c r="A956" s="11" t="s">
        <v>1960</v>
      </c>
      <c r="B956" s="12" t="s">
        <v>1961</v>
      </c>
      <c r="C956" s="13">
        <v>19</v>
      </c>
      <c r="D956" s="14" t="s">
        <v>1996</v>
      </c>
      <c r="E956" s="28" t="s">
        <v>1962</v>
      </c>
      <c r="F956" s="12" t="s">
        <v>1997</v>
      </c>
      <c r="G956" s="15" t="s">
        <v>19</v>
      </c>
      <c r="H956" s="8"/>
      <c r="I956" s="90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s="10" customFormat="1" hidden="1" x14ac:dyDescent="0.2">
      <c r="A957" s="11" t="s">
        <v>93</v>
      </c>
      <c r="B957" s="12" t="s">
        <v>94</v>
      </c>
      <c r="C957" s="13">
        <v>57</v>
      </c>
      <c r="D957" s="14" t="s">
        <v>212</v>
      </c>
      <c r="E957" s="28" t="s">
        <v>96</v>
      </c>
      <c r="F957" s="12" t="s">
        <v>213</v>
      </c>
      <c r="G957" s="15" t="s">
        <v>13</v>
      </c>
      <c r="H957" s="8"/>
      <c r="I957" s="90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s="10" customFormat="1" hidden="1" x14ac:dyDescent="0.2">
      <c r="A958" s="11" t="s">
        <v>4013</v>
      </c>
      <c r="B958" s="12" t="s">
        <v>4014</v>
      </c>
      <c r="C958" s="13">
        <v>7</v>
      </c>
      <c r="D958" s="12" t="s">
        <v>4023</v>
      </c>
      <c r="E958" s="28" t="s">
        <v>4015</v>
      </c>
      <c r="F958" s="12" t="s">
        <v>4024</v>
      </c>
      <c r="G958" s="66" t="s">
        <v>13</v>
      </c>
      <c r="H958" s="8"/>
      <c r="I958" s="90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s="10" customFormat="1" hidden="1" x14ac:dyDescent="0.2">
      <c r="A959" s="11" t="s">
        <v>4049</v>
      </c>
      <c r="B959" s="12" t="s">
        <v>4050</v>
      </c>
      <c r="C959" s="13">
        <v>8</v>
      </c>
      <c r="D959" s="12" t="s">
        <v>4023</v>
      </c>
      <c r="E959" s="28" t="s">
        <v>4051</v>
      </c>
      <c r="F959" s="12" t="s">
        <v>4061</v>
      </c>
      <c r="G959" s="66" t="s">
        <v>13</v>
      </c>
      <c r="H959" s="8"/>
      <c r="I959" s="90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s="10" customFormat="1" hidden="1" x14ac:dyDescent="0.2">
      <c r="A960" s="11" t="s">
        <v>6880</v>
      </c>
      <c r="B960" s="12" t="s">
        <v>6881</v>
      </c>
      <c r="C960" s="13">
        <v>14</v>
      </c>
      <c r="D960" s="14" t="s">
        <v>6903</v>
      </c>
      <c r="E960" s="28" t="s">
        <v>6882</v>
      </c>
      <c r="F960" s="12" t="s">
        <v>6904</v>
      </c>
      <c r="G960" s="15" t="s">
        <v>103</v>
      </c>
      <c r="H960" s="8"/>
      <c r="I960" s="90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s="10" customFormat="1" hidden="1" x14ac:dyDescent="0.2">
      <c r="A961" s="11" t="s">
        <v>6880</v>
      </c>
      <c r="B961" s="12" t="s">
        <v>6881</v>
      </c>
      <c r="C961" s="13">
        <v>12</v>
      </c>
      <c r="D961" s="14" t="s">
        <v>6899</v>
      </c>
      <c r="E961" s="28" t="s">
        <v>6882</v>
      </c>
      <c r="F961" s="12" t="s">
        <v>6900</v>
      </c>
      <c r="G961" s="15" t="s">
        <v>103</v>
      </c>
      <c r="H961" s="8"/>
      <c r="I961" s="90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s="10" customFormat="1" hidden="1" x14ac:dyDescent="0.2">
      <c r="A962" s="11" t="s">
        <v>1960</v>
      </c>
      <c r="B962" s="12" t="s">
        <v>1961</v>
      </c>
      <c r="C962" s="13">
        <v>20</v>
      </c>
      <c r="D962" s="14" t="s">
        <v>1998</v>
      </c>
      <c r="E962" s="28" t="s">
        <v>1962</v>
      </c>
      <c r="F962" s="12" t="s">
        <v>1999</v>
      </c>
      <c r="G962" s="15" t="s">
        <v>13</v>
      </c>
      <c r="H962" s="8"/>
      <c r="I962" s="90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s="10" customFormat="1" hidden="1" x14ac:dyDescent="0.2">
      <c r="A963" s="11" t="s">
        <v>4013</v>
      </c>
      <c r="B963" s="12" t="s">
        <v>4014</v>
      </c>
      <c r="C963" s="13">
        <v>19</v>
      </c>
      <c r="D963" s="12" t="s">
        <v>4044</v>
      </c>
      <c r="E963" s="28" t="s">
        <v>4015</v>
      </c>
      <c r="F963" s="12" t="s">
        <v>4045</v>
      </c>
      <c r="G963" s="66" t="s">
        <v>13</v>
      </c>
      <c r="H963" s="8"/>
      <c r="I963" s="90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s="10" customFormat="1" hidden="1" x14ac:dyDescent="0.2">
      <c r="A964" s="11" t="s">
        <v>4049</v>
      </c>
      <c r="B964" s="12" t="s">
        <v>4050</v>
      </c>
      <c r="C964" s="13">
        <v>20</v>
      </c>
      <c r="D964" s="12" t="s">
        <v>4082</v>
      </c>
      <c r="E964" s="28" t="s">
        <v>4051</v>
      </c>
      <c r="F964" s="12" t="s">
        <v>4083</v>
      </c>
      <c r="G964" s="66" t="s">
        <v>13</v>
      </c>
      <c r="H964" s="8"/>
      <c r="I964" s="90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s="10" customFormat="1" hidden="1" x14ac:dyDescent="0.2">
      <c r="A965" s="11" t="s">
        <v>4049</v>
      </c>
      <c r="B965" s="12" t="s">
        <v>4050</v>
      </c>
      <c r="C965" s="13">
        <v>12</v>
      </c>
      <c r="D965" s="12" t="s">
        <v>4066</v>
      </c>
      <c r="E965" s="28" t="s">
        <v>4051</v>
      </c>
      <c r="F965" s="12" t="s">
        <v>4067</v>
      </c>
      <c r="G965" s="66" t="s">
        <v>13</v>
      </c>
      <c r="H965" s="8"/>
      <c r="I965" s="90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s="10" customFormat="1" hidden="1" x14ac:dyDescent="0.2">
      <c r="A966" s="11" t="s">
        <v>4013</v>
      </c>
      <c r="B966" s="12" t="s">
        <v>4014</v>
      </c>
      <c r="C966" s="13">
        <v>11</v>
      </c>
      <c r="D966" s="12" t="s">
        <v>4030</v>
      </c>
      <c r="E966" s="28" t="s">
        <v>4015</v>
      </c>
      <c r="F966" s="12" t="s">
        <v>4031</v>
      </c>
      <c r="G966" s="66" t="s">
        <v>13</v>
      </c>
      <c r="H966" s="8"/>
      <c r="I966" s="90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s="10" customFormat="1" hidden="1" x14ac:dyDescent="0.2">
      <c r="A967" s="11" t="s">
        <v>4013</v>
      </c>
      <c r="B967" s="12" t="s">
        <v>4014</v>
      </c>
      <c r="C967" s="13">
        <v>15</v>
      </c>
      <c r="D967" s="12" t="s">
        <v>4036</v>
      </c>
      <c r="E967" s="28" t="s">
        <v>4015</v>
      </c>
      <c r="F967" s="12" t="s">
        <v>4037</v>
      </c>
      <c r="G967" s="66" t="s">
        <v>13</v>
      </c>
      <c r="H967" s="8"/>
      <c r="I967" s="90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s="10" customFormat="1" hidden="1" x14ac:dyDescent="0.2">
      <c r="A968" s="11" t="s">
        <v>4049</v>
      </c>
      <c r="B968" s="12" t="s">
        <v>4050</v>
      </c>
      <c r="C968" s="13">
        <v>16</v>
      </c>
      <c r="D968" s="12" t="s">
        <v>4074</v>
      </c>
      <c r="E968" s="28" t="s">
        <v>4051</v>
      </c>
      <c r="F968" s="12" t="s">
        <v>4075</v>
      </c>
      <c r="G968" s="66" t="s">
        <v>13</v>
      </c>
      <c r="H968" s="8"/>
      <c r="I968" s="90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s="10" customFormat="1" hidden="1" x14ac:dyDescent="0.2">
      <c r="A969" s="11" t="s">
        <v>93</v>
      </c>
      <c r="B969" s="12" t="s">
        <v>94</v>
      </c>
      <c r="C969" s="13">
        <v>11</v>
      </c>
      <c r="D969" s="14" t="s">
        <v>114</v>
      </c>
      <c r="E969" s="28" t="s">
        <v>96</v>
      </c>
      <c r="F969" s="12" t="s">
        <v>115</v>
      </c>
      <c r="G969" s="15" t="s">
        <v>103</v>
      </c>
      <c r="H969" s="8"/>
      <c r="I969" s="90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s="10" customFormat="1" hidden="1" x14ac:dyDescent="0.25">
      <c r="A970" s="11" t="s">
        <v>5645</v>
      </c>
      <c r="B970" s="12" t="s">
        <v>5646</v>
      </c>
      <c r="C970" s="13">
        <v>7</v>
      </c>
      <c r="D970" s="12" t="s">
        <v>5656</v>
      </c>
      <c r="E970" s="28" t="s">
        <v>5647</v>
      </c>
      <c r="F970" s="12" t="s">
        <v>5657</v>
      </c>
      <c r="G970" s="80" t="s">
        <v>288</v>
      </c>
      <c r="H970" s="8"/>
      <c r="I970" s="90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s="40" customFormat="1" hidden="1" x14ac:dyDescent="0.25">
      <c r="A971" s="56" t="s">
        <v>5957</v>
      </c>
      <c r="B971" s="61" t="s">
        <v>5958</v>
      </c>
      <c r="C971" s="58">
        <v>8</v>
      </c>
      <c r="D971" s="204" t="s">
        <v>5656</v>
      </c>
      <c r="E971" s="89" t="s">
        <v>5959</v>
      </c>
      <c r="F971" s="61" t="s">
        <v>5969</v>
      </c>
      <c r="G971" s="149" t="s">
        <v>288</v>
      </c>
      <c r="H971" s="8"/>
      <c r="I971" s="9">
        <v>15</v>
      </c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s="40" customFormat="1" hidden="1" x14ac:dyDescent="0.25">
      <c r="A972" s="11" t="s">
        <v>5686</v>
      </c>
      <c r="B972" s="12" t="s">
        <v>5687</v>
      </c>
      <c r="C972" s="13">
        <f>C971+1</f>
        <v>9</v>
      </c>
      <c r="D972" s="12" t="s">
        <v>5710</v>
      </c>
      <c r="E972" s="28" t="s">
        <v>5688</v>
      </c>
      <c r="F972" s="12" t="s">
        <v>5711</v>
      </c>
      <c r="G972" s="80" t="s">
        <v>13</v>
      </c>
      <c r="H972" s="8"/>
      <c r="I972" s="90">
        <v>12</v>
      </c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s="40" customFormat="1" hidden="1" x14ac:dyDescent="0.25">
      <c r="A973" s="11" t="s">
        <v>5866</v>
      </c>
      <c r="B973" s="12" t="s">
        <v>5867</v>
      </c>
      <c r="C973" s="13">
        <f>C972+1</f>
        <v>10</v>
      </c>
      <c r="D973" s="12" t="s">
        <v>5710</v>
      </c>
      <c r="E973" s="28" t="s">
        <v>5868</v>
      </c>
      <c r="F973" s="12" t="s">
        <v>5873</v>
      </c>
      <c r="G973" s="80" t="s">
        <v>13</v>
      </c>
      <c r="H973" s="8"/>
      <c r="I973" s="90">
        <v>12</v>
      </c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s="10" customFormat="1" hidden="1" x14ac:dyDescent="0.2">
      <c r="A974" s="11" t="s">
        <v>2301</v>
      </c>
      <c r="B974" s="12" t="s">
        <v>2302</v>
      </c>
      <c r="C974" s="13">
        <v>5</v>
      </c>
      <c r="D974" s="37" t="s">
        <v>2308</v>
      </c>
      <c r="E974" s="28" t="s">
        <v>2303</v>
      </c>
      <c r="F974" s="22" t="s">
        <v>2309</v>
      </c>
      <c r="G974" s="15" t="s">
        <v>13</v>
      </c>
      <c r="H974" s="8"/>
      <c r="I974" s="90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s="10" customFormat="1" hidden="1" x14ac:dyDescent="0.2">
      <c r="A975" s="11" t="s">
        <v>2317</v>
      </c>
      <c r="B975" s="12" t="s">
        <v>2318</v>
      </c>
      <c r="C975" s="13">
        <v>3</v>
      </c>
      <c r="D975" s="37" t="s">
        <v>2324</v>
      </c>
      <c r="E975" s="28" t="s">
        <v>2320</v>
      </c>
      <c r="F975" s="22" t="s">
        <v>2325</v>
      </c>
      <c r="G975" s="15" t="s">
        <v>13</v>
      </c>
      <c r="H975" s="8"/>
      <c r="I975" s="90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s="10" customFormat="1" hidden="1" x14ac:dyDescent="0.2">
      <c r="A976" s="11" t="s">
        <v>2355</v>
      </c>
      <c r="B976" s="12" t="s">
        <v>2356</v>
      </c>
      <c r="C976" s="13">
        <v>4</v>
      </c>
      <c r="D976" s="37" t="s">
        <v>2324</v>
      </c>
      <c r="E976" s="28" t="s">
        <v>2357</v>
      </c>
      <c r="F976" s="22" t="s">
        <v>2362</v>
      </c>
      <c r="G976" s="15" t="s">
        <v>13</v>
      </c>
      <c r="H976" s="8"/>
      <c r="I976" s="90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s="10" customFormat="1" hidden="1" x14ac:dyDescent="0.2">
      <c r="A977" s="11" t="s">
        <v>2382</v>
      </c>
      <c r="B977" s="12" t="s">
        <v>2383</v>
      </c>
      <c r="C977" s="13">
        <v>3</v>
      </c>
      <c r="D977" s="37" t="s">
        <v>2324</v>
      </c>
      <c r="E977" s="28" t="s">
        <v>2384</v>
      </c>
      <c r="F977" s="22" t="s">
        <v>2387</v>
      </c>
      <c r="G977" s="15" t="s">
        <v>13</v>
      </c>
      <c r="H977" s="8"/>
      <c r="I977" s="90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s="10" customFormat="1" hidden="1" x14ac:dyDescent="0.2">
      <c r="A978" s="11" t="s">
        <v>2393</v>
      </c>
      <c r="B978" s="12" t="s">
        <v>2394</v>
      </c>
      <c r="C978" s="13">
        <v>1</v>
      </c>
      <c r="D978" s="37" t="s">
        <v>2324</v>
      </c>
      <c r="E978" s="28" t="s">
        <v>2395</v>
      </c>
      <c r="F978" s="22" t="s">
        <v>2396</v>
      </c>
      <c r="G978" s="15" t="s">
        <v>13</v>
      </c>
      <c r="H978" s="8"/>
      <c r="I978" s="90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s="10" customFormat="1" hidden="1" x14ac:dyDescent="0.2">
      <c r="A979" s="11" t="s">
        <v>2404</v>
      </c>
      <c r="B979" s="12" t="s">
        <v>2405</v>
      </c>
      <c r="C979" s="13">
        <v>4</v>
      </c>
      <c r="D979" s="37" t="s">
        <v>2324</v>
      </c>
      <c r="E979" s="151" t="s">
        <v>2407</v>
      </c>
      <c r="F979" s="22" t="s">
        <v>2412</v>
      </c>
      <c r="G979" s="15" t="s">
        <v>13</v>
      </c>
      <c r="H979" s="8"/>
      <c r="I979" s="90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s="10" customFormat="1" hidden="1" x14ac:dyDescent="0.2">
      <c r="A980" s="11" t="s">
        <v>2416</v>
      </c>
      <c r="B980" s="12" t="s">
        <v>2417</v>
      </c>
      <c r="C980" s="13">
        <v>4</v>
      </c>
      <c r="D980" s="37" t="s">
        <v>2324</v>
      </c>
      <c r="E980" s="151" t="s">
        <v>2419</v>
      </c>
      <c r="F980" s="22" t="s">
        <v>2423</v>
      </c>
      <c r="G980" s="15" t="s">
        <v>13</v>
      </c>
      <c r="H980" s="8"/>
      <c r="I980" s="90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s="10" customFormat="1" hidden="1" x14ac:dyDescent="0.2">
      <c r="A981" s="11" t="s">
        <v>2429</v>
      </c>
      <c r="B981" s="12" t="s">
        <v>2430</v>
      </c>
      <c r="C981" s="13">
        <v>5</v>
      </c>
      <c r="D981" s="37" t="s">
        <v>2324</v>
      </c>
      <c r="E981" s="151" t="s">
        <v>2431</v>
      </c>
      <c r="F981" s="22" t="s">
        <v>2436</v>
      </c>
      <c r="G981" s="15" t="s">
        <v>13</v>
      </c>
      <c r="H981" s="8"/>
      <c r="I981" s="90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s="10" customFormat="1" hidden="1" x14ac:dyDescent="0.2">
      <c r="A982" s="11" t="s">
        <v>1960</v>
      </c>
      <c r="B982" s="12" t="s">
        <v>1961</v>
      </c>
      <c r="C982" s="13">
        <v>21</v>
      </c>
      <c r="D982" s="14" t="s">
        <v>22</v>
      </c>
      <c r="E982" s="28" t="s">
        <v>1962</v>
      </c>
      <c r="F982" s="12" t="s">
        <v>2000</v>
      </c>
      <c r="G982" s="15" t="s">
        <v>16</v>
      </c>
      <c r="H982" s="8"/>
      <c r="I982" s="90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s="10" customFormat="1" hidden="1" x14ac:dyDescent="0.2">
      <c r="A983" s="11" t="s">
        <v>5244</v>
      </c>
      <c r="B983" s="12" t="s">
        <v>5245</v>
      </c>
      <c r="C983" s="13">
        <v>18</v>
      </c>
      <c r="D983" s="12" t="s">
        <v>5275</v>
      </c>
      <c r="E983" s="28" t="s">
        <v>5246</v>
      </c>
      <c r="F983" s="65" t="s">
        <v>5276</v>
      </c>
      <c r="G983" s="15" t="s">
        <v>126</v>
      </c>
      <c r="H983" s="8"/>
      <c r="I983" s="90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s="10" customFormat="1" hidden="1" x14ac:dyDescent="0.2">
      <c r="A984" s="11" t="s">
        <v>5244</v>
      </c>
      <c r="B984" s="12" t="s">
        <v>5245</v>
      </c>
      <c r="C984" s="13">
        <v>16</v>
      </c>
      <c r="D984" s="12" t="s">
        <v>5271</v>
      </c>
      <c r="E984" s="28" t="s">
        <v>5246</v>
      </c>
      <c r="F984" s="65" t="s">
        <v>5272</v>
      </c>
      <c r="G984" s="15" t="s">
        <v>126</v>
      </c>
      <c r="H984" s="8"/>
      <c r="I984" s="90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s="10" customFormat="1" hidden="1" x14ac:dyDescent="0.25">
      <c r="A985" s="120" t="s">
        <v>2130</v>
      </c>
      <c r="B985" s="121" t="s">
        <v>2131</v>
      </c>
      <c r="C985" s="122">
        <v>11</v>
      </c>
      <c r="D985" s="123" t="s">
        <v>2149</v>
      </c>
      <c r="E985" s="124" t="s">
        <v>2132</v>
      </c>
      <c r="F985" s="123" t="s">
        <v>2150</v>
      </c>
      <c r="G985" s="125" t="s">
        <v>191</v>
      </c>
      <c r="H985" s="121"/>
      <c r="I985" s="126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  <c r="AA985" s="121"/>
    </row>
    <row r="986" spans="1:27" s="10" customFormat="1" hidden="1" x14ac:dyDescent="0.25">
      <c r="A986" s="11" t="s">
        <v>5559</v>
      </c>
      <c r="B986" s="12" t="s">
        <v>5560</v>
      </c>
      <c r="C986" s="13">
        <v>17</v>
      </c>
      <c r="D986" s="12" t="s">
        <v>2149</v>
      </c>
      <c r="E986" s="28" t="s">
        <v>5561</v>
      </c>
      <c r="F986" s="12" t="s">
        <v>5589</v>
      </c>
      <c r="G986" s="15" t="s">
        <v>191</v>
      </c>
      <c r="H986" s="8"/>
      <c r="I986" s="90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s="10" customFormat="1" hidden="1" x14ac:dyDescent="0.25">
      <c r="A987" s="120" t="s">
        <v>2130</v>
      </c>
      <c r="B987" s="121" t="s">
        <v>2131</v>
      </c>
      <c r="C987" s="122">
        <v>12</v>
      </c>
      <c r="D987" s="123" t="s">
        <v>2151</v>
      </c>
      <c r="E987" s="124" t="s">
        <v>2132</v>
      </c>
      <c r="F987" s="123" t="s">
        <v>2152</v>
      </c>
      <c r="G987" s="125" t="s">
        <v>191</v>
      </c>
      <c r="H987" s="121"/>
      <c r="I987" s="126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  <c r="AA987" s="121"/>
    </row>
    <row r="988" spans="1:27" s="10" customFormat="1" hidden="1" x14ac:dyDescent="0.25">
      <c r="A988" s="11" t="s">
        <v>5559</v>
      </c>
      <c r="B988" s="12" t="s">
        <v>5560</v>
      </c>
      <c r="C988" s="13">
        <v>16</v>
      </c>
      <c r="D988" s="12" t="s">
        <v>2151</v>
      </c>
      <c r="E988" s="28" t="s">
        <v>5561</v>
      </c>
      <c r="F988" s="12" t="s">
        <v>5588</v>
      </c>
      <c r="G988" s="15" t="s">
        <v>191</v>
      </c>
      <c r="H988" s="8"/>
      <c r="I988" s="90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s="10" customFormat="1" hidden="1" x14ac:dyDescent="0.2">
      <c r="A989" s="11" t="s">
        <v>1960</v>
      </c>
      <c r="B989" s="12" t="s">
        <v>1961</v>
      </c>
      <c r="C989" s="13">
        <v>22</v>
      </c>
      <c r="D989" s="14" t="s">
        <v>2001</v>
      </c>
      <c r="E989" s="28" t="s">
        <v>1962</v>
      </c>
      <c r="F989" s="12" t="s">
        <v>2002</v>
      </c>
      <c r="G989" s="15" t="s">
        <v>13</v>
      </c>
      <c r="H989" s="8"/>
      <c r="I989" s="90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idden="1" x14ac:dyDescent="0.2">
      <c r="A990" s="56" t="s">
        <v>6826</v>
      </c>
      <c r="B990" s="61" t="s">
        <v>6827</v>
      </c>
      <c r="C990" s="58">
        <v>9</v>
      </c>
      <c r="D990" s="217" t="s">
        <v>6840</v>
      </c>
      <c r="E990" s="89" t="s">
        <v>6828</v>
      </c>
      <c r="F990" s="61" t="s">
        <v>6841</v>
      </c>
      <c r="G990" s="62" t="s">
        <v>19</v>
      </c>
    </row>
    <row r="991" spans="1:27" hidden="1" x14ac:dyDescent="0.2">
      <c r="A991" s="11" t="s">
        <v>3384</v>
      </c>
      <c r="B991" s="12" t="s">
        <v>3385</v>
      </c>
      <c r="C991" s="13">
        <v>5</v>
      </c>
      <c r="D991" s="135" t="s">
        <v>3392</v>
      </c>
      <c r="E991" s="138" t="s">
        <v>3386</v>
      </c>
      <c r="F991" s="75" t="s">
        <v>3393</v>
      </c>
      <c r="G991" s="66" t="s">
        <v>3394</v>
      </c>
    </row>
    <row r="992" spans="1:27" hidden="1" x14ac:dyDescent="0.2">
      <c r="A992" s="11" t="s">
        <v>4364</v>
      </c>
      <c r="B992" s="12" t="s">
        <v>4365</v>
      </c>
      <c r="C992" s="13">
        <f>C991+1</f>
        <v>6</v>
      </c>
      <c r="D992" s="117" t="s">
        <v>3392</v>
      </c>
      <c r="E992" s="28" t="s">
        <v>4366</v>
      </c>
      <c r="F992" s="22" t="s">
        <v>4371</v>
      </c>
      <c r="G992" s="66" t="s">
        <v>4372</v>
      </c>
      <c r="I992" s="90" t="s">
        <v>2426</v>
      </c>
    </row>
    <row r="993" spans="1:9" hidden="1" x14ac:dyDescent="0.2">
      <c r="A993" s="11" t="s">
        <v>791</v>
      </c>
      <c r="B993" s="12" t="s">
        <v>792</v>
      </c>
      <c r="C993" s="13">
        <v>10</v>
      </c>
      <c r="D993" s="27" t="s">
        <v>809</v>
      </c>
      <c r="E993" s="28" t="s">
        <v>793</v>
      </c>
      <c r="F993" s="12" t="s">
        <v>810</v>
      </c>
      <c r="G993" s="15" t="s">
        <v>800</v>
      </c>
      <c r="I993" s="9">
        <v>15</v>
      </c>
    </row>
    <row r="994" spans="1:9" hidden="1" x14ac:dyDescent="0.2">
      <c r="A994" s="11" t="s">
        <v>2631</v>
      </c>
      <c r="B994" s="12" t="s">
        <v>2632</v>
      </c>
      <c r="C994" s="13">
        <v>19</v>
      </c>
      <c r="D994" s="27" t="s">
        <v>2665</v>
      </c>
      <c r="E994" s="28" t="s">
        <v>2634</v>
      </c>
      <c r="F994" s="65" t="s">
        <v>2666</v>
      </c>
      <c r="G994" s="66" t="s">
        <v>1239</v>
      </c>
      <c r="I994" s="99">
        <v>13</v>
      </c>
    </row>
    <row r="995" spans="1:9" hidden="1" x14ac:dyDescent="0.2">
      <c r="A995" s="11" t="s">
        <v>3165</v>
      </c>
      <c r="B995" s="12" t="s">
        <v>3166</v>
      </c>
      <c r="C995" s="13">
        <v>16</v>
      </c>
      <c r="D995" s="118" t="s">
        <v>2665</v>
      </c>
      <c r="E995" s="28" t="s">
        <v>3167</v>
      </c>
      <c r="F995" s="65" t="s">
        <v>3188</v>
      </c>
      <c r="G995" s="66" t="s">
        <v>1239</v>
      </c>
      <c r="I995" s="99">
        <v>13</v>
      </c>
    </row>
    <row r="996" spans="1:9" hidden="1" x14ac:dyDescent="0.2">
      <c r="A996" s="11" t="s">
        <v>4634</v>
      </c>
      <c r="B996" s="12" t="s">
        <v>4635</v>
      </c>
      <c r="C996" s="13">
        <v>9</v>
      </c>
      <c r="D996" s="76" t="s">
        <v>2665</v>
      </c>
      <c r="E996" s="138" t="s">
        <v>4636</v>
      </c>
      <c r="F996" s="65" t="s">
        <v>4648</v>
      </c>
      <c r="G996" s="66" t="s">
        <v>19</v>
      </c>
    </row>
    <row r="997" spans="1:9" hidden="1" x14ac:dyDescent="0.2">
      <c r="A997" s="11" t="s">
        <v>4680</v>
      </c>
      <c r="B997" s="12" t="s">
        <v>4681</v>
      </c>
      <c r="C997" s="13">
        <v>11</v>
      </c>
      <c r="D997" s="76" t="s">
        <v>2665</v>
      </c>
      <c r="E997" s="138" t="s">
        <v>4682</v>
      </c>
      <c r="F997" s="65" t="s">
        <v>4695</v>
      </c>
      <c r="G997" s="66" t="s">
        <v>19</v>
      </c>
    </row>
    <row r="998" spans="1:9" hidden="1" x14ac:dyDescent="0.2">
      <c r="A998" s="11" t="s">
        <v>2631</v>
      </c>
      <c r="B998" s="12" t="s">
        <v>2632</v>
      </c>
      <c r="C998" s="13">
        <v>47</v>
      </c>
      <c r="D998" s="27" t="s">
        <v>2721</v>
      </c>
      <c r="E998" s="28" t="s">
        <v>2634</v>
      </c>
      <c r="F998" s="65" t="s">
        <v>2722</v>
      </c>
      <c r="G998" s="66" t="s">
        <v>1239</v>
      </c>
      <c r="I998" s="99">
        <v>13</v>
      </c>
    </row>
    <row r="999" spans="1:9" hidden="1" x14ac:dyDescent="0.2">
      <c r="A999" s="11" t="s">
        <v>2440</v>
      </c>
      <c r="B999" s="12" t="s">
        <v>2441</v>
      </c>
      <c r="C999" s="13">
        <v>15</v>
      </c>
      <c r="D999" s="27" t="s">
        <v>2468</v>
      </c>
      <c r="E999" s="28" t="s">
        <v>2442</v>
      </c>
      <c r="F999" s="12" t="s">
        <v>2469</v>
      </c>
      <c r="G999" s="15" t="s">
        <v>19</v>
      </c>
    </row>
    <row r="1000" spans="1:9" hidden="1" x14ac:dyDescent="0.2">
      <c r="A1000" s="11" t="s">
        <v>2867</v>
      </c>
      <c r="B1000" s="12" t="s">
        <v>2868</v>
      </c>
      <c r="C1000" s="13">
        <v>46</v>
      </c>
      <c r="D1000" s="27" t="s">
        <v>2950</v>
      </c>
      <c r="E1000" s="28" t="s">
        <v>2869</v>
      </c>
      <c r="F1000" s="65" t="s">
        <v>2951</v>
      </c>
      <c r="G1000" s="66" t="s">
        <v>19</v>
      </c>
    </row>
    <row r="1001" spans="1:9" hidden="1" x14ac:dyDescent="0.2">
      <c r="A1001" s="11" t="s">
        <v>585</v>
      </c>
      <c r="B1001" s="12" t="s">
        <v>586</v>
      </c>
      <c r="C1001" s="13">
        <v>9</v>
      </c>
      <c r="D1001" s="27" t="s">
        <v>602</v>
      </c>
      <c r="E1001" s="28" t="s">
        <v>587</v>
      </c>
      <c r="F1001" s="12" t="s">
        <v>603</v>
      </c>
      <c r="G1001" s="15" t="s">
        <v>595</v>
      </c>
      <c r="I1001" s="99">
        <v>13</v>
      </c>
    </row>
    <row r="1002" spans="1:9" hidden="1" x14ac:dyDescent="0.2">
      <c r="A1002" s="11" t="s">
        <v>585</v>
      </c>
      <c r="B1002" s="12" t="s">
        <v>586</v>
      </c>
      <c r="C1002" s="13">
        <v>8</v>
      </c>
      <c r="D1002" s="27" t="s">
        <v>600</v>
      </c>
      <c r="E1002" s="28" t="s">
        <v>587</v>
      </c>
      <c r="F1002" s="12" t="s">
        <v>601</v>
      </c>
      <c r="G1002" s="15" t="s">
        <v>595</v>
      </c>
      <c r="I1002" s="99">
        <v>13</v>
      </c>
    </row>
    <row r="1003" spans="1:9" hidden="1" x14ac:dyDescent="0.25">
      <c r="A1003" s="11" t="s">
        <v>5645</v>
      </c>
      <c r="B1003" s="12" t="s">
        <v>5646</v>
      </c>
      <c r="C1003" s="13">
        <v>8</v>
      </c>
      <c r="D1003" s="118" t="s">
        <v>5658</v>
      </c>
      <c r="E1003" s="28" t="s">
        <v>5647</v>
      </c>
      <c r="F1003" s="12" t="s">
        <v>5659</v>
      </c>
      <c r="G1003" s="15" t="s">
        <v>126</v>
      </c>
    </row>
    <row r="1004" spans="1:9" hidden="1" x14ac:dyDescent="0.25">
      <c r="A1004" s="11" t="s">
        <v>5957</v>
      </c>
      <c r="B1004" s="12" t="s">
        <v>5958</v>
      </c>
      <c r="C1004" s="13">
        <v>9</v>
      </c>
      <c r="D1004" s="118" t="s">
        <v>5658</v>
      </c>
      <c r="E1004" s="28" t="s">
        <v>5959</v>
      </c>
      <c r="F1004" s="12" t="s">
        <v>5970</v>
      </c>
      <c r="G1004" s="15" t="s">
        <v>126</v>
      </c>
      <c r="I1004" s="9">
        <v>15</v>
      </c>
    </row>
    <row r="1005" spans="1:9" hidden="1" x14ac:dyDescent="0.2">
      <c r="A1005" s="11" t="s">
        <v>2631</v>
      </c>
      <c r="B1005" s="12" t="s">
        <v>2632</v>
      </c>
      <c r="C1005" s="13">
        <v>40</v>
      </c>
      <c r="D1005" s="27" t="s">
        <v>2707</v>
      </c>
      <c r="E1005" s="28" t="s">
        <v>2634</v>
      </c>
      <c r="F1005" s="65" t="s">
        <v>2708</v>
      </c>
      <c r="G1005" s="66" t="s">
        <v>862</v>
      </c>
      <c r="I1005" s="94">
        <v>14</v>
      </c>
    </row>
    <row r="1006" spans="1:9" x14ac:dyDescent="0.2">
      <c r="A1006" s="11" t="s">
        <v>2867</v>
      </c>
      <c r="B1006" s="12" t="s">
        <v>2868</v>
      </c>
      <c r="C1006" s="13">
        <v>54</v>
      </c>
      <c r="D1006" s="27" t="s">
        <v>2966</v>
      </c>
      <c r="E1006" s="28" t="s">
        <v>2869</v>
      </c>
      <c r="F1006" s="65" t="s">
        <v>2967</v>
      </c>
      <c r="G1006" s="66" t="s">
        <v>32</v>
      </c>
    </row>
    <row r="1007" spans="1:9" hidden="1" x14ac:dyDescent="0.2">
      <c r="A1007" s="11" t="s">
        <v>3165</v>
      </c>
      <c r="B1007" s="12" t="s">
        <v>3166</v>
      </c>
      <c r="C1007" s="13">
        <v>60</v>
      </c>
      <c r="D1007" s="118" t="s">
        <v>3260</v>
      </c>
      <c r="E1007" s="28" t="s">
        <v>3167</v>
      </c>
      <c r="F1007" s="65" t="s">
        <v>3261</v>
      </c>
      <c r="G1007" s="66" t="s">
        <v>862</v>
      </c>
      <c r="I1007" s="94">
        <v>14</v>
      </c>
    </row>
    <row r="1008" spans="1:9" hidden="1" x14ac:dyDescent="0.2">
      <c r="A1008" s="11" t="s">
        <v>2988</v>
      </c>
      <c r="B1008" s="12" t="s">
        <v>2989</v>
      </c>
      <c r="C1008" s="13">
        <f>1+C1007</f>
        <v>61</v>
      </c>
      <c r="D1008" s="27" t="s">
        <v>3004</v>
      </c>
      <c r="E1008" s="28" t="s">
        <v>2990</v>
      </c>
      <c r="F1008" s="65" t="s">
        <v>3005</v>
      </c>
      <c r="G1008" s="66" t="s">
        <v>126</v>
      </c>
    </row>
    <row r="1009" spans="1:27" hidden="1" x14ac:dyDescent="0.2">
      <c r="A1009" s="11" t="s">
        <v>2631</v>
      </c>
      <c r="B1009" s="12" t="s">
        <v>2632</v>
      </c>
      <c r="C1009" s="13">
        <v>12</v>
      </c>
      <c r="D1009" s="27" t="s">
        <v>2651</v>
      </c>
      <c r="E1009" s="28" t="s">
        <v>2634</v>
      </c>
      <c r="F1009" s="65" t="s">
        <v>2652</v>
      </c>
      <c r="G1009" s="66" t="s">
        <v>862</v>
      </c>
      <c r="I1009" s="94">
        <v>14</v>
      </c>
    </row>
    <row r="1010" spans="1:27" hidden="1" x14ac:dyDescent="0.2">
      <c r="A1010" s="11" t="s">
        <v>3165</v>
      </c>
      <c r="B1010" s="12" t="s">
        <v>3166</v>
      </c>
      <c r="C1010" s="13">
        <v>13</v>
      </c>
      <c r="D1010" s="118" t="s">
        <v>2651</v>
      </c>
      <c r="E1010" s="28" t="s">
        <v>3167</v>
      </c>
      <c r="F1010" s="65" t="s">
        <v>3185</v>
      </c>
      <c r="G1010" s="66" t="s">
        <v>862</v>
      </c>
      <c r="I1010" s="94">
        <v>14</v>
      </c>
    </row>
    <row r="1011" spans="1:27" hidden="1" x14ac:dyDescent="0.2">
      <c r="A1011" s="11" t="s">
        <v>585</v>
      </c>
      <c r="B1011" s="12" t="s">
        <v>586</v>
      </c>
      <c r="C1011" s="13">
        <v>22</v>
      </c>
      <c r="D1011" s="27" t="s">
        <v>628</v>
      </c>
      <c r="E1011" s="28" t="s">
        <v>587</v>
      </c>
      <c r="F1011" s="12" t="s">
        <v>629</v>
      </c>
      <c r="G1011" s="15" t="s">
        <v>595</v>
      </c>
      <c r="I1011" s="99">
        <v>13</v>
      </c>
    </row>
    <row r="1012" spans="1:27" hidden="1" x14ac:dyDescent="0.25">
      <c r="A1012" s="11" t="s">
        <v>5686</v>
      </c>
      <c r="B1012" s="12" t="s">
        <v>5687</v>
      </c>
      <c r="C1012" s="13">
        <f>C1011+1</f>
        <v>23</v>
      </c>
      <c r="D1012" s="118" t="s">
        <v>5767</v>
      </c>
      <c r="E1012" s="28" t="s">
        <v>5688</v>
      </c>
      <c r="F1012" s="12" t="s">
        <v>5768</v>
      </c>
      <c r="G1012" s="15" t="s">
        <v>32</v>
      </c>
      <c r="I1012" s="90">
        <v>12</v>
      </c>
    </row>
    <row r="1013" spans="1:27" hidden="1" x14ac:dyDescent="0.2">
      <c r="A1013" s="11" t="s">
        <v>2566</v>
      </c>
      <c r="B1013" s="12" t="s">
        <v>2567</v>
      </c>
      <c r="C1013" s="13">
        <v>17</v>
      </c>
      <c r="D1013" s="27" t="s">
        <v>2594</v>
      </c>
      <c r="E1013" s="28" t="s">
        <v>2568</v>
      </c>
      <c r="F1013" s="65" t="s">
        <v>2595</v>
      </c>
      <c r="G1013" s="66" t="s">
        <v>126</v>
      </c>
    </row>
    <row r="1014" spans="1:27" hidden="1" x14ac:dyDescent="0.2">
      <c r="A1014" s="11" t="s">
        <v>2566</v>
      </c>
      <c r="B1014" s="12" t="s">
        <v>2567</v>
      </c>
      <c r="C1014" s="13">
        <v>11</v>
      </c>
      <c r="D1014" s="27" t="s">
        <v>2582</v>
      </c>
      <c r="E1014" s="28" t="s">
        <v>2568</v>
      </c>
      <c r="F1014" s="65" t="s">
        <v>2583</v>
      </c>
      <c r="G1014" s="66" t="s">
        <v>126</v>
      </c>
    </row>
    <row r="1015" spans="1:27" hidden="1" x14ac:dyDescent="0.2">
      <c r="A1015" s="11" t="s">
        <v>791</v>
      </c>
      <c r="B1015" s="12" t="s">
        <v>792</v>
      </c>
      <c r="C1015" s="13">
        <v>15</v>
      </c>
      <c r="D1015" s="27" t="s">
        <v>819</v>
      </c>
      <c r="E1015" s="28" t="s">
        <v>793</v>
      </c>
      <c r="F1015" s="12" t="s">
        <v>820</v>
      </c>
      <c r="G1015" s="15" t="s">
        <v>800</v>
      </c>
      <c r="I1015" s="9">
        <v>15</v>
      </c>
    </row>
    <row r="1016" spans="1:27" hidden="1" x14ac:dyDescent="0.2">
      <c r="A1016" s="11" t="s">
        <v>791</v>
      </c>
      <c r="B1016" s="12" t="s">
        <v>792</v>
      </c>
      <c r="C1016" s="13">
        <v>12</v>
      </c>
      <c r="D1016" s="27" t="s">
        <v>813</v>
      </c>
      <c r="E1016" s="28" t="s">
        <v>793</v>
      </c>
      <c r="F1016" s="12" t="s">
        <v>814</v>
      </c>
      <c r="G1016" s="15" t="s">
        <v>800</v>
      </c>
      <c r="I1016" s="9">
        <v>15</v>
      </c>
    </row>
    <row r="1017" spans="1:27" hidden="1" x14ac:dyDescent="0.2">
      <c r="A1017" s="11" t="s">
        <v>791</v>
      </c>
      <c r="B1017" s="12" t="s">
        <v>792</v>
      </c>
      <c r="C1017" s="13">
        <v>14</v>
      </c>
      <c r="D1017" s="27" t="s">
        <v>817</v>
      </c>
      <c r="E1017" s="28" t="s">
        <v>793</v>
      </c>
      <c r="F1017" s="12" t="s">
        <v>818</v>
      </c>
      <c r="G1017" s="15" t="s">
        <v>800</v>
      </c>
      <c r="I1017" s="9">
        <v>15</v>
      </c>
    </row>
    <row r="1018" spans="1:27" hidden="1" x14ac:dyDescent="0.2">
      <c r="A1018" s="11" t="s">
        <v>791</v>
      </c>
      <c r="B1018" s="12" t="s">
        <v>792</v>
      </c>
      <c r="C1018" s="13">
        <v>11</v>
      </c>
      <c r="D1018" s="27" t="s">
        <v>811</v>
      </c>
      <c r="E1018" s="28" t="s">
        <v>793</v>
      </c>
      <c r="F1018" s="12" t="s">
        <v>812</v>
      </c>
      <c r="G1018" s="15" t="s">
        <v>800</v>
      </c>
      <c r="I1018" s="9">
        <v>15</v>
      </c>
    </row>
    <row r="1019" spans="1:27" hidden="1" x14ac:dyDescent="0.2">
      <c r="A1019" s="11" t="s">
        <v>791</v>
      </c>
      <c r="B1019" s="12" t="s">
        <v>792</v>
      </c>
      <c r="C1019" s="13">
        <v>13</v>
      </c>
      <c r="D1019" s="27" t="s">
        <v>815</v>
      </c>
      <c r="E1019" s="28" t="s">
        <v>793</v>
      </c>
      <c r="F1019" s="12" t="s">
        <v>816</v>
      </c>
      <c r="G1019" s="15" t="s">
        <v>800</v>
      </c>
      <c r="I1019" s="9">
        <v>15</v>
      </c>
    </row>
    <row r="1020" spans="1:27" hidden="1" x14ac:dyDescent="0.25">
      <c r="A1020" s="11" t="s">
        <v>585</v>
      </c>
      <c r="B1020" s="12" t="s">
        <v>586</v>
      </c>
      <c r="C1020" s="13">
        <v>27</v>
      </c>
      <c r="D1020" s="118" t="s">
        <v>639</v>
      </c>
      <c r="E1020" s="12" t="s">
        <v>587</v>
      </c>
      <c r="F1020" s="12" t="s">
        <v>640</v>
      </c>
      <c r="G1020" s="15" t="s">
        <v>595</v>
      </c>
      <c r="I1020" s="94">
        <v>14</v>
      </c>
    </row>
    <row r="1021" spans="1:27" hidden="1" x14ac:dyDescent="0.2">
      <c r="A1021" s="11" t="s">
        <v>2355</v>
      </c>
      <c r="B1021" s="12" t="s">
        <v>2356</v>
      </c>
      <c r="C1021" s="13">
        <v>5</v>
      </c>
      <c r="D1021" s="27" t="s">
        <v>2363</v>
      </c>
      <c r="E1021" s="12" t="s">
        <v>2357</v>
      </c>
      <c r="F1021" s="12" t="s">
        <v>2364</v>
      </c>
      <c r="G1021" s="15" t="s">
        <v>126</v>
      </c>
    </row>
    <row r="1022" spans="1:27" s="10" customFormat="1" ht="12.75" hidden="1" thickBot="1" x14ac:dyDescent="0.25">
      <c r="A1022" s="36" t="s">
        <v>2867</v>
      </c>
      <c r="B1022" s="30" t="s">
        <v>2868</v>
      </c>
      <c r="C1022" s="31">
        <v>41</v>
      </c>
      <c r="D1022" s="48" t="s">
        <v>2363</v>
      </c>
      <c r="E1022" s="30" t="s">
        <v>2869</v>
      </c>
      <c r="F1022" s="67" t="s">
        <v>2942</v>
      </c>
      <c r="G1022" s="68" t="s">
        <v>126</v>
      </c>
      <c r="H1022" s="8"/>
      <c r="I1022" s="90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</row>
    <row r="1023" spans="1:27" hidden="1" x14ac:dyDescent="0.2">
      <c r="A1023" s="56" t="s">
        <v>4634</v>
      </c>
      <c r="B1023" s="61" t="s">
        <v>4635</v>
      </c>
      <c r="C1023" s="58">
        <v>7</v>
      </c>
      <c r="D1023" s="218" t="s">
        <v>2363</v>
      </c>
      <c r="E1023" s="137" t="s">
        <v>4636</v>
      </c>
      <c r="F1023" s="74" t="s">
        <v>4645</v>
      </c>
      <c r="G1023" s="129" t="s">
        <v>126</v>
      </c>
    </row>
    <row r="1024" spans="1:27" hidden="1" x14ac:dyDescent="0.2">
      <c r="A1024" s="11" t="s">
        <v>4680</v>
      </c>
      <c r="B1024" s="12" t="s">
        <v>4681</v>
      </c>
      <c r="C1024" s="13">
        <v>8</v>
      </c>
      <c r="D1024" s="76" t="s">
        <v>2363</v>
      </c>
      <c r="E1024" s="138" t="s">
        <v>4682</v>
      </c>
      <c r="F1024" s="65" t="s">
        <v>4692</v>
      </c>
      <c r="G1024" s="66" t="s">
        <v>126</v>
      </c>
    </row>
    <row r="1025" spans="1:9" hidden="1" x14ac:dyDescent="0.25">
      <c r="A1025" s="11" t="s">
        <v>1568</v>
      </c>
      <c r="B1025" s="12" t="s">
        <v>1569</v>
      </c>
      <c r="C1025" s="13">
        <v>19</v>
      </c>
      <c r="D1025" s="118" t="s">
        <v>1609</v>
      </c>
      <c r="E1025" s="28" t="s">
        <v>1570</v>
      </c>
      <c r="F1025" s="12" t="s">
        <v>1610</v>
      </c>
      <c r="G1025" s="15" t="s">
        <v>684</v>
      </c>
      <c r="I1025" s="94">
        <v>14</v>
      </c>
    </row>
    <row r="1026" spans="1:9" hidden="1" x14ac:dyDescent="0.25">
      <c r="A1026" s="11" t="s">
        <v>1768</v>
      </c>
      <c r="B1026" s="12" t="s">
        <v>1769</v>
      </c>
      <c r="C1026" s="13">
        <v>10</v>
      </c>
      <c r="D1026" s="118" t="s">
        <v>1609</v>
      </c>
      <c r="E1026" s="28" t="s">
        <v>1770</v>
      </c>
      <c r="F1026" s="12" t="s">
        <v>1781</v>
      </c>
      <c r="G1026" s="15" t="s">
        <v>684</v>
      </c>
      <c r="I1026" s="94">
        <v>14</v>
      </c>
    </row>
    <row r="1027" spans="1:9" hidden="1" x14ac:dyDescent="0.2">
      <c r="A1027" s="11" t="s">
        <v>1000</v>
      </c>
      <c r="B1027" s="12" t="s">
        <v>1001</v>
      </c>
      <c r="C1027" s="13">
        <v>7</v>
      </c>
      <c r="D1027" s="27" t="s">
        <v>1013</v>
      </c>
      <c r="E1027" s="28" t="s">
        <v>1002</v>
      </c>
      <c r="F1027" s="12" t="s">
        <v>1014</v>
      </c>
      <c r="G1027" s="15" t="s">
        <v>800</v>
      </c>
      <c r="I1027" s="9">
        <v>15</v>
      </c>
    </row>
    <row r="1028" spans="1:9" hidden="1" x14ac:dyDescent="0.2">
      <c r="A1028" s="11" t="s">
        <v>943</v>
      </c>
      <c r="B1028" s="12" t="s">
        <v>944</v>
      </c>
      <c r="C1028" s="13">
        <v>27</v>
      </c>
      <c r="D1028" s="27" t="s">
        <v>996</v>
      </c>
      <c r="E1028" s="28" t="s">
        <v>945</v>
      </c>
      <c r="F1028" s="12" t="s">
        <v>997</v>
      </c>
      <c r="G1028" s="15" t="s">
        <v>832</v>
      </c>
      <c r="I1028" s="9">
        <v>15</v>
      </c>
    </row>
    <row r="1029" spans="1:9" hidden="1" x14ac:dyDescent="0.2">
      <c r="A1029" s="11" t="s">
        <v>4404</v>
      </c>
      <c r="B1029" s="12" t="s">
        <v>4405</v>
      </c>
      <c r="C1029" s="13">
        <v>5</v>
      </c>
      <c r="D1029" s="118" t="s">
        <v>4412</v>
      </c>
      <c r="E1029" s="28" t="s">
        <v>4406</v>
      </c>
      <c r="F1029" s="12" t="s">
        <v>4413</v>
      </c>
      <c r="G1029" s="66" t="s">
        <v>676</v>
      </c>
      <c r="I1029" s="94">
        <v>14</v>
      </c>
    </row>
    <row r="1030" spans="1:9" hidden="1" x14ac:dyDescent="0.2">
      <c r="A1030" s="11" t="s">
        <v>484</v>
      </c>
      <c r="B1030" s="12" t="s">
        <v>485</v>
      </c>
      <c r="C1030" s="13">
        <v>4</v>
      </c>
      <c r="D1030" s="24" t="s">
        <v>490</v>
      </c>
      <c r="E1030" s="28" t="s">
        <v>486</v>
      </c>
      <c r="F1030" s="22" t="s">
        <v>491</v>
      </c>
      <c r="G1030" s="15" t="s">
        <v>13</v>
      </c>
    </row>
    <row r="1031" spans="1:9" hidden="1" x14ac:dyDescent="0.25">
      <c r="A1031" s="11" t="s">
        <v>1505</v>
      </c>
      <c r="B1031" s="12" t="s">
        <v>1506</v>
      </c>
      <c r="C1031" s="13">
        <v>4</v>
      </c>
      <c r="D1031" s="133" t="s">
        <v>490</v>
      </c>
      <c r="E1031" s="28" t="s">
        <v>1507</v>
      </c>
      <c r="F1031" s="22" t="s">
        <v>1511</v>
      </c>
      <c r="G1031" s="15" t="s">
        <v>13</v>
      </c>
    </row>
    <row r="1032" spans="1:9" hidden="1" x14ac:dyDescent="0.25">
      <c r="A1032" s="11" t="s">
        <v>1519</v>
      </c>
      <c r="B1032" s="12" t="s">
        <v>1520</v>
      </c>
      <c r="C1032" s="13">
        <v>4</v>
      </c>
      <c r="D1032" s="117" t="s">
        <v>490</v>
      </c>
      <c r="E1032" s="28" t="s">
        <v>1521</v>
      </c>
      <c r="F1032" s="22" t="s">
        <v>1526</v>
      </c>
      <c r="G1032" s="15" t="s">
        <v>13</v>
      </c>
    </row>
    <row r="1033" spans="1:9" hidden="1" x14ac:dyDescent="0.25">
      <c r="A1033" s="11" t="s">
        <v>2114</v>
      </c>
      <c r="B1033" s="12" t="s">
        <v>2115</v>
      </c>
      <c r="C1033" s="13">
        <v>5</v>
      </c>
      <c r="D1033" s="135" t="s">
        <v>490</v>
      </c>
      <c r="E1033" s="28" t="s">
        <v>2116</v>
      </c>
      <c r="F1033" s="22" t="s">
        <v>2122</v>
      </c>
      <c r="G1033" s="15" t="s">
        <v>13</v>
      </c>
    </row>
    <row r="1034" spans="1:9" hidden="1" x14ac:dyDescent="0.2">
      <c r="A1034" s="11" t="s">
        <v>2500</v>
      </c>
      <c r="B1034" s="12" t="s">
        <v>2501</v>
      </c>
      <c r="C1034" s="13">
        <v>5</v>
      </c>
      <c r="D1034" s="24" t="s">
        <v>490</v>
      </c>
      <c r="E1034" s="28" t="s">
        <v>2502</v>
      </c>
      <c r="F1034" s="22" t="s">
        <v>2507</v>
      </c>
      <c r="G1034" s="15" t="s">
        <v>13</v>
      </c>
    </row>
    <row r="1035" spans="1:9" hidden="1" x14ac:dyDescent="0.2">
      <c r="A1035" s="11" t="s">
        <v>2516</v>
      </c>
      <c r="B1035" s="12" t="s">
        <v>2517</v>
      </c>
      <c r="C1035" s="13">
        <v>5</v>
      </c>
      <c r="D1035" s="24" t="s">
        <v>490</v>
      </c>
      <c r="E1035" s="28" t="s">
        <v>2518</v>
      </c>
      <c r="F1035" s="22" t="s">
        <v>2523</v>
      </c>
      <c r="G1035" s="15" t="s">
        <v>13</v>
      </c>
    </row>
    <row r="1036" spans="1:9" hidden="1" x14ac:dyDescent="0.2">
      <c r="A1036" s="11" t="s">
        <v>3130</v>
      </c>
      <c r="B1036" s="12" t="s">
        <v>3131</v>
      </c>
      <c r="C1036" s="13">
        <v>4</v>
      </c>
      <c r="D1036" s="117" t="s">
        <v>490</v>
      </c>
      <c r="E1036" s="28" t="s">
        <v>3132</v>
      </c>
      <c r="F1036" s="75" t="s">
        <v>3136</v>
      </c>
      <c r="G1036" s="66" t="s">
        <v>13</v>
      </c>
    </row>
    <row r="1037" spans="1:9" hidden="1" x14ac:dyDescent="0.2">
      <c r="A1037" s="146" t="s">
        <v>4742</v>
      </c>
      <c r="B1037" s="12" t="s">
        <v>4743</v>
      </c>
      <c r="C1037" s="13">
        <v>4</v>
      </c>
      <c r="D1037" s="117" t="s">
        <v>490</v>
      </c>
      <c r="E1037" s="28" t="s">
        <v>4744</v>
      </c>
      <c r="F1037" s="22" t="s">
        <v>4748</v>
      </c>
      <c r="G1037" s="66" t="s">
        <v>13</v>
      </c>
    </row>
    <row r="1038" spans="1:9" hidden="1" x14ac:dyDescent="0.2">
      <c r="A1038" s="146" t="s">
        <v>4759</v>
      </c>
      <c r="B1038" s="12" t="s">
        <v>4760</v>
      </c>
      <c r="C1038" s="13">
        <v>4</v>
      </c>
      <c r="D1038" s="117" t="s">
        <v>490</v>
      </c>
      <c r="E1038" s="28" t="s">
        <v>4761</v>
      </c>
      <c r="F1038" s="22" t="s">
        <v>4765</v>
      </c>
      <c r="G1038" s="66" t="s">
        <v>13</v>
      </c>
    </row>
    <row r="1039" spans="1:9" hidden="1" x14ac:dyDescent="0.25">
      <c r="A1039" s="11" t="s">
        <v>1568</v>
      </c>
      <c r="B1039" s="12" t="s">
        <v>1569</v>
      </c>
      <c r="C1039" s="13">
        <v>4</v>
      </c>
      <c r="D1039" s="118" t="s">
        <v>1577</v>
      </c>
      <c r="E1039" s="28" t="s">
        <v>1570</v>
      </c>
      <c r="F1039" s="12" t="s">
        <v>1578</v>
      </c>
      <c r="G1039" s="15" t="s">
        <v>1579</v>
      </c>
      <c r="I1039" s="94">
        <v>14</v>
      </c>
    </row>
    <row r="1040" spans="1:9" hidden="1" x14ac:dyDescent="0.25">
      <c r="A1040" s="11" t="s">
        <v>6286</v>
      </c>
      <c r="B1040" s="12" t="s">
        <v>6287</v>
      </c>
      <c r="C1040" s="13">
        <f>C1039+1</f>
        <v>5</v>
      </c>
      <c r="D1040" s="118" t="s">
        <v>6301</v>
      </c>
      <c r="E1040" s="28" t="s">
        <v>6288</v>
      </c>
      <c r="F1040" s="12" t="s">
        <v>6302</v>
      </c>
      <c r="G1040" s="15" t="s">
        <v>13</v>
      </c>
      <c r="I1040" s="90">
        <v>12</v>
      </c>
    </row>
    <row r="1041" spans="1:9" hidden="1" x14ac:dyDescent="0.2">
      <c r="A1041" s="11" t="s">
        <v>6645</v>
      </c>
      <c r="B1041" s="12" t="s">
        <v>6646</v>
      </c>
      <c r="C1041" s="13">
        <f>+C1040+1</f>
        <v>6</v>
      </c>
      <c r="D1041" s="27" t="s">
        <v>6301</v>
      </c>
      <c r="E1041" s="28" t="s">
        <v>6647</v>
      </c>
      <c r="F1041" s="12" t="s">
        <v>6658</v>
      </c>
      <c r="G1041" s="15" t="s">
        <v>13</v>
      </c>
    </row>
    <row r="1042" spans="1:9" hidden="1" x14ac:dyDescent="0.2">
      <c r="A1042" s="11" t="s">
        <v>4087</v>
      </c>
      <c r="B1042" s="12" t="s">
        <v>4088</v>
      </c>
      <c r="C1042" s="13">
        <f>C1041+1</f>
        <v>7</v>
      </c>
      <c r="D1042" s="118" t="s">
        <v>4174</v>
      </c>
      <c r="E1042" s="28" t="s">
        <v>4089</v>
      </c>
      <c r="F1042" s="12" t="s">
        <v>4175</v>
      </c>
      <c r="G1042" s="66" t="s">
        <v>13</v>
      </c>
      <c r="I1042" s="90" t="s">
        <v>2426</v>
      </c>
    </row>
    <row r="1043" spans="1:9" hidden="1" x14ac:dyDescent="0.2">
      <c r="A1043" s="11" t="s">
        <v>4212</v>
      </c>
      <c r="B1043" s="12" t="s">
        <v>4213</v>
      </c>
      <c r="C1043" s="13">
        <f>C1042+1</f>
        <v>8</v>
      </c>
      <c r="D1043" s="118" t="s">
        <v>4174</v>
      </c>
      <c r="E1043" s="28" t="s">
        <v>4214</v>
      </c>
      <c r="F1043" s="12" t="s">
        <v>4290</v>
      </c>
      <c r="G1043" s="66" t="s">
        <v>13</v>
      </c>
      <c r="I1043" s="90" t="s">
        <v>2426</v>
      </c>
    </row>
    <row r="1044" spans="1:9" hidden="1" x14ac:dyDescent="0.2">
      <c r="A1044" s="11" t="s">
        <v>4087</v>
      </c>
      <c r="B1044" s="12" t="s">
        <v>4088</v>
      </c>
      <c r="C1044" s="13">
        <f>C1043+1</f>
        <v>9</v>
      </c>
      <c r="D1044" s="118" t="s">
        <v>4176</v>
      </c>
      <c r="E1044" s="28" t="s">
        <v>4089</v>
      </c>
      <c r="F1044" s="12" t="s">
        <v>4177</v>
      </c>
      <c r="G1044" s="66" t="s">
        <v>13</v>
      </c>
      <c r="I1044" s="90" t="s">
        <v>2426</v>
      </c>
    </row>
    <row r="1045" spans="1:9" hidden="1" x14ac:dyDescent="0.2">
      <c r="A1045" s="11" t="s">
        <v>4212</v>
      </c>
      <c r="B1045" s="12" t="s">
        <v>4213</v>
      </c>
      <c r="C1045" s="13">
        <f>C1044+1</f>
        <v>10</v>
      </c>
      <c r="D1045" s="118" t="s">
        <v>4176</v>
      </c>
      <c r="E1045" s="28" t="s">
        <v>4214</v>
      </c>
      <c r="F1045" s="12" t="s">
        <v>4291</v>
      </c>
      <c r="G1045" s="66" t="s">
        <v>13</v>
      </c>
      <c r="I1045" s="90" t="s">
        <v>2426</v>
      </c>
    </row>
    <row r="1046" spans="1:9" hidden="1" x14ac:dyDescent="0.2">
      <c r="A1046" s="11" t="s">
        <v>3165</v>
      </c>
      <c r="B1046" s="12" t="s">
        <v>3166</v>
      </c>
      <c r="C1046" s="13">
        <v>32</v>
      </c>
      <c r="D1046" s="118" t="s">
        <v>3208</v>
      </c>
      <c r="E1046" s="28" t="s">
        <v>3167</v>
      </c>
      <c r="F1046" s="65" t="s">
        <v>3209</v>
      </c>
      <c r="G1046" s="66" t="s">
        <v>13</v>
      </c>
    </row>
    <row r="1047" spans="1:9" hidden="1" x14ac:dyDescent="0.25">
      <c r="A1047" s="11" t="s">
        <v>1313</v>
      </c>
      <c r="B1047" s="12" t="s">
        <v>1314</v>
      </c>
      <c r="C1047" s="13">
        <v>13</v>
      </c>
      <c r="D1047" s="118" t="s">
        <v>1337</v>
      </c>
      <c r="E1047" s="28" t="s">
        <v>1315</v>
      </c>
      <c r="F1047" s="12" t="s">
        <v>1338</v>
      </c>
      <c r="G1047" s="15" t="s">
        <v>13</v>
      </c>
    </row>
    <row r="1048" spans="1:9" hidden="1" x14ac:dyDescent="0.25">
      <c r="A1048" s="11" t="s">
        <v>1794</v>
      </c>
      <c r="B1048" s="12" t="s">
        <v>1795</v>
      </c>
      <c r="C1048" s="13">
        <v>10</v>
      </c>
      <c r="D1048" s="118" t="s">
        <v>1812</v>
      </c>
      <c r="E1048" s="28" t="s">
        <v>1796</v>
      </c>
      <c r="F1048" s="12" t="s">
        <v>1813</v>
      </c>
      <c r="G1048" s="15" t="s">
        <v>13</v>
      </c>
      <c r="I1048" s="9">
        <v>15</v>
      </c>
    </row>
    <row r="1049" spans="1:9" hidden="1" x14ac:dyDescent="0.25">
      <c r="A1049" s="146" t="s">
        <v>4895</v>
      </c>
      <c r="B1049" s="12" t="s">
        <v>4896</v>
      </c>
      <c r="C1049" s="13">
        <v>9</v>
      </c>
      <c r="D1049" s="118" t="s">
        <v>4912</v>
      </c>
      <c r="E1049" s="28" t="s">
        <v>4897</v>
      </c>
      <c r="F1049" s="8" t="s">
        <v>4913</v>
      </c>
      <c r="G1049" s="80" t="s">
        <v>13</v>
      </c>
    </row>
    <row r="1050" spans="1:9" hidden="1" x14ac:dyDescent="0.25">
      <c r="A1050" s="146" t="s">
        <v>5060</v>
      </c>
      <c r="B1050" s="12" t="s">
        <v>5061</v>
      </c>
      <c r="C1050" s="13">
        <v>7</v>
      </c>
      <c r="D1050" s="118" t="s">
        <v>5071</v>
      </c>
      <c r="E1050" s="28" t="s">
        <v>5062</v>
      </c>
      <c r="F1050" s="12" t="s">
        <v>5072</v>
      </c>
      <c r="G1050" s="80" t="s">
        <v>13</v>
      </c>
    </row>
    <row r="1051" spans="1:9" hidden="1" x14ac:dyDescent="0.25">
      <c r="A1051" s="11" t="s">
        <v>5686</v>
      </c>
      <c r="B1051" s="12" t="s">
        <v>5687</v>
      </c>
      <c r="C1051" s="13">
        <f>C1050+1</f>
        <v>8</v>
      </c>
      <c r="D1051" s="118" t="s">
        <v>5747</v>
      </c>
      <c r="E1051" s="28" t="s">
        <v>5688</v>
      </c>
      <c r="F1051" s="12" t="s">
        <v>5748</v>
      </c>
      <c r="G1051" s="80" t="s">
        <v>13</v>
      </c>
      <c r="I1051" s="90">
        <v>12</v>
      </c>
    </row>
    <row r="1052" spans="1:9" hidden="1" x14ac:dyDescent="0.25">
      <c r="A1052" s="11" t="s">
        <v>5686</v>
      </c>
      <c r="B1052" s="12" t="s">
        <v>5687</v>
      </c>
      <c r="C1052" s="13">
        <f>C1051+1</f>
        <v>9</v>
      </c>
      <c r="D1052" s="118" t="s">
        <v>5701</v>
      </c>
      <c r="E1052" s="28" t="s">
        <v>5688</v>
      </c>
      <c r="F1052" s="12" t="s">
        <v>5702</v>
      </c>
      <c r="G1052" s="80" t="s">
        <v>13</v>
      </c>
      <c r="I1052" s="90">
        <v>12</v>
      </c>
    </row>
    <row r="1053" spans="1:9" hidden="1" x14ac:dyDescent="0.25">
      <c r="A1053" s="11" t="s">
        <v>5686</v>
      </c>
      <c r="B1053" s="12" t="s">
        <v>5687</v>
      </c>
      <c r="C1053" s="13">
        <f>C1052+1</f>
        <v>10</v>
      </c>
      <c r="D1053" s="118" t="s">
        <v>5731</v>
      </c>
      <c r="E1053" s="28" t="s">
        <v>5688</v>
      </c>
      <c r="F1053" s="12" t="s">
        <v>5732</v>
      </c>
      <c r="G1053" s="80" t="s">
        <v>13</v>
      </c>
      <c r="I1053" s="90">
        <v>12</v>
      </c>
    </row>
    <row r="1054" spans="1:9" hidden="1" x14ac:dyDescent="0.25">
      <c r="A1054" s="146" t="s">
        <v>4926</v>
      </c>
      <c r="B1054" s="12" t="s">
        <v>4927</v>
      </c>
      <c r="C1054" s="13">
        <v>23</v>
      </c>
      <c r="D1054" s="118" t="s">
        <v>4970</v>
      </c>
      <c r="E1054" s="28" t="s">
        <v>4928</v>
      </c>
      <c r="F1054" s="8" t="s">
        <v>4971</v>
      </c>
      <c r="G1054" s="80" t="s">
        <v>13</v>
      </c>
    </row>
    <row r="1055" spans="1:9" hidden="1" x14ac:dyDescent="0.2">
      <c r="A1055" s="11" t="s">
        <v>3165</v>
      </c>
      <c r="B1055" s="12" t="s">
        <v>3166</v>
      </c>
      <c r="C1055" s="13">
        <f>C1054+1</f>
        <v>24</v>
      </c>
      <c r="D1055" s="118" t="s">
        <v>3306</v>
      </c>
      <c r="E1055" s="28" t="s">
        <v>3167</v>
      </c>
      <c r="F1055" s="12" t="s">
        <v>3307</v>
      </c>
      <c r="G1055" s="66" t="s">
        <v>13</v>
      </c>
      <c r="I1055" s="99">
        <v>13</v>
      </c>
    </row>
    <row r="1056" spans="1:9" hidden="1" x14ac:dyDescent="0.2">
      <c r="A1056" s="11" t="s">
        <v>4013</v>
      </c>
      <c r="B1056" s="12" t="s">
        <v>4014</v>
      </c>
      <c r="C1056" s="13">
        <v>6</v>
      </c>
      <c r="D1056" s="118" t="s">
        <v>4021</v>
      </c>
      <c r="E1056" s="28" t="s">
        <v>4015</v>
      </c>
      <c r="F1056" s="12" t="s">
        <v>4022</v>
      </c>
      <c r="G1056" s="66" t="s">
        <v>13</v>
      </c>
    </row>
    <row r="1057" spans="1:9" hidden="1" x14ac:dyDescent="0.2">
      <c r="A1057" s="11" t="s">
        <v>4049</v>
      </c>
      <c r="B1057" s="12" t="s">
        <v>4050</v>
      </c>
      <c r="C1057" s="13">
        <v>7</v>
      </c>
      <c r="D1057" s="118" t="s">
        <v>4059</v>
      </c>
      <c r="E1057" s="28" t="s">
        <v>4051</v>
      </c>
      <c r="F1057" s="12" t="s">
        <v>4060</v>
      </c>
      <c r="G1057" s="66" t="s">
        <v>13</v>
      </c>
    </row>
    <row r="1058" spans="1:9" hidden="1" x14ac:dyDescent="0.25">
      <c r="A1058" s="146" t="s">
        <v>4926</v>
      </c>
      <c r="B1058" s="12" t="s">
        <v>4927</v>
      </c>
      <c r="C1058" s="13">
        <v>22</v>
      </c>
      <c r="D1058" s="118" t="s">
        <v>4968</v>
      </c>
      <c r="E1058" s="28" t="s">
        <v>4928</v>
      </c>
      <c r="F1058" s="8" t="s">
        <v>4969</v>
      </c>
      <c r="G1058" s="80" t="s">
        <v>13</v>
      </c>
    </row>
    <row r="1059" spans="1:9" hidden="1" x14ac:dyDescent="0.25">
      <c r="A1059" s="11" t="s">
        <v>1313</v>
      </c>
      <c r="B1059" s="12" t="s">
        <v>1314</v>
      </c>
      <c r="C1059" s="13">
        <v>29</v>
      </c>
      <c r="D1059" s="118" t="s">
        <v>1369</v>
      </c>
      <c r="E1059" s="28" t="s">
        <v>1315</v>
      </c>
      <c r="F1059" s="12" t="s">
        <v>1370</v>
      </c>
      <c r="G1059" s="15" t="s">
        <v>13</v>
      </c>
    </row>
    <row r="1060" spans="1:9" hidden="1" x14ac:dyDescent="0.2">
      <c r="A1060" s="146" t="s">
        <v>5060</v>
      </c>
      <c r="B1060" s="12" t="s">
        <v>5061</v>
      </c>
      <c r="C1060" s="13">
        <v>6</v>
      </c>
      <c r="D1060" s="27" t="s">
        <v>5069</v>
      </c>
      <c r="E1060" s="28" t="s">
        <v>5062</v>
      </c>
      <c r="F1060" s="12" t="s">
        <v>5070</v>
      </c>
      <c r="G1060" s="80" t="s">
        <v>13</v>
      </c>
    </row>
    <row r="1061" spans="1:9" hidden="1" x14ac:dyDescent="0.25">
      <c r="A1061" s="146" t="s">
        <v>4895</v>
      </c>
      <c r="B1061" s="12" t="s">
        <v>4896</v>
      </c>
      <c r="C1061" s="13">
        <v>8</v>
      </c>
      <c r="D1061" s="118" t="s">
        <v>4910</v>
      </c>
      <c r="E1061" s="28" t="s">
        <v>4897</v>
      </c>
      <c r="F1061" s="8" t="s">
        <v>4911</v>
      </c>
      <c r="G1061" s="80" t="s">
        <v>13</v>
      </c>
    </row>
    <row r="1062" spans="1:9" ht="12.75" hidden="1" thickBot="1" x14ac:dyDescent="0.25">
      <c r="A1062" s="47" t="s">
        <v>362</v>
      </c>
      <c r="B1062" s="30" t="s">
        <v>363</v>
      </c>
      <c r="C1062" s="31">
        <v>5</v>
      </c>
      <c r="D1062" s="48" t="s">
        <v>370</v>
      </c>
      <c r="E1062" s="32" t="s">
        <v>364</v>
      </c>
      <c r="F1062" s="30" t="s">
        <v>371</v>
      </c>
      <c r="G1062" s="33" t="s">
        <v>13</v>
      </c>
    </row>
    <row r="1063" spans="1:9" hidden="1" x14ac:dyDescent="0.25">
      <c r="A1063" s="56" t="s">
        <v>1421</v>
      </c>
      <c r="B1063" s="61" t="s">
        <v>1422</v>
      </c>
      <c r="C1063" s="58">
        <v>7</v>
      </c>
      <c r="D1063" s="204" t="s">
        <v>370</v>
      </c>
      <c r="E1063" s="89" t="s">
        <v>1423</v>
      </c>
      <c r="F1063" s="61" t="s">
        <v>1432</v>
      </c>
      <c r="G1063" s="62" t="s">
        <v>13</v>
      </c>
    </row>
    <row r="1064" spans="1:9" hidden="1" x14ac:dyDescent="0.2">
      <c r="A1064" s="11" t="s">
        <v>1960</v>
      </c>
      <c r="B1064" s="12" t="s">
        <v>1961</v>
      </c>
      <c r="C1064" s="13">
        <v>23</v>
      </c>
      <c r="D1064" s="27" t="s">
        <v>1447</v>
      </c>
      <c r="E1064" s="28" t="s">
        <v>1962</v>
      </c>
      <c r="F1064" s="12" t="s">
        <v>2003</v>
      </c>
      <c r="G1064" s="15" t="s">
        <v>87</v>
      </c>
    </row>
    <row r="1065" spans="1:9" hidden="1" x14ac:dyDescent="0.2">
      <c r="A1065" s="11" t="s">
        <v>2267</v>
      </c>
      <c r="B1065" s="12" t="s">
        <v>2268</v>
      </c>
      <c r="C1065" s="13">
        <v>2</v>
      </c>
      <c r="D1065" s="24" t="s">
        <v>370</v>
      </c>
      <c r="E1065" s="28" t="s">
        <v>2269</v>
      </c>
      <c r="F1065" s="22" t="s">
        <v>2271</v>
      </c>
      <c r="G1065" s="15" t="s">
        <v>13</v>
      </c>
    </row>
    <row r="1066" spans="1:9" hidden="1" x14ac:dyDescent="0.2">
      <c r="A1066" s="11" t="s">
        <v>2291</v>
      </c>
      <c r="B1066" s="12" t="s">
        <v>2292</v>
      </c>
      <c r="C1066" s="13">
        <v>2</v>
      </c>
      <c r="D1066" s="115" t="s">
        <v>370</v>
      </c>
      <c r="E1066" s="28" t="s">
        <v>2293</v>
      </c>
      <c r="F1066" s="22" t="s">
        <v>2295</v>
      </c>
      <c r="G1066" s="15" t="s">
        <v>13</v>
      </c>
    </row>
    <row r="1067" spans="1:9" hidden="1" x14ac:dyDescent="0.2">
      <c r="A1067" s="11" t="s">
        <v>2369</v>
      </c>
      <c r="B1067" s="12" t="s">
        <v>2370</v>
      </c>
      <c r="C1067" s="13">
        <v>6</v>
      </c>
      <c r="D1067" s="27" t="s">
        <v>370</v>
      </c>
      <c r="E1067" s="28" t="s">
        <v>2371</v>
      </c>
      <c r="F1067" s="12" t="s">
        <v>2378</v>
      </c>
      <c r="G1067" s="15" t="s">
        <v>13</v>
      </c>
    </row>
    <row r="1068" spans="1:9" hidden="1" x14ac:dyDescent="0.2">
      <c r="A1068" s="11" t="s">
        <v>2416</v>
      </c>
      <c r="B1068" s="12" t="s">
        <v>2417</v>
      </c>
      <c r="C1068" s="13">
        <v>2</v>
      </c>
      <c r="D1068" s="24" t="s">
        <v>370</v>
      </c>
      <c r="E1068" s="151" t="s">
        <v>2419</v>
      </c>
      <c r="F1068" s="22" t="s">
        <v>2421</v>
      </c>
      <c r="G1068" s="15" t="s">
        <v>13</v>
      </c>
    </row>
    <row r="1069" spans="1:9" hidden="1" x14ac:dyDescent="0.2">
      <c r="A1069" s="11" t="s">
        <v>5355</v>
      </c>
      <c r="B1069" s="12" t="s">
        <v>5356</v>
      </c>
      <c r="C1069" s="13">
        <v>1</v>
      </c>
      <c r="D1069" s="135" t="s">
        <v>370</v>
      </c>
      <c r="E1069" s="243" t="s">
        <v>5357</v>
      </c>
      <c r="F1069" s="75" t="s">
        <v>5358</v>
      </c>
      <c r="G1069" s="15" t="s">
        <v>13</v>
      </c>
    </row>
    <row r="1070" spans="1:9" hidden="1" x14ac:dyDescent="0.2">
      <c r="A1070" s="11" t="s">
        <v>5482</v>
      </c>
      <c r="B1070" s="12" t="s">
        <v>5483</v>
      </c>
      <c r="C1070" s="13">
        <v>1</v>
      </c>
      <c r="D1070" s="229" t="s">
        <v>370</v>
      </c>
      <c r="E1070" s="28" t="s">
        <v>5484</v>
      </c>
      <c r="F1070" s="75" t="s">
        <v>5485</v>
      </c>
      <c r="G1070" s="15" t="s">
        <v>13</v>
      </c>
    </row>
    <row r="1071" spans="1:9" hidden="1" x14ac:dyDescent="0.25">
      <c r="A1071" s="11" t="s">
        <v>6688</v>
      </c>
      <c r="B1071" s="12" t="s">
        <v>6689</v>
      </c>
      <c r="C1071" s="13">
        <v>8</v>
      </c>
      <c r="D1071" s="118" t="s">
        <v>370</v>
      </c>
      <c r="E1071" s="28" t="s">
        <v>6690</v>
      </c>
      <c r="F1071" s="12" t="s">
        <v>6702</v>
      </c>
      <c r="G1071" s="15" t="s">
        <v>13</v>
      </c>
    </row>
    <row r="1072" spans="1:9" ht="12.75" hidden="1" thickBot="1" x14ac:dyDescent="0.3">
      <c r="A1072" s="29" t="s">
        <v>729</v>
      </c>
      <c r="B1072" s="30" t="s">
        <v>730</v>
      </c>
      <c r="C1072" s="31">
        <v>11</v>
      </c>
      <c r="D1072" s="159" t="s">
        <v>748</v>
      </c>
      <c r="E1072" s="32" t="s">
        <v>731</v>
      </c>
      <c r="F1072" s="30" t="s">
        <v>749</v>
      </c>
      <c r="G1072" s="33" t="s">
        <v>676</v>
      </c>
      <c r="I1072" s="102" t="s">
        <v>59</v>
      </c>
    </row>
    <row r="1073" spans="1:9" ht="24" hidden="1" x14ac:dyDescent="0.25">
      <c r="A1073" s="35" t="s">
        <v>871</v>
      </c>
      <c r="B1073" s="12" t="s">
        <v>872</v>
      </c>
      <c r="C1073" s="13">
        <v>5</v>
      </c>
      <c r="D1073" s="12" t="s">
        <v>879</v>
      </c>
      <c r="E1073" s="28" t="s">
        <v>873</v>
      </c>
      <c r="F1073" s="12" t="s">
        <v>880</v>
      </c>
      <c r="G1073" s="15" t="s">
        <v>881</v>
      </c>
      <c r="I1073" s="9">
        <v>15</v>
      </c>
    </row>
    <row r="1074" spans="1:9" ht="24" hidden="1" x14ac:dyDescent="0.25">
      <c r="A1074" s="35" t="s">
        <v>882</v>
      </c>
      <c r="B1074" s="12" t="s">
        <v>883</v>
      </c>
      <c r="C1074" s="13">
        <v>5</v>
      </c>
      <c r="D1074" s="12" t="s">
        <v>879</v>
      </c>
      <c r="E1074" s="28" t="s">
        <v>884</v>
      </c>
      <c r="F1074" s="12" t="s">
        <v>889</v>
      </c>
      <c r="G1074" s="15" t="s">
        <v>881</v>
      </c>
      <c r="I1074" s="9">
        <v>15</v>
      </c>
    </row>
    <row r="1075" spans="1:9" hidden="1" x14ac:dyDescent="0.2">
      <c r="A1075" s="35" t="s">
        <v>926</v>
      </c>
      <c r="B1075" s="12" t="s">
        <v>927</v>
      </c>
      <c r="C1075" s="13">
        <v>5</v>
      </c>
      <c r="D1075" s="14" t="s">
        <v>935</v>
      </c>
      <c r="E1075" s="28" t="s">
        <v>928</v>
      </c>
      <c r="F1075" s="12" t="s">
        <v>936</v>
      </c>
      <c r="G1075" s="15" t="s">
        <v>276</v>
      </c>
      <c r="I1075" s="9">
        <v>15</v>
      </c>
    </row>
    <row r="1076" spans="1:9" hidden="1" x14ac:dyDescent="0.25">
      <c r="A1076" s="35" t="s">
        <v>1568</v>
      </c>
      <c r="B1076" s="12" t="s">
        <v>1569</v>
      </c>
      <c r="C1076" s="13">
        <v>16</v>
      </c>
      <c r="D1076" s="12" t="s">
        <v>1603</v>
      </c>
      <c r="E1076" s="28" t="s">
        <v>1570</v>
      </c>
      <c r="F1076" s="12" t="s">
        <v>1604</v>
      </c>
      <c r="G1076" s="15" t="s">
        <v>684</v>
      </c>
      <c r="I1076" s="94">
        <v>14</v>
      </c>
    </row>
    <row r="1077" spans="1:9" hidden="1" x14ac:dyDescent="0.25">
      <c r="A1077" s="35" t="s">
        <v>1768</v>
      </c>
      <c r="B1077" s="12" t="s">
        <v>1769</v>
      </c>
      <c r="C1077" s="13">
        <v>7</v>
      </c>
      <c r="D1077" s="12" t="s">
        <v>1603</v>
      </c>
      <c r="E1077" s="28" t="s">
        <v>1770</v>
      </c>
      <c r="F1077" s="12" t="s">
        <v>1778</v>
      </c>
      <c r="G1077" s="15" t="s">
        <v>684</v>
      </c>
      <c r="I1077" s="94">
        <v>14</v>
      </c>
    </row>
    <row r="1078" spans="1:9" hidden="1" x14ac:dyDescent="0.25">
      <c r="A1078" s="35" t="s">
        <v>1421</v>
      </c>
      <c r="B1078" s="12" t="s">
        <v>1422</v>
      </c>
      <c r="C1078" s="13">
        <v>13</v>
      </c>
      <c r="D1078" s="12" t="s">
        <v>1440</v>
      </c>
      <c r="E1078" s="28" t="s">
        <v>1423</v>
      </c>
      <c r="F1078" s="12" t="s">
        <v>1441</v>
      </c>
      <c r="G1078" s="15" t="s">
        <v>13</v>
      </c>
    </row>
    <row r="1079" spans="1:9" hidden="1" x14ac:dyDescent="0.25">
      <c r="A1079" s="35" t="s">
        <v>6252</v>
      </c>
      <c r="B1079" s="12" t="s">
        <v>6253</v>
      </c>
      <c r="C1079" s="13">
        <f>C1078+1</f>
        <v>14</v>
      </c>
      <c r="D1079" s="22" t="s">
        <v>6263</v>
      </c>
      <c r="E1079" s="28" t="s">
        <v>6254</v>
      </c>
      <c r="F1079" s="22" t="s">
        <v>6264</v>
      </c>
      <c r="G1079" s="15" t="s">
        <v>13</v>
      </c>
      <c r="I1079" s="90">
        <v>12</v>
      </c>
    </row>
    <row r="1080" spans="1:9" hidden="1" x14ac:dyDescent="0.25">
      <c r="A1080" s="35" t="s">
        <v>6768</v>
      </c>
      <c r="B1080" s="12" t="s">
        <v>6769</v>
      </c>
      <c r="C1080" s="13">
        <v>9</v>
      </c>
      <c r="D1080" s="22" t="s">
        <v>6263</v>
      </c>
      <c r="E1080" s="28" t="s">
        <v>6770</v>
      </c>
      <c r="F1080" s="22" t="s">
        <v>6779</v>
      </c>
      <c r="G1080" s="15" t="s">
        <v>13</v>
      </c>
    </row>
    <row r="1081" spans="1:9" hidden="1" x14ac:dyDescent="0.25">
      <c r="A1081" s="35" t="s">
        <v>6017</v>
      </c>
      <c r="B1081" s="12" t="s">
        <v>6018</v>
      </c>
      <c r="C1081" s="13">
        <v>7</v>
      </c>
      <c r="D1081" s="22" t="s">
        <v>6029</v>
      </c>
      <c r="E1081" s="28" t="s">
        <v>6019</v>
      </c>
      <c r="F1081" s="22" t="s">
        <v>6030</v>
      </c>
      <c r="G1081" s="15" t="s">
        <v>13</v>
      </c>
    </row>
    <row r="1082" spans="1:9" hidden="1" x14ac:dyDescent="0.25">
      <c r="A1082" s="35" t="s">
        <v>6664</v>
      </c>
      <c r="B1082" s="12" t="s">
        <v>6665</v>
      </c>
      <c r="C1082" s="13">
        <f>+C1081+1</f>
        <v>8</v>
      </c>
      <c r="D1082" s="22" t="s">
        <v>6029</v>
      </c>
      <c r="E1082" s="28" t="s">
        <v>6666</v>
      </c>
      <c r="F1082" s="22" t="s">
        <v>6674</v>
      </c>
      <c r="G1082" s="15" t="s">
        <v>13</v>
      </c>
    </row>
    <row r="1083" spans="1:9" hidden="1" x14ac:dyDescent="0.25">
      <c r="A1083" s="35" t="s">
        <v>6017</v>
      </c>
      <c r="B1083" s="12" t="s">
        <v>6018</v>
      </c>
      <c r="C1083" s="13">
        <v>6</v>
      </c>
      <c r="D1083" s="22" t="s">
        <v>6027</v>
      </c>
      <c r="E1083" s="28" t="s">
        <v>6019</v>
      </c>
      <c r="F1083" s="22" t="s">
        <v>6028</v>
      </c>
      <c r="G1083" s="15" t="s">
        <v>13</v>
      </c>
    </row>
    <row r="1084" spans="1:9" ht="12.75" hidden="1" thickBot="1" x14ac:dyDescent="0.3">
      <c r="A1084" s="47" t="s">
        <v>6252</v>
      </c>
      <c r="B1084" s="30" t="s">
        <v>6253</v>
      </c>
      <c r="C1084" s="31">
        <f>C1083+1</f>
        <v>7</v>
      </c>
      <c r="D1084" s="4" t="s">
        <v>6027</v>
      </c>
      <c r="E1084" s="32" t="s">
        <v>6254</v>
      </c>
      <c r="F1084" s="4" t="s">
        <v>6262</v>
      </c>
      <c r="G1084" s="33" t="s">
        <v>13</v>
      </c>
      <c r="I1084" s="90">
        <v>12</v>
      </c>
    </row>
    <row r="1085" spans="1:9" hidden="1" x14ac:dyDescent="0.25">
      <c r="A1085" s="56" t="s">
        <v>6664</v>
      </c>
      <c r="B1085" s="61" t="s">
        <v>6665</v>
      </c>
      <c r="C1085" s="58">
        <f>+C1084+1</f>
        <v>8</v>
      </c>
      <c r="D1085" s="17" t="s">
        <v>6027</v>
      </c>
      <c r="E1085" s="89" t="s">
        <v>6666</v>
      </c>
      <c r="F1085" s="17" t="s">
        <v>6673</v>
      </c>
      <c r="G1085" s="62" t="s">
        <v>13</v>
      </c>
    </row>
    <row r="1086" spans="1:9" hidden="1" x14ac:dyDescent="0.25">
      <c r="A1086" s="11" t="s">
        <v>6768</v>
      </c>
      <c r="B1086" s="12" t="s">
        <v>6769</v>
      </c>
      <c r="C1086" s="13">
        <v>8</v>
      </c>
      <c r="D1086" s="22" t="s">
        <v>6027</v>
      </c>
      <c r="E1086" s="28" t="s">
        <v>6770</v>
      </c>
      <c r="F1086" s="22" t="s">
        <v>6778</v>
      </c>
      <c r="G1086" s="15" t="s">
        <v>13</v>
      </c>
    </row>
    <row r="1087" spans="1:9" hidden="1" x14ac:dyDescent="0.25">
      <c r="A1087" s="11" t="s">
        <v>1383</v>
      </c>
      <c r="B1087" s="12" t="s">
        <v>1384</v>
      </c>
      <c r="C1087" s="13">
        <v>8</v>
      </c>
      <c r="D1087" s="12" t="s">
        <v>1398</v>
      </c>
      <c r="E1087" s="28" t="s">
        <v>1385</v>
      </c>
      <c r="F1087" s="12" t="s">
        <v>1399</v>
      </c>
      <c r="G1087" s="15" t="s">
        <v>13</v>
      </c>
    </row>
    <row r="1088" spans="1:9" hidden="1" x14ac:dyDescent="0.25">
      <c r="A1088" s="11" t="s">
        <v>1421</v>
      </c>
      <c r="B1088" s="12" t="s">
        <v>1422</v>
      </c>
      <c r="C1088" s="13">
        <v>11</v>
      </c>
      <c r="D1088" s="12" t="s">
        <v>1398</v>
      </c>
      <c r="E1088" s="28" t="s">
        <v>1423</v>
      </c>
      <c r="F1088" s="12" t="s">
        <v>1438</v>
      </c>
      <c r="G1088" s="15" t="s">
        <v>13</v>
      </c>
    </row>
    <row r="1089" spans="1:27" hidden="1" x14ac:dyDescent="0.2">
      <c r="A1089" s="11" t="s">
        <v>5379</v>
      </c>
      <c r="B1089" s="12" t="s">
        <v>5380</v>
      </c>
      <c r="C1089" s="13">
        <v>4</v>
      </c>
      <c r="D1089" s="22" t="s">
        <v>5388</v>
      </c>
      <c r="E1089" s="28" t="s">
        <v>5382</v>
      </c>
      <c r="F1089" s="22" t="s">
        <v>5389</v>
      </c>
      <c r="G1089" s="66" t="s">
        <v>13</v>
      </c>
    </row>
    <row r="1090" spans="1:27" hidden="1" x14ac:dyDescent="0.2">
      <c r="A1090" s="11" t="s">
        <v>4375</v>
      </c>
      <c r="B1090" s="12" t="s">
        <v>4376</v>
      </c>
      <c r="C1090" s="13">
        <f>C1089+1</f>
        <v>5</v>
      </c>
      <c r="D1090" s="12" t="s">
        <v>4384</v>
      </c>
      <c r="E1090" s="28" t="s">
        <v>4377</v>
      </c>
      <c r="F1090" s="12" t="s">
        <v>4385</v>
      </c>
      <c r="G1090" s="66" t="s">
        <v>13</v>
      </c>
      <c r="I1090" s="90" t="s">
        <v>2426</v>
      </c>
    </row>
    <row r="1091" spans="1:27" s="121" customFormat="1" hidden="1" x14ac:dyDescent="0.25">
      <c r="A1091" s="11" t="s">
        <v>6688</v>
      </c>
      <c r="B1091" s="12" t="s">
        <v>6689</v>
      </c>
      <c r="C1091" s="13">
        <v>15</v>
      </c>
      <c r="D1091" s="12" t="s">
        <v>6715</v>
      </c>
      <c r="E1091" s="28" t="s">
        <v>6690</v>
      </c>
      <c r="F1091" s="12" t="s">
        <v>6716</v>
      </c>
      <c r="G1091" s="15" t="s">
        <v>13</v>
      </c>
      <c r="H1091" s="8"/>
      <c r="I1091" s="90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</row>
    <row r="1092" spans="1:27" s="121" customFormat="1" hidden="1" x14ac:dyDescent="0.25">
      <c r="A1092" s="11" t="s">
        <v>5921</v>
      </c>
      <c r="B1092" s="12" t="s">
        <v>5922</v>
      </c>
      <c r="C1092" s="13">
        <v>21</v>
      </c>
      <c r="D1092" s="12" t="s">
        <v>5954</v>
      </c>
      <c r="E1092" s="28" t="s">
        <v>5923</v>
      </c>
      <c r="F1092" s="12" t="s">
        <v>5955</v>
      </c>
      <c r="G1092" s="15" t="s">
        <v>676</v>
      </c>
      <c r="H1092" s="8"/>
      <c r="I1092" s="101" t="s">
        <v>5818</v>
      </c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</row>
    <row r="1093" spans="1:27" s="121" customFormat="1" hidden="1" x14ac:dyDescent="0.2">
      <c r="A1093" s="11" t="s">
        <v>4212</v>
      </c>
      <c r="B1093" s="12" t="s">
        <v>4213</v>
      </c>
      <c r="C1093" s="13">
        <f>C1092+1</f>
        <v>22</v>
      </c>
      <c r="D1093" s="12" t="s">
        <v>4270</v>
      </c>
      <c r="E1093" s="28" t="s">
        <v>4214</v>
      </c>
      <c r="F1093" s="12" t="s">
        <v>4271</v>
      </c>
      <c r="G1093" s="66" t="s">
        <v>13</v>
      </c>
      <c r="H1093" s="8"/>
      <c r="I1093" s="90" t="s">
        <v>2426</v>
      </c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</row>
    <row r="1094" spans="1:27" s="121" customFormat="1" hidden="1" x14ac:dyDescent="0.2">
      <c r="A1094" s="11" t="s">
        <v>3458</v>
      </c>
      <c r="B1094" s="12" t="s">
        <v>3459</v>
      </c>
      <c r="C1094" s="13">
        <f>C1093+1</f>
        <v>23</v>
      </c>
      <c r="D1094" s="12" t="s">
        <v>3577</v>
      </c>
      <c r="E1094" s="138" t="s">
        <v>3460</v>
      </c>
      <c r="F1094" s="65" t="s">
        <v>3578</v>
      </c>
      <c r="G1094" s="66" t="s">
        <v>13</v>
      </c>
      <c r="H1094" s="8"/>
      <c r="I1094" s="90" t="s">
        <v>2426</v>
      </c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</row>
    <row r="1095" spans="1:27" s="121" customFormat="1" hidden="1" x14ac:dyDescent="0.2">
      <c r="A1095" s="11" t="s">
        <v>3633</v>
      </c>
      <c r="B1095" s="12" t="s">
        <v>3634</v>
      </c>
      <c r="C1095" s="13">
        <v>58</v>
      </c>
      <c r="D1095" s="12" t="s">
        <v>3577</v>
      </c>
      <c r="E1095" s="138" t="s">
        <v>3635</v>
      </c>
      <c r="F1095" s="65" t="s">
        <v>3711</v>
      </c>
      <c r="G1095" s="66" t="s">
        <v>13</v>
      </c>
      <c r="H1095" s="8"/>
      <c r="I1095" s="90" t="s">
        <v>2426</v>
      </c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</row>
    <row r="1096" spans="1:27" s="121" customFormat="1" hidden="1" x14ac:dyDescent="0.2">
      <c r="A1096" s="11" t="s">
        <v>4087</v>
      </c>
      <c r="B1096" s="12" t="s">
        <v>4088</v>
      </c>
      <c r="C1096" s="13">
        <f>C1095+1</f>
        <v>59</v>
      </c>
      <c r="D1096" s="12" t="s">
        <v>3577</v>
      </c>
      <c r="E1096" s="28" t="s">
        <v>4089</v>
      </c>
      <c r="F1096" s="12" t="s">
        <v>4144</v>
      </c>
      <c r="G1096" s="66" t="s">
        <v>13</v>
      </c>
      <c r="H1096" s="8"/>
      <c r="I1096" s="90" t="s">
        <v>2426</v>
      </c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</row>
    <row r="1097" spans="1:27" s="121" customFormat="1" hidden="1" x14ac:dyDescent="0.25">
      <c r="A1097" s="11" t="s">
        <v>1383</v>
      </c>
      <c r="B1097" s="12" t="s">
        <v>1384</v>
      </c>
      <c r="C1097" s="13">
        <v>9</v>
      </c>
      <c r="D1097" s="12" t="s">
        <v>1400</v>
      </c>
      <c r="E1097" s="28" t="s">
        <v>1385</v>
      </c>
      <c r="F1097" s="12" t="s">
        <v>1401</v>
      </c>
      <c r="G1097" s="15" t="s">
        <v>13</v>
      </c>
      <c r="H1097" s="8"/>
      <c r="I1097" s="90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</row>
    <row r="1098" spans="1:27" s="121" customFormat="1" hidden="1" x14ac:dyDescent="0.25">
      <c r="A1098" s="11" t="s">
        <v>1421</v>
      </c>
      <c r="B1098" s="12" t="s">
        <v>1422</v>
      </c>
      <c r="C1098" s="13">
        <v>12</v>
      </c>
      <c r="D1098" s="12" t="s">
        <v>1400</v>
      </c>
      <c r="E1098" s="28" t="s">
        <v>1423</v>
      </c>
      <c r="F1098" s="12" t="s">
        <v>1439</v>
      </c>
      <c r="G1098" s="15" t="s">
        <v>13</v>
      </c>
      <c r="H1098" s="8"/>
      <c r="I1098" s="90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</row>
    <row r="1099" spans="1:27" hidden="1" x14ac:dyDescent="0.2">
      <c r="A1099" s="11" t="s">
        <v>520</v>
      </c>
      <c r="B1099" s="12" t="s">
        <v>521</v>
      </c>
      <c r="C1099" s="13">
        <v>7</v>
      </c>
      <c r="D1099" s="12" t="s">
        <v>532</v>
      </c>
      <c r="E1099" s="105" t="s">
        <v>522</v>
      </c>
      <c r="F1099" s="12" t="s">
        <v>533</v>
      </c>
      <c r="G1099" s="15" t="s">
        <v>13</v>
      </c>
    </row>
    <row r="1100" spans="1:27" hidden="1" x14ac:dyDescent="0.25">
      <c r="A1100" s="11" t="s">
        <v>1383</v>
      </c>
      <c r="B1100" s="12" t="s">
        <v>1384</v>
      </c>
      <c r="C1100" s="13">
        <v>16</v>
      </c>
      <c r="D1100" s="12" t="s">
        <v>1413</v>
      </c>
      <c r="E1100" s="28" t="s">
        <v>1385</v>
      </c>
      <c r="F1100" s="12" t="s">
        <v>1414</v>
      </c>
      <c r="G1100" s="15" t="s">
        <v>32</v>
      </c>
    </row>
    <row r="1101" spans="1:27" hidden="1" x14ac:dyDescent="0.2">
      <c r="A1101" s="11" t="s">
        <v>434</v>
      </c>
      <c r="B1101" s="12" t="s">
        <v>435</v>
      </c>
      <c r="C1101" s="13">
        <v>6</v>
      </c>
      <c r="D1101" s="37" t="s">
        <v>444</v>
      </c>
      <c r="E1101" s="28" t="s">
        <v>436</v>
      </c>
      <c r="F1101" s="22" t="s">
        <v>445</v>
      </c>
      <c r="G1101" s="15" t="s">
        <v>103</v>
      </c>
    </row>
    <row r="1102" spans="1:27" hidden="1" x14ac:dyDescent="0.25">
      <c r="A1102" s="146" t="s">
        <v>5015</v>
      </c>
      <c r="B1102" s="12" t="s">
        <v>5016</v>
      </c>
      <c r="C1102" s="13">
        <v>6</v>
      </c>
      <c r="D1102" s="22" t="s">
        <v>444</v>
      </c>
      <c r="E1102" s="28" t="s">
        <v>5017</v>
      </c>
      <c r="F1102" s="38" t="s">
        <v>5024</v>
      </c>
      <c r="G1102" s="80" t="s">
        <v>103</v>
      </c>
    </row>
    <row r="1103" spans="1:27" hidden="1" x14ac:dyDescent="0.2">
      <c r="A1103" s="11" t="s">
        <v>1960</v>
      </c>
      <c r="B1103" s="12" t="s">
        <v>1961</v>
      </c>
      <c r="C1103" s="13">
        <v>24</v>
      </c>
      <c r="D1103" s="14" t="s">
        <v>2004</v>
      </c>
      <c r="E1103" s="28" t="s">
        <v>1962</v>
      </c>
      <c r="F1103" s="12" t="s">
        <v>2005</v>
      </c>
      <c r="G1103" s="15" t="s">
        <v>32</v>
      </c>
    </row>
    <row r="1104" spans="1:27" hidden="1" x14ac:dyDescent="0.2">
      <c r="A1104" s="11" t="s">
        <v>1960</v>
      </c>
      <c r="B1104" s="12" t="s">
        <v>1961</v>
      </c>
      <c r="C1104" s="13">
        <v>25</v>
      </c>
      <c r="D1104" s="14" t="s">
        <v>2006</v>
      </c>
      <c r="E1104" s="28" t="s">
        <v>1962</v>
      </c>
      <c r="F1104" s="12" t="s">
        <v>2007</v>
      </c>
      <c r="G1104" s="15" t="s">
        <v>156</v>
      </c>
    </row>
    <row r="1105" spans="1:27" s="10" customFormat="1" ht="12.75" hidden="1" thickBot="1" x14ac:dyDescent="0.25">
      <c r="A1105" s="36" t="s">
        <v>3355</v>
      </c>
      <c r="B1105" s="30" t="s">
        <v>3356</v>
      </c>
      <c r="C1105" s="31">
        <v>17</v>
      </c>
      <c r="D1105" s="159" t="s">
        <v>3380</v>
      </c>
      <c r="E1105" s="30" t="s">
        <v>3357</v>
      </c>
      <c r="F1105" s="67" t="s">
        <v>3381</v>
      </c>
      <c r="G1105" s="68" t="s">
        <v>13</v>
      </c>
      <c r="H1105" s="8"/>
      <c r="I1105" s="90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</row>
    <row r="1106" spans="1:27" hidden="1" x14ac:dyDescent="0.2">
      <c r="A1106" s="56" t="s">
        <v>2867</v>
      </c>
      <c r="B1106" s="61" t="s">
        <v>2868</v>
      </c>
      <c r="C1106" s="58">
        <v>63</v>
      </c>
      <c r="D1106" s="107" t="s">
        <v>2982</v>
      </c>
      <c r="E1106" s="61" t="s">
        <v>2869</v>
      </c>
      <c r="F1106" s="74" t="s">
        <v>2983</v>
      </c>
      <c r="G1106" s="129" t="s">
        <v>13</v>
      </c>
    </row>
    <row r="1107" spans="1:27" hidden="1" x14ac:dyDescent="0.2">
      <c r="A1107" s="11" t="s">
        <v>2631</v>
      </c>
      <c r="B1107" s="12" t="s">
        <v>2632</v>
      </c>
      <c r="C1107" s="13">
        <f>C1106+1</f>
        <v>64</v>
      </c>
      <c r="D1107" s="14" t="s">
        <v>2833</v>
      </c>
      <c r="E1107" s="12" t="s">
        <v>2634</v>
      </c>
      <c r="F1107" s="65" t="s">
        <v>2834</v>
      </c>
      <c r="G1107" s="66" t="s">
        <v>684</v>
      </c>
      <c r="I1107" s="94">
        <v>14</v>
      </c>
    </row>
    <row r="1108" spans="1:27" hidden="1" x14ac:dyDescent="0.2">
      <c r="A1108" s="11" t="s">
        <v>3165</v>
      </c>
      <c r="B1108" s="12" t="s">
        <v>3166</v>
      </c>
      <c r="C1108" s="13">
        <f>C1107+1</f>
        <v>65</v>
      </c>
      <c r="D1108" s="12" t="s">
        <v>2833</v>
      </c>
      <c r="E1108" s="12" t="s">
        <v>3167</v>
      </c>
      <c r="F1108" s="12" t="s">
        <v>3337</v>
      </c>
      <c r="G1108" s="66" t="s">
        <v>684</v>
      </c>
      <c r="I1108" s="94">
        <v>14</v>
      </c>
    </row>
    <row r="1109" spans="1:27" ht="12.75" hidden="1" thickBot="1" x14ac:dyDescent="0.25">
      <c r="A1109" s="36" t="s">
        <v>1093</v>
      </c>
      <c r="B1109" s="30" t="s">
        <v>1094</v>
      </c>
      <c r="C1109" s="31">
        <v>6</v>
      </c>
      <c r="D1109" s="69" t="s">
        <v>1105</v>
      </c>
      <c r="E1109" s="30" t="s">
        <v>1095</v>
      </c>
      <c r="F1109" s="30" t="s">
        <v>1106</v>
      </c>
      <c r="G1109" s="33" t="s">
        <v>156</v>
      </c>
    </row>
    <row r="1110" spans="1:27" s="10" customFormat="1" hidden="1" x14ac:dyDescent="0.2">
      <c r="A1110" s="56" t="s">
        <v>890</v>
      </c>
      <c r="B1110" s="61" t="s">
        <v>891</v>
      </c>
      <c r="C1110" s="58">
        <v>9</v>
      </c>
      <c r="D1110" s="107" t="s">
        <v>904</v>
      </c>
      <c r="E1110" s="61" t="s">
        <v>892</v>
      </c>
      <c r="F1110" s="61" t="s">
        <v>905</v>
      </c>
      <c r="G1110" s="62" t="s">
        <v>857</v>
      </c>
      <c r="H1110" s="8"/>
      <c r="I1110" s="9">
        <v>15</v>
      </c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</row>
    <row r="1111" spans="1:27" s="10" customFormat="1" hidden="1" x14ac:dyDescent="0.25">
      <c r="A1111" s="11" t="s">
        <v>1031</v>
      </c>
      <c r="B1111" s="12" t="s">
        <v>1032</v>
      </c>
      <c r="C1111" s="13">
        <v>22</v>
      </c>
      <c r="D1111" s="41" t="s">
        <v>1074</v>
      </c>
      <c r="E1111" s="12" t="s">
        <v>1033</v>
      </c>
      <c r="F1111" s="12" t="s">
        <v>1075</v>
      </c>
      <c r="G1111" s="15" t="s">
        <v>829</v>
      </c>
      <c r="H1111" s="8"/>
      <c r="I1111" s="9">
        <v>15</v>
      </c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</row>
    <row r="1112" spans="1:27" s="10" customFormat="1" hidden="1" x14ac:dyDescent="0.25">
      <c r="A1112" s="11" t="s">
        <v>6017</v>
      </c>
      <c r="B1112" s="12" t="s">
        <v>6018</v>
      </c>
      <c r="C1112" s="13">
        <v>17</v>
      </c>
      <c r="D1112" s="12" t="s">
        <v>6048</v>
      </c>
      <c r="E1112" s="12" t="s">
        <v>6019</v>
      </c>
      <c r="F1112" s="12" t="s">
        <v>6049</v>
      </c>
      <c r="G1112" s="15" t="s">
        <v>285</v>
      </c>
      <c r="H1112" s="8"/>
      <c r="I1112" s="99">
        <v>13</v>
      </c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</row>
    <row r="1113" spans="1:27" s="10" customFormat="1" ht="15" hidden="1" x14ac:dyDescent="0.25">
      <c r="A1113" s="11" t="s">
        <v>6252</v>
      </c>
      <c r="B1113" s="12" t="s">
        <v>6253</v>
      </c>
      <c r="C1113" s="13">
        <f>C1112+1</f>
        <v>18</v>
      </c>
      <c r="D1113" s="12" t="s">
        <v>6284</v>
      </c>
      <c r="E1113" s="12" t="s">
        <v>6254</v>
      </c>
      <c r="F1113" s="12" t="s">
        <v>6285</v>
      </c>
      <c r="G1113" s="15" t="s">
        <v>42</v>
      </c>
      <c r="H1113" s="8"/>
      <c r="I1113" s="9">
        <v>15</v>
      </c>
      <c r="J1113" s="52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</row>
    <row r="1114" spans="1:27" s="10" customFormat="1" hidden="1" x14ac:dyDescent="0.25">
      <c r="A1114" s="11" t="s">
        <v>1794</v>
      </c>
      <c r="B1114" s="12" t="s">
        <v>1795</v>
      </c>
      <c r="C1114" s="13">
        <v>7</v>
      </c>
      <c r="D1114" s="12" t="s">
        <v>1806</v>
      </c>
      <c r="E1114" s="12" t="s">
        <v>1796</v>
      </c>
      <c r="F1114" s="12" t="s">
        <v>1807</v>
      </c>
      <c r="G1114" s="15" t="s">
        <v>569</v>
      </c>
      <c r="H1114" s="8"/>
      <c r="I1114" s="9">
        <v>15</v>
      </c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</row>
    <row r="1115" spans="1:27" s="10" customFormat="1" ht="15" hidden="1" x14ac:dyDescent="0.25">
      <c r="A1115" s="11" t="s">
        <v>2179</v>
      </c>
      <c r="B1115" s="8" t="s">
        <v>2180</v>
      </c>
      <c r="C1115" s="13">
        <v>4</v>
      </c>
      <c r="D1115" s="12" t="s">
        <v>1806</v>
      </c>
      <c r="E1115" s="12" t="s">
        <v>2181</v>
      </c>
      <c r="F1115" s="12" t="s">
        <v>2185</v>
      </c>
      <c r="G1115" s="15" t="s">
        <v>569</v>
      </c>
      <c r="H1115" s="8"/>
      <c r="I1115" s="54">
        <v>15</v>
      </c>
      <c r="J1115" s="52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</row>
    <row r="1116" spans="1:27" s="10" customFormat="1" hidden="1" x14ac:dyDescent="0.25">
      <c r="A1116" s="11" t="s">
        <v>1383</v>
      </c>
      <c r="B1116" s="12" t="s">
        <v>1384</v>
      </c>
      <c r="C1116" s="13">
        <v>7</v>
      </c>
      <c r="D1116" s="12" t="s">
        <v>1396</v>
      </c>
      <c r="E1116" s="12" t="s">
        <v>1385</v>
      </c>
      <c r="F1116" s="12" t="s">
        <v>1397</v>
      </c>
      <c r="G1116" s="15" t="s">
        <v>32</v>
      </c>
      <c r="H1116" s="8"/>
      <c r="I1116" s="90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</row>
    <row r="1117" spans="1:27" s="10" customFormat="1" ht="12.75" hidden="1" thickBot="1" x14ac:dyDescent="0.3">
      <c r="A1117" s="36" t="s">
        <v>1421</v>
      </c>
      <c r="B1117" s="30" t="s">
        <v>1422</v>
      </c>
      <c r="C1117" s="31">
        <v>10</v>
      </c>
      <c r="D1117" s="30" t="s">
        <v>1396</v>
      </c>
      <c r="E1117" s="30" t="s">
        <v>1423</v>
      </c>
      <c r="F1117" s="30" t="s">
        <v>1437</v>
      </c>
      <c r="G1117" s="33" t="s">
        <v>32</v>
      </c>
      <c r="H1117" s="8"/>
      <c r="I1117" s="90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</row>
    <row r="1118" spans="1:27" s="10" customFormat="1" hidden="1" x14ac:dyDescent="0.25">
      <c r="A1118" s="56" t="s">
        <v>1568</v>
      </c>
      <c r="B1118" s="61" t="s">
        <v>1569</v>
      </c>
      <c r="C1118" s="58">
        <v>24</v>
      </c>
      <c r="D1118" s="61" t="s">
        <v>1396</v>
      </c>
      <c r="E1118" s="61" t="s">
        <v>1570</v>
      </c>
      <c r="F1118" s="61" t="s">
        <v>1618</v>
      </c>
      <c r="G1118" s="62" t="s">
        <v>678</v>
      </c>
      <c r="H1118" s="8"/>
      <c r="I1118" s="94">
        <v>14</v>
      </c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</row>
    <row r="1119" spans="1:27" s="10" customFormat="1" hidden="1" x14ac:dyDescent="0.25">
      <c r="A1119" s="11" t="s">
        <v>1768</v>
      </c>
      <c r="B1119" s="12" t="s">
        <v>1769</v>
      </c>
      <c r="C1119" s="13">
        <v>15</v>
      </c>
      <c r="D1119" s="12" t="s">
        <v>1396</v>
      </c>
      <c r="E1119" s="12" t="s">
        <v>1770</v>
      </c>
      <c r="F1119" s="12" t="s">
        <v>1786</v>
      </c>
      <c r="G1119" s="15" t="s">
        <v>678</v>
      </c>
      <c r="H1119" s="8"/>
      <c r="I1119" s="94">
        <v>14</v>
      </c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</row>
    <row r="1120" spans="1:27" s="10" customFormat="1" hidden="1" x14ac:dyDescent="0.2">
      <c r="A1120" s="11" t="s">
        <v>1960</v>
      </c>
      <c r="B1120" s="12" t="s">
        <v>1961</v>
      </c>
      <c r="C1120" s="13">
        <v>26</v>
      </c>
      <c r="D1120" s="14" t="s">
        <v>2008</v>
      </c>
      <c r="E1120" s="12" t="s">
        <v>1962</v>
      </c>
      <c r="F1120" s="12" t="s">
        <v>2009</v>
      </c>
      <c r="G1120" s="15" t="s">
        <v>156</v>
      </c>
      <c r="H1120" s="8"/>
      <c r="I1120" s="90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</row>
    <row r="1121" spans="1:27" s="10" customFormat="1" hidden="1" x14ac:dyDescent="0.2">
      <c r="A1121" s="11" t="s">
        <v>6946</v>
      </c>
      <c r="B1121" s="12" t="s">
        <v>6947</v>
      </c>
      <c r="C1121" s="13">
        <v>6</v>
      </c>
      <c r="D1121" s="65" t="s">
        <v>2068</v>
      </c>
      <c r="E1121" s="12" t="s">
        <v>6948</v>
      </c>
      <c r="F1121" s="12" t="s">
        <v>6954</v>
      </c>
      <c r="G1121" s="15" t="s">
        <v>103</v>
      </c>
      <c r="H1121" s="8"/>
      <c r="I1121" s="90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</row>
    <row r="1122" spans="1:27" s="10" customFormat="1" hidden="1" x14ac:dyDescent="0.2">
      <c r="A1122" s="11" t="s">
        <v>5559</v>
      </c>
      <c r="B1122" s="12" t="s">
        <v>5560</v>
      </c>
      <c r="C1122" s="13">
        <f>C1121+1</f>
        <v>7</v>
      </c>
      <c r="D1122" s="12" t="s">
        <v>5609</v>
      </c>
      <c r="E1122" s="12" t="s">
        <v>5561</v>
      </c>
      <c r="F1122" s="12" t="s">
        <v>5610</v>
      </c>
      <c r="G1122" s="66" t="s">
        <v>5611</v>
      </c>
      <c r="H1122" s="8"/>
      <c r="I1122" s="90">
        <v>12</v>
      </c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</row>
    <row r="1123" spans="1:27" s="10" customFormat="1" hidden="1" x14ac:dyDescent="0.2">
      <c r="A1123" s="11" t="s">
        <v>6801</v>
      </c>
      <c r="B1123" s="12" t="s">
        <v>6802</v>
      </c>
      <c r="C1123" s="13">
        <v>3</v>
      </c>
      <c r="D1123" s="37" t="s">
        <v>6806</v>
      </c>
      <c r="E1123" s="12" t="s">
        <v>6803</v>
      </c>
      <c r="F1123" s="22" t="s">
        <v>6807</v>
      </c>
      <c r="G1123" s="15" t="s">
        <v>32</v>
      </c>
      <c r="H1123" s="8"/>
      <c r="I1123" s="90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</row>
    <row r="1124" spans="1:27" s="10" customFormat="1" hidden="1" x14ac:dyDescent="0.2">
      <c r="A1124" s="11" t="s">
        <v>6811</v>
      </c>
      <c r="B1124" s="12" t="s">
        <v>6812</v>
      </c>
      <c r="C1124" s="13">
        <v>3</v>
      </c>
      <c r="D1124" s="37" t="s">
        <v>6806</v>
      </c>
      <c r="E1124" s="12" t="s">
        <v>6813</v>
      </c>
      <c r="F1124" s="22" t="s">
        <v>6816</v>
      </c>
      <c r="G1124" s="15" t="s">
        <v>32</v>
      </c>
      <c r="H1124" s="8"/>
      <c r="I1124" s="90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</row>
    <row r="1125" spans="1:27" s="10" customFormat="1" hidden="1" x14ac:dyDescent="0.2">
      <c r="A1125" s="11" t="s">
        <v>6967</v>
      </c>
      <c r="B1125" s="12" t="s">
        <v>6968</v>
      </c>
      <c r="C1125" s="13">
        <v>3</v>
      </c>
      <c r="D1125" s="37" t="s">
        <v>6806</v>
      </c>
      <c r="E1125" s="12" t="s">
        <v>6969</v>
      </c>
      <c r="F1125" s="22" t="s">
        <v>6972</v>
      </c>
      <c r="G1125" s="15" t="s">
        <v>32</v>
      </c>
      <c r="H1125" s="8"/>
      <c r="I1125" s="90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</row>
    <row r="1126" spans="1:27" s="10" customFormat="1" hidden="1" x14ac:dyDescent="0.2">
      <c r="A1126" s="21" t="s">
        <v>289</v>
      </c>
      <c r="B1126" s="22" t="s">
        <v>290</v>
      </c>
      <c r="C1126" s="23">
        <v>18</v>
      </c>
      <c r="D1126" s="37" t="s">
        <v>317</v>
      </c>
      <c r="E1126" s="22" t="s">
        <v>291</v>
      </c>
      <c r="F1126" s="22" t="s">
        <v>318</v>
      </c>
      <c r="G1126" s="26" t="s">
        <v>13</v>
      </c>
      <c r="H1126" s="8"/>
      <c r="I1126" s="9">
        <v>15</v>
      </c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</row>
    <row r="1127" spans="1:27" s="10" customFormat="1" ht="12.75" hidden="1" thickBot="1" x14ac:dyDescent="0.25">
      <c r="A1127" s="3" t="s">
        <v>708</v>
      </c>
      <c r="B1127" s="4" t="s">
        <v>709</v>
      </c>
      <c r="C1127" s="5">
        <v>18</v>
      </c>
      <c r="D1127" s="6" t="s">
        <v>317</v>
      </c>
      <c r="E1127" s="4" t="s">
        <v>710</v>
      </c>
      <c r="F1127" s="4" t="s">
        <v>728</v>
      </c>
      <c r="G1127" s="7" t="s">
        <v>13</v>
      </c>
      <c r="H1127" s="8"/>
      <c r="I1127" s="9">
        <v>15</v>
      </c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</row>
    <row r="1128" spans="1:27" s="10" customFormat="1" hidden="1" x14ac:dyDescent="0.25">
      <c r="A1128" s="56" t="s">
        <v>1464</v>
      </c>
      <c r="B1128" s="61" t="s">
        <v>1465</v>
      </c>
      <c r="C1128" s="58">
        <v>12</v>
      </c>
      <c r="D1128" s="61" t="s">
        <v>1484</v>
      </c>
      <c r="E1128" s="61" t="s">
        <v>1466</v>
      </c>
      <c r="F1128" s="61" t="s">
        <v>1485</v>
      </c>
      <c r="G1128" s="62" t="s">
        <v>191</v>
      </c>
      <c r="H1128" s="8"/>
      <c r="I1128" s="90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</row>
    <row r="1129" spans="1:27" s="10" customFormat="1" hidden="1" x14ac:dyDescent="0.2">
      <c r="A1129" s="11" t="s">
        <v>1960</v>
      </c>
      <c r="B1129" s="12" t="s">
        <v>1961</v>
      </c>
      <c r="C1129" s="13">
        <v>27</v>
      </c>
      <c r="D1129" s="14" t="s">
        <v>2010</v>
      </c>
      <c r="E1129" s="12" t="s">
        <v>1962</v>
      </c>
      <c r="F1129" s="12" t="s">
        <v>2011</v>
      </c>
      <c r="G1129" s="15" t="s">
        <v>156</v>
      </c>
      <c r="H1129" s="8"/>
      <c r="I1129" s="90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</row>
    <row r="1130" spans="1:27" s="10" customFormat="1" hidden="1" x14ac:dyDescent="0.2">
      <c r="A1130" s="11" t="s">
        <v>93</v>
      </c>
      <c r="B1130" s="12" t="s">
        <v>94</v>
      </c>
      <c r="C1130" s="13">
        <v>59</v>
      </c>
      <c r="D1130" s="14" t="s">
        <v>216</v>
      </c>
      <c r="E1130" s="12" t="s">
        <v>96</v>
      </c>
      <c r="F1130" s="12" t="s">
        <v>217</v>
      </c>
      <c r="G1130" s="15" t="s">
        <v>191</v>
      </c>
      <c r="H1130" s="8"/>
      <c r="I1130" s="90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</row>
    <row r="1131" spans="1:27" s="10" customFormat="1" hidden="1" x14ac:dyDescent="0.2">
      <c r="A1131" s="11" t="s">
        <v>93</v>
      </c>
      <c r="B1131" s="12" t="s">
        <v>94</v>
      </c>
      <c r="C1131" s="13">
        <v>46</v>
      </c>
      <c r="D1131" s="14" t="s">
        <v>189</v>
      </c>
      <c r="E1131" s="12" t="s">
        <v>96</v>
      </c>
      <c r="F1131" s="12" t="s">
        <v>190</v>
      </c>
      <c r="G1131" s="15" t="s">
        <v>191</v>
      </c>
      <c r="H1131" s="8"/>
      <c r="I1131" s="90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</row>
    <row r="1132" spans="1:27" s="10" customFormat="1" hidden="1" x14ac:dyDescent="0.2">
      <c r="A1132" s="11" t="s">
        <v>1960</v>
      </c>
      <c r="B1132" s="12" t="s">
        <v>1961</v>
      </c>
      <c r="C1132" s="13">
        <v>28</v>
      </c>
      <c r="D1132" s="14" t="s">
        <v>2012</v>
      </c>
      <c r="E1132" s="12" t="s">
        <v>1962</v>
      </c>
      <c r="F1132" s="12" t="s">
        <v>2013</v>
      </c>
      <c r="G1132" s="15" t="s">
        <v>156</v>
      </c>
      <c r="H1132" s="8"/>
      <c r="I1132" s="90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</row>
    <row r="1133" spans="1:27" s="10" customFormat="1" hidden="1" x14ac:dyDescent="0.2">
      <c r="A1133" s="11" t="s">
        <v>4657</v>
      </c>
      <c r="B1133" s="12" t="s">
        <v>4658</v>
      </c>
      <c r="C1133" s="13">
        <v>10</v>
      </c>
      <c r="D1133" s="41" t="s">
        <v>4671</v>
      </c>
      <c r="E1133" s="65" t="s">
        <v>4659</v>
      </c>
      <c r="F1133" s="65" t="s">
        <v>4672</v>
      </c>
      <c r="G1133" s="66" t="s">
        <v>103</v>
      </c>
      <c r="H1133" s="8"/>
      <c r="I1133" s="90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</row>
    <row r="1134" spans="1:27" s="10" customFormat="1" hidden="1" x14ac:dyDescent="0.2">
      <c r="A1134" s="11" t="s">
        <v>4680</v>
      </c>
      <c r="B1134" s="12" t="s">
        <v>4681</v>
      </c>
      <c r="C1134" s="13">
        <v>7</v>
      </c>
      <c r="D1134" s="41" t="s">
        <v>4671</v>
      </c>
      <c r="E1134" s="65" t="s">
        <v>4682</v>
      </c>
      <c r="F1134" s="65" t="s">
        <v>4691</v>
      </c>
      <c r="G1134" s="66" t="s">
        <v>103</v>
      </c>
      <c r="H1134" s="8"/>
      <c r="I1134" s="90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</row>
    <row r="1135" spans="1:27" s="10" customFormat="1" hidden="1" x14ac:dyDescent="0.2">
      <c r="A1135" s="11" t="s">
        <v>4657</v>
      </c>
      <c r="B1135" s="12" t="s">
        <v>4658</v>
      </c>
      <c r="C1135" s="13">
        <v>12</v>
      </c>
      <c r="D1135" s="41" t="s">
        <v>4675</v>
      </c>
      <c r="E1135" s="65" t="s">
        <v>4659</v>
      </c>
      <c r="F1135" s="65" t="s">
        <v>4676</v>
      </c>
      <c r="G1135" s="66" t="s">
        <v>103</v>
      </c>
      <c r="H1135" s="8"/>
      <c r="I1135" s="90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</row>
    <row r="1136" spans="1:27" s="10" customFormat="1" hidden="1" x14ac:dyDescent="0.2">
      <c r="A1136" s="11" t="s">
        <v>890</v>
      </c>
      <c r="B1136" s="12" t="s">
        <v>891</v>
      </c>
      <c r="C1136" s="13">
        <v>7</v>
      </c>
      <c r="D1136" s="14" t="s">
        <v>900</v>
      </c>
      <c r="E1136" s="12" t="s">
        <v>892</v>
      </c>
      <c r="F1136" s="12" t="s">
        <v>901</v>
      </c>
      <c r="G1136" s="15" t="s">
        <v>857</v>
      </c>
      <c r="H1136" s="8"/>
      <c r="I1136" s="9">
        <v>15</v>
      </c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</row>
    <row r="1137" spans="1:27" s="10" customFormat="1" ht="12.75" hidden="1" thickBot="1" x14ac:dyDescent="0.25">
      <c r="A1137" s="36" t="s">
        <v>890</v>
      </c>
      <c r="B1137" s="30" t="s">
        <v>891</v>
      </c>
      <c r="C1137" s="31">
        <v>8</v>
      </c>
      <c r="D1137" s="69" t="s">
        <v>902</v>
      </c>
      <c r="E1137" s="30" t="s">
        <v>892</v>
      </c>
      <c r="F1137" s="30" t="s">
        <v>903</v>
      </c>
      <c r="G1137" s="33" t="s">
        <v>857</v>
      </c>
      <c r="H1137" s="8"/>
      <c r="I1137" s="9">
        <v>15</v>
      </c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</row>
    <row r="1138" spans="1:27" s="10" customFormat="1" hidden="1" x14ac:dyDescent="0.25">
      <c r="A1138" s="56" t="s">
        <v>5921</v>
      </c>
      <c r="B1138" s="61" t="s">
        <v>5922</v>
      </c>
      <c r="C1138" s="58">
        <v>7</v>
      </c>
      <c r="D1138" s="17" t="s">
        <v>5932</v>
      </c>
      <c r="E1138" s="61" t="s">
        <v>5923</v>
      </c>
      <c r="F1138" s="17" t="s">
        <v>5933</v>
      </c>
      <c r="G1138" s="62" t="s">
        <v>676</v>
      </c>
      <c r="H1138" s="8"/>
      <c r="I1138" s="101" t="s">
        <v>5818</v>
      </c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</row>
    <row r="1139" spans="1:27" s="10" customFormat="1" hidden="1" x14ac:dyDescent="0.2">
      <c r="A1139" s="11" t="s">
        <v>552</v>
      </c>
      <c r="B1139" s="12" t="s">
        <v>553</v>
      </c>
      <c r="C1139" s="13">
        <v>5</v>
      </c>
      <c r="D1139" s="22" t="s">
        <v>561</v>
      </c>
      <c r="E1139" s="14" t="s">
        <v>554</v>
      </c>
      <c r="F1139" s="22" t="s">
        <v>562</v>
      </c>
      <c r="G1139" s="15" t="s">
        <v>13</v>
      </c>
      <c r="H1139" s="8"/>
      <c r="I1139" s="90">
        <v>12</v>
      </c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</row>
    <row r="1140" spans="1:27" s="10" customFormat="1" hidden="1" x14ac:dyDescent="0.2">
      <c r="A1140" s="11" t="s">
        <v>7002</v>
      </c>
      <c r="B1140" s="12" t="s">
        <v>7003</v>
      </c>
      <c r="C1140" s="13">
        <v>10</v>
      </c>
      <c r="D1140" s="14" t="s">
        <v>7016</v>
      </c>
      <c r="E1140" s="12" t="s">
        <v>7004</v>
      </c>
      <c r="F1140" s="12" t="s">
        <v>7017</v>
      </c>
      <c r="G1140" s="15" t="s">
        <v>19</v>
      </c>
      <c r="H1140" s="8"/>
      <c r="I1140" s="90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</row>
    <row r="1141" spans="1:27" s="10" customFormat="1" hidden="1" x14ac:dyDescent="0.25">
      <c r="A1141" s="146" t="s">
        <v>4830</v>
      </c>
      <c r="B1141" s="12" t="s">
        <v>4831</v>
      </c>
      <c r="C1141" s="13">
        <v>19</v>
      </c>
      <c r="D1141" s="12" t="s">
        <v>4864</v>
      </c>
      <c r="E1141" s="12" t="s">
        <v>4832</v>
      </c>
      <c r="F1141" s="8" t="s">
        <v>4865</v>
      </c>
      <c r="G1141" s="80" t="s">
        <v>19</v>
      </c>
      <c r="H1141" s="8"/>
      <c r="I1141" s="90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</row>
    <row r="1142" spans="1:27" s="10" customFormat="1" hidden="1" x14ac:dyDescent="0.25">
      <c r="A1142" s="146" t="s">
        <v>4830</v>
      </c>
      <c r="B1142" s="12" t="s">
        <v>4831</v>
      </c>
      <c r="C1142" s="13">
        <v>18</v>
      </c>
      <c r="D1142" s="12" t="s">
        <v>4862</v>
      </c>
      <c r="E1142" s="12" t="s">
        <v>4832</v>
      </c>
      <c r="F1142" s="8" t="s">
        <v>4863</v>
      </c>
      <c r="G1142" s="80" t="s">
        <v>19</v>
      </c>
      <c r="H1142" s="8"/>
      <c r="I1142" s="90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</row>
    <row r="1143" spans="1:27" s="10" customFormat="1" hidden="1" x14ac:dyDescent="0.25">
      <c r="A1143" s="146" t="s">
        <v>4830</v>
      </c>
      <c r="B1143" s="12" t="s">
        <v>4831</v>
      </c>
      <c r="C1143" s="13">
        <v>17</v>
      </c>
      <c r="D1143" s="12" t="s">
        <v>4860</v>
      </c>
      <c r="E1143" s="12" t="s">
        <v>4832</v>
      </c>
      <c r="F1143" s="8" t="s">
        <v>4861</v>
      </c>
      <c r="G1143" s="80" t="s">
        <v>19</v>
      </c>
      <c r="H1143" s="8"/>
      <c r="I1143" s="90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</row>
    <row r="1144" spans="1:27" s="10" customFormat="1" hidden="1" x14ac:dyDescent="0.25">
      <c r="A1144" s="146" t="s">
        <v>4830</v>
      </c>
      <c r="B1144" s="12" t="s">
        <v>4831</v>
      </c>
      <c r="C1144" s="13">
        <v>16</v>
      </c>
      <c r="D1144" s="12" t="s">
        <v>4858</v>
      </c>
      <c r="E1144" s="12" t="s">
        <v>4832</v>
      </c>
      <c r="F1144" s="8" t="s">
        <v>4859</v>
      </c>
      <c r="G1144" s="80" t="s">
        <v>19</v>
      </c>
      <c r="H1144" s="8"/>
      <c r="I1144" s="90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</row>
    <row r="1145" spans="1:27" s="10" customFormat="1" hidden="1" x14ac:dyDescent="0.2">
      <c r="A1145" s="11" t="s">
        <v>1960</v>
      </c>
      <c r="B1145" s="12" t="s">
        <v>1961</v>
      </c>
      <c r="C1145" s="13">
        <v>29</v>
      </c>
      <c r="D1145" s="14" t="s">
        <v>2014</v>
      </c>
      <c r="E1145" s="12" t="s">
        <v>1962</v>
      </c>
      <c r="F1145" s="12" t="s">
        <v>2015</v>
      </c>
      <c r="G1145" s="15" t="s">
        <v>126</v>
      </c>
      <c r="H1145" s="8"/>
      <c r="I1145" s="90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</row>
    <row r="1146" spans="1:27" s="10" customFormat="1" hidden="1" x14ac:dyDescent="0.2">
      <c r="A1146" s="11" t="s">
        <v>1960</v>
      </c>
      <c r="B1146" s="12" t="s">
        <v>1961</v>
      </c>
      <c r="C1146" s="13">
        <v>30</v>
      </c>
      <c r="D1146" s="14" t="s">
        <v>2016</v>
      </c>
      <c r="E1146" s="12" t="s">
        <v>1962</v>
      </c>
      <c r="F1146" s="12" t="s">
        <v>2017</v>
      </c>
      <c r="G1146" s="15" t="s">
        <v>13</v>
      </c>
      <c r="H1146" s="8"/>
      <c r="I1146" s="90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</row>
    <row r="1147" spans="1:27" s="10" customFormat="1" hidden="1" x14ac:dyDescent="0.2">
      <c r="A1147" s="11" t="s">
        <v>1000</v>
      </c>
      <c r="B1147" s="12" t="s">
        <v>1001</v>
      </c>
      <c r="C1147" s="13">
        <v>6</v>
      </c>
      <c r="D1147" s="14" t="s">
        <v>1010</v>
      </c>
      <c r="E1147" s="12" t="s">
        <v>1002</v>
      </c>
      <c r="F1147" s="12" t="s">
        <v>1011</v>
      </c>
      <c r="G1147" s="15" t="s">
        <v>1012</v>
      </c>
      <c r="H1147" s="8"/>
      <c r="I1147" s="9">
        <v>15</v>
      </c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</row>
    <row r="1148" spans="1:27" s="10" customFormat="1" hidden="1" x14ac:dyDescent="0.25">
      <c r="A1148" s="11" t="s">
        <v>1568</v>
      </c>
      <c r="B1148" s="12" t="s">
        <v>1569</v>
      </c>
      <c r="C1148" s="13">
        <v>3</v>
      </c>
      <c r="D1148" s="12" t="s">
        <v>1575</v>
      </c>
      <c r="E1148" s="12" t="s">
        <v>1570</v>
      </c>
      <c r="F1148" s="12" t="s">
        <v>1576</v>
      </c>
      <c r="G1148" s="15" t="s">
        <v>934</v>
      </c>
      <c r="H1148" s="8"/>
      <c r="I1148" s="94">
        <v>14</v>
      </c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</row>
    <row r="1149" spans="1:27" s="10" customFormat="1" hidden="1" x14ac:dyDescent="0.25">
      <c r="A1149" s="11" t="s">
        <v>1313</v>
      </c>
      <c r="B1149" s="12" t="s">
        <v>1314</v>
      </c>
      <c r="C1149" s="13">
        <v>5</v>
      </c>
      <c r="D1149" s="12" t="s">
        <v>1321</v>
      </c>
      <c r="E1149" s="12" t="s">
        <v>1315</v>
      </c>
      <c r="F1149" s="12" t="s">
        <v>1322</v>
      </c>
      <c r="G1149" s="15" t="s">
        <v>1323</v>
      </c>
      <c r="H1149" s="8"/>
      <c r="I1149" s="90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</row>
    <row r="1150" spans="1:27" s="10" customFormat="1" hidden="1" x14ac:dyDescent="0.25">
      <c r="A1150" s="146" t="s">
        <v>4926</v>
      </c>
      <c r="B1150" s="12" t="s">
        <v>4927</v>
      </c>
      <c r="C1150" s="13">
        <v>7</v>
      </c>
      <c r="D1150" s="12" t="s">
        <v>4938</v>
      </c>
      <c r="E1150" s="12" t="s">
        <v>4928</v>
      </c>
      <c r="F1150" s="8" t="s">
        <v>4939</v>
      </c>
      <c r="G1150" s="80" t="s">
        <v>4907</v>
      </c>
      <c r="H1150" s="8"/>
      <c r="I1150" s="90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</row>
    <row r="1151" spans="1:27" s="10" customFormat="1" hidden="1" x14ac:dyDescent="0.25">
      <c r="A1151" s="11" t="s">
        <v>1568</v>
      </c>
      <c r="B1151" s="12" t="s">
        <v>1569</v>
      </c>
      <c r="C1151" s="13">
        <v>7</v>
      </c>
      <c r="D1151" s="12" t="s">
        <v>1584</v>
      </c>
      <c r="E1151" s="12" t="s">
        <v>1570</v>
      </c>
      <c r="F1151" s="12" t="s">
        <v>1585</v>
      </c>
      <c r="G1151" s="15" t="s">
        <v>934</v>
      </c>
      <c r="H1151" s="8"/>
      <c r="I1151" s="94">
        <v>14</v>
      </c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</row>
    <row r="1152" spans="1:27" s="10" customFormat="1" ht="12.75" hidden="1" thickBot="1" x14ac:dyDescent="0.3">
      <c r="A1152" s="36" t="s">
        <v>1768</v>
      </c>
      <c r="B1152" s="30" t="s">
        <v>1769</v>
      </c>
      <c r="C1152" s="31">
        <v>3</v>
      </c>
      <c r="D1152" s="30" t="s">
        <v>1773</v>
      </c>
      <c r="E1152" s="30" t="s">
        <v>1770</v>
      </c>
      <c r="F1152" s="30" t="s">
        <v>1774</v>
      </c>
      <c r="G1152" s="33" t="s">
        <v>934</v>
      </c>
      <c r="H1152" s="8"/>
      <c r="I1152" s="94">
        <v>14</v>
      </c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</row>
    <row r="1153" spans="1:10" hidden="1" x14ac:dyDescent="0.25">
      <c r="A1153" s="179" t="s">
        <v>4895</v>
      </c>
      <c r="B1153" s="12" t="s">
        <v>4896</v>
      </c>
      <c r="C1153" s="13">
        <v>7</v>
      </c>
      <c r="D1153" s="118" t="s">
        <v>4908</v>
      </c>
      <c r="E1153" s="28" t="s">
        <v>4897</v>
      </c>
      <c r="F1153" s="8" t="s">
        <v>4909</v>
      </c>
      <c r="G1153" s="80" t="s">
        <v>4907</v>
      </c>
    </row>
    <row r="1154" spans="1:10" hidden="1" x14ac:dyDescent="0.25">
      <c r="A1154" s="179" t="s">
        <v>4895</v>
      </c>
      <c r="B1154" s="12" t="s">
        <v>4896</v>
      </c>
      <c r="C1154" s="13">
        <v>6</v>
      </c>
      <c r="D1154" s="118" t="s">
        <v>4905</v>
      </c>
      <c r="E1154" s="28" t="s">
        <v>4897</v>
      </c>
      <c r="F1154" s="8" t="s">
        <v>4906</v>
      </c>
      <c r="G1154" s="80" t="s">
        <v>4907</v>
      </c>
    </row>
    <row r="1155" spans="1:10" hidden="1" x14ac:dyDescent="0.25">
      <c r="A1155" s="35" t="s">
        <v>1421</v>
      </c>
      <c r="B1155" s="12" t="s">
        <v>1422</v>
      </c>
      <c r="C1155" s="13">
        <v>5</v>
      </c>
      <c r="D1155" s="118" t="s">
        <v>1429</v>
      </c>
      <c r="E1155" s="28" t="s">
        <v>1423</v>
      </c>
      <c r="F1155" s="12" t="s">
        <v>1430</v>
      </c>
      <c r="G1155" s="15" t="s">
        <v>1323</v>
      </c>
    </row>
    <row r="1156" spans="1:10" hidden="1" x14ac:dyDescent="0.2">
      <c r="A1156" s="35" t="s">
        <v>5236</v>
      </c>
      <c r="B1156" s="12" t="s">
        <v>5237</v>
      </c>
      <c r="C1156" s="13">
        <v>3</v>
      </c>
      <c r="D1156" s="76" t="s">
        <v>5241</v>
      </c>
      <c r="E1156" s="28" t="s">
        <v>5238</v>
      </c>
      <c r="F1156" s="65" t="s">
        <v>5242</v>
      </c>
      <c r="G1156" s="66" t="s">
        <v>5170</v>
      </c>
    </row>
    <row r="1157" spans="1:10" ht="24" hidden="1" x14ac:dyDescent="0.2">
      <c r="A1157" s="35" t="s">
        <v>943</v>
      </c>
      <c r="B1157" s="12" t="s">
        <v>944</v>
      </c>
      <c r="C1157" s="13">
        <v>19</v>
      </c>
      <c r="D1157" s="27" t="s">
        <v>979</v>
      </c>
      <c r="E1157" s="28" t="s">
        <v>945</v>
      </c>
      <c r="F1157" s="12" t="s">
        <v>980</v>
      </c>
      <c r="G1157" s="15" t="s">
        <v>981</v>
      </c>
      <c r="I1157" s="9">
        <v>15</v>
      </c>
    </row>
    <row r="1158" spans="1:10" hidden="1" x14ac:dyDescent="0.2">
      <c r="A1158" s="35" t="s">
        <v>1017</v>
      </c>
      <c r="B1158" s="12" t="s">
        <v>1018</v>
      </c>
      <c r="C1158" s="13">
        <v>5</v>
      </c>
      <c r="D1158" s="27" t="s">
        <v>1025</v>
      </c>
      <c r="E1158" s="28" t="s">
        <v>1019</v>
      </c>
      <c r="F1158" s="12" t="s">
        <v>1026</v>
      </c>
      <c r="G1158" s="15" t="s">
        <v>285</v>
      </c>
      <c r="I1158" s="9">
        <v>15</v>
      </c>
    </row>
    <row r="1159" spans="1:10" hidden="1" x14ac:dyDescent="0.2">
      <c r="A1159" s="35" t="s">
        <v>1000</v>
      </c>
      <c r="B1159" s="12" t="s">
        <v>1001</v>
      </c>
      <c r="C1159" s="13">
        <v>5</v>
      </c>
      <c r="D1159" s="27" t="s">
        <v>1008</v>
      </c>
      <c r="E1159" s="28" t="s">
        <v>1002</v>
      </c>
      <c r="F1159" s="12" t="s">
        <v>1009</v>
      </c>
      <c r="G1159" s="15" t="s">
        <v>681</v>
      </c>
      <c r="I1159" s="9">
        <v>15</v>
      </c>
    </row>
    <row r="1160" spans="1:10" ht="15" hidden="1" x14ac:dyDescent="0.25">
      <c r="A1160" s="35" t="s">
        <v>5523</v>
      </c>
      <c r="B1160" s="12" t="s">
        <v>5524</v>
      </c>
      <c r="C1160" s="13">
        <v>11</v>
      </c>
      <c r="D1160" s="27" t="s">
        <v>5546</v>
      </c>
      <c r="E1160" s="28" t="s">
        <v>5526</v>
      </c>
      <c r="F1160" s="65" t="s">
        <v>5547</v>
      </c>
      <c r="G1160" s="15" t="s">
        <v>1323</v>
      </c>
      <c r="I1160" s="9">
        <v>15</v>
      </c>
      <c r="J1160" s="52"/>
    </row>
    <row r="1161" spans="1:10" hidden="1" x14ac:dyDescent="0.25">
      <c r="A1161" s="35" t="s">
        <v>5676</v>
      </c>
      <c r="B1161" s="12" t="s">
        <v>5677</v>
      </c>
      <c r="C1161" s="13">
        <v>3</v>
      </c>
      <c r="D1161" s="118" t="s">
        <v>5681</v>
      </c>
      <c r="E1161" s="28" t="s">
        <v>5678</v>
      </c>
      <c r="F1161" s="12" t="s">
        <v>5682</v>
      </c>
      <c r="G1161" s="15" t="s">
        <v>5683</v>
      </c>
    </row>
    <row r="1162" spans="1:10" hidden="1" x14ac:dyDescent="0.2">
      <c r="A1162" s="35" t="s">
        <v>1017</v>
      </c>
      <c r="B1162" s="12" t="s">
        <v>1018</v>
      </c>
      <c r="C1162" s="13">
        <v>6</v>
      </c>
      <c r="D1162" s="27" t="s">
        <v>1027</v>
      </c>
      <c r="E1162" s="28" t="s">
        <v>1019</v>
      </c>
      <c r="F1162" s="12" t="s">
        <v>1028</v>
      </c>
      <c r="G1162" s="15" t="s">
        <v>285</v>
      </c>
      <c r="I1162" s="9">
        <v>15</v>
      </c>
    </row>
    <row r="1163" spans="1:10" ht="15" hidden="1" x14ac:dyDescent="0.25">
      <c r="A1163" s="35" t="s">
        <v>5523</v>
      </c>
      <c r="B1163" s="12" t="s">
        <v>5524</v>
      </c>
      <c r="C1163" s="13">
        <v>3</v>
      </c>
      <c r="D1163" s="27" t="s">
        <v>5530</v>
      </c>
      <c r="E1163" s="28" t="s">
        <v>5526</v>
      </c>
      <c r="F1163" s="65" t="s">
        <v>5531</v>
      </c>
      <c r="G1163" s="15" t="s">
        <v>1323</v>
      </c>
      <c r="I1163" s="9">
        <v>15</v>
      </c>
      <c r="J1163" s="52"/>
    </row>
    <row r="1164" spans="1:10" ht="12.75" hidden="1" thickBot="1" x14ac:dyDescent="0.3">
      <c r="A1164" s="192" t="s">
        <v>4926</v>
      </c>
      <c r="B1164" s="30" t="s">
        <v>4927</v>
      </c>
      <c r="C1164" s="31">
        <v>6</v>
      </c>
      <c r="D1164" s="159" t="s">
        <v>4936</v>
      </c>
      <c r="E1164" s="32" t="s">
        <v>4928</v>
      </c>
      <c r="F1164" s="55" t="s">
        <v>4937</v>
      </c>
      <c r="G1164" s="152" t="s">
        <v>4907</v>
      </c>
    </row>
    <row r="1165" spans="1:10" hidden="1" x14ac:dyDescent="0.25">
      <c r="A1165" s="35" t="s">
        <v>6325</v>
      </c>
      <c r="B1165" s="12" t="s">
        <v>6326</v>
      </c>
      <c r="C1165" s="13">
        <f>C1164+1</f>
        <v>7</v>
      </c>
      <c r="D1165" s="117" t="s">
        <v>6330</v>
      </c>
      <c r="E1165" s="28" t="s">
        <v>6327</v>
      </c>
      <c r="F1165" s="22" t="s">
        <v>6331</v>
      </c>
      <c r="G1165" s="15" t="s">
        <v>13</v>
      </c>
      <c r="I1165" s="90">
        <v>12</v>
      </c>
    </row>
    <row r="1166" spans="1:10" hidden="1" x14ac:dyDescent="0.25">
      <c r="A1166" s="35" t="s">
        <v>6787</v>
      </c>
      <c r="B1166" s="12" t="s">
        <v>6788</v>
      </c>
      <c r="C1166" s="13">
        <v>3</v>
      </c>
      <c r="D1166" s="117" t="s">
        <v>6330</v>
      </c>
      <c r="E1166" s="28" t="s">
        <v>6789</v>
      </c>
      <c r="F1166" s="22" t="s">
        <v>6792</v>
      </c>
      <c r="G1166" s="15" t="s">
        <v>13</v>
      </c>
    </row>
    <row r="1167" spans="1:10" hidden="1" x14ac:dyDescent="0.25">
      <c r="A1167" s="35" t="s">
        <v>6050</v>
      </c>
      <c r="B1167" s="12" t="s">
        <v>6051</v>
      </c>
      <c r="C1167" s="13">
        <v>5</v>
      </c>
      <c r="D1167" s="118" t="s">
        <v>6057</v>
      </c>
      <c r="E1167" s="28" t="s">
        <v>6052</v>
      </c>
      <c r="F1167" s="12" t="s">
        <v>6058</v>
      </c>
      <c r="G1167" s="15" t="s">
        <v>13</v>
      </c>
    </row>
    <row r="1168" spans="1:10" hidden="1" x14ac:dyDescent="0.25">
      <c r="A1168" s="35" t="s">
        <v>6442</v>
      </c>
      <c r="B1168" s="12" t="s">
        <v>6443</v>
      </c>
      <c r="C1168" s="13">
        <v>5</v>
      </c>
      <c r="D1168" s="118" t="s">
        <v>6057</v>
      </c>
      <c r="E1168" s="28" t="s">
        <v>6444</v>
      </c>
      <c r="F1168" s="12" t="s">
        <v>6449</v>
      </c>
      <c r="G1168" s="15" t="s">
        <v>13</v>
      </c>
      <c r="I1168" s="9">
        <v>15</v>
      </c>
    </row>
    <row r="1169" spans="1:9" hidden="1" x14ac:dyDescent="0.25">
      <c r="A1169" s="35" t="s">
        <v>6688</v>
      </c>
      <c r="B1169" s="12" t="s">
        <v>6689</v>
      </c>
      <c r="C1169" s="13">
        <f>C1168+1</f>
        <v>6</v>
      </c>
      <c r="D1169" s="118" t="s">
        <v>6754</v>
      </c>
      <c r="E1169" s="28" t="s">
        <v>6690</v>
      </c>
      <c r="F1169" s="12" t="s">
        <v>6755</v>
      </c>
      <c r="G1169" s="15" t="s">
        <v>6756</v>
      </c>
      <c r="I1169" s="90">
        <v>12</v>
      </c>
    </row>
    <row r="1170" spans="1:9" hidden="1" x14ac:dyDescent="0.25">
      <c r="A1170" s="35" t="s">
        <v>6688</v>
      </c>
      <c r="B1170" s="12" t="s">
        <v>6689</v>
      </c>
      <c r="C1170" s="13">
        <v>39</v>
      </c>
      <c r="D1170" s="118" t="s">
        <v>6761</v>
      </c>
      <c r="E1170" s="28" t="s">
        <v>6690</v>
      </c>
      <c r="F1170" s="12" t="s">
        <v>6762</v>
      </c>
      <c r="G1170" s="15" t="s">
        <v>6756</v>
      </c>
      <c r="I1170" s="99">
        <v>13</v>
      </c>
    </row>
    <row r="1171" spans="1:9" ht="12.75" hidden="1" thickBot="1" x14ac:dyDescent="0.25">
      <c r="A1171" s="47" t="s">
        <v>6862</v>
      </c>
      <c r="B1171" s="30" t="s">
        <v>6863</v>
      </c>
      <c r="C1171" s="31">
        <v>8</v>
      </c>
      <c r="D1171" s="116" t="s">
        <v>6874</v>
      </c>
      <c r="E1171" s="32" t="s">
        <v>6864</v>
      </c>
      <c r="F1171" s="30" t="s">
        <v>6875</v>
      </c>
      <c r="G1171" s="33" t="s">
        <v>126</v>
      </c>
    </row>
    <row r="1172" spans="1:9" hidden="1" x14ac:dyDescent="0.2">
      <c r="A1172" s="35" t="s">
        <v>1960</v>
      </c>
      <c r="B1172" s="12" t="s">
        <v>1961</v>
      </c>
      <c r="C1172" s="13">
        <v>31</v>
      </c>
      <c r="D1172" s="27" t="s">
        <v>2018</v>
      </c>
      <c r="E1172" s="28" t="s">
        <v>1962</v>
      </c>
      <c r="F1172" s="12" t="s">
        <v>2019</v>
      </c>
      <c r="G1172" s="15" t="s">
        <v>156</v>
      </c>
    </row>
    <row r="1173" spans="1:9" hidden="1" x14ac:dyDescent="0.2">
      <c r="A1173" s="179" t="s">
        <v>5060</v>
      </c>
      <c r="B1173" s="12" t="s">
        <v>5061</v>
      </c>
      <c r="C1173" s="13">
        <v>31</v>
      </c>
      <c r="D1173" s="27" t="s">
        <v>5117</v>
      </c>
      <c r="E1173" s="28" t="s">
        <v>5062</v>
      </c>
      <c r="F1173" s="12" t="s">
        <v>5118</v>
      </c>
      <c r="G1173" s="80" t="s">
        <v>13</v>
      </c>
    </row>
    <row r="1174" spans="1:9" hidden="1" x14ac:dyDescent="0.2">
      <c r="A1174" s="179" t="s">
        <v>5060</v>
      </c>
      <c r="B1174" s="12" t="s">
        <v>5061</v>
      </c>
      <c r="C1174" s="13">
        <v>30</v>
      </c>
      <c r="D1174" s="27" t="s">
        <v>5115</v>
      </c>
      <c r="E1174" s="28" t="s">
        <v>5062</v>
      </c>
      <c r="F1174" s="12" t="s">
        <v>5116</v>
      </c>
      <c r="G1174" s="80" t="s">
        <v>13</v>
      </c>
    </row>
    <row r="1175" spans="1:9" hidden="1" x14ac:dyDescent="0.2">
      <c r="A1175" s="35" t="s">
        <v>362</v>
      </c>
      <c r="B1175" s="12" t="s">
        <v>363</v>
      </c>
      <c r="C1175" s="13">
        <v>21</v>
      </c>
      <c r="D1175" s="27" t="s">
        <v>401</v>
      </c>
      <c r="E1175" s="28" t="s">
        <v>364</v>
      </c>
      <c r="F1175" s="12" t="s">
        <v>402</v>
      </c>
      <c r="G1175" s="15" t="s">
        <v>13</v>
      </c>
    </row>
    <row r="1176" spans="1:9" hidden="1" x14ac:dyDescent="0.2">
      <c r="A1176" s="35" t="s">
        <v>362</v>
      </c>
      <c r="B1176" s="12" t="s">
        <v>363</v>
      </c>
      <c r="C1176" s="13">
        <v>22</v>
      </c>
      <c r="D1176" s="27" t="s">
        <v>403</v>
      </c>
      <c r="E1176" s="28" t="s">
        <v>364</v>
      </c>
      <c r="F1176" s="12" t="s">
        <v>404</v>
      </c>
      <c r="G1176" s="15" t="s">
        <v>13</v>
      </c>
    </row>
    <row r="1177" spans="1:9" hidden="1" x14ac:dyDescent="0.2">
      <c r="A1177" s="35" t="s">
        <v>757</v>
      </c>
      <c r="B1177" s="12" t="s">
        <v>758</v>
      </c>
      <c r="C1177" s="13">
        <v>4</v>
      </c>
      <c r="D1177" s="27" t="s">
        <v>764</v>
      </c>
      <c r="E1177" s="28" t="s">
        <v>759</v>
      </c>
      <c r="F1177" s="12" t="s">
        <v>765</v>
      </c>
      <c r="G1177" s="15" t="s">
        <v>13</v>
      </c>
      <c r="I1177" s="9">
        <v>15</v>
      </c>
    </row>
    <row r="1178" spans="1:9" hidden="1" x14ac:dyDescent="0.2">
      <c r="A1178" s="35" t="s">
        <v>2440</v>
      </c>
      <c r="B1178" s="12" t="s">
        <v>2441</v>
      </c>
      <c r="C1178" s="13">
        <v>14</v>
      </c>
      <c r="D1178" s="27" t="s">
        <v>2466</v>
      </c>
      <c r="E1178" s="28" t="s">
        <v>2442</v>
      </c>
      <c r="F1178" s="12" t="s">
        <v>2467</v>
      </c>
      <c r="G1178" s="15" t="s">
        <v>103</v>
      </c>
    </row>
    <row r="1179" spans="1:9" hidden="1" x14ac:dyDescent="0.2">
      <c r="A1179" s="35" t="s">
        <v>5559</v>
      </c>
      <c r="B1179" s="12" t="s">
        <v>5560</v>
      </c>
      <c r="C1179" s="13">
        <f>C1178+1</f>
        <v>15</v>
      </c>
      <c r="D1179" s="118" t="s">
        <v>5612</v>
      </c>
      <c r="E1179" s="28" t="s">
        <v>5561</v>
      </c>
      <c r="F1179" s="12" t="s">
        <v>5613</v>
      </c>
      <c r="G1179" s="66" t="s">
        <v>5614</v>
      </c>
      <c r="I1179" s="90">
        <v>12</v>
      </c>
    </row>
    <row r="1180" spans="1:9" hidden="1" x14ac:dyDescent="0.2">
      <c r="A1180" s="35" t="s">
        <v>7002</v>
      </c>
      <c r="B1180" s="12" t="s">
        <v>7003</v>
      </c>
      <c r="C1180" s="13">
        <v>15</v>
      </c>
      <c r="D1180" s="27" t="s">
        <v>7026</v>
      </c>
      <c r="E1180" s="28" t="s">
        <v>7004</v>
      </c>
      <c r="F1180" s="12" t="s">
        <v>7027</v>
      </c>
      <c r="G1180" s="15" t="s">
        <v>19</v>
      </c>
    </row>
    <row r="1181" spans="1:9" ht="12.75" hidden="1" thickBot="1" x14ac:dyDescent="0.25">
      <c r="A1181" s="47" t="s">
        <v>7002</v>
      </c>
      <c r="B1181" s="30" t="s">
        <v>7003</v>
      </c>
      <c r="C1181" s="31">
        <v>6</v>
      </c>
      <c r="D1181" s="48" t="s">
        <v>7010</v>
      </c>
      <c r="E1181" s="32" t="s">
        <v>7004</v>
      </c>
      <c r="F1181" s="30" t="s">
        <v>7011</v>
      </c>
      <c r="G1181" s="33" t="s">
        <v>19</v>
      </c>
    </row>
    <row r="1182" spans="1:9" hidden="1" x14ac:dyDescent="0.2">
      <c r="A1182" s="56" t="s">
        <v>1206</v>
      </c>
      <c r="B1182" s="61" t="s">
        <v>1207</v>
      </c>
      <c r="C1182" s="58">
        <v>9</v>
      </c>
      <c r="D1182" s="73" t="s">
        <v>1224</v>
      </c>
      <c r="E1182" s="89" t="s">
        <v>1208</v>
      </c>
      <c r="F1182" s="61" t="s">
        <v>1225</v>
      </c>
      <c r="G1182" s="62" t="s">
        <v>1226</v>
      </c>
      <c r="I1182" s="99">
        <v>13</v>
      </c>
    </row>
    <row r="1183" spans="1:9" hidden="1" x14ac:dyDescent="0.25">
      <c r="A1183" s="11" t="s">
        <v>5413</v>
      </c>
      <c r="B1183" s="12" t="s">
        <v>5414</v>
      </c>
      <c r="C1183" s="13">
        <v>5</v>
      </c>
      <c r="D1183" s="117" t="s">
        <v>5422</v>
      </c>
      <c r="E1183" s="28" t="s">
        <v>5415</v>
      </c>
      <c r="F1183" s="22" t="s">
        <v>5423</v>
      </c>
      <c r="G1183" s="15" t="s">
        <v>13</v>
      </c>
    </row>
    <row r="1184" spans="1:9" hidden="1" x14ac:dyDescent="0.2">
      <c r="A1184" s="11" t="s">
        <v>5329</v>
      </c>
      <c r="B1184" s="12" t="s">
        <v>5330</v>
      </c>
      <c r="C1184" s="13">
        <v>10</v>
      </c>
      <c r="D1184" s="27" t="s">
        <v>5347</v>
      </c>
      <c r="E1184" s="28" t="s">
        <v>5331</v>
      </c>
      <c r="F1184" s="65" t="s">
        <v>5348</v>
      </c>
      <c r="G1184" s="15" t="s">
        <v>13</v>
      </c>
    </row>
    <row r="1185" spans="1:9" hidden="1" x14ac:dyDescent="0.2">
      <c r="A1185" s="11" t="s">
        <v>5363</v>
      </c>
      <c r="B1185" s="12" t="s">
        <v>5364</v>
      </c>
      <c r="C1185" s="13">
        <v>8</v>
      </c>
      <c r="D1185" s="118" t="s">
        <v>5347</v>
      </c>
      <c r="E1185" s="28" t="s">
        <v>5365</v>
      </c>
      <c r="F1185" s="12" t="s">
        <v>5377</v>
      </c>
      <c r="G1185" s="66" t="s">
        <v>13</v>
      </c>
    </row>
    <row r="1186" spans="1:9" hidden="1" x14ac:dyDescent="0.25">
      <c r="A1186" s="11" t="s">
        <v>5413</v>
      </c>
      <c r="B1186" s="12" t="s">
        <v>5414</v>
      </c>
      <c r="C1186" s="13">
        <v>8</v>
      </c>
      <c r="D1186" s="118" t="s">
        <v>5347</v>
      </c>
      <c r="E1186" s="28" t="s">
        <v>5415</v>
      </c>
      <c r="F1186" s="12" t="s">
        <v>5426</v>
      </c>
      <c r="G1186" s="15" t="s">
        <v>13</v>
      </c>
    </row>
    <row r="1187" spans="1:9" hidden="1" x14ac:dyDescent="0.2">
      <c r="A1187" s="11" t="s">
        <v>5329</v>
      </c>
      <c r="B1187" s="12" t="s">
        <v>5330</v>
      </c>
      <c r="C1187" s="13">
        <v>5</v>
      </c>
      <c r="D1187" s="135" t="s">
        <v>5338</v>
      </c>
      <c r="E1187" s="28" t="s">
        <v>5331</v>
      </c>
      <c r="F1187" s="75" t="s">
        <v>5339</v>
      </c>
      <c r="G1187" s="15" t="s">
        <v>13</v>
      </c>
    </row>
    <row r="1188" spans="1:9" hidden="1" x14ac:dyDescent="0.2">
      <c r="A1188" s="11" t="s">
        <v>5363</v>
      </c>
      <c r="B1188" s="12" t="s">
        <v>5364</v>
      </c>
      <c r="C1188" s="13">
        <v>5</v>
      </c>
      <c r="D1188" s="117" t="s">
        <v>5338</v>
      </c>
      <c r="E1188" s="28" t="s">
        <v>5365</v>
      </c>
      <c r="F1188" s="22" t="s">
        <v>5373</v>
      </c>
      <c r="G1188" s="66" t="s">
        <v>13</v>
      </c>
    </row>
    <row r="1189" spans="1:9" hidden="1" x14ac:dyDescent="0.2">
      <c r="A1189" s="11" t="s">
        <v>520</v>
      </c>
      <c r="B1189" s="12" t="s">
        <v>521</v>
      </c>
      <c r="C1189" s="13">
        <v>5</v>
      </c>
      <c r="D1189" s="118" t="s">
        <v>528</v>
      </c>
      <c r="E1189" s="105" t="s">
        <v>522</v>
      </c>
      <c r="F1189" s="12" t="s">
        <v>529</v>
      </c>
      <c r="G1189" s="15" t="s">
        <v>13</v>
      </c>
    </row>
    <row r="1190" spans="1:9" hidden="1" x14ac:dyDescent="0.2">
      <c r="A1190" s="11" t="s">
        <v>2631</v>
      </c>
      <c r="B1190" s="12" t="s">
        <v>2632</v>
      </c>
      <c r="C1190" s="13">
        <v>54</v>
      </c>
      <c r="D1190" s="27" t="s">
        <v>2735</v>
      </c>
      <c r="E1190" s="28" t="s">
        <v>2634</v>
      </c>
      <c r="F1190" s="65" t="s">
        <v>2736</v>
      </c>
      <c r="G1190" s="66" t="s">
        <v>13</v>
      </c>
    </row>
    <row r="1191" spans="1:9" ht="12.75" hidden="1" thickBot="1" x14ac:dyDescent="0.3">
      <c r="A1191" s="36" t="s">
        <v>1260</v>
      </c>
      <c r="B1191" s="30" t="s">
        <v>1261</v>
      </c>
      <c r="C1191" s="31">
        <v>15</v>
      </c>
      <c r="D1191" s="159" t="s">
        <v>1286</v>
      </c>
      <c r="E1191" s="32" t="s">
        <v>1262</v>
      </c>
      <c r="F1191" s="30" t="s">
        <v>1287</v>
      </c>
      <c r="G1191" s="33" t="s">
        <v>13</v>
      </c>
    </row>
    <row r="1192" spans="1:9" hidden="1" x14ac:dyDescent="0.25">
      <c r="A1192" s="35" t="s">
        <v>1294</v>
      </c>
      <c r="B1192" s="12" t="s">
        <v>1295</v>
      </c>
      <c r="C1192" s="13">
        <v>12</v>
      </c>
      <c r="D1192" s="118" t="s">
        <v>1286</v>
      </c>
      <c r="E1192" s="28" t="s">
        <v>1296</v>
      </c>
      <c r="F1192" s="12" t="s">
        <v>1311</v>
      </c>
      <c r="G1192" s="15" t="s">
        <v>13</v>
      </c>
    </row>
    <row r="1193" spans="1:9" hidden="1" x14ac:dyDescent="0.25">
      <c r="A1193" s="35" t="s">
        <v>5686</v>
      </c>
      <c r="B1193" s="12" t="s">
        <v>5687</v>
      </c>
      <c r="C1193" s="13">
        <f>C1190+1</f>
        <v>55</v>
      </c>
      <c r="D1193" s="118" t="s">
        <v>5775</v>
      </c>
      <c r="E1193" s="28" t="s">
        <v>5688</v>
      </c>
      <c r="F1193" s="12" t="s">
        <v>5776</v>
      </c>
      <c r="G1193" s="80" t="s">
        <v>13</v>
      </c>
      <c r="I1193" s="90">
        <v>12</v>
      </c>
    </row>
    <row r="1194" spans="1:9" hidden="1" x14ac:dyDescent="0.2">
      <c r="A1194" s="35" t="s">
        <v>3165</v>
      </c>
      <c r="B1194" s="12" t="s">
        <v>3166</v>
      </c>
      <c r="C1194" s="13">
        <v>29</v>
      </c>
      <c r="D1194" s="118" t="s">
        <v>3202</v>
      </c>
      <c r="E1194" s="28" t="s">
        <v>3167</v>
      </c>
      <c r="F1194" s="65" t="s">
        <v>3203</v>
      </c>
      <c r="G1194" s="66" t="s">
        <v>13</v>
      </c>
    </row>
    <row r="1195" spans="1:9" hidden="1" x14ac:dyDescent="0.2">
      <c r="A1195" s="35" t="s">
        <v>3458</v>
      </c>
      <c r="B1195" s="12" t="s">
        <v>3459</v>
      </c>
      <c r="C1195" s="13">
        <f>C1194+1</f>
        <v>30</v>
      </c>
      <c r="D1195" s="118" t="s">
        <v>3571</v>
      </c>
      <c r="E1195" s="138" t="s">
        <v>3460</v>
      </c>
      <c r="F1195" s="65" t="s">
        <v>3572</v>
      </c>
      <c r="G1195" s="66" t="s">
        <v>13</v>
      </c>
      <c r="I1195" s="90" t="s">
        <v>2426</v>
      </c>
    </row>
    <row r="1196" spans="1:9" hidden="1" x14ac:dyDescent="0.2">
      <c r="A1196" s="35" t="s">
        <v>3633</v>
      </c>
      <c r="B1196" s="12" t="s">
        <v>3634</v>
      </c>
      <c r="C1196" s="13">
        <v>55</v>
      </c>
      <c r="D1196" s="118" t="s">
        <v>3571</v>
      </c>
      <c r="E1196" s="138" t="s">
        <v>3635</v>
      </c>
      <c r="F1196" s="65" t="s">
        <v>3707</v>
      </c>
      <c r="G1196" s="66" t="s">
        <v>13</v>
      </c>
      <c r="I1196" s="90" t="s">
        <v>2426</v>
      </c>
    </row>
    <row r="1197" spans="1:9" hidden="1" x14ac:dyDescent="0.2">
      <c r="A1197" s="35" t="s">
        <v>4087</v>
      </c>
      <c r="B1197" s="12" t="s">
        <v>4088</v>
      </c>
      <c r="C1197" s="13">
        <f>C1196+1</f>
        <v>56</v>
      </c>
      <c r="D1197" s="118" t="s">
        <v>3571</v>
      </c>
      <c r="E1197" s="28" t="s">
        <v>4089</v>
      </c>
      <c r="F1197" s="12" t="s">
        <v>4141</v>
      </c>
      <c r="G1197" s="66" t="s">
        <v>13</v>
      </c>
      <c r="I1197" s="90" t="s">
        <v>2426</v>
      </c>
    </row>
    <row r="1198" spans="1:9" hidden="1" x14ac:dyDescent="0.2">
      <c r="A1198" s="35" t="s">
        <v>4212</v>
      </c>
      <c r="B1198" s="12" t="s">
        <v>4213</v>
      </c>
      <c r="C1198" s="13">
        <f>C1197+1</f>
        <v>57</v>
      </c>
      <c r="D1198" s="118" t="s">
        <v>3571</v>
      </c>
      <c r="E1198" s="28" t="s">
        <v>4214</v>
      </c>
      <c r="F1198" s="12" t="s">
        <v>4265</v>
      </c>
      <c r="G1198" s="66" t="s">
        <v>13</v>
      </c>
      <c r="I1198" s="90" t="s">
        <v>2426</v>
      </c>
    </row>
    <row r="1199" spans="1:9" hidden="1" x14ac:dyDescent="0.25">
      <c r="A1199" s="35" t="s">
        <v>5886</v>
      </c>
      <c r="B1199" s="12" t="s">
        <v>5887</v>
      </c>
      <c r="C1199" s="13">
        <v>14</v>
      </c>
      <c r="D1199" s="118" t="s">
        <v>5905</v>
      </c>
      <c r="E1199" s="28" t="s">
        <v>5888</v>
      </c>
      <c r="F1199" s="12" t="s">
        <v>5906</v>
      </c>
      <c r="G1199" s="15" t="s">
        <v>13</v>
      </c>
      <c r="I1199" s="99">
        <v>13</v>
      </c>
    </row>
    <row r="1200" spans="1:9" hidden="1" x14ac:dyDescent="0.2">
      <c r="A1200" s="35" t="s">
        <v>2566</v>
      </c>
      <c r="B1200" s="12" t="s">
        <v>2567</v>
      </c>
      <c r="C1200" s="13">
        <v>8</v>
      </c>
      <c r="D1200" s="27" t="s">
        <v>2576</v>
      </c>
      <c r="E1200" s="28" t="s">
        <v>2568</v>
      </c>
      <c r="F1200" s="65" t="s">
        <v>2577</v>
      </c>
      <c r="G1200" s="66" t="s">
        <v>13</v>
      </c>
    </row>
    <row r="1201" spans="1:9" hidden="1" x14ac:dyDescent="0.2">
      <c r="A1201" s="35" t="s">
        <v>3839</v>
      </c>
      <c r="B1201" s="12" t="s">
        <v>3840</v>
      </c>
      <c r="C1201" s="13">
        <v>13</v>
      </c>
      <c r="D1201" s="118" t="s">
        <v>3855</v>
      </c>
      <c r="E1201" s="28" t="s">
        <v>3841</v>
      </c>
      <c r="F1201" s="65" t="s">
        <v>3856</v>
      </c>
      <c r="G1201" s="66" t="s">
        <v>13</v>
      </c>
    </row>
    <row r="1202" spans="1:9" ht="12.75" hidden="1" thickBot="1" x14ac:dyDescent="0.25">
      <c r="A1202" s="47" t="s">
        <v>3858</v>
      </c>
      <c r="B1202" s="30" t="s">
        <v>3859</v>
      </c>
      <c r="C1202" s="31">
        <v>18</v>
      </c>
      <c r="D1202" s="159" t="s">
        <v>3855</v>
      </c>
      <c r="E1202" s="32" t="s">
        <v>3860</v>
      </c>
      <c r="F1202" s="67" t="s">
        <v>3878</v>
      </c>
      <c r="G1202" s="68" t="s">
        <v>13</v>
      </c>
    </row>
    <row r="1203" spans="1:9" hidden="1" x14ac:dyDescent="0.2">
      <c r="A1203" s="35" t="s">
        <v>3914</v>
      </c>
      <c r="B1203" s="12" t="s">
        <v>3915</v>
      </c>
      <c r="C1203" s="13">
        <v>19</v>
      </c>
      <c r="D1203" s="118" t="s">
        <v>3855</v>
      </c>
      <c r="E1203" s="28" t="s">
        <v>3916</v>
      </c>
      <c r="F1203" s="12" t="s">
        <v>3935</v>
      </c>
      <c r="G1203" s="66" t="s">
        <v>13</v>
      </c>
    </row>
    <row r="1204" spans="1:9" hidden="1" x14ac:dyDescent="0.2">
      <c r="A1204" s="35" t="s">
        <v>470</v>
      </c>
      <c r="B1204" s="12" t="s">
        <v>471</v>
      </c>
      <c r="C1204" s="13">
        <v>6</v>
      </c>
      <c r="D1204" s="27" t="s">
        <v>481</v>
      </c>
      <c r="E1204" s="28" t="s">
        <v>472</v>
      </c>
      <c r="F1204" s="12" t="s">
        <v>482</v>
      </c>
      <c r="G1204" s="15" t="s">
        <v>483</v>
      </c>
      <c r="I1204" s="99">
        <v>13</v>
      </c>
    </row>
    <row r="1205" spans="1:9" hidden="1" x14ac:dyDescent="0.2">
      <c r="A1205" s="35" t="s">
        <v>470</v>
      </c>
      <c r="B1205" s="12" t="s">
        <v>471</v>
      </c>
      <c r="C1205" s="13">
        <v>4</v>
      </c>
      <c r="D1205" s="27" t="s">
        <v>477</v>
      </c>
      <c r="E1205" s="28" t="s">
        <v>472</v>
      </c>
      <c r="F1205" s="12" t="s">
        <v>478</v>
      </c>
      <c r="G1205" s="15" t="s">
        <v>13</v>
      </c>
    </row>
    <row r="1206" spans="1:9" hidden="1" x14ac:dyDescent="0.25">
      <c r="A1206" s="35" t="s">
        <v>641</v>
      </c>
      <c r="B1206" s="12" t="s">
        <v>642</v>
      </c>
      <c r="C1206" s="13">
        <v>6</v>
      </c>
      <c r="D1206" s="118" t="s">
        <v>651</v>
      </c>
      <c r="E1206" s="28" t="s">
        <v>643</v>
      </c>
      <c r="F1206" s="12" t="s">
        <v>652</v>
      </c>
      <c r="G1206" s="15" t="s">
        <v>483</v>
      </c>
      <c r="I1206" s="99">
        <v>13</v>
      </c>
    </row>
    <row r="1207" spans="1:9" hidden="1" x14ac:dyDescent="0.25">
      <c r="A1207" s="35" t="s">
        <v>641</v>
      </c>
      <c r="B1207" s="12" t="s">
        <v>642</v>
      </c>
      <c r="C1207" s="13">
        <v>7</v>
      </c>
      <c r="D1207" s="118" t="s">
        <v>653</v>
      </c>
      <c r="E1207" s="28" t="s">
        <v>643</v>
      </c>
      <c r="F1207" s="12" t="s">
        <v>654</v>
      </c>
      <c r="G1207" s="15" t="s">
        <v>483</v>
      </c>
      <c r="I1207" s="99">
        <v>13</v>
      </c>
    </row>
    <row r="1208" spans="1:9" hidden="1" x14ac:dyDescent="0.2">
      <c r="A1208" s="35" t="s">
        <v>93</v>
      </c>
      <c r="B1208" s="12" t="s">
        <v>94</v>
      </c>
      <c r="C1208" s="13">
        <v>33</v>
      </c>
      <c r="D1208" s="27" t="s">
        <v>163</v>
      </c>
      <c r="E1208" s="28" t="s">
        <v>96</v>
      </c>
      <c r="F1208" s="12" t="s">
        <v>164</v>
      </c>
      <c r="G1208" s="15" t="s">
        <v>13</v>
      </c>
    </row>
    <row r="1209" spans="1:9" hidden="1" x14ac:dyDescent="0.25">
      <c r="A1209" s="35" t="s">
        <v>1656</v>
      </c>
      <c r="B1209" s="12" t="s">
        <v>1657</v>
      </c>
      <c r="C1209" s="13">
        <v>20</v>
      </c>
      <c r="D1209" s="118" t="s">
        <v>1698</v>
      </c>
      <c r="E1209" s="28" t="s">
        <v>1658</v>
      </c>
      <c r="F1209" s="12" t="s">
        <v>1699</v>
      </c>
      <c r="G1209" s="15" t="s">
        <v>1669</v>
      </c>
      <c r="I1209" s="94">
        <v>14</v>
      </c>
    </row>
    <row r="1210" spans="1:9" ht="12.75" hidden="1" thickBot="1" x14ac:dyDescent="0.3">
      <c r="A1210" s="47" t="s">
        <v>1656</v>
      </c>
      <c r="B1210" s="30" t="s">
        <v>1657</v>
      </c>
      <c r="C1210" s="31">
        <v>5</v>
      </c>
      <c r="D1210" s="159" t="s">
        <v>1667</v>
      </c>
      <c r="E1210" s="32" t="s">
        <v>1658</v>
      </c>
      <c r="F1210" s="30" t="s">
        <v>1668</v>
      </c>
      <c r="G1210" s="33" t="s">
        <v>1669</v>
      </c>
      <c r="I1210" s="94">
        <v>14</v>
      </c>
    </row>
    <row r="1211" spans="1:9" hidden="1" x14ac:dyDescent="0.25">
      <c r="A1211" s="35" t="s">
        <v>1656</v>
      </c>
      <c r="B1211" s="12" t="s">
        <v>1657</v>
      </c>
      <c r="C1211" s="13">
        <v>17</v>
      </c>
      <c r="D1211" s="118" t="s">
        <v>1692</v>
      </c>
      <c r="E1211" s="28" t="s">
        <v>1658</v>
      </c>
      <c r="F1211" s="12" t="s">
        <v>1693</v>
      </c>
      <c r="G1211" s="15" t="s">
        <v>1669</v>
      </c>
      <c r="I1211" s="94">
        <v>14</v>
      </c>
    </row>
    <row r="1212" spans="1:9" hidden="1" x14ac:dyDescent="0.25">
      <c r="A1212" s="35" t="s">
        <v>1656</v>
      </c>
      <c r="B1212" s="12" t="s">
        <v>1657</v>
      </c>
      <c r="C1212" s="13">
        <v>14</v>
      </c>
      <c r="D1212" s="118" t="s">
        <v>1686</v>
      </c>
      <c r="E1212" s="28" t="s">
        <v>1658</v>
      </c>
      <c r="F1212" s="12" t="s">
        <v>1687</v>
      </c>
      <c r="G1212" s="15" t="s">
        <v>1669</v>
      </c>
      <c r="I1212" s="94">
        <v>14</v>
      </c>
    </row>
    <row r="1213" spans="1:9" hidden="1" x14ac:dyDescent="0.25">
      <c r="A1213" s="35" t="s">
        <v>1656</v>
      </c>
      <c r="B1213" s="12" t="s">
        <v>1657</v>
      </c>
      <c r="C1213" s="13">
        <v>11</v>
      </c>
      <c r="D1213" s="118" t="s">
        <v>1680</v>
      </c>
      <c r="E1213" s="28" t="s">
        <v>1658</v>
      </c>
      <c r="F1213" s="12" t="s">
        <v>1681</v>
      </c>
      <c r="G1213" s="15" t="s">
        <v>1669</v>
      </c>
      <c r="I1213" s="94">
        <v>14</v>
      </c>
    </row>
    <row r="1214" spans="1:9" hidden="1" x14ac:dyDescent="0.25">
      <c r="A1214" s="35" t="s">
        <v>1656</v>
      </c>
      <c r="B1214" s="12" t="s">
        <v>1657</v>
      </c>
      <c r="C1214" s="13">
        <v>8</v>
      </c>
      <c r="D1214" s="118" t="s">
        <v>1674</v>
      </c>
      <c r="E1214" s="28" t="s">
        <v>1658</v>
      </c>
      <c r="F1214" s="12" t="s">
        <v>1675</v>
      </c>
      <c r="G1214" s="15" t="s">
        <v>1669</v>
      </c>
      <c r="I1214" s="94">
        <v>14</v>
      </c>
    </row>
    <row r="1215" spans="1:9" hidden="1" x14ac:dyDescent="0.25">
      <c r="A1215" s="35" t="s">
        <v>1656</v>
      </c>
      <c r="B1215" s="12" t="s">
        <v>1657</v>
      </c>
      <c r="C1215" s="13">
        <v>54</v>
      </c>
      <c r="D1215" s="118" t="s">
        <v>1766</v>
      </c>
      <c r="E1215" s="28" t="s">
        <v>1658</v>
      </c>
      <c r="F1215" s="12" t="s">
        <v>1767</v>
      </c>
      <c r="G1215" s="15" t="s">
        <v>1626</v>
      </c>
      <c r="I1215" s="9">
        <v>15</v>
      </c>
    </row>
    <row r="1216" spans="1:9" hidden="1" x14ac:dyDescent="0.25">
      <c r="A1216" s="35" t="s">
        <v>1656</v>
      </c>
      <c r="B1216" s="12" t="s">
        <v>1657</v>
      </c>
      <c r="C1216" s="13">
        <v>53</v>
      </c>
      <c r="D1216" s="118" t="s">
        <v>1764</v>
      </c>
      <c r="E1216" s="28" t="s">
        <v>1658</v>
      </c>
      <c r="F1216" s="12" t="s">
        <v>1765</v>
      </c>
      <c r="G1216" s="15" t="s">
        <v>1012</v>
      </c>
      <c r="I1216" s="9">
        <v>15</v>
      </c>
    </row>
    <row r="1217" spans="1:10" hidden="1" x14ac:dyDescent="0.25">
      <c r="A1217" s="35" t="s">
        <v>1656</v>
      </c>
      <c r="B1217" s="12" t="s">
        <v>1657</v>
      </c>
      <c r="C1217" s="13">
        <v>51</v>
      </c>
      <c r="D1217" s="118" t="s">
        <v>1760</v>
      </c>
      <c r="E1217" s="28" t="s">
        <v>1658</v>
      </c>
      <c r="F1217" s="12" t="s">
        <v>1761</v>
      </c>
      <c r="G1217" s="15" t="s">
        <v>1012</v>
      </c>
      <c r="I1217" s="9">
        <v>15</v>
      </c>
    </row>
    <row r="1218" spans="1:10" hidden="1" x14ac:dyDescent="0.25">
      <c r="A1218" s="35" t="s">
        <v>1656</v>
      </c>
      <c r="B1218" s="12" t="s">
        <v>1657</v>
      </c>
      <c r="C1218" s="13">
        <v>52</v>
      </c>
      <c r="D1218" s="118" t="s">
        <v>1762</v>
      </c>
      <c r="E1218" s="28" t="s">
        <v>1658</v>
      </c>
      <c r="F1218" s="12" t="s">
        <v>1763</v>
      </c>
      <c r="G1218" s="15" t="s">
        <v>1626</v>
      </c>
      <c r="I1218" s="9">
        <v>15</v>
      </c>
    </row>
    <row r="1219" spans="1:10" ht="12.75" hidden="1" thickBot="1" x14ac:dyDescent="0.3">
      <c r="A1219" s="47" t="s">
        <v>1093</v>
      </c>
      <c r="B1219" s="30" t="s">
        <v>1094</v>
      </c>
      <c r="C1219" s="31">
        <v>14</v>
      </c>
      <c r="D1219" s="159" t="s">
        <v>1120</v>
      </c>
      <c r="E1219" s="32" t="s">
        <v>1095</v>
      </c>
      <c r="F1219" s="30" t="s">
        <v>1121</v>
      </c>
      <c r="G1219" s="33" t="s">
        <v>316</v>
      </c>
      <c r="I1219" s="9">
        <v>15</v>
      </c>
    </row>
    <row r="1220" spans="1:10" hidden="1" x14ac:dyDescent="0.25">
      <c r="A1220" s="56" t="s">
        <v>1818</v>
      </c>
      <c r="B1220" s="61" t="s">
        <v>1819</v>
      </c>
      <c r="C1220" s="58">
        <v>11</v>
      </c>
      <c r="D1220" s="204" t="s">
        <v>1839</v>
      </c>
      <c r="E1220" s="89" t="s">
        <v>1820</v>
      </c>
      <c r="F1220" s="61" t="s">
        <v>1840</v>
      </c>
      <c r="G1220" s="62" t="s">
        <v>13</v>
      </c>
      <c r="I1220" s="9">
        <v>15</v>
      </c>
    </row>
    <row r="1221" spans="1:10" hidden="1" x14ac:dyDescent="0.25">
      <c r="A1221" s="11" t="s">
        <v>5686</v>
      </c>
      <c r="B1221" s="12" t="s">
        <v>5687</v>
      </c>
      <c r="C1221" s="13">
        <v>89</v>
      </c>
      <c r="D1221" s="118" t="s">
        <v>5855</v>
      </c>
      <c r="E1221" s="28" t="s">
        <v>5688</v>
      </c>
      <c r="F1221" s="12" t="s">
        <v>5856</v>
      </c>
      <c r="G1221" s="15" t="s">
        <v>5857</v>
      </c>
      <c r="I1221" s="79">
        <v>15</v>
      </c>
    </row>
    <row r="1222" spans="1:10" hidden="1" x14ac:dyDescent="0.25">
      <c r="A1222" s="11" t="s">
        <v>1568</v>
      </c>
      <c r="B1222" s="12" t="s">
        <v>1569</v>
      </c>
      <c r="C1222" s="13">
        <v>30</v>
      </c>
      <c r="D1222" s="118" t="s">
        <v>1631</v>
      </c>
      <c r="E1222" s="28" t="s">
        <v>1570</v>
      </c>
      <c r="F1222" s="12" t="s">
        <v>1632</v>
      </c>
      <c r="G1222" s="15" t="s">
        <v>1633</v>
      </c>
      <c r="I1222" s="94">
        <v>14</v>
      </c>
    </row>
    <row r="1223" spans="1:10" hidden="1" x14ac:dyDescent="0.2">
      <c r="A1223" s="11" t="s">
        <v>484</v>
      </c>
      <c r="B1223" s="12" t="s">
        <v>485</v>
      </c>
      <c r="C1223" s="13">
        <v>9</v>
      </c>
      <c r="D1223" s="27" t="s">
        <v>500</v>
      </c>
      <c r="E1223" s="28" t="s">
        <v>486</v>
      </c>
      <c r="F1223" s="12" t="s">
        <v>501</v>
      </c>
      <c r="G1223" s="15" t="s">
        <v>13</v>
      </c>
    </row>
    <row r="1224" spans="1:10" hidden="1" x14ac:dyDescent="0.25">
      <c r="A1224" s="11" t="s">
        <v>1505</v>
      </c>
      <c r="B1224" s="12" t="s">
        <v>1506</v>
      </c>
      <c r="C1224" s="13">
        <v>9</v>
      </c>
      <c r="D1224" s="118" t="s">
        <v>500</v>
      </c>
      <c r="E1224" s="28" t="s">
        <v>1507</v>
      </c>
      <c r="F1224" s="12" t="s">
        <v>1516</v>
      </c>
      <c r="G1224" s="15" t="s">
        <v>13</v>
      </c>
    </row>
    <row r="1225" spans="1:10" hidden="1" x14ac:dyDescent="0.25">
      <c r="A1225" s="11" t="s">
        <v>1519</v>
      </c>
      <c r="B1225" s="12" t="s">
        <v>1520</v>
      </c>
      <c r="C1225" s="13">
        <v>9</v>
      </c>
      <c r="D1225" s="118" t="s">
        <v>500</v>
      </c>
      <c r="E1225" s="28" t="s">
        <v>1521</v>
      </c>
      <c r="F1225" s="12" t="s">
        <v>1531</v>
      </c>
      <c r="G1225" s="15" t="s">
        <v>13</v>
      </c>
    </row>
    <row r="1226" spans="1:10" ht="12.75" hidden="1" thickBot="1" x14ac:dyDescent="0.3">
      <c r="A1226" s="36" t="s">
        <v>2114</v>
      </c>
      <c r="B1226" s="30" t="s">
        <v>2115</v>
      </c>
      <c r="C1226" s="31">
        <v>10</v>
      </c>
      <c r="D1226" s="136" t="s">
        <v>500</v>
      </c>
      <c r="E1226" s="32" t="s">
        <v>2116</v>
      </c>
      <c r="F1226" s="30" t="s">
        <v>2127</v>
      </c>
      <c r="G1226" s="33" t="s">
        <v>13</v>
      </c>
    </row>
    <row r="1227" spans="1:10" hidden="1" x14ac:dyDescent="0.2">
      <c r="A1227" s="56" t="s">
        <v>2631</v>
      </c>
      <c r="B1227" s="61" t="s">
        <v>2632</v>
      </c>
      <c r="C1227" s="58">
        <v>57</v>
      </c>
      <c r="D1227" s="73" t="s">
        <v>2741</v>
      </c>
      <c r="E1227" s="89" t="s">
        <v>2634</v>
      </c>
      <c r="F1227" s="74" t="s">
        <v>2742</v>
      </c>
      <c r="G1227" s="129" t="s">
        <v>13</v>
      </c>
    </row>
    <row r="1228" spans="1:10" ht="15" hidden="1" x14ac:dyDescent="0.25">
      <c r="A1228" s="11" t="s">
        <v>2237</v>
      </c>
      <c r="B1228" s="8" t="s">
        <v>2238</v>
      </c>
      <c r="C1228" s="13">
        <v>15</v>
      </c>
      <c r="D1228" s="118" t="s">
        <v>2265</v>
      </c>
      <c r="E1228" s="28" t="s">
        <v>2239</v>
      </c>
      <c r="F1228" s="12" t="s">
        <v>2266</v>
      </c>
      <c r="G1228" s="15" t="s">
        <v>285</v>
      </c>
      <c r="I1228" s="54">
        <v>15</v>
      </c>
      <c r="J1228" s="52"/>
    </row>
    <row r="1229" spans="1:10" hidden="1" x14ac:dyDescent="0.2">
      <c r="A1229" s="11" t="s">
        <v>4680</v>
      </c>
      <c r="B1229" s="12" t="s">
        <v>4681</v>
      </c>
      <c r="C1229" s="13">
        <v>3</v>
      </c>
      <c r="D1229" s="135" t="s">
        <v>4685</v>
      </c>
      <c r="E1229" s="138" t="s">
        <v>4682</v>
      </c>
      <c r="F1229" s="75" t="s">
        <v>4686</v>
      </c>
      <c r="G1229" s="66" t="s">
        <v>13</v>
      </c>
    </row>
    <row r="1230" spans="1:10" hidden="1" x14ac:dyDescent="0.2">
      <c r="A1230" s="11" t="s">
        <v>6880</v>
      </c>
      <c r="B1230" s="12" t="s">
        <v>6881</v>
      </c>
      <c r="C1230" s="13">
        <v>15</v>
      </c>
      <c r="D1230" s="27" t="s">
        <v>6905</v>
      </c>
      <c r="E1230" s="28" t="s">
        <v>6882</v>
      </c>
      <c r="F1230" s="12" t="s">
        <v>6906</v>
      </c>
      <c r="G1230" s="15" t="s">
        <v>19</v>
      </c>
    </row>
    <row r="1231" spans="1:10" hidden="1" x14ac:dyDescent="0.2">
      <c r="A1231" s="11" t="s">
        <v>6880</v>
      </c>
      <c r="B1231" s="12" t="s">
        <v>6881</v>
      </c>
      <c r="C1231" s="13">
        <v>16</v>
      </c>
      <c r="D1231" s="27" t="s">
        <v>6907</v>
      </c>
      <c r="E1231" s="28" t="s">
        <v>6882</v>
      </c>
      <c r="F1231" s="12" t="s">
        <v>6908</v>
      </c>
      <c r="G1231" s="15" t="s">
        <v>19</v>
      </c>
    </row>
    <row r="1232" spans="1:10" hidden="1" x14ac:dyDescent="0.25">
      <c r="A1232" s="11" t="s">
        <v>6688</v>
      </c>
      <c r="B1232" s="12" t="s">
        <v>6689</v>
      </c>
      <c r="C1232" s="13">
        <f>C1231+1</f>
        <v>17</v>
      </c>
      <c r="D1232" s="118" t="s">
        <v>6752</v>
      </c>
      <c r="E1232" s="28" t="s">
        <v>6690</v>
      </c>
      <c r="F1232" s="12" t="s">
        <v>6753</v>
      </c>
      <c r="G1232" s="15" t="s">
        <v>13</v>
      </c>
      <c r="I1232" s="90">
        <v>12</v>
      </c>
    </row>
    <row r="1233" spans="1:10" hidden="1" x14ac:dyDescent="0.2">
      <c r="A1233" s="56" t="s">
        <v>7002</v>
      </c>
      <c r="B1233" s="61" t="s">
        <v>7003</v>
      </c>
      <c r="C1233" s="58">
        <v>14</v>
      </c>
      <c r="D1233" s="73" t="s">
        <v>7024</v>
      </c>
      <c r="E1233" s="61" t="s">
        <v>7004</v>
      </c>
      <c r="F1233" s="61" t="s">
        <v>7025</v>
      </c>
      <c r="G1233" s="62" t="s">
        <v>13</v>
      </c>
    </row>
    <row r="1234" spans="1:10" hidden="1" x14ac:dyDescent="0.25">
      <c r="A1234" s="11" t="s">
        <v>5559</v>
      </c>
      <c r="B1234" s="12" t="s">
        <v>5560</v>
      </c>
      <c r="C1234" s="13">
        <v>7</v>
      </c>
      <c r="D1234" s="118" t="s">
        <v>5573</v>
      </c>
      <c r="E1234" s="12" t="s">
        <v>5561</v>
      </c>
      <c r="F1234" s="12" t="s">
        <v>5574</v>
      </c>
      <c r="G1234" s="80" t="s">
        <v>13</v>
      </c>
    </row>
    <row r="1235" spans="1:10" hidden="1" x14ac:dyDescent="0.2">
      <c r="A1235" s="11" t="s">
        <v>2631</v>
      </c>
      <c r="B1235" s="12" t="s">
        <v>2632</v>
      </c>
      <c r="C1235" s="13">
        <v>64</v>
      </c>
      <c r="D1235" s="27" t="s">
        <v>2755</v>
      </c>
      <c r="E1235" s="12" t="s">
        <v>2634</v>
      </c>
      <c r="F1235" s="65" t="s">
        <v>2756</v>
      </c>
      <c r="G1235" s="66" t="s">
        <v>2757</v>
      </c>
    </row>
    <row r="1236" spans="1:10" hidden="1" x14ac:dyDescent="0.2">
      <c r="A1236" s="11" t="s">
        <v>1206</v>
      </c>
      <c r="B1236" s="12" t="s">
        <v>1207</v>
      </c>
      <c r="C1236" s="13">
        <v>10</v>
      </c>
      <c r="D1236" s="27" t="s">
        <v>1227</v>
      </c>
      <c r="E1236" s="12" t="s">
        <v>1208</v>
      </c>
      <c r="F1236" s="12" t="s">
        <v>1228</v>
      </c>
      <c r="G1236" s="15" t="s">
        <v>13</v>
      </c>
      <c r="I1236" s="99">
        <v>13</v>
      </c>
    </row>
    <row r="1237" spans="1:10" hidden="1" x14ac:dyDescent="0.2">
      <c r="A1237" s="11" t="s">
        <v>791</v>
      </c>
      <c r="B1237" s="12" t="s">
        <v>792</v>
      </c>
      <c r="C1237" s="13">
        <v>18</v>
      </c>
      <c r="D1237" s="27" t="s">
        <v>825</v>
      </c>
      <c r="E1237" s="12" t="s">
        <v>793</v>
      </c>
      <c r="F1237" s="12" t="s">
        <v>826</v>
      </c>
      <c r="G1237" s="15" t="s">
        <v>676</v>
      </c>
      <c r="I1237" s="9">
        <v>15</v>
      </c>
    </row>
    <row r="1238" spans="1:10" hidden="1" x14ac:dyDescent="0.2">
      <c r="A1238" s="11" t="s">
        <v>6979</v>
      </c>
      <c r="B1238" s="12" t="s">
        <v>6980</v>
      </c>
      <c r="C1238" s="13">
        <v>3</v>
      </c>
      <c r="D1238" s="115" t="s">
        <v>6984</v>
      </c>
      <c r="E1238" s="12" t="s">
        <v>6981</v>
      </c>
      <c r="F1238" s="22" t="s">
        <v>6985</v>
      </c>
      <c r="G1238" s="15" t="s">
        <v>13</v>
      </c>
    </row>
    <row r="1239" spans="1:10" ht="12.75" hidden="1" thickBot="1" x14ac:dyDescent="0.25">
      <c r="A1239" s="36" t="s">
        <v>6992</v>
      </c>
      <c r="B1239" s="30" t="s">
        <v>6993</v>
      </c>
      <c r="C1239" s="31">
        <v>3</v>
      </c>
      <c r="D1239" s="227" t="s">
        <v>6984</v>
      </c>
      <c r="E1239" s="30" t="s">
        <v>6994</v>
      </c>
      <c r="F1239" s="4" t="s">
        <v>6997</v>
      </c>
      <c r="G1239" s="33" t="s">
        <v>13</v>
      </c>
    </row>
    <row r="1240" spans="1:10" hidden="1" x14ac:dyDescent="0.2">
      <c r="A1240" s="11" t="s">
        <v>5453</v>
      </c>
      <c r="B1240" s="12" t="s">
        <v>5454</v>
      </c>
      <c r="C1240" s="13">
        <v>4</v>
      </c>
      <c r="D1240" s="212" t="s">
        <v>5462</v>
      </c>
      <c r="E1240" s="12" t="s">
        <v>5456</v>
      </c>
      <c r="F1240" s="65" t="s">
        <v>5463</v>
      </c>
      <c r="G1240" s="15" t="s">
        <v>3022</v>
      </c>
    </row>
    <row r="1241" spans="1:10" hidden="1" x14ac:dyDescent="0.2">
      <c r="A1241" s="11" t="s">
        <v>3034</v>
      </c>
      <c r="B1241" s="12" t="s">
        <v>3035</v>
      </c>
      <c r="C1241" s="13">
        <f>+C1240+1</f>
        <v>5</v>
      </c>
      <c r="D1241" s="27" t="s">
        <v>3087</v>
      </c>
      <c r="E1241" s="12" t="s">
        <v>3036</v>
      </c>
      <c r="F1241" s="65" t="s">
        <v>3088</v>
      </c>
      <c r="G1241" s="66" t="s">
        <v>32</v>
      </c>
    </row>
    <row r="1242" spans="1:10" hidden="1" x14ac:dyDescent="0.2">
      <c r="A1242" s="11" t="s">
        <v>93</v>
      </c>
      <c r="B1242" s="12" t="s">
        <v>94</v>
      </c>
      <c r="C1242" s="13">
        <v>26</v>
      </c>
      <c r="D1242" s="27" t="s">
        <v>144</v>
      </c>
      <c r="E1242" s="12" t="s">
        <v>96</v>
      </c>
      <c r="F1242" s="12" t="s">
        <v>145</v>
      </c>
      <c r="G1242" s="15" t="s">
        <v>103</v>
      </c>
    </row>
    <row r="1243" spans="1:10" hidden="1" x14ac:dyDescent="0.25">
      <c r="A1243" s="11" t="s">
        <v>6050</v>
      </c>
      <c r="B1243" s="12" t="s">
        <v>6051</v>
      </c>
      <c r="C1243" s="13">
        <v>17</v>
      </c>
      <c r="D1243" s="118" t="s">
        <v>6081</v>
      </c>
      <c r="E1243" s="12" t="s">
        <v>6052</v>
      </c>
      <c r="F1243" s="12" t="s">
        <v>6082</v>
      </c>
      <c r="G1243" s="15" t="s">
        <v>6083</v>
      </c>
      <c r="I1243" s="101" t="s">
        <v>5818</v>
      </c>
    </row>
    <row r="1244" spans="1:10" hidden="1" x14ac:dyDescent="0.25">
      <c r="A1244" s="11" t="s">
        <v>6442</v>
      </c>
      <c r="B1244" s="12" t="s">
        <v>6443</v>
      </c>
      <c r="C1244" s="13">
        <v>17</v>
      </c>
      <c r="D1244" s="118" t="s">
        <v>6081</v>
      </c>
      <c r="E1244" s="12" t="s">
        <v>6444</v>
      </c>
      <c r="F1244" s="12" t="s">
        <v>6461</v>
      </c>
      <c r="G1244" s="15" t="s">
        <v>6083</v>
      </c>
      <c r="I1244" s="9">
        <v>15</v>
      </c>
    </row>
    <row r="1245" spans="1:10" hidden="1" x14ac:dyDescent="0.25">
      <c r="A1245" s="46" t="s">
        <v>5686</v>
      </c>
      <c r="B1245" s="12" t="s">
        <v>5687</v>
      </c>
      <c r="C1245" s="13">
        <f>C1244+1</f>
        <v>18</v>
      </c>
      <c r="D1245" s="118" t="s">
        <v>5836</v>
      </c>
      <c r="E1245" s="12" t="s">
        <v>5688</v>
      </c>
      <c r="F1245" s="12" t="s">
        <v>5837</v>
      </c>
      <c r="G1245" s="15" t="s">
        <v>16</v>
      </c>
      <c r="I1245" s="101" t="s">
        <v>5818</v>
      </c>
    </row>
    <row r="1246" spans="1:10" ht="12.75" hidden="1" thickBot="1" x14ac:dyDescent="0.25">
      <c r="A1246" s="36" t="s">
        <v>1960</v>
      </c>
      <c r="B1246" s="30" t="s">
        <v>1961</v>
      </c>
      <c r="C1246" s="31">
        <v>32</v>
      </c>
      <c r="D1246" s="48" t="s">
        <v>2020</v>
      </c>
      <c r="E1246" s="30" t="s">
        <v>1962</v>
      </c>
      <c r="F1246" s="30" t="s">
        <v>2021</v>
      </c>
      <c r="G1246" s="33" t="s">
        <v>13</v>
      </c>
    </row>
    <row r="1247" spans="1:10" ht="15" hidden="1" x14ac:dyDescent="0.25">
      <c r="A1247" s="11" t="s">
        <v>1922</v>
      </c>
      <c r="B1247" s="12" t="s">
        <v>1923</v>
      </c>
      <c r="C1247" s="13">
        <v>19</v>
      </c>
      <c r="D1247" s="208" t="s">
        <v>1958</v>
      </c>
      <c r="E1247" s="12" t="s">
        <v>1924</v>
      </c>
      <c r="F1247" s="12" t="s">
        <v>1959</v>
      </c>
      <c r="G1247" s="15" t="s">
        <v>19</v>
      </c>
      <c r="I1247" s="9">
        <v>15</v>
      </c>
      <c r="J1247" s="52"/>
    </row>
    <row r="1248" spans="1:10" hidden="1" x14ac:dyDescent="0.25">
      <c r="A1248" s="11" t="s">
        <v>5559</v>
      </c>
      <c r="B1248" s="12" t="s">
        <v>5560</v>
      </c>
      <c r="C1248" s="13">
        <v>18</v>
      </c>
      <c r="D1248" s="118" t="s">
        <v>5590</v>
      </c>
      <c r="E1248" s="12" t="s">
        <v>5561</v>
      </c>
      <c r="F1248" s="12" t="s">
        <v>5591</v>
      </c>
      <c r="G1248" s="15" t="s">
        <v>191</v>
      </c>
    </row>
    <row r="1249" spans="1:27" hidden="1" x14ac:dyDescent="0.25">
      <c r="A1249" s="120" t="s">
        <v>2130</v>
      </c>
      <c r="B1249" s="121" t="s">
        <v>2131</v>
      </c>
      <c r="C1249" s="122">
        <v>10</v>
      </c>
      <c r="D1249" s="222" t="s">
        <v>2147</v>
      </c>
      <c r="E1249" s="123" t="s">
        <v>2132</v>
      </c>
      <c r="F1249" s="123" t="s">
        <v>2148</v>
      </c>
      <c r="G1249" s="125" t="s">
        <v>126</v>
      </c>
      <c r="H1249" s="121"/>
      <c r="I1249" s="126"/>
      <c r="J1249" s="121"/>
      <c r="K1249" s="121"/>
      <c r="L1249" s="121"/>
      <c r="M1249" s="121"/>
      <c r="N1249" s="121"/>
      <c r="O1249" s="121"/>
      <c r="P1249" s="121"/>
      <c r="Q1249" s="121"/>
      <c r="R1249" s="121"/>
      <c r="S1249" s="121"/>
      <c r="T1249" s="121"/>
      <c r="U1249" s="121"/>
      <c r="V1249" s="121"/>
      <c r="W1249" s="121"/>
      <c r="X1249" s="121"/>
      <c r="Y1249" s="121"/>
      <c r="Z1249" s="121"/>
      <c r="AA1249" s="121"/>
    </row>
    <row r="1250" spans="1:27" hidden="1" x14ac:dyDescent="0.25">
      <c r="A1250" s="11" t="s">
        <v>5559</v>
      </c>
      <c r="B1250" s="12" t="s">
        <v>5560</v>
      </c>
      <c r="C1250" s="13">
        <v>15</v>
      </c>
      <c r="D1250" s="118" t="s">
        <v>5586</v>
      </c>
      <c r="E1250" s="12" t="s">
        <v>5561</v>
      </c>
      <c r="F1250" s="12" t="s">
        <v>5587</v>
      </c>
      <c r="G1250" s="80" t="s">
        <v>126</v>
      </c>
    </row>
    <row r="1251" spans="1:27" hidden="1" x14ac:dyDescent="0.25">
      <c r="A1251" s="11" t="s">
        <v>5559</v>
      </c>
      <c r="B1251" s="12" t="s">
        <v>5560</v>
      </c>
      <c r="C1251" s="13">
        <v>12</v>
      </c>
      <c r="D1251" s="118" t="s">
        <v>5580</v>
      </c>
      <c r="E1251" s="12" t="s">
        <v>5561</v>
      </c>
      <c r="F1251" s="12" t="s">
        <v>5581</v>
      </c>
      <c r="G1251" s="80" t="s">
        <v>126</v>
      </c>
    </row>
    <row r="1252" spans="1:27" hidden="1" x14ac:dyDescent="0.25">
      <c r="A1252" s="11" t="s">
        <v>1656</v>
      </c>
      <c r="B1252" s="12" t="s">
        <v>1657</v>
      </c>
      <c r="C1252" s="13">
        <v>6</v>
      </c>
      <c r="D1252" s="118" t="s">
        <v>1670</v>
      </c>
      <c r="E1252" s="12" t="s">
        <v>1658</v>
      </c>
      <c r="F1252" s="12" t="s">
        <v>1671</v>
      </c>
      <c r="G1252" s="15" t="s">
        <v>1626</v>
      </c>
      <c r="I1252" s="94">
        <v>14</v>
      </c>
    </row>
    <row r="1253" spans="1:27" hidden="1" x14ac:dyDescent="0.25">
      <c r="A1253" s="11" t="s">
        <v>1656</v>
      </c>
      <c r="B1253" s="12" t="s">
        <v>1657</v>
      </c>
      <c r="C1253" s="13">
        <v>4</v>
      </c>
      <c r="D1253" s="118" t="s">
        <v>1665</v>
      </c>
      <c r="E1253" s="12" t="s">
        <v>1658</v>
      </c>
      <c r="F1253" s="12" t="s">
        <v>1666</v>
      </c>
      <c r="G1253" s="15" t="s">
        <v>271</v>
      </c>
      <c r="I1253" s="94">
        <v>14</v>
      </c>
    </row>
    <row r="1254" spans="1:27" ht="12.75" hidden="1" thickBot="1" x14ac:dyDescent="0.3">
      <c r="A1254" s="44" t="s">
        <v>1656</v>
      </c>
      <c r="B1254" s="30" t="s">
        <v>1657</v>
      </c>
      <c r="C1254" s="31">
        <v>18</v>
      </c>
      <c r="D1254" s="159" t="s">
        <v>1694</v>
      </c>
      <c r="E1254" s="30" t="s">
        <v>1658</v>
      </c>
      <c r="F1254" s="30" t="s">
        <v>1695</v>
      </c>
      <c r="G1254" s="33" t="s">
        <v>1626</v>
      </c>
      <c r="I1254" s="94">
        <v>14</v>
      </c>
    </row>
    <row r="1255" spans="1:27" hidden="1" x14ac:dyDescent="0.25">
      <c r="A1255" s="35" t="s">
        <v>1656</v>
      </c>
      <c r="B1255" s="12" t="s">
        <v>1657</v>
      </c>
      <c r="C1255" s="13">
        <v>16</v>
      </c>
      <c r="D1255" s="118" t="s">
        <v>1690</v>
      </c>
      <c r="E1255" s="28" t="s">
        <v>1658</v>
      </c>
      <c r="F1255" s="12" t="s">
        <v>1691</v>
      </c>
      <c r="G1255" s="15" t="s">
        <v>271</v>
      </c>
      <c r="I1255" s="94">
        <v>14</v>
      </c>
    </row>
    <row r="1256" spans="1:27" hidden="1" x14ac:dyDescent="0.25">
      <c r="A1256" s="35" t="s">
        <v>1656</v>
      </c>
      <c r="B1256" s="12" t="s">
        <v>1657</v>
      </c>
      <c r="C1256" s="13">
        <v>21</v>
      </c>
      <c r="D1256" s="118" t="s">
        <v>1700</v>
      </c>
      <c r="E1256" s="28" t="s">
        <v>1658</v>
      </c>
      <c r="F1256" s="12" t="s">
        <v>1701</v>
      </c>
      <c r="G1256" s="15" t="s">
        <v>1626</v>
      </c>
      <c r="I1256" s="94">
        <v>14</v>
      </c>
    </row>
    <row r="1257" spans="1:27" hidden="1" x14ac:dyDescent="0.25">
      <c r="A1257" s="35" t="s">
        <v>1656</v>
      </c>
      <c r="B1257" s="12" t="s">
        <v>1657</v>
      </c>
      <c r="C1257" s="13">
        <v>19</v>
      </c>
      <c r="D1257" s="118" t="s">
        <v>1696</v>
      </c>
      <c r="E1257" s="28" t="s">
        <v>1658</v>
      </c>
      <c r="F1257" s="12" t="s">
        <v>1697</v>
      </c>
      <c r="G1257" s="15" t="s">
        <v>271</v>
      </c>
      <c r="I1257" s="94">
        <v>14</v>
      </c>
    </row>
    <row r="1258" spans="1:27" hidden="1" x14ac:dyDescent="0.25">
      <c r="A1258" s="35" t="s">
        <v>1656</v>
      </c>
      <c r="B1258" s="12" t="s">
        <v>1657</v>
      </c>
      <c r="C1258" s="13">
        <v>23</v>
      </c>
      <c r="D1258" s="118" t="s">
        <v>1704</v>
      </c>
      <c r="E1258" s="28" t="s">
        <v>1658</v>
      </c>
      <c r="F1258" s="12" t="s">
        <v>1705</v>
      </c>
      <c r="G1258" s="15" t="s">
        <v>1626</v>
      </c>
      <c r="I1258" s="94">
        <v>14</v>
      </c>
    </row>
    <row r="1259" spans="1:27" hidden="1" x14ac:dyDescent="0.25">
      <c r="A1259" s="35" t="s">
        <v>1656</v>
      </c>
      <c r="B1259" s="12" t="s">
        <v>1657</v>
      </c>
      <c r="C1259" s="13">
        <v>22</v>
      </c>
      <c r="D1259" s="118" t="s">
        <v>1702</v>
      </c>
      <c r="E1259" s="28" t="s">
        <v>1658</v>
      </c>
      <c r="F1259" s="12" t="s">
        <v>1703</v>
      </c>
      <c r="G1259" s="15" t="s">
        <v>271</v>
      </c>
      <c r="I1259" s="94">
        <v>14</v>
      </c>
    </row>
    <row r="1260" spans="1:27" hidden="1" x14ac:dyDescent="0.25">
      <c r="A1260" s="35" t="s">
        <v>1656</v>
      </c>
      <c r="B1260" s="12" t="s">
        <v>1657</v>
      </c>
      <c r="C1260" s="13">
        <v>15</v>
      </c>
      <c r="D1260" s="118" t="s">
        <v>1688</v>
      </c>
      <c r="E1260" s="28" t="s">
        <v>1658</v>
      </c>
      <c r="F1260" s="12" t="s">
        <v>1689</v>
      </c>
      <c r="G1260" s="15" t="s">
        <v>1626</v>
      </c>
      <c r="I1260" s="94">
        <v>14</v>
      </c>
    </row>
    <row r="1261" spans="1:27" hidden="1" x14ac:dyDescent="0.25">
      <c r="A1261" s="35" t="s">
        <v>1656</v>
      </c>
      <c r="B1261" s="12" t="s">
        <v>1657</v>
      </c>
      <c r="C1261" s="13">
        <v>13</v>
      </c>
      <c r="D1261" s="118" t="s">
        <v>1684</v>
      </c>
      <c r="E1261" s="28" t="s">
        <v>1658</v>
      </c>
      <c r="F1261" s="12" t="s">
        <v>1685</v>
      </c>
      <c r="G1261" s="15" t="s">
        <v>271</v>
      </c>
      <c r="I1261" s="94">
        <v>14</v>
      </c>
    </row>
    <row r="1262" spans="1:27" hidden="1" x14ac:dyDescent="0.25">
      <c r="A1262" s="35" t="s">
        <v>1656</v>
      </c>
      <c r="B1262" s="12" t="s">
        <v>1657</v>
      </c>
      <c r="C1262" s="13">
        <v>12</v>
      </c>
      <c r="D1262" s="118" t="s">
        <v>1682</v>
      </c>
      <c r="E1262" s="28" t="s">
        <v>1658</v>
      </c>
      <c r="F1262" s="12" t="s">
        <v>1683</v>
      </c>
      <c r="G1262" s="15" t="s">
        <v>1626</v>
      </c>
      <c r="I1262" s="94">
        <v>14</v>
      </c>
    </row>
    <row r="1263" spans="1:27" hidden="1" x14ac:dyDescent="0.25">
      <c r="A1263" s="35" t="s">
        <v>1656</v>
      </c>
      <c r="B1263" s="12" t="s">
        <v>1657</v>
      </c>
      <c r="C1263" s="13">
        <v>10</v>
      </c>
      <c r="D1263" s="118" t="s">
        <v>1678</v>
      </c>
      <c r="E1263" s="28" t="s">
        <v>1658</v>
      </c>
      <c r="F1263" s="12" t="s">
        <v>1679</v>
      </c>
      <c r="G1263" s="15" t="s">
        <v>271</v>
      </c>
      <c r="I1263" s="94">
        <v>14</v>
      </c>
    </row>
    <row r="1264" spans="1:27" hidden="1" x14ac:dyDescent="0.25">
      <c r="A1264" s="35" t="s">
        <v>1656</v>
      </c>
      <c r="B1264" s="12" t="s">
        <v>1657</v>
      </c>
      <c r="C1264" s="13">
        <v>9</v>
      </c>
      <c r="D1264" s="118" t="s">
        <v>1676</v>
      </c>
      <c r="E1264" s="28" t="s">
        <v>1658</v>
      </c>
      <c r="F1264" s="12" t="s">
        <v>1677</v>
      </c>
      <c r="G1264" s="15" t="s">
        <v>1626</v>
      </c>
      <c r="I1264" s="94">
        <v>14</v>
      </c>
    </row>
    <row r="1265" spans="1:10" hidden="1" x14ac:dyDescent="0.25">
      <c r="A1265" s="35" t="s">
        <v>1656</v>
      </c>
      <c r="B1265" s="12" t="s">
        <v>1657</v>
      </c>
      <c r="C1265" s="13">
        <v>7</v>
      </c>
      <c r="D1265" s="118" t="s">
        <v>1672</v>
      </c>
      <c r="E1265" s="28" t="s">
        <v>1658</v>
      </c>
      <c r="F1265" s="12" t="s">
        <v>1673</v>
      </c>
      <c r="G1265" s="15" t="s">
        <v>271</v>
      </c>
      <c r="I1265" s="94">
        <v>14</v>
      </c>
    </row>
    <row r="1266" spans="1:10" ht="24" hidden="1" x14ac:dyDescent="0.25">
      <c r="A1266" s="35" t="s">
        <v>4465</v>
      </c>
      <c r="B1266" s="12" t="s">
        <v>4466</v>
      </c>
      <c r="C1266" s="13">
        <v>8</v>
      </c>
      <c r="D1266" s="118" t="s">
        <v>4476</v>
      </c>
      <c r="E1266" s="28" t="s">
        <v>4467</v>
      </c>
      <c r="F1266" s="12" t="s">
        <v>4477</v>
      </c>
      <c r="G1266" s="66" t="s">
        <v>881</v>
      </c>
      <c r="I1266" s="9">
        <v>15</v>
      </c>
      <c r="J1266" s="52"/>
    </row>
    <row r="1267" spans="1:10" ht="24" hidden="1" x14ac:dyDescent="0.2">
      <c r="A1267" s="35" t="s">
        <v>4540</v>
      </c>
      <c r="B1267" s="12" t="s">
        <v>4541</v>
      </c>
      <c r="C1267" s="13">
        <v>7</v>
      </c>
      <c r="D1267" s="118" t="s">
        <v>4476</v>
      </c>
      <c r="E1267" s="28" t="s">
        <v>4542</v>
      </c>
      <c r="F1267" s="12" t="s">
        <v>4549</v>
      </c>
      <c r="G1267" s="66" t="s">
        <v>881</v>
      </c>
      <c r="I1267" s="9">
        <v>15</v>
      </c>
    </row>
    <row r="1268" spans="1:10" ht="24" hidden="1" x14ac:dyDescent="0.2">
      <c r="A1268" s="35" t="s">
        <v>4564</v>
      </c>
      <c r="B1268" s="12" t="s">
        <v>4565</v>
      </c>
      <c r="C1268" s="13">
        <v>7</v>
      </c>
      <c r="D1268" s="118" t="s">
        <v>4476</v>
      </c>
      <c r="E1268" s="28" t="s">
        <v>4566</v>
      </c>
      <c r="F1268" s="12" t="s">
        <v>4573</v>
      </c>
      <c r="G1268" s="66" t="s">
        <v>881</v>
      </c>
      <c r="I1268" s="9">
        <v>15</v>
      </c>
    </row>
    <row r="1269" spans="1:10" ht="15" hidden="1" x14ac:dyDescent="0.25">
      <c r="A1269" s="35" t="s">
        <v>4421</v>
      </c>
      <c r="B1269" s="12" t="s">
        <v>4422</v>
      </c>
      <c r="C1269" s="13">
        <v>9</v>
      </c>
      <c r="D1269" s="118" t="s">
        <v>4437</v>
      </c>
      <c r="E1269" s="28" t="s">
        <v>4423</v>
      </c>
      <c r="F1269" s="12" t="s">
        <v>4438</v>
      </c>
      <c r="G1269" s="66" t="s">
        <v>881</v>
      </c>
      <c r="I1269" s="9">
        <v>15</v>
      </c>
      <c r="J1269" s="52"/>
    </row>
    <row r="1270" spans="1:10" hidden="1" x14ac:dyDescent="0.2">
      <c r="A1270" s="35" t="s">
        <v>4513</v>
      </c>
      <c r="B1270" s="12" t="s">
        <v>4514</v>
      </c>
      <c r="C1270" s="13">
        <v>8</v>
      </c>
      <c r="D1270" s="118" t="s">
        <v>4437</v>
      </c>
      <c r="E1270" s="28" t="s">
        <v>4515</v>
      </c>
      <c r="F1270" s="12" t="s">
        <v>4523</v>
      </c>
      <c r="G1270" s="66" t="s">
        <v>881</v>
      </c>
      <c r="I1270" s="9">
        <v>15</v>
      </c>
    </row>
    <row r="1271" spans="1:10" ht="24" hidden="1" x14ac:dyDescent="0.25">
      <c r="A1271" s="35" t="s">
        <v>4465</v>
      </c>
      <c r="B1271" s="12" t="s">
        <v>4466</v>
      </c>
      <c r="C1271" s="13">
        <v>17</v>
      </c>
      <c r="D1271" s="118" t="s">
        <v>4492</v>
      </c>
      <c r="E1271" s="28" t="s">
        <v>4467</v>
      </c>
      <c r="F1271" s="12" t="s">
        <v>4493</v>
      </c>
      <c r="G1271" s="66" t="s">
        <v>881</v>
      </c>
      <c r="I1271" s="9">
        <v>15</v>
      </c>
      <c r="J1271" s="52"/>
    </row>
    <row r="1272" spans="1:10" ht="15" hidden="1" x14ac:dyDescent="0.25">
      <c r="A1272" s="35" t="s">
        <v>4465</v>
      </c>
      <c r="B1272" s="12" t="s">
        <v>4466</v>
      </c>
      <c r="C1272" s="13">
        <v>14</v>
      </c>
      <c r="D1272" s="118" t="s">
        <v>4486</v>
      </c>
      <c r="E1272" s="28" t="s">
        <v>4467</v>
      </c>
      <c r="F1272" s="12" t="s">
        <v>4487</v>
      </c>
      <c r="G1272" s="66" t="s">
        <v>881</v>
      </c>
      <c r="I1272" s="9">
        <v>15</v>
      </c>
      <c r="J1272" s="52"/>
    </row>
    <row r="1273" spans="1:10" hidden="1" x14ac:dyDescent="0.2">
      <c r="A1273" s="35" t="s">
        <v>4513</v>
      </c>
      <c r="B1273" s="12" t="s">
        <v>4514</v>
      </c>
      <c r="C1273" s="13">
        <v>10</v>
      </c>
      <c r="D1273" s="118" t="s">
        <v>4486</v>
      </c>
      <c r="E1273" s="28" t="s">
        <v>4515</v>
      </c>
      <c r="F1273" s="12" t="s">
        <v>4525</v>
      </c>
      <c r="G1273" s="66" t="s">
        <v>881</v>
      </c>
      <c r="I1273" s="9">
        <v>15</v>
      </c>
      <c r="J1273" s="8" t="s">
        <v>4526</v>
      </c>
    </row>
    <row r="1274" spans="1:10" hidden="1" x14ac:dyDescent="0.2">
      <c r="A1274" s="35" t="s">
        <v>4540</v>
      </c>
      <c r="B1274" s="12" t="s">
        <v>4541</v>
      </c>
      <c r="C1274" s="13">
        <v>9</v>
      </c>
      <c r="D1274" s="118" t="s">
        <v>4486</v>
      </c>
      <c r="E1274" s="28" t="s">
        <v>4542</v>
      </c>
      <c r="F1274" s="12" t="s">
        <v>4551</v>
      </c>
      <c r="G1274" s="66" t="s">
        <v>881</v>
      </c>
      <c r="I1274" s="9">
        <v>15</v>
      </c>
    </row>
    <row r="1275" spans="1:10" hidden="1" x14ac:dyDescent="0.2">
      <c r="A1275" s="35" t="s">
        <v>4564</v>
      </c>
      <c r="B1275" s="12" t="s">
        <v>4565</v>
      </c>
      <c r="C1275" s="13">
        <v>9</v>
      </c>
      <c r="D1275" s="118" t="s">
        <v>4486</v>
      </c>
      <c r="E1275" s="28" t="s">
        <v>4566</v>
      </c>
      <c r="F1275" s="12" t="s">
        <v>4575</v>
      </c>
      <c r="G1275" s="66" t="s">
        <v>881</v>
      </c>
      <c r="I1275" s="9">
        <v>15</v>
      </c>
    </row>
    <row r="1276" spans="1:10" ht="15" hidden="1" x14ac:dyDescent="0.25">
      <c r="A1276" s="35" t="s">
        <v>4465</v>
      </c>
      <c r="B1276" s="12" t="s">
        <v>4466</v>
      </c>
      <c r="C1276" s="13">
        <v>11</v>
      </c>
      <c r="D1276" s="118" t="s">
        <v>4480</v>
      </c>
      <c r="E1276" s="28" t="s">
        <v>4467</v>
      </c>
      <c r="F1276" s="12" t="s">
        <v>4481</v>
      </c>
      <c r="G1276" s="66" t="s">
        <v>881</v>
      </c>
      <c r="I1276" s="9">
        <v>15</v>
      </c>
      <c r="J1276" s="52"/>
    </row>
    <row r="1277" spans="1:10" hidden="1" x14ac:dyDescent="0.2">
      <c r="A1277" s="35" t="s">
        <v>4513</v>
      </c>
      <c r="B1277" s="12" t="s">
        <v>4514</v>
      </c>
      <c r="C1277" s="13">
        <v>9</v>
      </c>
      <c r="D1277" s="118" t="s">
        <v>4480</v>
      </c>
      <c r="E1277" s="28" t="s">
        <v>4515</v>
      </c>
      <c r="F1277" s="12" t="s">
        <v>4524</v>
      </c>
      <c r="G1277" s="66" t="s">
        <v>881</v>
      </c>
      <c r="I1277" s="9">
        <v>15</v>
      </c>
    </row>
    <row r="1278" spans="1:10" hidden="1" x14ac:dyDescent="0.2">
      <c r="A1278" s="35" t="s">
        <v>4540</v>
      </c>
      <c r="B1278" s="12" t="s">
        <v>4541</v>
      </c>
      <c r="C1278" s="13">
        <v>8</v>
      </c>
      <c r="D1278" s="118" t="s">
        <v>4480</v>
      </c>
      <c r="E1278" s="28" t="s">
        <v>4542</v>
      </c>
      <c r="F1278" s="12" t="s">
        <v>4550</v>
      </c>
      <c r="G1278" s="66" t="s">
        <v>881</v>
      </c>
      <c r="I1278" s="9">
        <v>15</v>
      </c>
    </row>
    <row r="1279" spans="1:10" hidden="1" x14ac:dyDescent="0.2">
      <c r="A1279" s="35" t="s">
        <v>4564</v>
      </c>
      <c r="B1279" s="12" t="s">
        <v>4565</v>
      </c>
      <c r="C1279" s="13">
        <v>8</v>
      </c>
      <c r="D1279" s="118" t="s">
        <v>4480</v>
      </c>
      <c r="E1279" s="28" t="s">
        <v>4566</v>
      </c>
      <c r="F1279" s="12" t="s">
        <v>4574</v>
      </c>
      <c r="G1279" s="66" t="s">
        <v>881</v>
      </c>
      <c r="I1279" s="9">
        <v>15</v>
      </c>
    </row>
    <row r="1280" spans="1:10" ht="15" hidden="1" x14ac:dyDescent="0.25">
      <c r="A1280" s="35" t="s">
        <v>4421</v>
      </c>
      <c r="B1280" s="12" t="s">
        <v>4422</v>
      </c>
      <c r="C1280" s="13">
        <v>8</v>
      </c>
      <c r="D1280" s="118" t="s">
        <v>4435</v>
      </c>
      <c r="E1280" s="28" t="s">
        <v>4423</v>
      </c>
      <c r="F1280" s="12" t="s">
        <v>4436</v>
      </c>
      <c r="G1280" s="66" t="s">
        <v>881</v>
      </c>
      <c r="I1280" s="9">
        <v>15</v>
      </c>
      <c r="J1280" s="52"/>
    </row>
    <row r="1281" spans="1:27" ht="15" hidden="1" x14ac:dyDescent="0.25">
      <c r="A1281" s="35" t="s">
        <v>4583</v>
      </c>
      <c r="B1281" s="12" t="s">
        <v>4584</v>
      </c>
      <c r="C1281" s="13">
        <v>17</v>
      </c>
      <c r="D1281" s="118" t="s">
        <v>4612</v>
      </c>
      <c r="E1281" s="28" t="s">
        <v>4585</v>
      </c>
      <c r="F1281" s="12" t="s">
        <v>4613</v>
      </c>
      <c r="G1281" s="66" t="s">
        <v>881</v>
      </c>
      <c r="I1281" s="9">
        <v>15</v>
      </c>
      <c r="J1281" s="52"/>
    </row>
    <row r="1282" spans="1:27" hidden="1" x14ac:dyDescent="0.2">
      <c r="A1282" s="35" t="s">
        <v>2631</v>
      </c>
      <c r="B1282" s="12" t="s">
        <v>2632</v>
      </c>
      <c r="C1282" s="13">
        <v>67</v>
      </c>
      <c r="D1282" s="27" t="s">
        <v>2760</v>
      </c>
      <c r="E1282" s="28" t="s">
        <v>2634</v>
      </c>
      <c r="F1282" s="65" t="s">
        <v>2761</v>
      </c>
      <c r="G1282" s="66" t="s">
        <v>1239</v>
      </c>
      <c r="I1282" s="99">
        <v>13</v>
      </c>
    </row>
    <row r="1283" spans="1:27" hidden="1" x14ac:dyDescent="0.2">
      <c r="A1283" s="35" t="s">
        <v>3165</v>
      </c>
      <c r="B1283" s="12" t="s">
        <v>3166</v>
      </c>
      <c r="C1283" s="13">
        <v>38</v>
      </c>
      <c r="D1283" s="118" t="s">
        <v>2760</v>
      </c>
      <c r="E1283" s="28" t="s">
        <v>3167</v>
      </c>
      <c r="F1283" s="65" t="s">
        <v>3219</v>
      </c>
      <c r="G1283" s="66" t="s">
        <v>1239</v>
      </c>
      <c r="I1283" s="99">
        <v>13</v>
      </c>
    </row>
    <row r="1284" spans="1:27" ht="12.75" hidden="1" thickBot="1" x14ac:dyDescent="0.25">
      <c r="A1284" s="47" t="s">
        <v>2631</v>
      </c>
      <c r="B1284" s="30" t="s">
        <v>2632</v>
      </c>
      <c r="C1284" s="31">
        <v>31</v>
      </c>
      <c r="D1284" s="48" t="s">
        <v>2689</v>
      </c>
      <c r="E1284" s="32" t="s">
        <v>2634</v>
      </c>
      <c r="F1284" s="67" t="s">
        <v>2690</v>
      </c>
      <c r="G1284" s="68" t="s">
        <v>1239</v>
      </c>
      <c r="I1284" s="99">
        <v>13</v>
      </c>
    </row>
    <row r="1285" spans="1:27" hidden="1" x14ac:dyDescent="0.2">
      <c r="A1285" s="35" t="s">
        <v>4680</v>
      </c>
      <c r="B1285" s="12" t="s">
        <v>4681</v>
      </c>
      <c r="C1285" s="13">
        <v>10</v>
      </c>
      <c r="D1285" s="76" t="s">
        <v>2689</v>
      </c>
      <c r="E1285" s="138" t="s">
        <v>4682</v>
      </c>
      <c r="F1285" s="65" t="s">
        <v>4694</v>
      </c>
      <c r="G1285" s="66" t="s">
        <v>103</v>
      </c>
    </row>
    <row r="1286" spans="1:27" hidden="1" x14ac:dyDescent="0.25">
      <c r="A1286" s="35" t="s">
        <v>1568</v>
      </c>
      <c r="B1286" s="12" t="s">
        <v>1569</v>
      </c>
      <c r="C1286" s="13">
        <v>18</v>
      </c>
      <c r="D1286" s="118" t="s">
        <v>1607</v>
      </c>
      <c r="E1286" s="28" t="s">
        <v>1570</v>
      </c>
      <c r="F1286" s="12" t="s">
        <v>1608</v>
      </c>
      <c r="G1286" s="15" t="s">
        <v>684</v>
      </c>
      <c r="I1286" s="94">
        <v>14</v>
      </c>
    </row>
    <row r="1287" spans="1:27" hidden="1" x14ac:dyDescent="0.25">
      <c r="A1287" s="35" t="s">
        <v>1768</v>
      </c>
      <c r="B1287" s="12" t="s">
        <v>1769</v>
      </c>
      <c r="C1287" s="13">
        <v>9</v>
      </c>
      <c r="D1287" s="118" t="s">
        <v>1607</v>
      </c>
      <c r="E1287" s="28" t="s">
        <v>1770</v>
      </c>
      <c r="F1287" s="12" t="s">
        <v>1780</v>
      </c>
      <c r="G1287" s="15" t="s">
        <v>684</v>
      </c>
      <c r="I1287" s="94">
        <v>14</v>
      </c>
    </row>
    <row r="1288" spans="1:27" ht="24" hidden="1" x14ac:dyDescent="0.25">
      <c r="A1288" s="35" t="s">
        <v>1882</v>
      </c>
      <c r="B1288" s="12" t="s">
        <v>1883</v>
      </c>
      <c r="C1288" s="13">
        <v>6</v>
      </c>
      <c r="D1288" s="208" t="s">
        <v>1892</v>
      </c>
      <c r="E1288" s="28" t="s">
        <v>1884</v>
      </c>
      <c r="F1288" s="12" t="s">
        <v>1893</v>
      </c>
      <c r="G1288" s="15" t="s">
        <v>13</v>
      </c>
      <c r="I1288" s="9">
        <v>15</v>
      </c>
    </row>
    <row r="1289" spans="1:27" hidden="1" x14ac:dyDescent="0.2">
      <c r="A1289" s="35" t="s">
        <v>93</v>
      </c>
      <c r="B1289" s="12" t="s">
        <v>94</v>
      </c>
      <c r="C1289" s="13">
        <v>62</v>
      </c>
      <c r="D1289" s="27" t="s">
        <v>222</v>
      </c>
      <c r="E1289" s="28" t="s">
        <v>96</v>
      </c>
      <c r="F1289" s="12" t="s">
        <v>223</v>
      </c>
      <c r="G1289" s="15" t="s">
        <v>156</v>
      </c>
    </row>
    <row r="1290" spans="1:27" hidden="1" x14ac:dyDescent="0.2">
      <c r="A1290" s="35" t="s">
        <v>2988</v>
      </c>
      <c r="B1290" s="12" t="s">
        <v>2989</v>
      </c>
      <c r="C1290" s="13">
        <f>1+C1289</f>
        <v>63</v>
      </c>
      <c r="D1290" s="27" t="s">
        <v>3025</v>
      </c>
      <c r="E1290" s="28" t="s">
        <v>2990</v>
      </c>
      <c r="F1290" s="65" t="s">
        <v>3026</v>
      </c>
      <c r="G1290" s="66" t="s">
        <v>3022</v>
      </c>
    </row>
    <row r="1291" spans="1:27" hidden="1" x14ac:dyDescent="0.2">
      <c r="A1291" s="35" t="s">
        <v>2988</v>
      </c>
      <c r="B1291" s="12" t="s">
        <v>2989</v>
      </c>
      <c r="C1291" s="13">
        <f>1+C1290</f>
        <v>64</v>
      </c>
      <c r="D1291" s="27" t="s">
        <v>3023</v>
      </c>
      <c r="E1291" s="28" t="s">
        <v>2990</v>
      </c>
      <c r="F1291" s="65" t="s">
        <v>3024</v>
      </c>
      <c r="G1291" s="66" t="s">
        <v>3022</v>
      </c>
    </row>
    <row r="1292" spans="1:27" s="10" customFormat="1" ht="24" hidden="1" x14ac:dyDescent="0.25">
      <c r="A1292" s="35" t="s">
        <v>1031</v>
      </c>
      <c r="B1292" s="12" t="s">
        <v>1032</v>
      </c>
      <c r="C1292" s="13">
        <v>5</v>
      </c>
      <c r="D1292" s="76" t="s">
        <v>1039</v>
      </c>
      <c r="E1292" s="28" t="s">
        <v>1033</v>
      </c>
      <c r="F1292" s="12" t="s">
        <v>1040</v>
      </c>
      <c r="G1292" s="15" t="s">
        <v>832</v>
      </c>
      <c r="H1292" s="8"/>
      <c r="I1292" s="9">
        <v>15</v>
      </c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</row>
    <row r="1293" spans="1:27" hidden="1" x14ac:dyDescent="0.2">
      <c r="A1293" s="35" t="s">
        <v>93</v>
      </c>
      <c r="B1293" s="12" t="s">
        <v>94</v>
      </c>
      <c r="C1293" s="13">
        <v>71</v>
      </c>
      <c r="D1293" s="27" t="s">
        <v>240</v>
      </c>
      <c r="E1293" s="28" t="s">
        <v>96</v>
      </c>
      <c r="F1293" s="12" t="s">
        <v>241</v>
      </c>
      <c r="G1293" s="15" t="s">
        <v>156</v>
      </c>
      <c r="I1293" s="90">
        <v>12</v>
      </c>
    </row>
    <row r="1294" spans="1:27" ht="12.75" hidden="1" thickBot="1" x14ac:dyDescent="0.3">
      <c r="A1294" s="47" t="s">
        <v>1031</v>
      </c>
      <c r="B1294" s="30" t="s">
        <v>1032</v>
      </c>
      <c r="C1294" s="31">
        <v>12</v>
      </c>
      <c r="D1294" s="136" t="s">
        <v>1054</v>
      </c>
      <c r="E1294" s="32" t="s">
        <v>1033</v>
      </c>
      <c r="F1294" s="30" t="s">
        <v>1055</v>
      </c>
      <c r="G1294" s="33" t="s">
        <v>832</v>
      </c>
      <c r="I1294" s="9">
        <v>15</v>
      </c>
    </row>
    <row r="1295" spans="1:27" hidden="1" x14ac:dyDescent="0.2">
      <c r="A1295" s="35" t="s">
        <v>93</v>
      </c>
      <c r="B1295" s="12" t="s">
        <v>94</v>
      </c>
      <c r="C1295" s="13">
        <v>72</v>
      </c>
      <c r="D1295" s="27" t="s">
        <v>242</v>
      </c>
      <c r="E1295" s="28" t="s">
        <v>96</v>
      </c>
      <c r="F1295" s="12" t="s">
        <v>243</v>
      </c>
      <c r="G1295" s="15" t="s">
        <v>156</v>
      </c>
      <c r="I1295" s="90">
        <v>12</v>
      </c>
    </row>
    <row r="1296" spans="1:27" hidden="1" x14ac:dyDescent="0.2">
      <c r="A1296" s="35" t="s">
        <v>2988</v>
      </c>
      <c r="B1296" s="12" t="s">
        <v>2989</v>
      </c>
      <c r="C1296" s="13">
        <f>1+C1295</f>
        <v>73</v>
      </c>
      <c r="D1296" s="27" t="s">
        <v>3020</v>
      </c>
      <c r="E1296" s="28" t="s">
        <v>2990</v>
      </c>
      <c r="F1296" s="65" t="s">
        <v>3021</v>
      </c>
      <c r="G1296" s="66" t="s">
        <v>3022</v>
      </c>
    </row>
    <row r="1297" spans="1:27" hidden="1" x14ac:dyDescent="0.25">
      <c r="A1297" s="35" t="s">
        <v>2130</v>
      </c>
      <c r="B1297" s="8" t="s">
        <v>2131</v>
      </c>
      <c r="C1297" s="13">
        <v>16</v>
      </c>
      <c r="D1297" s="118" t="s">
        <v>2159</v>
      </c>
      <c r="E1297" s="28" t="s">
        <v>2132</v>
      </c>
      <c r="F1297" s="12" t="s">
        <v>2160</v>
      </c>
      <c r="G1297" s="15" t="s">
        <v>13</v>
      </c>
    </row>
    <row r="1298" spans="1:27" hidden="1" x14ac:dyDescent="0.2">
      <c r="A1298" s="35" t="s">
        <v>93</v>
      </c>
      <c r="B1298" s="12" t="s">
        <v>94</v>
      </c>
      <c r="C1298" s="13">
        <v>74</v>
      </c>
      <c r="D1298" s="27" t="s">
        <v>246</v>
      </c>
      <c r="E1298" s="28" t="s">
        <v>96</v>
      </c>
      <c r="F1298" s="12" t="s">
        <v>247</v>
      </c>
      <c r="G1298" s="15" t="s">
        <v>156</v>
      </c>
      <c r="I1298" s="90">
        <v>12</v>
      </c>
    </row>
    <row r="1299" spans="1:27" hidden="1" x14ac:dyDescent="0.25">
      <c r="A1299" s="179" t="s">
        <v>4926</v>
      </c>
      <c r="B1299" s="12" t="s">
        <v>4927</v>
      </c>
      <c r="C1299" s="13">
        <v>21</v>
      </c>
      <c r="D1299" s="118" t="s">
        <v>4966</v>
      </c>
      <c r="E1299" s="28" t="s">
        <v>4928</v>
      </c>
      <c r="F1299" s="8" t="s">
        <v>4967</v>
      </c>
      <c r="G1299" s="80" t="s">
        <v>13</v>
      </c>
    </row>
    <row r="1300" spans="1:27" hidden="1" x14ac:dyDescent="0.2">
      <c r="A1300" s="35" t="s">
        <v>4087</v>
      </c>
      <c r="B1300" s="12" t="s">
        <v>4088</v>
      </c>
      <c r="C1300" s="13">
        <f>C1299+1</f>
        <v>22</v>
      </c>
      <c r="D1300" s="118" t="s">
        <v>4159</v>
      </c>
      <c r="E1300" s="28" t="s">
        <v>4089</v>
      </c>
      <c r="F1300" s="12" t="s">
        <v>4160</v>
      </c>
      <c r="G1300" s="66" t="s">
        <v>13</v>
      </c>
      <c r="I1300" s="90" t="s">
        <v>2426</v>
      </c>
    </row>
    <row r="1301" spans="1:27" hidden="1" x14ac:dyDescent="0.2">
      <c r="A1301" s="35" t="s">
        <v>4212</v>
      </c>
      <c r="B1301" s="12" t="s">
        <v>4213</v>
      </c>
      <c r="C1301" s="13">
        <f>C1300+1</f>
        <v>23</v>
      </c>
      <c r="D1301" s="118" t="s">
        <v>4159</v>
      </c>
      <c r="E1301" s="28" t="s">
        <v>4214</v>
      </c>
      <c r="F1301" s="12" t="s">
        <v>4283</v>
      </c>
      <c r="G1301" s="66" t="s">
        <v>13</v>
      </c>
      <c r="I1301" s="90" t="s">
        <v>2426</v>
      </c>
    </row>
    <row r="1302" spans="1:27" s="10" customFormat="1" hidden="1" x14ac:dyDescent="0.2">
      <c r="A1302" s="35" t="s">
        <v>4087</v>
      </c>
      <c r="B1302" s="12" t="s">
        <v>4088</v>
      </c>
      <c r="C1302" s="13">
        <f>C1301+1</f>
        <v>24</v>
      </c>
      <c r="D1302" s="118" t="s">
        <v>4161</v>
      </c>
      <c r="E1302" s="28" t="s">
        <v>4089</v>
      </c>
      <c r="F1302" s="12" t="s">
        <v>4162</v>
      </c>
      <c r="G1302" s="66" t="s">
        <v>13</v>
      </c>
      <c r="H1302" s="8"/>
      <c r="I1302" s="90" t="s">
        <v>2426</v>
      </c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</row>
    <row r="1303" spans="1:27" hidden="1" x14ac:dyDescent="0.2">
      <c r="A1303" s="35" t="s">
        <v>4212</v>
      </c>
      <c r="B1303" s="12" t="s">
        <v>4213</v>
      </c>
      <c r="C1303" s="13">
        <f>C1302+1</f>
        <v>25</v>
      </c>
      <c r="D1303" s="118" t="s">
        <v>4161</v>
      </c>
      <c r="E1303" s="28" t="s">
        <v>4214</v>
      </c>
      <c r="F1303" s="12" t="s">
        <v>4284</v>
      </c>
      <c r="G1303" s="66" t="s">
        <v>13</v>
      </c>
      <c r="I1303" s="90" t="s">
        <v>2426</v>
      </c>
    </row>
    <row r="1304" spans="1:27" ht="12.75" hidden="1" thickBot="1" x14ac:dyDescent="0.3">
      <c r="A1304" s="192" t="s">
        <v>4926</v>
      </c>
      <c r="B1304" s="30" t="s">
        <v>4927</v>
      </c>
      <c r="C1304" s="31">
        <v>20</v>
      </c>
      <c r="D1304" s="159" t="s">
        <v>4964</v>
      </c>
      <c r="E1304" s="32" t="s">
        <v>4928</v>
      </c>
      <c r="F1304" s="55" t="s">
        <v>4965</v>
      </c>
      <c r="G1304" s="152" t="s">
        <v>13</v>
      </c>
    </row>
    <row r="1305" spans="1:27" hidden="1" x14ac:dyDescent="0.2">
      <c r="A1305" s="35" t="s">
        <v>93</v>
      </c>
      <c r="B1305" s="12" t="s">
        <v>94</v>
      </c>
      <c r="C1305" s="13">
        <v>73</v>
      </c>
      <c r="D1305" s="27" t="s">
        <v>244</v>
      </c>
      <c r="E1305" s="28" t="s">
        <v>96</v>
      </c>
      <c r="F1305" s="12" t="s">
        <v>245</v>
      </c>
      <c r="G1305" s="15" t="s">
        <v>156</v>
      </c>
      <c r="I1305" s="90">
        <v>12</v>
      </c>
    </row>
    <row r="1306" spans="1:27" hidden="1" x14ac:dyDescent="0.25">
      <c r="A1306" s="35" t="s">
        <v>1464</v>
      </c>
      <c r="B1306" s="12" t="s">
        <v>1465</v>
      </c>
      <c r="C1306" s="13">
        <v>18</v>
      </c>
      <c r="D1306" s="118" t="s">
        <v>1496</v>
      </c>
      <c r="E1306" s="28" t="s">
        <v>1466</v>
      </c>
      <c r="F1306" s="12" t="s">
        <v>1497</v>
      </c>
      <c r="G1306" s="15" t="s">
        <v>156</v>
      </c>
      <c r="I1306" s="90">
        <v>12</v>
      </c>
    </row>
    <row r="1307" spans="1:27" hidden="1" x14ac:dyDescent="0.2">
      <c r="A1307" s="35" t="s">
        <v>1960</v>
      </c>
      <c r="B1307" s="12" t="s">
        <v>1961</v>
      </c>
      <c r="C1307" s="13">
        <v>33</v>
      </c>
      <c r="D1307" s="27" t="s">
        <v>2022</v>
      </c>
      <c r="E1307" s="28" t="s">
        <v>1962</v>
      </c>
      <c r="F1307" s="12" t="s">
        <v>2023</v>
      </c>
      <c r="G1307" s="15" t="s">
        <v>156</v>
      </c>
      <c r="I1307" s="9">
        <v>15</v>
      </c>
    </row>
    <row r="1308" spans="1:27" hidden="1" x14ac:dyDescent="0.25">
      <c r="A1308" s="35" t="s">
        <v>1313</v>
      </c>
      <c r="B1308" s="12" t="s">
        <v>1314</v>
      </c>
      <c r="C1308" s="13">
        <v>12</v>
      </c>
      <c r="D1308" s="118" t="s">
        <v>1335</v>
      </c>
      <c r="E1308" s="28" t="s">
        <v>1315</v>
      </c>
      <c r="F1308" s="12" t="s">
        <v>1336</v>
      </c>
      <c r="G1308" s="15" t="s">
        <v>13</v>
      </c>
    </row>
    <row r="1309" spans="1:27" hidden="1" x14ac:dyDescent="0.25">
      <c r="A1309" s="35" t="s">
        <v>5686</v>
      </c>
      <c r="B1309" s="12" t="s">
        <v>5687</v>
      </c>
      <c r="C1309" s="13">
        <f>C1308+1</f>
        <v>13</v>
      </c>
      <c r="D1309" s="118" t="s">
        <v>1335</v>
      </c>
      <c r="E1309" s="28" t="s">
        <v>5688</v>
      </c>
      <c r="F1309" s="12" t="s">
        <v>5735</v>
      </c>
      <c r="G1309" s="80" t="s">
        <v>13</v>
      </c>
      <c r="I1309" s="90">
        <v>12</v>
      </c>
    </row>
    <row r="1310" spans="1:27" s="10" customFormat="1" hidden="1" x14ac:dyDescent="0.2">
      <c r="A1310" s="35" t="s">
        <v>2867</v>
      </c>
      <c r="B1310" s="12" t="s">
        <v>2868</v>
      </c>
      <c r="C1310" s="13">
        <v>43</v>
      </c>
      <c r="D1310" s="27" t="s">
        <v>2945</v>
      </c>
      <c r="E1310" s="28" t="s">
        <v>2869</v>
      </c>
      <c r="F1310" s="65" t="s">
        <v>2946</v>
      </c>
      <c r="G1310" s="66" t="s">
        <v>103</v>
      </c>
      <c r="H1310" s="8"/>
      <c r="I1310" s="90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</row>
    <row r="1311" spans="1:27" hidden="1" x14ac:dyDescent="0.2">
      <c r="A1311" s="35" t="s">
        <v>3165</v>
      </c>
      <c r="B1311" s="12" t="s">
        <v>3166</v>
      </c>
      <c r="C1311" s="13">
        <f>C1310+1</f>
        <v>44</v>
      </c>
      <c r="D1311" s="232" t="s">
        <v>3300</v>
      </c>
      <c r="E1311" s="244" t="s">
        <v>3167</v>
      </c>
      <c r="F1311" s="177" t="s">
        <v>3301</v>
      </c>
      <c r="G1311" s="66" t="s">
        <v>1239</v>
      </c>
      <c r="I1311" s="99">
        <v>13</v>
      </c>
    </row>
    <row r="1312" spans="1:27" hidden="1" x14ac:dyDescent="0.2">
      <c r="A1312" s="35" t="s">
        <v>3034</v>
      </c>
      <c r="B1312" s="12" t="s">
        <v>3035</v>
      </c>
      <c r="C1312" s="13">
        <f>+C1311+1</f>
        <v>45</v>
      </c>
      <c r="D1312" s="134" t="s">
        <v>3054</v>
      </c>
      <c r="E1312" s="28" t="s">
        <v>3036</v>
      </c>
      <c r="F1312" s="8" t="s">
        <v>3055</v>
      </c>
      <c r="G1312" s="66" t="s">
        <v>103</v>
      </c>
    </row>
    <row r="1313" spans="1:9" hidden="1" x14ac:dyDescent="0.25">
      <c r="A1313" s="179" t="s">
        <v>4926</v>
      </c>
      <c r="B1313" s="12" t="s">
        <v>4927</v>
      </c>
      <c r="C1313" s="13">
        <v>11</v>
      </c>
      <c r="D1313" s="118" t="s">
        <v>4946</v>
      </c>
      <c r="E1313" s="28" t="s">
        <v>4928</v>
      </c>
      <c r="F1313" s="8" t="s">
        <v>4947</v>
      </c>
      <c r="G1313" s="80" t="s">
        <v>42</v>
      </c>
    </row>
    <row r="1314" spans="1:9" hidden="1" x14ac:dyDescent="0.25">
      <c r="A1314" s="145" t="s">
        <v>4926</v>
      </c>
      <c r="B1314" s="61" t="s">
        <v>4927</v>
      </c>
      <c r="C1314" s="58">
        <v>10</v>
      </c>
      <c r="D1314" s="204" t="s">
        <v>4944</v>
      </c>
      <c r="E1314" s="61" t="s">
        <v>4928</v>
      </c>
      <c r="F1314" s="57" t="s">
        <v>4945</v>
      </c>
      <c r="G1314" s="149" t="s">
        <v>42</v>
      </c>
    </row>
    <row r="1315" spans="1:9" hidden="1" x14ac:dyDescent="0.25">
      <c r="A1315" s="11" t="s">
        <v>1313</v>
      </c>
      <c r="B1315" s="12" t="s">
        <v>1314</v>
      </c>
      <c r="C1315" s="13">
        <v>7</v>
      </c>
      <c r="D1315" s="118" t="s">
        <v>1326</v>
      </c>
      <c r="E1315" s="12" t="s">
        <v>1315</v>
      </c>
      <c r="F1315" s="12" t="s">
        <v>1327</v>
      </c>
      <c r="G1315" s="15" t="s">
        <v>78</v>
      </c>
    </row>
    <row r="1316" spans="1:9" hidden="1" x14ac:dyDescent="0.25">
      <c r="A1316" s="146" t="s">
        <v>4926</v>
      </c>
      <c r="B1316" s="12" t="s">
        <v>4927</v>
      </c>
      <c r="C1316" s="13">
        <v>9</v>
      </c>
      <c r="D1316" s="118" t="s">
        <v>4942</v>
      </c>
      <c r="E1316" s="12" t="s">
        <v>4928</v>
      </c>
      <c r="F1316" s="8" t="s">
        <v>4943</v>
      </c>
      <c r="G1316" s="80" t="s">
        <v>42</v>
      </c>
    </row>
    <row r="1317" spans="1:9" hidden="1" x14ac:dyDescent="0.25">
      <c r="A1317" s="146" t="s">
        <v>4926</v>
      </c>
      <c r="B1317" s="12" t="s">
        <v>4927</v>
      </c>
      <c r="C1317" s="13">
        <v>8</v>
      </c>
      <c r="D1317" s="118" t="s">
        <v>4940</v>
      </c>
      <c r="E1317" s="12" t="s">
        <v>4928</v>
      </c>
      <c r="F1317" s="8" t="s">
        <v>4941</v>
      </c>
      <c r="G1317" s="80" t="s">
        <v>42</v>
      </c>
    </row>
    <row r="1318" spans="1:9" hidden="1" x14ac:dyDescent="0.25">
      <c r="A1318" s="11" t="s">
        <v>1313</v>
      </c>
      <c r="B1318" s="12" t="s">
        <v>1314</v>
      </c>
      <c r="C1318" s="13">
        <v>6</v>
      </c>
      <c r="D1318" s="118" t="s">
        <v>1324</v>
      </c>
      <c r="E1318" s="12" t="s">
        <v>1315</v>
      </c>
      <c r="F1318" s="12" t="s">
        <v>1325</v>
      </c>
      <c r="G1318" s="15" t="s">
        <v>78</v>
      </c>
    </row>
    <row r="1319" spans="1:9" hidden="1" x14ac:dyDescent="0.2">
      <c r="A1319" s="11" t="s">
        <v>3428</v>
      </c>
      <c r="B1319" s="12" t="s">
        <v>3429</v>
      </c>
      <c r="C1319" s="13">
        <v>9</v>
      </c>
      <c r="D1319" s="224" t="s">
        <v>3443</v>
      </c>
      <c r="E1319" s="65" t="s">
        <v>3430</v>
      </c>
      <c r="F1319" s="175" t="s">
        <v>3444</v>
      </c>
      <c r="G1319" s="66" t="s">
        <v>126</v>
      </c>
    </row>
    <row r="1320" spans="1:9" hidden="1" x14ac:dyDescent="0.25">
      <c r="A1320" s="11" t="s">
        <v>1818</v>
      </c>
      <c r="B1320" s="12" t="s">
        <v>1819</v>
      </c>
      <c r="C1320" s="13">
        <v>19</v>
      </c>
      <c r="D1320" s="118" t="s">
        <v>1855</v>
      </c>
      <c r="E1320" s="12" t="s">
        <v>1820</v>
      </c>
      <c r="F1320" s="12" t="s">
        <v>1856</v>
      </c>
      <c r="G1320" s="15" t="s">
        <v>780</v>
      </c>
      <c r="I1320" s="9">
        <v>15</v>
      </c>
    </row>
    <row r="1321" spans="1:9" ht="12.75" hidden="1" thickBot="1" x14ac:dyDescent="0.25">
      <c r="A1321" s="36" t="s">
        <v>93</v>
      </c>
      <c r="B1321" s="30" t="s">
        <v>94</v>
      </c>
      <c r="C1321" s="31">
        <v>47</v>
      </c>
      <c r="D1321" s="48" t="s">
        <v>192</v>
      </c>
      <c r="E1321" s="30" t="s">
        <v>96</v>
      </c>
      <c r="F1321" s="30" t="s">
        <v>193</v>
      </c>
      <c r="G1321" s="33" t="s">
        <v>19</v>
      </c>
    </row>
    <row r="1322" spans="1:9" hidden="1" x14ac:dyDescent="0.25">
      <c r="A1322" s="145" t="s">
        <v>5060</v>
      </c>
      <c r="B1322" s="61" t="s">
        <v>5061</v>
      </c>
      <c r="C1322" s="58">
        <v>42</v>
      </c>
      <c r="D1322" s="204" t="s">
        <v>5139</v>
      </c>
      <c r="E1322" s="89" t="s">
        <v>5062</v>
      </c>
      <c r="F1322" s="61" t="s">
        <v>5140</v>
      </c>
      <c r="G1322" s="62" t="s">
        <v>19</v>
      </c>
    </row>
    <row r="1323" spans="1:9" hidden="1" x14ac:dyDescent="0.25">
      <c r="A1323" s="146" t="s">
        <v>5060</v>
      </c>
      <c r="B1323" s="12" t="s">
        <v>5061</v>
      </c>
      <c r="C1323" s="13">
        <v>43</v>
      </c>
      <c r="D1323" s="118" t="s">
        <v>5141</v>
      </c>
      <c r="E1323" s="28" t="s">
        <v>5062</v>
      </c>
      <c r="F1323" s="12" t="s">
        <v>5142</v>
      </c>
      <c r="G1323" s="15" t="s">
        <v>19</v>
      </c>
    </row>
    <row r="1324" spans="1:9" hidden="1" x14ac:dyDescent="0.2">
      <c r="A1324" s="11" t="s">
        <v>93</v>
      </c>
      <c r="B1324" s="12" t="s">
        <v>94</v>
      </c>
      <c r="C1324" s="13">
        <v>19</v>
      </c>
      <c r="D1324" s="27" t="s">
        <v>131</v>
      </c>
      <c r="E1324" s="28" t="s">
        <v>96</v>
      </c>
      <c r="F1324" s="12" t="s">
        <v>132</v>
      </c>
      <c r="G1324" s="15" t="s">
        <v>19</v>
      </c>
    </row>
    <row r="1325" spans="1:9" hidden="1" x14ac:dyDescent="0.25">
      <c r="A1325" s="146" t="s">
        <v>5060</v>
      </c>
      <c r="B1325" s="12" t="s">
        <v>5061</v>
      </c>
      <c r="C1325" s="13">
        <v>41</v>
      </c>
      <c r="D1325" s="118" t="s">
        <v>5137</v>
      </c>
      <c r="E1325" s="28" t="s">
        <v>5062</v>
      </c>
      <c r="F1325" s="12" t="s">
        <v>5138</v>
      </c>
      <c r="G1325" s="15" t="s">
        <v>19</v>
      </c>
    </row>
    <row r="1326" spans="1:9" hidden="1" x14ac:dyDescent="0.25">
      <c r="A1326" s="146" t="s">
        <v>5060</v>
      </c>
      <c r="B1326" s="12" t="s">
        <v>5061</v>
      </c>
      <c r="C1326" s="13">
        <v>40</v>
      </c>
      <c r="D1326" s="118" t="s">
        <v>5135</v>
      </c>
      <c r="E1326" s="28" t="s">
        <v>5062</v>
      </c>
      <c r="F1326" s="12" t="s">
        <v>5136</v>
      </c>
      <c r="G1326" s="15" t="s">
        <v>19</v>
      </c>
    </row>
    <row r="1327" spans="1:9" hidden="1" x14ac:dyDescent="0.2">
      <c r="A1327" s="11" t="s">
        <v>93</v>
      </c>
      <c r="B1327" s="12" t="s">
        <v>94</v>
      </c>
      <c r="C1327" s="13">
        <v>18</v>
      </c>
      <c r="D1327" s="27" t="s">
        <v>129</v>
      </c>
      <c r="E1327" s="12" t="s">
        <v>96</v>
      </c>
      <c r="F1327" s="12" t="s">
        <v>130</v>
      </c>
      <c r="G1327" s="15" t="s">
        <v>19</v>
      </c>
    </row>
    <row r="1328" spans="1:9" ht="12.75" hidden="1" thickBot="1" x14ac:dyDescent="0.25">
      <c r="A1328" s="36" t="s">
        <v>3034</v>
      </c>
      <c r="B1328" s="30" t="s">
        <v>3035</v>
      </c>
      <c r="C1328" s="31">
        <f>+C1327+1</f>
        <v>19</v>
      </c>
      <c r="D1328" s="221" t="s">
        <v>3046</v>
      </c>
      <c r="E1328" s="32" t="s">
        <v>3036</v>
      </c>
      <c r="F1328" s="55" t="s">
        <v>3047</v>
      </c>
      <c r="G1328" s="68" t="s">
        <v>19</v>
      </c>
    </row>
    <row r="1329" spans="1:9" hidden="1" x14ac:dyDescent="0.25">
      <c r="A1329" s="183" t="s">
        <v>6189</v>
      </c>
      <c r="B1329" s="196" t="s">
        <v>6190</v>
      </c>
      <c r="C1329" s="200">
        <f>C1328+1</f>
        <v>20</v>
      </c>
      <c r="D1329" s="211" t="s">
        <v>3046</v>
      </c>
      <c r="E1329" s="196" t="s">
        <v>6191</v>
      </c>
      <c r="F1329" s="196" t="s">
        <v>6214</v>
      </c>
      <c r="G1329" s="160" t="s">
        <v>19</v>
      </c>
      <c r="I1329" s="101" t="s">
        <v>54</v>
      </c>
    </row>
    <row r="1330" spans="1:9" hidden="1" x14ac:dyDescent="0.25">
      <c r="A1330" s="81" t="s">
        <v>6371</v>
      </c>
      <c r="B1330" s="82" t="s">
        <v>6372</v>
      </c>
      <c r="C1330" s="83">
        <v>12</v>
      </c>
      <c r="D1330" s="205" t="s">
        <v>3046</v>
      </c>
      <c r="E1330" s="82" t="s">
        <v>6373</v>
      </c>
      <c r="F1330" s="82" t="s">
        <v>6386</v>
      </c>
      <c r="G1330" s="84" t="s">
        <v>6041</v>
      </c>
      <c r="I1330" s="101" t="s">
        <v>2778</v>
      </c>
    </row>
    <row r="1331" spans="1:9" hidden="1" x14ac:dyDescent="0.2">
      <c r="A1331" s="11" t="s">
        <v>6614</v>
      </c>
      <c r="B1331" s="12" t="s">
        <v>6615</v>
      </c>
      <c r="C1331" s="13">
        <v>13</v>
      </c>
      <c r="D1331" s="27" t="s">
        <v>3046</v>
      </c>
      <c r="E1331" s="12" t="s">
        <v>6616</v>
      </c>
      <c r="F1331" s="12" t="s">
        <v>6629</v>
      </c>
      <c r="G1331" s="15" t="s">
        <v>19</v>
      </c>
    </row>
    <row r="1332" spans="1:9" hidden="1" x14ac:dyDescent="0.2">
      <c r="A1332" s="11" t="s">
        <v>2867</v>
      </c>
      <c r="B1332" s="12" t="s">
        <v>2868</v>
      </c>
      <c r="C1332" s="13">
        <v>47</v>
      </c>
      <c r="D1332" s="27" t="s">
        <v>2952</v>
      </c>
      <c r="E1332" s="12" t="s">
        <v>2869</v>
      </c>
      <c r="F1332" s="65" t="s">
        <v>2953</v>
      </c>
      <c r="G1332" s="66" t="s">
        <v>19</v>
      </c>
    </row>
    <row r="1333" spans="1:9" hidden="1" x14ac:dyDescent="0.25">
      <c r="A1333" s="11" t="s">
        <v>5645</v>
      </c>
      <c r="B1333" s="12" t="s">
        <v>5646</v>
      </c>
      <c r="C1333" s="13">
        <v>9</v>
      </c>
      <c r="D1333" s="118" t="s">
        <v>5660</v>
      </c>
      <c r="E1333" s="12" t="s">
        <v>5647</v>
      </c>
      <c r="F1333" s="12" t="s">
        <v>5661</v>
      </c>
      <c r="G1333" s="15" t="s">
        <v>126</v>
      </c>
    </row>
    <row r="1334" spans="1:9" hidden="1" x14ac:dyDescent="0.25">
      <c r="A1334" s="11" t="s">
        <v>5957</v>
      </c>
      <c r="B1334" s="12" t="s">
        <v>5958</v>
      </c>
      <c r="C1334" s="13">
        <v>10</v>
      </c>
      <c r="D1334" s="118" t="s">
        <v>5660</v>
      </c>
      <c r="E1334" s="12" t="s">
        <v>5959</v>
      </c>
      <c r="F1334" s="12" t="s">
        <v>5971</v>
      </c>
      <c r="G1334" s="15" t="s">
        <v>126</v>
      </c>
      <c r="I1334" s="9">
        <v>15</v>
      </c>
    </row>
    <row r="1335" spans="1:9" hidden="1" x14ac:dyDescent="0.2">
      <c r="A1335" s="11" t="s">
        <v>2631</v>
      </c>
      <c r="B1335" s="12" t="s">
        <v>2632</v>
      </c>
      <c r="C1335" s="13">
        <v>116</v>
      </c>
      <c r="D1335" s="27" t="s">
        <v>2864</v>
      </c>
      <c r="E1335" s="12" t="s">
        <v>2634</v>
      </c>
      <c r="F1335" s="65" t="s">
        <v>2865</v>
      </c>
      <c r="G1335" s="66" t="s">
        <v>2866</v>
      </c>
      <c r="I1335" s="9">
        <v>15</v>
      </c>
    </row>
    <row r="1336" spans="1:9" hidden="1" x14ac:dyDescent="0.2">
      <c r="A1336" s="11" t="s">
        <v>3165</v>
      </c>
      <c r="B1336" s="12" t="s">
        <v>3166</v>
      </c>
      <c r="C1336" s="13">
        <v>116</v>
      </c>
      <c r="D1336" s="27" t="s">
        <v>2864</v>
      </c>
      <c r="E1336" s="12" t="s">
        <v>3167</v>
      </c>
      <c r="F1336" s="65" t="s">
        <v>3354</v>
      </c>
      <c r="G1336" s="66" t="s">
        <v>2866</v>
      </c>
      <c r="I1336" s="9">
        <v>15</v>
      </c>
    </row>
    <row r="1337" spans="1:9" hidden="1" x14ac:dyDescent="0.2">
      <c r="A1337" s="11" t="s">
        <v>2631</v>
      </c>
      <c r="B1337" s="12" t="s">
        <v>2632</v>
      </c>
      <c r="C1337" s="13">
        <f>C1336+1</f>
        <v>117</v>
      </c>
      <c r="D1337" s="27" t="s">
        <v>2843</v>
      </c>
      <c r="E1337" s="12" t="s">
        <v>2634</v>
      </c>
      <c r="F1337" s="65" t="s">
        <v>2844</v>
      </c>
      <c r="G1337" s="66" t="s">
        <v>687</v>
      </c>
      <c r="I1337" s="94">
        <v>14</v>
      </c>
    </row>
    <row r="1338" spans="1:9" hidden="1" x14ac:dyDescent="0.2">
      <c r="A1338" s="11" t="s">
        <v>3165</v>
      </c>
      <c r="B1338" s="12" t="s">
        <v>3166</v>
      </c>
      <c r="C1338" s="13">
        <f>C1337+1</f>
        <v>118</v>
      </c>
      <c r="D1338" s="118" t="s">
        <v>3345</v>
      </c>
      <c r="E1338" s="12" t="s">
        <v>3167</v>
      </c>
      <c r="F1338" s="12" t="s">
        <v>3346</v>
      </c>
      <c r="G1338" s="66" t="s">
        <v>687</v>
      </c>
      <c r="I1338" s="94">
        <v>14</v>
      </c>
    </row>
    <row r="1339" spans="1:9" hidden="1" x14ac:dyDescent="0.2">
      <c r="A1339" s="11" t="s">
        <v>2631</v>
      </c>
      <c r="B1339" s="12" t="s">
        <v>2632</v>
      </c>
      <c r="C1339" s="13">
        <v>41</v>
      </c>
      <c r="D1339" s="27" t="s">
        <v>2709</v>
      </c>
      <c r="E1339" s="12" t="s">
        <v>2634</v>
      </c>
      <c r="F1339" s="175" t="s">
        <v>2710</v>
      </c>
      <c r="G1339" s="66" t="s">
        <v>862</v>
      </c>
      <c r="I1339" s="94">
        <v>14</v>
      </c>
    </row>
    <row r="1340" spans="1:9" hidden="1" x14ac:dyDescent="0.2">
      <c r="A1340" s="11" t="s">
        <v>2631</v>
      </c>
      <c r="B1340" s="12" t="s">
        <v>2632</v>
      </c>
      <c r="C1340" s="13">
        <v>28</v>
      </c>
      <c r="D1340" s="27" t="s">
        <v>2683</v>
      </c>
      <c r="E1340" s="12" t="s">
        <v>2634</v>
      </c>
      <c r="F1340" s="65" t="s">
        <v>2684</v>
      </c>
      <c r="G1340" s="66" t="s">
        <v>862</v>
      </c>
      <c r="I1340" s="94">
        <v>14</v>
      </c>
    </row>
    <row r="1341" spans="1:9" hidden="1" x14ac:dyDescent="0.2">
      <c r="A1341" s="11" t="s">
        <v>3165</v>
      </c>
      <c r="B1341" s="12" t="s">
        <v>3166</v>
      </c>
      <c r="C1341" s="13">
        <v>19</v>
      </c>
      <c r="D1341" s="118" t="s">
        <v>2683</v>
      </c>
      <c r="E1341" s="12" t="s">
        <v>3167</v>
      </c>
      <c r="F1341" s="65" t="s">
        <v>3192</v>
      </c>
      <c r="G1341" s="66" t="s">
        <v>862</v>
      </c>
      <c r="I1341" s="94">
        <v>14</v>
      </c>
    </row>
    <row r="1342" spans="1:9" hidden="1" x14ac:dyDescent="0.2">
      <c r="A1342" s="11" t="s">
        <v>2867</v>
      </c>
      <c r="B1342" s="12" t="s">
        <v>2868</v>
      </c>
      <c r="C1342" s="13">
        <v>53</v>
      </c>
      <c r="D1342" s="27" t="s">
        <v>2964</v>
      </c>
      <c r="E1342" s="12" t="s">
        <v>2869</v>
      </c>
      <c r="F1342" s="65" t="s">
        <v>2965</v>
      </c>
      <c r="G1342" s="66" t="s">
        <v>32</v>
      </c>
    </row>
    <row r="1343" spans="1:9" hidden="1" x14ac:dyDescent="0.2">
      <c r="A1343" s="11" t="s">
        <v>2867</v>
      </c>
      <c r="B1343" s="12" t="s">
        <v>2868</v>
      </c>
      <c r="C1343" s="13">
        <v>48</v>
      </c>
      <c r="D1343" s="27" t="s">
        <v>2954</v>
      </c>
      <c r="E1343" s="12" t="s">
        <v>2869</v>
      </c>
      <c r="F1343" s="65" t="s">
        <v>2955</v>
      </c>
      <c r="G1343" s="66" t="s">
        <v>126</v>
      </c>
    </row>
    <row r="1344" spans="1:9" hidden="1" x14ac:dyDescent="0.2">
      <c r="A1344" s="11" t="s">
        <v>3165</v>
      </c>
      <c r="B1344" s="12" t="s">
        <v>3166</v>
      </c>
      <c r="C1344" s="13">
        <f>C1343+1</f>
        <v>49</v>
      </c>
      <c r="D1344" s="118" t="s">
        <v>3274</v>
      </c>
      <c r="E1344" s="12" t="s">
        <v>3167</v>
      </c>
      <c r="F1344" s="65" t="s">
        <v>3275</v>
      </c>
      <c r="G1344" s="66" t="s">
        <v>862</v>
      </c>
      <c r="I1344" s="94">
        <v>14</v>
      </c>
    </row>
    <row r="1345" spans="1:27" hidden="1" x14ac:dyDescent="0.2">
      <c r="A1345" s="11" t="s">
        <v>791</v>
      </c>
      <c r="B1345" s="12" t="s">
        <v>792</v>
      </c>
      <c r="C1345" s="13">
        <v>9</v>
      </c>
      <c r="D1345" s="27" t="s">
        <v>807</v>
      </c>
      <c r="E1345" s="12" t="s">
        <v>793</v>
      </c>
      <c r="F1345" s="12" t="s">
        <v>808</v>
      </c>
      <c r="G1345" s="15" t="s">
        <v>800</v>
      </c>
      <c r="I1345" s="9">
        <v>15</v>
      </c>
    </row>
    <row r="1346" spans="1:27" hidden="1" x14ac:dyDescent="0.2">
      <c r="A1346" s="11" t="s">
        <v>791</v>
      </c>
      <c r="B1346" s="12" t="s">
        <v>792</v>
      </c>
      <c r="C1346" s="13">
        <v>6</v>
      </c>
      <c r="D1346" s="27" t="s">
        <v>801</v>
      </c>
      <c r="E1346" s="12" t="s">
        <v>793</v>
      </c>
      <c r="F1346" s="12" t="s">
        <v>802</v>
      </c>
      <c r="G1346" s="15" t="s">
        <v>800</v>
      </c>
      <c r="I1346" s="9">
        <v>15</v>
      </c>
    </row>
    <row r="1347" spans="1:27" hidden="1" x14ac:dyDescent="0.2">
      <c r="A1347" s="11" t="s">
        <v>791</v>
      </c>
      <c r="B1347" s="12" t="s">
        <v>792</v>
      </c>
      <c r="C1347" s="13">
        <v>8</v>
      </c>
      <c r="D1347" s="27" t="s">
        <v>805</v>
      </c>
      <c r="E1347" s="12" t="s">
        <v>793</v>
      </c>
      <c r="F1347" s="12" t="s">
        <v>806</v>
      </c>
      <c r="G1347" s="15" t="s">
        <v>800</v>
      </c>
      <c r="I1347" s="9">
        <v>15</v>
      </c>
    </row>
    <row r="1348" spans="1:27" hidden="1" x14ac:dyDescent="0.2">
      <c r="A1348" s="11" t="s">
        <v>791</v>
      </c>
      <c r="B1348" s="12" t="s">
        <v>792</v>
      </c>
      <c r="C1348" s="13">
        <v>5</v>
      </c>
      <c r="D1348" s="27" t="s">
        <v>798</v>
      </c>
      <c r="E1348" s="12" t="s">
        <v>793</v>
      </c>
      <c r="F1348" s="12" t="s">
        <v>799</v>
      </c>
      <c r="G1348" s="15" t="s">
        <v>800</v>
      </c>
      <c r="I1348" s="9">
        <v>15</v>
      </c>
    </row>
    <row r="1349" spans="1:27" hidden="1" x14ac:dyDescent="0.2">
      <c r="A1349" s="11" t="s">
        <v>791</v>
      </c>
      <c r="B1349" s="12" t="s">
        <v>792</v>
      </c>
      <c r="C1349" s="13">
        <v>7</v>
      </c>
      <c r="D1349" s="27" t="s">
        <v>803</v>
      </c>
      <c r="E1349" s="12" t="s">
        <v>793</v>
      </c>
      <c r="F1349" s="12" t="s">
        <v>804</v>
      </c>
      <c r="G1349" s="15" t="s">
        <v>800</v>
      </c>
      <c r="I1349" s="9">
        <v>15</v>
      </c>
    </row>
    <row r="1350" spans="1:27" hidden="1" x14ac:dyDescent="0.2">
      <c r="A1350" s="11" t="s">
        <v>585</v>
      </c>
      <c r="B1350" s="12" t="s">
        <v>586</v>
      </c>
      <c r="C1350" s="13">
        <v>10</v>
      </c>
      <c r="D1350" s="27" t="s">
        <v>604</v>
      </c>
      <c r="E1350" s="12" t="s">
        <v>587</v>
      </c>
      <c r="F1350" s="12" t="s">
        <v>605</v>
      </c>
      <c r="G1350" s="15" t="s">
        <v>595</v>
      </c>
      <c r="I1350" s="99">
        <v>13</v>
      </c>
    </row>
    <row r="1351" spans="1:27" hidden="1" x14ac:dyDescent="0.2">
      <c r="A1351" s="11" t="s">
        <v>2631</v>
      </c>
      <c r="B1351" s="12" t="s">
        <v>2632</v>
      </c>
      <c r="C1351" s="13">
        <f>C1350+1</f>
        <v>11</v>
      </c>
      <c r="D1351" s="176" t="s">
        <v>2793</v>
      </c>
      <c r="E1351" s="12" t="s">
        <v>2634</v>
      </c>
      <c r="F1351" s="65" t="s">
        <v>2794</v>
      </c>
      <c r="G1351" s="66" t="s">
        <v>862</v>
      </c>
      <c r="I1351" s="94" t="s">
        <v>2778</v>
      </c>
    </row>
    <row r="1352" spans="1:27" s="40" customFormat="1" ht="12.75" hidden="1" thickBot="1" x14ac:dyDescent="0.25">
      <c r="A1352" s="36" t="s">
        <v>3165</v>
      </c>
      <c r="B1352" s="30" t="s">
        <v>3166</v>
      </c>
      <c r="C1352" s="31">
        <f>C1351+1</f>
        <v>12</v>
      </c>
      <c r="D1352" s="159" t="s">
        <v>2793</v>
      </c>
      <c r="E1352" s="30" t="s">
        <v>3167</v>
      </c>
      <c r="F1352" s="30" t="s">
        <v>3303</v>
      </c>
      <c r="G1352" s="68" t="s">
        <v>862</v>
      </c>
      <c r="H1352" s="8"/>
      <c r="I1352" s="94" t="s">
        <v>2778</v>
      </c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</row>
    <row r="1353" spans="1:27" hidden="1" x14ac:dyDescent="0.2">
      <c r="A1353" s="56" t="s">
        <v>2631</v>
      </c>
      <c r="B1353" s="61" t="s">
        <v>2632</v>
      </c>
      <c r="C1353" s="58">
        <f>C1352+1</f>
        <v>13</v>
      </c>
      <c r="D1353" s="233" t="s">
        <v>2791</v>
      </c>
      <c r="E1353" s="61" t="s">
        <v>2634</v>
      </c>
      <c r="F1353" s="74" t="s">
        <v>2792</v>
      </c>
      <c r="G1353" s="129" t="s">
        <v>862</v>
      </c>
      <c r="I1353" s="94" t="s">
        <v>2778</v>
      </c>
    </row>
    <row r="1354" spans="1:27" hidden="1" x14ac:dyDescent="0.2">
      <c r="A1354" s="11" t="s">
        <v>3165</v>
      </c>
      <c r="B1354" s="12" t="s">
        <v>3166</v>
      </c>
      <c r="C1354" s="13">
        <f>C1353+1</f>
        <v>14</v>
      </c>
      <c r="D1354" s="118" t="s">
        <v>2791</v>
      </c>
      <c r="E1354" s="12" t="s">
        <v>3167</v>
      </c>
      <c r="F1354" s="12" t="s">
        <v>3302</v>
      </c>
      <c r="G1354" s="66" t="s">
        <v>862</v>
      </c>
      <c r="I1354" s="94" t="s">
        <v>2778</v>
      </c>
    </row>
    <row r="1355" spans="1:27" hidden="1" x14ac:dyDescent="0.2">
      <c r="A1355" s="11" t="s">
        <v>2988</v>
      </c>
      <c r="B1355" s="12" t="s">
        <v>2989</v>
      </c>
      <c r="C1355" s="13">
        <f>1+C1354</f>
        <v>15</v>
      </c>
      <c r="D1355" s="176" t="s">
        <v>3008</v>
      </c>
      <c r="E1355" s="12" t="s">
        <v>2990</v>
      </c>
      <c r="F1355" s="175" t="s">
        <v>3009</v>
      </c>
      <c r="G1355" s="66" t="s">
        <v>126</v>
      </c>
    </row>
    <row r="1356" spans="1:27" hidden="1" x14ac:dyDescent="0.2">
      <c r="A1356" s="11" t="s">
        <v>2867</v>
      </c>
      <c r="B1356" s="12" t="s">
        <v>2868</v>
      </c>
      <c r="C1356" s="13">
        <v>51</v>
      </c>
      <c r="D1356" s="27" t="s">
        <v>2960</v>
      </c>
      <c r="E1356" s="12" t="s">
        <v>2869</v>
      </c>
      <c r="F1356" s="65" t="s">
        <v>2961</v>
      </c>
      <c r="G1356" s="66" t="s">
        <v>19</v>
      </c>
    </row>
    <row r="1357" spans="1:27" hidden="1" x14ac:dyDescent="0.2">
      <c r="A1357" s="11" t="s">
        <v>2566</v>
      </c>
      <c r="B1357" s="12" t="s">
        <v>2567</v>
      </c>
      <c r="C1357" s="13">
        <v>19</v>
      </c>
      <c r="D1357" s="27" t="s">
        <v>2598</v>
      </c>
      <c r="E1357" s="12" t="s">
        <v>2568</v>
      </c>
      <c r="F1357" s="175" t="s">
        <v>2599</v>
      </c>
      <c r="G1357" s="66" t="s">
        <v>126</v>
      </c>
    </row>
    <row r="1358" spans="1:27" hidden="1" x14ac:dyDescent="0.2">
      <c r="A1358" s="11" t="s">
        <v>2867</v>
      </c>
      <c r="B1358" s="12" t="s">
        <v>2868</v>
      </c>
      <c r="C1358" s="13">
        <v>40</v>
      </c>
      <c r="D1358" s="27" t="s">
        <v>2940</v>
      </c>
      <c r="E1358" s="12" t="s">
        <v>2869</v>
      </c>
      <c r="F1358" s="65" t="s">
        <v>2941</v>
      </c>
      <c r="G1358" s="66" t="s">
        <v>126</v>
      </c>
    </row>
    <row r="1359" spans="1:27" hidden="1" x14ac:dyDescent="0.2">
      <c r="A1359" s="11" t="s">
        <v>2631</v>
      </c>
      <c r="B1359" s="12" t="s">
        <v>2632</v>
      </c>
      <c r="C1359" s="13">
        <v>13</v>
      </c>
      <c r="D1359" s="27" t="s">
        <v>2653</v>
      </c>
      <c r="E1359" s="12" t="s">
        <v>2634</v>
      </c>
      <c r="F1359" s="175" t="s">
        <v>2654</v>
      </c>
      <c r="G1359" s="66" t="s">
        <v>862</v>
      </c>
      <c r="I1359" s="94">
        <v>14</v>
      </c>
    </row>
    <row r="1360" spans="1:27" hidden="1" x14ac:dyDescent="0.2">
      <c r="A1360" s="11" t="s">
        <v>3165</v>
      </c>
      <c r="B1360" s="12" t="s">
        <v>3166</v>
      </c>
      <c r="C1360" s="13">
        <v>14</v>
      </c>
      <c r="D1360" s="118" t="s">
        <v>2653</v>
      </c>
      <c r="E1360" s="12" t="s">
        <v>3167</v>
      </c>
      <c r="F1360" s="65" t="s">
        <v>3186</v>
      </c>
      <c r="G1360" s="66" t="s">
        <v>862</v>
      </c>
      <c r="I1360" s="94">
        <v>14</v>
      </c>
    </row>
    <row r="1361" spans="1:10" hidden="1" x14ac:dyDescent="0.25">
      <c r="A1361" s="11" t="s">
        <v>5686</v>
      </c>
      <c r="B1361" s="12" t="s">
        <v>5687</v>
      </c>
      <c r="C1361" s="13">
        <v>85</v>
      </c>
      <c r="D1361" s="118" t="s">
        <v>5846</v>
      </c>
      <c r="E1361" s="12" t="s">
        <v>5688</v>
      </c>
      <c r="F1361" s="12" t="s">
        <v>5847</v>
      </c>
      <c r="G1361" s="15" t="s">
        <v>800</v>
      </c>
      <c r="I1361" s="79">
        <v>15</v>
      </c>
    </row>
    <row r="1362" spans="1:10" hidden="1" x14ac:dyDescent="0.2">
      <c r="A1362" s="11" t="s">
        <v>2566</v>
      </c>
      <c r="B1362" s="12" t="s">
        <v>2567</v>
      </c>
      <c r="C1362" s="13">
        <v>13</v>
      </c>
      <c r="D1362" s="27" t="s">
        <v>2586</v>
      </c>
      <c r="E1362" s="12" t="s">
        <v>2568</v>
      </c>
      <c r="F1362" s="65" t="s">
        <v>2587</v>
      </c>
      <c r="G1362" s="66" t="s">
        <v>126</v>
      </c>
    </row>
    <row r="1363" spans="1:10" hidden="1" x14ac:dyDescent="0.2">
      <c r="A1363" s="11" t="s">
        <v>2867</v>
      </c>
      <c r="B1363" s="12" t="s">
        <v>2868</v>
      </c>
      <c r="C1363" s="13">
        <v>39</v>
      </c>
      <c r="D1363" s="27" t="s">
        <v>2938</v>
      </c>
      <c r="E1363" s="12" t="s">
        <v>2869</v>
      </c>
      <c r="F1363" s="65" t="s">
        <v>2939</v>
      </c>
      <c r="G1363" s="66" t="s">
        <v>126</v>
      </c>
    </row>
    <row r="1364" spans="1:10" hidden="1" x14ac:dyDescent="0.2">
      <c r="A1364" s="11" t="s">
        <v>3355</v>
      </c>
      <c r="B1364" s="12" t="s">
        <v>3356</v>
      </c>
      <c r="C1364" s="13">
        <v>16</v>
      </c>
      <c r="D1364" s="118" t="s">
        <v>3378</v>
      </c>
      <c r="E1364" s="12" t="s">
        <v>3357</v>
      </c>
      <c r="F1364" s="65" t="s">
        <v>3379</v>
      </c>
      <c r="G1364" s="66" t="s">
        <v>126</v>
      </c>
    </row>
    <row r="1365" spans="1:10" hidden="1" x14ac:dyDescent="0.2">
      <c r="A1365" s="11" t="s">
        <v>4634</v>
      </c>
      <c r="B1365" s="12" t="s">
        <v>4635</v>
      </c>
      <c r="C1365" s="13">
        <v>8</v>
      </c>
      <c r="D1365" s="76" t="s">
        <v>4646</v>
      </c>
      <c r="E1365" s="65" t="s">
        <v>4636</v>
      </c>
      <c r="F1365" s="65" t="s">
        <v>4647</v>
      </c>
      <c r="G1365" s="66" t="s">
        <v>126</v>
      </c>
    </row>
    <row r="1366" spans="1:10" hidden="1" x14ac:dyDescent="0.2">
      <c r="A1366" s="11" t="s">
        <v>4680</v>
      </c>
      <c r="B1366" s="12" t="s">
        <v>4681</v>
      </c>
      <c r="C1366" s="13">
        <v>9</v>
      </c>
      <c r="D1366" s="76" t="s">
        <v>4646</v>
      </c>
      <c r="E1366" s="65" t="s">
        <v>4682</v>
      </c>
      <c r="F1366" s="65" t="s">
        <v>4693</v>
      </c>
      <c r="G1366" s="66" t="s">
        <v>126</v>
      </c>
    </row>
    <row r="1367" spans="1:10" ht="12.75" hidden="1" thickBot="1" x14ac:dyDescent="0.25">
      <c r="A1367" s="36" t="s">
        <v>5501</v>
      </c>
      <c r="B1367" s="30" t="s">
        <v>5502</v>
      </c>
      <c r="C1367" s="31">
        <v>3</v>
      </c>
      <c r="D1367" s="206" t="s">
        <v>4646</v>
      </c>
      <c r="E1367" s="30" t="s">
        <v>5504</v>
      </c>
      <c r="F1367" s="67" t="s">
        <v>5508</v>
      </c>
      <c r="G1367" s="152" t="s">
        <v>126</v>
      </c>
      <c r="I1367" s="90">
        <v>12</v>
      </c>
    </row>
    <row r="1368" spans="1:10" hidden="1" x14ac:dyDescent="0.25">
      <c r="A1368" s="56" t="s">
        <v>1882</v>
      </c>
      <c r="B1368" s="61" t="s">
        <v>1883</v>
      </c>
      <c r="C1368" s="58">
        <v>5</v>
      </c>
      <c r="D1368" s="226" t="s">
        <v>1890</v>
      </c>
      <c r="E1368" s="61" t="s">
        <v>1884</v>
      </c>
      <c r="F1368" s="61" t="s">
        <v>1891</v>
      </c>
      <c r="G1368" s="62" t="s">
        <v>569</v>
      </c>
      <c r="I1368" s="9">
        <v>15</v>
      </c>
    </row>
    <row r="1369" spans="1:10" ht="24" hidden="1" x14ac:dyDescent="0.25">
      <c r="A1369" s="11" t="s">
        <v>2237</v>
      </c>
      <c r="B1369" s="8" t="s">
        <v>2238</v>
      </c>
      <c r="C1369" s="13">
        <v>12</v>
      </c>
      <c r="D1369" s="118" t="s">
        <v>2259</v>
      </c>
      <c r="E1369" s="12" t="s">
        <v>2239</v>
      </c>
      <c r="F1369" s="12" t="s">
        <v>2260</v>
      </c>
      <c r="G1369" s="15" t="s">
        <v>276</v>
      </c>
      <c r="I1369" s="54">
        <v>15</v>
      </c>
      <c r="J1369" s="52"/>
    </row>
    <row r="1370" spans="1:10" ht="15" hidden="1" x14ac:dyDescent="0.25">
      <c r="A1370" s="11" t="s">
        <v>2179</v>
      </c>
      <c r="B1370" s="8" t="s">
        <v>2180</v>
      </c>
      <c r="C1370" s="13">
        <v>8</v>
      </c>
      <c r="D1370" s="118" t="s">
        <v>2192</v>
      </c>
      <c r="E1370" s="12" t="s">
        <v>2181</v>
      </c>
      <c r="F1370" s="12" t="s">
        <v>2193</v>
      </c>
      <c r="G1370" s="15" t="s">
        <v>191</v>
      </c>
      <c r="I1370" s="54">
        <v>15</v>
      </c>
      <c r="J1370" s="52"/>
    </row>
    <row r="1371" spans="1:10" ht="15" hidden="1" x14ac:dyDescent="0.25">
      <c r="A1371" s="11" t="s">
        <v>2179</v>
      </c>
      <c r="B1371" s="8" t="s">
        <v>2180</v>
      </c>
      <c r="C1371" s="13">
        <v>6</v>
      </c>
      <c r="D1371" s="118" t="s">
        <v>2188</v>
      </c>
      <c r="E1371" s="12" t="s">
        <v>2181</v>
      </c>
      <c r="F1371" s="12" t="s">
        <v>2189</v>
      </c>
      <c r="G1371" s="15" t="s">
        <v>191</v>
      </c>
      <c r="I1371" s="54">
        <v>15</v>
      </c>
      <c r="J1371" s="52"/>
    </row>
    <row r="1372" spans="1:10" hidden="1" x14ac:dyDescent="0.25">
      <c r="A1372" s="11" t="s">
        <v>1031</v>
      </c>
      <c r="B1372" s="12" t="s">
        <v>1032</v>
      </c>
      <c r="C1372" s="13">
        <v>25</v>
      </c>
      <c r="D1372" s="76" t="s">
        <v>1080</v>
      </c>
      <c r="E1372" s="12" t="s">
        <v>1033</v>
      </c>
      <c r="F1372" s="12" t="s">
        <v>1081</v>
      </c>
      <c r="G1372" s="15" t="s">
        <v>1047</v>
      </c>
      <c r="I1372" s="9">
        <v>15</v>
      </c>
    </row>
    <row r="1373" spans="1:10" hidden="1" x14ac:dyDescent="0.2">
      <c r="A1373" s="11" t="s">
        <v>4087</v>
      </c>
      <c r="B1373" s="12" t="s">
        <v>4088</v>
      </c>
      <c r="C1373" s="13">
        <f>C1372+1</f>
        <v>26</v>
      </c>
      <c r="D1373" s="118" t="s">
        <v>4163</v>
      </c>
      <c r="E1373" s="12" t="s">
        <v>4089</v>
      </c>
      <c r="F1373" s="12" t="s">
        <v>4164</v>
      </c>
      <c r="G1373" s="66" t="s">
        <v>4165</v>
      </c>
      <c r="I1373" s="90" t="s">
        <v>2426</v>
      </c>
    </row>
    <row r="1374" spans="1:10" hidden="1" x14ac:dyDescent="0.2">
      <c r="A1374" s="11" t="s">
        <v>4212</v>
      </c>
      <c r="B1374" s="12" t="s">
        <v>4213</v>
      </c>
      <c r="C1374" s="13">
        <f>C1373+1</f>
        <v>27</v>
      </c>
      <c r="D1374" s="118" t="s">
        <v>4163</v>
      </c>
      <c r="E1374" s="12" t="s">
        <v>4214</v>
      </c>
      <c r="F1374" s="12" t="s">
        <v>4285</v>
      </c>
      <c r="G1374" s="66" t="s">
        <v>4165</v>
      </c>
      <c r="I1374" s="90" t="s">
        <v>2426</v>
      </c>
    </row>
    <row r="1375" spans="1:10" hidden="1" x14ac:dyDescent="0.2">
      <c r="A1375" s="11" t="s">
        <v>4087</v>
      </c>
      <c r="B1375" s="12" t="s">
        <v>4088</v>
      </c>
      <c r="C1375" s="13">
        <f>C1374+1</f>
        <v>28</v>
      </c>
      <c r="D1375" s="118" t="s">
        <v>4166</v>
      </c>
      <c r="E1375" s="12" t="s">
        <v>4089</v>
      </c>
      <c r="F1375" s="12" t="s">
        <v>4167</v>
      </c>
      <c r="G1375" s="66" t="s">
        <v>4165</v>
      </c>
      <c r="I1375" s="90" t="s">
        <v>2426</v>
      </c>
    </row>
    <row r="1376" spans="1:10" hidden="1" x14ac:dyDescent="0.2">
      <c r="A1376" s="11" t="s">
        <v>4212</v>
      </c>
      <c r="B1376" s="12" t="s">
        <v>4213</v>
      </c>
      <c r="C1376" s="13">
        <f>C1375+1</f>
        <v>29</v>
      </c>
      <c r="D1376" s="118" t="s">
        <v>4166</v>
      </c>
      <c r="E1376" s="12" t="s">
        <v>4214</v>
      </c>
      <c r="F1376" s="12" t="s">
        <v>4286</v>
      </c>
      <c r="G1376" s="66" t="s">
        <v>4165</v>
      </c>
      <c r="I1376" s="90" t="s">
        <v>2426</v>
      </c>
    </row>
    <row r="1377" spans="1:9" hidden="1" x14ac:dyDescent="0.2">
      <c r="A1377" s="11" t="s">
        <v>2404</v>
      </c>
      <c r="B1377" s="12" t="s">
        <v>2405</v>
      </c>
      <c r="C1377" s="13">
        <v>1</v>
      </c>
      <c r="D1377" s="24" t="s">
        <v>2406</v>
      </c>
      <c r="E1377" s="8" t="s">
        <v>2407</v>
      </c>
      <c r="F1377" s="22" t="s">
        <v>2408</v>
      </c>
      <c r="G1377" s="15" t="s">
        <v>2409</v>
      </c>
    </row>
    <row r="1378" spans="1:9" hidden="1" x14ac:dyDescent="0.25">
      <c r="A1378" s="11" t="s">
        <v>5428</v>
      </c>
      <c r="B1378" s="12" t="s">
        <v>5429</v>
      </c>
      <c r="C1378" s="13">
        <v>2</v>
      </c>
      <c r="D1378" s="117" t="s">
        <v>2406</v>
      </c>
      <c r="E1378" s="12" t="s">
        <v>5430</v>
      </c>
      <c r="F1378" s="22" t="s">
        <v>5432</v>
      </c>
      <c r="G1378" s="15" t="s">
        <v>2409</v>
      </c>
    </row>
    <row r="1379" spans="1:9" hidden="1" x14ac:dyDescent="0.2">
      <c r="A1379" s="11" t="s">
        <v>585</v>
      </c>
      <c r="B1379" s="12" t="s">
        <v>586</v>
      </c>
      <c r="C1379" s="13">
        <v>7</v>
      </c>
      <c r="D1379" s="27" t="s">
        <v>598</v>
      </c>
      <c r="E1379" s="12" t="s">
        <v>587</v>
      </c>
      <c r="F1379" s="12" t="s">
        <v>599</v>
      </c>
      <c r="G1379" s="15" t="s">
        <v>595</v>
      </c>
      <c r="I1379" s="99">
        <v>13</v>
      </c>
    </row>
    <row r="1380" spans="1:9" hidden="1" x14ac:dyDescent="0.2">
      <c r="A1380" s="11" t="s">
        <v>2631</v>
      </c>
      <c r="B1380" s="12" t="s">
        <v>2632</v>
      </c>
      <c r="C1380" s="13">
        <v>30</v>
      </c>
      <c r="D1380" s="27" t="s">
        <v>2687</v>
      </c>
      <c r="E1380" s="12" t="s">
        <v>2634</v>
      </c>
      <c r="F1380" s="65" t="s">
        <v>2688</v>
      </c>
      <c r="G1380" s="92" t="s">
        <v>2512</v>
      </c>
      <c r="I1380" s="9">
        <v>15</v>
      </c>
    </row>
    <row r="1381" spans="1:9" hidden="1" x14ac:dyDescent="0.2">
      <c r="A1381" s="11" t="s">
        <v>3165</v>
      </c>
      <c r="B1381" s="12" t="s">
        <v>3166</v>
      </c>
      <c r="C1381" s="13">
        <v>21</v>
      </c>
      <c r="D1381" s="118" t="s">
        <v>2687</v>
      </c>
      <c r="E1381" s="12" t="s">
        <v>3167</v>
      </c>
      <c r="F1381" s="65" t="s">
        <v>3194</v>
      </c>
      <c r="G1381" s="66" t="s">
        <v>2512</v>
      </c>
      <c r="I1381" s="9">
        <v>15</v>
      </c>
    </row>
    <row r="1382" spans="1:9" hidden="1" x14ac:dyDescent="0.2">
      <c r="A1382" s="11" t="s">
        <v>2867</v>
      </c>
      <c r="B1382" s="12" t="s">
        <v>2868</v>
      </c>
      <c r="C1382" s="13">
        <v>10</v>
      </c>
      <c r="D1382" s="27" t="s">
        <v>2883</v>
      </c>
      <c r="E1382" s="12" t="s">
        <v>2869</v>
      </c>
      <c r="F1382" s="65" t="s">
        <v>2884</v>
      </c>
      <c r="G1382" s="66" t="s">
        <v>126</v>
      </c>
    </row>
    <row r="1383" spans="1:9" hidden="1" x14ac:dyDescent="0.2">
      <c r="A1383" s="11" t="s">
        <v>585</v>
      </c>
      <c r="B1383" s="12" t="s">
        <v>586</v>
      </c>
      <c r="C1383" s="13">
        <v>6</v>
      </c>
      <c r="D1383" s="27" t="s">
        <v>596</v>
      </c>
      <c r="E1383" s="12" t="s">
        <v>587</v>
      </c>
      <c r="F1383" s="12" t="s">
        <v>597</v>
      </c>
      <c r="G1383" s="15" t="s">
        <v>595</v>
      </c>
      <c r="I1383" s="99">
        <v>13</v>
      </c>
    </row>
    <row r="1384" spans="1:9" hidden="1" x14ac:dyDescent="0.2">
      <c r="A1384" s="11" t="s">
        <v>2631</v>
      </c>
      <c r="B1384" s="12" t="s">
        <v>2632</v>
      </c>
      <c r="C1384" s="13">
        <v>29</v>
      </c>
      <c r="D1384" s="27" t="s">
        <v>2685</v>
      </c>
      <c r="E1384" s="12" t="s">
        <v>2634</v>
      </c>
      <c r="F1384" s="65" t="s">
        <v>2686</v>
      </c>
      <c r="G1384" s="92" t="s">
        <v>2512</v>
      </c>
      <c r="I1384" s="9">
        <v>15</v>
      </c>
    </row>
    <row r="1385" spans="1:9" hidden="1" x14ac:dyDescent="0.2">
      <c r="A1385" s="11" t="s">
        <v>3165</v>
      </c>
      <c r="B1385" s="12" t="s">
        <v>3166</v>
      </c>
      <c r="C1385" s="13">
        <v>20</v>
      </c>
      <c r="D1385" s="118" t="s">
        <v>2685</v>
      </c>
      <c r="E1385" s="12" t="s">
        <v>3167</v>
      </c>
      <c r="F1385" s="65" t="s">
        <v>3193</v>
      </c>
      <c r="G1385" s="66" t="s">
        <v>2512</v>
      </c>
      <c r="I1385" s="9">
        <v>15</v>
      </c>
    </row>
    <row r="1386" spans="1:9" hidden="1" x14ac:dyDescent="0.2">
      <c r="A1386" s="11" t="s">
        <v>2867</v>
      </c>
      <c r="B1386" s="12" t="s">
        <v>2868</v>
      </c>
      <c r="C1386" s="13">
        <v>9</v>
      </c>
      <c r="D1386" s="27" t="s">
        <v>2881</v>
      </c>
      <c r="E1386" s="12" t="s">
        <v>2869</v>
      </c>
      <c r="F1386" s="65" t="s">
        <v>2882</v>
      </c>
      <c r="G1386" s="66" t="s">
        <v>126</v>
      </c>
    </row>
    <row r="1387" spans="1:9" hidden="1" x14ac:dyDescent="0.2">
      <c r="A1387" s="11" t="s">
        <v>3165</v>
      </c>
      <c r="B1387" s="12" t="s">
        <v>3166</v>
      </c>
      <c r="C1387" s="13">
        <v>51</v>
      </c>
      <c r="D1387" s="118" t="s">
        <v>3242</v>
      </c>
      <c r="E1387" s="12" t="s">
        <v>3167</v>
      </c>
      <c r="F1387" s="65" t="s">
        <v>3243</v>
      </c>
      <c r="G1387" s="66" t="s">
        <v>13</v>
      </c>
    </row>
    <row r="1388" spans="1:9" hidden="1" x14ac:dyDescent="0.2">
      <c r="A1388" s="11" t="s">
        <v>5244</v>
      </c>
      <c r="B1388" s="12" t="s">
        <v>5245</v>
      </c>
      <c r="C1388" s="13">
        <v>8</v>
      </c>
      <c r="D1388" s="118" t="s">
        <v>5255</v>
      </c>
      <c r="E1388" s="12" t="s">
        <v>5246</v>
      </c>
      <c r="F1388" s="65" t="s">
        <v>5256</v>
      </c>
      <c r="G1388" s="15" t="s">
        <v>103</v>
      </c>
    </row>
    <row r="1389" spans="1:9" hidden="1" x14ac:dyDescent="0.2">
      <c r="A1389" s="146" t="s">
        <v>5060</v>
      </c>
      <c r="B1389" s="12" t="s">
        <v>5061</v>
      </c>
      <c r="C1389" s="13">
        <v>51</v>
      </c>
      <c r="D1389" s="118" t="s">
        <v>5157</v>
      </c>
      <c r="E1389" s="12" t="s">
        <v>5062</v>
      </c>
      <c r="F1389" s="12" t="s">
        <v>5158</v>
      </c>
      <c r="G1389" s="77" t="s">
        <v>3022</v>
      </c>
    </row>
    <row r="1390" spans="1:9" hidden="1" x14ac:dyDescent="0.2">
      <c r="A1390" s="146" t="s">
        <v>5060</v>
      </c>
      <c r="B1390" s="12" t="s">
        <v>5061</v>
      </c>
      <c r="C1390" s="13">
        <v>50</v>
      </c>
      <c r="D1390" s="118" t="s">
        <v>5155</v>
      </c>
      <c r="E1390" s="12" t="s">
        <v>5062</v>
      </c>
      <c r="F1390" s="12" t="s">
        <v>5156</v>
      </c>
      <c r="G1390" s="77" t="s">
        <v>3022</v>
      </c>
    </row>
    <row r="1391" spans="1:9" hidden="1" x14ac:dyDescent="0.2">
      <c r="A1391" s="11" t="s">
        <v>93</v>
      </c>
      <c r="B1391" s="12" t="s">
        <v>94</v>
      </c>
      <c r="C1391" s="13">
        <v>32</v>
      </c>
      <c r="D1391" s="27" t="s">
        <v>161</v>
      </c>
      <c r="E1391" s="12" t="s">
        <v>96</v>
      </c>
      <c r="F1391" s="12" t="s">
        <v>162</v>
      </c>
      <c r="G1391" s="15" t="s">
        <v>156</v>
      </c>
    </row>
    <row r="1392" spans="1:9" hidden="1" x14ac:dyDescent="0.25">
      <c r="A1392" s="81" t="s">
        <v>6189</v>
      </c>
      <c r="B1392" s="82" t="s">
        <v>6190</v>
      </c>
      <c r="C1392" s="83">
        <f>C1391+1</f>
        <v>33</v>
      </c>
      <c r="D1392" s="205" t="s">
        <v>6221</v>
      </c>
      <c r="E1392" s="82" t="s">
        <v>6191</v>
      </c>
      <c r="F1392" s="82" t="s">
        <v>6222</v>
      </c>
      <c r="G1392" s="84" t="s">
        <v>19</v>
      </c>
      <c r="I1392" s="101" t="s">
        <v>54</v>
      </c>
    </row>
    <row r="1393" spans="1:27" hidden="1" x14ac:dyDescent="0.25">
      <c r="A1393" s="81" t="s">
        <v>6371</v>
      </c>
      <c r="B1393" s="82" t="s">
        <v>6372</v>
      </c>
      <c r="C1393" s="83">
        <v>16</v>
      </c>
      <c r="D1393" s="205" t="s">
        <v>6221</v>
      </c>
      <c r="E1393" s="82" t="s">
        <v>6373</v>
      </c>
      <c r="F1393" s="82" t="s">
        <v>6390</v>
      </c>
      <c r="G1393" s="84" t="s">
        <v>6041</v>
      </c>
      <c r="I1393" s="101" t="s">
        <v>2778</v>
      </c>
    </row>
    <row r="1394" spans="1:27" hidden="1" x14ac:dyDescent="0.25">
      <c r="A1394" s="81" t="s">
        <v>6189</v>
      </c>
      <c r="B1394" s="82" t="s">
        <v>6190</v>
      </c>
      <c r="C1394" s="83">
        <f>C1393+1</f>
        <v>17</v>
      </c>
      <c r="D1394" s="205" t="s">
        <v>6225</v>
      </c>
      <c r="E1394" s="82" t="s">
        <v>6191</v>
      </c>
      <c r="F1394" s="82" t="s">
        <v>6226</v>
      </c>
      <c r="G1394" s="84" t="s">
        <v>19</v>
      </c>
      <c r="I1394" s="101" t="s">
        <v>54</v>
      </c>
    </row>
    <row r="1395" spans="1:27" hidden="1" x14ac:dyDescent="0.25">
      <c r="A1395" s="81" t="s">
        <v>6371</v>
      </c>
      <c r="B1395" s="82" t="s">
        <v>6372</v>
      </c>
      <c r="C1395" s="83">
        <v>18</v>
      </c>
      <c r="D1395" s="205" t="s">
        <v>6225</v>
      </c>
      <c r="E1395" s="82" t="s">
        <v>6373</v>
      </c>
      <c r="F1395" s="82" t="s">
        <v>6392</v>
      </c>
      <c r="G1395" s="84" t="s">
        <v>6041</v>
      </c>
      <c r="I1395" s="101" t="s">
        <v>2778</v>
      </c>
    </row>
    <row r="1396" spans="1:27" s="10" customFormat="1" hidden="1" x14ac:dyDescent="0.25">
      <c r="A1396" s="11" t="s">
        <v>6017</v>
      </c>
      <c r="B1396" s="12" t="s">
        <v>6018</v>
      </c>
      <c r="C1396" s="13">
        <v>14</v>
      </c>
      <c r="D1396" s="118" t="s">
        <v>6042</v>
      </c>
      <c r="E1396" s="12" t="s">
        <v>6019</v>
      </c>
      <c r="F1396" s="12" t="s">
        <v>6043</v>
      </c>
      <c r="G1396" s="15" t="s">
        <v>6041</v>
      </c>
      <c r="H1396" s="8"/>
      <c r="I1396" s="99">
        <v>13</v>
      </c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</row>
    <row r="1397" spans="1:27" s="10" customFormat="1" ht="15" hidden="1" x14ac:dyDescent="0.25">
      <c r="A1397" s="11" t="s">
        <v>6252</v>
      </c>
      <c r="B1397" s="12" t="s">
        <v>6253</v>
      </c>
      <c r="C1397" s="13">
        <f>C1392+1</f>
        <v>34</v>
      </c>
      <c r="D1397" s="118" t="s">
        <v>6042</v>
      </c>
      <c r="E1397" s="12" t="s">
        <v>6254</v>
      </c>
      <c r="F1397" s="12" t="s">
        <v>6280</v>
      </c>
      <c r="G1397" s="15" t="s">
        <v>1239</v>
      </c>
      <c r="H1397" s="8"/>
      <c r="I1397" s="9">
        <v>15</v>
      </c>
      <c r="J1397" s="52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</row>
    <row r="1398" spans="1:27" hidden="1" x14ac:dyDescent="0.25">
      <c r="A1398" s="81" t="s">
        <v>6189</v>
      </c>
      <c r="B1398" s="82" t="s">
        <v>6190</v>
      </c>
      <c r="C1398" s="83">
        <f>C1397+1</f>
        <v>35</v>
      </c>
      <c r="D1398" s="205" t="s">
        <v>6223</v>
      </c>
      <c r="E1398" s="82" t="s">
        <v>6191</v>
      </c>
      <c r="F1398" s="82" t="s">
        <v>6224</v>
      </c>
      <c r="G1398" s="84" t="s">
        <v>19</v>
      </c>
      <c r="I1398" s="101" t="s">
        <v>54</v>
      </c>
    </row>
    <row r="1399" spans="1:27" hidden="1" x14ac:dyDescent="0.25">
      <c r="A1399" s="81" t="s">
        <v>6371</v>
      </c>
      <c r="B1399" s="82" t="s">
        <v>6372</v>
      </c>
      <c r="C1399" s="83">
        <v>17</v>
      </c>
      <c r="D1399" s="205" t="s">
        <v>6223</v>
      </c>
      <c r="E1399" s="82" t="s">
        <v>6373</v>
      </c>
      <c r="F1399" s="82" t="s">
        <v>6391</v>
      </c>
      <c r="G1399" s="84" t="s">
        <v>6041</v>
      </c>
      <c r="I1399" s="101" t="s">
        <v>2778</v>
      </c>
    </row>
    <row r="1400" spans="1:27" hidden="1" x14ac:dyDescent="0.25">
      <c r="A1400" s="81" t="s">
        <v>6189</v>
      </c>
      <c r="B1400" s="82" t="s">
        <v>6190</v>
      </c>
      <c r="C1400" s="83">
        <f>C1399+1</f>
        <v>18</v>
      </c>
      <c r="D1400" s="205" t="s">
        <v>6227</v>
      </c>
      <c r="E1400" s="82" t="s">
        <v>6191</v>
      </c>
      <c r="F1400" s="82" t="s">
        <v>6228</v>
      </c>
      <c r="G1400" s="84" t="s">
        <v>19</v>
      </c>
      <c r="I1400" s="101" t="s">
        <v>54</v>
      </c>
    </row>
    <row r="1401" spans="1:27" hidden="1" x14ac:dyDescent="0.25">
      <c r="A1401" s="81" t="s">
        <v>6371</v>
      </c>
      <c r="B1401" s="82" t="s">
        <v>6372</v>
      </c>
      <c r="C1401" s="83">
        <v>19</v>
      </c>
      <c r="D1401" s="205" t="s">
        <v>6227</v>
      </c>
      <c r="E1401" s="82" t="s">
        <v>6373</v>
      </c>
      <c r="F1401" s="82" t="s">
        <v>6393</v>
      </c>
      <c r="G1401" s="84" t="s">
        <v>6041</v>
      </c>
      <c r="I1401" s="101" t="s">
        <v>2778</v>
      </c>
    </row>
    <row r="1402" spans="1:27" hidden="1" x14ac:dyDescent="0.2">
      <c r="A1402" s="11" t="s">
        <v>6614</v>
      </c>
      <c r="B1402" s="12" t="s">
        <v>6615</v>
      </c>
      <c r="C1402" s="13">
        <v>18</v>
      </c>
      <c r="D1402" s="27" t="s">
        <v>6635</v>
      </c>
      <c r="E1402" s="12" t="s">
        <v>6616</v>
      </c>
      <c r="F1402" s="12" t="s">
        <v>6636</v>
      </c>
      <c r="G1402" s="15" t="s">
        <v>19</v>
      </c>
    </row>
    <row r="1403" spans="1:27" hidden="1" x14ac:dyDescent="0.2">
      <c r="A1403" s="11" t="s">
        <v>6614</v>
      </c>
      <c r="B1403" s="12" t="s">
        <v>6615</v>
      </c>
      <c r="C1403" s="13">
        <v>17</v>
      </c>
      <c r="D1403" s="27" t="s">
        <v>6633</v>
      </c>
      <c r="E1403" s="12" t="s">
        <v>6616</v>
      </c>
      <c r="F1403" s="12" t="s">
        <v>6634</v>
      </c>
      <c r="G1403" s="15" t="s">
        <v>19</v>
      </c>
    </row>
    <row r="1404" spans="1:27" hidden="1" x14ac:dyDescent="0.25">
      <c r="A1404" s="11" t="s">
        <v>1818</v>
      </c>
      <c r="B1404" s="12" t="s">
        <v>1819</v>
      </c>
      <c r="C1404" s="13">
        <v>27</v>
      </c>
      <c r="D1404" s="118" t="s">
        <v>1871</v>
      </c>
      <c r="E1404" s="12" t="s">
        <v>1820</v>
      </c>
      <c r="F1404" s="12" t="s">
        <v>1872</v>
      </c>
      <c r="G1404" s="15" t="s">
        <v>19</v>
      </c>
      <c r="I1404" s="9">
        <v>15</v>
      </c>
    </row>
    <row r="1405" spans="1:27" hidden="1" x14ac:dyDescent="0.25">
      <c r="A1405" s="11" t="s">
        <v>659</v>
      </c>
      <c r="B1405" s="12" t="s">
        <v>660</v>
      </c>
      <c r="C1405" s="13">
        <v>6</v>
      </c>
      <c r="D1405" s="118" t="s">
        <v>669</v>
      </c>
      <c r="E1405" s="12" t="s">
        <v>661</v>
      </c>
      <c r="F1405" s="12" t="s">
        <v>670</v>
      </c>
      <c r="G1405" s="15" t="s">
        <v>595</v>
      </c>
      <c r="I1405" s="99">
        <v>13</v>
      </c>
    </row>
    <row r="1406" spans="1:27" hidden="1" x14ac:dyDescent="0.2">
      <c r="A1406" s="11" t="s">
        <v>2631</v>
      </c>
      <c r="B1406" s="12" t="s">
        <v>2632</v>
      </c>
      <c r="C1406" s="13">
        <f>C1405+1</f>
        <v>7</v>
      </c>
      <c r="D1406" s="27" t="s">
        <v>2819</v>
      </c>
      <c r="E1406" s="12" t="s">
        <v>2634</v>
      </c>
      <c r="F1406" s="65" t="s">
        <v>2820</v>
      </c>
      <c r="G1406" s="66" t="s">
        <v>1239</v>
      </c>
      <c r="I1406" s="99">
        <v>13</v>
      </c>
    </row>
    <row r="1407" spans="1:27" hidden="1" x14ac:dyDescent="0.2">
      <c r="A1407" s="11" t="s">
        <v>3165</v>
      </c>
      <c r="B1407" s="12" t="s">
        <v>3166</v>
      </c>
      <c r="C1407" s="13">
        <f>C1406+1</f>
        <v>8</v>
      </c>
      <c r="D1407" s="118" t="s">
        <v>3321</v>
      </c>
      <c r="E1407" s="12" t="s">
        <v>3167</v>
      </c>
      <c r="F1407" s="12" t="s">
        <v>3322</v>
      </c>
      <c r="G1407" s="66" t="s">
        <v>1239</v>
      </c>
      <c r="I1407" s="99">
        <v>13</v>
      </c>
    </row>
    <row r="1408" spans="1:27" hidden="1" x14ac:dyDescent="0.25">
      <c r="A1408" s="180" t="s">
        <v>5312</v>
      </c>
      <c r="B1408" s="82" t="s">
        <v>5313</v>
      </c>
      <c r="C1408" s="83">
        <v>2</v>
      </c>
      <c r="D1408" s="205" t="s">
        <v>5317</v>
      </c>
      <c r="E1408" s="82" t="s">
        <v>5315</v>
      </c>
      <c r="F1408" s="82" t="s">
        <v>5318</v>
      </c>
      <c r="G1408" s="84" t="s">
        <v>32</v>
      </c>
      <c r="I1408" s="99">
        <v>13</v>
      </c>
    </row>
    <row r="1409" spans="1:10" hidden="1" x14ac:dyDescent="0.25">
      <c r="A1409" s="11" t="s">
        <v>6559</v>
      </c>
      <c r="B1409" s="12" t="s">
        <v>6560</v>
      </c>
      <c r="C1409" s="13">
        <f>C1408+1</f>
        <v>3</v>
      </c>
      <c r="D1409" s="117" t="s">
        <v>6564</v>
      </c>
      <c r="E1409" s="12" t="s">
        <v>6561</v>
      </c>
      <c r="F1409" s="22" t="s">
        <v>6565</v>
      </c>
      <c r="G1409" s="15" t="s">
        <v>32</v>
      </c>
      <c r="I1409" s="90">
        <v>12</v>
      </c>
    </row>
    <row r="1410" spans="1:10" hidden="1" x14ac:dyDescent="0.25">
      <c r="A1410" s="11" t="s">
        <v>6570</v>
      </c>
      <c r="B1410" s="12" t="s">
        <v>6571</v>
      </c>
      <c r="C1410" s="13">
        <f>C1409+1</f>
        <v>4</v>
      </c>
      <c r="D1410" s="117" t="s">
        <v>6577</v>
      </c>
      <c r="E1410" s="12" t="s">
        <v>6572</v>
      </c>
      <c r="F1410" s="22" t="s">
        <v>6578</v>
      </c>
      <c r="G1410" s="15" t="s">
        <v>32</v>
      </c>
      <c r="I1410" s="90">
        <v>12</v>
      </c>
    </row>
    <row r="1411" spans="1:10" hidden="1" x14ac:dyDescent="0.25">
      <c r="A1411" s="11" t="s">
        <v>1818</v>
      </c>
      <c r="B1411" s="12" t="s">
        <v>1819</v>
      </c>
      <c r="C1411" s="13">
        <v>23</v>
      </c>
      <c r="D1411" s="118" t="s">
        <v>1863</v>
      </c>
      <c r="E1411" s="12" t="s">
        <v>1820</v>
      </c>
      <c r="F1411" s="12" t="s">
        <v>1864</v>
      </c>
      <c r="G1411" s="15" t="s">
        <v>19</v>
      </c>
      <c r="I1411" s="9">
        <v>15</v>
      </c>
    </row>
    <row r="1412" spans="1:10" hidden="1" x14ac:dyDescent="0.25">
      <c r="A1412" s="11" t="s">
        <v>1818</v>
      </c>
      <c r="B1412" s="12" t="s">
        <v>1819</v>
      </c>
      <c r="C1412" s="13">
        <v>22</v>
      </c>
      <c r="D1412" s="118" t="s">
        <v>1861</v>
      </c>
      <c r="E1412" s="12" t="s">
        <v>1820</v>
      </c>
      <c r="F1412" s="12" t="s">
        <v>1862</v>
      </c>
      <c r="G1412" s="15" t="s">
        <v>19</v>
      </c>
      <c r="I1412" s="9">
        <v>15</v>
      </c>
    </row>
    <row r="1413" spans="1:10" hidden="1" x14ac:dyDescent="0.25">
      <c r="A1413" s="11" t="s">
        <v>1464</v>
      </c>
      <c r="B1413" s="12" t="s">
        <v>1465</v>
      </c>
      <c r="C1413" s="13">
        <v>11</v>
      </c>
      <c r="D1413" s="118" t="s">
        <v>1482</v>
      </c>
      <c r="E1413" s="12" t="s">
        <v>1466</v>
      </c>
      <c r="F1413" s="12" t="s">
        <v>1483</v>
      </c>
      <c r="G1413" s="15" t="s">
        <v>19</v>
      </c>
    </row>
    <row r="1414" spans="1:10" hidden="1" x14ac:dyDescent="0.25">
      <c r="A1414" s="11" t="s">
        <v>1568</v>
      </c>
      <c r="B1414" s="12" t="s">
        <v>1569</v>
      </c>
      <c r="C1414" s="13">
        <v>15</v>
      </c>
      <c r="D1414" s="118" t="s">
        <v>1601</v>
      </c>
      <c r="E1414" s="12" t="s">
        <v>1570</v>
      </c>
      <c r="F1414" s="12" t="s">
        <v>1602</v>
      </c>
      <c r="G1414" s="15" t="s">
        <v>684</v>
      </c>
      <c r="I1414" s="94">
        <v>14</v>
      </c>
    </row>
    <row r="1415" spans="1:10" hidden="1" x14ac:dyDescent="0.25">
      <c r="A1415" s="11" t="s">
        <v>1768</v>
      </c>
      <c r="B1415" s="12" t="s">
        <v>1769</v>
      </c>
      <c r="C1415" s="13">
        <v>6</v>
      </c>
      <c r="D1415" s="118" t="s">
        <v>1601</v>
      </c>
      <c r="E1415" s="12" t="s">
        <v>1770</v>
      </c>
      <c r="F1415" s="12" t="s">
        <v>1777</v>
      </c>
      <c r="G1415" s="15" t="s">
        <v>684</v>
      </c>
      <c r="I1415" s="94">
        <v>14</v>
      </c>
    </row>
    <row r="1416" spans="1:10" hidden="1" x14ac:dyDescent="0.25">
      <c r="A1416" s="11" t="s">
        <v>1818</v>
      </c>
      <c r="B1416" s="12" t="s">
        <v>1819</v>
      </c>
      <c r="C1416" s="13">
        <v>24</v>
      </c>
      <c r="D1416" s="118" t="s">
        <v>1865</v>
      </c>
      <c r="E1416" s="12" t="s">
        <v>1820</v>
      </c>
      <c r="F1416" s="12" t="s">
        <v>1866</v>
      </c>
      <c r="G1416" s="15" t="s">
        <v>19</v>
      </c>
      <c r="I1416" s="9">
        <v>15</v>
      </c>
    </row>
    <row r="1417" spans="1:10" hidden="1" x14ac:dyDescent="0.25">
      <c r="A1417" s="11" t="s">
        <v>1818</v>
      </c>
      <c r="B1417" s="12" t="s">
        <v>1819</v>
      </c>
      <c r="C1417" s="13">
        <v>25</v>
      </c>
      <c r="D1417" s="118" t="s">
        <v>1867</v>
      </c>
      <c r="E1417" s="12" t="s">
        <v>1820</v>
      </c>
      <c r="F1417" s="12" t="s">
        <v>1868</v>
      </c>
      <c r="G1417" s="15" t="s">
        <v>19</v>
      </c>
      <c r="I1417" s="9">
        <v>15</v>
      </c>
    </row>
    <row r="1418" spans="1:10" ht="15" hidden="1" x14ac:dyDescent="0.25">
      <c r="A1418" s="11" t="s">
        <v>2194</v>
      </c>
      <c r="B1418" s="8" t="s">
        <v>2195</v>
      </c>
      <c r="C1418" s="13">
        <v>10</v>
      </c>
      <c r="D1418" s="118" t="s">
        <v>2213</v>
      </c>
      <c r="E1418" s="12" t="s">
        <v>2196</v>
      </c>
      <c r="F1418" s="12" t="s">
        <v>2214</v>
      </c>
      <c r="G1418" s="15" t="s">
        <v>780</v>
      </c>
      <c r="I1418" s="54">
        <v>15</v>
      </c>
      <c r="J1418" s="60"/>
    </row>
    <row r="1419" spans="1:10" hidden="1" x14ac:dyDescent="0.25">
      <c r="A1419" s="11" t="s">
        <v>1313</v>
      </c>
      <c r="B1419" s="12" t="s">
        <v>1314</v>
      </c>
      <c r="C1419" s="13">
        <v>25</v>
      </c>
      <c r="D1419" s="118" t="s">
        <v>1360</v>
      </c>
      <c r="E1419" s="12" t="s">
        <v>1315</v>
      </c>
      <c r="F1419" s="12" t="s">
        <v>1361</v>
      </c>
      <c r="G1419" s="15" t="s">
        <v>13</v>
      </c>
    </row>
    <row r="1420" spans="1:10" hidden="1" x14ac:dyDescent="0.25">
      <c r="A1420" s="11" t="s">
        <v>2024</v>
      </c>
      <c r="B1420" s="12" t="s">
        <v>2025</v>
      </c>
      <c r="C1420" s="13">
        <v>1</v>
      </c>
      <c r="D1420" s="117" t="s">
        <v>71</v>
      </c>
      <c r="E1420" s="12" t="s">
        <v>2026</v>
      </c>
      <c r="F1420" s="22" t="s">
        <v>2027</v>
      </c>
      <c r="G1420" s="15" t="s">
        <v>16</v>
      </c>
    </row>
    <row r="1421" spans="1:10" hidden="1" x14ac:dyDescent="0.25">
      <c r="A1421" s="11" t="s">
        <v>1882</v>
      </c>
      <c r="B1421" s="12" t="s">
        <v>1883</v>
      </c>
      <c r="C1421" s="13">
        <v>20</v>
      </c>
      <c r="D1421" s="208" t="s">
        <v>1920</v>
      </c>
      <c r="E1421" s="12" t="s">
        <v>1884</v>
      </c>
      <c r="F1421" s="12" t="s">
        <v>1921</v>
      </c>
      <c r="G1421" s="15" t="s">
        <v>780</v>
      </c>
      <c r="I1421" s="9">
        <v>15</v>
      </c>
    </row>
    <row r="1422" spans="1:10" hidden="1" x14ac:dyDescent="0.2">
      <c r="A1422" s="11" t="s">
        <v>3130</v>
      </c>
      <c r="B1422" s="12" t="s">
        <v>3131</v>
      </c>
      <c r="C1422" s="13">
        <v>16</v>
      </c>
      <c r="D1422" s="118" t="s">
        <v>3155</v>
      </c>
      <c r="E1422" s="12" t="s">
        <v>3132</v>
      </c>
      <c r="F1422" s="65" t="s">
        <v>3156</v>
      </c>
      <c r="G1422" s="66" t="s">
        <v>3157</v>
      </c>
      <c r="I1422" s="94">
        <v>14</v>
      </c>
    </row>
    <row r="1423" spans="1:10" hidden="1" x14ac:dyDescent="0.25">
      <c r="A1423" s="11" t="s">
        <v>6000</v>
      </c>
      <c r="B1423" s="12" t="s">
        <v>6001</v>
      </c>
      <c r="C1423" s="13">
        <v>8</v>
      </c>
      <c r="D1423" s="118" t="s">
        <v>6013</v>
      </c>
      <c r="E1423" s="12" t="s">
        <v>6002</v>
      </c>
      <c r="F1423" s="12" t="s">
        <v>6014</v>
      </c>
      <c r="G1423" s="15" t="s">
        <v>3022</v>
      </c>
      <c r="I1423" s="101" t="s">
        <v>5818</v>
      </c>
    </row>
    <row r="1424" spans="1:10" hidden="1" x14ac:dyDescent="0.25">
      <c r="A1424" s="11" t="s">
        <v>916</v>
      </c>
      <c r="B1424" s="12" t="s">
        <v>917</v>
      </c>
      <c r="C1424" s="13">
        <v>6</v>
      </c>
      <c r="D1424" s="118" t="s">
        <v>924</v>
      </c>
      <c r="E1424" s="12" t="s">
        <v>918</v>
      </c>
      <c r="F1424" s="12" t="s">
        <v>925</v>
      </c>
      <c r="G1424" s="15" t="s">
        <v>829</v>
      </c>
      <c r="I1424" s="9">
        <v>15</v>
      </c>
    </row>
    <row r="1425" spans="1:10" hidden="1" x14ac:dyDescent="0.25">
      <c r="A1425" s="11" t="s">
        <v>1556</v>
      </c>
      <c r="B1425" s="12" t="s">
        <v>1557</v>
      </c>
      <c r="C1425" s="13">
        <v>6</v>
      </c>
      <c r="D1425" s="118" t="s">
        <v>1566</v>
      </c>
      <c r="E1425" s="12" t="s">
        <v>1558</v>
      </c>
      <c r="F1425" s="12" t="s">
        <v>1567</v>
      </c>
      <c r="G1425" s="15" t="s">
        <v>13</v>
      </c>
      <c r="I1425" s="90">
        <v>12</v>
      </c>
    </row>
    <row r="1426" spans="1:10" hidden="1" x14ac:dyDescent="0.2">
      <c r="A1426" s="11" t="s">
        <v>5482</v>
      </c>
      <c r="B1426" s="12" t="s">
        <v>5483</v>
      </c>
      <c r="C1426" s="13">
        <v>4</v>
      </c>
      <c r="D1426" s="212" t="s">
        <v>5488</v>
      </c>
      <c r="E1426" s="12" t="s">
        <v>5484</v>
      </c>
      <c r="F1426" s="65" t="s">
        <v>5489</v>
      </c>
      <c r="G1426" s="15" t="s">
        <v>13</v>
      </c>
    </row>
    <row r="1427" spans="1:10" hidden="1" x14ac:dyDescent="0.25">
      <c r="A1427" s="11" t="s">
        <v>1093</v>
      </c>
      <c r="B1427" s="12" t="s">
        <v>1094</v>
      </c>
      <c r="C1427" s="13">
        <v>12</v>
      </c>
      <c r="D1427" s="118" t="s">
        <v>1116</v>
      </c>
      <c r="E1427" s="12" t="s">
        <v>1095</v>
      </c>
      <c r="F1427" s="12" t="s">
        <v>1117</v>
      </c>
      <c r="G1427" s="15" t="s">
        <v>276</v>
      </c>
      <c r="I1427" s="94">
        <v>14</v>
      </c>
    </row>
    <row r="1428" spans="1:10" hidden="1" x14ac:dyDescent="0.2">
      <c r="A1428" s="146" t="s">
        <v>5060</v>
      </c>
      <c r="B1428" s="12" t="s">
        <v>5061</v>
      </c>
      <c r="C1428" s="13">
        <v>33</v>
      </c>
      <c r="D1428" s="158" t="s">
        <v>5121</v>
      </c>
      <c r="E1428" s="12" t="s">
        <v>5062</v>
      </c>
      <c r="F1428" s="12" t="s">
        <v>5122</v>
      </c>
      <c r="G1428" s="77" t="s">
        <v>3022</v>
      </c>
    </row>
    <row r="1429" spans="1:10" hidden="1" x14ac:dyDescent="0.2">
      <c r="A1429" s="146" t="s">
        <v>5060</v>
      </c>
      <c r="B1429" s="12" t="s">
        <v>5061</v>
      </c>
      <c r="C1429" s="13">
        <v>32</v>
      </c>
      <c r="D1429" s="158" t="s">
        <v>5119</v>
      </c>
      <c r="E1429" s="12" t="s">
        <v>5062</v>
      </c>
      <c r="F1429" s="12" t="s">
        <v>5120</v>
      </c>
      <c r="G1429" s="77" t="s">
        <v>3022</v>
      </c>
    </row>
    <row r="1430" spans="1:10" hidden="1" x14ac:dyDescent="0.2">
      <c r="A1430" s="11" t="s">
        <v>362</v>
      </c>
      <c r="B1430" s="12" t="s">
        <v>363</v>
      </c>
      <c r="C1430" s="13">
        <v>25</v>
      </c>
      <c r="D1430" s="27" t="s">
        <v>409</v>
      </c>
      <c r="E1430" s="12" t="s">
        <v>364</v>
      </c>
      <c r="F1430" s="12" t="s">
        <v>410</v>
      </c>
      <c r="G1430" s="15" t="s">
        <v>156</v>
      </c>
    </row>
    <row r="1431" spans="1:10" hidden="1" x14ac:dyDescent="0.2">
      <c r="A1431" s="11" t="s">
        <v>3458</v>
      </c>
      <c r="B1431" s="12" t="s">
        <v>3459</v>
      </c>
      <c r="C1431" s="13">
        <f>C1430+1</f>
        <v>26</v>
      </c>
      <c r="D1431" s="118" t="s">
        <v>3586</v>
      </c>
      <c r="E1431" s="65" t="s">
        <v>3460</v>
      </c>
      <c r="F1431" s="65" t="s">
        <v>3587</v>
      </c>
      <c r="G1431" s="66" t="s">
        <v>13</v>
      </c>
      <c r="I1431" s="90" t="s">
        <v>2426</v>
      </c>
    </row>
    <row r="1432" spans="1:10" hidden="1" x14ac:dyDescent="0.2">
      <c r="A1432" s="11" t="s">
        <v>3633</v>
      </c>
      <c r="B1432" s="12" t="s">
        <v>3634</v>
      </c>
      <c r="C1432" s="13">
        <v>63</v>
      </c>
      <c r="D1432" s="118" t="s">
        <v>3586</v>
      </c>
      <c r="E1432" s="65" t="s">
        <v>3635</v>
      </c>
      <c r="F1432" s="65" t="s">
        <v>3716</v>
      </c>
      <c r="G1432" s="66" t="s">
        <v>13</v>
      </c>
      <c r="I1432" s="90" t="s">
        <v>2426</v>
      </c>
    </row>
    <row r="1433" spans="1:10" hidden="1" x14ac:dyDescent="0.2">
      <c r="A1433" s="11" t="s">
        <v>4087</v>
      </c>
      <c r="B1433" s="12" t="s">
        <v>4088</v>
      </c>
      <c r="C1433" s="13">
        <f>C1432+1</f>
        <v>64</v>
      </c>
      <c r="D1433" s="118" t="s">
        <v>3586</v>
      </c>
      <c r="E1433" s="12" t="s">
        <v>4089</v>
      </c>
      <c r="F1433" s="12" t="s">
        <v>4149</v>
      </c>
      <c r="G1433" s="66" t="s">
        <v>13</v>
      </c>
      <c r="I1433" s="90" t="s">
        <v>2426</v>
      </c>
    </row>
    <row r="1434" spans="1:10" hidden="1" x14ac:dyDescent="0.2">
      <c r="A1434" s="11" t="s">
        <v>4212</v>
      </c>
      <c r="B1434" s="12" t="s">
        <v>4213</v>
      </c>
      <c r="C1434" s="13">
        <f>C1433+1</f>
        <v>65</v>
      </c>
      <c r="D1434" s="118" t="s">
        <v>3586</v>
      </c>
      <c r="E1434" s="12" t="s">
        <v>4214</v>
      </c>
      <c r="F1434" s="12" t="s">
        <v>4277</v>
      </c>
      <c r="G1434" s="66" t="s">
        <v>13</v>
      </c>
      <c r="I1434" s="90" t="s">
        <v>2426</v>
      </c>
    </row>
    <row r="1435" spans="1:10" hidden="1" x14ac:dyDescent="0.2">
      <c r="A1435" s="11" t="s">
        <v>3165</v>
      </c>
      <c r="B1435" s="12" t="s">
        <v>3166</v>
      </c>
      <c r="C1435" s="13">
        <f>C1434+1</f>
        <v>66</v>
      </c>
      <c r="D1435" s="118" t="s">
        <v>3326</v>
      </c>
      <c r="E1435" s="12" t="s">
        <v>3167</v>
      </c>
      <c r="F1435" s="12" t="s">
        <v>3327</v>
      </c>
      <c r="G1435" s="66" t="s">
        <v>156</v>
      </c>
      <c r="I1435" s="99">
        <v>13</v>
      </c>
    </row>
    <row r="1436" spans="1:10" hidden="1" x14ac:dyDescent="0.2">
      <c r="A1436" s="46" t="s">
        <v>6843</v>
      </c>
      <c r="B1436" s="12" t="s">
        <v>6844</v>
      </c>
      <c r="C1436" s="13">
        <v>10</v>
      </c>
      <c r="D1436" s="14" t="s">
        <v>6859</v>
      </c>
      <c r="E1436" s="28" t="s">
        <v>6845</v>
      </c>
      <c r="F1436" s="12" t="s">
        <v>6860</v>
      </c>
      <c r="G1436" s="66" t="s">
        <v>156</v>
      </c>
    </row>
    <row r="1437" spans="1:10" hidden="1" x14ac:dyDescent="0.2">
      <c r="A1437" s="11" t="s">
        <v>93</v>
      </c>
      <c r="B1437" s="12" t="s">
        <v>94</v>
      </c>
      <c r="C1437" s="13">
        <v>50</v>
      </c>
      <c r="D1437" s="27" t="s">
        <v>198</v>
      </c>
      <c r="E1437" s="12" t="s">
        <v>96</v>
      </c>
      <c r="F1437" s="12" t="s">
        <v>199</v>
      </c>
      <c r="G1437" s="15" t="s">
        <v>13</v>
      </c>
    </row>
    <row r="1438" spans="1:10" hidden="1" x14ac:dyDescent="0.2">
      <c r="A1438" s="11" t="s">
        <v>2267</v>
      </c>
      <c r="B1438" s="12" t="s">
        <v>2268</v>
      </c>
      <c r="C1438" s="13">
        <v>9</v>
      </c>
      <c r="D1438" s="27" t="s">
        <v>2284</v>
      </c>
      <c r="E1438" s="12" t="s">
        <v>2269</v>
      </c>
      <c r="F1438" s="12" t="s">
        <v>2285</v>
      </c>
      <c r="G1438" s="15" t="s">
        <v>156</v>
      </c>
    </row>
    <row r="1439" spans="1:10" hidden="1" x14ac:dyDescent="0.2">
      <c r="A1439" s="11" t="s">
        <v>2566</v>
      </c>
      <c r="B1439" s="12" t="s">
        <v>2567</v>
      </c>
      <c r="C1439" s="13">
        <v>9</v>
      </c>
      <c r="D1439" s="14" t="s">
        <v>2578</v>
      </c>
      <c r="E1439" s="28" t="s">
        <v>2568</v>
      </c>
      <c r="F1439" s="65" t="s">
        <v>2579</v>
      </c>
      <c r="G1439" s="66" t="s">
        <v>156</v>
      </c>
    </row>
    <row r="1440" spans="1:10" ht="15" hidden="1" x14ac:dyDescent="0.25">
      <c r="A1440" s="11" t="s">
        <v>2215</v>
      </c>
      <c r="B1440" s="8" t="s">
        <v>2216</v>
      </c>
      <c r="C1440" s="13">
        <v>10</v>
      </c>
      <c r="D1440" s="12" t="s">
        <v>2235</v>
      </c>
      <c r="E1440" s="28" t="s">
        <v>2217</v>
      </c>
      <c r="F1440" s="12" t="s">
        <v>2236</v>
      </c>
      <c r="G1440" s="15" t="s">
        <v>276</v>
      </c>
      <c r="I1440" s="54">
        <v>15</v>
      </c>
      <c r="J1440" s="60"/>
    </row>
    <row r="1441" spans="1:9" hidden="1" x14ac:dyDescent="0.2">
      <c r="A1441" s="11" t="s">
        <v>2631</v>
      </c>
      <c r="B1441" s="12" t="s">
        <v>2632</v>
      </c>
      <c r="C1441" s="13">
        <v>99</v>
      </c>
      <c r="D1441" s="27" t="s">
        <v>2829</v>
      </c>
      <c r="E1441" s="12" t="s">
        <v>2634</v>
      </c>
      <c r="F1441" s="65" t="s">
        <v>2830</v>
      </c>
      <c r="G1441" s="66" t="s">
        <v>276</v>
      </c>
      <c r="I1441" s="94">
        <v>14</v>
      </c>
    </row>
    <row r="1442" spans="1:9" hidden="1" x14ac:dyDescent="0.2">
      <c r="A1442" s="11" t="s">
        <v>3458</v>
      </c>
      <c r="B1442" s="12" t="s">
        <v>3459</v>
      </c>
      <c r="C1442" s="13">
        <f>C1441+1</f>
        <v>100</v>
      </c>
      <c r="D1442" s="118" t="s">
        <v>3612</v>
      </c>
      <c r="E1442" s="65" t="s">
        <v>3460</v>
      </c>
      <c r="F1442" s="65" t="s">
        <v>3613</v>
      </c>
      <c r="G1442" s="66" t="s">
        <v>276</v>
      </c>
      <c r="I1442" s="94">
        <v>14</v>
      </c>
    </row>
    <row r="1443" spans="1:9" hidden="1" x14ac:dyDescent="0.2">
      <c r="A1443" s="11" t="s">
        <v>3633</v>
      </c>
      <c r="B1443" s="12" t="s">
        <v>3634</v>
      </c>
      <c r="C1443" s="13">
        <v>76</v>
      </c>
      <c r="D1443" s="118" t="s">
        <v>3612</v>
      </c>
      <c r="E1443" s="65" t="s">
        <v>3635</v>
      </c>
      <c r="F1443" s="65" t="s">
        <v>3729</v>
      </c>
      <c r="G1443" s="66" t="s">
        <v>3730</v>
      </c>
      <c r="I1443" s="94">
        <v>14</v>
      </c>
    </row>
    <row r="1444" spans="1:9" hidden="1" x14ac:dyDescent="0.2">
      <c r="A1444" s="11" t="s">
        <v>2631</v>
      </c>
      <c r="B1444" s="12" t="s">
        <v>2632</v>
      </c>
      <c r="C1444" s="13">
        <f>C1443+1</f>
        <v>77</v>
      </c>
      <c r="D1444" s="27" t="s">
        <v>2831</v>
      </c>
      <c r="E1444" s="12" t="s">
        <v>2634</v>
      </c>
      <c r="F1444" s="65" t="s">
        <v>2832</v>
      </c>
      <c r="G1444" s="66" t="s">
        <v>276</v>
      </c>
      <c r="I1444" s="94">
        <v>14</v>
      </c>
    </row>
    <row r="1445" spans="1:9" hidden="1" x14ac:dyDescent="0.2">
      <c r="A1445" s="11" t="s">
        <v>3458</v>
      </c>
      <c r="B1445" s="12" t="s">
        <v>3459</v>
      </c>
      <c r="C1445" s="13">
        <f>C1444+1</f>
        <v>78</v>
      </c>
      <c r="D1445" s="118" t="s">
        <v>3614</v>
      </c>
      <c r="E1445" s="65" t="s">
        <v>3460</v>
      </c>
      <c r="F1445" s="65" t="s">
        <v>3615</v>
      </c>
      <c r="G1445" s="66" t="s">
        <v>276</v>
      </c>
      <c r="I1445" s="94">
        <v>14</v>
      </c>
    </row>
    <row r="1446" spans="1:9" hidden="1" x14ac:dyDescent="0.2">
      <c r="A1446" s="11" t="s">
        <v>3633</v>
      </c>
      <c r="B1446" s="12" t="s">
        <v>3634</v>
      </c>
      <c r="C1446" s="13">
        <v>77</v>
      </c>
      <c r="D1446" s="118" t="s">
        <v>3614</v>
      </c>
      <c r="E1446" s="65" t="s">
        <v>3635</v>
      </c>
      <c r="F1446" s="65" t="s">
        <v>3731</v>
      </c>
      <c r="G1446" s="66" t="s">
        <v>3730</v>
      </c>
      <c r="I1446" s="94">
        <v>14</v>
      </c>
    </row>
    <row r="1447" spans="1:9" hidden="1" x14ac:dyDescent="0.2">
      <c r="A1447" s="11" t="s">
        <v>2631</v>
      </c>
      <c r="B1447" s="12" t="s">
        <v>2632</v>
      </c>
      <c r="C1447" s="13">
        <v>59</v>
      </c>
      <c r="D1447" s="27" t="s">
        <v>2745</v>
      </c>
      <c r="E1447" s="12" t="s">
        <v>2634</v>
      </c>
      <c r="F1447" s="65" t="s">
        <v>2746</v>
      </c>
      <c r="G1447" s="66" t="s">
        <v>156</v>
      </c>
    </row>
    <row r="1448" spans="1:9" hidden="1" x14ac:dyDescent="0.2">
      <c r="A1448" s="11" t="s">
        <v>757</v>
      </c>
      <c r="B1448" s="12" t="s">
        <v>758</v>
      </c>
      <c r="C1448" s="13">
        <v>9</v>
      </c>
      <c r="D1448" s="27" t="s">
        <v>774</v>
      </c>
      <c r="E1448" s="12" t="s">
        <v>759</v>
      </c>
      <c r="F1448" s="12" t="s">
        <v>775</v>
      </c>
      <c r="G1448" s="15" t="s">
        <v>276</v>
      </c>
      <c r="I1448" s="9">
        <v>15</v>
      </c>
    </row>
    <row r="1449" spans="1:9" hidden="1" x14ac:dyDescent="0.2">
      <c r="A1449" s="11" t="s">
        <v>890</v>
      </c>
      <c r="B1449" s="12" t="s">
        <v>891</v>
      </c>
      <c r="C1449" s="13">
        <v>12</v>
      </c>
      <c r="D1449" s="27" t="s">
        <v>910</v>
      </c>
      <c r="E1449" s="12" t="s">
        <v>892</v>
      </c>
      <c r="F1449" s="12" t="s">
        <v>911</v>
      </c>
      <c r="G1449" s="15" t="s">
        <v>829</v>
      </c>
      <c r="I1449" s="9">
        <v>15</v>
      </c>
    </row>
    <row r="1450" spans="1:9" hidden="1" x14ac:dyDescent="0.2">
      <c r="A1450" s="11" t="s">
        <v>890</v>
      </c>
      <c r="B1450" s="12" t="s">
        <v>891</v>
      </c>
      <c r="C1450" s="13">
        <v>13</v>
      </c>
      <c r="D1450" s="27" t="s">
        <v>912</v>
      </c>
      <c r="E1450" s="12" t="s">
        <v>892</v>
      </c>
      <c r="F1450" s="12" t="s">
        <v>913</v>
      </c>
      <c r="G1450" s="15" t="s">
        <v>829</v>
      </c>
      <c r="I1450" s="9">
        <v>15</v>
      </c>
    </row>
    <row r="1451" spans="1:9" ht="24" hidden="1" x14ac:dyDescent="0.25">
      <c r="A1451" s="11" t="s">
        <v>943</v>
      </c>
      <c r="B1451" s="12" t="s">
        <v>944</v>
      </c>
      <c r="C1451" s="13">
        <v>5</v>
      </c>
      <c r="D1451" s="76" t="s">
        <v>951</v>
      </c>
      <c r="E1451" s="12" t="s">
        <v>945</v>
      </c>
      <c r="F1451" s="12" t="s">
        <v>952</v>
      </c>
      <c r="G1451" s="15" t="s">
        <v>832</v>
      </c>
      <c r="I1451" s="9">
        <v>15</v>
      </c>
    </row>
    <row r="1452" spans="1:9" hidden="1" x14ac:dyDescent="0.2">
      <c r="A1452" s="11" t="s">
        <v>2267</v>
      </c>
      <c r="B1452" s="12" t="s">
        <v>2268</v>
      </c>
      <c r="C1452" s="13">
        <v>12</v>
      </c>
      <c r="D1452" s="27" t="s">
        <v>2289</v>
      </c>
      <c r="E1452" s="12" t="s">
        <v>2269</v>
      </c>
      <c r="F1452" s="12" t="s">
        <v>2290</v>
      </c>
      <c r="G1452" s="15" t="s">
        <v>13</v>
      </c>
    </row>
    <row r="1453" spans="1:9" hidden="1" x14ac:dyDescent="0.2">
      <c r="A1453" s="11" t="s">
        <v>93</v>
      </c>
      <c r="B1453" s="12" t="s">
        <v>94</v>
      </c>
      <c r="C1453" s="13">
        <v>82</v>
      </c>
      <c r="D1453" s="27" t="s">
        <v>263</v>
      </c>
      <c r="E1453" s="12" t="s">
        <v>96</v>
      </c>
      <c r="F1453" s="12" t="s">
        <v>264</v>
      </c>
      <c r="G1453" s="15" t="s">
        <v>258</v>
      </c>
      <c r="I1453" s="99">
        <v>13</v>
      </c>
    </row>
    <row r="1454" spans="1:9" hidden="1" x14ac:dyDescent="0.2">
      <c r="A1454" s="11" t="s">
        <v>93</v>
      </c>
      <c r="B1454" s="12" t="s">
        <v>94</v>
      </c>
      <c r="C1454" s="13">
        <v>85</v>
      </c>
      <c r="D1454" s="27" t="s">
        <v>269</v>
      </c>
      <c r="E1454" s="12" t="s">
        <v>96</v>
      </c>
      <c r="F1454" s="12" t="s">
        <v>270</v>
      </c>
      <c r="G1454" s="15" t="s">
        <v>271</v>
      </c>
      <c r="I1454" s="99">
        <v>13</v>
      </c>
    </row>
    <row r="1455" spans="1:9" hidden="1" x14ac:dyDescent="0.2">
      <c r="A1455" s="11" t="s">
        <v>2631</v>
      </c>
      <c r="B1455" s="12" t="s">
        <v>2632</v>
      </c>
      <c r="C1455" s="13">
        <v>35</v>
      </c>
      <c r="D1455" s="27" t="s">
        <v>2697</v>
      </c>
      <c r="E1455" s="12" t="s">
        <v>2634</v>
      </c>
      <c r="F1455" s="65" t="s">
        <v>2698</v>
      </c>
      <c r="G1455" s="66" t="s">
        <v>156</v>
      </c>
    </row>
    <row r="1456" spans="1:9" hidden="1" x14ac:dyDescent="0.2">
      <c r="A1456" s="11" t="s">
        <v>3165</v>
      </c>
      <c r="B1456" s="12" t="s">
        <v>3166</v>
      </c>
      <c r="C1456" s="13">
        <v>25</v>
      </c>
      <c r="D1456" s="118" t="s">
        <v>2697</v>
      </c>
      <c r="E1456" s="12" t="s">
        <v>3167</v>
      </c>
      <c r="F1456" s="65" t="s">
        <v>3198</v>
      </c>
      <c r="G1456" s="66" t="s">
        <v>156</v>
      </c>
    </row>
    <row r="1457" spans="1:9" hidden="1" x14ac:dyDescent="0.2">
      <c r="A1457" s="11" t="s">
        <v>5559</v>
      </c>
      <c r="B1457" s="12" t="s">
        <v>5560</v>
      </c>
      <c r="C1457" s="13">
        <v>19</v>
      </c>
      <c r="D1457" s="118" t="s">
        <v>5592</v>
      </c>
      <c r="E1457" s="12" t="s">
        <v>5561</v>
      </c>
      <c r="F1457" s="12" t="s">
        <v>5593</v>
      </c>
      <c r="G1457" s="66" t="s">
        <v>3022</v>
      </c>
    </row>
    <row r="1458" spans="1:9" hidden="1" x14ac:dyDescent="0.2">
      <c r="A1458" s="11" t="s">
        <v>362</v>
      </c>
      <c r="B1458" s="12" t="s">
        <v>363</v>
      </c>
      <c r="C1458" s="13">
        <v>23</v>
      </c>
      <c r="D1458" s="27" t="s">
        <v>405</v>
      </c>
      <c r="E1458" s="12" t="s">
        <v>364</v>
      </c>
      <c r="F1458" s="12" t="s">
        <v>406</v>
      </c>
      <c r="G1458" s="15" t="s">
        <v>156</v>
      </c>
    </row>
    <row r="1459" spans="1:9" hidden="1" x14ac:dyDescent="0.2">
      <c r="A1459" s="11" t="s">
        <v>4318</v>
      </c>
      <c r="B1459" s="12" t="s">
        <v>4319</v>
      </c>
      <c r="C1459" s="13">
        <f>C1458+1</f>
        <v>24</v>
      </c>
      <c r="D1459" s="118" t="s">
        <v>4331</v>
      </c>
      <c r="E1459" s="12" t="s">
        <v>4320</v>
      </c>
      <c r="F1459" s="12" t="s">
        <v>4332</v>
      </c>
      <c r="G1459" s="66" t="s">
        <v>13</v>
      </c>
      <c r="I1459" s="90" t="s">
        <v>2426</v>
      </c>
    </row>
    <row r="1460" spans="1:9" hidden="1" x14ac:dyDescent="0.2">
      <c r="A1460" s="11" t="s">
        <v>4335</v>
      </c>
      <c r="B1460" s="12" t="s">
        <v>4336</v>
      </c>
      <c r="C1460" s="13">
        <f>C1459+1</f>
        <v>25</v>
      </c>
      <c r="D1460" s="118" t="s">
        <v>4331</v>
      </c>
      <c r="E1460" s="12" t="s">
        <v>4337</v>
      </c>
      <c r="F1460" s="12" t="s">
        <v>4344</v>
      </c>
      <c r="G1460" s="66" t="s">
        <v>13</v>
      </c>
      <c r="I1460" s="90" t="s">
        <v>2426</v>
      </c>
    </row>
    <row r="1461" spans="1:9" hidden="1" x14ac:dyDescent="0.2">
      <c r="A1461" s="11" t="s">
        <v>4347</v>
      </c>
      <c r="B1461" s="12" t="s">
        <v>4348</v>
      </c>
      <c r="C1461" s="13">
        <f>C1460+1</f>
        <v>26</v>
      </c>
      <c r="D1461" s="118" t="s">
        <v>4331</v>
      </c>
      <c r="E1461" s="12" t="s">
        <v>4349</v>
      </c>
      <c r="F1461" s="12" t="s">
        <v>4360</v>
      </c>
      <c r="G1461" s="66" t="s">
        <v>13</v>
      </c>
      <c r="I1461" s="90" t="s">
        <v>2426</v>
      </c>
    </row>
    <row r="1462" spans="1:9" hidden="1" x14ac:dyDescent="0.2">
      <c r="A1462" s="11" t="s">
        <v>3400</v>
      </c>
      <c r="B1462" s="12" t="s">
        <v>3401</v>
      </c>
      <c r="C1462" s="13">
        <v>12</v>
      </c>
      <c r="D1462" s="118" t="s">
        <v>3422</v>
      </c>
      <c r="E1462" s="65" t="s">
        <v>3402</v>
      </c>
      <c r="F1462" s="65" t="s">
        <v>3423</v>
      </c>
      <c r="G1462" s="66" t="s">
        <v>13</v>
      </c>
      <c r="I1462" s="90" t="s">
        <v>2426</v>
      </c>
    </row>
    <row r="1463" spans="1:9" hidden="1" x14ac:dyDescent="0.2">
      <c r="A1463" s="11" t="s">
        <v>3428</v>
      </c>
      <c r="B1463" s="12" t="s">
        <v>3429</v>
      </c>
      <c r="C1463" s="13">
        <v>10</v>
      </c>
      <c r="D1463" s="118" t="s">
        <v>3445</v>
      </c>
      <c r="E1463" s="65" t="s">
        <v>3430</v>
      </c>
      <c r="F1463" s="65" t="s">
        <v>3446</v>
      </c>
      <c r="G1463" s="66" t="s">
        <v>13</v>
      </c>
    </row>
    <row r="1464" spans="1:9" hidden="1" x14ac:dyDescent="0.2">
      <c r="A1464" s="11" t="s">
        <v>3458</v>
      </c>
      <c r="B1464" s="12" t="s">
        <v>3459</v>
      </c>
      <c r="C1464" s="13">
        <v>5</v>
      </c>
      <c r="D1464" s="117" t="s">
        <v>3445</v>
      </c>
      <c r="E1464" s="65" t="s">
        <v>3460</v>
      </c>
      <c r="F1464" s="75" t="s">
        <v>3465</v>
      </c>
      <c r="G1464" s="66" t="s">
        <v>13</v>
      </c>
    </row>
    <row r="1465" spans="1:9" hidden="1" x14ac:dyDescent="0.2">
      <c r="A1465" s="11" t="s">
        <v>3633</v>
      </c>
      <c r="B1465" s="12" t="s">
        <v>3634</v>
      </c>
      <c r="C1465" s="13">
        <v>5</v>
      </c>
      <c r="D1465" s="117" t="s">
        <v>3445</v>
      </c>
      <c r="E1465" s="65" t="s">
        <v>3635</v>
      </c>
      <c r="F1465" s="75" t="s">
        <v>3640</v>
      </c>
      <c r="G1465" s="66" t="s">
        <v>13</v>
      </c>
    </row>
    <row r="1466" spans="1:9" hidden="1" x14ac:dyDescent="0.2">
      <c r="A1466" s="11" t="s">
        <v>3763</v>
      </c>
      <c r="B1466" s="12" t="s">
        <v>3764</v>
      </c>
      <c r="C1466" s="13">
        <v>5</v>
      </c>
      <c r="D1466" s="117" t="s">
        <v>3445</v>
      </c>
      <c r="E1466" s="12" t="s">
        <v>3765</v>
      </c>
      <c r="F1466" s="75" t="s">
        <v>3770</v>
      </c>
      <c r="G1466" s="66" t="s">
        <v>13</v>
      </c>
    </row>
    <row r="1467" spans="1:9" hidden="1" x14ac:dyDescent="0.2">
      <c r="A1467" s="11" t="s">
        <v>3799</v>
      </c>
      <c r="B1467" s="12" t="s">
        <v>3800</v>
      </c>
      <c r="C1467" s="13">
        <v>5</v>
      </c>
      <c r="D1467" s="117" t="s">
        <v>3445</v>
      </c>
      <c r="E1467" s="12" t="s">
        <v>3801</v>
      </c>
      <c r="F1467" s="75" t="s">
        <v>3806</v>
      </c>
      <c r="G1467" s="66" t="s">
        <v>13</v>
      </c>
    </row>
    <row r="1468" spans="1:9" hidden="1" x14ac:dyDescent="0.2">
      <c r="A1468" s="11" t="s">
        <v>3839</v>
      </c>
      <c r="B1468" s="12" t="s">
        <v>3840</v>
      </c>
      <c r="C1468" s="13">
        <v>5</v>
      </c>
      <c r="D1468" s="117" t="s">
        <v>3445</v>
      </c>
      <c r="E1468" s="12" t="s">
        <v>3841</v>
      </c>
      <c r="F1468" s="75" t="s">
        <v>3846</v>
      </c>
      <c r="G1468" s="66" t="s">
        <v>13</v>
      </c>
    </row>
    <row r="1469" spans="1:9" hidden="1" x14ac:dyDescent="0.2">
      <c r="A1469" s="11" t="s">
        <v>3858</v>
      </c>
      <c r="B1469" s="12" t="s">
        <v>3859</v>
      </c>
      <c r="C1469" s="13">
        <v>5</v>
      </c>
      <c r="D1469" s="117" t="s">
        <v>3445</v>
      </c>
      <c r="E1469" s="12" t="s">
        <v>3860</v>
      </c>
      <c r="F1469" s="75" t="s">
        <v>3865</v>
      </c>
      <c r="G1469" s="66" t="s">
        <v>13</v>
      </c>
    </row>
    <row r="1470" spans="1:9" hidden="1" x14ac:dyDescent="0.2">
      <c r="A1470" s="11" t="s">
        <v>3880</v>
      </c>
      <c r="B1470" s="12" t="s">
        <v>3881</v>
      </c>
      <c r="C1470" s="13">
        <v>6</v>
      </c>
      <c r="D1470" s="117" t="s">
        <v>3445</v>
      </c>
      <c r="E1470" s="12" t="s">
        <v>3882</v>
      </c>
      <c r="F1470" s="22" t="s">
        <v>3889</v>
      </c>
      <c r="G1470" s="66" t="s">
        <v>13</v>
      </c>
    </row>
    <row r="1471" spans="1:9" hidden="1" x14ac:dyDescent="0.2">
      <c r="A1471" s="11" t="s">
        <v>3914</v>
      </c>
      <c r="B1471" s="12" t="s">
        <v>3915</v>
      </c>
      <c r="C1471" s="13">
        <v>6</v>
      </c>
      <c r="D1471" s="117" t="s">
        <v>3445</v>
      </c>
      <c r="E1471" s="12" t="s">
        <v>3916</v>
      </c>
      <c r="F1471" s="22" t="s">
        <v>3922</v>
      </c>
      <c r="G1471" s="66" t="s">
        <v>13</v>
      </c>
    </row>
    <row r="1472" spans="1:9" hidden="1" x14ac:dyDescent="0.2">
      <c r="A1472" s="11" t="s">
        <v>4087</v>
      </c>
      <c r="B1472" s="12" t="s">
        <v>4088</v>
      </c>
      <c r="C1472" s="13">
        <f>C1471+1</f>
        <v>7</v>
      </c>
      <c r="D1472" s="117" t="s">
        <v>3445</v>
      </c>
      <c r="E1472" s="12" t="s">
        <v>4089</v>
      </c>
      <c r="F1472" s="22" t="s">
        <v>4094</v>
      </c>
      <c r="G1472" s="66" t="s">
        <v>13</v>
      </c>
      <c r="I1472" s="90" t="s">
        <v>2426</v>
      </c>
    </row>
    <row r="1473" spans="1:27" hidden="1" x14ac:dyDescent="0.2">
      <c r="A1473" s="11" t="s">
        <v>4212</v>
      </c>
      <c r="B1473" s="12" t="s">
        <v>4213</v>
      </c>
      <c r="C1473" s="13">
        <f>C1472+1</f>
        <v>8</v>
      </c>
      <c r="D1473" s="117" t="s">
        <v>3445</v>
      </c>
      <c r="E1473" s="12" t="s">
        <v>4214</v>
      </c>
      <c r="F1473" s="22" t="s">
        <v>4219</v>
      </c>
      <c r="G1473" s="66" t="s">
        <v>13</v>
      </c>
      <c r="I1473" s="90" t="s">
        <v>2426</v>
      </c>
    </row>
    <row r="1474" spans="1:27" hidden="1" x14ac:dyDescent="0.25">
      <c r="A1474" s="11" t="s">
        <v>5886</v>
      </c>
      <c r="B1474" s="12" t="s">
        <v>5887</v>
      </c>
      <c r="C1474" s="13">
        <v>5</v>
      </c>
      <c r="D1474" s="117" t="s">
        <v>3445</v>
      </c>
      <c r="E1474" s="12" t="s">
        <v>5888</v>
      </c>
      <c r="F1474" s="22" t="s">
        <v>5893</v>
      </c>
      <c r="G1474" s="15" t="s">
        <v>13</v>
      </c>
      <c r="I1474" s="99">
        <v>13</v>
      </c>
    </row>
    <row r="1475" spans="1:27" hidden="1" x14ac:dyDescent="0.2">
      <c r="A1475" s="11" t="s">
        <v>3993</v>
      </c>
      <c r="B1475" s="12" t="s">
        <v>3994</v>
      </c>
      <c r="C1475" s="13">
        <v>6</v>
      </c>
      <c r="D1475" s="118" t="s">
        <v>4003</v>
      </c>
      <c r="E1475" s="12" t="s">
        <v>3995</v>
      </c>
      <c r="F1475" s="12" t="s">
        <v>4004</v>
      </c>
      <c r="G1475" s="66" t="s">
        <v>13</v>
      </c>
    </row>
    <row r="1476" spans="1:27" hidden="1" x14ac:dyDescent="0.2">
      <c r="A1476" s="11" t="s">
        <v>3165</v>
      </c>
      <c r="B1476" s="12" t="s">
        <v>3166</v>
      </c>
      <c r="C1476" s="13">
        <v>50</v>
      </c>
      <c r="D1476" s="118" t="s">
        <v>3239</v>
      </c>
      <c r="E1476" s="12" t="s">
        <v>3167</v>
      </c>
      <c r="F1476" s="65" t="s">
        <v>3240</v>
      </c>
      <c r="G1476" s="66" t="s">
        <v>3241</v>
      </c>
    </row>
    <row r="1477" spans="1:27" hidden="1" x14ac:dyDescent="0.2">
      <c r="A1477" s="11" t="s">
        <v>93</v>
      </c>
      <c r="B1477" s="12" t="s">
        <v>94</v>
      </c>
      <c r="C1477" s="13">
        <v>87</v>
      </c>
      <c r="D1477" s="27" t="s">
        <v>274</v>
      </c>
      <c r="E1477" s="12" t="s">
        <v>96</v>
      </c>
      <c r="F1477" s="12" t="s">
        <v>275</v>
      </c>
      <c r="G1477" s="15" t="s">
        <v>276</v>
      </c>
      <c r="I1477" s="94">
        <v>14</v>
      </c>
    </row>
    <row r="1478" spans="1:27" hidden="1" x14ac:dyDescent="0.2">
      <c r="A1478" s="11" t="s">
        <v>2631</v>
      </c>
      <c r="B1478" s="12" t="s">
        <v>2632</v>
      </c>
      <c r="C1478" s="13">
        <f>C1477+1</f>
        <v>88</v>
      </c>
      <c r="D1478" s="27" t="s">
        <v>2827</v>
      </c>
      <c r="E1478" s="12" t="s">
        <v>2634</v>
      </c>
      <c r="F1478" s="65" t="s">
        <v>2828</v>
      </c>
      <c r="G1478" s="66" t="s">
        <v>156</v>
      </c>
      <c r="I1478" s="99">
        <v>13</v>
      </c>
    </row>
    <row r="1479" spans="1:27" hidden="1" x14ac:dyDescent="0.2">
      <c r="A1479" s="11" t="s">
        <v>3165</v>
      </c>
      <c r="B1479" s="12" t="s">
        <v>3166</v>
      </c>
      <c r="C1479" s="13">
        <f>C1478+1</f>
        <v>89</v>
      </c>
      <c r="D1479" s="118" t="s">
        <v>3332</v>
      </c>
      <c r="E1479" s="12" t="s">
        <v>3167</v>
      </c>
      <c r="F1479" s="12" t="s">
        <v>3333</v>
      </c>
      <c r="G1479" s="66" t="s">
        <v>156</v>
      </c>
      <c r="I1479" s="99">
        <v>13</v>
      </c>
    </row>
    <row r="1480" spans="1:27" hidden="1" x14ac:dyDescent="0.2">
      <c r="A1480" s="11" t="s">
        <v>93</v>
      </c>
      <c r="B1480" s="12" t="s">
        <v>94</v>
      </c>
      <c r="C1480" s="13">
        <v>38</v>
      </c>
      <c r="D1480" s="27" t="s">
        <v>173</v>
      </c>
      <c r="E1480" s="12" t="s">
        <v>96</v>
      </c>
      <c r="F1480" s="12" t="s">
        <v>174</v>
      </c>
      <c r="G1480" s="15" t="s">
        <v>156</v>
      </c>
    </row>
    <row r="1481" spans="1:27" hidden="1" x14ac:dyDescent="0.25">
      <c r="A1481" s="11" t="s">
        <v>1794</v>
      </c>
      <c r="B1481" s="12" t="s">
        <v>1795</v>
      </c>
      <c r="C1481" s="13">
        <v>4</v>
      </c>
      <c r="D1481" s="118" t="s">
        <v>1800</v>
      </c>
      <c r="E1481" s="12" t="s">
        <v>1796</v>
      </c>
      <c r="F1481" s="12" t="s">
        <v>1801</v>
      </c>
      <c r="G1481" s="15" t="s">
        <v>276</v>
      </c>
      <c r="I1481" s="9">
        <v>15</v>
      </c>
    </row>
    <row r="1482" spans="1:27" hidden="1" x14ac:dyDescent="0.2">
      <c r="A1482" s="11" t="s">
        <v>362</v>
      </c>
      <c r="B1482" s="12" t="s">
        <v>363</v>
      </c>
      <c r="C1482" s="13">
        <v>27</v>
      </c>
      <c r="D1482" s="27" t="s">
        <v>413</v>
      </c>
      <c r="E1482" s="12" t="s">
        <v>364</v>
      </c>
      <c r="F1482" s="12" t="s">
        <v>414</v>
      </c>
      <c r="G1482" s="15" t="s">
        <v>156</v>
      </c>
    </row>
    <row r="1483" spans="1:27" s="10" customFormat="1" hidden="1" x14ac:dyDescent="0.2">
      <c r="A1483" s="11" t="s">
        <v>362</v>
      </c>
      <c r="B1483" s="12" t="s">
        <v>363</v>
      </c>
      <c r="C1483" s="13">
        <v>26</v>
      </c>
      <c r="D1483" s="27" t="s">
        <v>411</v>
      </c>
      <c r="E1483" s="12" t="s">
        <v>364</v>
      </c>
      <c r="F1483" s="12" t="s">
        <v>412</v>
      </c>
      <c r="G1483" s="15" t="s">
        <v>156</v>
      </c>
      <c r="H1483" s="8"/>
      <c r="I1483" s="90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</row>
    <row r="1484" spans="1:27" s="10" customFormat="1" ht="12.75" hidden="1" thickBot="1" x14ac:dyDescent="0.25">
      <c r="A1484" s="36" t="s">
        <v>3458</v>
      </c>
      <c r="B1484" s="30" t="s">
        <v>3459</v>
      </c>
      <c r="C1484" s="31">
        <f>C1483+1</f>
        <v>27</v>
      </c>
      <c r="D1484" s="159" t="s">
        <v>3584</v>
      </c>
      <c r="E1484" s="67" t="s">
        <v>3460</v>
      </c>
      <c r="F1484" s="67" t="s">
        <v>3585</v>
      </c>
      <c r="G1484" s="68" t="s">
        <v>258</v>
      </c>
      <c r="H1484" s="8"/>
      <c r="I1484" s="90" t="s">
        <v>2426</v>
      </c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</row>
    <row r="1485" spans="1:27" hidden="1" x14ac:dyDescent="0.2">
      <c r="A1485" s="35" t="s">
        <v>3633</v>
      </c>
      <c r="B1485" s="12" t="s">
        <v>3634</v>
      </c>
      <c r="C1485" s="13">
        <v>62</v>
      </c>
      <c r="D1485" s="118" t="s">
        <v>3584</v>
      </c>
      <c r="E1485" s="65" t="s">
        <v>3635</v>
      </c>
      <c r="F1485" s="65" t="s">
        <v>3715</v>
      </c>
      <c r="G1485" s="66" t="s">
        <v>258</v>
      </c>
      <c r="I1485" s="90" t="s">
        <v>2426</v>
      </c>
    </row>
    <row r="1486" spans="1:27" hidden="1" x14ac:dyDescent="0.2">
      <c r="A1486" s="35" t="s">
        <v>4087</v>
      </c>
      <c r="B1486" s="12" t="s">
        <v>4088</v>
      </c>
      <c r="C1486" s="13">
        <f>C1485+1</f>
        <v>63</v>
      </c>
      <c r="D1486" s="118" t="s">
        <v>3584</v>
      </c>
      <c r="E1486" s="12" t="s">
        <v>4089</v>
      </c>
      <c r="F1486" s="12" t="s">
        <v>4148</v>
      </c>
      <c r="G1486" s="66" t="s">
        <v>3730</v>
      </c>
      <c r="I1486" s="90" t="s">
        <v>2426</v>
      </c>
    </row>
    <row r="1487" spans="1:27" hidden="1" x14ac:dyDescent="0.2">
      <c r="A1487" s="35" t="s">
        <v>4212</v>
      </c>
      <c r="B1487" s="12" t="s">
        <v>4213</v>
      </c>
      <c r="C1487" s="13">
        <f>C1486+1</f>
        <v>64</v>
      </c>
      <c r="D1487" s="118" t="s">
        <v>3584</v>
      </c>
      <c r="E1487" s="12" t="s">
        <v>4214</v>
      </c>
      <c r="F1487" s="12" t="s">
        <v>4276</v>
      </c>
      <c r="G1487" s="66" t="s">
        <v>3730</v>
      </c>
      <c r="I1487" s="90" t="s">
        <v>2426</v>
      </c>
    </row>
    <row r="1488" spans="1:27" hidden="1" x14ac:dyDescent="0.2">
      <c r="A1488" s="35" t="s">
        <v>2867</v>
      </c>
      <c r="B1488" s="12" t="s">
        <v>2868</v>
      </c>
      <c r="C1488" s="13">
        <v>35</v>
      </c>
      <c r="D1488" s="27" t="s">
        <v>2931</v>
      </c>
      <c r="E1488" s="12" t="s">
        <v>2869</v>
      </c>
      <c r="F1488" s="65" t="s">
        <v>2932</v>
      </c>
      <c r="G1488" s="66" t="s">
        <v>156</v>
      </c>
    </row>
    <row r="1489" spans="1:9" hidden="1" x14ac:dyDescent="0.2">
      <c r="A1489" s="35" t="s">
        <v>93</v>
      </c>
      <c r="B1489" s="12" t="s">
        <v>94</v>
      </c>
      <c r="C1489" s="13">
        <v>34</v>
      </c>
      <c r="D1489" s="27" t="s">
        <v>165</v>
      </c>
      <c r="E1489" s="12" t="s">
        <v>96</v>
      </c>
      <c r="F1489" s="12" t="s">
        <v>166</v>
      </c>
      <c r="G1489" s="15" t="s">
        <v>156</v>
      </c>
    </row>
    <row r="1490" spans="1:9" hidden="1" x14ac:dyDescent="0.25">
      <c r="A1490" s="35" t="s">
        <v>1794</v>
      </c>
      <c r="B1490" s="12" t="s">
        <v>1795</v>
      </c>
      <c r="C1490" s="13">
        <v>5</v>
      </c>
      <c r="D1490" s="118" t="s">
        <v>1802</v>
      </c>
      <c r="E1490" s="12" t="s">
        <v>1796</v>
      </c>
      <c r="F1490" s="12" t="s">
        <v>1803</v>
      </c>
      <c r="G1490" s="15" t="s">
        <v>276</v>
      </c>
      <c r="I1490" s="9">
        <v>15</v>
      </c>
    </row>
    <row r="1491" spans="1:9" hidden="1" x14ac:dyDescent="0.2">
      <c r="A1491" s="35" t="s">
        <v>2867</v>
      </c>
      <c r="B1491" s="12" t="s">
        <v>2868</v>
      </c>
      <c r="C1491" s="13">
        <v>36</v>
      </c>
      <c r="D1491" s="27" t="s">
        <v>2933</v>
      </c>
      <c r="E1491" s="12" t="s">
        <v>2869</v>
      </c>
      <c r="F1491" s="65" t="s">
        <v>2934</v>
      </c>
      <c r="G1491" s="66" t="s">
        <v>156</v>
      </c>
    </row>
    <row r="1492" spans="1:9" hidden="1" x14ac:dyDescent="0.25">
      <c r="A1492" s="35" t="s">
        <v>5686</v>
      </c>
      <c r="B1492" s="12" t="s">
        <v>5687</v>
      </c>
      <c r="C1492" s="13">
        <f t="shared" ref="C1492:C1498" si="1">C1491+1</f>
        <v>37</v>
      </c>
      <c r="D1492" s="118" t="s">
        <v>5715</v>
      </c>
      <c r="E1492" s="12" t="s">
        <v>5688</v>
      </c>
      <c r="F1492" s="12" t="s">
        <v>5716</v>
      </c>
      <c r="G1492" s="15" t="s">
        <v>3022</v>
      </c>
      <c r="I1492" s="90">
        <v>12</v>
      </c>
    </row>
    <row r="1493" spans="1:9" hidden="1" x14ac:dyDescent="0.2">
      <c r="A1493" s="35" t="s">
        <v>2631</v>
      </c>
      <c r="B1493" s="12" t="s">
        <v>2632</v>
      </c>
      <c r="C1493" s="13">
        <f t="shared" si="1"/>
        <v>38</v>
      </c>
      <c r="D1493" s="27" t="s">
        <v>2823</v>
      </c>
      <c r="E1493" s="12" t="s">
        <v>2634</v>
      </c>
      <c r="F1493" s="65" t="s">
        <v>2824</v>
      </c>
      <c r="G1493" s="66" t="s">
        <v>156</v>
      </c>
      <c r="I1493" s="99">
        <v>13</v>
      </c>
    </row>
    <row r="1494" spans="1:9" hidden="1" x14ac:dyDescent="0.2">
      <c r="A1494" s="35" t="s">
        <v>3165</v>
      </c>
      <c r="B1494" s="12" t="s">
        <v>3166</v>
      </c>
      <c r="C1494" s="13">
        <f t="shared" si="1"/>
        <v>39</v>
      </c>
      <c r="D1494" s="118" t="s">
        <v>2823</v>
      </c>
      <c r="E1494" s="12" t="s">
        <v>3167</v>
      </c>
      <c r="F1494" s="12" t="s">
        <v>3328</v>
      </c>
      <c r="G1494" s="66" t="s">
        <v>156</v>
      </c>
      <c r="I1494" s="99">
        <v>13</v>
      </c>
    </row>
    <row r="1495" spans="1:9" hidden="1" x14ac:dyDescent="0.2">
      <c r="A1495" s="35" t="s">
        <v>3458</v>
      </c>
      <c r="B1495" s="12" t="s">
        <v>3459</v>
      </c>
      <c r="C1495" s="13">
        <f t="shared" si="1"/>
        <v>40</v>
      </c>
      <c r="D1495" s="118" t="s">
        <v>3550</v>
      </c>
      <c r="E1495" s="65" t="s">
        <v>3460</v>
      </c>
      <c r="F1495" s="65" t="s">
        <v>3551</v>
      </c>
      <c r="G1495" s="66" t="s">
        <v>13</v>
      </c>
    </row>
    <row r="1496" spans="1:9" hidden="1" x14ac:dyDescent="0.2">
      <c r="A1496" s="35" t="s">
        <v>3633</v>
      </c>
      <c r="B1496" s="12" t="s">
        <v>3634</v>
      </c>
      <c r="C1496" s="13">
        <f t="shared" si="1"/>
        <v>41</v>
      </c>
      <c r="D1496" s="118" t="s">
        <v>3550</v>
      </c>
      <c r="E1496" s="65" t="s">
        <v>3635</v>
      </c>
      <c r="F1496" s="65" t="s">
        <v>3695</v>
      </c>
      <c r="G1496" s="66" t="s">
        <v>13</v>
      </c>
    </row>
    <row r="1497" spans="1:9" hidden="1" x14ac:dyDescent="0.2">
      <c r="A1497" s="35" t="s">
        <v>4087</v>
      </c>
      <c r="B1497" s="12" t="s">
        <v>4088</v>
      </c>
      <c r="C1497" s="13">
        <f t="shared" si="1"/>
        <v>42</v>
      </c>
      <c r="D1497" s="118" t="s">
        <v>3550</v>
      </c>
      <c r="E1497" s="12" t="s">
        <v>4089</v>
      </c>
      <c r="F1497" s="12" t="s">
        <v>4133</v>
      </c>
      <c r="G1497" s="66" t="s">
        <v>13</v>
      </c>
      <c r="I1497" s="90" t="s">
        <v>2426</v>
      </c>
    </row>
    <row r="1498" spans="1:9" hidden="1" x14ac:dyDescent="0.2">
      <c r="A1498" s="35" t="s">
        <v>4212</v>
      </c>
      <c r="B1498" s="12" t="s">
        <v>4213</v>
      </c>
      <c r="C1498" s="13">
        <f t="shared" si="1"/>
        <v>43</v>
      </c>
      <c r="D1498" s="118" t="s">
        <v>3550</v>
      </c>
      <c r="E1498" s="12" t="s">
        <v>4214</v>
      </c>
      <c r="F1498" s="12" t="s">
        <v>4258</v>
      </c>
      <c r="G1498" s="66" t="s">
        <v>13</v>
      </c>
      <c r="I1498" s="90" t="s">
        <v>2426</v>
      </c>
    </row>
    <row r="1499" spans="1:9" hidden="1" x14ac:dyDescent="0.2">
      <c r="A1499" s="35" t="s">
        <v>3400</v>
      </c>
      <c r="B1499" s="12" t="s">
        <v>3401</v>
      </c>
      <c r="C1499" s="13">
        <v>9</v>
      </c>
      <c r="D1499" s="118" t="s">
        <v>3416</v>
      </c>
      <c r="E1499" s="65" t="s">
        <v>3402</v>
      </c>
      <c r="F1499" s="65" t="s">
        <v>3417</v>
      </c>
      <c r="G1499" s="66" t="s">
        <v>13</v>
      </c>
    </row>
    <row r="1500" spans="1:9" hidden="1" x14ac:dyDescent="0.2">
      <c r="A1500" s="35" t="s">
        <v>3458</v>
      </c>
      <c r="B1500" s="12" t="s">
        <v>3459</v>
      </c>
      <c r="C1500" s="13">
        <v>15</v>
      </c>
      <c r="D1500" s="118" t="s">
        <v>3416</v>
      </c>
      <c r="E1500" s="65" t="s">
        <v>3460</v>
      </c>
      <c r="F1500" s="65" t="s">
        <v>3483</v>
      </c>
      <c r="G1500" s="66" t="s">
        <v>13</v>
      </c>
    </row>
    <row r="1501" spans="1:9" hidden="1" x14ac:dyDescent="0.2">
      <c r="A1501" s="35" t="s">
        <v>3633</v>
      </c>
      <c r="B1501" s="12" t="s">
        <v>3634</v>
      </c>
      <c r="C1501" s="13">
        <v>15</v>
      </c>
      <c r="D1501" s="118" t="s">
        <v>3416</v>
      </c>
      <c r="E1501" s="65" t="s">
        <v>3635</v>
      </c>
      <c r="F1501" s="65" t="s">
        <v>3651</v>
      </c>
      <c r="G1501" s="66" t="s">
        <v>13</v>
      </c>
    </row>
    <row r="1502" spans="1:9" hidden="1" x14ac:dyDescent="0.2">
      <c r="A1502" s="35" t="s">
        <v>3741</v>
      </c>
      <c r="B1502" s="12" t="s">
        <v>3742</v>
      </c>
      <c r="C1502" s="13">
        <v>11</v>
      </c>
      <c r="D1502" s="118" t="s">
        <v>3416</v>
      </c>
      <c r="E1502" s="65" t="s">
        <v>3743</v>
      </c>
      <c r="F1502" s="65" t="s">
        <v>3757</v>
      </c>
      <c r="G1502" s="66" t="s">
        <v>13</v>
      </c>
    </row>
    <row r="1503" spans="1:9" hidden="1" x14ac:dyDescent="0.2">
      <c r="A1503" s="35" t="s">
        <v>4087</v>
      </c>
      <c r="B1503" s="12" t="s">
        <v>4088</v>
      </c>
      <c r="C1503" s="13">
        <f>C1502+1</f>
        <v>12</v>
      </c>
      <c r="D1503" s="118" t="s">
        <v>3416</v>
      </c>
      <c r="E1503" s="12" t="s">
        <v>4089</v>
      </c>
      <c r="F1503" s="12" t="s">
        <v>4108</v>
      </c>
      <c r="G1503" s="66" t="s">
        <v>13</v>
      </c>
      <c r="I1503" s="90" t="s">
        <v>2426</v>
      </c>
    </row>
    <row r="1504" spans="1:9" hidden="1" x14ac:dyDescent="0.2">
      <c r="A1504" s="35" t="s">
        <v>4212</v>
      </c>
      <c r="B1504" s="12" t="s">
        <v>4213</v>
      </c>
      <c r="C1504" s="13">
        <f>C1503+1</f>
        <v>13</v>
      </c>
      <c r="D1504" s="118" t="s">
        <v>3416</v>
      </c>
      <c r="E1504" s="12" t="s">
        <v>4214</v>
      </c>
      <c r="F1504" s="12" t="s">
        <v>4231</v>
      </c>
      <c r="G1504" s="66" t="s">
        <v>13</v>
      </c>
      <c r="I1504" s="90" t="s">
        <v>2426</v>
      </c>
    </row>
    <row r="1505" spans="1:9" hidden="1" x14ac:dyDescent="0.2">
      <c r="A1505" s="35" t="s">
        <v>4347</v>
      </c>
      <c r="B1505" s="12" t="s">
        <v>4348</v>
      </c>
      <c r="C1505" s="13">
        <f>C1504+1</f>
        <v>14</v>
      </c>
      <c r="D1505" s="118" t="s">
        <v>3416</v>
      </c>
      <c r="E1505" s="12" t="s">
        <v>4349</v>
      </c>
      <c r="F1505" s="12" t="s">
        <v>4358</v>
      </c>
      <c r="G1505" s="66" t="s">
        <v>13</v>
      </c>
      <c r="I1505" s="90" t="s">
        <v>2426</v>
      </c>
    </row>
    <row r="1506" spans="1:9" hidden="1" x14ac:dyDescent="0.25">
      <c r="A1506" s="35" t="s">
        <v>5921</v>
      </c>
      <c r="B1506" s="12" t="s">
        <v>5922</v>
      </c>
      <c r="C1506" s="13">
        <v>8</v>
      </c>
      <c r="D1506" s="117" t="s">
        <v>3416</v>
      </c>
      <c r="E1506" s="12" t="s">
        <v>5923</v>
      </c>
      <c r="F1506" s="22" t="s">
        <v>5934</v>
      </c>
      <c r="G1506" s="15" t="s">
        <v>276</v>
      </c>
      <c r="I1506" s="101" t="s">
        <v>5818</v>
      </c>
    </row>
    <row r="1507" spans="1:9" hidden="1" x14ac:dyDescent="0.2">
      <c r="A1507" s="35" t="s">
        <v>2024</v>
      </c>
      <c r="B1507" s="12" t="s">
        <v>2025</v>
      </c>
      <c r="C1507" s="13">
        <v>2</v>
      </c>
      <c r="D1507" s="24" t="s">
        <v>10</v>
      </c>
      <c r="E1507" s="12" t="s">
        <v>2026</v>
      </c>
      <c r="F1507" s="22" t="s">
        <v>2028</v>
      </c>
      <c r="G1507" s="15" t="s">
        <v>13</v>
      </c>
    </row>
    <row r="1508" spans="1:9" hidden="1" x14ac:dyDescent="0.25">
      <c r="A1508" s="35" t="s">
        <v>6688</v>
      </c>
      <c r="B1508" s="12" t="s">
        <v>6689</v>
      </c>
      <c r="C1508" s="13">
        <v>24</v>
      </c>
      <c r="D1508" s="118" t="s">
        <v>6732</v>
      </c>
      <c r="E1508" s="12" t="s">
        <v>6690</v>
      </c>
      <c r="F1508" s="12" t="s">
        <v>6733</v>
      </c>
      <c r="G1508" s="15" t="s">
        <v>13</v>
      </c>
    </row>
    <row r="1509" spans="1:9" hidden="1" x14ac:dyDescent="0.25">
      <c r="A1509" s="35" t="s">
        <v>5428</v>
      </c>
      <c r="B1509" s="12" t="s">
        <v>5429</v>
      </c>
      <c r="C1509" s="13">
        <v>3</v>
      </c>
      <c r="D1509" s="118" t="s">
        <v>5433</v>
      </c>
      <c r="E1509" s="12" t="s">
        <v>5430</v>
      </c>
      <c r="F1509" s="12" t="s">
        <v>5434</v>
      </c>
      <c r="G1509" s="15" t="s">
        <v>3022</v>
      </c>
    </row>
    <row r="1510" spans="1:9" hidden="1" x14ac:dyDescent="0.2">
      <c r="A1510" s="35" t="s">
        <v>2024</v>
      </c>
      <c r="B1510" s="12" t="s">
        <v>2025</v>
      </c>
      <c r="C1510" s="13">
        <v>3</v>
      </c>
      <c r="D1510" s="24" t="s">
        <v>1968</v>
      </c>
      <c r="E1510" s="12" t="s">
        <v>2026</v>
      </c>
      <c r="F1510" s="22" t="s">
        <v>2029</v>
      </c>
      <c r="G1510" s="15" t="s">
        <v>32</v>
      </c>
    </row>
    <row r="1511" spans="1:9" hidden="1" x14ac:dyDescent="0.2">
      <c r="A1511" s="35" t="s">
        <v>2024</v>
      </c>
      <c r="B1511" s="12" t="s">
        <v>2025</v>
      </c>
      <c r="C1511" s="13">
        <v>4</v>
      </c>
      <c r="D1511" s="27" t="s">
        <v>475</v>
      </c>
      <c r="E1511" s="12" t="s">
        <v>2026</v>
      </c>
      <c r="F1511" s="12" t="s">
        <v>2030</v>
      </c>
      <c r="G1511" s="15" t="s">
        <v>32</v>
      </c>
    </row>
    <row r="1512" spans="1:9" hidden="1" x14ac:dyDescent="0.2">
      <c r="A1512" s="35" t="s">
        <v>2024</v>
      </c>
      <c r="B1512" s="12" t="s">
        <v>2025</v>
      </c>
      <c r="C1512" s="13">
        <v>5</v>
      </c>
      <c r="D1512" s="27" t="s">
        <v>372</v>
      </c>
      <c r="E1512" s="12" t="s">
        <v>2026</v>
      </c>
      <c r="F1512" s="12" t="s">
        <v>2031</v>
      </c>
      <c r="G1512" s="15" t="s">
        <v>13</v>
      </c>
    </row>
    <row r="1513" spans="1:9" hidden="1" x14ac:dyDescent="0.2">
      <c r="A1513" s="35" t="s">
        <v>2024</v>
      </c>
      <c r="B1513" s="12" t="s">
        <v>2025</v>
      </c>
      <c r="C1513" s="13">
        <v>6</v>
      </c>
      <c r="D1513" s="27" t="s">
        <v>2032</v>
      </c>
      <c r="E1513" s="12" t="s">
        <v>2026</v>
      </c>
      <c r="F1513" s="12" t="s">
        <v>2033</v>
      </c>
      <c r="G1513" s="15" t="s">
        <v>13</v>
      </c>
    </row>
    <row r="1514" spans="1:9" hidden="1" x14ac:dyDescent="0.2">
      <c r="A1514" s="35" t="s">
        <v>93</v>
      </c>
      <c r="B1514" s="12" t="s">
        <v>94</v>
      </c>
      <c r="C1514" s="13">
        <v>49</v>
      </c>
      <c r="D1514" s="27" t="s">
        <v>196</v>
      </c>
      <c r="E1514" s="12" t="s">
        <v>96</v>
      </c>
      <c r="F1514" s="12" t="s">
        <v>197</v>
      </c>
      <c r="G1514" s="15" t="s">
        <v>156</v>
      </c>
    </row>
    <row r="1515" spans="1:9" hidden="1" x14ac:dyDescent="0.25">
      <c r="A1515" s="35" t="s">
        <v>6086</v>
      </c>
      <c r="B1515" s="12" t="s">
        <v>6087</v>
      </c>
      <c r="C1515" s="13">
        <v>4</v>
      </c>
      <c r="D1515" s="118" t="s">
        <v>6092</v>
      </c>
      <c r="E1515" s="12" t="s">
        <v>6088</v>
      </c>
      <c r="F1515" s="12" t="s">
        <v>6093</v>
      </c>
      <c r="G1515" s="15" t="s">
        <v>13</v>
      </c>
    </row>
    <row r="1516" spans="1:9" hidden="1" x14ac:dyDescent="0.25">
      <c r="A1516" s="35" t="s">
        <v>6134</v>
      </c>
      <c r="B1516" s="12" t="s">
        <v>6135</v>
      </c>
      <c r="C1516" s="13">
        <v>4</v>
      </c>
      <c r="D1516" s="118" t="s">
        <v>6092</v>
      </c>
      <c r="E1516" s="12" t="s">
        <v>6136</v>
      </c>
      <c r="F1516" s="12" t="s">
        <v>6140</v>
      </c>
      <c r="G1516" s="15" t="s">
        <v>13</v>
      </c>
    </row>
    <row r="1517" spans="1:9" hidden="1" x14ac:dyDescent="0.25">
      <c r="A1517" s="35" t="s">
        <v>6463</v>
      </c>
      <c r="B1517" s="12" t="s">
        <v>6464</v>
      </c>
      <c r="C1517" s="13">
        <v>4</v>
      </c>
      <c r="D1517" s="118" t="s">
        <v>6092</v>
      </c>
      <c r="E1517" s="12" t="s">
        <v>6465</v>
      </c>
      <c r="F1517" s="12" t="s">
        <v>6469</v>
      </c>
      <c r="G1517" s="15" t="s">
        <v>13</v>
      </c>
      <c r="I1517" s="9">
        <v>15</v>
      </c>
    </row>
    <row r="1518" spans="1:9" hidden="1" x14ac:dyDescent="0.25">
      <c r="A1518" s="35" t="s">
        <v>6491</v>
      </c>
      <c r="B1518" s="12" t="s">
        <v>6492</v>
      </c>
      <c r="C1518" s="13">
        <v>4</v>
      </c>
      <c r="D1518" s="118" t="s">
        <v>6092</v>
      </c>
      <c r="E1518" s="12" t="s">
        <v>6493</v>
      </c>
      <c r="F1518" s="12" t="s">
        <v>6497</v>
      </c>
      <c r="G1518" s="15" t="s">
        <v>13</v>
      </c>
      <c r="I1518" s="9">
        <v>15</v>
      </c>
    </row>
    <row r="1519" spans="1:9" hidden="1" x14ac:dyDescent="0.2">
      <c r="A1519" s="35" t="s">
        <v>1142</v>
      </c>
      <c r="B1519" s="12" t="s">
        <v>1143</v>
      </c>
      <c r="C1519" s="13">
        <v>11</v>
      </c>
      <c r="D1519" s="27" t="s">
        <v>1160</v>
      </c>
      <c r="E1519" s="12" t="s">
        <v>1144</v>
      </c>
      <c r="F1519" s="12" t="s">
        <v>1161</v>
      </c>
      <c r="G1519" s="15" t="s">
        <v>156</v>
      </c>
    </row>
    <row r="1520" spans="1:9" hidden="1" x14ac:dyDescent="0.25">
      <c r="A1520" s="35" t="s">
        <v>5686</v>
      </c>
      <c r="B1520" s="12" t="s">
        <v>5687</v>
      </c>
      <c r="C1520" s="13">
        <f>C1519+1</f>
        <v>12</v>
      </c>
      <c r="D1520" s="118" t="s">
        <v>5742</v>
      </c>
      <c r="E1520" s="12" t="s">
        <v>5688</v>
      </c>
      <c r="F1520" s="12" t="s">
        <v>5743</v>
      </c>
      <c r="G1520" s="15" t="s">
        <v>3022</v>
      </c>
      <c r="I1520" s="90">
        <v>12</v>
      </c>
    </row>
    <row r="1521" spans="1:9" hidden="1" x14ac:dyDescent="0.25">
      <c r="A1521" s="35" t="s">
        <v>5866</v>
      </c>
      <c r="B1521" s="12" t="s">
        <v>5867</v>
      </c>
      <c r="C1521" s="13">
        <f>C1520+1</f>
        <v>13</v>
      </c>
      <c r="D1521" s="118" t="s">
        <v>5742</v>
      </c>
      <c r="E1521" s="12" t="s">
        <v>5868</v>
      </c>
      <c r="F1521" s="12" t="s">
        <v>5875</v>
      </c>
      <c r="G1521" s="15" t="s">
        <v>3022</v>
      </c>
      <c r="I1521" s="90">
        <v>12</v>
      </c>
    </row>
    <row r="1522" spans="1:9" hidden="1" x14ac:dyDescent="0.2">
      <c r="A1522" s="35" t="s">
        <v>3458</v>
      </c>
      <c r="B1522" s="12" t="s">
        <v>3459</v>
      </c>
      <c r="C1522" s="13">
        <f>C1521+1</f>
        <v>14</v>
      </c>
      <c r="D1522" s="118" t="s">
        <v>3603</v>
      </c>
      <c r="E1522" s="65" t="s">
        <v>3460</v>
      </c>
      <c r="F1522" s="65" t="s">
        <v>3604</v>
      </c>
      <c r="G1522" s="66" t="s">
        <v>1239</v>
      </c>
      <c r="I1522" s="99">
        <v>13</v>
      </c>
    </row>
    <row r="1523" spans="1:9" hidden="1" x14ac:dyDescent="0.2">
      <c r="A1523" s="35" t="s">
        <v>3633</v>
      </c>
      <c r="B1523" s="12" t="s">
        <v>3634</v>
      </c>
      <c r="C1523" s="13">
        <v>71</v>
      </c>
      <c r="D1523" s="118" t="s">
        <v>3603</v>
      </c>
      <c r="E1523" s="65" t="s">
        <v>3635</v>
      </c>
      <c r="F1523" s="65" t="s">
        <v>3724</v>
      </c>
      <c r="G1523" s="66" t="s">
        <v>1239</v>
      </c>
      <c r="I1523" s="99">
        <v>13</v>
      </c>
    </row>
    <row r="1524" spans="1:9" hidden="1" x14ac:dyDescent="0.25">
      <c r="A1524" s="35" t="s">
        <v>4087</v>
      </c>
      <c r="B1524" s="12" t="s">
        <v>4088</v>
      </c>
      <c r="C1524" s="13">
        <f>C1523+1</f>
        <v>72</v>
      </c>
      <c r="D1524" s="118" t="s">
        <v>3603</v>
      </c>
      <c r="E1524" s="12" t="s">
        <v>4089</v>
      </c>
      <c r="F1524" s="12" t="s">
        <v>4196</v>
      </c>
      <c r="G1524" s="15" t="s">
        <v>1239</v>
      </c>
      <c r="I1524" s="99">
        <v>13</v>
      </c>
    </row>
    <row r="1525" spans="1:9" hidden="1" x14ac:dyDescent="0.25">
      <c r="A1525" s="35" t="s">
        <v>4212</v>
      </c>
      <c r="B1525" s="12" t="s">
        <v>4213</v>
      </c>
      <c r="C1525" s="13">
        <f>C1524+1</f>
        <v>73</v>
      </c>
      <c r="D1525" s="118" t="s">
        <v>3603</v>
      </c>
      <c r="E1525" s="12" t="s">
        <v>4214</v>
      </c>
      <c r="F1525" s="12" t="s">
        <v>4304</v>
      </c>
      <c r="G1525" s="15" t="s">
        <v>1239</v>
      </c>
      <c r="I1525" s="99">
        <v>13</v>
      </c>
    </row>
    <row r="1526" spans="1:9" hidden="1" x14ac:dyDescent="0.2">
      <c r="A1526" s="35" t="s">
        <v>2024</v>
      </c>
      <c r="B1526" s="12" t="s">
        <v>2025</v>
      </c>
      <c r="C1526" s="13">
        <v>7</v>
      </c>
      <c r="D1526" s="27" t="s">
        <v>2034</v>
      </c>
      <c r="E1526" s="12" t="s">
        <v>2026</v>
      </c>
      <c r="F1526" s="12" t="s">
        <v>2035</v>
      </c>
      <c r="G1526" s="15" t="s">
        <v>78</v>
      </c>
    </row>
    <row r="1527" spans="1:9" hidden="1" x14ac:dyDescent="0.25">
      <c r="A1527" s="35" t="s">
        <v>1313</v>
      </c>
      <c r="B1527" s="12" t="s">
        <v>1314</v>
      </c>
      <c r="C1527" s="13">
        <v>27</v>
      </c>
      <c r="D1527" s="118" t="s">
        <v>1364</v>
      </c>
      <c r="E1527" s="12" t="s">
        <v>1315</v>
      </c>
      <c r="F1527" s="12" t="s">
        <v>1365</v>
      </c>
      <c r="G1527" s="15" t="s">
        <v>1366</v>
      </c>
    </row>
    <row r="1528" spans="1:9" hidden="1" x14ac:dyDescent="0.2">
      <c r="A1528" s="35" t="s">
        <v>2024</v>
      </c>
      <c r="B1528" s="12" t="s">
        <v>2025</v>
      </c>
      <c r="C1528" s="13">
        <v>8</v>
      </c>
      <c r="D1528" s="27" t="s">
        <v>2036</v>
      </c>
      <c r="E1528" s="12" t="s">
        <v>2026</v>
      </c>
      <c r="F1528" s="12" t="s">
        <v>2037</v>
      </c>
      <c r="G1528" s="15" t="s">
        <v>156</v>
      </c>
    </row>
    <row r="1529" spans="1:9" hidden="1" x14ac:dyDescent="0.2">
      <c r="A1529" s="35" t="s">
        <v>93</v>
      </c>
      <c r="B1529" s="12" t="s">
        <v>94</v>
      </c>
      <c r="C1529" s="13">
        <v>39</v>
      </c>
      <c r="D1529" s="27" t="s">
        <v>175</v>
      </c>
      <c r="E1529" s="12" t="s">
        <v>96</v>
      </c>
      <c r="F1529" s="12" t="s">
        <v>176</v>
      </c>
      <c r="G1529" s="15" t="s">
        <v>156</v>
      </c>
    </row>
    <row r="1530" spans="1:9" hidden="1" x14ac:dyDescent="0.2">
      <c r="A1530" s="35" t="s">
        <v>2024</v>
      </c>
      <c r="B1530" s="12" t="s">
        <v>2025</v>
      </c>
      <c r="C1530" s="13">
        <v>9</v>
      </c>
      <c r="D1530" s="27" t="s">
        <v>2038</v>
      </c>
      <c r="E1530" s="12" t="s">
        <v>2026</v>
      </c>
      <c r="F1530" s="12" t="s">
        <v>2039</v>
      </c>
      <c r="G1530" s="15" t="s">
        <v>156</v>
      </c>
    </row>
    <row r="1531" spans="1:9" hidden="1" x14ac:dyDescent="0.25">
      <c r="A1531" s="179" t="s">
        <v>5042</v>
      </c>
      <c r="B1531" s="12" t="s">
        <v>5043</v>
      </c>
      <c r="C1531" s="13">
        <v>10</v>
      </c>
      <c r="D1531" s="118" t="s">
        <v>5058</v>
      </c>
      <c r="E1531" s="12" t="s">
        <v>5044</v>
      </c>
      <c r="F1531" s="12" t="s">
        <v>5059</v>
      </c>
      <c r="G1531" s="80" t="s">
        <v>3022</v>
      </c>
    </row>
    <row r="1532" spans="1:9" hidden="1" x14ac:dyDescent="0.25">
      <c r="A1532" s="179" t="s">
        <v>5042</v>
      </c>
      <c r="B1532" s="12" t="s">
        <v>5043</v>
      </c>
      <c r="C1532" s="13">
        <v>9</v>
      </c>
      <c r="D1532" s="118" t="s">
        <v>5056</v>
      </c>
      <c r="E1532" s="12" t="s">
        <v>5044</v>
      </c>
      <c r="F1532" s="12" t="s">
        <v>5057</v>
      </c>
      <c r="G1532" s="80" t="s">
        <v>3022</v>
      </c>
    </row>
    <row r="1533" spans="1:9" hidden="1" x14ac:dyDescent="0.2">
      <c r="A1533" s="35" t="s">
        <v>289</v>
      </c>
      <c r="B1533" s="12" t="s">
        <v>290</v>
      </c>
      <c r="C1533" s="13">
        <v>8</v>
      </c>
      <c r="D1533" s="27" t="s">
        <v>301</v>
      </c>
      <c r="E1533" s="12" t="s">
        <v>291</v>
      </c>
      <c r="F1533" s="12" t="s">
        <v>302</v>
      </c>
      <c r="G1533" s="15" t="s">
        <v>156</v>
      </c>
    </row>
    <row r="1534" spans="1:9" hidden="1" x14ac:dyDescent="0.25">
      <c r="A1534" s="186" t="s">
        <v>708</v>
      </c>
      <c r="B1534" s="12" t="s">
        <v>709</v>
      </c>
      <c r="C1534" s="13">
        <v>8</v>
      </c>
      <c r="D1534" s="118" t="s">
        <v>301</v>
      </c>
      <c r="E1534" s="12" t="s">
        <v>710</v>
      </c>
      <c r="F1534" s="12" t="s">
        <v>718</v>
      </c>
      <c r="G1534" s="15" t="s">
        <v>156</v>
      </c>
      <c r="I1534" s="102" t="s">
        <v>59</v>
      </c>
    </row>
    <row r="1535" spans="1:9" hidden="1" x14ac:dyDescent="0.25">
      <c r="A1535" s="35" t="s">
        <v>1093</v>
      </c>
      <c r="B1535" s="12" t="s">
        <v>1094</v>
      </c>
      <c r="C1535" s="13">
        <v>13</v>
      </c>
      <c r="D1535" s="118" t="s">
        <v>1118</v>
      </c>
      <c r="E1535" s="12" t="s">
        <v>1095</v>
      </c>
      <c r="F1535" s="12" t="s">
        <v>1119</v>
      </c>
      <c r="G1535" s="15" t="s">
        <v>276</v>
      </c>
      <c r="I1535" s="94">
        <v>14</v>
      </c>
    </row>
    <row r="1536" spans="1:9" hidden="1" x14ac:dyDescent="0.25">
      <c r="A1536" s="35" t="s">
        <v>6000</v>
      </c>
      <c r="B1536" s="12" t="s">
        <v>6001</v>
      </c>
      <c r="C1536" s="13">
        <v>7</v>
      </c>
      <c r="D1536" s="118" t="s">
        <v>1118</v>
      </c>
      <c r="E1536" s="12" t="s">
        <v>6002</v>
      </c>
      <c r="F1536" s="12" t="s">
        <v>6012</v>
      </c>
      <c r="G1536" s="15" t="s">
        <v>3022</v>
      </c>
    </row>
    <row r="1537" spans="1:9" hidden="1" x14ac:dyDescent="0.2">
      <c r="A1537" s="35" t="s">
        <v>6880</v>
      </c>
      <c r="B1537" s="12" t="s">
        <v>6881</v>
      </c>
      <c r="C1537" s="13">
        <v>18</v>
      </c>
      <c r="D1537" s="27" t="s">
        <v>6910</v>
      </c>
      <c r="E1537" s="12" t="s">
        <v>6882</v>
      </c>
      <c r="F1537" s="12" t="s">
        <v>6911</v>
      </c>
      <c r="G1537" s="15" t="s">
        <v>156</v>
      </c>
      <c r="I1537" s="90">
        <v>12</v>
      </c>
    </row>
    <row r="1538" spans="1:9" hidden="1" x14ac:dyDescent="0.2">
      <c r="A1538" s="35" t="s">
        <v>757</v>
      </c>
      <c r="B1538" s="12" t="s">
        <v>758</v>
      </c>
      <c r="C1538" s="13">
        <v>14</v>
      </c>
      <c r="D1538" s="27" t="s">
        <v>785</v>
      </c>
      <c r="E1538" s="12" t="s">
        <v>759</v>
      </c>
      <c r="F1538" s="12" t="s">
        <v>786</v>
      </c>
      <c r="G1538" s="15" t="s">
        <v>276</v>
      </c>
      <c r="I1538" s="9">
        <v>15</v>
      </c>
    </row>
    <row r="1539" spans="1:9" hidden="1" x14ac:dyDescent="0.2">
      <c r="A1539" s="35" t="s">
        <v>5559</v>
      </c>
      <c r="B1539" s="12" t="s">
        <v>5560</v>
      </c>
      <c r="C1539" s="13">
        <v>20</v>
      </c>
      <c r="D1539" s="118" t="s">
        <v>5594</v>
      </c>
      <c r="E1539" s="12" t="s">
        <v>5561</v>
      </c>
      <c r="F1539" s="12" t="s">
        <v>5595</v>
      </c>
      <c r="G1539" s="66" t="s">
        <v>3022</v>
      </c>
    </row>
    <row r="1540" spans="1:9" hidden="1" x14ac:dyDescent="0.2">
      <c r="A1540" s="35" t="s">
        <v>3458</v>
      </c>
      <c r="B1540" s="12" t="s">
        <v>3459</v>
      </c>
      <c r="C1540" s="13">
        <v>12</v>
      </c>
      <c r="D1540" s="118" t="s">
        <v>3477</v>
      </c>
      <c r="E1540" s="65" t="s">
        <v>3460</v>
      </c>
      <c r="F1540" s="65" t="s">
        <v>3478</v>
      </c>
      <c r="G1540" s="66" t="s">
        <v>13</v>
      </c>
    </row>
    <row r="1541" spans="1:9" hidden="1" x14ac:dyDescent="0.2">
      <c r="A1541" s="35" t="s">
        <v>3633</v>
      </c>
      <c r="B1541" s="12" t="s">
        <v>3634</v>
      </c>
      <c r="C1541" s="13">
        <v>12</v>
      </c>
      <c r="D1541" s="118" t="s">
        <v>3477</v>
      </c>
      <c r="E1541" s="65" t="s">
        <v>3635</v>
      </c>
      <c r="F1541" s="65" t="s">
        <v>3648</v>
      </c>
      <c r="G1541" s="66" t="s">
        <v>13</v>
      </c>
    </row>
    <row r="1542" spans="1:9" hidden="1" x14ac:dyDescent="0.2">
      <c r="A1542" s="35" t="s">
        <v>4087</v>
      </c>
      <c r="B1542" s="12" t="s">
        <v>4088</v>
      </c>
      <c r="C1542" s="13">
        <f>C1541+1</f>
        <v>13</v>
      </c>
      <c r="D1542" s="118" t="s">
        <v>3477</v>
      </c>
      <c r="E1542" s="12" t="s">
        <v>4089</v>
      </c>
      <c r="F1542" s="12" t="s">
        <v>4105</v>
      </c>
      <c r="G1542" s="66" t="s">
        <v>13</v>
      </c>
      <c r="I1542" s="90" t="s">
        <v>2426</v>
      </c>
    </row>
    <row r="1543" spans="1:9" hidden="1" x14ac:dyDescent="0.2">
      <c r="A1543" s="35" t="s">
        <v>4212</v>
      </c>
      <c r="B1543" s="12" t="s">
        <v>4213</v>
      </c>
      <c r="C1543" s="13">
        <f>C1542+1</f>
        <v>14</v>
      </c>
      <c r="D1543" s="118" t="s">
        <v>3477</v>
      </c>
      <c r="E1543" s="12" t="s">
        <v>4214</v>
      </c>
      <c r="F1543" s="12" t="s">
        <v>4228</v>
      </c>
      <c r="G1543" s="66" t="s">
        <v>13</v>
      </c>
      <c r="I1543" s="90" t="s">
        <v>2426</v>
      </c>
    </row>
    <row r="1544" spans="1:9" hidden="1" x14ac:dyDescent="0.2">
      <c r="A1544" s="35" t="s">
        <v>3993</v>
      </c>
      <c r="B1544" s="12" t="s">
        <v>3994</v>
      </c>
      <c r="C1544" s="13">
        <v>5</v>
      </c>
      <c r="D1544" s="118" t="s">
        <v>4001</v>
      </c>
      <c r="E1544" s="12" t="s">
        <v>3995</v>
      </c>
      <c r="F1544" s="12" t="s">
        <v>4002</v>
      </c>
      <c r="G1544" s="66" t="s">
        <v>13</v>
      </c>
    </row>
    <row r="1545" spans="1:9" hidden="1" x14ac:dyDescent="0.2">
      <c r="A1545" s="35" t="s">
        <v>4347</v>
      </c>
      <c r="B1545" s="12" t="s">
        <v>4348</v>
      </c>
      <c r="C1545" s="13">
        <f>C1544+1</f>
        <v>6</v>
      </c>
      <c r="D1545" s="118" t="s">
        <v>4361</v>
      </c>
      <c r="E1545" s="12" t="s">
        <v>4349</v>
      </c>
      <c r="F1545" s="12" t="s">
        <v>4362</v>
      </c>
      <c r="G1545" s="66" t="s">
        <v>13</v>
      </c>
      <c r="I1545" s="90" t="s">
        <v>2426</v>
      </c>
    </row>
    <row r="1546" spans="1:9" hidden="1" x14ac:dyDescent="0.2">
      <c r="A1546" s="35" t="s">
        <v>3400</v>
      </c>
      <c r="B1546" s="12" t="s">
        <v>3401</v>
      </c>
      <c r="C1546" s="13">
        <v>13</v>
      </c>
      <c r="D1546" s="118" t="s">
        <v>3424</v>
      </c>
      <c r="E1546" s="65" t="s">
        <v>3402</v>
      </c>
      <c r="F1546" s="65" t="s">
        <v>3425</v>
      </c>
      <c r="G1546" s="66" t="s">
        <v>13</v>
      </c>
      <c r="I1546" s="90" t="s">
        <v>2426</v>
      </c>
    </row>
    <row r="1547" spans="1:9" hidden="1" x14ac:dyDescent="0.2">
      <c r="A1547" s="35" t="s">
        <v>362</v>
      </c>
      <c r="B1547" s="12" t="s">
        <v>363</v>
      </c>
      <c r="C1547" s="13">
        <v>24</v>
      </c>
      <c r="D1547" s="27" t="s">
        <v>407</v>
      </c>
      <c r="E1547" s="12" t="s">
        <v>364</v>
      </c>
      <c r="F1547" s="12" t="s">
        <v>408</v>
      </c>
      <c r="G1547" s="15" t="s">
        <v>156</v>
      </c>
    </row>
    <row r="1548" spans="1:9" hidden="1" x14ac:dyDescent="0.25">
      <c r="A1548" s="95" t="s">
        <v>6189</v>
      </c>
      <c r="B1548" s="82" t="s">
        <v>6190</v>
      </c>
      <c r="C1548" s="83">
        <f>C1547+1</f>
        <v>25</v>
      </c>
      <c r="D1548" s="205" t="s">
        <v>6241</v>
      </c>
      <c r="E1548" s="82" t="s">
        <v>6191</v>
      </c>
      <c r="F1548" s="82" t="s">
        <v>6242</v>
      </c>
      <c r="G1548" s="84" t="s">
        <v>3022</v>
      </c>
      <c r="I1548" s="101" t="s">
        <v>54</v>
      </c>
    </row>
    <row r="1549" spans="1:9" ht="12.75" hidden="1" thickBot="1" x14ac:dyDescent="0.3">
      <c r="A1549" s="193" t="s">
        <v>6371</v>
      </c>
      <c r="B1549" s="162" t="s">
        <v>6372</v>
      </c>
      <c r="C1549" s="161">
        <v>26</v>
      </c>
      <c r="D1549" s="231" t="s">
        <v>6241</v>
      </c>
      <c r="E1549" s="162" t="s">
        <v>6373</v>
      </c>
      <c r="F1549" s="162" t="s">
        <v>6400</v>
      </c>
      <c r="G1549" s="163" t="s">
        <v>258</v>
      </c>
      <c r="I1549" s="101" t="s">
        <v>2778</v>
      </c>
    </row>
    <row r="1550" spans="1:9" hidden="1" x14ac:dyDescent="0.2">
      <c r="A1550" s="35" t="s">
        <v>6614</v>
      </c>
      <c r="B1550" s="12" t="s">
        <v>6615</v>
      </c>
      <c r="C1550" s="13">
        <v>23</v>
      </c>
      <c r="D1550" s="27" t="s">
        <v>6241</v>
      </c>
      <c r="E1550" s="12" t="s">
        <v>6616</v>
      </c>
      <c r="F1550" s="12" t="s">
        <v>6643</v>
      </c>
      <c r="G1550" s="15" t="s">
        <v>156</v>
      </c>
    </row>
    <row r="1551" spans="1:9" hidden="1" x14ac:dyDescent="0.25">
      <c r="A1551" s="35" t="s">
        <v>5559</v>
      </c>
      <c r="B1551" s="12" t="s">
        <v>5560</v>
      </c>
      <c r="C1551" s="13">
        <f>C1550+1</f>
        <v>24</v>
      </c>
      <c r="D1551" s="118" t="s">
        <v>5601</v>
      </c>
      <c r="E1551" s="12" t="s">
        <v>5561</v>
      </c>
      <c r="F1551" s="12" t="s">
        <v>5602</v>
      </c>
      <c r="G1551" s="80" t="s">
        <v>13</v>
      </c>
      <c r="I1551" s="90">
        <v>12</v>
      </c>
    </row>
    <row r="1552" spans="1:9" hidden="1" x14ac:dyDescent="0.25">
      <c r="A1552" s="35" t="s">
        <v>6286</v>
      </c>
      <c r="B1552" s="12" t="s">
        <v>6287</v>
      </c>
      <c r="C1552" s="13">
        <f>C1551+1</f>
        <v>25</v>
      </c>
      <c r="D1552" s="118" t="s">
        <v>6305</v>
      </c>
      <c r="E1552" s="12" t="s">
        <v>6288</v>
      </c>
      <c r="F1552" s="12" t="s">
        <v>6306</v>
      </c>
      <c r="G1552" s="15" t="s">
        <v>19</v>
      </c>
      <c r="I1552" s="90">
        <v>12</v>
      </c>
    </row>
    <row r="1553" spans="1:10" hidden="1" x14ac:dyDescent="0.2">
      <c r="A1553" s="35" t="s">
        <v>6645</v>
      </c>
      <c r="B1553" s="12" t="s">
        <v>6646</v>
      </c>
      <c r="C1553" s="13">
        <f>+C1552+1</f>
        <v>26</v>
      </c>
      <c r="D1553" s="27" t="s">
        <v>6305</v>
      </c>
      <c r="E1553" s="12" t="s">
        <v>6647</v>
      </c>
      <c r="F1553" s="12" t="s">
        <v>6661</v>
      </c>
      <c r="G1553" s="15" t="s">
        <v>19</v>
      </c>
    </row>
    <row r="1554" spans="1:10" hidden="1" x14ac:dyDescent="0.2">
      <c r="A1554" s="35" t="s">
        <v>3428</v>
      </c>
      <c r="B1554" s="12" t="s">
        <v>3429</v>
      </c>
      <c r="C1554" s="13">
        <v>6</v>
      </c>
      <c r="D1554" s="118" t="s">
        <v>3437</v>
      </c>
      <c r="E1554" s="65" t="s">
        <v>3430</v>
      </c>
      <c r="F1554" s="65" t="s">
        <v>3438</v>
      </c>
      <c r="G1554" s="66" t="s">
        <v>19</v>
      </c>
    </row>
    <row r="1555" spans="1:10" hidden="1" x14ac:dyDescent="0.2">
      <c r="A1555" s="35" t="s">
        <v>3799</v>
      </c>
      <c r="B1555" s="12" t="s">
        <v>3800</v>
      </c>
      <c r="C1555" s="13">
        <v>10</v>
      </c>
      <c r="D1555" s="118" t="s">
        <v>3437</v>
      </c>
      <c r="E1555" s="12" t="s">
        <v>3801</v>
      </c>
      <c r="F1555" s="65" t="s">
        <v>3811</v>
      </c>
      <c r="G1555" s="66" t="s">
        <v>19</v>
      </c>
    </row>
    <row r="1556" spans="1:10" hidden="1" x14ac:dyDescent="0.2">
      <c r="A1556" s="35" t="s">
        <v>3858</v>
      </c>
      <c r="B1556" s="12" t="s">
        <v>3859</v>
      </c>
      <c r="C1556" s="13">
        <v>10</v>
      </c>
      <c r="D1556" s="118" t="s">
        <v>3437</v>
      </c>
      <c r="E1556" s="12" t="s">
        <v>3860</v>
      </c>
      <c r="F1556" s="65" t="s">
        <v>3870</v>
      </c>
      <c r="G1556" s="66" t="s">
        <v>19</v>
      </c>
    </row>
    <row r="1557" spans="1:10" hidden="1" x14ac:dyDescent="0.2">
      <c r="A1557" s="35" t="s">
        <v>3880</v>
      </c>
      <c r="B1557" s="12" t="s">
        <v>3881</v>
      </c>
      <c r="C1557" s="13">
        <v>12</v>
      </c>
      <c r="D1557" s="118" t="s">
        <v>3437</v>
      </c>
      <c r="E1557" s="12" t="s">
        <v>3882</v>
      </c>
      <c r="F1557" s="12" t="s">
        <v>3896</v>
      </c>
      <c r="G1557" s="66" t="s">
        <v>19</v>
      </c>
    </row>
    <row r="1558" spans="1:10" hidden="1" x14ac:dyDescent="0.2">
      <c r="A1558" s="35" t="s">
        <v>3914</v>
      </c>
      <c r="B1558" s="12" t="s">
        <v>3915</v>
      </c>
      <c r="C1558" s="13">
        <v>12</v>
      </c>
      <c r="D1558" s="118" t="s">
        <v>3437</v>
      </c>
      <c r="E1558" s="12" t="s">
        <v>3916</v>
      </c>
      <c r="F1558" s="12" t="s">
        <v>3928</v>
      </c>
      <c r="G1558" s="66" t="s">
        <v>19</v>
      </c>
    </row>
    <row r="1559" spans="1:10" hidden="1" x14ac:dyDescent="0.25">
      <c r="A1559" s="35" t="s">
        <v>6000</v>
      </c>
      <c r="B1559" s="12" t="s">
        <v>6001</v>
      </c>
      <c r="C1559" s="13">
        <v>5</v>
      </c>
      <c r="D1559" s="118" t="s">
        <v>6008</v>
      </c>
      <c r="E1559" s="12" t="s">
        <v>6002</v>
      </c>
      <c r="F1559" s="12" t="s">
        <v>6009</v>
      </c>
      <c r="G1559" s="15" t="s">
        <v>19</v>
      </c>
    </row>
    <row r="1560" spans="1:10" hidden="1" x14ac:dyDescent="0.2">
      <c r="A1560" s="35" t="s">
        <v>2867</v>
      </c>
      <c r="B1560" s="12" t="s">
        <v>2868</v>
      </c>
      <c r="C1560" s="13">
        <v>15</v>
      </c>
      <c r="D1560" s="27" t="s">
        <v>2893</v>
      </c>
      <c r="E1560" s="12" t="s">
        <v>2869</v>
      </c>
      <c r="F1560" s="65" t="s">
        <v>2894</v>
      </c>
      <c r="G1560" s="66" t="s">
        <v>19</v>
      </c>
    </row>
    <row r="1561" spans="1:10" hidden="1" x14ac:dyDescent="0.2">
      <c r="A1561" s="35" t="s">
        <v>453</v>
      </c>
      <c r="B1561" s="12" t="s">
        <v>454</v>
      </c>
      <c r="C1561" s="13">
        <v>6</v>
      </c>
      <c r="D1561" s="27" t="s">
        <v>464</v>
      </c>
      <c r="E1561" s="12" t="s">
        <v>455</v>
      </c>
      <c r="F1561" s="12" t="s">
        <v>465</v>
      </c>
      <c r="G1561" s="15" t="s">
        <v>19</v>
      </c>
    </row>
    <row r="1562" spans="1:10" ht="15" hidden="1" x14ac:dyDescent="0.25">
      <c r="A1562" s="35" t="s">
        <v>6086</v>
      </c>
      <c r="B1562" s="12" t="s">
        <v>6087</v>
      </c>
      <c r="C1562" s="13">
        <v>20</v>
      </c>
      <c r="D1562" s="118" t="s">
        <v>6122</v>
      </c>
      <c r="E1562" s="12" t="s">
        <v>6088</v>
      </c>
      <c r="F1562" s="12" t="s">
        <v>6123</v>
      </c>
      <c r="G1562" s="15" t="s">
        <v>6080</v>
      </c>
      <c r="I1562" s="9">
        <v>15</v>
      </c>
      <c r="J1562" s="52"/>
    </row>
    <row r="1563" spans="1:10" ht="15" hidden="1" x14ac:dyDescent="0.25">
      <c r="A1563" s="35" t="s">
        <v>6134</v>
      </c>
      <c r="B1563" s="12" t="s">
        <v>6135</v>
      </c>
      <c r="C1563" s="13">
        <v>19</v>
      </c>
      <c r="D1563" s="118" t="s">
        <v>6122</v>
      </c>
      <c r="E1563" s="12" t="s">
        <v>6136</v>
      </c>
      <c r="F1563" s="12" t="s">
        <v>6157</v>
      </c>
      <c r="G1563" s="15" t="s">
        <v>6080</v>
      </c>
      <c r="I1563" s="9">
        <v>15</v>
      </c>
      <c r="J1563" s="52"/>
    </row>
    <row r="1564" spans="1:10" ht="15" hidden="1" x14ac:dyDescent="0.25">
      <c r="A1564" s="35" t="s">
        <v>6463</v>
      </c>
      <c r="B1564" s="12" t="s">
        <v>6464</v>
      </c>
      <c r="C1564" s="13">
        <v>20</v>
      </c>
      <c r="D1564" s="118" t="s">
        <v>6122</v>
      </c>
      <c r="E1564" s="12" t="s">
        <v>6465</v>
      </c>
      <c r="F1564" s="12" t="s">
        <v>6485</v>
      </c>
      <c r="G1564" s="15" t="s">
        <v>6080</v>
      </c>
      <c r="I1564" s="9">
        <v>15</v>
      </c>
      <c r="J1564" s="52"/>
    </row>
    <row r="1565" spans="1:10" ht="15" hidden="1" x14ac:dyDescent="0.25">
      <c r="A1565" s="35" t="s">
        <v>6491</v>
      </c>
      <c r="B1565" s="12" t="s">
        <v>6492</v>
      </c>
      <c r="C1565" s="13">
        <v>19</v>
      </c>
      <c r="D1565" s="118" t="s">
        <v>6122</v>
      </c>
      <c r="E1565" s="12" t="s">
        <v>6493</v>
      </c>
      <c r="F1565" s="12" t="s">
        <v>6512</v>
      </c>
      <c r="G1565" s="15" t="s">
        <v>6080</v>
      </c>
      <c r="I1565" s="9">
        <v>15</v>
      </c>
      <c r="J1565" s="52"/>
    </row>
    <row r="1566" spans="1:10" ht="15" hidden="1" x14ac:dyDescent="0.25">
      <c r="A1566" s="35" t="s">
        <v>6086</v>
      </c>
      <c r="B1566" s="12" t="s">
        <v>6087</v>
      </c>
      <c r="C1566" s="13">
        <v>21</v>
      </c>
      <c r="D1566" s="118" t="s">
        <v>6124</v>
      </c>
      <c r="E1566" s="12" t="s">
        <v>6088</v>
      </c>
      <c r="F1566" s="12" t="s">
        <v>6125</v>
      </c>
      <c r="G1566" s="15" t="s">
        <v>6080</v>
      </c>
      <c r="I1566" s="9">
        <v>15</v>
      </c>
      <c r="J1566" s="52"/>
    </row>
    <row r="1567" spans="1:10" ht="15" hidden="1" x14ac:dyDescent="0.25">
      <c r="A1567" s="35" t="s">
        <v>6134</v>
      </c>
      <c r="B1567" s="12" t="s">
        <v>6135</v>
      </c>
      <c r="C1567" s="13">
        <v>20</v>
      </c>
      <c r="D1567" s="118" t="s">
        <v>6124</v>
      </c>
      <c r="E1567" s="12" t="s">
        <v>6136</v>
      </c>
      <c r="F1567" s="12" t="s">
        <v>6158</v>
      </c>
      <c r="G1567" s="15" t="s">
        <v>6080</v>
      </c>
      <c r="I1567" s="9">
        <v>15</v>
      </c>
      <c r="J1567" s="52"/>
    </row>
    <row r="1568" spans="1:10" ht="15" hidden="1" x14ac:dyDescent="0.25">
      <c r="A1568" s="35" t="s">
        <v>6463</v>
      </c>
      <c r="B1568" s="12" t="s">
        <v>6464</v>
      </c>
      <c r="C1568" s="13">
        <v>21</v>
      </c>
      <c r="D1568" s="118" t="s">
        <v>6124</v>
      </c>
      <c r="E1568" s="12" t="s">
        <v>6465</v>
      </c>
      <c r="F1568" s="12" t="s">
        <v>6486</v>
      </c>
      <c r="G1568" s="15" t="s">
        <v>6080</v>
      </c>
      <c r="I1568" s="9">
        <v>15</v>
      </c>
      <c r="J1568" s="52"/>
    </row>
    <row r="1569" spans="1:10" ht="15" hidden="1" x14ac:dyDescent="0.25">
      <c r="A1569" s="35" t="s">
        <v>6491</v>
      </c>
      <c r="B1569" s="12" t="s">
        <v>6492</v>
      </c>
      <c r="C1569" s="13">
        <v>20</v>
      </c>
      <c r="D1569" s="118" t="s">
        <v>6124</v>
      </c>
      <c r="E1569" s="12" t="s">
        <v>6493</v>
      </c>
      <c r="F1569" s="12" t="s">
        <v>6513</v>
      </c>
      <c r="G1569" s="15" t="s">
        <v>6080</v>
      </c>
      <c r="I1569" s="9">
        <v>15</v>
      </c>
      <c r="J1569" s="52"/>
    </row>
    <row r="1570" spans="1:10" ht="15" hidden="1" x14ac:dyDescent="0.25">
      <c r="A1570" s="35" t="s">
        <v>6086</v>
      </c>
      <c r="B1570" s="12" t="s">
        <v>6087</v>
      </c>
      <c r="C1570" s="13">
        <v>22</v>
      </c>
      <c r="D1570" s="118" t="s">
        <v>6126</v>
      </c>
      <c r="E1570" s="12" t="s">
        <v>6088</v>
      </c>
      <c r="F1570" s="12" t="s">
        <v>6127</v>
      </c>
      <c r="G1570" s="15" t="s">
        <v>6080</v>
      </c>
      <c r="I1570" s="9">
        <v>15</v>
      </c>
      <c r="J1570" s="52"/>
    </row>
    <row r="1571" spans="1:10" ht="15" hidden="1" x14ac:dyDescent="0.25">
      <c r="A1571" s="35" t="s">
        <v>6134</v>
      </c>
      <c r="B1571" s="12" t="s">
        <v>6135</v>
      </c>
      <c r="C1571" s="13">
        <v>21</v>
      </c>
      <c r="D1571" s="118" t="s">
        <v>6126</v>
      </c>
      <c r="E1571" s="12" t="s">
        <v>6136</v>
      </c>
      <c r="F1571" s="12" t="s">
        <v>6159</v>
      </c>
      <c r="G1571" s="15" t="s">
        <v>6080</v>
      </c>
      <c r="I1571" s="9">
        <v>15</v>
      </c>
      <c r="J1571" s="52"/>
    </row>
    <row r="1572" spans="1:10" ht="15" hidden="1" x14ac:dyDescent="0.25">
      <c r="A1572" s="35" t="s">
        <v>6463</v>
      </c>
      <c r="B1572" s="12" t="s">
        <v>6464</v>
      </c>
      <c r="C1572" s="13">
        <v>22</v>
      </c>
      <c r="D1572" s="118" t="s">
        <v>6126</v>
      </c>
      <c r="E1572" s="12" t="s">
        <v>6465</v>
      </c>
      <c r="F1572" s="12" t="s">
        <v>6487</v>
      </c>
      <c r="G1572" s="15" t="s">
        <v>6080</v>
      </c>
      <c r="I1572" s="9">
        <v>15</v>
      </c>
      <c r="J1572" s="52"/>
    </row>
    <row r="1573" spans="1:10" ht="15.75" hidden="1" thickBot="1" x14ac:dyDescent="0.3">
      <c r="A1573" s="47" t="s">
        <v>6491</v>
      </c>
      <c r="B1573" s="30" t="s">
        <v>6492</v>
      </c>
      <c r="C1573" s="31">
        <v>21</v>
      </c>
      <c r="D1573" s="159" t="s">
        <v>6126</v>
      </c>
      <c r="E1573" s="30" t="s">
        <v>6493</v>
      </c>
      <c r="F1573" s="30" t="s">
        <v>6514</v>
      </c>
      <c r="G1573" s="33" t="s">
        <v>6080</v>
      </c>
      <c r="I1573" s="9">
        <v>15</v>
      </c>
      <c r="J1573" s="52"/>
    </row>
    <row r="1574" spans="1:10" hidden="1" x14ac:dyDescent="0.2">
      <c r="A1574" s="56" t="s">
        <v>1122</v>
      </c>
      <c r="B1574" s="61" t="s">
        <v>1123</v>
      </c>
      <c r="C1574" s="58">
        <v>4</v>
      </c>
      <c r="D1574" s="73" t="s">
        <v>1129</v>
      </c>
      <c r="E1574" s="61" t="s">
        <v>1124</v>
      </c>
      <c r="F1574" s="61" t="s">
        <v>1130</v>
      </c>
      <c r="G1574" s="62" t="s">
        <v>19</v>
      </c>
    </row>
    <row r="1575" spans="1:10" hidden="1" x14ac:dyDescent="0.2">
      <c r="A1575" s="11" t="s">
        <v>1229</v>
      </c>
      <c r="B1575" s="12" t="s">
        <v>1230</v>
      </c>
      <c r="C1575" s="13">
        <v>6</v>
      </c>
      <c r="D1575" s="27" t="s">
        <v>1237</v>
      </c>
      <c r="E1575" s="12" t="s">
        <v>1231</v>
      </c>
      <c r="F1575" s="12" t="s">
        <v>1238</v>
      </c>
      <c r="G1575" s="15" t="s">
        <v>1239</v>
      </c>
      <c r="I1575" s="9">
        <v>15</v>
      </c>
    </row>
    <row r="1576" spans="1:10" hidden="1" x14ac:dyDescent="0.2">
      <c r="A1576" s="11" t="s">
        <v>5329</v>
      </c>
      <c r="B1576" s="12" t="s">
        <v>5330</v>
      </c>
      <c r="C1576" s="13">
        <v>8</v>
      </c>
      <c r="D1576" s="27" t="s">
        <v>5343</v>
      </c>
      <c r="E1576" s="12" t="s">
        <v>5331</v>
      </c>
      <c r="F1576" s="65" t="s">
        <v>5344</v>
      </c>
      <c r="G1576" s="77" t="s">
        <v>5345</v>
      </c>
    </row>
    <row r="1577" spans="1:10" hidden="1" x14ac:dyDescent="0.2">
      <c r="A1577" s="11" t="s">
        <v>537</v>
      </c>
      <c r="B1577" s="12" t="s">
        <v>538</v>
      </c>
      <c r="C1577" s="13">
        <v>6</v>
      </c>
      <c r="D1577" s="118" t="s">
        <v>548</v>
      </c>
      <c r="E1577" s="14" t="s">
        <v>539</v>
      </c>
      <c r="F1577" s="12" t="s">
        <v>549</v>
      </c>
      <c r="G1577" s="15" t="s">
        <v>19</v>
      </c>
      <c r="I1577" s="90">
        <v>12</v>
      </c>
    </row>
    <row r="1578" spans="1:10" hidden="1" x14ac:dyDescent="0.25">
      <c r="A1578" s="11" t="s">
        <v>1082</v>
      </c>
      <c r="B1578" s="12" t="s">
        <v>1083</v>
      </c>
      <c r="C1578" s="13">
        <v>5</v>
      </c>
      <c r="D1578" s="76" t="s">
        <v>1091</v>
      </c>
      <c r="E1578" s="12" t="s">
        <v>1084</v>
      </c>
      <c r="F1578" s="12" t="s">
        <v>1092</v>
      </c>
      <c r="G1578" s="15" t="s">
        <v>881</v>
      </c>
      <c r="I1578" s="9">
        <v>15</v>
      </c>
    </row>
    <row r="1579" spans="1:10" hidden="1" x14ac:dyDescent="0.2">
      <c r="A1579" s="11" t="s">
        <v>3165</v>
      </c>
      <c r="B1579" s="12" t="s">
        <v>3166</v>
      </c>
      <c r="C1579" s="13">
        <v>41</v>
      </c>
      <c r="D1579" s="118" t="s">
        <v>3222</v>
      </c>
      <c r="E1579" s="12" t="s">
        <v>3167</v>
      </c>
      <c r="F1579" s="65" t="s">
        <v>3223</v>
      </c>
      <c r="G1579" s="66" t="s">
        <v>1239</v>
      </c>
      <c r="I1579" s="99">
        <v>13</v>
      </c>
    </row>
    <row r="1580" spans="1:10" hidden="1" x14ac:dyDescent="0.2">
      <c r="A1580" s="11" t="s">
        <v>93</v>
      </c>
      <c r="B1580" s="12" t="s">
        <v>94</v>
      </c>
      <c r="C1580" s="13">
        <v>43</v>
      </c>
      <c r="D1580" s="27" t="s">
        <v>183</v>
      </c>
      <c r="E1580" s="12" t="s">
        <v>96</v>
      </c>
      <c r="F1580" s="12" t="s">
        <v>184</v>
      </c>
      <c r="G1580" s="15" t="s">
        <v>19</v>
      </c>
    </row>
    <row r="1581" spans="1:10" hidden="1" x14ac:dyDescent="0.2">
      <c r="A1581" s="11" t="s">
        <v>93</v>
      </c>
      <c r="B1581" s="12" t="s">
        <v>94</v>
      </c>
      <c r="C1581" s="13">
        <v>41</v>
      </c>
      <c r="D1581" s="27" t="s">
        <v>179</v>
      </c>
      <c r="E1581" s="12" t="s">
        <v>96</v>
      </c>
      <c r="F1581" s="12" t="s">
        <v>180</v>
      </c>
      <c r="G1581" s="15" t="s">
        <v>19</v>
      </c>
    </row>
    <row r="1582" spans="1:10" hidden="1" x14ac:dyDescent="0.2">
      <c r="A1582" s="11" t="s">
        <v>6826</v>
      </c>
      <c r="B1582" s="12" t="s">
        <v>6827</v>
      </c>
      <c r="C1582" s="13">
        <v>7</v>
      </c>
      <c r="D1582" s="174" t="s">
        <v>6836</v>
      </c>
      <c r="E1582" s="12" t="s">
        <v>6828</v>
      </c>
      <c r="F1582" s="12" t="s">
        <v>6837</v>
      </c>
      <c r="G1582" s="15" t="s">
        <v>19</v>
      </c>
    </row>
    <row r="1583" spans="1:10" hidden="1" x14ac:dyDescent="0.2">
      <c r="A1583" s="11" t="s">
        <v>6921</v>
      </c>
      <c r="B1583" s="12" t="s">
        <v>6922</v>
      </c>
      <c r="C1583" s="13">
        <v>6</v>
      </c>
      <c r="D1583" s="127" t="s">
        <v>6836</v>
      </c>
      <c r="E1583" s="12" t="s">
        <v>6923</v>
      </c>
      <c r="F1583" s="12" t="s">
        <v>6930</v>
      </c>
      <c r="G1583" s="15" t="s">
        <v>19</v>
      </c>
    </row>
    <row r="1584" spans="1:10" hidden="1" x14ac:dyDescent="0.2">
      <c r="A1584" s="11" t="s">
        <v>6967</v>
      </c>
      <c r="B1584" s="12" t="s">
        <v>6968</v>
      </c>
      <c r="C1584" s="13">
        <v>8</v>
      </c>
      <c r="D1584" s="127" t="s">
        <v>6836</v>
      </c>
      <c r="E1584" s="12" t="s">
        <v>6969</v>
      </c>
      <c r="F1584" s="12" t="s">
        <v>6977</v>
      </c>
      <c r="G1584" s="15" t="s">
        <v>19</v>
      </c>
    </row>
    <row r="1585" spans="1:9" hidden="1" x14ac:dyDescent="0.2">
      <c r="A1585" s="11" t="s">
        <v>3458</v>
      </c>
      <c r="B1585" s="12" t="s">
        <v>3459</v>
      </c>
      <c r="C1585" s="13">
        <f t="shared" ref="C1585:C1594" si="2">C1584+1</f>
        <v>9</v>
      </c>
      <c r="D1585" s="118" t="s">
        <v>3590</v>
      </c>
      <c r="E1585" s="65" t="s">
        <v>3460</v>
      </c>
      <c r="F1585" s="65" t="s">
        <v>3591</v>
      </c>
      <c r="G1585" s="66" t="s">
        <v>1239</v>
      </c>
      <c r="I1585" s="99">
        <v>13</v>
      </c>
    </row>
    <row r="1586" spans="1:9" hidden="1" x14ac:dyDescent="0.2">
      <c r="A1586" s="11" t="s">
        <v>4087</v>
      </c>
      <c r="B1586" s="12" t="s">
        <v>4088</v>
      </c>
      <c r="C1586" s="13">
        <f t="shared" si="2"/>
        <v>10</v>
      </c>
      <c r="D1586" s="118" t="s">
        <v>3590</v>
      </c>
      <c r="E1586" s="12" t="s">
        <v>4089</v>
      </c>
      <c r="F1586" s="12" t="s">
        <v>4138</v>
      </c>
      <c r="G1586" s="66" t="s">
        <v>1239</v>
      </c>
      <c r="I1586" s="99">
        <v>13</v>
      </c>
    </row>
    <row r="1587" spans="1:9" hidden="1" x14ac:dyDescent="0.2">
      <c r="A1587" s="11" t="s">
        <v>3458</v>
      </c>
      <c r="B1587" s="12" t="s">
        <v>3459</v>
      </c>
      <c r="C1587" s="13">
        <f t="shared" si="2"/>
        <v>11</v>
      </c>
      <c r="D1587" s="118" t="s">
        <v>3562</v>
      </c>
      <c r="E1587" s="65" t="s">
        <v>3460</v>
      </c>
      <c r="F1587" s="65" t="s">
        <v>3563</v>
      </c>
      <c r="G1587" s="66" t="s">
        <v>1239</v>
      </c>
      <c r="I1587" s="99">
        <v>13</v>
      </c>
    </row>
    <row r="1588" spans="1:9" hidden="1" x14ac:dyDescent="0.2">
      <c r="A1588" s="11" t="s">
        <v>4087</v>
      </c>
      <c r="B1588" s="12" t="s">
        <v>4088</v>
      </c>
      <c r="C1588" s="13">
        <f t="shared" si="2"/>
        <v>12</v>
      </c>
      <c r="D1588" s="118" t="s">
        <v>3562</v>
      </c>
      <c r="E1588" s="12" t="s">
        <v>4089</v>
      </c>
      <c r="F1588" s="12" t="s">
        <v>4137</v>
      </c>
      <c r="G1588" s="66" t="s">
        <v>1239</v>
      </c>
      <c r="I1588" s="99">
        <v>13</v>
      </c>
    </row>
    <row r="1589" spans="1:9" hidden="1" x14ac:dyDescent="0.2">
      <c r="A1589" s="11" t="s">
        <v>2631</v>
      </c>
      <c r="B1589" s="12" t="s">
        <v>2632</v>
      </c>
      <c r="C1589" s="13">
        <f t="shared" si="2"/>
        <v>13</v>
      </c>
      <c r="D1589" s="27" t="s">
        <v>2839</v>
      </c>
      <c r="E1589" s="12" t="s">
        <v>2634</v>
      </c>
      <c r="F1589" s="65" t="s">
        <v>2840</v>
      </c>
      <c r="G1589" s="66" t="s">
        <v>684</v>
      </c>
      <c r="I1589" s="94">
        <v>14</v>
      </c>
    </row>
    <row r="1590" spans="1:9" hidden="1" x14ac:dyDescent="0.2">
      <c r="A1590" s="11" t="s">
        <v>3165</v>
      </c>
      <c r="B1590" s="12" t="s">
        <v>3166</v>
      </c>
      <c r="C1590" s="13">
        <f t="shared" si="2"/>
        <v>14</v>
      </c>
      <c r="D1590" s="118" t="s">
        <v>3341</v>
      </c>
      <c r="E1590" s="12" t="s">
        <v>3167</v>
      </c>
      <c r="F1590" s="12" t="s">
        <v>3342</v>
      </c>
      <c r="G1590" s="66" t="s">
        <v>684</v>
      </c>
      <c r="I1590" s="94">
        <v>14</v>
      </c>
    </row>
    <row r="1591" spans="1:9" hidden="1" x14ac:dyDescent="0.2">
      <c r="A1591" s="11" t="s">
        <v>2631</v>
      </c>
      <c r="B1591" s="12" t="s">
        <v>2632</v>
      </c>
      <c r="C1591" s="13">
        <f t="shared" si="2"/>
        <v>15</v>
      </c>
      <c r="D1591" s="27" t="s">
        <v>2837</v>
      </c>
      <c r="E1591" s="12" t="s">
        <v>2634</v>
      </c>
      <c r="F1591" s="65" t="s">
        <v>2838</v>
      </c>
      <c r="G1591" s="66" t="s">
        <v>684</v>
      </c>
      <c r="I1591" s="94">
        <v>14</v>
      </c>
    </row>
    <row r="1592" spans="1:9" hidden="1" x14ac:dyDescent="0.2">
      <c r="A1592" s="11" t="s">
        <v>3165</v>
      </c>
      <c r="B1592" s="12" t="s">
        <v>3166</v>
      </c>
      <c r="C1592" s="13">
        <f t="shared" si="2"/>
        <v>16</v>
      </c>
      <c r="D1592" s="118" t="s">
        <v>3339</v>
      </c>
      <c r="E1592" s="12" t="s">
        <v>3167</v>
      </c>
      <c r="F1592" s="12" t="s">
        <v>3340</v>
      </c>
      <c r="G1592" s="66" t="s">
        <v>684</v>
      </c>
      <c r="I1592" s="94">
        <v>14</v>
      </c>
    </row>
    <row r="1593" spans="1:9" hidden="1" x14ac:dyDescent="0.2">
      <c r="A1593" s="11" t="s">
        <v>2631</v>
      </c>
      <c r="B1593" s="12" t="s">
        <v>2632</v>
      </c>
      <c r="C1593" s="13">
        <f t="shared" si="2"/>
        <v>17</v>
      </c>
      <c r="D1593" s="27" t="s">
        <v>2841</v>
      </c>
      <c r="E1593" s="12" t="s">
        <v>2634</v>
      </c>
      <c r="F1593" s="65" t="s">
        <v>2842</v>
      </c>
      <c r="G1593" s="66" t="s">
        <v>684</v>
      </c>
      <c r="I1593" s="94">
        <v>14</v>
      </c>
    </row>
    <row r="1594" spans="1:9" hidden="1" x14ac:dyDescent="0.2">
      <c r="A1594" s="11" t="s">
        <v>3165</v>
      </c>
      <c r="B1594" s="12" t="s">
        <v>3166</v>
      </c>
      <c r="C1594" s="13">
        <f t="shared" si="2"/>
        <v>18</v>
      </c>
      <c r="D1594" s="118" t="s">
        <v>3343</v>
      </c>
      <c r="E1594" s="12" t="s">
        <v>3167</v>
      </c>
      <c r="F1594" s="12" t="s">
        <v>3344</v>
      </c>
      <c r="G1594" s="66" t="s">
        <v>684</v>
      </c>
      <c r="I1594" s="94">
        <v>14</v>
      </c>
    </row>
    <row r="1595" spans="1:9" hidden="1" x14ac:dyDescent="0.25">
      <c r="A1595" s="11" t="s">
        <v>5627</v>
      </c>
      <c r="B1595" s="12" t="s">
        <v>5628</v>
      </c>
      <c r="C1595" s="13">
        <v>6</v>
      </c>
      <c r="D1595" s="118" t="s">
        <v>5636</v>
      </c>
      <c r="E1595" s="12" t="s">
        <v>5629</v>
      </c>
      <c r="F1595" s="12" t="s">
        <v>5637</v>
      </c>
      <c r="G1595" s="15" t="s">
        <v>19</v>
      </c>
    </row>
    <row r="1596" spans="1:9" hidden="1" x14ac:dyDescent="0.25">
      <c r="A1596" s="11" t="s">
        <v>6086</v>
      </c>
      <c r="B1596" s="12" t="s">
        <v>6087</v>
      </c>
      <c r="C1596" s="13">
        <v>14</v>
      </c>
      <c r="D1596" s="118" t="s">
        <v>6111</v>
      </c>
      <c r="E1596" s="12" t="s">
        <v>6088</v>
      </c>
      <c r="F1596" s="12" t="s">
        <v>6112</v>
      </c>
      <c r="G1596" s="15" t="s">
        <v>6080</v>
      </c>
      <c r="I1596" s="101" t="s">
        <v>5818</v>
      </c>
    </row>
    <row r="1597" spans="1:9" hidden="1" x14ac:dyDescent="0.25">
      <c r="A1597" s="11" t="s">
        <v>6134</v>
      </c>
      <c r="B1597" s="12" t="s">
        <v>6135</v>
      </c>
      <c r="C1597" s="13">
        <v>14</v>
      </c>
      <c r="D1597" s="118" t="s">
        <v>6111</v>
      </c>
      <c r="E1597" s="12" t="s">
        <v>6136</v>
      </c>
      <c r="F1597" s="12" t="s">
        <v>6152</v>
      </c>
      <c r="G1597" s="15" t="s">
        <v>6080</v>
      </c>
      <c r="I1597" s="101" t="s">
        <v>5818</v>
      </c>
    </row>
    <row r="1598" spans="1:9" hidden="1" x14ac:dyDescent="0.25">
      <c r="A1598" s="11" t="s">
        <v>6463</v>
      </c>
      <c r="B1598" s="12" t="s">
        <v>6464</v>
      </c>
      <c r="C1598" s="13">
        <v>14</v>
      </c>
      <c r="D1598" s="118" t="s">
        <v>6111</v>
      </c>
      <c r="E1598" s="12" t="s">
        <v>6465</v>
      </c>
      <c r="F1598" s="12" t="s">
        <v>6479</v>
      </c>
      <c r="G1598" s="15" t="s">
        <v>6080</v>
      </c>
      <c r="I1598" s="9">
        <v>15</v>
      </c>
    </row>
    <row r="1599" spans="1:9" hidden="1" x14ac:dyDescent="0.25">
      <c r="A1599" s="11" t="s">
        <v>6491</v>
      </c>
      <c r="B1599" s="12" t="s">
        <v>6492</v>
      </c>
      <c r="C1599" s="13">
        <v>14</v>
      </c>
      <c r="D1599" s="118" t="s">
        <v>6111</v>
      </c>
      <c r="E1599" s="12" t="s">
        <v>6493</v>
      </c>
      <c r="F1599" s="12" t="s">
        <v>6507</v>
      </c>
      <c r="G1599" s="15" t="s">
        <v>6080</v>
      </c>
      <c r="I1599" s="9">
        <v>15</v>
      </c>
    </row>
    <row r="1600" spans="1:9" hidden="1" x14ac:dyDescent="0.2">
      <c r="A1600" s="11" t="s">
        <v>3355</v>
      </c>
      <c r="B1600" s="12" t="s">
        <v>3356</v>
      </c>
      <c r="C1600" s="13">
        <v>12</v>
      </c>
      <c r="D1600" s="118" t="s">
        <v>3372</v>
      </c>
      <c r="E1600" s="12" t="s">
        <v>3357</v>
      </c>
      <c r="F1600" s="65" t="s">
        <v>3373</v>
      </c>
      <c r="G1600" s="66" t="s">
        <v>19</v>
      </c>
    </row>
    <row r="1601" spans="1:27" hidden="1" x14ac:dyDescent="0.2">
      <c r="A1601" s="11" t="s">
        <v>2024</v>
      </c>
      <c r="B1601" s="12" t="s">
        <v>2025</v>
      </c>
      <c r="C1601" s="13">
        <v>10</v>
      </c>
      <c r="D1601" s="27" t="s">
        <v>2040</v>
      </c>
      <c r="E1601" s="12" t="s">
        <v>2026</v>
      </c>
      <c r="F1601" s="12" t="s">
        <v>2041</v>
      </c>
      <c r="G1601" s="15" t="s">
        <v>13</v>
      </c>
    </row>
    <row r="1602" spans="1:27" ht="15" hidden="1" x14ac:dyDescent="0.25">
      <c r="A1602" s="11" t="s">
        <v>4421</v>
      </c>
      <c r="B1602" s="12" t="s">
        <v>4422</v>
      </c>
      <c r="C1602" s="13">
        <v>20</v>
      </c>
      <c r="D1602" s="118" t="s">
        <v>4457</v>
      </c>
      <c r="E1602" s="12" t="s">
        <v>4423</v>
      </c>
      <c r="F1602" s="12" t="s">
        <v>4458</v>
      </c>
      <c r="G1602" s="66" t="s">
        <v>881</v>
      </c>
      <c r="I1602" s="9">
        <v>15</v>
      </c>
      <c r="J1602" s="52"/>
    </row>
    <row r="1603" spans="1:27" ht="15" hidden="1" x14ac:dyDescent="0.25">
      <c r="A1603" s="11" t="s">
        <v>4465</v>
      </c>
      <c r="B1603" s="12" t="s">
        <v>4466</v>
      </c>
      <c r="C1603" s="13">
        <v>26</v>
      </c>
      <c r="D1603" s="118" t="s">
        <v>4457</v>
      </c>
      <c r="E1603" s="12" t="s">
        <v>4467</v>
      </c>
      <c r="F1603" s="12" t="s">
        <v>4504</v>
      </c>
      <c r="G1603" s="66" t="s">
        <v>881</v>
      </c>
      <c r="I1603" s="9">
        <v>15</v>
      </c>
      <c r="J1603" s="52"/>
    </row>
    <row r="1604" spans="1:27" hidden="1" x14ac:dyDescent="0.2">
      <c r="A1604" s="11" t="s">
        <v>4513</v>
      </c>
      <c r="B1604" s="12" t="s">
        <v>4514</v>
      </c>
      <c r="C1604" s="13">
        <v>20</v>
      </c>
      <c r="D1604" s="118" t="s">
        <v>4457</v>
      </c>
      <c r="E1604" s="12" t="s">
        <v>4515</v>
      </c>
      <c r="F1604" s="12" t="s">
        <v>4538</v>
      </c>
      <c r="G1604" s="66" t="s">
        <v>881</v>
      </c>
      <c r="I1604" s="9">
        <v>15</v>
      </c>
    </row>
    <row r="1605" spans="1:27" hidden="1" x14ac:dyDescent="0.2">
      <c r="A1605" s="11" t="s">
        <v>453</v>
      </c>
      <c r="B1605" s="12" t="s">
        <v>454</v>
      </c>
      <c r="C1605" s="13">
        <v>4</v>
      </c>
      <c r="D1605" s="27" t="s">
        <v>460</v>
      </c>
      <c r="E1605" s="12" t="s">
        <v>455</v>
      </c>
      <c r="F1605" s="12" t="s">
        <v>461</v>
      </c>
      <c r="G1605" s="15" t="s">
        <v>19</v>
      </c>
    </row>
    <row r="1606" spans="1:27" hidden="1" x14ac:dyDescent="0.25">
      <c r="A1606" s="11" t="s">
        <v>1142</v>
      </c>
      <c r="B1606" s="110" t="s">
        <v>1143</v>
      </c>
      <c r="C1606" s="46" t="s">
        <v>1179</v>
      </c>
      <c r="D1606" s="213" t="s">
        <v>1180</v>
      </c>
      <c r="E1606" s="110" t="s">
        <v>1144</v>
      </c>
      <c r="F1606" s="110" t="s">
        <v>1181</v>
      </c>
      <c r="G1606" s="112" t="s">
        <v>1182</v>
      </c>
      <c r="H1606" s="46"/>
      <c r="I1606" s="99" t="s">
        <v>1183</v>
      </c>
      <c r="J1606" s="46"/>
      <c r="K1606" s="46"/>
      <c r="L1606" s="46"/>
      <c r="M1606" s="46"/>
      <c r="N1606" s="46"/>
      <c r="O1606" s="46"/>
      <c r="P1606" s="46"/>
      <c r="Q1606" s="46"/>
      <c r="R1606" s="46"/>
      <c r="S1606" s="46"/>
      <c r="T1606" s="46"/>
      <c r="U1606" s="46"/>
      <c r="V1606" s="46"/>
      <c r="W1606" s="46"/>
      <c r="X1606" s="46"/>
      <c r="Y1606" s="46"/>
      <c r="Z1606" s="46"/>
      <c r="AA1606" s="46"/>
    </row>
    <row r="1607" spans="1:27" hidden="1" x14ac:dyDescent="0.25">
      <c r="A1607" s="146" t="s">
        <v>5029</v>
      </c>
      <c r="B1607" s="12" t="s">
        <v>5030</v>
      </c>
      <c r="C1607" s="13">
        <v>8</v>
      </c>
      <c r="D1607" s="118" t="s">
        <v>5040</v>
      </c>
      <c r="E1607" s="12" t="s">
        <v>5031</v>
      </c>
      <c r="F1607" s="12" t="s">
        <v>5041</v>
      </c>
      <c r="G1607" s="80" t="s">
        <v>19</v>
      </c>
    </row>
    <row r="1608" spans="1:27" hidden="1" x14ac:dyDescent="0.2">
      <c r="A1608" s="11" t="s">
        <v>6912</v>
      </c>
      <c r="B1608" s="12" t="s">
        <v>6913</v>
      </c>
      <c r="C1608" s="13">
        <v>4</v>
      </c>
      <c r="D1608" s="127" t="s">
        <v>6918</v>
      </c>
      <c r="E1608" s="12" t="s">
        <v>6914</v>
      </c>
      <c r="F1608" s="12" t="s">
        <v>6919</v>
      </c>
      <c r="G1608" s="15" t="s">
        <v>19</v>
      </c>
    </row>
    <row r="1609" spans="1:27" hidden="1" x14ac:dyDescent="0.25">
      <c r="A1609" s="11" t="s">
        <v>6543</v>
      </c>
      <c r="B1609" s="12" t="s">
        <v>6544</v>
      </c>
      <c r="C1609" s="13">
        <v>7</v>
      </c>
      <c r="D1609" s="118" t="s">
        <v>6555</v>
      </c>
      <c r="E1609" s="12" t="s">
        <v>6545</v>
      </c>
      <c r="F1609" s="12" t="s">
        <v>6556</v>
      </c>
      <c r="G1609" s="15" t="s">
        <v>19</v>
      </c>
      <c r="I1609" s="90">
        <v>12</v>
      </c>
    </row>
    <row r="1610" spans="1:27" hidden="1" x14ac:dyDescent="0.25">
      <c r="A1610" s="11" t="s">
        <v>6559</v>
      </c>
      <c r="B1610" s="12" t="s">
        <v>6560</v>
      </c>
      <c r="C1610" s="13">
        <f>C1609+1</f>
        <v>8</v>
      </c>
      <c r="D1610" s="118" t="s">
        <v>6555</v>
      </c>
      <c r="E1610" s="12" t="s">
        <v>6561</v>
      </c>
      <c r="F1610" s="12" t="s">
        <v>6569</v>
      </c>
      <c r="G1610" s="15" t="s">
        <v>19</v>
      </c>
      <c r="I1610" s="90">
        <v>12</v>
      </c>
    </row>
    <row r="1611" spans="1:27" hidden="1" x14ac:dyDescent="0.25">
      <c r="A1611" s="146" t="s">
        <v>4881</v>
      </c>
      <c r="B1611" s="12" t="s">
        <v>4882</v>
      </c>
      <c r="C1611" s="13">
        <v>8</v>
      </c>
      <c r="D1611" s="118" t="s">
        <v>4893</v>
      </c>
      <c r="E1611" s="12" t="s">
        <v>4883</v>
      </c>
      <c r="F1611" s="8" t="s">
        <v>4894</v>
      </c>
      <c r="G1611" s="80" t="s">
        <v>19</v>
      </c>
    </row>
    <row r="1612" spans="1:27" hidden="1" x14ac:dyDescent="0.25">
      <c r="A1612" s="146" t="s">
        <v>4881</v>
      </c>
      <c r="B1612" s="12" t="s">
        <v>4882</v>
      </c>
      <c r="C1612" s="13">
        <v>7</v>
      </c>
      <c r="D1612" s="118" t="s">
        <v>4891</v>
      </c>
      <c r="E1612" s="12" t="s">
        <v>4883</v>
      </c>
      <c r="F1612" s="8" t="s">
        <v>4892</v>
      </c>
      <c r="G1612" s="80" t="s">
        <v>19</v>
      </c>
    </row>
    <row r="1613" spans="1:27" hidden="1" x14ac:dyDescent="0.25">
      <c r="A1613" s="146" t="s">
        <v>4926</v>
      </c>
      <c r="B1613" s="12" t="s">
        <v>4927</v>
      </c>
      <c r="C1613" s="13">
        <v>37</v>
      </c>
      <c r="D1613" s="118" t="s">
        <v>4998</v>
      </c>
      <c r="E1613" s="12" t="s">
        <v>4928</v>
      </c>
      <c r="F1613" s="8" t="s">
        <v>4999</v>
      </c>
      <c r="G1613" s="154" t="s">
        <v>1393</v>
      </c>
      <c r="I1613" s="90">
        <v>12</v>
      </c>
    </row>
    <row r="1614" spans="1:27" ht="12.75" hidden="1" thickBot="1" x14ac:dyDescent="0.3">
      <c r="A1614" s="147" t="s">
        <v>4926</v>
      </c>
      <c r="B1614" s="30" t="s">
        <v>4927</v>
      </c>
      <c r="C1614" s="31">
        <v>36</v>
      </c>
      <c r="D1614" s="159" t="s">
        <v>4996</v>
      </c>
      <c r="E1614" s="30" t="s">
        <v>4928</v>
      </c>
      <c r="F1614" s="55" t="s">
        <v>4997</v>
      </c>
      <c r="G1614" s="247" t="s">
        <v>1393</v>
      </c>
      <c r="I1614" s="90">
        <v>12</v>
      </c>
    </row>
    <row r="1615" spans="1:27" hidden="1" x14ac:dyDescent="0.25">
      <c r="A1615" s="179" t="s">
        <v>5042</v>
      </c>
      <c r="B1615" s="12" t="s">
        <v>5043</v>
      </c>
      <c r="C1615" s="13">
        <v>8</v>
      </c>
      <c r="D1615" s="118" t="s">
        <v>5054</v>
      </c>
      <c r="E1615" s="12" t="s">
        <v>5044</v>
      </c>
      <c r="F1615" s="12" t="s">
        <v>5055</v>
      </c>
      <c r="G1615" s="80" t="s">
        <v>19</v>
      </c>
    </row>
    <row r="1616" spans="1:27" hidden="1" x14ac:dyDescent="0.25">
      <c r="A1616" s="179" t="s">
        <v>5042</v>
      </c>
      <c r="B1616" s="12" t="s">
        <v>5043</v>
      </c>
      <c r="C1616" s="13">
        <v>7</v>
      </c>
      <c r="D1616" s="118" t="s">
        <v>5052</v>
      </c>
      <c r="E1616" s="12" t="s">
        <v>5044</v>
      </c>
      <c r="F1616" s="12" t="s">
        <v>5053</v>
      </c>
      <c r="G1616" s="80" t="s">
        <v>19</v>
      </c>
    </row>
    <row r="1617" spans="1:9" hidden="1" x14ac:dyDescent="0.2">
      <c r="A1617" s="35" t="s">
        <v>4318</v>
      </c>
      <c r="B1617" s="12" t="s">
        <v>4319</v>
      </c>
      <c r="C1617" s="13">
        <f>C1616+1</f>
        <v>8</v>
      </c>
      <c r="D1617" s="118" t="s">
        <v>4333</v>
      </c>
      <c r="E1617" s="12" t="s">
        <v>4320</v>
      </c>
      <c r="F1617" s="12" t="s">
        <v>4334</v>
      </c>
      <c r="G1617" s="66" t="s">
        <v>19</v>
      </c>
      <c r="I1617" s="90" t="s">
        <v>2426</v>
      </c>
    </row>
    <row r="1618" spans="1:9" hidden="1" x14ac:dyDescent="0.2">
      <c r="A1618" s="35" t="s">
        <v>4335</v>
      </c>
      <c r="B1618" s="12" t="s">
        <v>4336</v>
      </c>
      <c r="C1618" s="13">
        <v>8</v>
      </c>
      <c r="D1618" s="118" t="s">
        <v>4333</v>
      </c>
      <c r="E1618" s="12" t="s">
        <v>4337</v>
      </c>
      <c r="F1618" s="12" t="s">
        <v>4345</v>
      </c>
      <c r="G1618" s="66" t="s">
        <v>19</v>
      </c>
      <c r="I1618" s="90" t="s">
        <v>2426</v>
      </c>
    </row>
    <row r="1619" spans="1:9" hidden="1" x14ac:dyDescent="0.2">
      <c r="A1619" s="35" t="s">
        <v>2566</v>
      </c>
      <c r="B1619" s="12" t="s">
        <v>2567</v>
      </c>
      <c r="C1619" s="13">
        <v>23</v>
      </c>
      <c r="D1619" s="14" t="s">
        <v>2605</v>
      </c>
      <c r="E1619" s="12" t="s">
        <v>2568</v>
      </c>
      <c r="F1619" s="65" t="s">
        <v>2606</v>
      </c>
      <c r="G1619" s="66" t="s">
        <v>19</v>
      </c>
    </row>
    <row r="1620" spans="1:9" hidden="1" x14ac:dyDescent="0.2">
      <c r="A1620" s="35" t="s">
        <v>2867</v>
      </c>
      <c r="B1620" s="12" t="s">
        <v>2868</v>
      </c>
      <c r="C1620" s="13">
        <v>57</v>
      </c>
      <c r="D1620" s="14" t="s">
        <v>2605</v>
      </c>
      <c r="E1620" s="12" t="s">
        <v>2869</v>
      </c>
      <c r="F1620" s="65" t="s">
        <v>2972</v>
      </c>
      <c r="G1620" s="66" t="s">
        <v>19</v>
      </c>
    </row>
    <row r="1621" spans="1:9" ht="12.75" hidden="1" thickBot="1" x14ac:dyDescent="0.25">
      <c r="A1621" s="47" t="s">
        <v>93</v>
      </c>
      <c r="B1621" s="30" t="s">
        <v>94</v>
      </c>
      <c r="C1621" s="31">
        <v>66</v>
      </c>
      <c r="D1621" s="48" t="s">
        <v>230</v>
      </c>
      <c r="E1621" s="30" t="s">
        <v>96</v>
      </c>
      <c r="F1621" s="30" t="s">
        <v>231</v>
      </c>
      <c r="G1621" s="15" t="s">
        <v>19</v>
      </c>
    </row>
    <row r="1622" spans="1:9" hidden="1" x14ac:dyDescent="0.2">
      <c r="A1622" s="56" t="s">
        <v>2867</v>
      </c>
      <c r="B1622" s="61" t="s">
        <v>2868</v>
      </c>
      <c r="C1622" s="58">
        <v>62</v>
      </c>
      <c r="D1622" s="73" t="s">
        <v>2980</v>
      </c>
      <c r="E1622" s="61" t="s">
        <v>2869</v>
      </c>
      <c r="F1622" s="74" t="s">
        <v>2981</v>
      </c>
      <c r="G1622" s="129" t="s">
        <v>19</v>
      </c>
    </row>
    <row r="1623" spans="1:9" hidden="1" x14ac:dyDescent="0.2">
      <c r="A1623" s="11" t="s">
        <v>2867</v>
      </c>
      <c r="B1623" s="12" t="s">
        <v>2868</v>
      </c>
      <c r="C1623" s="13">
        <v>49</v>
      </c>
      <c r="D1623" s="27" t="s">
        <v>2956</v>
      </c>
      <c r="E1623" s="12" t="s">
        <v>2869</v>
      </c>
      <c r="F1623" s="65" t="s">
        <v>2957</v>
      </c>
      <c r="G1623" s="66" t="s">
        <v>19</v>
      </c>
    </row>
    <row r="1624" spans="1:9" hidden="1" x14ac:dyDescent="0.2">
      <c r="A1624" s="11" t="s">
        <v>3880</v>
      </c>
      <c r="B1624" s="12" t="s">
        <v>3881</v>
      </c>
      <c r="C1624" s="13">
        <v>17</v>
      </c>
      <c r="D1624" s="118" t="s">
        <v>3901</v>
      </c>
      <c r="E1624" s="12" t="s">
        <v>3882</v>
      </c>
      <c r="F1624" s="12" t="s">
        <v>3902</v>
      </c>
      <c r="G1624" s="66" t="s">
        <v>19</v>
      </c>
    </row>
    <row r="1625" spans="1:9" hidden="1" x14ac:dyDescent="0.2">
      <c r="A1625" s="11" t="s">
        <v>3914</v>
      </c>
      <c r="B1625" s="12" t="s">
        <v>3915</v>
      </c>
      <c r="C1625" s="13">
        <v>18</v>
      </c>
      <c r="D1625" s="118" t="s">
        <v>3901</v>
      </c>
      <c r="E1625" s="12" t="s">
        <v>3916</v>
      </c>
      <c r="F1625" s="12" t="s">
        <v>3934</v>
      </c>
      <c r="G1625" s="66" t="s">
        <v>19</v>
      </c>
    </row>
    <row r="1626" spans="1:9" hidden="1" x14ac:dyDescent="0.2">
      <c r="A1626" s="11" t="s">
        <v>3799</v>
      </c>
      <c r="B1626" s="12" t="s">
        <v>3800</v>
      </c>
      <c r="C1626" s="13">
        <v>18</v>
      </c>
      <c r="D1626" s="118" t="s">
        <v>3823</v>
      </c>
      <c r="E1626" s="12" t="s">
        <v>3801</v>
      </c>
      <c r="F1626" s="65" t="s">
        <v>3824</v>
      </c>
      <c r="G1626" s="66" t="s">
        <v>19</v>
      </c>
    </row>
    <row r="1627" spans="1:9" hidden="1" x14ac:dyDescent="0.2">
      <c r="A1627" s="11" t="s">
        <v>3799</v>
      </c>
      <c r="B1627" s="12" t="s">
        <v>3800</v>
      </c>
      <c r="C1627" s="13">
        <v>16</v>
      </c>
      <c r="D1627" s="118" t="s">
        <v>3819</v>
      </c>
      <c r="E1627" s="12" t="s">
        <v>3801</v>
      </c>
      <c r="F1627" s="65" t="s">
        <v>3820</v>
      </c>
      <c r="G1627" s="66" t="s">
        <v>19</v>
      </c>
    </row>
    <row r="1628" spans="1:9" hidden="1" x14ac:dyDescent="0.2">
      <c r="A1628" s="11" t="s">
        <v>3858</v>
      </c>
      <c r="B1628" s="12" t="s">
        <v>3859</v>
      </c>
      <c r="C1628" s="13">
        <v>16</v>
      </c>
      <c r="D1628" s="118" t="s">
        <v>3819</v>
      </c>
      <c r="E1628" s="12" t="s">
        <v>3860</v>
      </c>
      <c r="F1628" s="65" t="s">
        <v>3876</v>
      </c>
      <c r="G1628" s="66" t="s">
        <v>19</v>
      </c>
    </row>
    <row r="1629" spans="1:9" hidden="1" x14ac:dyDescent="0.2">
      <c r="A1629" s="56" t="s">
        <v>3355</v>
      </c>
      <c r="B1629" s="61" t="s">
        <v>3356</v>
      </c>
      <c r="C1629" s="58">
        <v>7</v>
      </c>
      <c r="D1629" s="61" t="s">
        <v>3365</v>
      </c>
      <c r="E1629" s="61" t="s">
        <v>3357</v>
      </c>
      <c r="F1629" s="74" t="s">
        <v>3366</v>
      </c>
      <c r="G1629" s="129" t="s">
        <v>19</v>
      </c>
    </row>
    <row r="1630" spans="1:9" hidden="1" x14ac:dyDescent="0.2">
      <c r="A1630" s="11" t="s">
        <v>93</v>
      </c>
      <c r="B1630" s="12" t="s">
        <v>94</v>
      </c>
      <c r="C1630" s="13">
        <v>20</v>
      </c>
      <c r="D1630" s="14" t="s">
        <v>133</v>
      </c>
      <c r="E1630" s="12" t="s">
        <v>96</v>
      </c>
      <c r="F1630" s="12" t="s">
        <v>134</v>
      </c>
      <c r="G1630" s="15" t="s">
        <v>19</v>
      </c>
    </row>
    <row r="1631" spans="1:9" hidden="1" x14ac:dyDescent="0.25">
      <c r="A1631" s="11" t="s">
        <v>6086</v>
      </c>
      <c r="B1631" s="12" t="s">
        <v>6087</v>
      </c>
      <c r="C1631" s="13">
        <v>10</v>
      </c>
      <c r="D1631" s="12" t="s">
        <v>6104</v>
      </c>
      <c r="E1631" s="12" t="s">
        <v>6088</v>
      </c>
      <c r="F1631" s="12" t="s">
        <v>6105</v>
      </c>
      <c r="G1631" s="15" t="s">
        <v>19</v>
      </c>
    </row>
    <row r="1632" spans="1:9" hidden="1" x14ac:dyDescent="0.25">
      <c r="A1632" s="11" t="s">
        <v>6463</v>
      </c>
      <c r="B1632" s="12" t="s">
        <v>6464</v>
      </c>
      <c r="C1632" s="13">
        <v>10</v>
      </c>
      <c r="D1632" s="12" t="s">
        <v>6104</v>
      </c>
      <c r="E1632" s="12" t="s">
        <v>6465</v>
      </c>
      <c r="F1632" s="12" t="s">
        <v>6475</v>
      </c>
      <c r="G1632" s="15" t="s">
        <v>19</v>
      </c>
      <c r="I1632" s="9">
        <v>15</v>
      </c>
    </row>
    <row r="1633" spans="1:27" hidden="1" x14ac:dyDescent="0.25">
      <c r="A1633" s="11" t="s">
        <v>6134</v>
      </c>
      <c r="B1633" s="12" t="s">
        <v>6135</v>
      </c>
      <c r="C1633" s="13">
        <v>10</v>
      </c>
      <c r="D1633" s="12" t="s">
        <v>6146</v>
      </c>
      <c r="E1633" s="12" t="s">
        <v>6136</v>
      </c>
      <c r="F1633" s="12" t="s">
        <v>6147</v>
      </c>
      <c r="G1633" s="15" t="s">
        <v>19</v>
      </c>
    </row>
    <row r="1634" spans="1:27" hidden="1" x14ac:dyDescent="0.25">
      <c r="A1634" s="11" t="s">
        <v>6491</v>
      </c>
      <c r="B1634" s="12" t="s">
        <v>6492</v>
      </c>
      <c r="C1634" s="13">
        <v>10</v>
      </c>
      <c r="D1634" s="12" t="s">
        <v>6146</v>
      </c>
      <c r="E1634" s="12" t="s">
        <v>6493</v>
      </c>
      <c r="F1634" s="12" t="s">
        <v>6503</v>
      </c>
      <c r="G1634" s="15" t="s">
        <v>19</v>
      </c>
      <c r="I1634" s="9">
        <v>15</v>
      </c>
    </row>
    <row r="1635" spans="1:27" hidden="1" x14ac:dyDescent="0.25">
      <c r="A1635" s="146" t="s">
        <v>5029</v>
      </c>
      <c r="B1635" s="12" t="s">
        <v>5030</v>
      </c>
      <c r="C1635" s="13">
        <v>7</v>
      </c>
      <c r="D1635" s="12" t="s">
        <v>5038</v>
      </c>
      <c r="E1635" s="12" t="s">
        <v>5031</v>
      </c>
      <c r="F1635" s="12" t="s">
        <v>5039</v>
      </c>
      <c r="G1635" s="80" t="s">
        <v>19</v>
      </c>
    </row>
    <row r="1636" spans="1:27" hidden="1" x14ac:dyDescent="0.2">
      <c r="A1636" s="11" t="s">
        <v>3741</v>
      </c>
      <c r="B1636" s="12" t="s">
        <v>3742</v>
      </c>
      <c r="C1636" s="13">
        <v>6</v>
      </c>
      <c r="D1636" s="12" t="s">
        <v>3750</v>
      </c>
      <c r="E1636" s="65" t="s">
        <v>3743</v>
      </c>
      <c r="F1636" s="65" t="s">
        <v>3751</v>
      </c>
      <c r="G1636" s="66" t="s">
        <v>19</v>
      </c>
    </row>
    <row r="1637" spans="1:27" hidden="1" x14ac:dyDescent="0.2">
      <c r="A1637" s="11" t="s">
        <v>943</v>
      </c>
      <c r="B1637" s="12" t="s">
        <v>944</v>
      </c>
      <c r="C1637" s="13">
        <v>14</v>
      </c>
      <c r="D1637" s="14" t="s">
        <v>969</v>
      </c>
      <c r="E1637" s="12" t="s">
        <v>945</v>
      </c>
      <c r="F1637" s="12" t="s">
        <v>970</v>
      </c>
      <c r="G1637" s="15" t="s">
        <v>881</v>
      </c>
      <c r="I1637" s="9">
        <v>15</v>
      </c>
    </row>
    <row r="1638" spans="1:27" hidden="1" x14ac:dyDescent="0.25">
      <c r="A1638" s="11" t="s">
        <v>6017</v>
      </c>
      <c r="B1638" s="12" t="s">
        <v>6018</v>
      </c>
      <c r="C1638" s="13">
        <v>9</v>
      </c>
      <c r="D1638" s="12" t="s">
        <v>6032</v>
      </c>
      <c r="E1638" s="12" t="s">
        <v>6019</v>
      </c>
      <c r="F1638" s="12" t="s">
        <v>6033</v>
      </c>
      <c r="G1638" s="15" t="s">
        <v>19</v>
      </c>
    </row>
    <row r="1639" spans="1:27" hidden="1" x14ac:dyDescent="0.25">
      <c r="A1639" s="11" t="s">
        <v>6664</v>
      </c>
      <c r="B1639" s="12" t="s">
        <v>6665</v>
      </c>
      <c r="C1639" s="13">
        <f>+C1638+1</f>
        <v>10</v>
      </c>
      <c r="D1639" s="12" t="s">
        <v>6032</v>
      </c>
      <c r="E1639" s="12" t="s">
        <v>6666</v>
      </c>
      <c r="F1639" s="12" t="s">
        <v>6676</v>
      </c>
      <c r="G1639" s="15" t="s">
        <v>19</v>
      </c>
    </row>
    <row r="1640" spans="1:27" hidden="1" x14ac:dyDescent="0.2">
      <c r="A1640" s="11" t="s">
        <v>3458</v>
      </c>
      <c r="B1640" s="12" t="s">
        <v>3459</v>
      </c>
      <c r="C1640" s="13">
        <f t="shared" ref="C1640:C1661" si="3">C1639+1</f>
        <v>11</v>
      </c>
      <c r="D1640" s="12" t="s">
        <v>3629</v>
      </c>
      <c r="E1640" s="65" t="s">
        <v>3460</v>
      </c>
      <c r="F1640" s="65" t="s">
        <v>3630</v>
      </c>
      <c r="G1640" s="66" t="s">
        <v>1239</v>
      </c>
      <c r="I1640" s="9">
        <v>15</v>
      </c>
    </row>
    <row r="1641" spans="1:27" hidden="1" x14ac:dyDescent="0.2">
      <c r="A1641" s="11" t="s">
        <v>3633</v>
      </c>
      <c r="B1641" s="12" t="s">
        <v>3634</v>
      </c>
      <c r="C1641" s="13">
        <f t="shared" si="3"/>
        <v>12</v>
      </c>
      <c r="D1641" s="12" t="s">
        <v>3629</v>
      </c>
      <c r="E1641" s="65" t="s">
        <v>3635</v>
      </c>
      <c r="F1641" s="65" t="s">
        <v>3739</v>
      </c>
      <c r="G1641" s="66" t="s">
        <v>1239</v>
      </c>
      <c r="I1641" s="9">
        <v>15</v>
      </c>
    </row>
    <row r="1642" spans="1:27" hidden="1" x14ac:dyDescent="0.2">
      <c r="A1642" s="11" t="s">
        <v>4087</v>
      </c>
      <c r="B1642" s="12" t="s">
        <v>4088</v>
      </c>
      <c r="C1642" s="13">
        <f t="shared" si="3"/>
        <v>13</v>
      </c>
      <c r="D1642" s="12" t="s">
        <v>3629</v>
      </c>
      <c r="E1642" s="65" t="s">
        <v>4089</v>
      </c>
      <c r="F1642" s="65" t="s">
        <v>4210</v>
      </c>
      <c r="G1642" s="66" t="s">
        <v>1239</v>
      </c>
      <c r="I1642" s="9">
        <v>15</v>
      </c>
    </row>
    <row r="1643" spans="1:27" hidden="1" x14ac:dyDescent="0.2">
      <c r="A1643" s="11" t="s">
        <v>4212</v>
      </c>
      <c r="B1643" s="12" t="s">
        <v>4213</v>
      </c>
      <c r="C1643" s="13">
        <f t="shared" si="3"/>
        <v>14</v>
      </c>
      <c r="D1643" s="12" t="s">
        <v>3629</v>
      </c>
      <c r="E1643" s="65" t="s">
        <v>4214</v>
      </c>
      <c r="F1643" s="65" t="s">
        <v>4316</v>
      </c>
      <c r="G1643" s="66" t="s">
        <v>1239</v>
      </c>
      <c r="I1643" s="9">
        <v>15</v>
      </c>
    </row>
    <row r="1644" spans="1:27" hidden="1" x14ac:dyDescent="0.2">
      <c r="A1644" s="11" t="s">
        <v>3458</v>
      </c>
      <c r="B1644" s="12" t="s">
        <v>3459</v>
      </c>
      <c r="C1644" s="13">
        <f t="shared" si="3"/>
        <v>15</v>
      </c>
      <c r="D1644" s="12" t="s">
        <v>3627</v>
      </c>
      <c r="E1644" s="65" t="s">
        <v>3460</v>
      </c>
      <c r="F1644" s="65" t="s">
        <v>3628</v>
      </c>
      <c r="G1644" s="66" t="s">
        <v>1239</v>
      </c>
      <c r="I1644" s="9">
        <v>15</v>
      </c>
    </row>
    <row r="1645" spans="1:27" hidden="1" x14ac:dyDescent="0.2">
      <c r="A1645" s="11" t="s">
        <v>3633</v>
      </c>
      <c r="B1645" s="12" t="s">
        <v>3634</v>
      </c>
      <c r="C1645" s="13">
        <f t="shared" si="3"/>
        <v>16</v>
      </c>
      <c r="D1645" s="12" t="s">
        <v>3627</v>
      </c>
      <c r="E1645" s="65" t="s">
        <v>3635</v>
      </c>
      <c r="F1645" s="65" t="s">
        <v>3738</v>
      </c>
      <c r="G1645" s="66" t="s">
        <v>1239</v>
      </c>
      <c r="I1645" s="9">
        <v>15</v>
      </c>
    </row>
    <row r="1646" spans="1:27" s="10" customFormat="1" hidden="1" x14ac:dyDescent="0.2">
      <c r="A1646" s="11" t="s">
        <v>4087</v>
      </c>
      <c r="B1646" s="12" t="s">
        <v>4088</v>
      </c>
      <c r="C1646" s="13">
        <f t="shared" si="3"/>
        <v>17</v>
      </c>
      <c r="D1646" s="12" t="s">
        <v>3627</v>
      </c>
      <c r="E1646" s="65" t="s">
        <v>4089</v>
      </c>
      <c r="F1646" s="65" t="s">
        <v>4209</v>
      </c>
      <c r="G1646" s="66" t="s">
        <v>1239</v>
      </c>
      <c r="H1646" s="8"/>
      <c r="I1646" s="9">
        <v>15</v>
      </c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8"/>
    </row>
    <row r="1647" spans="1:27" s="10" customFormat="1" ht="12.75" hidden="1" thickBot="1" x14ac:dyDescent="0.25">
      <c r="A1647" s="36" t="s">
        <v>4212</v>
      </c>
      <c r="B1647" s="30" t="s">
        <v>4213</v>
      </c>
      <c r="C1647" s="31">
        <f t="shared" si="3"/>
        <v>18</v>
      </c>
      <c r="D1647" s="30" t="s">
        <v>3627</v>
      </c>
      <c r="E1647" s="67" t="s">
        <v>4214</v>
      </c>
      <c r="F1647" s="67" t="s">
        <v>4315</v>
      </c>
      <c r="G1647" s="68" t="s">
        <v>1239</v>
      </c>
      <c r="H1647" s="8"/>
      <c r="I1647" s="9">
        <v>15</v>
      </c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8"/>
    </row>
    <row r="1648" spans="1:27" hidden="1" x14ac:dyDescent="0.2">
      <c r="A1648" s="11" t="s">
        <v>3458</v>
      </c>
      <c r="B1648" s="12" t="s">
        <v>3459</v>
      </c>
      <c r="C1648" s="13">
        <f t="shared" si="3"/>
        <v>19</v>
      </c>
      <c r="D1648" s="12" t="s">
        <v>3625</v>
      </c>
      <c r="E1648" s="65" t="s">
        <v>3460</v>
      </c>
      <c r="F1648" s="65" t="s">
        <v>3626</v>
      </c>
      <c r="G1648" s="66" t="s">
        <v>1239</v>
      </c>
      <c r="I1648" s="9">
        <v>15</v>
      </c>
    </row>
    <row r="1649" spans="1:9" hidden="1" x14ac:dyDescent="0.2">
      <c r="A1649" s="11" t="s">
        <v>3633</v>
      </c>
      <c r="B1649" s="12" t="s">
        <v>3634</v>
      </c>
      <c r="C1649" s="13">
        <f t="shared" si="3"/>
        <v>20</v>
      </c>
      <c r="D1649" s="12" t="s">
        <v>3625</v>
      </c>
      <c r="E1649" s="65" t="s">
        <v>3635</v>
      </c>
      <c r="F1649" s="65" t="s">
        <v>3737</v>
      </c>
      <c r="G1649" s="66" t="s">
        <v>1239</v>
      </c>
      <c r="I1649" s="9">
        <v>15</v>
      </c>
    </row>
    <row r="1650" spans="1:9" hidden="1" x14ac:dyDescent="0.2">
      <c r="A1650" s="11" t="s">
        <v>4087</v>
      </c>
      <c r="B1650" s="12" t="s">
        <v>4088</v>
      </c>
      <c r="C1650" s="13">
        <f t="shared" si="3"/>
        <v>21</v>
      </c>
      <c r="D1650" s="12" t="s">
        <v>3625</v>
      </c>
      <c r="E1650" s="65" t="s">
        <v>4089</v>
      </c>
      <c r="F1650" s="65" t="s">
        <v>4208</v>
      </c>
      <c r="G1650" s="66" t="s">
        <v>1239</v>
      </c>
      <c r="I1650" s="9">
        <v>15</v>
      </c>
    </row>
    <row r="1651" spans="1:9" hidden="1" x14ac:dyDescent="0.2">
      <c r="A1651" s="11" t="s">
        <v>4212</v>
      </c>
      <c r="B1651" s="12" t="s">
        <v>4213</v>
      </c>
      <c r="C1651" s="13">
        <f t="shared" si="3"/>
        <v>22</v>
      </c>
      <c r="D1651" s="12" t="s">
        <v>3625</v>
      </c>
      <c r="E1651" s="65" t="s">
        <v>4214</v>
      </c>
      <c r="F1651" s="65" t="s">
        <v>4314</v>
      </c>
      <c r="G1651" s="66" t="s">
        <v>1239</v>
      </c>
      <c r="I1651" s="9">
        <v>15</v>
      </c>
    </row>
    <row r="1652" spans="1:9" hidden="1" x14ac:dyDescent="0.2">
      <c r="A1652" s="11" t="s">
        <v>3458</v>
      </c>
      <c r="B1652" s="12" t="s">
        <v>3459</v>
      </c>
      <c r="C1652" s="13">
        <f t="shared" si="3"/>
        <v>23</v>
      </c>
      <c r="D1652" s="12" t="s">
        <v>3623</v>
      </c>
      <c r="E1652" s="65" t="s">
        <v>3460</v>
      </c>
      <c r="F1652" s="65" t="s">
        <v>3624</v>
      </c>
      <c r="G1652" s="66" t="s">
        <v>1239</v>
      </c>
      <c r="I1652" s="9">
        <v>15</v>
      </c>
    </row>
    <row r="1653" spans="1:9" hidden="1" x14ac:dyDescent="0.2">
      <c r="A1653" s="11" t="s">
        <v>3633</v>
      </c>
      <c r="B1653" s="12" t="s">
        <v>3634</v>
      </c>
      <c r="C1653" s="13">
        <f t="shared" si="3"/>
        <v>24</v>
      </c>
      <c r="D1653" s="12" t="s">
        <v>3623</v>
      </c>
      <c r="E1653" s="65" t="s">
        <v>3635</v>
      </c>
      <c r="F1653" s="65" t="s">
        <v>3736</v>
      </c>
      <c r="G1653" s="66" t="s">
        <v>1239</v>
      </c>
      <c r="I1653" s="9">
        <v>15</v>
      </c>
    </row>
    <row r="1654" spans="1:9" hidden="1" x14ac:dyDescent="0.2">
      <c r="A1654" s="11" t="s">
        <v>4087</v>
      </c>
      <c r="B1654" s="12" t="s">
        <v>4088</v>
      </c>
      <c r="C1654" s="13">
        <f t="shared" si="3"/>
        <v>25</v>
      </c>
      <c r="D1654" s="12" t="s">
        <v>3623</v>
      </c>
      <c r="E1654" s="65" t="s">
        <v>4089</v>
      </c>
      <c r="F1654" s="65" t="s">
        <v>4207</v>
      </c>
      <c r="G1654" s="66" t="s">
        <v>1239</v>
      </c>
      <c r="I1654" s="9">
        <v>15</v>
      </c>
    </row>
    <row r="1655" spans="1:9" hidden="1" x14ac:dyDescent="0.2">
      <c r="A1655" s="11" t="s">
        <v>4212</v>
      </c>
      <c r="B1655" s="12" t="s">
        <v>4213</v>
      </c>
      <c r="C1655" s="13">
        <f t="shared" si="3"/>
        <v>26</v>
      </c>
      <c r="D1655" s="12" t="s">
        <v>3623</v>
      </c>
      <c r="E1655" s="65" t="s">
        <v>4214</v>
      </c>
      <c r="F1655" s="65" t="s">
        <v>4313</v>
      </c>
      <c r="G1655" s="66" t="s">
        <v>1239</v>
      </c>
      <c r="I1655" s="9">
        <v>15</v>
      </c>
    </row>
    <row r="1656" spans="1:9" hidden="1" x14ac:dyDescent="0.2">
      <c r="A1656" s="11" t="s">
        <v>2631</v>
      </c>
      <c r="B1656" s="12" t="s">
        <v>2632</v>
      </c>
      <c r="C1656" s="13">
        <f t="shared" si="3"/>
        <v>27</v>
      </c>
      <c r="D1656" s="14" t="s">
        <v>2862</v>
      </c>
      <c r="E1656" s="12" t="s">
        <v>2634</v>
      </c>
      <c r="F1656" s="65" t="s">
        <v>2863</v>
      </c>
      <c r="G1656" s="66" t="s">
        <v>684</v>
      </c>
      <c r="I1656" s="9">
        <v>15</v>
      </c>
    </row>
    <row r="1657" spans="1:9" hidden="1" x14ac:dyDescent="0.2">
      <c r="A1657" s="11" t="s">
        <v>3165</v>
      </c>
      <c r="B1657" s="12" t="s">
        <v>3166</v>
      </c>
      <c r="C1657" s="13">
        <f t="shared" si="3"/>
        <v>28</v>
      </c>
      <c r="D1657" s="14" t="s">
        <v>2862</v>
      </c>
      <c r="E1657" s="12" t="s">
        <v>3167</v>
      </c>
      <c r="F1657" s="65" t="s">
        <v>3353</v>
      </c>
      <c r="G1657" s="66" t="s">
        <v>684</v>
      </c>
      <c r="I1657" s="9">
        <v>15</v>
      </c>
    </row>
    <row r="1658" spans="1:9" hidden="1" x14ac:dyDescent="0.2">
      <c r="A1658" s="11" t="s">
        <v>3458</v>
      </c>
      <c r="B1658" s="12" t="s">
        <v>3459</v>
      </c>
      <c r="C1658" s="13">
        <f t="shared" si="3"/>
        <v>29</v>
      </c>
      <c r="D1658" s="12" t="s">
        <v>3631</v>
      </c>
      <c r="E1658" s="65" t="s">
        <v>3460</v>
      </c>
      <c r="F1658" s="65" t="s">
        <v>3632</v>
      </c>
      <c r="G1658" s="66" t="s">
        <v>1239</v>
      </c>
      <c r="I1658" s="9">
        <v>15</v>
      </c>
    </row>
    <row r="1659" spans="1:9" hidden="1" x14ac:dyDescent="0.2">
      <c r="A1659" s="11" t="s">
        <v>3633</v>
      </c>
      <c r="B1659" s="12" t="s">
        <v>3634</v>
      </c>
      <c r="C1659" s="13">
        <f t="shared" si="3"/>
        <v>30</v>
      </c>
      <c r="D1659" s="12" t="s">
        <v>3631</v>
      </c>
      <c r="E1659" s="65" t="s">
        <v>3635</v>
      </c>
      <c r="F1659" s="65" t="s">
        <v>3740</v>
      </c>
      <c r="G1659" s="66" t="s">
        <v>1239</v>
      </c>
      <c r="I1659" s="9">
        <v>15</v>
      </c>
    </row>
    <row r="1660" spans="1:9" hidden="1" x14ac:dyDescent="0.2">
      <c r="A1660" s="11" t="s">
        <v>4087</v>
      </c>
      <c r="B1660" s="12" t="s">
        <v>4088</v>
      </c>
      <c r="C1660" s="13">
        <f t="shared" si="3"/>
        <v>31</v>
      </c>
      <c r="D1660" s="12" t="s">
        <v>3631</v>
      </c>
      <c r="E1660" s="65" t="s">
        <v>4089</v>
      </c>
      <c r="F1660" s="65" t="s">
        <v>4211</v>
      </c>
      <c r="G1660" s="66" t="s">
        <v>1239</v>
      </c>
      <c r="I1660" s="9">
        <v>15</v>
      </c>
    </row>
    <row r="1661" spans="1:9" hidden="1" x14ac:dyDescent="0.2">
      <c r="A1661" s="11" t="s">
        <v>4212</v>
      </c>
      <c r="B1661" s="12" t="s">
        <v>4213</v>
      </c>
      <c r="C1661" s="13">
        <f t="shared" si="3"/>
        <v>32</v>
      </c>
      <c r="D1661" s="12" t="s">
        <v>3631</v>
      </c>
      <c r="E1661" s="65" t="s">
        <v>4214</v>
      </c>
      <c r="F1661" s="65" t="s">
        <v>4317</v>
      </c>
      <c r="G1661" s="66" t="s">
        <v>1239</v>
      </c>
      <c r="I1661" s="9">
        <v>15</v>
      </c>
    </row>
    <row r="1662" spans="1:9" hidden="1" x14ac:dyDescent="0.2">
      <c r="A1662" s="11" t="s">
        <v>24</v>
      </c>
      <c r="B1662" s="12" t="s">
        <v>25</v>
      </c>
      <c r="C1662" s="13">
        <v>5</v>
      </c>
      <c r="D1662" s="14" t="s">
        <v>35</v>
      </c>
      <c r="E1662" s="12" t="s">
        <v>26</v>
      </c>
      <c r="F1662" s="12" t="s">
        <v>36</v>
      </c>
      <c r="G1662" s="15" t="s">
        <v>19</v>
      </c>
    </row>
    <row r="1663" spans="1:9" hidden="1" x14ac:dyDescent="0.2">
      <c r="A1663" s="11" t="s">
        <v>55</v>
      </c>
      <c r="B1663" s="12" t="s">
        <v>56</v>
      </c>
      <c r="C1663" s="13">
        <v>5</v>
      </c>
      <c r="D1663" s="14" t="s">
        <v>35</v>
      </c>
      <c r="E1663" s="12" t="s">
        <v>57</v>
      </c>
      <c r="F1663" s="12" t="s">
        <v>63</v>
      </c>
      <c r="G1663" s="15" t="s">
        <v>19</v>
      </c>
      <c r="I1663" s="102" t="s">
        <v>59</v>
      </c>
    </row>
    <row r="1664" spans="1:9" hidden="1" x14ac:dyDescent="0.2">
      <c r="A1664" s="11" t="s">
        <v>69</v>
      </c>
      <c r="B1664" s="12" t="s">
        <v>70</v>
      </c>
      <c r="C1664" s="13">
        <v>8</v>
      </c>
      <c r="D1664" s="14" t="s">
        <v>35</v>
      </c>
      <c r="E1664" s="12" t="s">
        <v>72</v>
      </c>
      <c r="F1664" s="12" t="s">
        <v>85</v>
      </c>
      <c r="G1664" s="15" t="s">
        <v>19</v>
      </c>
    </row>
    <row r="1665" spans="1:27" hidden="1" x14ac:dyDescent="0.25">
      <c r="A1665" s="109" t="s">
        <v>690</v>
      </c>
      <c r="B1665" s="12" t="s">
        <v>691</v>
      </c>
      <c r="C1665" s="13">
        <v>8</v>
      </c>
      <c r="D1665" s="12" t="s">
        <v>35</v>
      </c>
      <c r="E1665" s="12" t="s">
        <v>692</v>
      </c>
      <c r="F1665" s="12" t="s">
        <v>700</v>
      </c>
      <c r="G1665" s="15" t="s">
        <v>19</v>
      </c>
      <c r="I1665" s="102" t="s">
        <v>59</v>
      </c>
    </row>
    <row r="1666" spans="1:27" hidden="1" x14ac:dyDescent="0.2">
      <c r="A1666" s="11" t="s">
        <v>3937</v>
      </c>
      <c r="B1666" s="12" t="s">
        <v>3938</v>
      </c>
      <c r="C1666" s="13">
        <v>9</v>
      </c>
      <c r="D1666" s="12" t="s">
        <v>35</v>
      </c>
      <c r="E1666" s="12" t="s">
        <v>3939</v>
      </c>
      <c r="F1666" s="12" t="s">
        <v>3950</v>
      </c>
      <c r="G1666" s="66" t="s">
        <v>19</v>
      </c>
    </row>
    <row r="1667" spans="1:27" s="10" customFormat="1" hidden="1" x14ac:dyDescent="0.25">
      <c r="A1667" s="11" t="s">
        <v>5985</v>
      </c>
      <c r="B1667" s="12" t="s">
        <v>5986</v>
      </c>
      <c r="C1667" s="13">
        <v>6</v>
      </c>
      <c r="D1667" s="12" t="s">
        <v>35</v>
      </c>
      <c r="E1667" s="12" t="s">
        <v>5987</v>
      </c>
      <c r="F1667" s="12" t="s">
        <v>5995</v>
      </c>
      <c r="G1667" s="15" t="s">
        <v>19</v>
      </c>
      <c r="H1667" s="8"/>
      <c r="I1667" s="90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  <c r="AA1667" s="8"/>
    </row>
    <row r="1668" spans="1:27" s="10" customFormat="1" hidden="1" x14ac:dyDescent="0.25">
      <c r="A1668" s="11" t="s">
        <v>6163</v>
      </c>
      <c r="B1668" s="12" t="s">
        <v>6164</v>
      </c>
      <c r="C1668" s="13">
        <v>9</v>
      </c>
      <c r="D1668" s="12" t="s">
        <v>35</v>
      </c>
      <c r="E1668" s="12" t="s">
        <v>6165</v>
      </c>
      <c r="F1668" s="12" t="s">
        <v>6174</v>
      </c>
      <c r="G1668" s="15" t="s">
        <v>19</v>
      </c>
      <c r="H1668" s="8"/>
      <c r="I1668" s="90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8"/>
    </row>
    <row r="1669" spans="1:27" hidden="1" x14ac:dyDescent="0.25">
      <c r="A1669" s="11" t="s">
        <v>6518</v>
      </c>
      <c r="B1669" s="12" t="s">
        <v>6519</v>
      </c>
      <c r="C1669" s="13">
        <v>9</v>
      </c>
      <c r="D1669" s="12" t="s">
        <v>35</v>
      </c>
      <c r="E1669" s="12" t="s">
        <v>6520</v>
      </c>
      <c r="F1669" s="12" t="s">
        <v>6529</v>
      </c>
      <c r="G1669" s="15" t="s">
        <v>19</v>
      </c>
      <c r="I1669" s="9">
        <v>15</v>
      </c>
    </row>
    <row r="1670" spans="1:27" hidden="1" x14ac:dyDescent="0.2">
      <c r="A1670" s="11" t="s">
        <v>289</v>
      </c>
      <c r="B1670" s="12" t="s">
        <v>290</v>
      </c>
      <c r="C1670" s="13">
        <v>7</v>
      </c>
      <c r="D1670" s="14" t="s">
        <v>299</v>
      </c>
      <c r="E1670" s="12" t="s">
        <v>291</v>
      </c>
      <c r="F1670" s="12" t="s">
        <v>300</v>
      </c>
      <c r="G1670" s="15" t="s">
        <v>19</v>
      </c>
    </row>
    <row r="1671" spans="1:27" hidden="1" x14ac:dyDescent="0.25">
      <c r="A1671" s="109" t="s">
        <v>708</v>
      </c>
      <c r="B1671" s="12" t="s">
        <v>709</v>
      </c>
      <c r="C1671" s="13">
        <v>7</v>
      </c>
      <c r="D1671" s="12" t="s">
        <v>299</v>
      </c>
      <c r="E1671" s="12" t="s">
        <v>710</v>
      </c>
      <c r="F1671" s="12" t="s">
        <v>717</v>
      </c>
      <c r="G1671" s="15" t="s">
        <v>19</v>
      </c>
      <c r="I1671" s="102" t="s">
        <v>59</v>
      </c>
    </row>
    <row r="1672" spans="1:27" hidden="1" x14ac:dyDescent="0.25">
      <c r="A1672" s="11" t="s">
        <v>1464</v>
      </c>
      <c r="B1672" s="12" t="s">
        <v>1465</v>
      </c>
      <c r="C1672" s="13">
        <v>6</v>
      </c>
      <c r="D1672" s="12" t="s">
        <v>299</v>
      </c>
      <c r="E1672" s="12" t="s">
        <v>1466</v>
      </c>
      <c r="F1672" s="12" t="s">
        <v>1476</v>
      </c>
      <c r="G1672" s="15" t="s">
        <v>19</v>
      </c>
    </row>
    <row r="1673" spans="1:27" hidden="1" x14ac:dyDescent="0.25">
      <c r="A1673" s="11" t="s">
        <v>5921</v>
      </c>
      <c r="B1673" s="12" t="s">
        <v>5922</v>
      </c>
      <c r="C1673" s="13">
        <v>12</v>
      </c>
      <c r="D1673" s="12" t="s">
        <v>299</v>
      </c>
      <c r="E1673" s="12" t="s">
        <v>5923</v>
      </c>
      <c r="F1673" s="12" t="s">
        <v>5941</v>
      </c>
      <c r="G1673" s="15" t="s">
        <v>684</v>
      </c>
      <c r="I1673" s="101" t="s">
        <v>5818</v>
      </c>
    </row>
    <row r="1674" spans="1:27" hidden="1" x14ac:dyDescent="0.25">
      <c r="A1674" s="11" t="s">
        <v>6252</v>
      </c>
      <c r="B1674" s="12" t="s">
        <v>6253</v>
      </c>
      <c r="C1674" s="13">
        <f>C1673+1</f>
        <v>13</v>
      </c>
      <c r="D1674" s="12" t="s">
        <v>299</v>
      </c>
      <c r="E1674" s="12" t="s">
        <v>6254</v>
      </c>
      <c r="F1674" s="12" t="s">
        <v>6266</v>
      </c>
      <c r="G1674" s="15" t="s">
        <v>19</v>
      </c>
      <c r="I1674" s="90">
        <v>12</v>
      </c>
    </row>
    <row r="1675" spans="1:27" hidden="1" x14ac:dyDescent="0.25">
      <c r="A1675" s="11" t="s">
        <v>6768</v>
      </c>
      <c r="B1675" s="12" t="s">
        <v>6769</v>
      </c>
      <c r="C1675" s="13">
        <v>11</v>
      </c>
      <c r="D1675" s="12" t="s">
        <v>299</v>
      </c>
      <c r="E1675" s="12" t="s">
        <v>6770</v>
      </c>
      <c r="F1675" s="12" t="s">
        <v>6781</v>
      </c>
      <c r="G1675" s="15" t="s">
        <v>19</v>
      </c>
    </row>
    <row r="1676" spans="1:27" hidden="1" x14ac:dyDescent="0.25">
      <c r="A1676" s="11" t="s">
        <v>1794</v>
      </c>
      <c r="B1676" s="12" t="s">
        <v>1795</v>
      </c>
      <c r="C1676" s="13">
        <v>6</v>
      </c>
      <c r="D1676" s="12" t="s">
        <v>1804</v>
      </c>
      <c r="E1676" s="12" t="s">
        <v>1796</v>
      </c>
      <c r="F1676" s="12" t="s">
        <v>1805</v>
      </c>
      <c r="G1676" s="15" t="s">
        <v>13</v>
      </c>
      <c r="I1676" s="9">
        <v>15</v>
      </c>
    </row>
    <row r="1677" spans="1:27" hidden="1" x14ac:dyDescent="0.25">
      <c r="A1677" s="11" t="s">
        <v>791</v>
      </c>
      <c r="B1677" s="12" t="s">
        <v>792</v>
      </c>
      <c r="C1677" s="13">
        <v>23</v>
      </c>
      <c r="D1677" s="12" t="s">
        <v>837</v>
      </c>
      <c r="E1677" s="12" t="s">
        <v>793</v>
      </c>
      <c r="F1677" s="12" t="s">
        <v>838</v>
      </c>
      <c r="G1677" s="15" t="s">
        <v>829</v>
      </c>
      <c r="I1677" s="9">
        <v>15</v>
      </c>
    </row>
    <row r="1678" spans="1:27" hidden="1" x14ac:dyDescent="0.2">
      <c r="A1678" s="11" t="s">
        <v>791</v>
      </c>
      <c r="B1678" s="12" t="s">
        <v>792</v>
      </c>
      <c r="C1678" s="13">
        <v>21</v>
      </c>
      <c r="D1678" s="14" t="s">
        <v>833</v>
      </c>
      <c r="E1678" s="12" t="s">
        <v>793</v>
      </c>
      <c r="F1678" s="12" t="s">
        <v>834</v>
      </c>
      <c r="G1678" s="15" t="s">
        <v>829</v>
      </c>
      <c r="I1678" s="9">
        <v>15</v>
      </c>
    </row>
    <row r="1679" spans="1:27" hidden="1" x14ac:dyDescent="0.2">
      <c r="A1679" s="11" t="s">
        <v>3034</v>
      </c>
      <c r="B1679" s="12" t="s">
        <v>3035</v>
      </c>
      <c r="C1679" s="13">
        <f>+C1678+1</f>
        <v>22</v>
      </c>
      <c r="D1679" s="8" t="s">
        <v>3052</v>
      </c>
      <c r="E1679" s="12" t="s">
        <v>3036</v>
      </c>
      <c r="F1679" s="8" t="s">
        <v>3053</v>
      </c>
      <c r="G1679" s="66" t="s">
        <v>32</v>
      </c>
    </row>
    <row r="1680" spans="1:27" hidden="1" x14ac:dyDescent="0.25">
      <c r="A1680" s="11" t="s">
        <v>5686</v>
      </c>
      <c r="B1680" s="12" t="s">
        <v>5687</v>
      </c>
      <c r="C1680" s="13">
        <f>C1679+1</f>
        <v>23</v>
      </c>
      <c r="D1680" s="12" t="s">
        <v>5830</v>
      </c>
      <c r="E1680" s="12" t="s">
        <v>5688</v>
      </c>
      <c r="F1680" s="12" t="s">
        <v>5831</v>
      </c>
      <c r="G1680" s="15" t="s">
        <v>678</v>
      </c>
      <c r="I1680" s="101" t="s">
        <v>5818</v>
      </c>
    </row>
    <row r="1681" spans="1:27" hidden="1" x14ac:dyDescent="0.25">
      <c r="A1681" s="11" t="s">
        <v>6570</v>
      </c>
      <c r="B1681" s="12" t="s">
        <v>6571</v>
      </c>
      <c r="C1681" s="13">
        <f>C1680+1</f>
        <v>24</v>
      </c>
      <c r="D1681" s="12" t="s">
        <v>6582</v>
      </c>
      <c r="E1681" s="12" t="s">
        <v>6572</v>
      </c>
      <c r="F1681" s="12" t="s">
        <v>6583</v>
      </c>
      <c r="G1681" s="15" t="s">
        <v>42</v>
      </c>
      <c r="I1681" s="9">
        <v>15</v>
      </c>
    </row>
    <row r="1682" spans="1:27" x14ac:dyDescent="0.25">
      <c r="A1682" s="11" t="s">
        <v>5686</v>
      </c>
      <c r="B1682" s="12" t="s">
        <v>5687</v>
      </c>
      <c r="C1682" s="13">
        <v>87</v>
      </c>
      <c r="D1682" s="12" t="s">
        <v>5850</v>
      </c>
      <c r="E1682" s="12" t="s">
        <v>5688</v>
      </c>
      <c r="F1682" s="12" t="s">
        <v>5851</v>
      </c>
      <c r="G1682" s="15" t="s">
        <v>848</v>
      </c>
      <c r="I1682" s="79">
        <v>15</v>
      </c>
    </row>
    <row r="1683" spans="1:27" hidden="1" x14ac:dyDescent="0.25">
      <c r="A1683" s="11" t="s">
        <v>5686</v>
      </c>
      <c r="B1683" s="12" t="s">
        <v>5687</v>
      </c>
      <c r="C1683" s="13">
        <v>86</v>
      </c>
      <c r="D1683" s="12" t="s">
        <v>5848</v>
      </c>
      <c r="E1683" s="12" t="s">
        <v>5688</v>
      </c>
      <c r="F1683" s="12" t="s">
        <v>5849</v>
      </c>
      <c r="G1683" s="15" t="s">
        <v>848</v>
      </c>
      <c r="I1683" s="79">
        <v>15</v>
      </c>
    </row>
    <row r="1684" spans="1:27" ht="15" hidden="1" x14ac:dyDescent="0.25">
      <c r="A1684" s="21" t="s">
        <v>2215</v>
      </c>
      <c r="B1684" s="38" t="s">
        <v>2216</v>
      </c>
      <c r="C1684" s="23">
        <v>3</v>
      </c>
      <c r="D1684" s="22" t="s">
        <v>2220</v>
      </c>
      <c r="E1684" s="22" t="s">
        <v>2217</v>
      </c>
      <c r="F1684" s="22" t="s">
        <v>2221</v>
      </c>
      <c r="G1684" s="26" t="s">
        <v>32</v>
      </c>
      <c r="I1684" s="54">
        <v>15</v>
      </c>
      <c r="J1684" s="60"/>
    </row>
    <row r="1685" spans="1:27" hidden="1" x14ac:dyDescent="0.2">
      <c r="A1685" s="11" t="s">
        <v>5159</v>
      </c>
      <c r="B1685" s="12" t="s">
        <v>5160</v>
      </c>
      <c r="C1685" s="13">
        <v>4</v>
      </c>
      <c r="D1685" s="42" t="s">
        <v>5166</v>
      </c>
      <c r="E1685" s="12" t="s">
        <v>5161</v>
      </c>
      <c r="F1685" s="75" t="s">
        <v>5167</v>
      </c>
      <c r="G1685" s="15" t="s">
        <v>32</v>
      </c>
    </row>
    <row r="1686" spans="1:27" hidden="1" x14ac:dyDescent="0.2">
      <c r="A1686" s="11" t="s">
        <v>5174</v>
      </c>
      <c r="B1686" s="12" t="s">
        <v>5175</v>
      </c>
      <c r="C1686" s="13">
        <v>4</v>
      </c>
      <c r="D1686" s="42" t="s">
        <v>5166</v>
      </c>
      <c r="E1686" s="12" t="s">
        <v>5176</v>
      </c>
      <c r="F1686" s="75" t="s">
        <v>5181</v>
      </c>
      <c r="G1686" s="15" t="s">
        <v>32</v>
      </c>
    </row>
    <row r="1687" spans="1:27" hidden="1" x14ac:dyDescent="0.2">
      <c r="A1687" s="11" t="s">
        <v>5190</v>
      </c>
      <c r="B1687" s="12" t="s">
        <v>5191</v>
      </c>
      <c r="C1687" s="13">
        <v>4</v>
      </c>
      <c r="D1687" s="42" t="s">
        <v>5166</v>
      </c>
      <c r="E1687" s="12" t="s">
        <v>5192</v>
      </c>
      <c r="F1687" s="75" t="s">
        <v>5197</v>
      </c>
      <c r="G1687" s="15" t="s">
        <v>32</v>
      </c>
    </row>
    <row r="1688" spans="1:27" hidden="1" x14ac:dyDescent="0.2">
      <c r="A1688" s="11" t="s">
        <v>5202</v>
      </c>
      <c r="B1688" s="12" t="s">
        <v>5203</v>
      </c>
      <c r="C1688" s="13">
        <v>4</v>
      </c>
      <c r="D1688" s="42" t="s">
        <v>5166</v>
      </c>
      <c r="E1688" s="12" t="s">
        <v>5204</v>
      </c>
      <c r="F1688" s="75" t="s">
        <v>5209</v>
      </c>
      <c r="G1688" s="15" t="s">
        <v>32</v>
      </c>
    </row>
    <row r="1689" spans="1:27" hidden="1" x14ac:dyDescent="0.2">
      <c r="A1689" s="11" t="s">
        <v>5214</v>
      </c>
      <c r="B1689" s="12" t="s">
        <v>5215</v>
      </c>
      <c r="C1689" s="13">
        <v>4</v>
      </c>
      <c r="D1689" s="42" t="s">
        <v>5166</v>
      </c>
      <c r="E1689" s="12" t="s">
        <v>5216</v>
      </c>
      <c r="F1689" s="75" t="s">
        <v>5221</v>
      </c>
      <c r="G1689" s="15" t="s">
        <v>32</v>
      </c>
    </row>
    <row r="1690" spans="1:27" hidden="1" x14ac:dyDescent="0.2">
      <c r="A1690" s="11" t="s">
        <v>5226</v>
      </c>
      <c r="B1690" s="12" t="s">
        <v>5227</v>
      </c>
      <c r="C1690" s="13">
        <v>4</v>
      </c>
      <c r="D1690" s="42" t="s">
        <v>5166</v>
      </c>
      <c r="E1690" s="12" t="s">
        <v>5228</v>
      </c>
      <c r="F1690" s="75" t="s">
        <v>5232</v>
      </c>
      <c r="G1690" s="15" t="s">
        <v>32</v>
      </c>
    </row>
    <row r="1691" spans="1:27" hidden="1" x14ac:dyDescent="0.2">
      <c r="A1691" s="11" t="s">
        <v>5236</v>
      </c>
      <c r="B1691" s="12" t="s">
        <v>5237</v>
      </c>
      <c r="C1691" s="13">
        <v>2</v>
      </c>
      <c r="D1691" s="42" t="s">
        <v>5166</v>
      </c>
      <c r="E1691" s="12" t="s">
        <v>5238</v>
      </c>
      <c r="F1691" s="75" t="s">
        <v>5240</v>
      </c>
      <c r="G1691" s="15" t="s">
        <v>32</v>
      </c>
    </row>
    <row r="1692" spans="1:27" hidden="1" x14ac:dyDescent="0.2">
      <c r="A1692" s="11" t="s">
        <v>5301</v>
      </c>
      <c r="B1692" s="12" t="s">
        <v>5302</v>
      </c>
      <c r="C1692" s="13">
        <v>2</v>
      </c>
      <c r="D1692" s="22" t="s">
        <v>5305</v>
      </c>
      <c r="E1692" s="12" t="s">
        <v>5303</v>
      </c>
      <c r="F1692" s="75" t="s">
        <v>5306</v>
      </c>
      <c r="G1692" s="15" t="s">
        <v>32</v>
      </c>
      <c r="I1692" s="90">
        <v>12</v>
      </c>
    </row>
    <row r="1693" spans="1:27" hidden="1" x14ac:dyDescent="0.2">
      <c r="A1693" s="11" t="s">
        <v>537</v>
      </c>
      <c r="B1693" s="12" t="s">
        <v>538</v>
      </c>
      <c r="C1693" s="13">
        <v>4</v>
      </c>
      <c r="D1693" s="22" t="s">
        <v>544</v>
      </c>
      <c r="E1693" s="14" t="s">
        <v>539</v>
      </c>
      <c r="F1693" s="22" t="s">
        <v>545</v>
      </c>
      <c r="G1693" s="15" t="s">
        <v>32</v>
      </c>
      <c r="I1693" s="90">
        <v>12</v>
      </c>
    </row>
    <row r="1694" spans="1:27" hidden="1" x14ac:dyDescent="0.2">
      <c r="A1694" s="11" t="s">
        <v>1242</v>
      </c>
      <c r="B1694" s="12" t="s">
        <v>1243</v>
      </c>
      <c r="C1694" s="13">
        <v>5</v>
      </c>
      <c r="D1694" s="37" t="s">
        <v>1251</v>
      </c>
      <c r="E1694" s="12" t="s">
        <v>1244</v>
      </c>
      <c r="F1694" s="22" t="s">
        <v>1252</v>
      </c>
      <c r="G1694" s="15" t="s">
        <v>32</v>
      </c>
    </row>
    <row r="1695" spans="1:27" hidden="1" x14ac:dyDescent="0.2">
      <c r="A1695" s="21" t="s">
        <v>926</v>
      </c>
      <c r="B1695" s="22" t="s">
        <v>927</v>
      </c>
      <c r="C1695" s="23">
        <v>4</v>
      </c>
      <c r="D1695" s="37" t="s">
        <v>932</v>
      </c>
      <c r="E1695" s="22" t="s">
        <v>928</v>
      </c>
      <c r="F1695" s="22" t="s">
        <v>933</v>
      </c>
      <c r="G1695" s="26" t="s">
        <v>934</v>
      </c>
      <c r="H1695" s="38"/>
      <c r="I1695" s="39">
        <v>15</v>
      </c>
      <c r="J1695" s="38"/>
      <c r="K1695" s="38"/>
      <c r="L1695" s="38"/>
      <c r="M1695" s="38"/>
      <c r="N1695" s="38"/>
      <c r="O1695" s="38"/>
      <c r="P1695" s="38"/>
      <c r="Q1695" s="38"/>
      <c r="R1695" s="38"/>
      <c r="S1695" s="38"/>
      <c r="T1695" s="38"/>
      <c r="U1695" s="38"/>
      <c r="V1695" s="38"/>
      <c r="W1695" s="38"/>
      <c r="X1695" s="38"/>
      <c r="Y1695" s="38"/>
      <c r="Z1695" s="38"/>
      <c r="AA1695" s="38"/>
    </row>
    <row r="1696" spans="1:27" hidden="1" x14ac:dyDescent="0.25">
      <c r="A1696" s="11" t="s">
        <v>6688</v>
      </c>
      <c r="B1696" s="12" t="s">
        <v>6689</v>
      </c>
      <c r="C1696" s="13">
        <v>3</v>
      </c>
      <c r="D1696" s="22" t="s">
        <v>6693</v>
      </c>
      <c r="E1696" s="12" t="s">
        <v>6690</v>
      </c>
      <c r="F1696" s="22" t="s">
        <v>6694</v>
      </c>
      <c r="G1696" s="15" t="s">
        <v>32</v>
      </c>
    </row>
    <row r="1697" spans="1:9" hidden="1" x14ac:dyDescent="0.2">
      <c r="A1697" s="11" t="s">
        <v>5190</v>
      </c>
      <c r="B1697" s="12" t="s">
        <v>5191</v>
      </c>
      <c r="C1697" s="13">
        <v>2</v>
      </c>
      <c r="D1697" s="42" t="s">
        <v>5194</v>
      </c>
      <c r="E1697" s="12" t="s">
        <v>5192</v>
      </c>
      <c r="F1697" s="75" t="s">
        <v>5195</v>
      </c>
      <c r="G1697" s="15" t="s">
        <v>32</v>
      </c>
    </row>
    <row r="1698" spans="1:9" hidden="1" x14ac:dyDescent="0.25">
      <c r="A1698" s="11" t="s">
        <v>5413</v>
      </c>
      <c r="B1698" s="12" t="s">
        <v>5414</v>
      </c>
      <c r="C1698" s="13">
        <v>2</v>
      </c>
      <c r="D1698" s="22" t="s">
        <v>5417</v>
      </c>
      <c r="E1698" s="12" t="s">
        <v>5415</v>
      </c>
      <c r="F1698" s="22" t="s">
        <v>5418</v>
      </c>
      <c r="G1698" s="15" t="s">
        <v>32</v>
      </c>
    </row>
    <row r="1699" spans="1:9" hidden="1" x14ac:dyDescent="0.25">
      <c r="A1699" s="11" t="s">
        <v>5686</v>
      </c>
      <c r="B1699" s="12" t="s">
        <v>5687</v>
      </c>
      <c r="C1699" s="13">
        <f>C1698+1</f>
        <v>3</v>
      </c>
      <c r="D1699" s="12" t="s">
        <v>5417</v>
      </c>
      <c r="E1699" s="12" t="s">
        <v>5688</v>
      </c>
      <c r="F1699" s="12" t="s">
        <v>5746</v>
      </c>
      <c r="G1699" s="15" t="s">
        <v>32</v>
      </c>
      <c r="I1699" s="90">
        <v>12</v>
      </c>
    </row>
    <row r="1700" spans="1:9" hidden="1" x14ac:dyDescent="0.25">
      <c r="A1700" s="11" t="s">
        <v>1294</v>
      </c>
      <c r="B1700" s="12" t="s">
        <v>1295</v>
      </c>
      <c r="C1700" s="13">
        <v>3</v>
      </c>
      <c r="D1700" s="22" t="s">
        <v>1299</v>
      </c>
      <c r="E1700" s="12" t="s">
        <v>1296</v>
      </c>
      <c r="F1700" s="22" t="s">
        <v>1300</v>
      </c>
      <c r="G1700" s="15" t="s">
        <v>32</v>
      </c>
    </row>
    <row r="1701" spans="1:9" hidden="1" x14ac:dyDescent="0.2">
      <c r="A1701" s="11" t="s">
        <v>2369</v>
      </c>
      <c r="B1701" s="12" t="s">
        <v>2370</v>
      </c>
      <c r="C1701" s="13">
        <v>2</v>
      </c>
      <c r="D1701" s="37" t="s">
        <v>1299</v>
      </c>
      <c r="E1701" s="12" t="s">
        <v>2371</v>
      </c>
      <c r="F1701" s="22" t="s">
        <v>2373</v>
      </c>
      <c r="G1701" s="15" t="s">
        <v>32</v>
      </c>
    </row>
    <row r="1702" spans="1:9" hidden="1" x14ac:dyDescent="0.2">
      <c r="A1702" s="11" t="s">
        <v>2988</v>
      </c>
      <c r="B1702" s="12" t="s">
        <v>2989</v>
      </c>
      <c r="C1702" s="13">
        <f>1+C1701</f>
        <v>3</v>
      </c>
      <c r="D1702" s="14" t="s">
        <v>2996</v>
      </c>
      <c r="E1702" s="12" t="s">
        <v>2990</v>
      </c>
      <c r="F1702" s="65" t="s">
        <v>2997</v>
      </c>
      <c r="G1702" s="66" t="s">
        <v>32</v>
      </c>
    </row>
    <row r="1703" spans="1:9" hidden="1" x14ac:dyDescent="0.2">
      <c r="A1703" s="11" t="s">
        <v>4049</v>
      </c>
      <c r="B1703" s="12" t="s">
        <v>4050</v>
      </c>
      <c r="C1703" s="13">
        <v>6</v>
      </c>
      <c r="D1703" s="12" t="s">
        <v>4057</v>
      </c>
      <c r="E1703" s="12" t="s">
        <v>4051</v>
      </c>
      <c r="F1703" s="12" t="s">
        <v>4058</v>
      </c>
      <c r="G1703" s="66" t="s">
        <v>32</v>
      </c>
    </row>
    <row r="1704" spans="1:9" hidden="1" x14ac:dyDescent="0.2">
      <c r="A1704" s="11" t="s">
        <v>362</v>
      </c>
      <c r="B1704" s="12" t="s">
        <v>363</v>
      </c>
      <c r="C1704" s="13">
        <v>17</v>
      </c>
      <c r="D1704" s="14" t="s">
        <v>394</v>
      </c>
      <c r="E1704" s="12" t="s">
        <v>364</v>
      </c>
      <c r="F1704" s="12" t="s">
        <v>395</v>
      </c>
      <c r="G1704" s="15" t="s">
        <v>32</v>
      </c>
    </row>
    <row r="1705" spans="1:9" hidden="1" x14ac:dyDescent="0.2">
      <c r="A1705" s="11" t="s">
        <v>5159</v>
      </c>
      <c r="B1705" s="12" t="s">
        <v>5160</v>
      </c>
      <c r="C1705" s="13">
        <v>2</v>
      </c>
      <c r="D1705" s="42" t="s">
        <v>5163</v>
      </c>
      <c r="E1705" s="12" t="s">
        <v>5161</v>
      </c>
      <c r="F1705" s="75" t="s">
        <v>5164</v>
      </c>
      <c r="G1705" s="66" t="s">
        <v>32</v>
      </c>
    </row>
    <row r="1706" spans="1:9" hidden="1" x14ac:dyDescent="0.2">
      <c r="A1706" s="11" t="s">
        <v>5329</v>
      </c>
      <c r="B1706" s="12" t="s">
        <v>5330</v>
      </c>
      <c r="C1706" s="13">
        <v>4</v>
      </c>
      <c r="D1706" s="37" t="s">
        <v>5336</v>
      </c>
      <c r="E1706" s="12" t="s">
        <v>5331</v>
      </c>
      <c r="F1706" s="75" t="s">
        <v>5337</v>
      </c>
      <c r="G1706" s="15" t="s">
        <v>32</v>
      </c>
    </row>
    <row r="1707" spans="1:9" hidden="1" x14ac:dyDescent="0.2">
      <c r="A1707" s="11" t="s">
        <v>470</v>
      </c>
      <c r="B1707" s="12" t="s">
        <v>471</v>
      </c>
      <c r="C1707" s="13">
        <v>3</v>
      </c>
      <c r="D1707" s="37" t="s">
        <v>475</v>
      </c>
      <c r="E1707" s="12" t="s">
        <v>472</v>
      </c>
      <c r="F1707" s="22" t="s">
        <v>476</v>
      </c>
      <c r="G1707" s="15" t="s">
        <v>32</v>
      </c>
    </row>
    <row r="1708" spans="1:9" hidden="1" x14ac:dyDescent="0.2">
      <c r="A1708" s="46" t="s">
        <v>537</v>
      </c>
      <c r="B1708" s="12" t="s">
        <v>538</v>
      </c>
      <c r="C1708" s="13">
        <v>3</v>
      </c>
      <c r="D1708" s="22" t="s">
        <v>542</v>
      </c>
      <c r="E1708" s="14" t="s">
        <v>539</v>
      </c>
      <c r="F1708" s="22" t="s">
        <v>543</v>
      </c>
      <c r="G1708" s="15" t="s">
        <v>32</v>
      </c>
      <c r="I1708" s="90">
        <v>12</v>
      </c>
    </row>
    <row r="1709" spans="1:9" hidden="1" x14ac:dyDescent="0.2">
      <c r="A1709" s="11" t="s">
        <v>552</v>
      </c>
      <c r="B1709" s="12" t="s">
        <v>553</v>
      </c>
      <c r="C1709" s="13">
        <v>3</v>
      </c>
      <c r="D1709" s="22" t="s">
        <v>542</v>
      </c>
      <c r="E1709" s="14" t="s">
        <v>554</v>
      </c>
      <c r="F1709" s="22" t="s">
        <v>557</v>
      </c>
      <c r="G1709" s="15" t="s">
        <v>32</v>
      </c>
      <c r="I1709" s="90">
        <v>12</v>
      </c>
    </row>
    <row r="1710" spans="1:9" hidden="1" x14ac:dyDescent="0.25">
      <c r="A1710" s="11" t="s">
        <v>641</v>
      </c>
      <c r="B1710" s="12" t="s">
        <v>642</v>
      </c>
      <c r="C1710" s="13">
        <v>3</v>
      </c>
      <c r="D1710" s="22" t="s">
        <v>475</v>
      </c>
      <c r="E1710" s="12" t="s">
        <v>643</v>
      </c>
      <c r="F1710" s="22" t="s">
        <v>646</v>
      </c>
      <c r="G1710" s="15" t="s">
        <v>32</v>
      </c>
      <c r="I1710" s="99">
        <v>13</v>
      </c>
    </row>
    <row r="1711" spans="1:9" hidden="1" x14ac:dyDescent="0.25">
      <c r="A1711" s="11" t="s">
        <v>659</v>
      </c>
      <c r="B1711" s="12" t="s">
        <v>660</v>
      </c>
      <c r="C1711" s="13">
        <v>3</v>
      </c>
      <c r="D1711" s="22" t="s">
        <v>475</v>
      </c>
      <c r="E1711" s="12" t="s">
        <v>661</v>
      </c>
      <c r="F1711" s="22" t="s">
        <v>664</v>
      </c>
      <c r="G1711" s="15" t="s">
        <v>32</v>
      </c>
      <c r="I1711" s="99">
        <v>13</v>
      </c>
    </row>
    <row r="1712" spans="1:9" hidden="1" x14ac:dyDescent="0.25">
      <c r="A1712" s="109" t="s">
        <v>671</v>
      </c>
      <c r="B1712" s="12" t="s">
        <v>672</v>
      </c>
      <c r="C1712" s="13">
        <v>3</v>
      </c>
      <c r="D1712" s="22" t="s">
        <v>475</v>
      </c>
      <c r="E1712" s="12" t="s">
        <v>673</v>
      </c>
      <c r="F1712" s="22" t="s">
        <v>677</v>
      </c>
      <c r="G1712" s="15" t="s">
        <v>678</v>
      </c>
      <c r="I1712" s="94">
        <v>14</v>
      </c>
    </row>
    <row r="1713" spans="1:27" hidden="1" x14ac:dyDescent="0.2">
      <c r="A1713" s="21" t="s">
        <v>1017</v>
      </c>
      <c r="B1713" s="22" t="s">
        <v>1018</v>
      </c>
      <c r="C1713" s="23">
        <v>3</v>
      </c>
      <c r="D1713" s="37" t="s">
        <v>475</v>
      </c>
      <c r="E1713" s="22" t="s">
        <v>1019</v>
      </c>
      <c r="F1713" s="22" t="s">
        <v>1022</v>
      </c>
      <c r="G1713" s="26" t="s">
        <v>848</v>
      </c>
      <c r="H1713" s="38"/>
      <c r="I1713" s="39">
        <v>15</v>
      </c>
      <c r="J1713" s="38"/>
      <c r="K1713" s="38"/>
      <c r="L1713" s="38"/>
      <c r="M1713" s="38"/>
      <c r="N1713" s="38"/>
      <c r="O1713" s="38"/>
      <c r="P1713" s="38"/>
      <c r="Q1713" s="38"/>
      <c r="R1713" s="38"/>
      <c r="S1713" s="38"/>
      <c r="T1713" s="38"/>
      <c r="U1713" s="38"/>
      <c r="V1713" s="38"/>
      <c r="W1713" s="38"/>
      <c r="X1713" s="38"/>
      <c r="Y1713" s="38"/>
      <c r="Z1713" s="38"/>
      <c r="AA1713" s="38"/>
    </row>
    <row r="1714" spans="1:27" hidden="1" x14ac:dyDescent="0.25">
      <c r="A1714" s="21" t="s">
        <v>1031</v>
      </c>
      <c r="B1714" s="22" t="s">
        <v>1032</v>
      </c>
      <c r="C1714" s="23">
        <v>3</v>
      </c>
      <c r="D1714" s="42" t="s">
        <v>475</v>
      </c>
      <c r="E1714" s="22" t="s">
        <v>1033</v>
      </c>
      <c r="F1714" s="22" t="s">
        <v>1036</v>
      </c>
      <c r="G1714" s="26" t="s">
        <v>848</v>
      </c>
      <c r="H1714" s="38"/>
      <c r="I1714" s="39">
        <v>15</v>
      </c>
      <c r="J1714" s="38"/>
      <c r="K1714" s="38"/>
      <c r="L1714" s="38"/>
      <c r="M1714" s="38"/>
      <c r="N1714" s="38"/>
      <c r="O1714" s="38"/>
      <c r="P1714" s="38"/>
      <c r="Q1714" s="38"/>
      <c r="R1714" s="38"/>
      <c r="S1714" s="38"/>
      <c r="T1714" s="38"/>
      <c r="U1714" s="38"/>
      <c r="V1714" s="38"/>
      <c r="W1714" s="38"/>
      <c r="X1714" s="38"/>
      <c r="Y1714" s="38"/>
      <c r="Z1714" s="38"/>
      <c r="AA1714" s="38"/>
    </row>
    <row r="1715" spans="1:27" hidden="1" x14ac:dyDescent="0.2">
      <c r="A1715" s="11" t="s">
        <v>1142</v>
      </c>
      <c r="B1715" s="12" t="s">
        <v>1143</v>
      </c>
      <c r="C1715" s="13">
        <v>3</v>
      </c>
      <c r="D1715" s="37" t="s">
        <v>475</v>
      </c>
      <c r="E1715" s="12" t="s">
        <v>1144</v>
      </c>
      <c r="F1715" s="22" t="s">
        <v>1147</v>
      </c>
      <c r="G1715" s="15" t="s">
        <v>32</v>
      </c>
    </row>
    <row r="1716" spans="1:27" hidden="1" x14ac:dyDescent="0.2">
      <c r="A1716" s="11" t="s">
        <v>1194</v>
      </c>
      <c r="B1716" s="12" t="s">
        <v>1195</v>
      </c>
      <c r="C1716" s="13">
        <v>3</v>
      </c>
      <c r="D1716" s="37" t="s">
        <v>475</v>
      </c>
      <c r="E1716" s="12" t="s">
        <v>1196</v>
      </c>
      <c r="F1716" s="22" t="s">
        <v>1199</v>
      </c>
      <c r="G1716" s="15" t="s">
        <v>32</v>
      </c>
    </row>
    <row r="1717" spans="1:27" hidden="1" x14ac:dyDescent="0.2">
      <c r="A1717" s="21" t="s">
        <v>1229</v>
      </c>
      <c r="B1717" s="22" t="s">
        <v>1230</v>
      </c>
      <c r="C1717" s="23">
        <v>3</v>
      </c>
      <c r="D1717" s="37" t="s">
        <v>475</v>
      </c>
      <c r="E1717" s="22" t="s">
        <v>1231</v>
      </c>
      <c r="F1717" s="22" t="s">
        <v>1234</v>
      </c>
      <c r="G1717" s="26" t="s">
        <v>32</v>
      </c>
      <c r="H1717" s="38"/>
      <c r="I1717" s="39">
        <v>15</v>
      </c>
      <c r="J1717" s="38"/>
      <c r="K1717" s="38"/>
      <c r="L1717" s="38"/>
      <c r="M1717" s="38"/>
      <c r="N1717" s="38"/>
      <c r="O1717" s="38"/>
      <c r="P1717" s="38"/>
      <c r="Q1717" s="38"/>
      <c r="R1717" s="38"/>
      <c r="S1717" s="38"/>
      <c r="T1717" s="38"/>
      <c r="U1717" s="38"/>
      <c r="V1717" s="38"/>
      <c r="W1717" s="38"/>
      <c r="X1717" s="38"/>
      <c r="Y1717" s="38"/>
      <c r="Z1717" s="38"/>
      <c r="AA1717" s="38"/>
    </row>
    <row r="1718" spans="1:27" hidden="1" x14ac:dyDescent="0.2">
      <c r="A1718" s="11" t="s">
        <v>2024</v>
      </c>
      <c r="B1718" s="12" t="s">
        <v>2025</v>
      </c>
      <c r="C1718" s="13">
        <v>11</v>
      </c>
      <c r="D1718" s="14" t="s">
        <v>2042</v>
      </c>
      <c r="E1718" s="12" t="s">
        <v>2026</v>
      </c>
      <c r="F1718" s="12" t="s">
        <v>2043</v>
      </c>
      <c r="G1718" s="15" t="s">
        <v>13</v>
      </c>
    </row>
    <row r="1719" spans="1:27" hidden="1" x14ac:dyDescent="0.2">
      <c r="A1719" s="11" t="s">
        <v>2024</v>
      </c>
      <c r="B1719" s="12" t="s">
        <v>2025</v>
      </c>
      <c r="C1719" s="13">
        <v>12</v>
      </c>
      <c r="D1719" s="14" t="s">
        <v>2044</v>
      </c>
      <c r="E1719" s="12" t="s">
        <v>2026</v>
      </c>
      <c r="F1719" s="12" t="s">
        <v>2045</v>
      </c>
      <c r="G1719" s="15" t="s">
        <v>13</v>
      </c>
    </row>
    <row r="1720" spans="1:27" hidden="1" x14ac:dyDescent="0.25">
      <c r="A1720" s="11" t="s">
        <v>2130</v>
      </c>
      <c r="B1720" s="8" t="s">
        <v>2131</v>
      </c>
      <c r="C1720" s="13">
        <v>4</v>
      </c>
      <c r="D1720" s="12" t="s">
        <v>475</v>
      </c>
      <c r="E1720" s="12" t="s">
        <v>2132</v>
      </c>
      <c r="F1720" s="12" t="s">
        <v>2136</v>
      </c>
      <c r="G1720" s="15" t="s">
        <v>32</v>
      </c>
    </row>
    <row r="1721" spans="1:27" hidden="1" x14ac:dyDescent="0.2">
      <c r="A1721" s="11" t="s">
        <v>2988</v>
      </c>
      <c r="B1721" s="12" t="s">
        <v>2989</v>
      </c>
      <c r="C1721" s="13">
        <f>1+C1720</f>
        <v>5</v>
      </c>
      <c r="D1721" s="37" t="s">
        <v>475</v>
      </c>
      <c r="E1721" s="12" t="s">
        <v>2990</v>
      </c>
      <c r="F1721" s="75" t="s">
        <v>2993</v>
      </c>
      <c r="G1721" s="66" t="s">
        <v>32</v>
      </c>
    </row>
    <row r="1722" spans="1:27" hidden="1" x14ac:dyDescent="0.2">
      <c r="A1722" s="11" t="s">
        <v>3108</v>
      </c>
      <c r="B1722" s="12" t="s">
        <v>3109</v>
      </c>
      <c r="C1722" s="13">
        <f>+C1721+1</f>
        <v>6</v>
      </c>
      <c r="D1722" s="37" t="s">
        <v>475</v>
      </c>
      <c r="E1722" s="12" t="s">
        <v>3110</v>
      </c>
      <c r="F1722" s="75" t="s">
        <v>3113</v>
      </c>
      <c r="G1722" s="66" t="s">
        <v>32</v>
      </c>
    </row>
    <row r="1723" spans="1:27" hidden="1" x14ac:dyDescent="0.2">
      <c r="A1723" s="11" t="s">
        <v>3428</v>
      </c>
      <c r="B1723" s="12" t="s">
        <v>3429</v>
      </c>
      <c r="C1723" s="13">
        <v>3</v>
      </c>
      <c r="D1723" s="22" t="s">
        <v>475</v>
      </c>
      <c r="E1723" s="65" t="s">
        <v>3430</v>
      </c>
      <c r="F1723" s="75" t="s">
        <v>3433</v>
      </c>
      <c r="G1723" s="66" t="s">
        <v>32</v>
      </c>
    </row>
    <row r="1724" spans="1:27" hidden="1" x14ac:dyDescent="0.2">
      <c r="A1724" s="11" t="s">
        <v>3458</v>
      </c>
      <c r="B1724" s="12" t="s">
        <v>3459</v>
      </c>
      <c r="C1724" s="13">
        <v>3</v>
      </c>
      <c r="D1724" s="22" t="s">
        <v>475</v>
      </c>
      <c r="E1724" s="65" t="s">
        <v>3460</v>
      </c>
      <c r="F1724" s="75" t="s">
        <v>3463</v>
      </c>
      <c r="G1724" s="66" t="s">
        <v>32</v>
      </c>
    </row>
    <row r="1725" spans="1:27" hidden="1" x14ac:dyDescent="0.2">
      <c r="A1725" s="11" t="s">
        <v>3633</v>
      </c>
      <c r="B1725" s="12" t="s">
        <v>3634</v>
      </c>
      <c r="C1725" s="13">
        <v>3</v>
      </c>
      <c r="D1725" s="22" t="s">
        <v>475</v>
      </c>
      <c r="E1725" s="65" t="s">
        <v>3635</v>
      </c>
      <c r="F1725" s="75" t="s">
        <v>3638</v>
      </c>
      <c r="G1725" s="66" t="s">
        <v>32</v>
      </c>
    </row>
    <row r="1726" spans="1:27" hidden="1" x14ac:dyDescent="0.2">
      <c r="A1726" s="11" t="s">
        <v>3763</v>
      </c>
      <c r="B1726" s="12" t="s">
        <v>3764</v>
      </c>
      <c r="C1726" s="13">
        <v>3</v>
      </c>
      <c r="D1726" s="22" t="s">
        <v>475</v>
      </c>
      <c r="E1726" s="12" t="s">
        <v>3765</v>
      </c>
      <c r="F1726" s="75" t="s">
        <v>3768</v>
      </c>
      <c r="G1726" s="66" t="s">
        <v>32</v>
      </c>
    </row>
    <row r="1727" spans="1:27" hidden="1" x14ac:dyDescent="0.2">
      <c r="A1727" s="11" t="s">
        <v>3799</v>
      </c>
      <c r="B1727" s="12" t="s">
        <v>3800</v>
      </c>
      <c r="C1727" s="13">
        <v>3</v>
      </c>
      <c r="D1727" s="22" t="s">
        <v>475</v>
      </c>
      <c r="E1727" s="12" t="s">
        <v>3801</v>
      </c>
      <c r="F1727" s="75" t="s">
        <v>3804</v>
      </c>
      <c r="G1727" s="66" t="s">
        <v>32</v>
      </c>
    </row>
    <row r="1728" spans="1:27" hidden="1" x14ac:dyDescent="0.2">
      <c r="A1728" s="11" t="s">
        <v>3839</v>
      </c>
      <c r="B1728" s="12" t="s">
        <v>3840</v>
      </c>
      <c r="C1728" s="13">
        <v>3</v>
      </c>
      <c r="D1728" s="22" t="s">
        <v>475</v>
      </c>
      <c r="E1728" s="12" t="s">
        <v>3841</v>
      </c>
      <c r="F1728" s="75" t="s">
        <v>3844</v>
      </c>
      <c r="G1728" s="66" t="s">
        <v>32</v>
      </c>
    </row>
    <row r="1729" spans="1:9" hidden="1" x14ac:dyDescent="0.2">
      <c r="A1729" s="11" t="s">
        <v>3858</v>
      </c>
      <c r="B1729" s="12" t="s">
        <v>3859</v>
      </c>
      <c r="C1729" s="13">
        <v>3</v>
      </c>
      <c r="D1729" s="22" t="s">
        <v>475</v>
      </c>
      <c r="E1729" s="12" t="s">
        <v>3860</v>
      </c>
      <c r="F1729" s="75" t="s">
        <v>3863</v>
      </c>
      <c r="G1729" s="66" t="s">
        <v>32</v>
      </c>
    </row>
    <row r="1730" spans="1:9" hidden="1" x14ac:dyDescent="0.2">
      <c r="A1730" s="11" t="s">
        <v>3880</v>
      </c>
      <c r="B1730" s="12" t="s">
        <v>3881</v>
      </c>
      <c r="C1730" s="13">
        <v>3</v>
      </c>
      <c r="D1730" s="22" t="s">
        <v>475</v>
      </c>
      <c r="E1730" s="12" t="s">
        <v>3882</v>
      </c>
      <c r="F1730" s="22" t="s">
        <v>3885</v>
      </c>
      <c r="G1730" s="66" t="s">
        <v>32</v>
      </c>
    </row>
    <row r="1731" spans="1:9" hidden="1" x14ac:dyDescent="0.2">
      <c r="A1731" s="11" t="s">
        <v>3914</v>
      </c>
      <c r="B1731" s="12" t="s">
        <v>3915</v>
      </c>
      <c r="C1731" s="13">
        <v>3</v>
      </c>
      <c r="D1731" s="22" t="s">
        <v>475</v>
      </c>
      <c r="E1731" s="12" t="s">
        <v>3916</v>
      </c>
      <c r="F1731" s="22" t="s">
        <v>3919</v>
      </c>
      <c r="G1731" s="66" t="s">
        <v>32</v>
      </c>
    </row>
    <row r="1732" spans="1:9" hidden="1" x14ac:dyDescent="0.2">
      <c r="A1732" s="11" t="s">
        <v>3937</v>
      </c>
      <c r="B1732" s="12" t="s">
        <v>3938</v>
      </c>
      <c r="C1732" s="13">
        <v>3</v>
      </c>
      <c r="D1732" s="22" t="s">
        <v>475</v>
      </c>
      <c r="E1732" s="12" t="s">
        <v>3939</v>
      </c>
      <c r="F1732" s="22" t="s">
        <v>3942</v>
      </c>
      <c r="G1732" s="66" t="s">
        <v>32</v>
      </c>
    </row>
    <row r="1733" spans="1:9" hidden="1" x14ac:dyDescent="0.2">
      <c r="A1733" s="11" t="s">
        <v>3993</v>
      </c>
      <c r="B1733" s="12" t="s">
        <v>3994</v>
      </c>
      <c r="C1733" s="13">
        <v>3</v>
      </c>
      <c r="D1733" s="22" t="s">
        <v>475</v>
      </c>
      <c r="E1733" s="12" t="s">
        <v>3995</v>
      </c>
      <c r="F1733" s="22" t="s">
        <v>3998</v>
      </c>
      <c r="G1733" s="66" t="s">
        <v>32</v>
      </c>
    </row>
    <row r="1734" spans="1:9" hidden="1" x14ac:dyDescent="0.2">
      <c r="A1734" s="11" t="s">
        <v>4013</v>
      </c>
      <c r="B1734" s="12" t="s">
        <v>4014</v>
      </c>
      <c r="C1734" s="13">
        <v>3</v>
      </c>
      <c r="D1734" s="22" t="s">
        <v>475</v>
      </c>
      <c r="E1734" s="12" t="s">
        <v>4015</v>
      </c>
      <c r="F1734" s="22" t="s">
        <v>4018</v>
      </c>
      <c r="G1734" s="66" t="s">
        <v>32</v>
      </c>
    </row>
    <row r="1735" spans="1:9" hidden="1" x14ac:dyDescent="0.2">
      <c r="A1735" s="11" t="s">
        <v>4049</v>
      </c>
      <c r="B1735" s="12" t="s">
        <v>4050</v>
      </c>
      <c r="C1735" s="13">
        <v>3</v>
      </c>
      <c r="D1735" s="22" t="s">
        <v>475</v>
      </c>
      <c r="E1735" s="12" t="s">
        <v>4051</v>
      </c>
      <c r="F1735" s="22" t="s">
        <v>4054</v>
      </c>
      <c r="G1735" s="66" t="s">
        <v>32</v>
      </c>
    </row>
    <row r="1736" spans="1:9" hidden="1" x14ac:dyDescent="0.2">
      <c r="A1736" s="11" t="s">
        <v>4087</v>
      </c>
      <c r="B1736" s="12" t="s">
        <v>4088</v>
      </c>
      <c r="C1736" s="13">
        <f>C1735+1</f>
        <v>4</v>
      </c>
      <c r="D1736" s="22" t="s">
        <v>475</v>
      </c>
      <c r="E1736" s="12" t="s">
        <v>4089</v>
      </c>
      <c r="F1736" s="22" t="s">
        <v>4092</v>
      </c>
      <c r="G1736" s="66" t="s">
        <v>32</v>
      </c>
      <c r="I1736" s="90" t="s">
        <v>2426</v>
      </c>
    </row>
    <row r="1737" spans="1:9" hidden="1" x14ac:dyDescent="0.2">
      <c r="A1737" s="11" t="s">
        <v>4212</v>
      </c>
      <c r="B1737" s="12" t="s">
        <v>4213</v>
      </c>
      <c r="C1737" s="13">
        <f>C1736+1</f>
        <v>5</v>
      </c>
      <c r="D1737" s="22" t="s">
        <v>475</v>
      </c>
      <c r="E1737" s="12" t="s">
        <v>4214</v>
      </c>
      <c r="F1737" s="22" t="s">
        <v>4217</v>
      </c>
      <c r="G1737" s="66" t="s">
        <v>32</v>
      </c>
      <c r="I1737" s="90" t="s">
        <v>2426</v>
      </c>
    </row>
    <row r="1738" spans="1:9" hidden="1" x14ac:dyDescent="0.2">
      <c r="A1738" s="11" t="s">
        <v>4318</v>
      </c>
      <c r="B1738" s="12" t="s">
        <v>4319</v>
      </c>
      <c r="C1738" s="13">
        <f>C1737+1</f>
        <v>6</v>
      </c>
      <c r="D1738" s="22" t="s">
        <v>475</v>
      </c>
      <c r="E1738" s="12" t="s">
        <v>4320</v>
      </c>
      <c r="F1738" s="22" t="s">
        <v>4323</v>
      </c>
      <c r="G1738" s="66" t="s">
        <v>32</v>
      </c>
      <c r="I1738" s="90" t="s">
        <v>2426</v>
      </c>
    </row>
    <row r="1739" spans="1:9" hidden="1" x14ac:dyDescent="0.2">
      <c r="A1739" s="11" t="s">
        <v>4335</v>
      </c>
      <c r="B1739" s="12" t="s">
        <v>4336</v>
      </c>
      <c r="C1739" s="13">
        <f>C1738+1</f>
        <v>7</v>
      </c>
      <c r="D1739" s="22" t="s">
        <v>475</v>
      </c>
      <c r="E1739" s="12" t="s">
        <v>4337</v>
      </c>
      <c r="F1739" s="22" t="s">
        <v>4340</v>
      </c>
      <c r="G1739" s="66" t="s">
        <v>32</v>
      </c>
      <c r="I1739" s="90" t="s">
        <v>2426</v>
      </c>
    </row>
    <row r="1740" spans="1:9" hidden="1" x14ac:dyDescent="0.2">
      <c r="A1740" s="146" t="s">
        <v>4759</v>
      </c>
      <c r="B1740" s="12" t="s">
        <v>4760</v>
      </c>
      <c r="C1740" s="13">
        <v>3</v>
      </c>
      <c r="D1740" s="22" t="s">
        <v>475</v>
      </c>
      <c r="E1740" s="12" t="s">
        <v>4761</v>
      </c>
      <c r="F1740" s="22" t="s">
        <v>4764</v>
      </c>
      <c r="G1740" s="66" t="s">
        <v>32</v>
      </c>
    </row>
    <row r="1741" spans="1:9" hidden="1" x14ac:dyDescent="0.25">
      <c r="A1741" s="146" t="s">
        <v>4800</v>
      </c>
      <c r="B1741" s="8" t="s">
        <v>4801</v>
      </c>
      <c r="C1741" s="150">
        <v>3</v>
      </c>
      <c r="D1741" s="38" t="s">
        <v>475</v>
      </c>
      <c r="E1741" s="8" t="s">
        <v>4802</v>
      </c>
      <c r="F1741" s="38" t="s">
        <v>4805</v>
      </c>
      <c r="G1741" s="80" t="s">
        <v>32</v>
      </c>
    </row>
    <row r="1742" spans="1:9" hidden="1" x14ac:dyDescent="0.25">
      <c r="A1742" s="146" t="s">
        <v>4817</v>
      </c>
      <c r="B1742" s="12" t="s">
        <v>4818</v>
      </c>
      <c r="C1742" s="13">
        <v>3</v>
      </c>
      <c r="D1742" s="22" t="s">
        <v>475</v>
      </c>
      <c r="E1742" s="12" t="s">
        <v>4819</v>
      </c>
      <c r="F1742" s="38" t="s">
        <v>4822</v>
      </c>
      <c r="G1742" s="80" t="s">
        <v>32</v>
      </c>
    </row>
    <row r="1743" spans="1:9" hidden="1" x14ac:dyDescent="0.25">
      <c r="A1743" s="146" t="s">
        <v>4830</v>
      </c>
      <c r="B1743" s="12" t="s">
        <v>4831</v>
      </c>
      <c r="C1743" s="13">
        <v>3</v>
      </c>
      <c r="D1743" s="22" t="s">
        <v>475</v>
      </c>
      <c r="E1743" s="12" t="s">
        <v>4832</v>
      </c>
      <c r="F1743" s="38" t="s">
        <v>4835</v>
      </c>
      <c r="G1743" s="80" t="s">
        <v>32</v>
      </c>
    </row>
    <row r="1744" spans="1:9" hidden="1" x14ac:dyDescent="0.25">
      <c r="A1744" s="146" t="s">
        <v>4870</v>
      </c>
      <c r="B1744" s="12" t="s">
        <v>4871</v>
      </c>
      <c r="C1744" s="13">
        <v>4</v>
      </c>
      <c r="D1744" s="12" t="s">
        <v>475</v>
      </c>
      <c r="E1744" s="12" t="s">
        <v>4872</v>
      </c>
      <c r="F1744" s="8" t="s">
        <v>4876</v>
      </c>
      <c r="G1744" s="80" t="s">
        <v>32</v>
      </c>
    </row>
    <row r="1745" spans="1:9" hidden="1" x14ac:dyDescent="0.2">
      <c r="A1745" s="11" t="s">
        <v>5244</v>
      </c>
      <c r="B1745" s="12" t="s">
        <v>5245</v>
      </c>
      <c r="C1745" s="13">
        <v>3</v>
      </c>
      <c r="D1745" s="22" t="s">
        <v>475</v>
      </c>
      <c r="E1745" s="12" t="s">
        <v>5246</v>
      </c>
      <c r="F1745" s="75" t="s">
        <v>5249</v>
      </c>
      <c r="G1745" s="15" t="s">
        <v>32</v>
      </c>
    </row>
    <row r="1746" spans="1:9" hidden="1" x14ac:dyDescent="0.2">
      <c r="A1746" s="11" t="s">
        <v>5329</v>
      </c>
      <c r="B1746" s="12" t="s">
        <v>5330</v>
      </c>
      <c r="C1746" s="13">
        <v>2</v>
      </c>
      <c r="D1746" s="37" t="s">
        <v>475</v>
      </c>
      <c r="E1746" s="12" t="s">
        <v>5331</v>
      </c>
      <c r="F1746" s="75" t="s">
        <v>5333</v>
      </c>
      <c r="G1746" s="15" t="s">
        <v>32</v>
      </c>
    </row>
    <row r="1747" spans="1:9" hidden="1" x14ac:dyDescent="0.25">
      <c r="A1747" s="11" t="s">
        <v>5645</v>
      </c>
      <c r="B1747" s="12" t="s">
        <v>5646</v>
      </c>
      <c r="C1747" s="13">
        <v>3</v>
      </c>
      <c r="D1747" s="22" t="s">
        <v>475</v>
      </c>
      <c r="E1747" s="12" t="s">
        <v>5647</v>
      </c>
      <c r="F1747" s="22" t="s">
        <v>5650</v>
      </c>
      <c r="G1747" s="15" t="s">
        <v>32</v>
      </c>
    </row>
    <row r="1748" spans="1:9" hidden="1" x14ac:dyDescent="0.25">
      <c r="A1748" s="11" t="s">
        <v>5957</v>
      </c>
      <c r="B1748" s="12" t="s">
        <v>5958</v>
      </c>
      <c r="C1748" s="13">
        <v>3</v>
      </c>
      <c r="D1748" s="22" t="s">
        <v>475</v>
      </c>
      <c r="E1748" s="12" t="s">
        <v>5959</v>
      </c>
      <c r="F1748" s="22" t="s">
        <v>5962</v>
      </c>
      <c r="G1748" s="15" t="s">
        <v>32</v>
      </c>
      <c r="I1748" s="9">
        <v>15</v>
      </c>
    </row>
    <row r="1749" spans="1:9" hidden="1" x14ac:dyDescent="0.25">
      <c r="A1749" s="11" t="s">
        <v>6017</v>
      </c>
      <c r="B1749" s="12" t="s">
        <v>6018</v>
      </c>
      <c r="C1749" s="13">
        <v>3</v>
      </c>
      <c r="D1749" s="22" t="s">
        <v>475</v>
      </c>
      <c r="E1749" s="12" t="s">
        <v>6019</v>
      </c>
      <c r="F1749" s="22" t="s">
        <v>6022</v>
      </c>
      <c r="G1749" s="15" t="s">
        <v>32</v>
      </c>
    </row>
    <row r="1750" spans="1:9" hidden="1" x14ac:dyDescent="0.25">
      <c r="A1750" s="11" t="s">
        <v>6176</v>
      </c>
      <c r="B1750" s="12" t="s">
        <v>6177</v>
      </c>
      <c r="C1750" s="13">
        <f>C1749+1</f>
        <v>4</v>
      </c>
      <c r="D1750" s="22" t="s">
        <v>475</v>
      </c>
      <c r="E1750" s="12" t="s">
        <v>6178</v>
      </c>
      <c r="F1750" s="22" t="s">
        <v>6180</v>
      </c>
      <c r="G1750" s="15" t="s">
        <v>32</v>
      </c>
      <c r="I1750" s="90">
        <v>12</v>
      </c>
    </row>
    <row r="1751" spans="1:9" hidden="1" x14ac:dyDescent="0.25">
      <c r="A1751" s="11" t="s">
        <v>6189</v>
      </c>
      <c r="B1751" s="12" t="s">
        <v>6190</v>
      </c>
      <c r="C1751" s="13">
        <f>C1750+1</f>
        <v>5</v>
      </c>
      <c r="D1751" s="22" t="s">
        <v>475</v>
      </c>
      <c r="E1751" s="12" t="s">
        <v>6191</v>
      </c>
      <c r="F1751" s="22" t="s">
        <v>6193</v>
      </c>
      <c r="G1751" s="15" t="s">
        <v>32</v>
      </c>
      <c r="I1751" s="90">
        <v>12</v>
      </c>
    </row>
    <row r="1752" spans="1:9" hidden="1" x14ac:dyDescent="0.25">
      <c r="A1752" s="11" t="s">
        <v>6252</v>
      </c>
      <c r="B1752" s="12" t="s">
        <v>6253</v>
      </c>
      <c r="C1752" s="13">
        <f>C1751+1</f>
        <v>6</v>
      </c>
      <c r="D1752" s="22" t="s">
        <v>475</v>
      </c>
      <c r="E1752" s="12" t="s">
        <v>6254</v>
      </c>
      <c r="F1752" s="22" t="s">
        <v>6257</v>
      </c>
      <c r="G1752" s="15" t="s">
        <v>32</v>
      </c>
      <c r="I1752" s="90">
        <v>12</v>
      </c>
    </row>
    <row r="1753" spans="1:9" hidden="1" x14ac:dyDescent="0.25">
      <c r="A1753" s="11" t="s">
        <v>6347</v>
      </c>
      <c r="B1753" s="12" t="s">
        <v>6348</v>
      </c>
      <c r="C1753" s="13">
        <f>C1752+1</f>
        <v>7</v>
      </c>
      <c r="D1753" s="22" t="s">
        <v>475</v>
      </c>
      <c r="E1753" s="12" t="s">
        <v>6349</v>
      </c>
      <c r="F1753" s="22" t="s">
        <v>6352</v>
      </c>
      <c r="G1753" s="15" t="s">
        <v>32</v>
      </c>
      <c r="I1753" s="90">
        <v>12</v>
      </c>
    </row>
    <row r="1754" spans="1:9" hidden="1" x14ac:dyDescent="0.25">
      <c r="A1754" s="11" t="s">
        <v>6357</v>
      </c>
      <c r="B1754" s="12" t="s">
        <v>6358</v>
      </c>
      <c r="C1754" s="13">
        <v>2</v>
      </c>
      <c r="D1754" s="22" t="s">
        <v>475</v>
      </c>
      <c r="E1754" s="12" t="s">
        <v>6359</v>
      </c>
      <c r="F1754" s="22" t="s">
        <v>6361</v>
      </c>
      <c r="G1754" s="15" t="s">
        <v>2807</v>
      </c>
      <c r="I1754" s="99">
        <v>13</v>
      </c>
    </row>
    <row r="1755" spans="1:9" hidden="1" x14ac:dyDescent="0.25">
      <c r="A1755" s="11" t="s">
        <v>6371</v>
      </c>
      <c r="B1755" s="12" t="s">
        <v>6372</v>
      </c>
      <c r="C1755" s="13">
        <v>2</v>
      </c>
      <c r="D1755" s="22" t="s">
        <v>475</v>
      </c>
      <c r="E1755" s="12" t="s">
        <v>6373</v>
      </c>
      <c r="F1755" s="22" t="s">
        <v>6375</v>
      </c>
      <c r="G1755" s="15" t="s">
        <v>2807</v>
      </c>
      <c r="I1755" s="99">
        <v>13</v>
      </c>
    </row>
    <row r="1756" spans="1:9" hidden="1" x14ac:dyDescent="0.25">
      <c r="A1756" s="11" t="s">
        <v>6415</v>
      </c>
      <c r="B1756" s="12" t="s">
        <v>6416</v>
      </c>
      <c r="C1756" s="13">
        <v>2</v>
      </c>
      <c r="D1756" s="22" t="s">
        <v>475</v>
      </c>
      <c r="E1756" s="12" t="s">
        <v>6417</v>
      </c>
      <c r="F1756" s="22" t="s">
        <v>6419</v>
      </c>
      <c r="G1756" s="15" t="s">
        <v>848</v>
      </c>
      <c r="I1756" s="101" t="s">
        <v>5818</v>
      </c>
    </row>
    <row r="1757" spans="1:9" hidden="1" x14ac:dyDescent="0.25">
      <c r="A1757" s="11" t="s">
        <v>6425</v>
      </c>
      <c r="B1757" s="12" t="s">
        <v>6426</v>
      </c>
      <c r="C1757" s="13">
        <v>3</v>
      </c>
      <c r="D1757" s="22" t="s">
        <v>475</v>
      </c>
      <c r="E1757" s="12" t="s">
        <v>6427</v>
      </c>
      <c r="F1757" s="22" t="s">
        <v>6430</v>
      </c>
      <c r="G1757" s="15" t="s">
        <v>848</v>
      </c>
      <c r="I1757" s="101" t="s">
        <v>5818</v>
      </c>
    </row>
    <row r="1758" spans="1:9" hidden="1" x14ac:dyDescent="0.2">
      <c r="A1758" s="11" t="s">
        <v>6584</v>
      </c>
      <c r="B1758" s="12" t="s">
        <v>6585</v>
      </c>
      <c r="C1758" s="13">
        <v>2</v>
      </c>
      <c r="D1758" s="37" t="s">
        <v>475</v>
      </c>
      <c r="E1758" s="12" t="s">
        <v>6586</v>
      </c>
      <c r="F1758" s="22" t="s">
        <v>6588</v>
      </c>
      <c r="G1758" s="15" t="s">
        <v>32</v>
      </c>
    </row>
    <row r="1759" spans="1:9" hidden="1" x14ac:dyDescent="0.2">
      <c r="A1759" s="11" t="s">
        <v>6601</v>
      </c>
      <c r="B1759" s="12" t="s">
        <v>6602</v>
      </c>
      <c r="C1759" s="13">
        <v>2</v>
      </c>
      <c r="D1759" s="37" t="s">
        <v>475</v>
      </c>
      <c r="E1759" s="12" t="s">
        <v>6603</v>
      </c>
      <c r="F1759" s="22" t="s">
        <v>6605</v>
      </c>
      <c r="G1759" s="15" t="s">
        <v>32</v>
      </c>
    </row>
    <row r="1760" spans="1:9" hidden="1" x14ac:dyDescent="0.2">
      <c r="A1760" s="11" t="s">
        <v>6614</v>
      </c>
      <c r="B1760" s="12" t="s">
        <v>6615</v>
      </c>
      <c r="C1760" s="13">
        <v>2</v>
      </c>
      <c r="D1760" s="37" t="s">
        <v>475</v>
      </c>
      <c r="E1760" s="12" t="s">
        <v>6616</v>
      </c>
      <c r="F1760" s="22" t="s">
        <v>6618</v>
      </c>
      <c r="G1760" s="15" t="s">
        <v>32</v>
      </c>
    </row>
    <row r="1761" spans="1:27" hidden="1" x14ac:dyDescent="0.25">
      <c r="A1761" s="11" t="s">
        <v>6664</v>
      </c>
      <c r="B1761" s="12" t="s">
        <v>6665</v>
      </c>
      <c r="C1761" s="13">
        <f>+C1760+1</f>
        <v>3</v>
      </c>
      <c r="D1761" s="22" t="s">
        <v>475</v>
      </c>
      <c r="E1761" s="12" t="s">
        <v>6666</v>
      </c>
      <c r="F1761" s="22" t="s">
        <v>6669</v>
      </c>
      <c r="G1761" s="15" t="s">
        <v>32</v>
      </c>
    </row>
    <row r="1762" spans="1:27" hidden="1" x14ac:dyDescent="0.25">
      <c r="A1762" s="11" t="s">
        <v>6678</v>
      </c>
      <c r="B1762" s="12" t="s">
        <v>6679</v>
      </c>
      <c r="C1762" s="13">
        <f>+C1761+1</f>
        <v>4</v>
      </c>
      <c r="D1762" s="22" t="s">
        <v>475</v>
      </c>
      <c r="E1762" s="12" t="s">
        <v>6680</v>
      </c>
      <c r="F1762" s="22" t="s">
        <v>6683</v>
      </c>
      <c r="G1762" s="15" t="s">
        <v>32</v>
      </c>
    </row>
    <row r="1763" spans="1:27" s="10" customFormat="1" hidden="1" x14ac:dyDescent="0.25">
      <c r="A1763" s="11" t="s">
        <v>6768</v>
      </c>
      <c r="B1763" s="12" t="s">
        <v>6769</v>
      </c>
      <c r="C1763" s="13">
        <v>3</v>
      </c>
      <c r="D1763" s="22" t="s">
        <v>475</v>
      </c>
      <c r="E1763" s="12" t="s">
        <v>6770</v>
      </c>
      <c r="F1763" s="22" t="s">
        <v>6773</v>
      </c>
      <c r="G1763" s="15" t="s">
        <v>32</v>
      </c>
      <c r="H1763" s="8"/>
      <c r="I1763" s="90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  <c r="AA1763" s="8"/>
    </row>
    <row r="1764" spans="1:27" s="10" customFormat="1" ht="12.75" hidden="1" thickBot="1" x14ac:dyDescent="0.25">
      <c r="A1764" s="36" t="s">
        <v>3458</v>
      </c>
      <c r="B1764" s="30" t="s">
        <v>3459</v>
      </c>
      <c r="C1764" s="31">
        <v>9</v>
      </c>
      <c r="D1764" s="30" t="s">
        <v>3472</v>
      </c>
      <c r="E1764" s="67" t="s">
        <v>3460</v>
      </c>
      <c r="F1764" s="67" t="s">
        <v>3473</v>
      </c>
      <c r="G1764" s="68" t="s">
        <v>32</v>
      </c>
      <c r="H1764" s="8"/>
      <c r="I1764" s="90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  <c r="AA1764" s="8"/>
    </row>
    <row r="1765" spans="1:27" s="38" customFormat="1" hidden="1" x14ac:dyDescent="0.2">
      <c r="A1765" s="56" t="s">
        <v>3633</v>
      </c>
      <c r="B1765" s="61" t="s">
        <v>3634</v>
      </c>
      <c r="C1765" s="13">
        <v>9</v>
      </c>
      <c r="D1765" s="61" t="s">
        <v>3472</v>
      </c>
      <c r="E1765" s="74" t="s">
        <v>3635</v>
      </c>
      <c r="F1765" s="74" t="s">
        <v>3644</v>
      </c>
      <c r="G1765" s="129" t="s">
        <v>32</v>
      </c>
      <c r="H1765" s="8"/>
      <c r="I1765" s="90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</row>
    <row r="1766" spans="1:27" s="38" customFormat="1" hidden="1" x14ac:dyDescent="0.2">
      <c r="A1766" s="11" t="s">
        <v>3763</v>
      </c>
      <c r="B1766" s="12" t="s">
        <v>3764</v>
      </c>
      <c r="C1766" s="13">
        <v>8</v>
      </c>
      <c r="D1766" s="12" t="s">
        <v>3472</v>
      </c>
      <c r="E1766" s="12" t="s">
        <v>3765</v>
      </c>
      <c r="F1766" s="65" t="s">
        <v>3773</v>
      </c>
      <c r="G1766" s="66" t="s">
        <v>32</v>
      </c>
      <c r="H1766" s="8"/>
      <c r="I1766" s="90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8"/>
    </row>
    <row r="1767" spans="1:27" s="38" customFormat="1" hidden="1" x14ac:dyDescent="0.2">
      <c r="A1767" s="11" t="s">
        <v>3799</v>
      </c>
      <c r="B1767" s="12" t="s">
        <v>3800</v>
      </c>
      <c r="C1767" s="13">
        <v>8</v>
      </c>
      <c r="D1767" s="12" t="s">
        <v>3472</v>
      </c>
      <c r="E1767" s="12" t="s">
        <v>3801</v>
      </c>
      <c r="F1767" s="65" t="s">
        <v>3809</v>
      </c>
      <c r="G1767" s="66" t="s">
        <v>32</v>
      </c>
      <c r="H1767" s="8"/>
      <c r="I1767" s="90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  <c r="AA1767" s="8"/>
    </row>
    <row r="1768" spans="1:27" s="38" customFormat="1" hidden="1" x14ac:dyDescent="0.2">
      <c r="A1768" s="11" t="s">
        <v>3839</v>
      </c>
      <c r="B1768" s="12" t="s">
        <v>3840</v>
      </c>
      <c r="C1768" s="13">
        <v>9</v>
      </c>
      <c r="D1768" s="12" t="s">
        <v>3472</v>
      </c>
      <c r="E1768" s="12" t="s">
        <v>3841</v>
      </c>
      <c r="F1768" s="65" t="s">
        <v>3851</v>
      </c>
      <c r="G1768" s="66" t="s">
        <v>32</v>
      </c>
      <c r="H1768" s="8"/>
      <c r="I1768" s="90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</row>
    <row r="1769" spans="1:27" s="38" customFormat="1" hidden="1" x14ac:dyDescent="0.2">
      <c r="A1769" s="11" t="s">
        <v>3858</v>
      </c>
      <c r="B1769" s="12" t="s">
        <v>3859</v>
      </c>
      <c r="C1769" s="13">
        <v>8</v>
      </c>
      <c r="D1769" s="12" t="s">
        <v>3472</v>
      </c>
      <c r="E1769" s="12" t="s">
        <v>3860</v>
      </c>
      <c r="F1769" s="65" t="s">
        <v>3868</v>
      </c>
      <c r="G1769" s="66" t="s">
        <v>32</v>
      </c>
      <c r="H1769" s="8"/>
      <c r="I1769" s="90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  <c r="AA1769" s="8"/>
    </row>
    <row r="1770" spans="1:27" s="38" customFormat="1" hidden="1" x14ac:dyDescent="0.2">
      <c r="A1770" s="11" t="s">
        <v>3880</v>
      </c>
      <c r="B1770" s="12" t="s">
        <v>3881</v>
      </c>
      <c r="C1770" s="13">
        <v>10</v>
      </c>
      <c r="D1770" s="12" t="s">
        <v>3472</v>
      </c>
      <c r="E1770" s="12" t="s">
        <v>3882</v>
      </c>
      <c r="F1770" s="12" t="s">
        <v>3894</v>
      </c>
      <c r="G1770" s="66" t="s">
        <v>32</v>
      </c>
      <c r="H1770" s="8"/>
      <c r="I1770" s="90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  <c r="AA1770" s="8"/>
    </row>
    <row r="1771" spans="1:27" hidden="1" x14ac:dyDescent="0.2">
      <c r="A1771" s="11" t="s">
        <v>3914</v>
      </c>
      <c r="B1771" s="12" t="s">
        <v>3915</v>
      </c>
      <c r="C1771" s="13">
        <v>10</v>
      </c>
      <c r="D1771" s="12" t="s">
        <v>3472</v>
      </c>
      <c r="E1771" s="12" t="s">
        <v>3916</v>
      </c>
      <c r="F1771" s="12" t="s">
        <v>3926</v>
      </c>
      <c r="G1771" s="66" t="s">
        <v>32</v>
      </c>
    </row>
    <row r="1772" spans="1:27" hidden="1" x14ac:dyDescent="0.2">
      <c r="A1772" s="11" t="s">
        <v>4013</v>
      </c>
      <c r="B1772" s="12" t="s">
        <v>4014</v>
      </c>
      <c r="C1772" s="13">
        <v>5</v>
      </c>
      <c r="D1772" s="12" t="s">
        <v>3472</v>
      </c>
      <c r="E1772" s="12" t="s">
        <v>4015</v>
      </c>
      <c r="F1772" s="12" t="s">
        <v>4020</v>
      </c>
      <c r="G1772" s="66" t="s">
        <v>32</v>
      </c>
    </row>
    <row r="1773" spans="1:27" hidden="1" x14ac:dyDescent="0.2">
      <c r="A1773" s="11" t="s">
        <v>4087</v>
      </c>
      <c r="B1773" s="12" t="s">
        <v>4088</v>
      </c>
      <c r="C1773" s="13">
        <f>C1772+1</f>
        <v>6</v>
      </c>
      <c r="D1773" s="12" t="s">
        <v>3472</v>
      </c>
      <c r="E1773" s="12" t="s">
        <v>4089</v>
      </c>
      <c r="F1773" s="12" t="s">
        <v>4102</v>
      </c>
      <c r="G1773" s="66" t="s">
        <v>32</v>
      </c>
      <c r="I1773" s="90" t="s">
        <v>2426</v>
      </c>
    </row>
    <row r="1774" spans="1:27" hidden="1" x14ac:dyDescent="0.2">
      <c r="A1774" s="11" t="s">
        <v>4212</v>
      </c>
      <c r="B1774" s="12" t="s">
        <v>4213</v>
      </c>
      <c r="C1774" s="13">
        <f>C1773+1</f>
        <v>7</v>
      </c>
      <c r="D1774" s="12" t="s">
        <v>3472</v>
      </c>
      <c r="E1774" s="12" t="s">
        <v>4214</v>
      </c>
      <c r="F1774" s="12" t="s">
        <v>4225</v>
      </c>
      <c r="G1774" s="66" t="s">
        <v>32</v>
      </c>
      <c r="I1774" s="90" t="s">
        <v>2426</v>
      </c>
    </row>
    <row r="1775" spans="1:27" hidden="1" x14ac:dyDescent="0.25">
      <c r="A1775" s="146" t="s">
        <v>4830</v>
      </c>
      <c r="B1775" s="153" t="s">
        <v>4831</v>
      </c>
      <c r="C1775" s="13">
        <v>7</v>
      </c>
      <c r="D1775" s="12" t="s">
        <v>4840</v>
      </c>
      <c r="E1775" s="12" t="s">
        <v>4832</v>
      </c>
      <c r="F1775" s="8" t="s">
        <v>4841</v>
      </c>
      <c r="G1775" s="80" t="s">
        <v>32</v>
      </c>
    </row>
    <row r="1776" spans="1:27" hidden="1" x14ac:dyDescent="0.2">
      <c r="A1776" s="11" t="s">
        <v>5174</v>
      </c>
      <c r="B1776" s="12" t="s">
        <v>5175</v>
      </c>
      <c r="C1776" s="13">
        <v>2</v>
      </c>
      <c r="D1776" s="42" t="s">
        <v>5178</v>
      </c>
      <c r="E1776" s="12" t="s">
        <v>5176</v>
      </c>
      <c r="F1776" s="75" t="s">
        <v>5179</v>
      </c>
      <c r="G1776" s="15" t="s">
        <v>32</v>
      </c>
    </row>
    <row r="1777" spans="1:27" hidden="1" x14ac:dyDescent="0.25">
      <c r="A1777" s="146" t="s">
        <v>4830</v>
      </c>
      <c r="B1777" s="12" t="s">
        <v>4831</v>
      </c>
      <c r="C1777" s="13">
        <v>6</v>
      </c>
      <c r="D1777" s="12" t="s">
        <v>4838</v>
      </c>
      <c r="E1777" s="12" t="s">
        <v>4832</v>
      </c>
      <c r="F1777" s="8" t="s">
        <v>4839</v>
      </c>
      <c r="G1777" s="80" t="s">
        <v>32</v>
      </c>
    </row>
    <row r="1778" spans="1:27" hidden="1" x14ac:dyDescent="0.25">
      <c r="A1778" s="109" t="s">
        <v>729</v>
      </c>
      <c r="B1778" s="12" t="s">
        <v>730</v>
      </c>
      <c r="C1778" s="13">
        <v>4</v>
      </c>
      <c r="D1778" s="22" t="s">
        <v>735</v>
      </c>
      <c r="E1778" s="12" t="s">
        <v>731</v>
      </c>
      <c r="F1778" s="22" t="s">
        <v>736</v>
      </c>
      <c r="G1778" s="15" t="s">
        <v>678</v>
      </c>
      <c r="I1778" s="102" t="s">
        <v>59</v>
      </c>
    </row>
    <row r="1779" spans="1:27" hidden="1" x14ac:dyDescent="0.2">
      <c r="A1779" s="11" t="s">
        <v>1242</v>
      </c>
      <c r="B1779" s="12" t="s">
        <v>1243</v>
      </c>
      <c r="C1779" s="13">
        <v>3</v>
      </c>
      <c r="D1779" s="37" t="s">
        <v>735</v>
      </c>
      <c r="E1779" s="12" t="s">
        <v>1244</v>
      </c>
      <c r="F1779" s="22" t="s">
        <v>1248</v>
      </c>
      <c r="G1779" s="15" t="s">
        <v>32</v>
      </c>
    </row>
    <row r="1780" spans="1:27" hidden="1" x14ac:dyDescent="0.25">
      <c r="A1780" s="11" t="s">
        <v>1260</v>
      </c>
      <c r="B1780" s="12" t="s">
        <v>1261</v>
      </c>
      <c r="C1780" s="13">
        <v>3</v>
      </c>
      <c r="D1780" s="22" t="s">
        <v>735</v>
      </c>
      <c r="E1780" s="12" t="s">
        <v>1262</v>
      </c>
      <c r="F1780" s="22" t="s">
        <v>1265</v>
      </c>
      <c r="G1780" s="15" t="s">
        <v>32</v>
      </c>
    </row>
    <row r="1781" spans="1:27" hidden="1" x14ac:dyDescent="0.25">
      <c r="A1781" s="11" t="s">
        <v>1383</v>
      </c>
      <c r="B1781" s="12" t="s">
        <v>1384</v>
      </c>
      <c r="C1781" s="13">
        <v>3</v>
      </c>
      <c r="D1781" s="22" t="s">
        <v>735</v>
      </c>
      <c r="E1781" s="12" t="s">
        <v>1385</v>
      </c>
      <c r="F1781" s="22" t="s">
        <v>1388</v>
      </c>
      <c r="G1781" s="15" t="s">
        <v>32</v>
      </c>
    </row>
    <row r="1782" spans="1:27" ht="12.75" hidden="1" thickBot="1" x14ac:dyDescent="0.3">
      <c r="A1782" s="36" t="s">
        <v>1454</v>
      </c>
      <c r="B1782" s="30" t="s">
        <v>1455</v>
      </c>
      <c r="C1782" s="31">
        <v>4</v>
      </c>
      <c r="D1782" s="4" t="s">
        <v>735</v>
      </c>
      <c r="E1782" s="30" t="s">
        <v>1456</v>
      </c>
      <c r="F1782" s="4" t="s">
        <v>1460</v>
      </c>
      <c r="G1782" s="33" t="s">
        <v>32</v>
      </c>
    </row>
    <row r="1783" spans="1:27" hidden="1" x14ac:dyDescent="0.25">
      <c r="A1783" s="56" t="s">
        <v>1534</v>
      </c>
      <c r="B1783" s="61" t="s">
        <v>1535</v>
      </c>
      <c r="C1783" s="58">
        <v>3</v>
      </c>
      <c r="D1783" s="49" t="s">
        <v>735</v>
      </c>
      <c r="E1783" s="61" t="s">
        <v>1537</v>
      </c>
      <c r="F1783" s="17" t="s">
        <v>1540</v>
      </c>
      <c r="G1783" s="62" t="s">
        <v>32</v>
      </c>
    </row>
    <row r="1784" spans="1:27" ht="15" hidden="1" x14ac:dyDescent="0.25">
      <c r="A1784" s="21" t="s">
        <v>1922</v>
      </c>
      <c r="B1784" s="22" t="s">
        <v>1923</v>
      </c>
      <c r="C1784" s="23">
        <v>3</v>
      </c>
      <c r="D1784" s="223" t="s">
        <v>735</v>
      </c>
      <c r="E1784" s="22" t="s">
        <v>1924</v>
      </c>
      <c r="F1784" s="22" t="s">
        <v>1927</v>
      </c>
      <c r="G1784" s="26" t="s">
        <v>32</v>
      </c>
      <c r="H1784" s="38"/>
      <c r="I1784" s="39">
        <v>15</v>
      </c>
      <c r="J1784" s="52"/>
      <c r="K1784" s="38"/>
      <c r="L1784" s="38"/>
      <c r="M1784" s="38"/>
      <c r="N1784" s="38"/>
      <c r="O1784" s="38"/>
      <c r="P1784" s="38"/>
      <c r="Q1784" s="38"/>
      <c r="R1784" s="38"/>
      <c r="S1784" s="38"/>
      <c r="T1784" s="38"/>
      <c r="U1784" s="38"/>
      <c r="V1784" s="38"/>
      <c r="W1784" s="38"/>
      <c r="X1784" s="38"/>
      <c r="Y1784" s="38"/>
      <c r="Z1784" s="38"/>
      <c r="AA1784" s="38"/>
    </row>
    <row r="1785" spans="1:27" hidden="1" x14ac:dyDescent="0.2">
      <c r="A1785" s="11" t="s">
        <v>2024</v>
      </c>
      <c r="B1785" s="12" t="s">
        <v>2025</v>
      </c>
      <c r="C1785" s="13">
        <v>13</v>
      </c>
      <c r="D1785" s="27" t="s">
        <v>2046</v>
      </c>
      <c r="E1785" s="12" t="s">
        <v>2026</v>
      </c>
      <c r="F1785" s="12" t="s">
        <v>2047</v>
      </c>
      <c r="G1785" s="15" t="s">
        <v>103</v>
      </c>
    </row>
    <row r="1786" spans="1:27" hidden="1" x14ac:dyDescent="0.2">
      <c r="A1786" s="11" t="s">
        <v>2429</v>
      </c>
      <c r="B1786" s="12" t="s">
        <v>2430</v>
      </c>
      <c r="C1786" s="13">
        <v>3</v>
      </c>
      <c r="D1786" s="24" t="s">
        <v>735</v>
      </c>
      <c r="E1786" s="8" t="s">
        <v>2431</v>
      </c>
      <c r="F1786" s="22" t="s">
        <v>2434</v>
      </c>
      <c r="G1786" s="15" t="s">
        <v>32</v>
      </c>
    </row>
    <row r="1787" spans="1:27" hidden="1" x14ac:dyDescent="0.2">
      <c r="A1787" s="11" t="s">
        <v>3034</v>
      </c>
      <c r="B1787" s="12" t="s">
        <v>3035</v>
      </c>
      <c r="C1787" s="13">
        <f>+C1786+1</f>
        <v>4</v>
      </c>
      <c r="D1787" s="27" t="s">
        <v>2004</v>
      </c>
      <c r="E1787" s="12" t="s">
        <v>3036</v>
      </c>
      <c r="F1787" s="65" t="s">
        <v>3107</v>
      </c>
      <c r="G1787" s="66" t="s">
        <v>32</v>
      </c>
    </row>
    <row r="1788" spans="1:27" hidden="1" x14ac:dyDescent="0.2">
      <c r="A1788" s="11" t="s">
        <v>3120</v>
      </c>
      <c r="B1788" s="12" t="s">
        <v>3121</v>
      </c>
      <c r="C1788" s="13">
        <f>+C1787+1</f>
        <v>5</v>
      </c>
      <c r="D1788" s="24" t="s">
        <v>735</v>
      </c>
      <c r="E1788" s="12" t="s">
        <v>3122</v>
      </c>
      <c r="F1788" s="75" t="s">
        <v>3125</v>
      </c>
      <c r="G1788" s="66" t="s">
        <v>32</v>
      </c>
    </row>
    <row r="1789" spans="1:27" ht="12.75" hidden="1" thickBot="1" x14ac:dyDescent="0.25">
      <c r="A1789" s="36" t="s">
        <v>3956</v>
      </c>
      <c r="B1789" s="30" t="s">
        <v>3957</v>
      </c>
      <c r="C1789" s="31">
        <v>3</v>
      </c>
      <c r="D1789" s="207" t="s">
        <v>735</v>
      </c>
      <c r="E1789" s="30" t="s">
        <v>3958</v>
      </c>
      <c r="F1789" s="4" t="s">
        <v>3961</v>
      </c>
      <c r="G1789" s="68" t="s">
        <v>32</v>
      </c>
    </row>
    <row r="1790" spans="1:27" hidden="1" x14ac:dyDescent="0.2">
      <c r="A1790" s="146" t="s">
        <v>4771</v>
      </c>
      <c r="B1790" s="12" t="s">
        <v>4772</v>
      </c>
      <c r="C1790" s="13">
        <v>3</v>
      </c>
      <c r="D1790" s="22" t="s">
        <v>735</v>
      </c>
      <c r="E1790" s="89" t="s">
        <v>4773</v>
      </c>
      <c r="F1790" s="22" t="s">
        <v>4776</v>
      </c>
      <c r="G1790" s="129" t="s">
        <v>32</v>
      </c>
    </row>
    <row r="1791" spans="1:27" hidden="1" x14ac:dyDescent="0.2">
      <c r="A1791" s="46" t="s">
        <v>5244</v>
      </c>
      <c r="B1791" s="12" t="s">
        <v>5245</v>
      </c>
      <c r="C1791" s="13">
        <v>6</v>
      </c>
      <c r="D1791" s="12" t="s">
        <v>735</v>
      </c>
      <c r="E1791" s="28" t="s">
        <v>5246</v>
      </c>
      <c r="F1791" s="65" t="s">
        <v>5252</v>
      </c>
      <c r="G1791" s="15" t="s">
        <v>32</v>
      </c>
    </row>
    <row r="1792" spans="1:27" hidden="1" x14ac:dyDescent="0.25">
      <c r="A1792" s="46" t="s">
        <v>5645</v>
      </c>
      <c r="B1792" s="12" t="s">
        <v>5646</v>
      </c>
      <c r="C1792" s="13">
        <v>4</v>
      </c>
      <c r="D1792" s="22" t="s">
        <v>735</v>
      </c>
      <c r="E1792" s="28" t="s">
        <v>5647</v>
      </c>
      <c r="F1792" s="22" t="s">
        <v>5651</v>
      </c>
      <c r="G1792" s="15" t="s">
        <v>32</v>
      </c>
    </row>
    <row r="1793" spans="1:27" hidden="1" x14ac:dyDescent="0.25">
      <c r="A1793" s="46" t="s">
        <v>5957</v>
      </c>
      <c r="B1793" s="12" t="s">
        <v>5958</v>
      </c>
      <c r="C1793" s="13">
        <v>4</v>
      </c>
      <c r="D1793" s="22" t="s">
        <v>735</v>
      </c>
      <c r="E1793" s="28" t="s">
        <v>5959</v>
      </c>
      <c r="F1793" s="22" t="s">
        <v>5963</v>
      </c>
      <c r="G1793" s="15" t="s">
        <v>32</v>
      </c>
      <c r="I1793" s="9">
        <v>15</v>
      </c>
    </row>
    <row r="1794" spans="1:27" hidden="1" x14ac:dyDescent="0.25">
      <c r="A1794" s="46" t="s">
        <v>6176</v>
      </c>
      <c r="B1794" s="12" t="s">
        <v>6177</v>
      </c>
      <c r="C1794" s="13">
        <f>C1793+1</f>
        <v>5</v>
      </c>
      <c r="D1794" s="12" t="s">
        <v>735</v>
      </c>
      <c r="E1794" s="28" t="s">
        <v>6178</v>
      </c>
      <c r="F1794" s="12" t="s">
        <v>6181</v>
      </c>
      <c r="G1794" s="15" t="s">
        <v>32</v>
      </c>
      <c r="I1794" s="99" t="s">
        <v>1183</v>
      </c>
    </row>
    <row r="1795" spans="1:27" hidden="1" x14ac:dyDescent="0.25">
      <c r="A1795" s="46" t="s">
        <v>6189</v>
      </c>
      <c r="B1795" s="12" t="s">
        <v>6190</v>
      </c>
      <c r="C1795" s="13">
        <f>C1794+1</f>
        <v>6</v>
      </c>
      <c r="D1795" s="12" t="s">
        <v>735</v>
      </c>
      <c r="E1795" s="28" t="s">
        <v>6191</v>
      </c>
      <c r="F1795" s="12" t="s">
        <v>6194</v>
      </c>
      <c r="G1795" s="15" t="s">
        <v>32</v>
      </c>
      <c r="I1795" s="99" t="s">
        <v>1183</v>
      </c>
    </row>
    <row r="1796" spans="1:27" hidden="1" x14ac:dyDescent="0.25">
      <c r="A1796" s="97" t="s">
        <v>6252</v>
      </c>
      <c r="B1796" s="82" t="s">
        <v>6253</v>
      </c>
      <c r="C1796" s="83">
        <f>C1795+1</f>
        <v>7</v>
      </c>
      <c r="D1796" s="82" t="s">
        <v>735</v>
      </c>
      <c r="E1796" s="86" t="s">
        <v>6254</v>
      </c>
      <c r="F1796" s="82" t="s">
        <v>6267</v>
      </c>
      <c r="G1796" s="84" t="s">
        <v>32</v>
      </c>
      <c r="I1796" s="79" t="s">
        <v>6268</v>
      </c>
    </row>
    <row r="1797" spans="1:27" hidden="1" x14ac:dyDescent="0.25">
      <c r="A1797" s="46" t="s">
        <v>6357</v>
      </c>
      <c r="B1797" s="12" t="s">
        <v>6358</v>
      </c>
      <c r="C1797" s="13">
        <v>4</v>
      </c>
      <c r="D1797" s="12" t="s">
        <v>735</v>
      </c>
      <c r="E1797" s="28" t="s">
        <v>6359</v>
      </c>
      <c r="F1797" s="12" t="s">
        <v>6364</v>
      </c>
      <c r="G1797" s="15" t="s">
        <v>2807</v>
      </c>
      <c r="I1797" s="99">
        <v>13</v>
      </c>
    </row>
    <row r="1798" spans="1:27" hidden="1" x14ac:dyDescent="0.25">
      <c r="A1798" s="46" t="s">
        <v>6371</v>
      </c>
      <c r="B1798" s="12" t="s">
        <v>6372</v>
      </c>
      <c r="C1798" s="13">
        <v>5</v>
      </c>
      <c r="D1798" s="12" t="s">
        <v>735</v>
      </c>
      <c r="E1798" s="28" t="s">
        <v>6373</v>
      </c>
      <c r="F1798" s="12" t="s">
        <v>6379</v>
      </c>
      <c r="G1798" s="15" t="s">
        <v>2807</v>
      </c>
      <c r="I1798" s="99">
        <v>13</v>
      </c>
    </row>
    <row r="1799" spans="1:27" hidden="1" x14ac:dyDescent="0.25">
      <c r="A1799" s="46" t="s">
        <v>6434</v>
      </c>
      <c r="B1799" s="12" t="s">
        <v>6435</v>
      </c>
      <c r="C1799" s="13">
        <v>3</v>
      </c>
      <c r="D1799" s="22" t="s">
        <v>735</v>
      </c>
      <c r="E1799" s="28" t="s">
        <v>6436</v>
      </c>
      <c r="F1799" s="22" t="s">
        <v>6439</v>
      </c>
      <c r="G1799" s="15" t="s">
        <v>848</v>
      </c>
      <c r="I1799" s="101" t="s">
        <v>5818</v>
      </c>
    </row>
    <row r="1800" spans="1:27" hidden="1" x14ac:dyDescent="0.2">
      <c r="A1800" s="46" t="s">
        <v>6614</v>
      </c>
      <c r="B1800" s="12" t="s">
        <v>6615</v>
      </c>
      <c r="C1800" s="13">
        <v>7</v>
      </c>
      <c r="D1800" s="14" t="s">
        <v>735</v>
      </c>
      <c r="E1800" s="28" t="s">
        <v>6616</v>
      </c>
      <c r="F1800" s="12" t="s">
        <v>6623</v>
      </c>
      <c r="G1800" s="15" t="s">
        <v>32</v>
      </c>
    </row>
    <row r="1801" spans="1:27" hidden="1" x14ac:dyDescent="0.25">
      <c r="A1801" s="97" t="s">
        <v>6768</v>
      </c>
      <c r="B1801" s="82" t="s">
        <v>6769</v>
      </c>
      <c r="C1801" s="83">
        <v>12</v>
      </c>
      <c r="D1801" s="82" t="s">
        <v>735</v>
      </c>
      <c r="E1801" s="86" t="s">
        <v>6770</v>
      </c>
      <c r="F1801" s="82" t="s">
        <v>6782</v>
      </c>
      <c r="G1801" s="84" t="s">
        <v>32</v>
      </c>
      <c r="H1801" s="87"/>
      <c r="I1801" s="54">
        <v>15</v>
      </c>
      <c r="J1801" s="87"/>
      <c r="K1801" s="87"/>
      <c r="L1801" s="87"/>
      <c r="M1801" s="87"/>
      <c r="N1801" s="87"/>
      <c r="O1801" s="87"/>
      <c r="P1801" s="87"/>
      <c r="Q1801" s="87"/>
      <c r="R1801" s="87"/>
      <c r="S1801" s="87"/>
      <c r="T1801" s="87"/>
      <c r="U1801" s="87"/>
      <c r="V1801" s="87"/>
      <c r="W1801" s="87"/>
      <c r="X1801" s="87"/>
      <c r="Y1801" s="87"/>
      <c r="Z1801" s="87"/>
      <c r="AA1801" s="87"/>
    </row>
    <row r="1802" spans="1:27" hidden="1" x14ac:dyDescent="0.2">
      <c r="A1802" s="46" t="s">
        <v>362</v>
      </c>
      <c r="B1802" s="12" t="s">
        <v>363</v>
      </c>
      <c r="C1802" s="13">
        <v>31</v>
      </c>
      <c r="D1802" s="14" t="s">
        <v>421</v>
      </c>
      <c r="E1802" s="28" t="s">
        <v>364</v>
      </c>
      <c r="F1802" s="12" t="s">
        <v>422</v>
      </c>
      <c r="G1802" s="15" t="s">
        <v>32</v>
      </c>
    </row>
    <row r="1803" spans="1:27" ht="12.75" hidden="1" thickBot="1" x14ac:dyDescent="0.25">
      <c r="A1803" s="44" t="s">
        <v>2631</v>
      </c>
      <c r="B1803" s="30" t="s">
        <v>2632</v>
      </c>
      <c r="C1803" s="31">
        <f>C1802+1</f>
        <v>32</v>
      </c>
      <c r="D1803" s="69" t="s">
        <v>2821</v>
      </c>
      <c r="E1803" s="28" t="s">
        <v>2634</v>
      </c>
      <c r="F1803" s="67" t="s">
        <v>2822</v>
      </c>
      <c r="G1803" s="66" t="s">
        <v>1239</v>
      </c>
      <c r="I1803" s="99">
        <v>13</v>
      </c>
    </row>
    <row r="1804" spans="1:27" hidden="1" x14ac:dyDescent="0.2">
      <c r="A1804" s="139" t="s">
        <v>3165</v>
      </c>
      <c r="B1804" s="61" t="s">
        <v>3166</v>
      </c>
      <c r="C1804" s="58">
        <f>C1803+1</f>
        <v>33</v>
      </c>
      <c r="D1804" s="61" t="s">
        <v>2821</v>
      </c>
      <c r="E1804" s="89" t="s">
        <v>3167</v>
      </c>
      <c r="F1804" s="61" t="s">
        <v>3323</v>
      </c>
      <c r="G1804" s="129" t="s">
        <v>1239</v>
      </c>
      <c r="I1804" s="99">
        <v>13</v>
      </c>
    </row>
    <row r="1805" spans="1:27" hidden="1" x14ac:dyDescent="0.2">
      <c r="A1805" s="46" t="s">
        <v>3458</v>
      </c>
      <c r="B1805" s="12" t="s">
        <v>3459</v>
      </c>
      <c r="C1805" s="13">
        <f>C1804+1</f>
        <v>34</v>
      </c>
      <c r="D1805" s="12" t="s">
        <v>2821</v>
      </c>
      <c r="E1805" s="138" t="s">
        <v>3460</v>
      </c>
      <c r="F1805" s="65" t="s">
        <v>3605</v>
      </c>
      <c r="G1805" s="66" t="s">
        <v>1239</v>
      </c>
      <c r="I1805" s="99">
        <v>13</v>
      </c>
    </row>
    <row r="1806" spans="1:27" hidden="1" x14ac:dyDescent="0.2">
      <c r="A1806" s="46" t="s">
        <v>3633</v>
      </c>
      <c r="B1806" s="12" t="s">
        <v>3634</v>
      </c>
      <c r="C1806" s="13">
        <v>72</v>
      </c>
      <c r="D1806" s="12" t="s">
        <v>2821</v>
      </c>
      <c r="E1806" s="138" t="s">
        <v>3635</v>
      </c>
      <c r="F1806" s="65" t="s">
        <v>3725</v>
      </c>
      <c r="G1806" s="66" t="s">
        <v>1239</v>
      </c>
      <c r="I1806" s="99">
        <v>13</v>
      </c>
    </row>
    <row r="1807" spans="1:27" hidden="1" x14ac:dyDescent="0.25">
      <c r="A1807" s="46" t="s">
        <v>4087</v>
      </c>
      <c r="B1807" s="12" t="s">
        <v>4088</v>
      </c>
      <c r="C1807" s="13">
        <f>C1806+1</f>
        <v>73</v>
      </c>
      <c r="D1807" s="12" t="s">
        <v>2821</v>
      </c>
      <c r="E1807" s="28" t="s">
        <v>4089</v>
      </c>
      <c r="F1807" s="12" t="s">
        <v>4197</v>
      </c>
      <c r="G1807" s="15" t="s">
        <v>1239</v>
      </c>
      <c r="I1807" s="99">
        <v>13</v>
      </c>
    </row>
    <row r="1808" spans="1:27" hidden="1" x14ac:dyDescent="0.25">
      <c r="A1808" s="46" t="s">
        <v>4212</v>
      </c>
      <c r="B1808" s="12" t="s">
        <v>4213</v>
      </c>
      <c r="C1808" s="13">
        <f>C1807+1</f>
        <v>74</v>
      </c>
      <c r="D1808" s="12" t="s">
        <v>2821</v>
      </c>
      <c r="E1808" s="28" t="s">
        <v>4214</v>
      </c>
      <c r="F1808" s="12" t="s">
        <v>4305</v>
      </c>
      <c r="G1808" s="15" t="s">
        <v>1239</v>
      </c>
      <c r="I1808" s="99">
        <v>13</v>
      </c>
    </row>
    <row r="1809" spans="1:9" hidden="1" x14ac:dyDescent="0.2">
      <c r="A1809" s="46" t="s">
        <v>362</v>
      </c>
      <c r="B1809" s="12" t="s">
        <v>363</v>
      </c>
      <c r="C1809" s="13">
        <v>32</v>
      </c>
      <c r="D1809" s="14" t="s">
        <v>423</v>
      </c>
      <c r="E1809" s="28" t="s">
        <v>364</v>
      </c>
      <c r="F1809" s="12" t="s">
        <v>424</v>
      </c>
      <c r="G1809" s="15" t="s">
        <v>32</v>
      </c>
    </row>
    <row r="1810" spans="1:9" hidden="1" x14ac:dyDescent="0.2">
      <c r="A1810" s="46" t="s">
        <v>5214</v>
      </c>
      <c r="B1810" s="12" t="s">
        <v>5215</v>
      </c>
      <c r="C1810" s="13">
        <v>2</v>
      </c>
      <c r="D1810" s="42" t="s">
        <v>5218</v>
      </c>
      <c r="E1810" s="28" t="s">
        <v>5216</v>
      </c>
      <c r="F1810" s="75" t="s">
        <v>5219</v>
      </c>
      <c r="G1810" s="15" t="s">
        <v>32</v>
      </c>
    </row>
    <row r="1811" spans="1:9" hidden="1" x14ac:dyDescent="0.2">
      <c r="A1811" s="46" t="s">
        <v>5226</v>
      </c>
      <c r="B1811" s="12" t="s">
        <v>5227</v>
      </c>
      <c r="C1811" s="13">
        <v>2</v>
      </c>
      <c r="D1811" s="42" t="s">
        <v>5218</v>
      </c>
      <c r="E1811" s="28" t="s">
        <v>5228</v>
      </c>
      <c r="F1811" s="75" t="s">
        <v>5230</v>
      </c>
      <c r="G1811" s="15" t="s">
        <v>32</v>
      </c>
    </row>
    <row r="1812" spans="1:9" hidden="1" x14ac:dyDescent="0.2">
      <c r="A1812" s="46" t="s">
        <v>5290</v>
      </c>
      <c r="B1812" s="12" t="s">
        <v>5291</v>
      </c>
      <c r="C1812" s="13">
        <v>2</v>
      </c>
      <c r="D1812" s="22" t="s">
        <v>5294</v>
      </c>
      <c r="E1812" s="28" t="s">
        <v>5292</v>
      </c>
      <c r="F1812" s="75" t="s">
        <v>5295</v>
      </c>
      <c r="G1812" s="15" t="s">
        <v>32</v>
      </c>
    </row>
    <row r="1813" spans="1:9" hidden="1" x14ac:dyDescent="0.25">
      <c r="A1813" s="46" t="s">
        <v>5645</v>
      </c>
      <c r="B1813" s="12" t="s">
        <v>5646</v>
      </c>
      <c r="C1813" s="13">
        <v>5</v>
      </c>
      <c r="D1813" s="22" t="s">
        <v>5652</v>
      </c>
      <c r="E1813" s="28" t="s">
        <v>5647</v>
      </c>
      <c r="F1813" s="22" t="s">
        <v>5653</v>
      </c>
      <c r="G1813" s="15" t="s">
        <v>32</v>
      </c>
      <c r="I1813" s="94">
        <v>14</v>
      </c>
    </row>
    <row r="1814" spans="1:9" hidden="1" x14ac:dyDescent="0.25">
      <c r="A1814" s="46" t="s">
        <v>5676</v>
      </c>
      <c r="B1814" s="12" t="s">
        <v>5677</v>
      </c>
      <c r="C1814" s="13">
        <v>2</v>
      </c>
      <c r="D1814" s="22" t="s">
        <v>5652</v>
      </c>
      <c r="E1814" s="28" t="s">
        <v>5678</v>
      </c>
      <c r="F1814" s="22" t="s">
        <v>5680</v>
      </c>
      <c r="G1814" s="15" t="s">
        <v>32</v>
      </c>
    </row>
    <row r="1815" spans="1:9" hidden="1" x14ac:dyDescent="0.25">
      <c r="A1815" s="46" t="s">
        <v>5957</v>
      </c>
      <c r="B1815" s="12" t="s">
        <v>5958</v>
      </c>
      <c r="C1815" s="13">
        <v>5</v>
      </c>
      <c r="D1815" s="22" t="s">
        <v>5652</v>
      </c>
      <c r="E1815" s="28" t="s">
        <v>5959</v>
      </c>
      <c r="F1815" s="22" t="s">
        <v>5964</v>
      </c>
      <c r="G1815" s="15" t="s">
        <v>32</v>
      </c>
      <c r="I1815" s="9">
        <v>15</v>
      </c>
    </row>
    <row r="1816" spans="1:9" hidden="1" x14ac:dyDescent="0.25">
      <c r="A1816" s="46" t="s">
        <v>6050</v>
      </c>
      <c r="B1816" s="12" t="s">
        <v>6051</v>
      </c>
      <c r="C1816" s="13">
        <v>6</v>
      </c>
      <c r="D1816" s="12" t="s">
        <v>6059</v>
      </c>
      <c r="E1816" s="28" t="s">
        <v>6052</v>
      </c>
      <c r="F1816" s="12" t="s">
        <v>6060</v>
      </c>
      <c r="G1816" s="15" t="s">
        <v>32</v>
      </c>
    </row>
    <row r="1817" spans="1:9" hidden="1" x14ac:dyDescent="0.25">
      <c r="A1817" s="46" t="s">
        <v>6442</v>
      </c>
      <c r="B1817" s="12" t="s">
        <v>6443</v>
      </c>
      <c r="C1817" s="13">
        <v>6</v>
      </c>
      <c r="D1817" s="12" t="s">
        <v>6059</v>
      </c>
      <c r="E1817" s="28" t="s">
        <v>6444</v>
      </c>
      <c r="F1817" s="12" t="s">
        <v>6450</v>
      </c>
      <c r="G1817" s="15" t="s">
        <v>32</v>
      </c>
      <c r="I1817" s="9">
        <v>15</v>
      </c>
    </row>
    <row r="1818" spans="1:9" hidden="1" x14ac:dyDescent="0.25">
      <c r="A1818" s="46" t="s">
        <v>6688</v>
      </c>
      <c r="B1818" s="12" t="s">
        <v>6689</v>
      </c>
      <c r="C1818" s="13">
        <v>4</v>
      </c>
      <c r="D1818" s="22" t="s">
        <v>6695</v>
      </c>
      <c r="E1818" s="28" t="s">
        <v>6690</v>
      </c>
      <c r="F1818" s="22" t="s">
        <v>6696</v>
      </c>
      <c r="G1818" s="15" t="s">
        <v>32</v>
      </c>
    </row>
    <row r="1819" spans="1:9" ht="12.75" hidden="1" thickBot="1" x14ac:dyDescent="0.25">
      <c r="A1819" s="44" t="s">
        <v>3458</v>
      </c>
      <c r="B1819" s="30" t="s">
        <v>3459</v>
      </c>
      <c r="C1819" s="31">
        <v>40</v>
      </c>
      <c r="D1819" s="30" t="s">
        <v>3532</v>
      </c>
      <c r="E1819" s="140" t="s">
        <v>3460</v>
      </c>
      <c r="F1819" s="67" t="s">
        <v>3533</v>
      </c>
      <c r="G1819" s="68" t="s">
        <v>13</v>
      </c>
    </row>
    <row r="1820" spans="1:9" hidden="1" x14ac:dyDescent="0.2">
      <c r="A1820" s="56" t="s">
        <v>4087</v>
      </c>
      <c r="B1820" s="61" t="s">
        <v>4088</v>
      </c>
      <c r="C1820" s="58">
        <f>C1819+1</f>
        <v>41</v>
      </c>
      <c r="D1820" s="61" t="s">
        <v>3532</v>
      </c>
      <c r="E1820" s="61" t="s">
        <v>4089</v>
      </c>
      <c r="F1820" s="61" t="s">
        <v>4129</v>
      </c>
      <c r="G1820" s="129" t="s">
        <v>13</v>
      </c>
      <c r="I1820" s="90" t="s">
        <v>2426</v>
      </c>
    </row>
    <row r="1821" spans="1:9" hidden="1" x14ac:dyDescent="0.2">
      <c r="A1821" s="11" t="s">
        <v>4212</v>
      </c>
      <c r="B1821" s="12" t="s">
        <v>4213</v>
      </c>
      <c r="C1821" s="13">
        <f>C1820+1</f>
        <v>42</v>
      </c>
      <c r="D1821" s="12" t="s">
        <v>4240</v>
      </c>
      <c r="E1821" s="12" t="s">
        <v>4214</v>
      </c>
      <c r="F1821" s="12" t="s">
        <v>4241</v>
      </c>
      <c r="G1821" s="66" t="s">
        <v>13</v>
      </c>
      <c r="I1821" s="90" t="s">
        <v>2426</v>
      </c>
    </row>
    <row r="1822" spans="1:9" hidden="1" x14ac:dyDescent="0.2">
      <c r="A1822" s="11" t="s">
        <v>3458</v>
      </c>
      <c r="B1822" s="12" t="s">
        <v>3459</v>
      </c>
      <c r="C1822" s="13">
        <v>23</v>
      </c>
      <c r="D1822" s="12" t="s">
        <v>3498</v>
      </c>
      <c r="E1822" s="65" t="s">
        <v>3460</v>
      </c>
      <c r="F1822" s="65" t="s">
        <v>3499</v>
      </c>
      <c r="G1822" s="66" t="s">
        <v>13</v>
      </c>
    </row>
    <row r="1823" spans="1:9" hidden="1" x14ac:dyDescent="0.2">
      <c r="A1823" s="11" t="s">
        <v>4087</v>
      </c>
      <c r="B1823" s="12" t="s">
        <v>4088</v>
      </c>
      <c r="C1823" s="13">
        <f>C1822+1</f>
        <v>24</v>
      </c>
      <c r="D1823" s="12" t="s">
        <v>3498</v>
      </c>
      <c r="E1823" s="12" t="s">
        <v>4089</v>
      </c>
      <c r="F1823" s="12" t="s">
        <v>4116</v>
      </c>
      <c r="G1823" s="66" t="s">
        <v>13</v>
      </c>
      <c r="I1823" s="90" t="s">
        <v>2426</v>
      </c>
    </row>
    <row r="1824" spans="1:9" hidden="1" x14ac:dyDescent="0.2">
      <c r="A1824" s="11" t="s">
        <v>3633</v>
      </c>
      <c r="B1824" s="12" t="s">
        <v>3634</v>
      </c>
      <c r="C1824" s="13">
        <v>41</v>
      </c>
      <c r="D1824" s="12" t="s">
        <v>3684</v>
      </c>
      <c r="E1824" s="65" t="s">
        <v>3635</v>
      </c>
      <c r="F1824" s="65" t="s">
        <v>3685</v>
      </c>
      <c r="G1824" s="66" t="s">
        <v>13</v>
      </c>
    </row>
    <row r="1825" spans="1:9" hidden="1" x14ac:dyDescent="0.2">
      <c r="A1825" s="11" t="s">
        <v>4212</v>
      </c>
      <c r="B1825" s="12" t="s">
        <v>4213</v>
      </c>
      <c r="C1825" s="13">
        <f>C1824+1</f>
        <v>42</v>
      </c>
      <c r="D1825" s="12" t="s">
        <v>3684</v>
      </c>
      <c r="E1825" s="12" t="s">
        <v>4214</v>
      </c>
      <c r="F1825" s="12" t="s">
        <v>4254</v>
      </c>
      <c r="G1825" s="66" t="s">
        <v>13</v>
      </c>
      <c r="I1825" s="90" t="s">
        <v>2426</v>
      </c>
    </row>
    <row r="1826" spans="1:9" hidden="1" x14ac:dyDescent="0.25">
      <c r="A1826" s="11" t="s">
        <v>5686</v>
      </c>
      <c r="B1826" s="12" t="s">
        <v>5687</v>
      </c>
      <c r="C1826" s="13">
        <f>C1825+1</f>
        <v>43</v>
      </c>
      <c r="D1826" s="12" t="s">
        <v>5699</v>
      </c>
      <c r="E1826" s="12" t="s">
        <v>5688</v>
      </c>
      <c r="F1826" s="12" t="s">
        <v>5700</v>
      </c>
      <c r="G1826" s="15" t="s">
        <v>42</v>
      </c>
      <c r="I1826" s="90">
        <v>12</v>
      </c>
    </row>
    <row r="1827" spans="1:9" hidden="1" x14ac:dyDescent="0.25">
      <c r="A1827" s="11" t="s">
        <v>5686</v>
      </c>
      <c r="B1827" s="12" t="s">
        <v>5687</v>
      </c>
      <c r="C1827" s="13">
        <f>C1826+1</f>
        <v>44</v>
      </c>
      <c r="D1827" s="12" t="s">
        <v>5729</v>
      </c>
      <c r="E1827" s="12" t="s">
        <v>5688</v>
      </c>
      <c r="F1827" s="12" t="s">
        <v>5730</v>
      </c>
      <c r="G1827" s="15" t="s">
        <v>42</v>
      </c>
      <c r="I1827" s="90">
        <v>12</v>
      </c>
    </row>
    <row r="1828" spans="1:9" hidden="1" x14ac:dyDescent="0.25">
      <c r="A1828" s="11" t="s">
        <v>2130</v>
      </c>
      <c r="B1828" s="8" t="s">
        <v>2131</v>
      </c>
      <c r="C1828" s="13">
        <v>18</v>
      </c>
      <c r="D1828" s="12" t="s">
        <v>2163</v>
      </c>
      <c r="E1828" s="12" t="s">
        <v>2132</v>
      </c>
      <c r="F1828" s="12" t="s">
        <v>2164</v>
      </c>
      <c r="G1828" s="15" t="s">
        <v>13</v>
      </c>
    </row>
    <row r="1829" spans="1:9" hidden="1" x14ac:dyDescent="0.2">
      <c r="A1829" s="11" t="s">
        <v>2024</v>
      </c>
      <c r="B1829" s="12" t="s">
        <v>2025</v>
      </c>
      <c r="C1829" s="13">
        <v>14</v>
      </c>
      <c r="D1829" s="14" t="s">
        <v>2048</v>
      </c>
      <c r="E1829" s="12" t="s">
        <v>2026</v>
      </c>
      <c r="F1829" s="12" t="s">
        <v>2049</v>
      </c>
      <c r="G1829" s="15" t="s">
        <v>156</v>
      </c>
    </row>
    <row r="1830" spans="1:9" hidden="1" x14ac:dyDescent="0.2">
      <c r="A1830" s="11" t="s">
        <v>2867</v>
      </c>
      <c r="B1830" s="12" t="s">
        <v>2868</v>
      </c>
      <c r="C1830" s="13">
        <v>19</v>
      </c>
      <c r="D1830" s="14" t="s">
        <v>2901</v>
      </c>
      <c r="E1830" s="12" t="s">
        <v>2869</v>
      </c>
      <c r="F1830" s="65" t="s">
        <v>2902</v>
      </c>
      <c r="G1830" s="66" t="s">
        <v>13</v>
      </c>
    </row>
    <row r="1831" spans="1:9" hidden="1" x14ac:dyDescent="0.25">
      <c r="A1831" s="11" t="s">
        <v>5686</v>
      </c>
      <c r="B1831" s="12" t="s">
        <v>5687</v>
      </c>
      <c r="C1831" s="13">
        <f>C1830+1</f>
        <v>20</v>
      </c>
      <c r="D1831" s="12" t="s">
        <v>2901</v>
      </c>
      <c r="E1831" s="12" t="s">
        <v>5688</v>
      </c>
      <c r="F1831" s="12" t="s">
        <v>5703</v>
      </c>
      <c r="G1831" s="80" t="s">
        <v>13</v>
      </c>
      <c r="I1831" s="90">
        <v>12</v>
      </c>
    </row>
    <row r="1832" spans="1:9" hidden="1" x14ac:dyDescent="0.2">
      <c r="A1832" s="11" t="s">
        <v>2867</v>
      </c>
      <c r="B1832" s="12" t="s">
        <v>2868</v>
      </c>
      <c r="C1832" s="13">
        <v>18</v>
      </c>
      <c r="D1832" s="14" t="s">
        <v>2899</v>
      </c>
      <c r="E1832" s="12" t="s">
        <v>2869</v>
      </c>
      <c r="F1832" s="65" t="s">
        <v>2900</v>
      </c>
      <c r="G1832" s="66" t="s">
        <v>13</v>
      </c>
    </row>
    <row r="1833" spans="1:9" hidden="1" x14ac:dyDescent="0.25">
      <c r="A1833" s="11" t="s">
        <v>5686</v>
      </c>
      <c r="B1833" s="12" t="s">
        <v>5687</v>
      </c>
      <c r="C1833" s="13">
        <f>C1832+1</f>
        <v>19</v>
      </c>
      <c r="D1833" s="12" t="s">
        <v>5704</v>
      </c>
      <c r="E1833" s="12" t="s">
        <v>5688</v>
      </c>
      <c r="F1833" s="12" t="s">
        <v>5705</v>
      </c>
      <c r="G1833" s="80" t="s">
        <v>13</v>
      </c>
      <c r="I1833" s="90">
        <v>12</v>
      </c>
    </row>
    <row r="1834" spans="1:9" hidden="1" x14ac:dyDescent="0.2">
      <c r="A1834" s="11" t="s">
        <v>4347</v>
      </c>
      <c r="B1834" s="12" t="s">
        <v>4348</v>
      </c>
      <c r="C1834" s="13">
        <f>C1833+1</f>
        <v>20</v>
      </c>
      <c r="D1834" s="22" t="s">
        <v>4352</v>
      </c>
      <c r="E1834" s="12" t="s">
        <v>4349</v>
      </c>
      <c r="F1834" s="22" t="s">
        <v>4353</v>
      </c>
      <c r="G1834" s="66" t="s">
        <v>32</v>
      </c>
      <c r="I1834" s="90" t="s">
        <v>2426</v>
      </c>
    </row>
    <row r="1835" spans="1:9" hidden="1" x14ac:dyDescent="0.2">
      <c r="A1835" s="11" t="s">
        <v>2024</v>
      </c>
      <c r="B1835" s="12" t="s">
        <v>2025</v>
      </c>
      <c r="C1835" s="13">
        <v>15</v>
      </c>
      <c r="D1835" s="14" t="s">
        <v>2050</v>
      </c>
      <c r="E1835" s="12" t="s">
        <v>2026</v>
      </c>
      <c r="F1835" s="12" t="s">
        <v>2051</v>
      </c>
      <c r="G1835" s="15" t="s">
        <v>13</v>
      </c>
    </row>
    <row r="1836" spans="1:9" hidden="1" x14ac:dyDescent="0.2">
      <c r="A1836" s="11" t="s">
        <v>319</v>
      </c>
      <c r="B1836" s="12" t="s">
        <v>320</v>
      </c>
      <c r="C1836" s="13">
        <v>7</v>
      </c>
      <c r="D1836" s="37" t="s">
        <v>331</v>
      </c>
      <c r="E1836" s="12" t="s">
        <v>321</v>
      </c>
      <c r="F1836" s="22" t="s">
        <v>332</v>
      </c>
      <c r="G1836" s="15" t="s">
        <v>32</v>
      </c>
    </row>
    <row r="1837" spans="1:9" hidden="1" x14ac:dyDescent="0.25">
      <c r="A1837" s="11" t="s">
        <v>5686</v>
      </c>
      <c r="B1837" s="12" t="s">
        <v>5687</v>
      </c>
      <c r="C1837" s="13">
        <f>C1836+1</f>
        <v>8</v>
      </c>
      <c r="D1837" s="12" t="s">
        <v>331</v>
      </c>
      <c r="E1837" s="12" t="s">
        <v>5688</v>
      </c>
      <c r="F1837" s="12" t="s">
        <v>5712</v>
      </c>
      <c r="G1837" s="15" t="s">
        <v>32</v>
      </c>
      <c r="I1837" s="90">
        <v>12</v>
      </c>
    </row>
    <row r="1838" spans="1:9" hidden="1" x14ac:dyDescent="0.2">
      <c r="A1838" s="11" t="s">
        <v>2500</v>
      </c>
      <c r="B1838" s="12" t="s">
        <v>2501</v>
      </c>
      <c r="C1838" s="13">
        <v>7</v>
      </c>
      <c r="D1838" s="14" t="s">
        <v>2509</v>
      </c>
      <c r="E1838" s="12" t="s">
        <v>2502</v>
      </c>
      <c r="F1838" s="12" t="s">
        <v>2510</v>
      </c>
      <c r="G1838" s="15" t="s">
        <v>32</v>
      </c>
    </row>
    <row r="1839" spans="1:9" hidden="1" x14ac:dyDescent="0.2">
      <c r="A1839" s="11" t="s">
        <v>2516</v>
      </c>
      <c r="B1839" s="12" t="s">
        <v>2517</v>
      </c>
      <c r="C1839" s="13">
        <v>7</v>
      </c>
      <c r="D1839" s="14" t="s">
        <v>2509</v>
      </c>
      <c r="E1839" s="12" t="s">
        <v>2518</v>
      </c>
      <c r="F1839" s="12" t="s">
        <v>2525</v>
      </c>
      <c r="G1839" s="15" t="s">
        <v>32</v>
      </c>
    </row>
    <row r="1840" spans="1:9" hidden="1" x14ac:dyDescent="0.2">
      <c r="A1840" s="11" t="s">
        <v>2529</v>
      </c>
      <c r="B1840" s="12" t="s">
        <v>2530</v>
      </c>
      <c r="C1840" s="13">
        <v>8</v>
      </c>
      <c r="D1840" s="14" t="s">
        <v>2509</v>
      </c>
      <c r="E1840" s="12" t="s">
        <v>2531</v>
      </c>
      <c r="F1840" s="12" t="s">
        <v>2539</v>
      </c>
      <c r="G1840" s="15" t="s">
        <v>32</v>
      </c>
    </row>
    <row r="1841" spans="1:9" hidden="1" x14ac:dyDescent="0.2">
      <c r="A1841" s="11" t="s">
        <v>3130</v>
      </c>
      <c r="B1841" s="12" t="s">
        <v>3131</v>
      </c>
      <c r="C1841" s="13">
        <v>6</v>
      </c>
      <c r="D1841" s="12" t="s">
        <v>2509</v>
      </c>
      <c r="E1841" s="12" t="s">
        <v>3132</v>
      </c>
      <c r="F1841" s="65" t="s">
        <v>3138</v>
      </c>
      <c r="G1841" s="66" t="s">
        <v>32</v>
      </c>
    </row>
    <row r="1842" spans="1:9" hidden="1" x14ac:dyDescent="0.2">
      <c r="A1842" s="11" t="s">
        <v>4404</v>
      </c>
      <c r="B1842" s="12" t="s">
        <v>4405</v>
      </c>
      <c r="C1842" s="13">
        <v>8</v>
      </c>
      <c r="D1842" s="12" t="s">
        <v>2509</v>
      </c>
      <c r="E1842" s="12" t="s">
        <v>4406</v>
      </c>
      <c r="F1842" s="12" t="s">
        <v>4417</v>
      </c>
      <c r="G1842" s="66" t="s">
        <v>678</v>
      </c>
      <c r="I1842" s="94">
        <v>14</v>
      </c>
    </row>
    <row r="1843" spans="1:9" hidden="1" x14ac:dyDescent="0.25">
      <c r="A1843" s="11" t="s">
        <v>1260</v>
      </c>
      <c r="B1843" s="12" t="s">
        <v>1261</v>
      </c>
      <c r="C1843" s="13">
        <v>7</v>
      </c>
      <c r="D1843" s="22" t="s">
        <v>1272</v>
      </c>
      <c r="E1843" s="12" t="s">
        <v>1262</v>
      </c>
      <c r="F1843" s="22" t="s">
        <v>1273</v>
      </c>
      <c r="G1843" s="15" t="s">
        <v>32</v>
      </c>
    </row>
    <row r="1844" spans="1:9" hidden="1" x14ac:dyDescent="0.25">
      <c r="A1844" s="11" t="s">
        <v>1294</v>
      </c>
      <c r="B1844" s="12" t="s">
        <v>1295</v>
      </c>
      <c r="C1844" s="13">
        <v>7</v>
      </c>
      <c r="D1844" s="22" t="s">
        <v>1272</v>
      </c>
      <c r="E1844" s="12" t="s">
        <v>1296</v>
      </c>
      <c r="F1844" s="22" t="s">
        <v>1305</v>
      </c>
      <c r="G1844" s="15" t="s">
        <v>32</v>
      </c>
    </row>
    <row r="1845" spans="1:9" hidden="1" x14ac:dyDescent="0.2">
      <c r="A1845" s="11" t="s">
        <v>2337</v>
      </c>
      <c r="B1845" s="12" t="s">
        <v>2338</v>
      </c>
      <c r="C1845" s="13">
        <v>3</v>
      </c>
      <c r="D1845" s="37" t="s">
        <v>1272</v>
      </c>
      <c r="E1845" s="12" t="s">
        <v>2339</v>
      </c>
      <c r="F1845" s="22" t="s">
        <v>2342</v>
      </c>
      <c r="G1845" s="15" t="s">
        <v>32</v>
      </c>
    </row>
    <row r="1846" spans="1:9" hidden="1" x14ac:dyDescent="0.2">
      <c r="A1846" s="146" t="s">
        <v>4771</v>
      </c>
      <c r="B1846" s="12" t="s">
        <v>4772</v>
      </c>
      <c r="C1846" s="13">
        <v>7</v>
      </c>
      <c r="D1846" s="22" t="s">
        <v>1272</v>
      </c>
      <c r="E1846" s="12" t="s">
        <v>4773</v>
      </c>
      <c r="F1846" s="22" t="s">
        <v>4781</v>
      </c>
      <c r="G1846" s="66" t="s">
        <v>32</v>
      </c>
    </row>
    <row r="1847" spans="1:9" hidden="1" x14ac:dyDescent="0.25">
      <c r="A1847" s="146" t="s">
        <v>4800</v>
      </c>
      <c r="B1847" s="8" t="s">
        <v>4801</v>
      </c>
      <c r="C1847" s="150">
        <v>7</v>
      </c>
      <c r="D1847" s="38" t="s">
        <v>1272</v>
      </c>
      <c r="E1847" s="8" t="s">
        <v>4802</v>
      </c>
      <c r="F1847" s="38" t="s">
        <v>4810</v>
      </c>
      <c r="G1847" s="80" t="s">
        <v>32</v>
      </c>
    </row>
    <row r="1848" spans="1:9" hidden="1" x14ac:dyDescent="0.25">
      <c r="A1848" s="11" t="s">
        <v>5686</v>
      </c>
      <c r="B1848" s="12" t="s">
        <v>5687</v>
      </c>
      <c r="C1848" s="13">
        <f>C1847+1</f>
        <v>8</v>
      </c>
      <c r="D1848" s="22" t="s">
        <v>5781</v>
      </c>
      <c r="E1848" s="12" t="s">
        <v>5688</v>
      </c>
      <c r="F1848" s="22" t="s">
        <v>5782</v>
      </c>
      <c r="G1848" s="15" t="s">
        <v>32</v>
      </c>
      <c r="I1848" s="101" t="s">
        <v>54</v>
      </c>
    </row>
    <row r="1849" spans="1:9" hidden="1" x14ac:dyDescent="0.25">
      <c r="A1849" s="11" t="s">
        <v>5866</v>
      </c>
      <c r="B1849" s="12" t="s">
        <v>5867</v>
      </c>
      <c r="C1849" s="13">
        <f>C1848+1</f>
        <v>9</v>
      </c>
      <c r="D1849" s="22" t="s">
        <v>5781</v>
      </c>
      <c r="E1849" s="12" t="s">
        <v>5868</v>
      </c>
      <c r="F1849" s="22" t="s">
        <v>5878</v>
      </c>
      <c r="G1849" s="15" t="s">
        <v>32</v>
      </c>
      <c r="I1849" s="101" t="s">
        <v>54</v>
      </c>
    </row>
    <row r="1850" spans="1:9" hidden="1" x14ac:dyDescent="0.25">
      <c r="A1850" s="11" t="s">
        <v>6347</v>
      </c>
      <c r="B1850" s="12" t="s">
        <v>6348</v>
      </c>
      <c r="C1850" s="13">
        <f>C1849+1</f>
        <v>10</v>
      </c>
      <c r="D1850" s="22" t="s">
        <v>6355</v>
      </c>
      <c r="E1850" s="12" t="s">
        <v>6349</v>
      </c>
      <c r="F1850" s="22" t="s">
        <v>6356</v>
      </c>
      <c r="G1850" s="15" t="s">
        <v>32</v>
      </c>
      <c r="I1850" s="90">
        <v>12</v>
      </c>
    </row>
    <row r="1851" spans="1:9" hidden="1" x14ac:dyDescent="0.25">
      <c r="A1851" s="11" t="s">
        <v>6678</v>
      </c>
      <c r="B1851" s="12" t="s">
        <v>6679</v>
      </c>
      <c r="C1851" s="13">
        <f>+C1850+1</f>
        <v>11</v>
      </c>
      <c r="D1851" s="22" t="s">
        <v>6355</v>
      </c>
      <c r="E1851" s="12" t="s">
        <v>6680</v>
      </c>
      <c r="F1851" s="22" t="s">
        <v>6686</v>
      </c>
      <c r="G1851" s="15" t="s">
        <v>32</v>
      </c>
    </row>
    <row r="1852" spans="1:9" hidden="1" x14ac:dyDescent="0.2">
      <c r="A1852" s="11" t="s">
        <v>1206</v>
      </c>
      <c r="B1852" s="12" t="s">
        <v>1207</v>
      </c>
      <c r="C1852" s="13">
        <v>6</v>
      </c>
      <c r="D1852" s="14" t="s">
        <v>1217</v>
      </c>
      <c r="E1852" s="12" t="s">
        <v>1208</v>
      </c>
      <c r="F1852" s="12" t="s">
        <v>1218</v>
      </c>
      <c r="G1852" s="15" t="s">
        <v>285</v>
      </c>
      <c r="I1852" s="99">
        <v>13</v>
      </c>
    </row>
    <row r="1853" spans="1:9" hidden="1" x14ac:dyDescent="0.25">
      <c r="A1853" s="11" t="s">
        <v>6050</v>
      </c>
      <c r="B1853" s="12" t="s">
        <v>6051</v>
      </c>
      <c r="C1853" s="13">
        <f>C1852+1</f>
        <v>7</v>
      </c>
      <c r="D1853" s="12" t="s">
        <v>6073</v>
      </c>
      <c r="E1853" s="12" t="s">
        <v>6052</v>
      </c>
      <c r="F1853" s="12" t="s">
        <v>6074</v>
      </c>
      <c r="G1853" s="15" t="s">
        <v>13</v>
      </c>
      <c r="I1853" s="90">
        <v>12</v>
      </c>
    </row>
    <row r="1854" spans="1:9" hidden="1" x14ac:dyDescent="0.25">
      <c r="A1854" s="11" t="s">
        <v>6442</v>
      </c>
      <c r="B1854" s="12" t="s">
        <v>6443</v>
      </c>
      <c r="C1854" s="13">
        <f>C1853+1</f>
        <v>8</v>
      </c>
      <c r="D1854" s="12" t="s">
        <v>6073</v>
      </c>
      <c r="E1854" s="12" t="s">
        <v>6444</v>
      </c>
      <c r="F1854" s="12" t="s">
        <v>6457</v>
      </c>
      <c r="G1854" s="15" t="s">
        <v>13</v>
      </c>
      <c r="I1854" s="9">
        <v>15</v>
      </c>
    </row>
    <row r="1855" spans="1:9" hidden="1" x14ac:dyDescent="0.2">
      <c r="A1855" s="11" t="s">
        <v>2500</v>
      </c>
      <c r="B1855" s="12" t="s">
        <v>2501</v>
      </c>
      <c r="C1855" s="13">
        <v>10</v>
      </c>
      <c r="D1855" s="14" t="s">
        <v>2514</v>
      </c>
      <c r="E1855" s="12" t="s">
        <v>2502</v>
      </c>
      <c r="F1855" s="12" t="s">
        <v>2515</v>
      </c>
      <c r="G1855" s="15" t="s">
        <v>32</v>
      </c>
    </row>
    <row r="1856" spans="1:9" hidden="1" x14ac:dyDescent="0.2">
      <c r="A1856" s="11" t="s">
        <v>2516</v>
      </c>
      <c r="B1856" s="12" t="s">
        <v>2517</v>
      </c>
      <c r="C1856" s="13">
        <v>10</v>
      </c>
      <c r="D1856" s="14" t="s">
        <v>2514</v>
      </c>
      <c r="E1856" s="12" t="s">
        <v>2518</v>
      </c>
      <c r="F1856" s="12" t="s">
        <v>2528</v>
      </c>
      <c r="G1856" s="15" t="s">
        <v>32</v>
      </c>
    </row>
    <row r="1857" spans="1:27" hidden="1" x14ac:dyDescent="0.2">
      <c r="A1857" s="11" t="s">
        <v>2529</v>
      </c>
      <c r="B1857" s="12" t="s">
        <v>2530</v>
      </c>
      <c r="C1857" s="13">
        <v>9</v>
      </c>
      <c r="D1857" s="14" t="s">
        <v>2514</v>
      </c>
      <c r="E1857" s="12" t="s">
        <v>2531</v>
      </c>
      <c r="F1857" s="12" t="s">
        <v>2540</v>
      </c>
      <c r="G1857" s="15" t="s">
        <v>32</v>
      </c>
    </row>
    <row r="1858" spans="1:27" hidden="1" x14ac:dyDescent="0.2">
      <c r="A1858" s="11" t="s">
        <v>3130</v>
      </c>
      <c r="B1858" s="12" t="s">
        <v>3131</v>
      </c>
      <c r="C1858" s="13">
        <v>7</v>
      </c>
      <c r="D1858" s="12" t="s">
        <v>3139</v>
      </c>
      <c r="E1858" s="12" t="s">
        <v>3132</v>
      </c>
      <c r="F1858" s="65" t="s">
        <v>3140</v>
      </c>
      <c r="G1858" s="66" t="s">
        <v>32</v>
      </c>
    </row>
    <row r="1859" spans="1:27" hidden="1" x14ac:dyDescent="0.2">
      <c r="A1859" s="11" t="s">
        <v>4404</v>
      </c>
      <c r="B1859" s="12" t="s">
        <v>4405</v>
      </c>
      <c r="C1859" s="13">
        <v>11</v>
      </c>
      <c r="D1859" s="12" t="s">
        <v>2514</v>
      </c>
      <c r="E1859" s="12" t="s">
        <v>4406</v>
      </c>
      <c r="F1859" s="12" t="s">
        <v>4420</v>
      </c>
      <c r="G1859" s="66" t="s">
        <v>678</v>
      </c>
      <c r="I1859" s="94">
        <v>14</v>
      </c>
    </row>
    <row r="1860" spans="1:27" hidden="1" x14ac:dyDescent="0.2">
      <c r="A1860" s="11" t="s">
        <v>5202</v>
      </c>
      <c r="B1860" s="12" t="s">
        <v>5203</v>
      </c>
      <c r="C1860" s="13">
        <v>2</v>
      </c>
      <c r="D1860" s="42" t="s">
        <v>5206</v>
      </c>
      <c r="E1860" s="12" t="s">
        <v>5204</v>
      </c>
      <c r="F1860" s="75" t="s">
        <v>5207</v>
      </c>
      <c r="G1860" s="15" t="s">
        <v>32</v>
      </c>
    </row>
    <row r="1861" spans="1:27" hidden="1" x14ac:dyDescent="0.2">
      <c r="A1861" s="11" t="s">
        <v>2024</v>
      </c>
      <c r="B1861" s="12" t="s">
        <v>2025</v>
      </c>
      <c r="C1861" s="13">
        <v>16</v>
      </c>
      <c r="D1861" s="14" t="s">
        <v>370</v>
      </c>
      <c r="E1861" s="12" t="s">
        <v>2026</v>
      </c>
      <c r="F1861" s="12" t="s">
        <v>2052</v>
      </c>
      <c r="G1861" s="15" t="s">
        <v>13</v>
      </c>
    </row>
    <row r="1862" spans="1:27" hidden="1" x14ac:dyDescent="0.2">
      <c r="A1862" s="11" t="s">
        <v>2024</v>
      </c>
      <c r="B1862" s="12" t="s">
        <v>2025</v>
      </c>
      <c r="C1862" s="13">
        <v>17</v>
      </c>
      <c r="D1862" s="14" t="s">
        <v>2053</v>
      </c>
      <c r="E1862" s="12" t="s">
        <v>2026</v>
      </c>
      <c r="F1862" s="12" t="s">
        <v>2054</v>
      </c>
      <c r="G1862" s="15" t="s">
        <v>103</v>
      </c>
    </row>
    <row r="1863" spans="1:27" hidden="1" x14ac:dyDescent="0.2">
      <c r="A1863" s="11" t="s">
        <v>2024</v>
      </c>
      <c r="B1863" s="12" t="s">
        <v>2025</v>
      </c>
      <c r="C1863" s="13">
        <v>18</v>
      </c>
      <c r="D1863" s="14" t="s">
        <v>1447</v>
      </c>
      <c r="E1863" s="12" t="s">
        <v>2026</v>
      </c>
      <c r="F1863" s="12" t="s">
        <v>2055</v>
      </c>
      <c r="G1863" s="15" t="s">
        <v>87</v>
      </c>
    </row>
    <row r="1864" spans="1:27" hidden="1" x14ac:dyDescent="0.25">
      <c r="A1864" s="11" t="s">
        <v>2130</v>
      </c>
      <c r="B1864" s="8" t="s">
        <v>2131</v>
      </c>
      <c r="C1864" s="13">
        <v>3</v>
      </c>
      <c r="D1864" s="22" t="s">
        <v>1968</v>
      </c>
      <c r="E1864" s="12" t="s">
        <v>2132</v>
      </c>
      <c r="F1864" s="22" t="s">
        <v>2135</v>
      </c>
      <c r="G1864" s="15" t="s">
        <v>32</v>
      </c>
    </row>
    <row r="1865" spans="1:27" hidden="1" x14ac:dyDescent="0.25">
      <c r="A1865" s="11" t="s">
        <v>2171</v>
      </c>
      <c r="B1865" s="8" t="s">
        <v>2172</v>
      </c>
      <c r="C1865" s="13">
        <v>3</v>
      </c>
      <c r="D1865" s="22" t="s">
        <v>1968</v>
      </c>
      <c r="E1865" s="12" t="s">
        <v>2173</v>
      </c>
      <c r="F1865" s="22" t="s">
        <v>2176</v>
      </c>
      <c r="G1865" s="15" t="s">
        <v>32</v>
      </c>
    </row>
    <row r="1866" spans="1:27" ht="15" hidden="1" x14ac:dyDescent="0.25">
      <c r="A1866" s="21" t="s">
        <v>2179</v>
      </c>
      <c r="B1866" s="38" t="s">
        <v>2180</v>
      </c>
      <c r="C1866" s="23">
        <v>3</v>
      </c>
      <c r="D1866" s="22" t="s">
        <v>1968</v>
      </c>
      <c r="E1866" s="22" t="s">
        <v>2181</v>
      </c>
      <c r="F1866" s="22" t="s">
        <v>2184</v>
      </c>
      <c r="G1866" s="26" t="s">
        <v>32</v>
      </c>
      <c r="I1866" s="54">
        <v>15</v>
      </c>
      <c r="J1866" s="52"/>
    </row>
    <row r="1867" spans="1:27" ht="15" hidden="1" x14ac:dyDescent="0.25">
      <c r="A1867" s="11" t="s">
        <v>2194</v>
      </c>
      <c r="B1867" s="8" t="s">
        <v>2195</v>
      </c>
      <c r="C1867" s="13">
        <v>3</v>
      </c>
      <c r="D1867" s="22" t="s">
        <v>1968</v>
      </c>
      <c r="E1867" s="22" t="s">
        <v>2196</v>
      </c>
      <c r="F1867" s="22" t="s">
        <v>2199</v>
      </c>
      <c r="G1867" s="26" t="s">
        <v>32</v>
      </c>
      <c r="I1867" s="59">
        <v>15</v>
      </c>
      <c r="J1867" s="60"/>
    </row>
    <row r="1868" spans="1:27" ht="15" hidden="1" x14ac:dyDescent="0.25">
      <c r="A1868" s="21" t="s">
        <v>2237</v>
      </c>
      <c r="B1868" s="38" t="s">
        <v>2238</v>
      </c>
      <c r="C1868" s="23">
        <v>3</v>
      </c>
      <c r="D1868" s="22" t="s">
        <v>1968</v>
      </c>
      <c r="E1868" s="22" t="s">
        <v>2239</v>
      </c>
      <c r="F1868" s="22" t="s">
        <v>2242</v>
      </c>
      <c r="G1868" s="26" t="s">
        <v>32</v>
      </c>
      <c r="I1868" s="54">
        <v>15</v>
      </c>
      <c r="J1868" s="52"/>
    </row>
    <row r="1869" spans="1:27" hidden="1" x14ac:dyDescent="0.2">
      <c r="A1869" s="11" t="s">
        <v>2566</v>
      </c>
      <c r="B1869" s="12" t="s">
        <v>2567</v>
      </c>
      <c r="C1869" s="13">
        <v>5</v>
      </c>
      <c r="D1869" s="37" t="s">
        <v>1968</v>
      </c>
      <c r="E1869" s="12" t="s">
        <v>2568</v>
      </c>
      <c r="F1869" s="75" t="s">
        <v>2573</v>
      </c>
      <c r="G1869" s="66" t="s">
        <v>32</v>
      </c>
    </row>
    <row r="1870" spans="1:27" hidden="1" x14ac:dyDescent="0.2">
      <c r="A1870" s="11" t="s">
        <v>2867</v>
      </c>
      <c r="B1870" s="12" t="s">
        <v>2868</v>
      </c>
      <c r="C1870" s="13">
        <v>5</v>
      </c>
      <c r="D1870" s="37" t="s">
        <v>2874</v>
      </c>
      <c r="E1870" s="12" t="s">
        <v>2869</v>
      </c>
      <c r="F1870" s="75" t="s">
        <v>2875</v>
      </c>
      <c r="G1870" s="66" t="s">
        <v>32</v>
      </c>
    </row>
    <row r="1871" spans="1:27" hidden="1" x14ac:dyDescent="0.2">
      <c r="A1871" s="11" t="s">
        <v>3165</v>
      </c>
      <c r="B1871" s="12" t="s">
        <v>3166</v>
      </c>
      <c r="C1871" s="13">
        <v>4</v>
      </c>
      <c r="D1871" s="22" t="s">
        <v>2874</v>
      </c>
      <c r="E1871" s="22" t="s">
        <v>3167</v>
      </c>
      <c r="F1871" s="75" t="s">
        <v>3171</v>
      </c>
      <c r="G1871" s="71" t="s">
        <v>32</v>
      </c>
    </row>
    <row r="1872" spans="1:27" hidden="1" x14ac:dyDescent="0.2">
      <c r="A1872" s="11" t="s">
        <v>3355</v>
      </c>
      <c r="B1872" s="12" t="s">
        <v>3356</v>
      </c>
      <c r="C1872" s="13">
        <v>4</v>
      </c>
      <c r="D1872" s="22" t="s">
        <v>2874</v>
      </c>
      <c r="E1872" s="22" t="s">
        <v>3357</v>
      </c>
      <c r="F1872" s="75" t="s">
        <v>3361</v>
      </c>
      <c r="G1872" s="71" t="s">
        <v>32</v>
      </c>
      <c r="H1872" s="38"/>
      <c r="I1872" s="93"/>
      <c r="J1872" s="38"/>
      <c r="K1872" s="38"/>
      <c r="L1872" s="38"/>
      <c r="M1872" s="38"/>
      <c r="N1872" s="38"/>
      <c r="O1872" s="38"/>
      <c r="P1872" s="38"/>
      <c r="Q1872" s="38"/>
      <c r="R1872" s="38"/>
      <c r="S1872" s="38"/>
      <c r="T1872" s="38"/>
      <c r="U1872" s="38"/>
      <c r="V1872" s="38"/>
      <c r="W1872" s="38"/>
      <c r="X1872" s="38"/>
      <c r="Y1872" s="38"/>
      <c r="Z1872" s="38"/>
      <c r="AA1872" s="38"/>
    </row>
    <row r="1873" spans="1:9" hidden="1" x14ac:dyDescent="0.2">
      <c r="A1873" s="11" t="s">
        <v>3428</v>
      </c>
      <c r="B1873" s="12" t="s">
        <v>3429</v>
      </c>
      <c r="C1873" s="13">
        <v>4</v>
      </c>
      <c r="D1873" s="22" t="s">
        <v>1968</v>
      </c>
      <c r="E1873" s="65" t="s">
        <v>3430</v>
      </c>
      <c r="F1873" s="75" t="s">
        <v>3434</v>
      </c>
      <c r="G1873" s="66" t="s">
        <v>32</v>
      </c>
    </row>
    <row r="1874" spans="1:9" hidden="1" x14ac:dyDescent="0.2">
      <c r="A1874" s="11" t="s">
        <v>3458</v>
      </c>
      <c r="B1874" s="12" t="s">
        <v>3459</v>
      </c>
      <c r="C1874" s="13">
        <v>4</v>
      </c>
      <c r="D1874" s="22" t="s">
        <v>1968</v>
      </c>
      <c r="E1874" s="65" t="s">
        <v>3460</v>
      </c>
      <c r="F1874" s="75" t="s">
        <v>3464</v>
      </c>
      <c r="G1874" s="66" t="s">
        <v>32</v>
      </c>
    </row>
    <row r="1875" spans="1:9" hidden="1" x14ac:dyDescent="0.2">
      <c r="A1875" s="11" t="s">
        <v>3633</v>
      </c>
      <c r="B1875" s="12" t="s">
        <v>3634</v>
      </c>
      <c r="C1875" s="13">
        <v>4</v>
      </c>
      <c r="D1875" s="22" t="s">
        <v>1968</v>
      </c>
      <c r="E1875" s="65" t="s">
        <v>3635</v>
      </c>
      <c r="F1875" s="75" t="s">
        <v>3639</v>
      </c>
      <c r="G1875" s="66" t="s">
        <v>32</v>
      </c>
    </row>
    <row r="1876" spans="1:9" hidden="1" x14ac:dyDescent="0.2">
      <c r="A1876" s="46" t="s">
        <v>3763</v>
      </c>
      <c r="B1876" s="12" t="s">
        <v>3764</v>
      </c>
      <c r="C1876" s="13">
        <v>4</v>
      </c>
      <c r="D1876" s="22" t="s">
        <v>1968</v>
      </c>
      <c r="E1876" s="12" t="s">
        <v>3765</v>
      </c>
      <c r="F1876" s="75" t="s">
        <v>3769</v>
      </c>
      <c r="G1876" s="66" t="s">
        <v>32</v>
      </c>
    </row>
    <row r="1877" spans="1:9" hidden="1" x14ac:dyDescent="0.2">
      <c r="A1877" s="11" t="s">
        <v>3799</v>
      </c>
      <c r="B1877" s="12" t="s">
        <v>3800</v>
      </c>
      <c r="C1877" s="13">
        <v>4</v>
      </c>
      <c r="D1877" s="22" t="s">
        <v>1968</v>
      </c>
      <c r="E1877" s="12" t="s">
        <v>3801</v>
      </c>
      <c r="F1877" s="75" t="s">
        <v>3805</v>
      </c>
      <c r="G1877" s="66" t="s">
        <v>32</v>
      </c>
    </row>
    <row r="1878" spans="1:9" hidden="1" x14ac:dyDescent="0.2">
      <c r="A1878" s="11" t="s">
        <v>3839</v>
      </c>
      <c r="B1878" s="12" t="s">
        <v>3840</v>
      </c>
      <c r="C1878" s="13">
        <v>4</v>
      </c>
      <c r="D1878" s="22" t="s">
        <v>1968</v>
      </c>
      <c r="E1878" s="12" t="s">
        <v>3841</v>
      </c>
      <c r="F1878" s="75" t="s">
        <v>3845</v>
      </c>
      <c r="G1878" s="66" t="s">
        <v>32</v>
      </c>
    </row>
    <row r="1879" spans="1:9" hidden="1" x14ac:dyDescent="0.2">
      <c r="A1879" s="11" t="s">
        <v>3858</v>
      </c>
      <c r="B1879" s="12" t="s">
        <v>3859</v>
      </c>
      <c r="C1879" s="13">
        <v>4</v>
      </c>
      <c r="D1879" s="22" t="s">
        <v>1968</v>
      </c>
      <c r="E1879" s="12" t="s">
        <v>3860</v>
      </c>
      <c r="F1879" s="75" t="s">
        <v>3864</v>
      </c>
      <c r="G1879" s="66" t="s">
        <v>32</v>
      </c>
    </row>
    <row r="1880" spans="1:9" hidden="1" x14ac:dyDescent="0.2">
      <c r="A1880" s="11" t="s">
        <v>3880</v>
      </c>
      <c r="B1880" s="12" t="s">
        <v>3881</v>
      </c>
      <c r="C1880" s="13">
        <v>4</v>
      </c>
      <c r="D1880" s="22" t="s">
        <v>1968</v>
      </c>
      <c r="E1880" s="12" t="s">
        <v>3882</v>
      </c>
      <c r="F1880" s="22" t="s">
        <v>3886</v>
      </c>
      <c r="G1880" s="66" t="s">
        <v>32</v>
      </c>
    </row>
    <row r="1881" spans="1:9" hidden="1" x14ac:dyDescent="0.2">
      <c r="A1881" s="11" t="s">
        <v>3914</v>
      </c>
      <c r="B1881" s="12" t="s">
        <v>3915</v>
      </c>
      <c r="C1881" s="13">
        <v>4</v>
      </c>
      <c r="D1881" s="22" t="s">
        <v>1968</v>
      </c>
      <c r="E1881" s="12" t="s">
        <v>3916</v>
      </c>
      <c r="F1881" s="22" t="s">
        <v>3920</v>
      </c>
      <c r="G1881" s="66" t="s">
        <v>32</v>
      </c>
    </row>
    <row r="1882" spans="1:9" hidden="1" x14ac:dyDescent="0.2">
      <c r="A1882" s="11" t="s">
        <v>4049</v>
      </c>
      <c r="B1882" s="12" t="s">
        <v>4050</v>
      </c>
      <c r="C1882" s="13">
        <v>4</v>
      </c>
      <c r="D1882" s="22" t="s">
        <v>1968</v>
      </c>
      <c r="E1882" s="12" t="s">
        <v>4051</v>
      </c>
      <c r="F1882" s="22" t="s">
        <v>4055</v>
      </c>
      <c r="G1882" s="66" t="s">
        <v>32</v>
      </c>
    </row>
    <row r="1883" spans="1:9" hidden="1" x14ac:dyDescent="0.2">
      <c r="A1883" s="11" t="s">
        <v>4087</v>
      </c>
      <c r="B1883" s="12" t="s">
        <v>4088</v>
      </c>
      <c r="C1883" s="13">
        <f>C1882+1</f>
        <v>5</v>
      </c>
      <c r="D1883" s="22" t="s">
        <v>1968</v>
      </c>
      <c r="E1883" s="12" t="s">
        <v>4089</v>
      </c>
      <c r="F1883" s="22" t="s">
        <v>4093</v>
      </c>
      <c r="G1883" s="66" t="s">
        <v>32</v>
      </c>
      <c r="I1883" s="90" t="s">
        <v>2426</v>
      </c>
    </row>
    <row r="1884" spans="1:9" hidden="1" x14ac:dyDescent="0.2">
      <c r="A1884" s="11" t="s">
        <v>4212</v>
      </c>
      <c r="B1884" s="12" t="s">
        <v>4213</v>
      </c>
      <c r="C1884" s="13">
        <f>C1883+1</f>
        <v>6</v>
      </c>
      <c r="D1884" s="22" t="s">
        <v>1968</v>
      </c>
      <c r="E1884" s="12" t="s">
        <v>4214</v>
      </c>
      <c r="F1884" s="22" t="s">
        <v>4218</v>
      </c>
      <c r="G1884" s="66" t="s">
        <v>32</v>
      </c>
      <c r="I1884" s="90" t="s">
        <v>2426</v>
      </c>
    </row>
    <row r="1885" spans="1:9" hidden="1" x14ac:dyDescent="0.25">
      <c r="A1885" s="146" t="s">
        <v>4830</v>
      </c>
      <c r="B1885" s="12" t="s">
        <v>4831</v>
      </c>
      <c r="C1885" s="13">
        <v>5</v>
      </c>
      <c r="D1885" s="22" t="s">
        <v>1968</v>
      </c>
      <c r="E1885" s="12" t="s">
        <v>4832</v>
      </c>
      <c r="F1885" s="38" t="s">
        <v>4837</v>
      </c>
      <c r="G1885" s="80" t="s">
        <v>32</v>
      </c>
    </row>
    <row r="1886" spans="1:9" hidden="1" x14ac:dyDescent="0.25">
      <c r="A1886" s="146" t="s">
        <v>4870</v>
      </c>
      <c r="B1886" s="12" t="s">
        <v>4871</v>
      </c>
      <c r="C1886" s="13">
        <v>3</v>
      </c>
      <c r="D1886" s="22" t="s">
        <v>1968</v>
      </c>
      <c r="E1886" s="12" t="s">
        <v>4872</v>
      </c>
      <c r="F1886" s="38" t="s">
        <v>4875</v>
      </c>
      <c r="G1886" s="80" t="s">
        <v>32</v>
      </c>
    </row>
    <row r="1887" spans="1:9" hidden="1" x14ac:dyDescent="0.25">
      <c r="A1887" s="146" t="s">
        <v>4881</v>
      </c>
      <c r="B1887" s="12" t="s">
        <v>4882</v>
      </c>
      <c r="C1887" s="13">
        <v>3</v>
      </c>
      <c r="D1887" s="22" t="s">
        <v>1968</v>
      </c>
      <c r="E1887" s="12" t="s">
        <v>4883</v>
      </c>
      <c r="F1887" s="38" t="s">
        <v>4886</v>
      </c>
      <c r="G1887" s="80" t="s">
        <v>32</v>
      </c>
    </row>
    <row r="1888" spans="1:9" hidden="1" x14ac:dyDescent="0.2">
      <c r="A1888" s="11" t="s">
        <v>5244</v>
      </c>
      <c r="B1888" s="12" t="s">
        <v>5245</v>
      </c>
      <c r="C1888" s="13">
        <v>5</v>
      </c>
      <c r="D1888" s="22" t="s">
        <v>1968</v>
      </c>
      <c r="E1888" s="12" t="s">
        <v>5246</v>
      </c>
      <c r="F1888" s="75" t="s">
        <v>5251</v>
      </c>
      <c r="G1888" s="15" t="s">
        <v>32</v>
      </c>
    </row>
    <row r="1889" spans="1:9" hidden="1" x14ac:dyDescent="0.25">
      <c r="A1889" s="11" t="s">
        <v>5619</v>
      </c>
      <c r="B1889" s="12" t="s">
        <v>5620</v>
      </c>
      <c r="C1889" s="13">
        <v>3</v>
      </c>
      <c r="D1889" s="22" t="s">
        <v>1968</v>
      </c>
      <c r="E1889" s="22" t="s">
        <v>5621</v>
      </c>
      <c r="F1889" s="22" t="s">
        <v>5624</v>
      </c>
      <c r="G1889" s="157" t="s">
        <v>32</v>
      </c>
    </row>
    <row r="1890" spans="1:9" hidden="1" x14ac:dyDescent="0.25">
      <c r="A1890" s="11" t="s">
        <v>5886</v>
      </c>
      <c r="B1890" s="12" t="s">
        <v>5887</v>
      </c>
      <c r="C1890" s="13">
        <v>4</v>
      </c>
      <c r="D1890" s="22" t="s">
        <v>1968</v>
      </c>
      <c r="E1890" s="12" t="s">
        <v>5888</v>
      </c>
      <c r="F1890" s="22" t="s">
        <v>5892</v>
      </c>
      <c r="G1890" s="15" t="s">
        <v>32</v>
      </c>
      <c r="I1890" s="99">
        <v>13</v>
      </c>
    </row>
    <row r="1891" spans="1:9" hidden="1" x14ac:dyDescent="0.25">
      <c r="A1891" s="11" t="s">
        <v>6286</v>
      </c>
      <c r="B1891" s="12" t="s">
        <v>6287</v>
      </c>
      <c r="C1891" s="13">
        <f>C1890+1</f>
        <v>5</v>
      </c>
      <c r="D1891" s="22" t="s">
        <v>2874</v>
      </c>
      <c r="E1891" s="12" t="s">
        <v>6288</v>
      </c>
      <c r="F1891" s="22" t="s">
        <v>6292</v>
      </c>
      <c r="G1891" s="15" t="s">
        <v>32</v>
      </c>
      <c r="I1891" s="90">
        <v>12</v>
      </c>
    </row>
    <row r="1892" spans="1:9" hidden="1" x14ac:dyDescent="0.2">
      <c r="A1892" s="11" t="s">
        <v>6645</v>
      </c>
      <c r="B1892" s="12" t="s">
        <v>6646</v>
      </c>
      <c r="C1892" s="13">
        <f>+C1891+1</f>
        <v>6</v>
      </c>
      <c r="D1892" s="37" t="s">
        <v>2874</v>
      </c>
      <c r="E1892" s="12" t="s">
        <v>6647</v>
      </c>
      <c r="F1892" s="22" t="s">
        <v>6652</v>
      </c>
      <c r="G1892" s="15" t="s">
        <v>32</v>
      </c>
    </row>
    <row r="1893" spans="1:9" hidden="1" x14ac:dyDescent="0.2">
      <c r="A1893" s="11" t="s">
        <v>5277</v>
      </c>
      <c r="B1893" s="12" t="s">
        <v>5278</v>
      </c>
      <c r="C1893" s="13">
        <v>2</v>
      </c>
      <c r="D1893" s="22" t="s">
        <v>5281</v>
      </c>
      <c r="E1893" s="12" t="s">
        <v>5279</v>
      </c>
      <c r="F1893" s="75" t="s">
        <v>5282</v>
      </c>
      <c r="G1893" s="15" t="s">
        <v>32</v>
      </c>
    </row>
    <row r="1894" spans="1:9" hidden="1" x14ac:dyDescent="0.25">
      <c r="A1894" s="11" t="s">
        <v>5559</v>
      </c>
      <c r="B1894" s="12" t="s">
        <v>5560</v>
      </c>
      <c r="C1894" s="13">
        <v>3</v>
      </c>
      <c r="D1894" s="22" t="s">
        <v>5281</v>
      </c>
      <c r="E1894" s="22" t="s">
        <v>5561</v>
      </c>
      <c r="F1894" s="22" t="s">
        <v>5564</v>
      </c>
      <c r="G1894" s="157" t="s">
        <v>32</v>
      </c>
    </row>
    <row r="1895" spans="1:9" hidden="1" x14ac:dyDescent="0.25">
      <c r="A1895" s="11" t="s">
        <v>5619</v>
      </c>
      <c r="B1895" s="12" t="s">
        <v>5620</v>
      </c>
      <c r="C1895" s="13">
        <v>2</v>
      </c>
      <c r="D1895" s="22" t="s">
        <v>5281</v>
      </c>
      <c r="E1895" s="22" t="s">
        <v>5621</v>
      </c>
      <c r="F1895" s="22" t="s">
        <v>5623</v>
      </c>
      <c r="G1895" s="157" t="s">
        <v>32</v>
      </c>
    </row>
    <row r="1896" spans="1:9" hidden="1" x14ac:dyDescent="0.25">
      <c r="A1896" s="11" t="s">
        <v>5627</v>
      </c>
      <c r="B1896" s="12" t="s">
        <v>5628</v>
      </c>
      <c r="C1896" s="13">
        <v>3</v>
      </c>
      <c r="D1896" s="22" t="s">
        <v>5281</v>
      </c>
      <c r="E1896" s="22" t="s">
        <v>5629</v>
      </c>
      <c r="F1896" s="22" t="s">
        <v>5632</v>
      </c>
      <c r="G1896" s="157" t="s">
        <v>32</v>
      </c>
    </row>
    <row r="1897" spans="1:9" hidden="1" x14ac:dyDescent="0.2">
      <c r="A1897" s="11" t="s">
        <v>1242</v>
      </c>
      <c r="B1897" s="12" t="s">
        <v>1243</v>
      </c>
      <c r="C1897" s="13">
        <v>2</v>
      </c>
      <c r="D1897" s="37" t="s">
        <v>1246</v>
      </c>
      <c r="E1897" s="12" t="s">
        <v>1244</v>
      </c>
      <c r="F1897" s="22" t="s">
        <v>1247</v>
      </c>
      <c r="G1897" s="15" t="s">
        <v>32</v>
      </c>
    </row>
    <row r="1898" spans="1:9" hidden="1" x14ac:dyDescent="0.25">
      <c r="A1898" s="11" t="s">
        <v>1421</v>
      </c>
      <c r="B1898" s="12" t="s">
        <v>1422</v>
      </c>
      <c r="C1898" s="13">
        <v>3</v>
      </c>
      <c r="D1898" s="22" t="s">
        <v>1246</v>
      </c>
      <c r="E1898" s="12" t="s">
        <v>1423</v>
      </c>
      <c r="F1898" s="22" t="s">
        <v>1426</v>
      </c>
      <c r="G1898" s="15" t="s">
        <v>32</v>
      </c>
    </row>
    <row r="1899" spans="1:9" hidden="1" x14ac:dyDescent="0.25">
      <c r="A1899" s="11" t="s">
        <v>1454</v>
      </c>
      <c r="B1899" s="12" t="s">
        <v>1455</v>
      </c>
      <c r="C1899" s="13">
        <v>3</v>
      </c>
      <c r="D1899" s="22" t="s">
        <v>1246</v>
      </c>
      <c r="E1899" s="12" t="s">
        <v>1456</v>
      </c>
      <c r="F1899" s="22" t="s">
        <v>1459</v>
      </c>
      <c r="G1899" s="15" t="s">
        <v>32</v>
      </c>
    </row>
    <row r="1900" spans="1:9" hidden="1" x14ac:dyDescent="0.2">
      <c r="A1900" s="11" t="s">
        <v>2555</v>
      </c>
      <c r="B1900" s="12" t="s">
        <v>2556</v>
      </c>
      <c r="C1900" s="13">
        <v>3</v>
      </c>
      <c r="D1900" s="37" t="s">
        <v>1246</v>
      </c>
      <c r="E1900" s="12" t="s">
        <v>2557</v>
      </c>
      <c r="F1900" s="22" t="s">
        <v>2560</v>
      </c>
      <c r="G1900" s="15" t="s">
        <v>32</v>
      </c>
    </row>
    <row r="1901" spans="1:9" hidden="1" x14ac:dyDescent="0.25">
      <c r="A1901" s="146" t="s">
        <v>4895</v>
      </c>
      <c r="B1901" s="12" t="s">
        <v>4896</v>
      </c>
      <c r="C1901" s="13">
        <v>3</v>
      </c>
      <c r="D1901" s="22" t="s">
        <v>1246</v>
      </c>
      <c r="E1901" s="12" t="s">
        <v>4897</v>
      </c>
      <c r="F1901" s="38" t="s">
        <v>4900</v>
      </c>
      <c r="G1901" s="80" t="s">
        <v>32</v>
      </c>
    </row>
    <row r="1902" spans="1:9" hidden="1" x14ac:dyDescent="0.2">
      <c r="A1902" s="146" t="s">
        <v>5004</v>
      </c>
      <c r="B1902" s="12" t="s">
        <v>5005</v>
      </c>
      <c r="C1902" s="13">
        <v>3</v>
      </c>
      <c r="D1902" s="22" t="s">
        <v>1246</v>
      </c>
      <c r="E1902" s="12" t="s">
        <v>5006</v>
      </c>
      <c r="F1902" s="38" t="s">
        <v>5009</v>
      </c>
      <c r="G1902" s="66" t="s">
        <v>32</v>
      </c>
    </row>
    <row r="1903" spans="1:9" hidden="1" x14ac:dyDescent="0.25">
      <c r="A1903" s="11" t="s">
        <v>1519</v>
      </c>
      <c r="B1903" s="12" t="s">
        <v>1520</v>
      </c>
      <c r="C1903" s="13">
        <v>3</v>
      </c>
      <c r="D1903" s="22" t="s">
        <v>1524</v>
      </c>
      <c r="E1903" s="12" t="s">
        <v>1521</v>
      </c>
      <c r="F1903" s="22" t="s">
        <v>1525</v>
      </c>
      <c r="G1903" s="15" t="s">
        <v>32</v>
      </c>
    </row>
    <row r="1904" spans="1:9" hidden="1" x14ac:dyDescent="0.2">
      <c r="A1904" s="11" t="s">
        <v>2500</v>
      </c>
      <c r="B1904" s="12" t="s">
        <v>2501</v>
      </c>
      <c r="C1904" s="13">
        <v>4</v>
      </c>
      <c r="D1904" s="14" t="s">
        <v>1524</v>
      </c>
      <c r="E1904" s="12" t="s">
        <v>2502</v>
      </c>
      <c r="F1904" s="12" t="s">
        <v>2506</v>
      </c>
      <c r="G1904" s="15" t="s">
        <v>32</v>
      </c>
    </row>
    <row r="1905" spans="1:27" hidden="1" x14ac:dyDescent="0.2">
      <c r="A1905" s="11" t="s">
        <v>2516</v>
      </c>
      <c r="B1905" s="12" t="s">
        <v>2517</v>
      </c>
      <c r="C1905" s="13">
        <v>4</v>
      </c>
      <c r="D1905" s="14" t="s">
        <v>1524</v>
      </c>
      <c r="E1905" s="12" t="s">
        <v>2518</v>
      </c>
      <c r="F1905" s="12" t="s">
        <v>2522</v>
      </c>
      <c r="G1905" s="15" t="s">
        <v>32</v>
      </c>
    </row>
    <row r="1906" spans="1:27" hidden="1" x14ac:dyDescent="0.2">
      <c r="A1906" s="11" t="s">
        <v>2529</v>
      </c>
      <c r="B1906" s="12" t="s">
        <v>2530</v>
      </c>
      <c r="C1906" s="13">
        <v>4</v>
      </c>
      <c r="D1906" s="37" t="s">
        <v>1524</v>
      </c>
      <c r="E1906" s="12" t="s">
        <v>2531</v>
      </c>
      <c r="F1906" s="22" t="s">
        <v>2535</v>
      </c>
      <c r="G1906" s="15" t="s">
        <v>32</v>
      </c>
    </row>
    <row r="1907" spans="1:27" hidden="1" x14ac:dyDescent="0.2">
      <c r="A1907" s="11" t="s">
        <v>3130</v>
      </c>
      <c r="B1907" s="12" t="s">
        <v>3131</v>
      </c>
      <c r="C1907" s="13">
        <v>3</v>
      </c>
      <c r="D1907" s="22" t="s">
        <v>1524</v>
      </c>
      <c r="E1907" s="12" t="s">
        <v>3132</v>
      </c>
      <c r="F1907" s="75" t="s">
        <v>3135</v>
      </c>
      <c r="G1907" s="66" t="s">
        <v>32</v>
      </c>
    </row>
    <row r="1908" spans="1:27" s="10" customFormat="1" hidden="1" x14ac:dyDescent="0.2">
      <c r="A1908" s="11" t="s">
        <v>4404</v>
      </c>
      <c r="B1908" s="12" t="s">
        <v>4405</v>
      </c>
      <c r="C1908" s="13">
        <v>7</v>
      </c>
      <c r="D1908" s="12" t="s">
        <v>1524</v>
      </c>
      <c r="E1908" s="12" t="s">
        <v>4406</v>
      </c>
      <c r="F1908" s="12" t="s">
        <v>4416</v>
      </c>
      <c r="G1908" s="66" t="s">
        <v>678</v>
      </c>
      <c r="H1908" s="8"/>
      <c r="I1908" s="94">
        <v>14</v>
      </c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  <c r="AA1908" s="8"/>
    </row>
    <row r="1909" spans="1:27" s="10" customFormat="1" hidden="1" x14ac:dyDescent="0.25">
      <c r="A1909" s="11" t="s">
        <v>2114</v>
      </c>
      <c r="B1909" s="12" t="s">
        <v>2115</v>
      </c>
      <c r="C1909" s="13">
        <v>3</v>
      </c>
      <c r="D1909" s="42" t="s">
        <v>2119</v>
      </c>
      <c r="E1909" s="12" t="s">
        <v>2116</v>
      </c>
      <c r="F1909" s="22" t="s">
        <v>2120</v>
      </c>
      <c r="G1909" s="15" t="s">
        <v>32</v>
      </c>
      <c r="H1909" s="8"/>
      <c r="I1909" s="90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  <c r="AA1909" s="8"/>
    </row>
    <row r="1910" spans="1:27" s="10" customFormat="1" hidden="1" x14ac:dyDescent="0.2">
      <c r="A1910" s="11" t="s">
        <v>2988</v>
      </c>
      <c r="B1910" s="12" t="s">
        <v>2989</v>
      </c>
      <c r="C1910" s="13">
        <f>1+C1909</f>
        <v>4</v>
      </c>
      <c r="D1910" s="37" t="s">
        <v>2119</v>
      </c>
      <c r="E1910" s="12" t="s">
        <v>2990</v>
      </c>
      <c r="F1910" s="75" t="s">
        <v>2994</v>
      </c>
      <c r="G1910" s="66" t="s">
        <v>32</v>
      </c>
      <c r="H1910" s="8"/>
      <c r="I1910" s="90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  <c r="AA1910" s="8"/>
    </row>
    <row r="1911" spans="1:27" s="10" customFormat="1" hidden="1" x14ac:dyDescent="0.2">
      <c r="A1911" s="11" t="s">
        <v>3633</v>
      </c>
      <c r="B1911" s="12" t="s">
        <v>3634</v>
      </c>
      <c r="C1911" s="13">
        <v>24</v>
      </c>
      <c r="D1911" s="12" t="s">
        <v>3663</v>
      </c>
      <c r="E1911" s="65" t="s">
        <v>3635</v>
      </c>
      <c r="F1911" s="65" t="s">
        <v>3664</v>
      </c>
      <c r="G1911" s="66" t="s">
        <v>13</v>
      </c>
      <c r="H1911" s="8"/>
      <c r="I1911" s="90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  <c r="AA1911" s="8"/>
    </row>
    <row r="1912" spans="1:27" s="10" customFormat="1" hidden="1" x14ac:dyDescent="0.25">
      <c r="A1912" s="11" t="s">
        <v>505</v>
      </c>
      <c r="B1912" s="12" t="s">
        <v>506</v>
      </c>
      <c r="C1912" s="13">
        <v>2</v>
      </c>
      <c r="D1912" s="22" t="s">
        <v>509</v>
      </c>
      <c r="E1912" s="12" t="s">
        <v>507</v>
      </c>
      <c r="F1912" s="22" t="s">
        <v>510</v>
      </c>
      <c r="G1912" s="15" t="s">
        <v>32</v>
      </c>
      <c r="H1912" s="8"/>
      <c r="I1912" s="90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8"/>
    </row>
    <row r="1913" spans="1:27" hidden="1" x14ac:dyDescent="0.25">
      <c r="A1913" s="56" t="s">
        <v>505</v>
      </c>
      <c r="B1913" s="61" t="s">
        <v>506</v>
      </c>
      <c r="C1913" s="58">
        <v>3</v>
      </c>
      <c r="D1913" s="17" t="s">
        <v>511</v>
      </c>
      <c r="E1913" s="61" t="s">
        <v>507</v>
      </c>
      <c r="F1913" s="17" t="s">
        <v>512</v>
      </c>
      <c r="G1913" s="62" t="s">
        <v>32</v>
      </c>
    </row>
    <row r="1914" spans="1:27" hidden="1" x14ac:dyDescent="0.2">
      <c r="A1914" s="11" t="s">
        <v>24</v>
      </c>
      <c r="B1914" s="12" t="s">
        <v>25</v>
      </c>
      <c r="C1914" s="13">
        <v>3</v>
      </c>
      <c r="D1914" s="37" t="s">
        <v>30</v>
      </c>
      <c r="E1914" s="12" t="s">
        <v>26</v>
      </c>
      <c r="F1914" s="22" t="s">
        <v>31</v>
      </c>
      <c r="G1914" s="15" t="s">
        <v>32</v>
      </c>
    </row>
    <row r="1915" spans="1:27" hidden="1" x14ac:dyDescent="0.2">
      <c r="A1915" s="11" t="s">
        <v>55</v>
      </c>
      <c r="B1915" s="12" t="s">
        <v>56</v>
      </c>
      <c r="C1915" s="13">
        <v>3</v>
      </c>
      <c r="D1915" s="37" t="s">
        <v>30</v>
      </c>
      <c r="E1915" s="12" t="s">
        <v>57</v>
      </c>
      <c r="F1915" s="22" t="s">
        <v>61</v>
      </c>
      <c r="G1915" s="15" t="s">
        <v>32</v>
      </c>
      <c r="I1915" s="102" t="s">
        <v>59</v>
      </c>
    </row>
    <row r="1916" spans="1:27" hidden="1" x14ac:dyDescent="0.2">
      <c r="A1916" s="11" t="s">
        <v>69</v>
      </c>
      <c r="B1916" s="12" t="s">
        <v>70</v>
      </c>
      <c r="C1916" s="13">
        <v>3</v>
      </c>
      <c r="D1916" s="37" t="s">
        <v>30</v>
      </c>
      <c r="E1916" s="12" t="s">
        <v>72</v>
      </c>
      <c r="F1916" s="22" t="s">
        <v>75</v>
      </c>
      <c r="G1916" s="15" t="s">
        <v>32</v>
      </c>
    </row>
    <row r="1917" spans="1:27" hidden="1" x14ac:dyDescent="0.2">
      <c r="A1917" s="11" t="s">
        <v>93</v>
      </c>
      <c r="B1917" s="12" t="s">
        <v>94</v>
      </c>
      <c r="C1917" s="13">
        <v>3</v>
      </c>
      <c r="D1917" s="37" t="s">
        <v>30</v>
      </c>
      <c r="E1917" s="12" t="s">
        <v>96</v>
      </c>
      <c r="F1917" s="22" t="s">
        <v>99</v>
      </c>
      <c r="G1917" s="15" t="s">
        <v>32</v>
      </c>
    </row>
    <row r="1918" spans="1:27" hidden="1" x14ac:dyDescent="0.2">
      <c r="A1918" s="11" t="s">
        <v>289</v>
      </c>
      <c r="B1918" s="12" t="s">
        <v>290</v>
      </c>
      <c r="C1918" s="13">
        <v>3</v>
      </c>
      <c r="D1918" s="37" t="s">
        <v>30</v>
      </c>
      <c r="E1918" s="12" t="s">
        <v>291</v>
      </c>
      <c r="F1918" s="22" t="s">
        <v>294</v>
      </c>
      <c r="G1918" s="15" t="s">
        <v>32</v>
      </c>
    </row>
    <row r="1919" spans="1:27" hidden="1" x14ac:dyDescent="0.2">
      <c r="A1919" s="11" t="s">
        <v>319</v>
      </c>
      <c r="B1919" s="12" t="s">
        <v>320</v>
      </c>
      <c r="C1919" s="13">
        <v>3</v>
      </c>
      <c r="D1919" s="37" t="s">
        <v>30</v>
      </c>
      <c r="E1919" s="12" t="s">
        <v>321</v>
      </c>
      <c r="F1919" s="22" t="s">
        <v>324</v>
      </c>
      <c r="G1919" s="15" t="s">
        <v>32</v>
      </c>
    </row>
    <row r="1920" spans="1:27" hidden="1" x14ac:dyDescent="0.2">
      <c r="A1920" s="11" t="s">
        <v>362</v>
      </c>
      <c r="B1920" s="12" t="s">
        <v>363</v>
      </c>
      <c r="C1920" s="13">
        <v>3</v>
      </c>
      <c r="D1920" s="37" t="s">
        <v>30</v>
      </c>
      <c r="E1920" s="12" t="s">
        <v>364</v>
      </c>
      <c r="F1920" s="22" t="s">
        <v>367</v>
      </c>
      <c r="G1920" s="15" t="s">
        <v>32</v>
      </c>
    </row>
    <row r="1921" spans="1:27" hidden="1" x14ac:dyDescent="0.2">
      <c r="A1921" s="11" t="s">
        <v>434</v>
      </c>
      <c r="B1921" s="12" t="s">
        <v>435</v>
      </c>
      <c r="C1921" s="13">
        <v>3</v>
      </c>
      <c r="D1921" s="37" t="s">
        <v>30</v>
      </c>
      <c r="E1921" s="12" t="s">
        <v>436</v>
      </c>
      <c r="F1921" s="22" t="s">
        <v>439</v>
      </c>
      <c r="G1921" s="15" t="s">
        <v>32</v>
      </c>
    </row>
    <row r="1922" spans="1:27" hidden="1" x14ac:dyDescent="0.2">
      <c r="A1922" s="11" t="s">
        <v>453</v>
      </c>
      <c r="B1922" s="12" t="s">
        <v>454</v>
      </c>
      <c r="C1922" s="13">
        <v>2</v>
      </c>
      <c r="D1922" s="37" t="s">
        <v>30</v>
      </c>
      <c r="E1922" s="12" t="s">
        <v>455</v>
      </c>
      <c r="F1922" s="22" t="s">
        <v>457</v>
      </c>
      <c r="G1922" s="15" t="s">
        <v>32</v>
      </c>
    </row>
    <row r="1923" spans="1:27" hidden="1" x14ac:dyDescent="0.2">
      <c r="A1923" s="11" t="s">
        <v>484</v>
      </c>
      <c r="B1923" s="12" t="s">
        <v>485</v>
      </c>
      <c r="C1923" s="13">
        <v>3</v>
      </c>
      <c r="D1923" s="37" t="s">
        <v>30</v>
      </c>
      <c r="E1923" s="12" t="s">
        <v>486</v>
      </c>
      <c r="F1923" s="22" t="s">
        <v>489</v>
      </c>
      <c r="G1923" s="15" t="s">
        <v>32</v>
      </c>
    </row>
    <row r="1924" spans="1:27" hidden="1" x14ac:dyDescent="0.2">
      <c r="A1924" s="11" t="s">
        <v>520</v>
      </c>
      <c r="B1924" s="12" t="s">
        <v>521</v>
      </c>
      <c r="C1924" s="13">
        <v>3</v>
      </c>
      <c r="D1924" s="22" t="s">
        <v>30</v>
      </c>
      <c r="E1924" s="14" t="s">
        <v>522</v>
      </c>
      <c r="F1924" s="22" t="s">
        <v>525</v>
      </c>
      <c r="G1924" s="15" t="s">
        <v>32</v>
      </c>
    </row>
    <row r="1925" spans="1:27" hidden="1" x14ac:dyDescent="0.2">
      <c r="A1925" s="11" t="s">
        <v>570</v>
      </c>
      <c r="B1925" s="12" t="s">
        <v>571</v>
      </c>
      <c r="C1925" s="13">
        <v>3</v>
      </c>
      <c r="D1925" s="22" t="s">
        <v>30</v>
      </c>
      <c r="E1925" s="14" t="s">
        <v>573</v>
      </c>
      <c r="F1925" s="22" t="s">
        <v>576</v>
      </c>
      <c r="G1925" s="15" t="s">
        <v>32</v>
      </c>
      <c r="I1925" s="90">
        <v>12</v>
      </c>
    </row>
    <row r="1926" spans="1:27" hidden="1" x14ac:dyDescent="0.2">
      <c r="A1926" s="11" t="s">
        <v>585</v>
      </c>
      <c r="B1926" s="12" t="s">
        <v>586</v>
      </c>
      <c r="C1926" s="13">
        <v>3</v>
      </c>
      <c r="D1926" s="37" t="s">
        <v>30</v>
      </c>
      <c r="E1926" s="12" t="s">
        <v>587</v>
      </c>
      <c r="F1926" s="22" t="s">
        <v>590</v>
      </c>
      <c r="G1926" s="15" t="s">
        <v>32</v>
      </c>
      <c r="I1926" s="99">
        <v>13</v>
      </c>
    </row>
    <row r="1927" spans="1:27" hidden="1" x14ac:dyDescent="0.25">
      <c r="A1927" s="109" t="s">
        <v>690</v>
      </c>
      <c r="B1927" s="12" t="s">
        <v>691</v>
      </c>
      <c r="C1927" s="13">
        <v>3</v>
      </c>
      <c r="D1927" s="22" t="s">
        <v>30</v>
      </c>
      <c r="E1927" s="12" t="s">
        <v>692</v>
      </c>
      <c r="F1927" s="22" t="s">
        <v>695</v>
      </c>
      <c r="G1927" s="15" t="s">
        <v>678</v>
      </c>
      <c r="I1927" s="102" t="s">
        <v>59</v>
      </c>
    </row>
    <row r="1928" spans="1:27" hidden="1" x14ac:dyDescent="0.25">
      <c r="A1928" s="109" t="s">
        <v>708</v>
      </c>
      <c r="B1928" s="12" t="s">
        <v>709</v>
      </c>
      <c r="C1928" s="13">
        <v>3</v>
      </c>
      <c r="D1928" s="22" t="s">
        <v>30</v>
      </c>
      <c r="E1928" s="12" t="s">
        <v>710</v>
      </c>
      <c r="F1928" s="22" t="s">
        <v>713</v>
      </c>
      <c r="G1928" s="15" t="s">
        <v>678</v>
      </c>
      <c r="I1928" s="102" t="s">
        <v>59</v>
      </c>
    </row>
    <row r="1929" spans="1:27" hidden="1" x14ac:dyDescent="0.25">
      <c r="A1929" s="109" t="s">
        <v>729</v>
      </c>
      <c r="B1929" s="12" t="s">
        <v>730</v>
      </c>
      <c r="C1929" s="13">
        <v>3</v>
      </c>
      <c r="D1929" s="22" t="s">
        <v>30</v>
      </c>
      <c r="E1929" s="12" t="s">
        <v>731</v>
      </c>
      <c r="F1929" s="22" t="s">
        <v>734</v>
      </c>
      <c r="G1929" s="15" t="s">
        <v>678</v>
      </c>
      <c r="I1929" s="102" t="s">
        <v>59</v>
      </c>
    </row>
    <row r="1930" spans="1:27" hidden="1" x14ac:dyDescent="0.2">
      <c r="A1930" s="21" t="s">
        <v>791</v>
      </c>
      <c r="B1930" s="22" t="s">
        <v>792</v>
      </c>
      <c r="C1930" s="23">
        <v>3</v>
      </c>
      <c r="D1930" s="37" t="s">
        <v>30</v>
      </c>
      <c r="E1930" s="22" t="s">
        <v>793</v>
      </c>
      <c r="F1930" s="22" t="s">
        <v>796</v>
      </c>
      <c r="G1930" s="26" t="s">
        <v>32</v>
      </c>
      <c r="I1930" s="9">
        <v>15</v>
      </c>
    </row>
    <row r="1931" spans="1:27" hidden="1" x14ac:dyDescent="0.2">
      <c r="A1931" s="21" t="s">
        <v>916</v>
      </c>
      <c r="B1931" s="22" t="s">
        <v>917</v>
      </c>
      <c r="C1931" s="23">
        <v>3</v>
      </c>
      <c r="D1931" s="37" t="s">
        <v>30</v>
      </c>
      <c r="E1931" s="22" t="s">
        <v>918</v>
      </c>
      <c r="F1931" s="22" t="s">
        <v>921</v>
      </c>
      <c r="G1931" s="26" t="s">
        <v>848</v>
      </c>
      <c r="H1931" s="38"/>
      <c r="I1931" s="39">
        <v>15</v>
      </c>
      <c r="J1931" s="38"/>
      <c r="K1931" s="38"/>
      <c r="L1931" s="38"/>
      <c r="M1931" s="38"/>
      <c r="N1931" s="38"/>
      <c r="O1931" s="38"/>
      <c r="P1931" s="38"/>
      <c r="Q1931" s="38"/>
      <c r="R1931" s="38"/>
      <c r="S1931" s="38"/>
      <c r="T1931" s="38"/>
      <c r="U1931" s="38"/>
      <c r="V1931" s="38"/>
      <c r="W1931" s="38"/>
      <c r="X1931" s="38"/>
      <c r="Y1931" s="38"/>
      <c r="Z1931" s="38"/>
      <c r="AA1931" s="38"/>
    </row>
    <row r="1932" spans="1:27" hidden="1" x14ac:dyDescent="0.2">
      <c r="A1932" s="21" t="s">
        <v>926</v>
      </c>
      <c r="B1932" s="22" t="s">
        <v>927</v>
      </c>
      <c r="C1932" s="23">
        <v>3</v>
      </c>
      <c r="D1932" s="37" t="s">
        <v>30</v>
      </c>
      <c r="E1932" s="22" t="s">
        <v>928</v>
      </c>
      <c r="F1932" s="22" t="s">
        <v>931</v>
      </c>
      <c r="G1932" s="26" t="s">
        <v>848</v>
      </c>
      <c r="H1932" s="38"/>
      <c r="I1932" s="39">
        <v>15</v>
      </c>
      <c r="J1932" s="38"/>
      <c r="K1932" s="38"/>
      <c r="L1932" s="38"/>
      <c r="M1932" s="38"/>
      <c r="N1932" s="38"/>
      <c r="O1932" s="38"/>
      <c r="P1932" s="38"/>
      <c r="Q1932" s="38"/>
      <c r="R1932" s="38"/>
      <c r="S1932" s="38"/>
      <c r="T1932" s="38"/>
      <c r="U1932" s="38"/>
      <c r="V1932" s="38"/>
      <c r="W1932" s="38"/>
      <c r="X1932" s="38"/>
      <c r="Y1932" s="38"/>
      <c r="Z1932" s="38"/>
      <c r="AA1932" s="38"/>
    </row>
    <row r="1933" spans="1:27" hidden="1" x14ac:dyDescent="0.2">
      <c r="A1933" s="21" t="s">
        <v>943</v>
      </c>
      <c r="B1933" s="22" t="s">
        <v>944</v>
      </c>
      <c r="C1933" s="23">
        <v>3</v>
      </c>
      <c r="D1933" s="37" t="s">
        <v>30</v>
      </c>
      <c r="E1933" s="22" t="s">
        <v>945</v>
      </c>
      <c r="F1933" s="22" t="s">
        <v>948</v>
      </c>
      <c r="G1933" s="26" t="s">
        <v>848</v>
      </c>
      <c r="H1933" s="38"/>
      <c r="I1933" s="39">
        <v>15</v>
      </c>
      <c r="J1933" s="38"/>
      <c r="K1933" s="38"/>
      <c r="L1933" s="38"/>
      <c r="M1933" s="38"/>
      <c r="N1933" s="38"/>
      <c r="O1933" s="38"/>
      <c r="P1933" s="38"/>
      <c r="Q1933" s="38"/>
      <c r="R1933" s="38"/>
      <c r="S1933" s="38"/>
      <c r="T1933" s="38"/>
      <c r="U1933" s="38"/>
      <c r="V1933" s="38"/>
      <c r="W1933" s="38"/>
      <c r="X1933" s="38"/>
      <c r="Y1933" s="38"/>
      <c r="Z1933" s="38"/>
      <c r="AA1933" s="38"/>
    </row>
    <row r="1934" spans="1:27" hidden="1" x14ac:dyDescent="0.2">
      <c r="A1934" s="21" t="s">
        <v>1000</v>
      </c>
      <c r="B1934" s="22" t="s">
        <v>1001</v>
      </c>
      <c r="C1934" s="23">
        <v>3</v>
      </c>
      <c r="D1934" s="37" t="s">
        <v>30</v>
      </c>
      <c r="E1934" s="22" t="s">
        <v>1002</v>
      </c>
      <c r="F1934" s="22" t="s">
        <v>1005</v>
      </c>
      <c r="G1934" s="26" t="s">
        <v>848</v>
      </c>
      <c r="H1934" s="38"/>
      <c r="I1934" s="39">
        <v>15</v>
      </c>
      <c r="J1934" s="38"/>
      <c r="K1934" s="38"/>
      <c r="L1934" s="38"/>
      <c r="M1934" s="38"/>
      <c r="N1934" s="38"/>
      <c r="O1934" s="38"/>
      <c r="P1934" s="38"/>
      <c r="Q1934" s="38"/>
      <c r="R1934" s="38"/>
      <c r="S1934" s="38"/>
      <c r="T1934" s="38"/>
      <c r="U1934" s="38"/>
      <c r="V1934" s="38"/>
      <c r="W1934" s="38"/>
      <c r="X1934" s="38"/>
      <c r="Y1934" s="38"/>
      <c r="Z1934" s="38"/>
      <c r="AA1934" s="38"/>
    </row>
    <row r="1935" spans="1:27" hidden="1" x14ac:dyDescent="0.2">
      <c r="A1935" s="11" t="s">
        <v>1206</v>
      </c>
      <c r="B1935" s="12" t="s">
        <v>1207</v>
      </c>
      <c r="C1935" s="13">
        <v>3</v>
      </c>
      <c r="D1935" s="37" t="s">
        <v>1211</v>
      </c>
      <c r="E1935" s="12" t="s">
        <v>1208</v>
      </c>
      <c r="F1935" s="22" t="s">
        <v>1212</v>
      </c>
      <c r="G1935" s="15" t="s">
        <v>32</v>
      </c>
      <c r="I1935" s="99">
        <v>13</v>
      </c>
    </row>
    <row r="1936" spans="1:27" hidden="1" x14ac:dyDescent="0.25">
      <c r="A1936" s="11" t="s">
        <v>2114</v>
      </c>
      <c r="B1936" s="12" t="s">
        <v>2115</v>
      </c>
      <c r="C1936" s="13">
        <v>4</v>
      </c>
      <c r="D1936" s="42" t="s">
        <v>30</v>
      </c>
      <c r="E1936" s="12" t="s">
        <v>2116</v>
      </c>
      <c r="F1936" s="22" t="s">
        <v>2121</v>
      </c>
      <c r="G1936" s="15" t="s">
        <v>32</v>
      </c>
    </row>
    <row r="1937" spans="1:27" hidden="1" x14ac:dyDescent="0.2">
      <c r="A1937" s="11" t="s">
        <v>2500</v>
      </c>
      <c r="B1937" s="12" t="s">
        <v>2501</v>
      </c>
      <c r="C1937" s="13">
        <v>3</v>
      </c>
      <c r="D1937" s="37" t="s">
        <v>30</v>
      </c>
      <c r="E1937" s="12" t="s">
        <v>2502</v>
      </c>
      <c r="F1937" s="22" t="s">
        <v>2505</v>
      </c>
      <c r="G1937" s="15" t="s">
        <v>32</v>
      </c>
    </row>
    <row r="1938" spans="1:27" hidden="1" x14ac:dyDescent="0.2">
      <c r="A1938" s="11" t="s">
        <v>2566</v>
      </c>
      <c r="B1938" s="12" t="s">
        <v>2567</v>
      </c>
      <c r="C1938" s="13">
        <v>3</v>
      </c>
      <c r="D1938" s="37" t="s">
        <v>30</v>
      </c>
      <c r="E1938" s="12" t="s">
        <v>2568</v>
      </c>
      <c r="F1938" s="75" t="s">
        <v>2571</v>
      </c>
      <c r="G1938" s="66" t="s">
        <v>32</v>
      </c>
    </row>
    <row r="1939" spans="1:27" hidden="1" x14ac:dyDescent="0.2">
      <c r="A1939" s="11" t="s">
        <v>2608</v>
      </c>
      <c r="B1939" s="12" t="s">
        <v>2609</v>
      </c>
      <c r="C1939" s="13">
        <v>3</v>
      </c>
      <c r="D1939" s="37" t="s">
        <v>30</v>
      </c>
      <c r="E1939" s="12" t="s">
        <v>2610</v>
      </c>
      <c r="F1939" s="75" t="s">
        <v>2613</v>
      </c>
      <c r="G1939" s="66" t="s">
        <v>32</v>
      </c>
    </row>
    <row r="1940" spans="1:27" hidden="1" x14ac:dyDescent="0.2">
      <c r="A1940" s="11" t="s">
        <v>2631</v>
      </c>
      <c r="B1940" s="12" t="s">
        <v>2632</v>
      </c>
      <c r="C1940" s="13">
        <v>3</v>
      </c>
      <c r="D1940" s="37" t="s">
        <v>30</v>
      </c>
      <c r="E1940" s="12" t="s">
        <v>2634</v>
      </c>
      <c r="F1940" s="75" t="s">
        <v>2637</v>
      </c>
      <c r="G1940" s="66" t="s">
        <v>32</v>
      </c>
    </row>
    <row r="1941" spans="1:27" hidden="1" x14ac:dyDescent="0.2">
      <c r="A1941" s="11" t="s">
        <v>2867</v>
      </c>
      <c r="B1941" s="12" t="s">
        <v>2868</v>
      </c>
      <c r="C1941" s="13">
        <v>3</v>
      </c>
      <c r="D1941" s="37" t="s">
        <v>30</v>
      </c>
      <c r="E1941" s="12" t="s">
        <v>2869</v>
      </c>
      <c r="F1941" s="75" t="s">
        <v>2872</v>
      </c>
      <c r="G1941" s="66" t="s">
        <v>32</v>
      </c>
    </row>
    <row r="1942" spans="1:27" hidden="1" x14ac:dyDescent="0.2">
      <c r="A1942" s="11" t="s">
        <v>3034</v>
      </c>
      <c r="B1942" s="12" t="s">
        <v>3035</v>
      </c>
      <c r="C1942" s="13">
        <f>+C1941+1</f>
        <v>4</v>
      </c>
      <c r="D1942" s="38" t="s">
        <v>1211</v>
      </c>
      <c r="E1942" s="12" t="s">
        <v>3036</v>
      </c>
      <c r="F1942" s="38" t="s">
        <v>3039</v>
      </c>
      <c r="G1942" s="66" t="s">
        <v>32</v>
      </c>
    </row>
    <row r="1943" spans="1:27" hidden="1" x14ac:dyDescent="0.2">
      <c r="A1943" s="11" t="s">
        <v>3165</v>
      </c>
      <c r="B1943" s="12" t="s">
        <v>3166</v>
      </c>
      <c r="C1943" s="13">
        <v>3</v>
      </c>
      <c r="D1943" s="22" t="s">
        <v>30</v>
      </c>
      <c r="E1943" s="22" t="s">
        <v>3167</v>
      </c>
      <c r="F1943" s="75" t="s">
        <v>3170</v>
      </c>
      <c r="G1943" s="71" t="s">
        <v>32</v>
      </c>
    </row>
    <row r="1944" spans="1:27" hidden="1" x14ac:dyDescent="0.2">
      <c r="A1944" s="11" t="s">
        <v>3355</v>
      </c>
      <c r="B1944" s="12" t="s">
        <v>3356</v>
      </c>
      <c r="C1944" s="13">
        <v>3</v>
      </c>
      <c r="D1944" s="22" t="s">
        <v>30</v>
      </c>
      <c r="E1944" s="22" t="s">
        <v>3357</v>
      </c>
      <c r="F1944" s="75" t="s">
        <v>3360</v>
      </c>
      <c r="G1944" s="71" t="s">
        <v>32</v>
      </c>
      <c r="H1944" s="38"/>
      <c r="I1944" s="93"/>
      <c r="J1944" s="38"/>
      <c r="K1944" s="38"/>
      <c r="L1944" s="38"/>
      <c r="M1944" s="38"/>
      <c r="N1944" s="38"/>
      <c r="O1944" s="38"/>
      <c r="P1944" s="38"/>
      <c r="Q1944" s="38"/>
      <c r="R1944" s="38"/>
      <c r="S1944" s="38"/>
      <c r="T1944" s="38"/>
      <c r="U1944" s="38"/>
      <c r="V1944" s="38"/>
      <c r="W1944" s="38"/>
      <c r="X1944" s="38"/>
      <c r="Y1944" s="38"/>
      <c r="Z1944" s="38"/>
      <c r="AA1944" s="38"/>
    </row>
    <row r="1945" spans="1:27" hidden="1" x14ac:dyDescent="0.2">
      <c r="A1945" s="11" t="s">
        <v>4404</v>
      </c>
      <c r="B1945" s="12" t="s">
        <v>4405</v>
      </c>
      <c r="C1945" s="13">
        <v>3</v>
      </c>
      <c r="D1945" s="12" t="s">
        <v>30</v>
      </c>
      <c r="E1945" s="12" t="s">
        <v>4406</v>
      </c>
      <c r="F1945" s="12" t="s">
        <v>4410</v>
      </c>
      <c r="G1945" s="66" t="s">
        <v>678</v>
      </c>
      <c r="I1945" s="94">
        <v>14</v>
      </c>
    </row>
    <row r="1946" spans="1:27" hidden="1" x14ac:dyDescent="0.25">
      <c r="A1946" s="146" t="s">
        <v>5015</v>
      </c>
      <c r="B1946" s="12" t="s">
        <v>5016</v>
      </c>
      <c r="C1946" s="13">
        <v>3</v>
      </c>
      <c r="D1946" s="22" t="s">
        <v>30</v>
      </c>
      <c r="E1946" s="12" t="s">
        <v>5017</v>
      </c>
      <c r="F1946" s="38" t="s">
        <v>5020</v>
      </c>
      <c r="G1946" s="80" t="s">
        <v>32</v>
      </c>
    </row>
    <row r="1947" spans="1:27" hidden="1" x14ac:dyDescent="0.25">
      <c r="A1947" s="146" t="s">
        <v>5029</v>
      </c>
      <c r="B1947" s="12" t="s">
        <v>5030</v>
      </c>
      <c r="C1947" s="13">
        <v>3</v>
      </c>
      <c r="D1947" s="22" t="s">
        <v>30</v>
      </c>
      <c r="E1947" s="12" t="s">
        <v>5031</v>
      </c>
      <c r="F1947" s="22" t="s">
        <v>5034</v>
      </c>
      <c r="G1947" s="80" t="s">
        <v>32</v>
      </c>
    </row>
    <row r="1948" spans="1:27" hidden="1" x14ac:dyDescent="0.25">
      <c r="A1948" s="146" t="s">
        <v>5042</v>
      </c>
      <c r="B1948" s="12" t="s">
        <v>5043</v>
      </c>
      <c r="C1948" s="13">
        <v>3</v>
      </c>
      <c r="D1948" s="22" t="s">
        <v>30</v>
      </c>
      <c r="E1948" s="12" t="s">
        <v>5044</v>
      </c>
      <c r="F1948" s="22" t="s">
        <v>5047</v>
      </c>
      <c r="G1948" s="80" t="s">
        <v>32</v>
      </c>
    </row>
    <row r="1949" spans="1:27" hidden="1" x14ac:dyDescent="0.25">
      <c r="A1949" s="156" t="s">
        <v>5060</v>
      </c>
      <c r="B1949" s="22" t="s">
        <v>5061</v>
      </c>
      <c r="C1949" s="23">
        <v>3</v>
      </c>
      <c r="D1949" s="22" t="s">
        <v>30</v>
      </c>
      <c r="E1949" s="22" t="s">
        <v>5062</v>
      </c>
      <c r="F1949" s="22" t="s">
        <v>5065</v>
      </c>
      <c r="G1949" s="157" t="s">
        <v>32</v>
      </c>
    </row>
    <row r="1950" spans="1:27" hidden="1" x14ac:dyDescent="0.25">
      <c r="A1950" s="11" t="s">
        <v>5686</v>
      </c>
      <c r="B1950" s="12" t="s">
        <v>5687</v>
      </c>
      <c r="C1950" s="13">
        <f>C1949+1</f>
        <v>4</v>
      </c>
      <c r="D1950" s="22" t="s">
        <v>30</v>
      </c>
      <c r="E1950" s="12" t="s">
        <v>5688</v>
      </c>
      <c r="F1950" s="22" t="s">
        <v>5691</v>
      </c>
      <c r="G1950" s="15" t="s">
        <v>32</v>
      </c>
      <c r="I1950" s="90">
        <v>12</v>
      </c>
    </row>
    <row r="1951" spans="1:27" hidden="1" x14ac:dyDescent="0.25">
      <c r="A1951" s="11" t="s">
        <v>5866</v>
      </c>
      <c r="B1951" s="12" t="s">
        <v>5867</v>
      </c>
      <c r="C1951" s="13">
        <f>C1950+1</f>
        <v>5</v>
      </c>
      <c r="D1951" s="22" t="s">
        <v>30</v>
      </c>
      <c r="E1951" s="12" t="s">
        <v>5868</v>
      </c>
      <c r="F1951" s="22" t="s">
        <v>5871</v>
      </c>
      <c r="G1951" s="15" t="s">
        <v>32</v>
      </c>
      <c r="I1951" s="90">
        <v>12</v>
      </c>
    </row>
    <row r="1952" spans="1:27" hidden="1" x14ac:dyDescent="0.25">
      <c r="A1952" s="11" t="s">
        <v>5886</v>
      </c>
      <c r="B1952" s="12" t="s">
        <v>5887</v>
      </c>
      <c r="C1952" s="13">
        <v>3</v>
      </c>
      <c r="D1952" s="22" t="s">
        <v>30</v>
      </c>
      <c r="E1952" s="12" t="s">
        <v>5888</v>
      </c>
      <c r="F1952" s="22" t="s">
        <v>5891</v>
      </c>
      <c r="G1952" s="15" t="s">
        <v>32</v>
      </c>
      <c r="I1952" s="99">
        <v>13</v>
      </c>
    </row>
    <row r="1953" spans="1:27" hidden="1" x14ac:dyDescent="0.25">
      <c r="A1953" s="11" t="s">
        <v>5985</v>
      </c>
      <c r="B1953" s="12" t="s">
        <v>5986</v>
      </c>
      <c r="C1953" s="13">
        <v>3</v>
      </c>
      <c r="D1953" s="22" t="s">
        <v>30</v>
      </c>
      <c r="E1953" s="12" t="s">
        <v>5987</v>
      </c>
      <c r="F1953" s="22" t="s">
        <v>5990</v>
      </c>
      <c r="G1953" s="15" t="s">
        <v>32</v>
      </c>
    </row>
    <row r="1954" spans="1:27" hidden="1" x14ac:dyDescent="0.25">
      <c r="A1954" s="11" t="s">
        <v>6000</v>
      </c>
      <c r="B1954" s="12" t="s">
        <v>6001</v>
      </c>
      <c r="C1954" s="13">
        <v>3</v>
      </c>
      <c r="D1954" s="22" t="s">
        <v>30</v>
      </c>
      <c r="E1954" s="22" t="s">
        <v>6002</v>
      </c>
      <c r="F1954" s="22" t="s">
        <v>6005</v>
      </c>
      <c r="G1954" s="15" t="s">
        <v>32</v>
      </c>
    </row>
    <row r="1955" spans="1:27" hidden="1" x14ac:dyDescent="0.25">
      <c r="A1955" s="11" t="s">
        <v>6050</v>
      </c>
      <c r="B1955" s="12" t="s">
        <v>6051</v>
      </c>
      <c r="C1955" s="13">
        <v>3</v>
      </c>
      <c r="D1955" s="22" t="s">
        <v>1211</v>
      </c>
      <c r="E1955" s="12" t="s">
        <v>6052</v>
      </c>
      <c r="F1955" s="22" t="s">
        <v>6055</v>
      </c>
      <c r="G1955" s="15" t="s">
        <v>32</v>
      </c>
    </row>
    <row r="1956" spans="1:27" hidden="1" x14ac:dyDescent="0.25">
      <c r="A1956" s="11" t="s">
        <v>6086</v>
      </c>
      <c r="B1956" s="12" t="s">
        <v>6087</v>
      </c>
      <c r="C1956" s="13">
        <v>3</v>
      </c>
      <c r="D1956" s="22" t="s">
        <v>1211</v>
      </c>
      <c r="E1956" s="12" t="s">
        <v>6088</v>
      </c>
      <c r="F1956" s="22" t="s">
        <v>6091</v>
      </c>
      <c r="G1956" s="15" t="s">
        <v>32</v>
      </c>
    </row>
    <row r="1957" spans="1:27" hidden="1" x14ac:dyDescent="0.25">
      <c r="A1957" s="11" t="s">
        <v>6163</v>
      </c>
      <c r="B1957" s="12" t="s">
        <v>6164</v>
      </c>
      <c r="C1957" s="13">
        <v>3</v>
      </c>
      <c r="D1957" s="22" t="s">
        <v>30</v>
      </c>
      <c r="E1957" s="12" t="s">
        <v>6165</v>
      </c>
      <c r="F1957" s="22" t="s">
        <v>6168</v>
      </c>
      <c r="G1957" s="15" t="s">
        <v>32</v>
      </c>
    </row>
    <row r="1958" spans="1:27" hidden="1" x14ac:dyDescent="0.25">
      <c r="A1958" s="11" t="s">
        <v>6286</v>
      </c>
      <c r="B1958" s="12" t="s">
        <v>6287</v>
      </c>
      <c r="C1958" s="13">
        <f>C1957+1</f>
        <v>4</v>
      </c>
      <c r="D1958" s="22" t="s">
        <v>30</v>
      </c>
      <c r="E1958" s="12" t="s">
        <v>6288</v>
      </c>
      <c r="F1958" s="22" t="s">
        <v>6290</v>
      </c>
      <c r="G1958" s="15" t="s">
        <v>32</v>
      </c>
      <c r="I1958" s="90">
        <v>12</v>
      </c>
    </row>
    <row r="1959" spans="1:27" hidden="1" x14ac:dyDescent="0.25">
      <c r="A1959" s="11" t="s">
        <v>6408</v>
      </c>
      <c r="B1959" s="12" t="s">
        <v>6409</v>
      </c>
      <c r="C1959" s="13">
        <v>2</v>
      </c>
      <c r="D1959" s="22" t="s">
        <v>30</v>
      </c>
      <c r="E1959" s="12" t="s">
        <v>6410</v>
      </c>
      <c r="F1959" s="22" t="s">
        <v>6412</v>
      </c>
      <c r="G1959" s="15" t="s">
        <v>848</v>
      </c>
      <c r="I1959" s="101" t="s">
        <v>5818</v>
      </c>
    </row>
    <row r="1960" spans="1:27" hidden="1" x14ac:dyDescent="0.25">
      <c r="A1960" s="21" t="s">
        <v>6442</v>
      </c>
      <c r="B1960" s="22" t="s">
        <v>6443</v>
      </c>
      <c r="C1960" s="23">
        <v>3</v>
      </c>
      <c r="D1960" s="22" t="s">
        <v>1211</v>
      </c>
      <c r="E1960" s="22" t="s">
        <v>6444</v>
      </c>
      <c r="F1960" s="22" t="s">
        <v>6447</v>
      </c>
      <c r="G1960" s="26" t="s">
        <v>32</v>
      </c>
      <c r="H1960" s="38"/>
      <c r="I1960" s="39">
        <v>15</v>
      </c>
      <c r="J1960" s="38"/>
      <c r="K1960" s="38"/>
      <c r="L1960" s="38"/>
      <c r="M1960" s="38"/>
      <c r="N1960" s="38"/>
      <c r="O1960" s="38"/>
      <c r="P1960" s="38"/>
      <c r="Q1960" s="38"/>
      <c r="R1960" s="38"/>
      <c r="S1960" s="38"/>
      <c r="T1960" s="38"/>
      <c r="U1960" s="38"/>
      <c r="V1960" s="38"/>
      <c r="W1960" s="38"/>
      <c r="X1960" s="38"/>
      <c r="Y1960" s="38"/>
      <c r="Z1960" s="38"/>
      <c r="AA1960" s="38"/>
    </row>
    <row r="1961" spans="1:27" ht="24" hidden="1" x14ac:dyDescent="0.25">
      <c r="A1961" s="21" t="s">
        <v>6463</v>
      </c>
      <c r="B1961" s="22" t="s">
        <v>6464</v>
      </c>
      <c r="C1961" s="23">
        <v>3</v>
      </c>
      <c r="D1961" s="22" t="s">
        <v>1211</v>
      </c>
      <c r="E1961" s="22" t="s">
        <v>6465</v>
      </c>
      <c r="F1961" s="22" t="s">
        <v>6468</v>
      </c>
      <c r="G1961" s="26" t="s">
        <v>32</v>
      </c>
      <c r="H1961" s="38"/>
      <c r="I1961" s="39">
        <v>15</v>
      </c>
      <c r="J1961" s="38"/>
      <c r="K1961" s="38"/>
      <c r="L1961" s="38"/>
      <c r="M1961" s="38"/>
      <c r="N1961" s="38"/>
      <c r="O1961" s="38"/>
      <c r="P1961" s="38"/>
      <c r="Q1961" s="38"/>
      <c r="R1961" s="38"/>
      <c r="S1961" s="38"/>
      <c r="T1961" s="38"/>
      <c r="U1961" s="38"/>
      <c r="V1961" s="38"/>
      <c r="W1961" s="38"/>
      <c r="X1961" s="38"/>
      <c r="Y1961" s="38"/>
      <c r="Z1961" s="38"/>
      <c r="AA1961" s="38"/>
    </row>
    <row r="1962" spans="1:27" hidden="1" x14ac:dyDescent="0.25">
      <c r="A1962" s="21" t="s">
        <v>6518</v>
      </c>
      <c r="B1962" s="22" t="s">
        <v>6519</v>
      </c>
      <c r="C1962" s="23">
        <v>3</v>
      </c>
      <c r="D1962" s="22" t="s">
        <v>30</v>
      </c>
      <c r="E1962" s="22" t="s">
        <v>6520</v>
      </c>
      <c r="F1962" s="22" t="s">
        <v>6523</v>
      </c>
      <c r="G1962" s="26" t="s">
        <v>32</v>
      </c>
      <c r="H1962" s="38"/>
      <c r="I1962" s="39">
        <v>15</v>
      </c>
      <c r="J1962" s="38"/>
      <c r="K1962" s="38"/>
      <c r="L1962" s="38"/>
      <c r="M1962" s="38"/>
      <c r="N1962" s="38"/>
      <c r="O1962" s="38"/>
      <c r="P1962" s="38"/>
      <c r="Q1962" s="38"/>
      <c r="R1962" s="38"/>
      <c r="S1962" s="38"/>
      <c r="T1962" s="38"/>
      <c r="U1962" s="38"/>
      <c r="V1962" s="38"/>
      <c r="W1962" s="38"/>
      <c r="X1962" s="38"/>
      <c r="Y1962" s="38"/>
      <c r="Z1962" s="38"/>
      <c r="AA1962" s="38"/>
    </row>
    <row r="1963" spans="1:27" hidden="1" x14ac:dyDescent="0.2">
      <c r="A1963" s="11" t="s">
        <v>6645</v>
      </c>
      <c r="B1963" s="12" t="s">
        <v>6646</v>
      </c>
      <c r="C1963" s="13">
        <v>2</v>
      </c>
      <c r="D1963" s="37" t="s">
        <v>30</v>
      </c>
      <c r="E1963" s="12" t="s">
        <v>6647</v>
      </c>
      <c r="F1963" s="22" t="s">
        <v>6649</v>
      </c>
      <c r="G1963" s="15" t="s">
        <v>32</v>
      </c>
    </row>
    <row r="1964" spans="1:27" hidden="1" x14ac:dyDescent="0.2">
      <c r="A1964" s="11" t="s">
        <v>6801</v>
      </c>
      <c r="B1964" s="12" t="s">
        <v>6802</v>
      </c>
      <c r="C1964" s="13">
        <v>2</v>
      </c>
      <c r="D1964" s="37" t="s">
        <v>30</v>
      </c>
      <c r="E1964" s="12" t="s">
        <v>6803</v>
      </c>
      <c r="F1964" s="22" t="s">
        <v>6805</v>
      </c>
      <c r="G1964" s="15" t="s">
        <v>32</v>
      </c>
    </row>
    <row r="1965" spans="1:27" hidden="1" x14ac:dyDescent="0.2">
      <c r="A1965" s="11" t="s">
        <v>6811</v>
      </c>
      <c r="B1965" s="12" t="s">
        <v>6812</v>
      </c>
      <c r="C1965" s="13">
        <v>2</v>
      </c>
      <c r="D1965" s="37" t="s">
        <v>30</v>
      </c>
      <c r="E1965" s="12" t="s">
        <v>6813</v>
      </c>
      <c r="F1965" s="22" t="s">
        <v>6815</v>
      </c>
      <c r="G1965" s="15" t="s">
        <v>32</v>
      </c>
    </row>
    <row r="1966" spans="1:27" hidden="1" x14ac:dyDescent="0.2">
      <c r="A1966" s="11" t="s">
        <v>6967</v>
      </c>
      <c r="B1966" s="12" t="s">
        <v>6968</v>
      </c>
      <c r="C1966" s="13">
        <v>2</v>
      </c>
      <c r="D1966" s="37" t="s">
        <v>30</v>
      </c>
      <c r="E1966" s="12" t="s">
        <v>6969</v>
      </c>
      <c r="F1966" s="22" t="s">
        <v>6971</v>
      </c>
      <c r="G1966" s="15" t="s">
        <v>32</v>
      </c>
    </row>
    <row r="1967" spans="1:27" hidden="1" x14ac:dyDescent="0.2">
      <c r="A1967" s="11" t="s">
        <v>7002</v>
      </c>
      <c r="B1967" s="12" t="s">
        <v>7003</v>
      </c>
      <c r="C1967" s="13">
        <v>3</v>
      </c>
      <c r="D1967" s="37" t="s">
        <v>30</v>
      </c>
      <c r="E1967" s="12" t="s">
        <v>7004</v>
      </c>
      <c r="F1967" s="22" t="s">
        <v>7007</v>
      </c>
      <c r="G1967" s="15" t="s">
        <v>32</v>
      </c>
    </row>
    <row r="1968" spans="1:27" hidden="1" x14ac:dyDescent="0.2">
      <c r="A1968" s="11" t="s">
        <v>2024</v>
      </c>
      <c r="B1968" s="12" t="s">
        <v>2025</v>
      </c>
      <c r="C1968" s="13">
        <v>19</v>
      </c>
      <c r="D1968" s="14" t="s">
        <v>2056</v>
      </c>
      <c r="E1968" s="12" t="s">
        <v>2026</v>
      </c>
      <c r="F1968" s="12" t="s">
        <v>2057</v>
      </c>
      <c r="G1968" s="15" t="s">
        <v>16</v>
      </c>
    </row>
    <row r="1969" spans="1:27" hidden="1" x14ac:dyDescent="0.25">
      <c r="A1969" s="11" t="s">
        <v>5686</v>
      </c>
      <c r="B1969" s="12" t="s">
        <v>5687</v>
      </c>
      <c r="C1969" s="13">
        <f>C1968+1</f>
        <v>20</v>
      </c>
      <c r="D1969" s="22" t="s">
        <v>5692</v>
      </c>
      <c r="E1969" s="12" t="s">
        <v>5688</v>
      </c>
      <c r="F1969" s="22" t="s">
        <v>5693</v>
      </c>
      <c r="G1969" s="15" t="s">
        <v>32</v>
      </c>
      <c r="I1969" s="90">
        <v>12</v>
      </c>
    </row>
    <row r="1970" spans="1:27" hidden="1" x14ac:dyDescent="0.25">
      <c r="A1970" s="46" t="s">
        <v>5866</v>
      </c>
      <c r="B1970" s="12" t="s">
        <v>5867</v>
      </c>
      <c r="C1970" s="13">
        <f>C1969+1</f>
        <v>21</v>
      </c>
      <c r="D1970" s="22" t="s">
        <v>5692</v>
      </c>
      <c r="E1970" s="12" t="s">
        <v>5868</v>
      </c>
      <c r="F1970" s="22" t="s">
        <v>5872</v>
      </c>
      <c r="G1970" s="15" t="s">
        <v>32</v>
      </c>
      <c r="I1970" s="90">
        <v>12</v>
      </c>
    </row>
    <row r="1971" spans="1:27" hidden="1" x14ac:dyDescent="0.2">
      <c r="A1971" s="11" t="s">
        <v>6811</v>
      </c>
      <c r="B1971" s="12" t="s">
        <v>6812</v>
      </c>
      <c r="C1971" s="13">
        <v>4</v>
      </c>
      <c r="D1971" s="37" t="s">
        <v>6817</v>
      </c>
      <c r="E1971" s="12" t="s">
        <v>6813</v>
      </c>
      <c r="F1971" s="22" t="s">
        <v>6818</v>
      </c>
      <c r="G1971" s="15" t="s">
        <v>32</v>
      </c>
    </row>
    <row r="1972" spans="1:27" hidden="1" x14ac:dyDescent="0.25">
      <c r="A1972" s="11" t="s">
        <v>5886</v>
      </c>
      <c r="B1972" s="12" t="s">
        <v>5887</v>
      </c>
      <c r="C1972" s="13">
        <v>10</v>
      </c>
      <c r="D1972" s="12" t="s">
        <v>5900</v>
      </c>
      <c r="E1972" s="12" t="s">
        <v>5888</v>
      </c>
      <c r="F1972" s="12" t="s">
        <v>5901</v>
      </c>
      <c r="G1972" s="15" t="s">
        <v>32</v>
      </c>
      <c r="I1972" s="99">
        <v>13</v>
      </c>
    </row>
    <row r="1973" spans="1:27" hidden="1" x14ac:dyDescent="0.25">
      <c r="A1973" s="146" t="s">
        <v>5015</v>
      </c>
      <c r="B1973" s="12" t="s">
        <v>5016</v>
      </c>
      <c r="C1973" s="13">
        <v>8</v>
      </c>
      <c r="D1973" s="12" t="s">
        <v>5027</v>
      </c>
      <c r="E1973" s="12" t="s">
        <v>5017</v>
      </c>
      <c r="F1973" s="8" t="s">
        <v>5028</v>
      </c>
      <c r="G1973" s="80" t="s">
        <v>32</v>
      </c>
    </row>
    <row r="1974" spans="1:27" hidden="1" x14ac:dyDescent="0.25">
      <c r="A1974" s="11" t="s">
        <v>1464</v>
      </c>
      <c r="B1974" s="12" t="s">
        <v>1465</v>
      </c>
      <c r="C1974" s="13">
        <v>3</v>
      </c>
      <c r="D1974" s="22" t="s">
        <v>1470</v>
      </c>
      <c r="E1974" s="12" t="s">
        <v>1466</v>
      </c>
      <c r="F1974" s="22" t="s">
        <v>1471</v>
      </c>
      <c r="G1974" s="15" t="s">
        <v>32</v>
      </c>
    </row>
    <row r="1975" spans="1:27" hidden="1" x14ac:dyDescent="0.25">
      <c r="A1975" s="146" t="s">
        <v>5015</v>
      </c>
      <c r="B1975" s="12" t="s">
        <v>5016</v>
      </c>
      <c r="C1975" s="13">
        <v>7</v>
      </c>
      <c r="D1975" s="12" t="s">
        <v>5025</v>
      </c>
      <c r="E1975" s="12" t="s">
        <v>5017</v>
      </c>
      <c r="F1975" s="8" t="s">
        <v>5026</v>
      </c>
      <c r="G1975" s="80" t="s">
        <v>32</v>
      </c>
    </row>
    <row r="1976" spans="1:27" hidden="1" x14ac:dyDescent="0.2">
      <c r="A1976" s="11" t="s">
        <v>2631</v>
      </c>
      <c r="B1976" s="12" t="s">
        <v>2632</v>
      </c>
      <c r="C1976" s="13">
        <v>4</v>
      </c>
      <c r="D1976" s="37" t="s">
        <v>2638</v>
      </c>
      <c r="E1976" s="12" t="s">
        <v>2634</v>
      </c>
      <c r="F1976" s="75" t="s">
        <v>2639</v>
      </c>
      <c r="G1976" s="66" t="s">
        <v>32</v>
      </c>
    </row>
    <row r="1977" spans="1:27" hidden="1" x14ac:dyDescent="0.2">
      <c r="A1977" s="11" t="s">
        <v>6843</v>
      </c>
      <c r="B1977" s="12" t="s">
        <v>6844</v>
      </c>
      <c r="C1977" s="13">
        <v>6</v>
      </c>
      <c r="D1977" s="14" t="s">
        <v>6852</v>
      </c>
      <c r="E1977" s="12" t="s">
        <v>6845</v>
      </c>
      <c r="F1977" s="12" t="s">
        <v>6853</v>
      </c>
      <c r="G1977" s="15" t="s">
        <v>32</v>
      </c>
    </row>
    <row r="1978" spans="1:27" hidden="1" x14ac:dyDescent="0.2">
      <c r="A1978" s="11" t="s">
        <v>6862</v>
      </c>
      <c r="B1978" s="12" t="s">
        <v>6863</v>
      </c>
      <c r="C1978" s="13">
        <v>5</v>
      </c>
      <c r="D1978" s="65" t="s">
        <v>6852</v>
      </c>
      <c r="E1978" s="12" t="s">
        <v>6864</v>
      </c>
      <c r="F1978" s="12" t="s">
        <v>6870</v>
      </c>
      <c r="G1978" s="15" t="s">
        <v>32</v>
      </c>
    </row>
    <row r="1979" spans="1:27" hidden="1" x14ac:dyDescent="0.2">
      <c r="A1979" s="11" t="s">
        <v>6880</v>
      </c>
      <c r="B1979" s="12" t="s">
        <v>6881</v>
      </c>
      <c r="C1979" s="13">
        <v>5</v>
      </c>
      <c r="D1979" s="14" t="s">
        <v>6852</v>
      </c>
      <c r="E1979" s="12" t="s">
        <v>6882</v>
      </c>
      <c r="F1979" s="12" t="s">
        <v>6888</v>
      </c>
      <c r="G1979" s="15" t="s">
        <v>32</v>
      </c>
    </row>
    <row r="1980" spans="1:27" hidden="1" x14ac:dyDescent="0.2">
      <c r="A1980" s="11" t="s">
        <v>434</v>
      </c>
      <c r="B1980" s="12" t="s">
        <v>435</v>
      </c>
      <c r="C1980" s="13">
        <v>7</v>
      </c>
      <c r="D1980" s="14" t="s">
        <v>446</v>
      </c>
      <c r="E1980" s="12" t="s">
        <v>436</v>
      </c>
      <c r="F1980" s="12" t="s">
        <v>447</v>
      </c>
      <c r="G1980" s="15" t="s">
        <v>32</v>
      </c>
    </row>
    <row r="1981" spans="1:27" hidden="1" x14ac:dyDescent="0.25">
      <c r="A1981" s="11" t="s">
        <v>1313</v>
      </c>
      <c r="B1981" s="12" t="s">
        <v>1314</v>
      </c>
      <c r="C1981" s="13">
        <v>3</v>
      </c>
      <c r="D1981" s="22" t="s">
        <v>446</v>
      </c>
      <c r="E1981" s="12" t="s">
        <v>1315</v>
      </c>
      <c r="F1981" s="22" t="s">
        <v>1318</v>
      </c>
      <c r="G1981" s="15" t="s">
        <v>32</v>
      </c>
    </row>
    <row r="1982" spans="1:27" hidden="1" x14ac:dyDescent="0.25">
      <c r="A1982" s="11" t="s">
        <v>1505</v>
      </c>
      <c r="B1982" s="12" t="s">
        <v>1506</v>
      </c>
      <c r="C1982" s="13">
        <v>3</v>
      </c>
      <c r="D1982" s="22" t="s">
        <v>446</v>
      </c>
      <c r="E1982" s="12" t="s">
        <v>1507</v>
      </c>
      <c r="F1982" s="22" t="s">
        <v>1510</v>
      </c>
      <c r="G1982" s="15" t="s">
        <v>32</v>
      </c>
    </row>
    <row r="1983" spans="1:27" hidden="1" x14ac:dyDescent="0.25">
      <c r="A1983" s="11" t="s">
        <v>1556</v>
      </c>
      <c r="B1983" s="12" t="s">
        <v>1557</v>
      </c>
      <c r="C1983" s="13">
        <v>3</v>
      </c>
      <c r="D1983" s="22" t="s">
        <v>446</v>
      </c>
      <c r="E1983" s="12" t="s">
        <v>1558</v>
      </c>
      <c r="F1983" s="22" t="s">
        <v>1561</v>
      </c>
      <c r="G1983" s="15" t="s">
        <v>32</v>
      </c>
      <c r="I1983" s="90">
        <v>12</v>
      </c>
    </row>
    <row r="1984" spans="1:27" hidden="1" x14ac:dyDescent="0.25">
      <c r="A1984" s="21" t="s">
        <v>1794</v>
      </c>
      <c r="B1984" s="22" t="s">
        <v>1795</v>
      </c>
      <c r="C1984" s="23">
        <v>3</v>
      </c>
      <c r="D1984" s="22" t="s">
        <v>446</v>
      </c>
      <c r="E1984" s="22" t="s">
        <v>1796</v>
      </c>
      <c r="F1984" s="22" t="s">
        <v>1799</v>
      </c>
      <c r="G1984" s="26" t="s">
        <v>32</v>
      </c>
      <c r="H1984" s="38"/>
      <c r="I1984" s="39">
        <v>15</v>
      </c>
      <c r="J1984" s="38"/>
      <c r="K1984" s="38"/>
      <c r="L1984" s="38"/>
      <c r="M1984" s="38"/>
      <c r="N1984" s="38"/>
      <c r="O1984" s="38"/>
      <c r="P1984" s="38"/>
      <c r="Q1984" s="38"/>
      <c r="R1984" s="38"/>
      <c r="S1984" s="38"/>
      <c r="T1984" s="38"/>
      <c r="U1984" s="38"/>
      <c r="V1984" s="38"/>
      <c r="W1984" s="38"/>
      <c r="X1984" s="38"/>
      <c r="Y1984" s="38"/>
      <c r="Z1984" s="38"/>
      <c r="AA1984" s="38"/>
    </row>
    <row r="1985" spans="1:27" hidden="1" x14ac:dyDescent="0.25">
      <c r="A1985" s="21" t="s">
        <v>1882</v>
      </c>
      <c r="B1985" s="22" t="s">
        <v>1883</v>
      </c>
      <c r="C1985" s="23">
        <v>3</v>
      </c>
      <c r="D1985" s="50" t="s">
        <v>446</v>
      </c>
      <c r="E1985" s="22" t="s">
        <v>1884</v>
      </c>
      <c r="F1985" s="22" t="s">
        <v>1887</v>
      </c>
      <c r="G1985" s="26" t="s">
        <v>32</v>
      </c>
      <c r="H1985" s="38"/>
      <c r="I1985" s="39">
        <v>15</v>
      </c>
      <c r="K1985" s="38"/>
      <c r="L1985" s="38"/>
      <c r="M1985" s="38"/>
      <c r="N1985" s="38"/>
      <c r="O1985" s="38"/>
      <c r="P1985" s="38"/>
      <c r="Q1985" s="38"/>
      <c r="R1985" s="38"/>
      <c r="S1985" s="38"/>
      <c r="T1985" s="38"/>
      <c r="U1985" s="38"/>
      <c r="V1985" s="38"/>
      <c r="W1985" s="38"/>
      <c r="X1985" s="38"/>
      <c r="Y1985" s="38"/>
      <c r="Z1985" s="38"/>
      <c r="AA1985" s="38"/>
    </row>
    <row r="1986" spans="1:27" hidden="1" x14ac:dyDescent="0.2">
      <c r="A1986" s="11" t="s">
        <v>2267</v>
      </c>
      <c r="B1986" s="12" t="s">
        <v>2268</v>
      </c>
      <c r="C1986" s="13">
        <v>3</v>
      </c>
      <c r="D1986" s="37" t="s">
        <v>2272</v>
      </c>
      <c r="E1986" s="12" t="s">
        <v>2269</v>
      </c>
      <c r="F1986" s="22" t="s">
        <v>2273</v>
      </c>
      <c r="G1986" s="15" t="s">
        <v>32</v>
      </c>
    </row>
    <row r="1987" spans="1:27" hidden="1" x14ac:dyDescent="0.2">
      <c r="A1987" s="11" t="s">
        <v>2516</v>
      </c>
      <c r="B1987" s="12" t="s">
        <v>2517</v>
      </c>
      <c r="C1987" s="13">
        <v>3</v>
      </c>
      <c r="D1987" s="37" t="s">
        <v>446</v>
      </c>
      <c r="E1987" s="12" t="s">
        <v>2518</v>
      </c>
      <c r="F1987" s="22" t="s">
        <v>2521</v>
      </c>
      <c r="G1987" s="15" t="s">
        <v>32</v>
      </c>
    </row>
    <row r="1988" spans="1:27" hidden="1" x14ac:dyDescent="0.2">
      <c r="A1988" s="11" t="s">
        <v>2541</v>
      </c>
      <c r="B1988" s="12" t="s">
        <v>2542</v>
      </c>
      <c r="C1988" s="13">
        <v>3</v>
      </c>
      <c r="D1988" s="37" t="s">
        <v>446</v>
      </c>
      <c r="E1988" s="12" t="s">
        <v>2543</v>
      </c>
      <c r="F1988" s="22" t="s">
        <v>2546</v>
      </c>
      <c r="G1988" s="15" t="s">
        <v>32</v>
      </c>
    </row>
    <row r="1989" spans="1:27" hidden="1" x14ac:dyDescent="0.2">
      <c r="A1989" s="21" t="s">
        <v>2566</v>
      </c>
      <c r="B1989" s="22" t="s">
        <v>2567</v>
      </c>
      <c r="C1989" s="23">
        <v>24</v>
      </c>
      <c r="D1989" s="37" t="s">
        <v>446</v>
      </c>
      <c r="E1989" s="22" t="s">
        <v>2568</v>
      </c>
      <c r="F1989" s="75" t="s">
        <v>2607</v>
      </c>
      <c r="G1989" s="71" t="s">
        <v>32</v>
      </c>
      <c r="H1989" s="38"/>
      <c r="I1989" s="39">
        <v>15</v>
      </c>
      <c r="J1989" s="38"/>
      <c r="K1989" s="38"/>
      <c r="L1989" s="38"/>
      <c r="M1989" s="38"/>
      <c r="N1989" s="38"/>
      <c r="O1989" s="38"/>
      <c r="P1989" s="38"/>
      <c r="Q1989" s="38"/>
      <c r="R1989" s="38"/>
      <c r="S1989" s="38"/>
      <c r="T1989" s="38"/>
      <c r="U1989" s="38"/>
      <c r="V1989" s="38"/>
      <c r="W1989" s="38"/>
      <c r="X1989" s="38"/>
      <c r="Y1989" s="38"/>
      <c r="Z1989" s="38"/>
      <c r="AA1989" s="38"/>
    </row>
    <row r="1990" spans="1:27" hidden="1" x14ac:dyDescent="0.2">
      <c r="A1990" s="11" t="s">
        <v>2608</v>
      </c>
      <c r="B1990" s="12" t="s">
        <v>2609</v>
      </c>
      <c r="C1990" s="13">
        <v>8</v>
      </c>
      <c r="D1990" s="14" t="s">
        <v>446</v>
      </c>
      <c r="E1990" s="12" t="s">
        <v>2610</v>
      </c>
      <c r="F1990" s="65" t="s">
        <v>2619</v>
      </c>
      <c r="G1990" s="66" t="s">
        <v>32</v>
      </c>
    </row>
    <row r="1991" spans="1:27" hidden="1" x14ac:dyDescent="0.2">
      <c r="A1991" s="11" t="s">
        <v>2867</v>
      </c>
      <c r="B1991" s="12" t="s">
        <v>2868</v>
      </c>
      <c r="C1991" s="13">
        <v>4</v>
      </c>
      <c r="D1991" s="37" t="s">
        <v>446</v>
      </c>
      <c r="E1991" s="12" t="s">
        <v>2869</v>
      </c>
      <c r="F1991" s="75" t="s">
        <v>2873</v>
      </c>
      <c r="G1991" s="66" t="s">
        <v>32</v>
      </c>
    </row>
    <row r="1992" spans="1:27" hidden="1" x14ac:dyDescent="0.2">
      <c r="A1992" s="11" t="s">
        <v>3384</v>
      </c>
      <c r="B1992" s="12" t="s">
        <v>3385</v>
      </c>
      <c r="C1992" s="13">
        <v>3</v>
      </c>
      <c r="D1992" s="42" t="s">
        <v>2272</v>
      </c>
      <c r="E1992" s="65" t="s">
        <v>3386</v>
      </c>
      <c r="F1992" s="75" t="s">
        <v>3389</v>
      </c>
      <c r="G1992" s="66" t="s">
        <v>32</v>
      </c>
    </row>
    <row r="1993" spans="1:27" hidden="1" x14ac:dyDescent="0.2">
      <c r="A1993" s="11" t="s">
        <v>4364</v>
      </c>
      <c r="B1993" s="12" t="s">
        <v>4365</v>
      </c>
      <c r="C1993" s="13">
        <f>C1992+1</f>
        <v>4</v>
      </c>
      <c r="D1993" s="22" t="s">
        <v>2272</v>
      </c>
      <c r="E1993" s="12" t="s">
        <v>4366</v>
      </c>
      <c r="F1993" s="22" t="s">
        <v>4369</v>
      </c>
      <c r="G1993" s="66" t="s">
        <v>32</v>
      </c>
      <c r="I1993" s="90" t="s">
        <v>2426</v>
      </c>
    </row>
    <row r="1994" spans="1:27" hidden="1" x14ac:dyDescent="0.2">
      <c r="A1994" s="11" t="s">
        <v>4404</v>
      </c>
      <c r="B1994" s="12" t="s">
        <v>4405</v>
      </c>
      <c r="C1994" s="13">
        <v>4</v>
      </c>
      <c r="D1994" s="12" t="s">
        <v>446</v>
      </c>
      <c r="E1994" s="12" t="s">
        <v>4406</v>
      </c>
      <c r="F1994" s="12" t="s">
        <v>4411</v>
      </c>
      <c r="G1994" s="66" t="s">
        <v>678</v>
      </c>
      <c r="I1994" s="94">
        <v>14</v>
      </c>
    </row>
    <row r="1995" spans="1:27" hidden="1" x14ac:dyDescent="0.2">
      <c r="A1995" s="146" t="s">
        <v>4742</v>
      </c>
      <c r="B1995" s="12" t="s">
        <v>4743</v>
      </c>
      <c r="C1995" s="13">
        <v>3</v>
      </c>
      <c r="D1995" s="22" t="s">
        <v>446</v>
      </c>
      <c r="E1995" s="12" t="s">
        <v>4744</v>
      </c>
      <c r="F1995" s="22" t="s">
        <v>4747</v>
      </c>
      <c r="G1995" s="66" t="s">
        <v>32</v>
      </c>
    </row>
    <row r="1996" spans="1:27" hidden="1" x14ac:dyDescent="0.25">
      <c r="A1996" s="146" t="s">
        <v>4926</v>
      </c>
      <c r="B1996" s="12" t="s">
        <v>4927</v>
      </c>
      <c r="C1996" s="13">
        <v>3</v>
      </c>
      <c r="D1996" s="22" t="s">
        <v>446</v>
      </c>
      <c r="E1996" s="12" t="s">
        <v>4928</v>
      </c>
      <c r="F1996" s="38" t="s">
        <v>4931</v>
      </c>
      <c r="G1996" s="80" t="s">
        <v>32</v>
      </c>
    </row>
    <row r="1997" spans="1:27" hidden="1" x14ac:dyDescent="0.2">
      <c r="A1997" s="146" t="s">
        <v>5004</v>
      </c>
      <c r="B1997" s="12" t="s">
        <v>5005</v>
      </c>
      <c r="C1997" s="13">
        <v>4</v>
      </c>
      <c r="D1997" s="22" t="s">
        <v>446</v>
      </c>
      <c r="E1997" s="12" t="s">
        <v>5006</v>
      </c>
      <c r="F1997" s="38" t="s">
        <v>5010</v>
      </c>
      <c r="G1997" s="66" t="s">
        <v>32</v>
      </c>
    </row>
    <row r="1998" spans="1:27" s="10" customFormat="1" hidden="1" x14ac:dyDescent="0.25">
      <c r="A1998" s="11" t="s">
        <v>6050</v>
      </c>
      <c r="B1998" s="12" t="s">
        <v>6051</v>
      </c>
      <c r="C1998" s="13">
        <v>4</v>
      </c>
      <c r="D1998" s="12" t="s">
        <v>2272</v>
      </c>
      <c r="E1998" s="12" t="s">
        <v>6052</v>
      </c>
      <c r="F1998" s="12" t="s">
        <v>6056</v>
      </c>
      <c r="G1998" s="15" t="s">
        <v>32</v>
      </c>
      <c r="H1998" s="8"/>
      <c r="I1998" s="90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  <c r="AA1998" s="8"/>
    </row>
    <row r="1999" spans="1:27" s="10" customFormat="1" hidden="1" x14ac:dyDescent="0.25">
      <c r="A1999" s="11" t="s">
        <v>6134</v>
      </c>
      <c r="B1999" s="12" t="s">
        <v>6135</v>
      </c>
      <c r="C1999" s="13">
        <v>3</v>
      </c>
      <c r="D1999" s="22" t="s">
        <v>2272</v>
      </c>
      <c r="E1999" s="12" t="s">
        <v>6136</v>
      </c>
      <c r="F1999" s="22" t="s">
        <v>6139</v>
      </c>
      <c r="G1999" s="15" t="s">
        <v>32</v>
      </c>
      <c r="H1999" s="8"/>
      <c r="I1999" s="90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8"/>
    </row>
    <row r="2000" spans="1:27" s="10" customFormat="1" hidden="1" x14ac:dyDescent="0.25">
      <c r="A2000" s="11" t="s">
        <v>6442</v>
      </c>
      <c r="B2000" s="12" t="s">
        <v>6443</v>
      </c>
      <c r="C2000" s="13">
        <v>4</v>
      </c>
      <c r="D2000" s="12" t="s">
        <v>2272</v>
      </c>
      <c r="E2000" s="12" t="s">
        <v>6444</v>
      </c>
      <c r="F2000" s="12" t="s">
        <v>6448</v>
      </c>
      <c r="G2000" s="15" t="s">
        <v>32</v>
      </c>
      <c r="H2000" s="8"/>
      <c r="I2000" s="9">
        <v>15</v>
      </c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  <c r="AA2000" s="8"/>
    </row>
    <row r="2001" spans="1:27" s="10" customFormat="1" ht="24" hidden="1" x14ac:dyDescent="0.25">
      <c r="A2001" s="21" t="s">
        <v>6491</v>
      </c>
      <c r="B2001" s="22" t="s">
        <v>6492</v>
      </c>
      <c r="C2001" s="23">
        <v>3</v>
      </c>
      <c r="D2001" s="22" t="s">
        <v>2272</v>
      </c>
      <c r="E2001" s="22" t="s">
        <v>6493</v>
      </c>
      <c r="F2001" s="22" t="s">
        <v>6496</v>
      </c>
      <c r="G2001" s="26" t="s">
        <v>32</v>
      </c>
      <c r="H2001" s="38"/>
      <c r="I2001" s="39">
        <v>15</v>
      </c>
      <c r="J2001" s="38"/>
      <c r="K2001" s="38"/>
      <c r="L2001" s="38"/>
      <c r="M2001" s="38"/>
      <c r="N2001" s="38"/>
      <c r="O2001" s="38"/>
      <c r="P2001" s="38"/>
      <c r="Q2001" s="38"/>
      <c r="R2001" s="38"/>
      <c r="S2001" s="38"/>
      <c r="T2001" s="38"/>
      <c r="U2001" s="38"/>
      <c r="V2001" s="38"/>
      <c r="W2001" s="38"/>
      <c r="X2001" s="38"/>
      <c r="Y2001" s="38"/>
      <c r="Z2001" s="38"/>
      <c r="AA2001" s="38"/>
    </row>
    <row r="2002" spans="1:27" s="10" customFormat="1" hidden="1" x14ac:dyDescent="0.2">
      <c r="A2002" s="11" t="s">
        <v>6992</v>
      </c>
      <c r="B2002" s="12" t="s">
        <v>6993</v>
      </c>
      <c r="C2002" s="13">
        <v>2</v>
      </c>
      <c r="D2002" s="37" t="s">
        <v>446</v>
      </c>
      <c r="E2002" s="12" t="s">
        <v>6994</v>
      </c>
      <c r="F2002" s="22" t="s">
        <v>6996</v>
      </c>
      <c r="G2002" s="15" t="s">
        <v>32</v>
      </c>
      <c r="H2002" s="8"/>
      <c r="I2002" s="90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  <c r="AA2002" s="8"/>
    </row>
    <row r="2003" spans="1:27" hidden="1" x14ac:dyDescent="0.2">
      <c r="A2003" s="56" t="s">
        <v>3130</v>
      </c>
      <c r="B2003" s="61" t="s">
        <v>3131</v>
      </c>
      <c r="C2003" s="58">
        <v>11</v>
      </c>
      <c r="D2003" s="61" t="s">
        <v>3146</v>
      </c>
      <c r="E2003" s="61" t="s">
        <v>3132</v>
      </c>
      <c r="F2003" s="74" t="s">
        <v>3147</v>
      </c>
      <c r="G2003" s="129" t="s">
        <v>32</v>
      </c>
    </row>
    <row r="2004" spans="1:27" hidden="1" x14ac:dyDescent="0.2">
      <c r="A2004" s="11" t="s">
        <v>2024</v>
      </c>
      <c r="B2004" s="12" t="s">
        <v>2025</v>
      </c>
      <c r="C2004" s="13">
        <v>20</v>
      </c>
      <c r="D2004" s="14" t="s">
        <v>2058</v>
      </c>
      <c r="E2004" s="12" t="s">
        <v>2026</v>
      </c>
      <c r="F2004" s="12" t="s">
        <v>2059</v>
      </c>
      <c r="G2004" s="15" t="s">
        <v>78</v>
      </c>
    </row>
    <row r="2005" spans="1:27" hidden="1" x14ac:dyDescent="0.2">
      <c r="A2005" s="11" t="s">
        <v>2631</v>
      </c>
      <c r="B2005" s="12" t="s">
        <v>2632</v>
      </c>
      <c r="C2005" s="13">
        <v>62</v>
      </c>
      <c r="D2005" s="14" t="s">
        <v>2751</v>
      </c>
      <c r="E2005" s="12" t="s">
        <v>2634</v>
      </c>
      <c r="F2005" s="65" t="s">
        <v>2752</v>
      </c>
      <c r="G2005" s="66" t="s">
        <v>156</v>
      </c>
    </row>
    <row r="2006" spans="1:27" hidden="1" x14ac:dyDescent="0.2">
      <c r="A2006" s="11" t="s">
        <v>2631</v>
      </c>
      <c r="B2006" s="12" t="s">
        <v>2632</v>
      </c>
      <c r="C2006" s="13">
        <f>C2005+1</f>
        <v>63</v>
      </c>
      <c r="D2006" s="14" t="s">
        <v>2805</v>
      </c>
      <c r="E2006" s="12" t="s">
        <v>2634</v>
      </c>
      <c r="F2006" s="65" t="s">
        <v>2806</v>
      </c>
      <c r="G2006" s="66" t="s">
        <v>2807</v>
      </c>
      <c r="I2006" s="99">
        <v>13</v>
      </c>
    </row>
    <row r="2007" spans="1:27" hidden="1" x14ac:dyDescent="0.2">
      <c r="A2007" s="11" t="s">
        <v>3165</v>
      </c>
      <c r="B2007" s="12" t="s">
        <v>3166</v>
      </c>
      <c r="C2007" s="13">
        <f>C2006+1</f>
        <v>64</v>
      </c>
      <c r="D2007" s="12" t="s">
        <v>2805</v>
      </c>
      <c r="E2007" s="12" t="s">
        <v>3167</v>
      </c>
      <c r="F2007" s="12" t="s">
        <v>3312</v>
      </c>
      <c r="G2007" s="66" t="s">
        <v>32</v>
      </c>
      <c r="I2007" s="99">
        <v>13</v>
      </c>
    </row>
    <row r="2008" spans="1:27" hidden="1" x14ac:dyDescent="0.25">
      <c r="A2008" s="109" t="s">
        <v>690</v>
      </c>
      <c r="B2008" s="12" t="s">
        <v>691</v>
      </c>
      <c r="C2008" s="13">
        <v>12</v>
      </c>
      <c r="D2008" s="22" t="s">
        <v>704</v>
      </c>
      <c r="E2008" s="12" t="s">
        <v>692</v>
      </c>
      <c r="F2008" s="22" t="s">
        <v>705</v>
      </c>
      <c r="G2008" s="15" t="s">
        <v>706</v>
      </c>
      <c r="I2008" s="102" t="s">
        <v>59</v>
      </c>
    </row>
    <row r="2009" spans="1:27" hidden="1" x14ac:dyDescent="0.25">
      <c r="A2009" s="109" t="s">
        <v>708</v>
      </c>
      <c r="B2009" s="12" t="s">
        <v>709</v>
      </c>
      <c r="C2009" s="13">
        <v>12</v>
      </c>
      <c r="D2009" s="22" t="s">
        <v>704</v>
      </c>
      <c r="E2009" s="12" t="s">
        <v>710</v>
      </c>
      <c r="F2009" s="22" t="s">
        <v>722</v>
      </c>
      <c r="G2009" s="15" t="s">
        <v>706</v>
      </c>
      <c r="I2009" s="102" t="s">
        <v>59</v>
      </c>
    </row>
    <row r="2010" spans="1:27" hidden="1" x14ac:dyDescent="0.2">
      <c r="A2010" s="11" t="s">
        <v>2631</v>
      </c>
      <c r="B2010" s="12" t="s">
        <v>2632</v>
      </c>
      <c r="C2010" s="13">
        <v>63</v>
      </c>
      <c r="D2010" s="14" t="s">
        <v>2753</v>
      </c>
      <c r="E2010" s="12" t="s">
        <v>2634</v>
      </c>
      <c r="F2010" s="65" t="s">
        <v>2754</v>
      </c>
      <c r="G2010" s="66" t="s">
        <v>156</v>
      </c>
    </row>
    <row r="2011" spans="1:27" hidden="1" x14ac:dyDescent="0.2">
      <c r="A2011" s="11" t="s">
        <v>3633</v>
      </c>
      <c r="B2011" s="12" t="s">
        <v>3634</v>
      </c>
      <c r="C2011" s="13">
        <v>10</v>
      </c>
      <c r="D2011" s="12" t="s">
        <v>3645</v>
      </c>
      <c r="E2011" s="65" t="s">
        <v>3635</v>
      </c>
      <c r="F2011" s="65" t="s">
        <v>3646</v>
      </c>
      <c r="G2011" s="66" t="s">
        <v>32</v>
      </c>
    </row>
    <row r="2012" spans="1:27" hidden="1" x14ac:dyDescent="0.2">
      <c r="A2012" s="11" t="s">
        <v>4212</v>
      </c>
      <c r="B2012" s="12" t="s">
        <v>4213</v>
      </c>
      <c r="C2012" s="13">
        <f>C2011+1</f>
        <v>11</v>
      </c>
      <c r="D2012" s="12" t="s">
        <v>3645</v>
      </c>
      <c r="E2012" s="12" t="s">
        <v>4214</v>
      </c>
      <c r="F2012" s="12" t="s">
        <v>4226</v>
      </c>
      <c r="G2012" s="66" t="s">
        <v>32</v>
      </c>
      <c r="I2012" s="90" t="s">
        <v>2426</v>
      </c>
    </row>
    <row r="2013" spans="1:27" hidden="1" x14ac:dyDescent="0.2">
      <c r="A2013" s="11" t="s">
        <v>3458</v>
      </c>
      <c r="B2013" s="12" t="s">
        <v>3459</v>
      </c>
      <c r="C2013" s="13">
        <v>10</v>
      </c>
      <c r="D2013" s="12" t="s">
        <v>3474</v>
      </c>
      <c r="E2013" s="65" t="s">
        <v>3460</v>
      </c>
      <c r="F2013" s="65" t="s">
        <v>3475</v>
      </c>
      <c r="G2013" s="66" t="s">
        <v>32</v>
      </c>
    </row>
    <row r="2014" spans="1:27" hidden="1" x14ac:dyDescent="0.2">
      <c r="A2014" s="11" t="s">
        <v>4087</v>
      </c>
      <c r="B2014" s="12" t="s">
        <v>4088</v>
      </c>
      <c r="C2014" s="13">
        <f>C2013+1</f>
        <v>11</v>
      </c>
      <c r="D2014" s="12" t="s">
        <v>3474</v>
      </c>
      <c r="E2014" s="12" t="s">
        <v>4089</v>
      </c>
      <c r="F2014" s="12" t="s">
        <v>4103</v>
      </c>
      <c r="G2014" s="66" t="s">
        <v>32</v>
      </c>
      <c r="I2014" s="90" t="s">
        <v>2426</v>
      </c>
    </row>
    <row r="2015" spans="1:27" hidden="1" x14ac:dyDescent="0.25">
      <c r="A2015" s="11" t="s">
        <v>5686</v>
      </c>
      <c r="B2015" s="12" t="s">
        <v>5687</v>
      </c>
      <c r="C2015" s="13">
        <v>88</v>
      </c>
      <c r="D2015" s="12" t="s">
        <v>5852</v>
      </c>
      <c r="E2015" s="12" t="s">
        <v>5688</v>
      </c>
      <c r="F2015" s="12" t="s">
        <v>5853</v>
      </c>
      <c r="G2015" s="15" t="s">
        <v>5854</v>
      </c>
      <c r="I2015" s="79">
        <v>15</v>
      </c>
    </row>
    <row r="2016" spans="1:27" hidden="1" x14ac:dyDescent="0.25">
      <c r="A2016" s="11" t="s">
        <v>5363</v>
      </c>
      <c r="B2016" s="12" t="s">
        <v>5364</v>
      </c>
      <c r="C2016" s="13">
        <v>2</v>
      </c>
      <c r="D2016" s="22" t="s">
        <v>5367</v>
      </c>
      <c r="E2016" s="12" t="s">
        <v>5365</v>
      </c>
      <c r="F2016" s="22" t="s">
        <v>5368</v>
      </c>
      <c r="G2016" s="15" t="s">
        <v>32</v>
      </c>
    </row>
    <row r="2017" spans="1:27" ht="12.75" hidden="1" thickBot="1" x14ac:dyDescent="0.3">
      <c r="A2017" s="36" t="s">
        <v>5363</v>
      </c>
      <c r="B2017" s="30" t="s">
        <v>5364</v>
      </c>
      <c r="C2017" s="31">
        <v>4</v>
      </c>
      <c r="D2017" s="4" t="s">
        <v>5371</v>
      </c>
      <c r="E2017" s="30" t="s">
        <v>5365</v>
      </c>
      <c r="F2017" s="4" t="s">
        <v>5372</v>
      </c>
      <c r="G2017" s="33" t="s">
        <v>32</v>
      </c>
    </row>
    <row r="2018" spans="1:27" hidden="1" x14ac:dyDescent="0.25">
      <c r="A2018" s="16" t="s">
        <v>1818</v>
      </c>
      <c r="B2018" s="17" t="s">
        <v>1819</v>
      </c>
      <c r="C2018" s="18">
        <v>3</v>
      </c>
      <c r="D2018" s="17" t="s">
        <v>1823</v>
      </c>
      <c r="E2018" s="17" t="s">
        <v>1820</v>
      </c>
      <c r="F2018" s="17" t="s">
        <v>1824</v>
      </c>
      <c r="G2018" s="20" t="s">
        <v>32</v>
      </c>
      <c r="H2018" s="38"/>
      <c r="I2018" s="39">
        <v>15</v>
      </c>
      <c r="J2018" s="38"/>
      <c r="K2018" s="38"/>
      <c r="L2018" s="38"/>
      <c r="M2018" s="38"/>
      <c r="N2018" s="38"/>
      <c r="O2018" s="38"/>
      <c r="P2018" s="38"/>
      <c r="Q2018" s="38"/>
      <c r="R2018" s="38"/>
      <c r="S2018" s="38"/>
      <c r="T2018" s="38"/>
      <c r="U2018" s="38"/>
      <c r="V2018" s="38"/>
      <c r="W2018" s="38"/>
      <c r="X2018" s="38"/>
      <c r="Y2018" s="38"/>
      <c r="Z2018" s="38"/>
      <c r="AA2018" s="38"/>
    </row>
    <row r="2019" spans="1:27" hidden="1" x14ac:dyDescent="0.25">
      <c r="A2019" s="11" t="s">
        <v>5413</v>
      </c>
      <c r="B2019" s="12" t="s">
        <v>5414</v>
      </c>
      <c r="C2019" s="13">
        <v>4</v>
      </c>
      <c r="D2019" s="22" t="s">
        <v>5420</v>
      </c>
      <c r="E2019" s="12" t="s">
        <v>5415</v>
      </c>
      <c r="F2019" s="22" t="s">
        <v>5421</v>
      </c>
      <c r="G2019" s="15" t="s">
        <v>32</v>
      </c>
    </row>
    <row r="2020" spans="1:27" hidden="1" x14ac:dyDescent="0.2">
      <c r="A2020" s="11" t="s">
        <v>839</v>
      </c>
      <c r="B2020" s="12" t="s">
        <v>840</v>
      </c>
      <c r="C2020" s="13">
        <v>11</v>
      </c>
      <c r="D2020" s="14" t="s">
        <v>863</v>
      </c>
      <c r="E2020" s="12" t="s">
        <v>841</v>
      </c>
      <c r="F2020" s="12" t="s">
        <v>864</v>
      </c>
      <c r="G2020" s="15" t="s">
        <v>848</v>
      </c>
      <c r="I2020" s="9">
        <v>15</v>
      </c>
    </row>
    <row r="2021" spans="1:27" hidden="1" x14ac:dyDescent="0.25">
      <c r="A2021" s="11" t="s">
        <v>890</v>
      </c>
      <c r="B2021" s="12" t="s">
        <v>891</v>
      </c>
      <c r="C2021" s="13">
        <v>14</v>
      </c>
      <c r="D2021" s="12" t="s">
        <v>914</v>
      </c>
      <c r="E2021" s="12" t="s">
        <v>892</v>
      </c>
      <c r="F2021" s="12" t="s">
        <v>915</v>
      </c>
      <c r="G2021" s="15" t="s">
        <v>848</v>
      </c>
      <c r="I2021" s="9">
        <v>15</v>
      </c>
    </row>
    <row r="2022" spans="1:27" hidden="1" x14ac:dyDescent="0.2">
      <c r="A2022" s="11" t="s">
        <v>6862</v>
      </c>
      <c r="B2022" s="12" t="s">
        <v>6863</v>
      </c>
      <c r="C2022" s="13">
        <v>2</v>
      </c>
      <c r="D2022" s="37" t="s">
        <v>6866</v>
      </c>
      <c r="E2022" s="12" t="s">
        <v>6864</v>
      </c>
      <c r="F2022" s="22" t="s">
        <v>6867</v>
      </c>
      <c r="G2022" s="15" t="s">
        <v>32</v>
      </c>
    </row>
    <row r="2023" spans="1:27" hidden="1" x14ac:dyDescent="0.2">
      <c r="A2023" s="11" t="s">
        <v>6880</v>
      </c>
      <c r="B2023" s="12" t="s">
        <v>6881</v>
      </c>
      <c r="C2023" s="13">
        <v>6</v>
      </c>
      <c r="D2023" s="14" t="s">
        <v>6866</v>
      </c>
      <c r="E2023" s="12" t="s">
        <v>6882</v>
      </c>
      <c r="F2023" s="12" t="s">
        <v>6889</v>
      </c>
      <c r="G2023" s="15" t="s">
        <v>32</v>
      </c>
    </row>
    <row r="2024" spans="1:27" hidden="1" x14ac:dyDescent="0.2">
      <c r="A2024" s="11" t="s">
        <v>6979</v>
      </c>
      <c r="B2024" s="12" t="s">
        <v>6980</v>
      </c>
      <c r="C2024" s="13">
        <v>2</v>
      </c>
      <c r="D2024" s="37" t="s">
        <v>6866</v>
      </c>
      <c r="E2024" s="12" t="s">
        <v>6981</v>
      </c>
      <c r="F2024" s="22" t="s">
        <v>6983</v>
      </c>
      <c r="G2024" s="15" t="s">
        <v>32</v>
      </c>
    </row>
    <row r="2025" spans="1:27" hidden="1" x14ac:dyDescent="0.2">
      <c r="A2025" s="11" t="s">
        <v>6880</v>
      </c>
      <c r="B2025" s="12" t="s">
        <v>6881</v>
      </c>
      <c r="C2025" s="13">
        <v>2</v>
      </c>
      <c r="D2025" s="37" t="s">
        <v>6884</v>
      </c>
      <c r="E2025" s="12" t="s">
        <v>6882</v>
      </c>
      <c r="F2025" s="22" t="s">
        <v>6885</v>
      </c>
      <c r="G2025" s="15" t="s">
        <v>32</v>
      </c>
    </row>
    <row r="2026" spans="1:27" hidden="1" x14ac:dyDescent="0.2">
      <c r="A2026" s="11" t="s">
        <v>6912</v>
      </c>
      <c r="B2026" s="12" t="s">
        <v>6913</v>
      </c>
      <c r="C2026" s="13">
        <v>2</v>
      </c>
      <c r="D2026" s="75" t="s">
        <v>6884</v>
      </c>
      <c r="E2026" s="12" t="s">
        <v>6914</v>
      </c>
      <c r="F2026" s="22" t="s">
        <v>6916</v>
      </c>
      <c r="G2026" s="15" t="s">
        <v>32</v>
      </c>
    </row>
    <row r="2027" spans="1:27" hidden="1" x14ac:dyDescent="0.2">
      <c r="A2027" s="11" t="s">
        <v>6921</v>
      </c>
      <c r="B2027" s="12" t="s">
        <v>6922</v>
      </c>
      <c r="C2027" s="13">
        <v>2</v>
      </c>
      <c r="D2027" s="37" t="s">
        <v>6884</v>
      </c>
      <c r="E2027" s="12" t="s">
        <v>6923</v>
      </c>
      <c r="F2027" s="22" t="s">
        <v>6925</v>
      </c>
      <c r="G2027" s="15" t="s">
        <v>32</v>
      </c>
    </row>
    <row r="2028" spans="1:27" hidden="1" x14ac:dyDescent="0.2">
      <c r="A2028" s="11" t="s">
        <v>6936</v>
      </c>
      <c r="B2028" s="12" t="s">
        <v>6937</v>
      </c>
      <c r="C2028" s="13">
        <v>2</v>
      </c>
      <c r="D2028" s="37" t="s">
        <v>6884</v>
      </c>
      <c r="E2028" s="12" t="s">
        <v>6938</v>
      </c>
      <c r="F2028" s="22" t="s">
        <v>6940</v>
      </c>
      <c r="G2028" s="15" t="s">
        <v>32</v>
      </c>
    </row>
    <row r="2029" spans="1:27" hidden="1" x14ac:dyDescent="0.2">
      <c r="A2029" s="11" t="s">
        <v>6946</v>
      </c>
      <c r="B2029" s="12" t="s">
        <v>6947</v>
      </c>
      <c r="C2029" s="13">
        <v>2</v>
      </c>
      <c r="D2029" s="37" t="s">
        <v>6884</v>
      </c>
      <c r="E2029" s="12" t="s">
        <v>6948</v>
      </c>
      <c r="F2029" s="22" t="s">
        <v>6950</v>
      </c>
      <c r="G2029" s="15" t="s">
        <v>32</v>
      </c>
    </row>
    <row r="2030" spans="1:27" hidden="1" x14ac:dyDescent="0.2">
      <c r="A2030" s="11" t="s">
        <v>6958</v>
      </c>
      <c r="B2030" s="12" t="s">
        <v>6959</v>
      </c>
      <c r="C2030" s="13">
        <v>2</v>
      </c>
      <c r="D2030" s="37" t="s">
        <v>6884</v>
      </c>
      <c r="E2030" s="12" t="s">
        <v>6960</v>
      </c>
      <c r="F2030" s="22" t="s">
        <v>6962</v>
      </c>
      <c r="G2030" s="15" t="s">
        <v>32</v>
      </c>
    </row>
    <row r="2031" spans="1:27" hidden="1" x14ac:dyDescent="0.25">
      <c r="A2031" s="11" t="s">
        <v>6688</v>
      </c>
      <c r="B2031" s="12" t="s">
        <v>6689</v>
      </c>
      <c r="C2031" s="13">
        <v>38</v>
      </c>
      <c r="D2031" s="12" t="s">
        <v>6759</v>
      </c>
      <c r="E2031" s="12" t="s">
        <v>6690</v>
      </c>
      <c r="F2031" s="12" t="s">
        <v>6760</v>
      </c>
      <c r="G2031" s="15" t="s">
        <v>13</v>
      </c>
      <c r="I2031" s="99">
        <v>13</v>
      </c>
    </row>
    <row r="2032" spans="1:27" hidden="1" x14ac:dyDescent="0.2">
      <c r="A2032" s="11" t="s">
        <v>2024</v>
      </c>
      <c r="B2032" s="12" t="s">
        <v>2025</v>
      </c>
      <c r="C2032" s="13">
        <v>21</v>
      </c>
      <c r="D2032" s="14" t="s">
        <v>417</v>
      </c>
      <c r="E2032" s="12" t="s">
        <v>2026</v>
      </c>
      <c r="F2032" s="12" t="s">
        <v>2060</v>
      </c>
      <c r="G2032" s="15" t="s">
        <v>13</v>
      </c>
    </row>
    <row r="2033" spans="1:9" hidden="1" x14ac:dyDescent="0.25">
      <c r="A2033" s="11" t="s">
        <v>6286</v>
      </c>
      <c r="B2033" s="12" t="s">
        <v>6287</v>
      </c>
      <c r="C2033" s="13">
        <f>C2032+1</f>
        <v>22</v>
      </c>
      <c r="D2033" s="12" t="s">
        <v>2058</v>
      </c>
      <c r="E2033" s="12" t="s">
        <v>6288</v>
      </c>
      <c r="F2033" s="12" t="s">
        <v>6303</v>
      </c>
      <c r="G2033" s="15" t="s">
        <v>78</v>
      </c>
      <c r="I2033" s="90">
        <v>12</v>
      </c>
    </row>
    <row r="2034" spans="1:9" hidden="1" x14ac:dyDescent="0.2">
      <c r="A2034" s="11" t="s">
        <v>6645</v>
      </c>
      <c r="B2034" s="12" t="s">
        <v>6646</v>
      </c>
      <c r="C2034" s="13">
        <f>+C2033+1</f>
        <v>23</v>
      </c>
      <c r="D2034" s="14" t="s">
        <v>2058</v>
      </c>
      <c r="E2034" s="12" t="s">
        <v>6647</v>
      </c>
      <c r="F2034" s="12" t="s">
        <v>6659</v>
      </c>
      <c r="G2034" s="15" t="s">
        <v>78</v>
      </c>
    </row>
    <row r="2035" spans="1:9" hidden="1" x14ac:dyDescent="0.2">
      <c r="A2035" s="11" t="s">
        <v>1194</v>
      </c>
      <c r="B2035" s="12" t="s">
        <v>1195</v>
      </c>
      <c r="C2035" s="13">
        <v>5</v>
      </c>
      <c r="D2035" s="14" t="s">
        <v>1201</v>
      </c>
      <c r="E2035" s="12" t="s">
        <v>1196</v>
      </c>
      <c r="F2035" s="12" t="s">
        <v>1202</v>
      </c>
      <c r="G2035" s="15" t="s">
        <v>13</v>
      </c>
    </row>
    <row r="2036" spans="1:9" hidden="1" x14ac:dyDescent="0.2">
      <c r="A2036" s="11" t="s">
        <v>93</v>
      </c>
      <c r="B2036" s="12" t="s">
        <v>94</v>
      </c>
      <c r="C2036" s="13">
        <v>21</v>
      </c>
      <c r="D2036" s="14" t="s">
        <v>135</v>
      </c>
      <c r="E2036" s="12" t="s">
        <v>96</v>
      </c>
      <c r="F2036" s="12" t="s">
        <v>136</v>
      </c>
      <c r="G2036" s="15" t="s">
        <v>13</v>
      </c>
    </row>
    <row r="2037" spans="1:9" hidden="1" x14ac:dyDescent="0.2">
      <c r="A2037" s="11" t="s">
        <v>6826</v>
      </c>
      <c r="B2037" s="12" t="s">
        <v>6827</v>
      </c>
      <c r="C2037" s="13">
        <v>5</v>
      </c>
      <c r="D2037" s="37" t="s">
        <v>135</v>
      </c>
      <c r="E2037" s="12" t="s">
        <v>6828</v>
      </c>
      <c r="F2037" s="22" t="s">
        <v>6834</v>
      </c>
      <c r="G2037" s="15" t="s">
        <v>13</v>
      </c>
    </row>
    <row r="2038" spans="1:9" hidden="1" x14ac:dyDescent="0.2">
      <c r="A2038" s="11" t="s">
        <v>943</v>
      </c>
      <c r="B2038" s="12" t="s">
        <v>944</v>
      </c>
      <c r="C2038" s="13">
        <v>23</v>
      </c>
      <c r="D2038" s="14" t="s">
        <v>988</v>
      </c>
      <c r="E2038" s="12" t="s">
        <v>945</v>
      </c>
      <c r="F2038" s="12" t="s">
        <v>989</v>
      </c>
      <c r="G2038" s="15" t="s">
        <v>848</v>
      </c>
      <c r="I2038" s="9">
        <v>15</v>
      </c>
    </row>
    <row r="2039" spans="1:9" hidden="1" x14ac:dyDescent="0.25">
      <c r="A2039" s="180" t="s">
        <v>5312</v>
      </c>
      <c r="B2039" s="82" t="s">
        <v>5313</v>
      </c>
      <c r="C2039" s="83">
        <v>4</v>
      </c>
      <c r="D2039" s="82" t="s">
        <v>5321</v>
      </c>
      <c r="E2039" s="82" t="s">
        <v>5315</v>
      </c>
      <c r="F2039" s="82" t="s">
        <v>5322</v>
      </c>
      <c r="G2039" s="84" t="s">
        <v>32</v>
      </c>
      <c r="I2039" s="99">
        <v>13</v>
      </c>
    </row>
    <row r="2040" spans="1:9" hidden="1" x14ac:dyDescent="0.2">
      <c r="A2040" s="11" t="s">
        <v>5277</v>
      </c>
      <c r="B2040" s="12" t="s">
        <v>5278</v>
      </c>
      <c r="C2040" s="13">
        <v>4</v>
      </c>
      <c r="D2040" s="22" t="s">
        <v>5284</v>
      </c>
      <c r="E2040" s="12" t="s">
        <v>5279</v>
      </c>
      <c r="F2040" s="75" t="s">
        <v>5285</v>
      </c>
      <c r="G2040" s="15" t="s">
        <v>32</v>
      </c>
    </row>
    <row r="2041" spans="1:9" ht="12.75" hidden="1" thickBot="1" x14ac:dyDescent="0.25">
      <c r="A2041" s="36" t="s">
        <v>5290</v>
      </c>
      <c r="B2041" s="30" t="s">
        <v>5291</v>
      </c>
      <c r="C2041" s="31">
        <v>4</v>
      </c>
      <c r="D2041" s="4" t="s">
        <v>5284</v>
      </c>
      <c r="E2041" s="30" t="s">
        <v>5292</v>
      </c>
      <c r="F2041" s="64" t="s">
        <v>5297</v>
      </c>
      <c r="G2041" s="33" t="s">
        <v>32</v>
      </c>
    </row>
    <row r="2042" spans="1:9" hidden="1" x14ac:dyDescent="0.2">
      <c r="A2042" s="46" t="s">
        <v>5301</v>
      </c>
      <c r="B2042" s="12" t="s">
        <v>5302</v>
      </c>
      <c r="C2042" s="13">
        <v>4</v>
      </c>
      <c r="D2042" s="22" t="s">
        <v>5284</v>
      </c>
      <c r="E2042" s="12" t="s">
        <v>5303</v>
      </c>
      <c r="F2042" s="75" t="s">
        <v>5308</v>
      </c>
      <c r="G2042" s="15" t="s">
        <v>32</v>
      </c>
      <c r="I2042" s="90">
        <v>12</v>
      </c>
    </row>
    <row r="2043" spans="1:9" hidden="1" x14ac:dyDescent="0.25">
      <c r="A2043" s="46" t="s">
        <v>5686</v>
      </c>
      <c r="B2043" s="12" t="s">
        <v>5687</v>
      </c>
      <c r="C2043" s="13">
        <f>C2042+1</f>
        <v>5</v>
      </c>
      <c r="D2043" s="12" t="s">
        <v>5744</v>
      </c>
      <c r="E2043" s="12" t="s">
        <v>5688</v>
      </c>
      <c r="F2043" s="12" t="s">
        <v>5745</v>
      </c>
      <c r="G2043" s="15" t="s">
        <v>5447</v>
      </c>
      <c r="I2043" s="90">
        <v>12</v>
      </c>
    </row>
    <row r="2044" spans="1:9" hidden="1" x14ac:dyDescent="0.2">
      <c r="A2044" s="46" t="s">
        <v>2631</v>
      </c>
      <c r="B2044" s="12" t="s">
        <v>2632</v>
      </c>
      <c r="C2044" s="13">
        <v>53</v>
      </c>
      <c r="D2044" s="14" t="s">
        <v>2733</v>
      </c>
      <c r="E2044" s="12" t="s">
        <v>2634</v>
      </c>
      <c r="F2044" s="65" t="s">
        <v>2734</v>
      </c>
      <c r="G2044" s="66" t="s">
        <v>32</v>
      </c>
    </row>
    <row r="2045" spans="1:9" x14ac:dyDescent="0.2">
      <c r="A2045" s="46" t="s">
        <v>2631</v>
      </c>
      <c r="B2045" s="12" t="s">
        <v>2632</v>
      </c>
      <c r="C2045" s="13">
        <v>49</v>
      </c>
      <c r="D2045" s="14" t="s">
        <v>2725</v>
      </c>
      <c r="E2045" s="12" t="s">
        <v>2634</v>
      </c>
      <c r="F2045" s="65" t="s">
        <v>2726</v>
      </c>
      <c r="G2045" s="66" t="s">
        <v>32</v>
      </c>
    </row>
    <row r="2046" spans="1:9" x14ac:dyDescent="0.2">
      <c r="A2046" s="46" t="s">
        <v>2631</v>
      </c>
      <c r="B2046" s="12" t="s">
        <v>2632</v>
      </c>
      <c r="C2046" s="13">
        <v>21</v>
      </c>
      <c r="D2046" s="14" t="s">
        <v>2669</v>
      </c>
      <c r="E2046" s="12" t="s">
        <v>2634</v>
      </c>
      <c r="F2046" s="65" t="s">
        <v>2670</v>
      </c>
      <c r="G2046" s="66" t="s">
        <v>32</v>
      </c>
    </row>
    <row r="2047" spans="1:9" hidden="1" x14ac:dyDescent="0.2">
      <c r="A2047" s="46" t="s">
        <v>2631</v>
      </c>
      <c r="B2047" s="12" t="s">
        <v>2632</v>
      </c>
      <c r="C2047" s="13">
        <v>50</v>
      </c>
      <c r="D2047" s="14" t="s">
        <v>2727</v>
      </c>
      <c r="E2047" s="12" t="s">
        <v>2634</v>
      </c>
      <c r="F2047" s="65" t="s">
        <v>2728</v>
      </c>
      <c r="G2047" s="66" t="s">
        <v>32</v>
      </c>
    </row>
    <row r="2048" spans="1:9" hidden="1" x14ac:dyDescent="0.2">
      <c r="A2048" s="46" t="s">
        <v>2631</v>
      </c>
      <c r="B2048" s="12" t="s">
        <v>2632</v>
      </c>
      <c r="C2048" s="13">
        <v>23</v>
      </c>
      <c r="D2048" s="14" t="s">
        <v>2673</v>
      </c>
      <c r="E2048" s="12" t="s">
        <v>2634</v>
      </c>
      <c r="F2048" s="65" t="s">
        <v>2674</v>
      </c>
      <c r="G2048" s="66" t="s">
        <v>32</v>
      </c>
    </row>
    <row r="2049" spans="1:10" hidden="1" x14ac:dyDescent="0.25">
      <c r="A2049" s="46" t="s">
        <v>5686</v>
      </c>
      <c r="B2049" s="12" t="s">
        <v>5687</v>
      </c>
      <c r="C2049" s="13">
        <v>92</v>
      </c>
      <c r="D2049" s="12" t="s">
        <v>5863</v>
      </c>
      <c r="E2049" s="12" t="s">
        <v>5688</v>
      </c>
      <c r="F2049" s="12" t="s">
        <v>5864</v>
      </c>
      <c r="G2049" s="15" t="s">
        <v>848</v>
      </c>
      <c r="I2049" s="79">
        <v>15</v>
      </c>
      <c r="J2049" s="8" t="s">
        <v>5865</v>
      </c>
    </row>
    <row r="2050" spans="1:10" hidden="1" x14ac:dyDescent="0.2">
      <c r="A2050" s="46" t="s">
        <v>2631</v>
      </c>
      <c r="B2050" s="12" t="s">
        <v>2632</v>
      </c>
      <c r="C2050" s="13">
        <v>22</v>
      </c>
      <c r="D2050" s="14" t="s">
        <v>2671</v>
      </c>
      <c r="E2050" s="12" t="s">
        <v>2634</v>
      </c>
      <c r="F2050" s="65" t="s">
        <v>2672</v>
      </c>
      <c r="G2050" s="66" t="s">
        <v>32</v>
      </c>
    </row>
    <row r="2051" spans="1:10" hidden="1" x14ac:dyDescent="0.2">
      <c r="A2051" s="46" t="s">
        <v>2631</v>
      </c>
      <c r="B2051" s="12" t="s">
        <v>2632</v>
      </c>
      <c r="C2051" s="13">
        <v>25</v>
      </c>
      <c r="D2051" s="14" t="s">
        <v>2677</v>
      </c>
      <c r="E2051" s="12" t="s">
        <v>2634</v>
      </c>
      <c r="F2051" s="65" t="s">
        <v>2678</v>
      </c>
      <c r="G2051" s="66" t="s">
        <v>32</v>
      </c>
    </row>
    <row r="2052" spans="1:10" hidden="1" x14ac:dyDescent="0.2">
      <c r="A2052" s="46" t="s">
        <v>2631</v>
      </c>
      <c r="B2052" s="12" t="s">
        <v>2632</v>
      </c>
      <c r="C2052" s="13">
        <v>24</v>
      </c>
      <c r="D2052" s="14" t="s">
        <v>2675</v>
      </c>
      <c r="E2052" s="12" t="s">
        <v>2634</v>
      </c>
      <c r="F2052" s="65" t="s">
        <v>2676</v>
      </c>
      <c r="G2052" s="66" t="s">
        <v>32</v>
      </c>
    </row>
    <row r="2053" spans="1:10" hidden="1" x14ac:dyDescent="0.25">
      <c r="A2053" s="46" t="s">
        <v>6286</v>
      </c>
      <c r="B2053" s="12" t="s">
        <v>6287</v>
      </c>
      <c r="C2053" s="13">
        <f>C2052+1</f>
        <v>25</v>
      </c>
      <c r="D2053" s="12" t="s">
        <v>6295</v>
      </c>
      <c r="E2053" s="12" t="s">
        <v>6288</v>
      </c>
      <c r="F2053" s="12" t="s">
        <v>6296</v>
      </c>
      <c r="G2053" s="15" t="s">
        <v>3022</v>
      </c>
      <c r="I2053" s="90">
        <v>12</v>
      </c>
    </row>
    <row r="2054" spans="1:10" hidden="1" x14ac:dyDescent="0.2">
      <c r="A2054" s="46" t="s">
        <v>6645</v>
      </c>
      <c r="B2054" s="12" t="s">
        <v>6646</v>
      </c>
      <c r="C2054" s="13">
        <f>+C2053+1</f>
        <v>26</v>
      </c>
      <c r="D2054" s="14" t="s">
        <v>6295</v>
      </c>
      <c r="E2054" s="12" t="s">
        <v>6647</v>
      </c>
      <c r="F2054" s="12" t="s">
        <v>6655</v>
      </c>
      <c r="G2054" s="15" t="s">
        <v>156</v>
      </c>
    </row>
    <row r="2055" spans="1:10" hidden="1" x14ac:dyDescent="0.2">
      <c r="A2055" s="46" t="s">
        <v>585</v>
      </c>
      <c r="B2055" s="12" t="s">
        <v>586</v>
      </c>
      <c r="C2055" s="13">
        <v>23</v>
      </c>
      <c r="D2055" s="14" t="s">
        <v>630</v>
      </c>
      <c r="E2055" s="12" t="s">
        <v>587</v>
      </c>
      <c r="F2055" s="12" t="s">
        <v>631</v>
      </c>
      <c r="G2055" s="15" t="s">
        <v>632</v>
      </c>
      <c r="I2055" s="99">
        <v>13</v>
      </c>
    </row>
    <row r="2056" spans="1:10" hidden="1" x14ac:dyDescent="0.2">
      <c r="A2056" s="46" t="s">
        <v>2631</v>
      </c>
      <c r="B2056" s="12" t="s">
        <v>2632</v>
      </c>
      <c r="C2056" s="13">
        <v>52</v>
      </c>
      <c r="D2056" s="14" t="s">
        <v>2731</v>
      </c>
      <c r="E2056" s="12" t="s">
        <v>2634</v>
      </c>
      <c r="F2056" s="65" t="s">
        <v>2732</v>
      </c>
      <c r="G2056" s="66" t="s">
        <v>32</v>
      </c>
    </row>
    <row r="2057" spans="1:10" hidden="1" x14ac:dyDescent="0.2">
      <c r="A2057" s="46" t="s">
        <v>3165</v>
      </c>
      <c r="B2057" s="12" t="s">
        <v>3166</v>
      </c>
      <c r="C2057" s="13">
        <v>28</v>
      </c>
      <c r="D2057" s="12" t="s">
        <v>2731</v>
      </c>
      <c r="E2057" s="12" t="s">
        <v>3167</v>
      </c>
      <c r="F2057" s="65" t="s">
        <v>3201</v>
      </c>
      <c r="G2057" s="66" t="s">
        <v>32</v>
      </c>
    </row>
    <row r="2058" spans="1:10" hidden="1" x14ac:dyDescent="0.2">
      <c r="A2058" s="46" t="s">
        <v>3165</v>
      </c>
      <c r="B2058" s="12" t="s">
        <v>3166</v>
      </c>
      <c r="C2058" s="13">
        <f>C2057+1</f>
        <v>29</v>
      </c>
      <c r="D2058" s="12" t="s">
        <v>3276</v>
      </c>
      <c r="E2058" s="12" t="s">
        <v>3167</v>
      </c>
      <c r="F2058" s="65" t="s">
        <v>3277</v>
      </c>
      <c r="G2058" s="66" t="s">
        <v>32</v>
      </c>
    </row>
    <row r="2059" spans="1:10" hidden="1" x14ac:dyDescent="0.2">
      <c r="A2059" s="46" t="s">
        <v>2988</v>
      </c>
      <c r="B2059" s="12" t="s">
        <v>2989</v>
      </c>
      <c r="C2059" s="13">
        <v>23</v>
      </c>
      <c r="D2059" s="14" t="s">
        <v>3030</v>
      </c>
      <c r="E2059" s="12" t="s">
        <v>2990</v>
      </c>
      <c r="F2059" s="65" t="s">
        <v>3031</v>
      </c>
      <c r="G2059" s="66" t="s">
        <v>862</v>
      </c>
      <c r="I2059" s="94">
        <v>14</v>
      </c>
    </row>
    <row r="2060" spans="1:10" hidden="1" x14ac:dyDescent="0.2">
      <c r="A2060" s="46" t="s">
        <v>3763</v>
      </c>
      <c r="B2060" s="12" t="s">
        <v>3764</v>
      </c>
      <c r="C2060" s="13">
        <v>23</v>
      </c>
      <c r="D2060" s="12" t="s">
        <v>3795</v>
      </c>
      <c r="E2060" s="12" t="s">
        <v>3765</v>
      </c>
      <c r="F2060" s="65" t="s">
        <v>3796</v>
      </c>
      <c r="G2060" s="66" t="s">
        <v>687</v>
      </c>
      <c r="I2060" s="94">
        <v>14</v>
      </c>
    </row>
    <row r="2061" spans="1:10" hidden="1" x14ac:dyDescent="0.2">
      <c r="A2061" s="46" t="s">
        <v>3799</v>
      </c>
      <c r="B2061" s="12" t="s">
        <v>3800</v>
      </c>
      <c r="C2061" s="13">
        <v>27</v>
      </c>
      <c r="D2061" s="12" t="s">
        <v>3795</v>
      </c>
      <c r="E2061" s="12" t="s">
        <v>3801</v>
      </c>
      <c r="F2061" s="65" t="s">
        <v>3836</v>
      </c>
      <c r="G2061" s="66" t="s">
        <v>687</v>
      </c>
      <c r="I2061" s="94">
        <v>14</v>
      </c>
    </row>
    <row r="2062" spans="1:10" hidden="1" x14ac:dyDescent="0.2">
      <c r="A2062" s="46" t="s">
        <v>3880</v>
      </c>
      <c r="B2062" s="12" t="s">
        <v>3881</v>
      </c>
      <c r="C2062" s="13">
        <v>26</v>
      </c>
      <c r="D2062" s="12" t="s">
        <v>3795</v>
      </c>
      <c r="E2062" s="12" t="s">
        <v>3882</v>
      </c>
      <c r="F2062" s="12" t="s">
        <v>3912</v>
      </c>
      <c r="G2062" s="66" t="s">
        <v>687</v>
      </c>
      <c r="I2062" s="94">
        <v>14</v>
      </c>
    </row>
    <row r="2063" spans="1:10" ht="15" hidden="1" x14ac:dyDescent="0.25">
      <c r="A2063" s="46" t="s">
        <v>2194</v>
      </c>
      <c r="B2063" s="8" t="s">
        <v>2195</v>
      </c>
      <c r="C2063" s="13">
        <v>6</v>
      </c>
      <c r="D2063" s="12" t="s">
        <v>2205</v>
      </c>
      <c r="E2063" s="12" t="s">
        <v>2196</v>
      </c>
      <c r="F2063" s="12" t="s">
        <v>2206</v>
      </c>
      <c r="G2063" s="15" t="s">
        <v>862</v>
      </c>
      <c r="I2063" s="54">
        <v>15</v>
      </c>
      <c r="J2063" s="60"/>
    </row>
    <row r="2064" spans="1:10" hidden="1" x14ac:dyDescent="0.2">
      <c r="A2064" s="46" t="s">
        <v>2988</v>
      </c>
      <c r="B2064" s="12" t="s">
        <v>2989</v>
      </c>
      <c r="C2064" s="13">
        <v>24</v>
      </c>
      <c r="D2064" s="14" t="s">
        <v>3032</v>
      </c>
      <c r="E2064" s="12" t="s">
        <v>2990</v>
      </c>
      <c r="F2064" s="65" t="s">
        <v>3033</v>
      </c>
      <c r="G2064" s="66" t="s">
        <v>862</v>
      </c>
      <c r="I2064" s="94">
        <v>14</v>
      </c>
    </row>
    <row r="2065" spans="1:9" hidden="1" x14ac:dyDescent="0.2">
      <c r="A2065" s="46" t="s">
        <v>3763</v>
      </c>
      <c r="B2065" s="12" t="s">
        <v>3764</v>
      </c>
      <c r="C2065" s="13">
        <v>24</v>
      </c>
      <c r="D2065" s="12" t="s">
        <v>3797</v>
      </c>
      <c r="E2065" s="12" t="s">
        <v>3765</v>
      </c>
      <c r="F2065" s="65" t="s">
        <v>3798</v>
      </c>
      <c r="G2065" s="66" t="s">
        <v>687</v>
      </c>
      <c r="I2065" s="94">
        <v>14</v>
      </c>
    </row>
    <row r="2066" spans="1:9" hidden="1" x14ac:dyDescent="0.2">
      <c r="A2066" s="46" t="s">
        <v>3799</v>
      </c>
      <c r="B2066" s="12" t="s">
        <v>3800</v>
      </c>
      <c r="C2066" s="13">
        <v>28</v>
      </c>
      <c r="D2066" s="12" t="s">
        <v>3837</v>
      </c>
      <c r="E2066" s="12" t="s">
        <v>3801</v>
      </c>
      <c r="F2066" s="65" t="s">
        <v>3838</v>
      </c>
      <c r="G2066" s="66" t="s">
        <v>687</v>
      </c>
      <c r="I2066" s="94">
        <v>14</v>
      </c>
    </row>
    <row r="2067" spans="1:9" hidden="1" x14ac:dyDescent="0.2">
      <c r="A2067" s="46" t="s">
        <v>3880</v>
      </c>
      <c r="B2067" s="12" t="s">
        <v>3881</v>
      </c>
      <c r="C2067" s="13">
        <v>27</v>
      </c>
      <c r="D2067" s="12" t="s">
        <v>3837</v>
      </c>
      <c r="E2067" s="12" t="s">
        <v>3882</v>
      </c>
      <c r="F2067" s="12" t="s">
        <v>3913</v>
      </c>
      <c r="G2067" s="66" t="s">
        <v>687</v>
      </c>
      <c r="I2067" s="94">
        <v>14</v>
      </c>
    </row>
    <row r="2068" spans="1:9" hidden="1" x14ac:dyDescent="0.2">
      <c r="A2068" s="46" t="s">
        <v>3799</v>
      </c>
      <c r="B2068" s="12" t="s">
        <v>3800</v>
      </c>
      <c r="C2068" s="13">
        <v>17</v>
      </c>
      <c r="D2068" s="12" t="s">
        <v>3821</v>
      </c>
      <c r="E2068" s="12" t="s">
        <v>3801</v>
      </c>
      <c r="F2068" s="65" t="s">
        <v>3822</v>
      </c>
      <c r="G2068" s="66" t="s">
        <v>126</v>
      </c>
    </row>
    <row r="2069" spans="1:9" ht="12.75" hidden="1" thickBot="1" x14ac:dyDescent="0.25">
      <c r="A2069" s="44" t="s">
        <v>3858</v>
      </c>
      <c r="B2069" s="30" t="s">
        <v>3859</v>
      </c>
      <c r="C2069" s="31">
        <v>17</v>
      </c>
      <c r="D2069" s="30" t="s">
        <v>3821</v>
      </c>
      <c r="E2069" s="30" t="s">
        <v>3860</v>
      </c>
      <c r="F2069" s="67" t="s">
        <v>3877</v>
      </c>
      <c r="G2069" s="68" t="s">
        <v>126</v>
      </c>
    </row>
    <row r="2070" spans="1:9" hidden="1" x14ac:dyDescent="0.25">
      <c r="A2070" s="139" t="s">
        <v>6252</v>
      </c>
      <c r="B2070" s="61" t="s">
        <v>6253</v>
      </c>
      <c r="C2070" s="58">
        <f>C2069+1</f>
        <v>18</v>
      </c>
      <c r="D2070" s="17" t="s">
        <v>6258</v>
      </c>
      <c r="E2070" s="61" t="s">
        <v>6254</v>
      </c>
      <c r="F2070" s="17" t="s">
        <v>6259</v>
      </c>
      <c r="G2070" s="15" t="s">
        <v>32</v>
      </c>
      <c r="I2070" s="90">
        <v>12</v>
      </c>
    </row>
    <row r="2071" spans="1:9" hidden="1" x14ac:dyDescent="0.25">
      <c r="A2071" s="46" t="s">
        <v>6768</v>
      </c>
      <c r="B2071" s="12" t="s">
        <v>6769</v>
      </c>
      <c r="C2071" s="13">
        <v>5</v>
      </c>
      <c r="D2071" s="22" t="s">
        <v>6258</v>
      </c>
      <c r="E2071" s="12" t="s">
        <v>6770</v>
      </c>
      <c r="F2071" s="22" t="s">
        <v>6775</v>
      </c>
      <c r="G2071" s="15" t="s">
        <v>32</v>
      </c>
    </row>
    <row r="2072" spans="1:9" x14ac:dyDescent="0.2">
      <c r="A2072" s="46" t="s">
        <v>2988</v>
      </c>
      <c r="B2072" s="12" t="s">
        <v>2989</v>
      </c>
      <c r="C2072" s="13">
        <f>1+C2071</f>
        <v>6</v>
      </c>
      <c r="D2072" s="14" t="s">
        <v>3002</v>
      </c>
      <c r="E2072" s="12" t="s">
        <v>2990</v>
      </c>
      <c r="F2072" s="65" t="s">
        <v>3003</v>
      </c>
      <c r="G2072" s="66" t="s">
        <v>32</v>
      </c>
    </row>
    <row r="2073" spans="1:9" hidden="1" x14ac:dyDescent="0.2">
      <c r="A2073" s="13" t="s">
        <v>4742</v>
      </c>
      <c r="B2073" s="12" t="s">
        <v>4743</v>
      </c>
      <c r="C2073" s="13">
        <v>7</v>
      </c>
      <c r="D2073" s="12" t="s">
        <v>4753</v>
      </c>
      <c r="E2073" s="12" t="s">
        <v>4744</v>
      </c>
      <c r="F2073" s="12" t="s">
        <v>4754</v>
      </c>
      <c r="G2073" s="66" t="s">
        <v>32</v>
      </c>
    </row>
    <row r="2074" spans="1:9" hidden="1" x14ac:dyDescent="0.2">
      <c r="A2074" s="13" t="s">
        <v>4759</v>
      </c>
      <c r="B2074" s="12" t="s">
        <v>4760</v>
      </c>
      <c r="C2074" s="13">
        <v>7</v>
      </c>
      <c r="D2074" s="12" t="s">
        <v>4753</v>
      </c>
      <c r="E2074" s="12" t="s">
        <v>4761</v>
      </c>
      <c r="F2074" s="12" t="s">
        <v>4768</v>
      </c>
      <c r="G2074" s="66" t="s">
        <v>32</v>
      </c>
    </row>
    <row r="2075" spans="1:9" hidden="1" x14ac:dyDescent="0.2">
      <c r="A2075" s="46" t="s">
        <v>2988</v>
      </c>
      <c r="B2075" s="12" t="s">
        <v>2989</v>
      </c>
      <c r="C2075" s="13">
        <f>1+C2074</f>
        <v>8</v>
      </c>
      <c r="D2075" s="14" t="s">
        <v>3006</v>
      </c>
      <c r="E2075" s="12" t="s">
        <v>2990</v>
      </c>
      <c r="F2075" s="65" t="s">
        <v>3007</v>
      </c>
      <c r="G2075" s="66" t="s">
        <v>32</v>
      </c>
    </row>
    <row r="2076" spans="1:9" hidden="1" x14ac:dyDescent="0.2">
      <c r="A2076" s="46" t="s">
        <v>3956</v>
      </c>
      <c r="B2076" s="12" t="s">
        <v>3957</v>
      </c>
      <c r="C2076" s="13">
        <v>4</v>
      </c>
      <c r="D2076" s="12" t="s">
        <v>3962</v>
      </c>
      <c r="E2076" s="12" t="s">
        <v>3958</v>
      </c>
      <c r="F2076" s="12" t="s">
        <v>3963</v>
      </c>
      <c r="G2076" s="66" t="s">
        <v>32</v>
      </c>
    </row>
    <row r="2077" spans="1:9" hidden="1" x14ac:dyDescent="0.2">
      <c r="A2077" s="46" t="s">
        <v>2566</v>
      </c>
      <c r="B2077" s="12" t="s">
        <v>2567</v>
      </c>
      <c r="C2077" s="13">
        <v>16</v>
      </c>
      <c r="D2077" s="14" t="s">
        <v>2592</v>
      </c>
      <c r="E2077" s="12" t="s">
        <v>2568</v>
      </c>
      <c r="F2077" s="65" t="s">
        <v>2593</v>
      </c>
      <c r="G2077" s="66" t="s">
        <v>32</v>
      </c>
    </row>
    <row r="2078" spans="1:9" hidden="1" x14ac:dyDescent="0.2">
      <c r="A2078" s="46" t="s">
        <v>2566</v>
      </c>
      <c r="B2078" s="12" t="s">
        <v>2567</v>
      </c>
      <c r="C2078" s="13">
        <v>10</v>
      </c>
      <c r="D2078" s="14" t="s">
        <v>2580</v>
      </c>
      <c r="E2078" s="12" t="s">
        <v>2568</v>
      </c>
      <c r="F2078" s="65" t="s">
        <v>2581</v>
      </c>
      <c r="G2078" s="66" t="s">
        <v>32</v>
      </c>
    </row>
    <row r="2079" spans="1:9" hidden="1" x14ac:dyDescent="0.2">
      <c r="A2079" s="46" t="s">
        <v>2566</v>
      </c>
      <c r="B2079" s="12" t="s">
        <v>2567</v>
      </c>
      <c r="C2079" s="13">
        <v>18</v>
      </c>
      <c r="D2079" s="14" t="s">
        <v>2596</v>
      </c>
      <c r="E2079" s="12" t="s">
        <v>2568</v>
      </c>
      <c r="F2079" s="65" t="s">
        <v>2597</v>
      </c>
      <c r="G2079" s="66" t="s">
        <v>32</v>
      </c>
    </row>
    <row r="2080" spans="1:9" hidden="1" x14ac:dyDescent="0.2">
      <c r="A2080" s="46" t="s">
        <v>2566</v>
      </c>
      <c r="B2080" s="12" t="s">
        <v>2567</v>
      </c>
      <c r="C2080" s="13">
        <v>12</v>
      </c>
      <c r="D2080" s="14" t="s">
        <v>2584</v>
      </c>
      <c r="E2080" s="12" t="s">
        <v>2568</v>
      </c>
      <c r="F2080" s="65" t="s">
        <v>2585</v>
      </c>
      <c r="G2080" s="66" t="s">
        <v>32</v>
      </c>
    </row>
    <row r="2081" spans="1:10" hidden="1" x14ac:dyDescent="0.2">
      <c r="A2081" s="13" t="s">
        <v>4742</v>
      </c>
      <c r="B2081" s="12" t="s">
        <v>4743</v>
      </c>
      <c r="C2081" s="13">
        <v>6</v>
      </c>
      <c r="D2081" s="12" t="s">
        <v>4751</v>
      </c>
      <c r="E2081" s="12" t="s">
        <v>4744</v>
      </c>
      <c r="F2081" s="12" t="s">
        <v>4752</v>
      </c>
      <c r="G2081" s="66" t="s">
        <v>32</v>
      </c>
    </row>
    <row r="2082" spans="1:10" hidden="1" x14ac:dyDescent="0.2">
      <c r="A2082" s="13" t="s">
        <v>4759</v>
      </c>
      <c r="B2082" s="12" t="s">
        <v>4760</v>
      </c>
      <c r="C2082" s="13">
        <v>6</v>
      </c>
      <c r="D2082" s="12" t="s">
        <v>4751</v>
      </c>
      <c r="E2082" s="12" t="s">
        <v>4761</v>
      </c>
      <c r="F2082" s="12" t="s">
        <v>4767</v>
      </c>
      <c r="G2082" s="66" t="s">
        <v>32</v>
      </c>
    </row>
    <row r="2083" spans="1:10" ht="12.75" hidden="1" thickBot="1" x14ac:dyDescent="0.3">
      <c r="A2083" s="44" t="s">
        <v>1313</v>
      </c>
      <c r="B2083" s="30" t="s">
        <v>1314</v>
      </c>
      <c r="C2083" s="31">
        <v>32</v>
      </c>
      <c r="D2083" s="30" t="s">
        <v>1375</v>
      </c>
      <c r="E2083" s="30" t="s">
        <v>1315</v>
      </c>
      <c r="F2083" s="30" t="s">
        <v>1376</v>
      </c>
      <c r="G2083" s="33" t="s">
        <v>13</v>
      </c>
    </row>
    <row r="2084" spans="1:10" hidden="1" x14ac:dyDescent="0.25">
      <c r="A2084" s="46" t="s">
        <v>1818</v>
      </c>
      <c r="B2084" s="61" t="s">
        <v>1819</v>
      </c>
      <c r="C2084" s="58">
        <v>30</v>
      </c>
      <c r="D2084" s="61" t="s">
        <v>1877</v>
      </c>
      <c r="E2084" s="61" t="s">
        <v>1820</v>
      </c>
      <c r="F2084" s="61" t="s">
        <v>1878</v>
      </c>
      <c r="G2084" s="15" t="s">
        <v>1879</v>
      </c>
      <c r="I2084" s="9">
        <v>15</v>
      </c>
    </row>
    <row r="2085" spans="1:10" hidden="1" x14ac:dyDescent="0.2">
      <c r="A2085" s="46" t="s">
        <v>5244</v>
      </c>
      <c r="B2085" s="12" t="s">
        <v>5245</v>
      </c>
      <c r="C2085" s="13">
        <v>17</v>
      </c>
      <c r="D2085" s="12" t="s">
        <v>5273</v>
      </c>
      <c r="E2085" s="12" t="s">
        <v>5246</v>
      </c>
      <c r="F2085" s="65" t="s">
        <v>5274</v>
      </c>
      <c r="G2085" s="15" t="s">
        <v>13</v>
      </c>
    </row>
    <row r="2086" spans="1:10" hidden="1" x14ac:dyDescent="0.25">
      <c r="A2086" s="46" t="s">
        <v>1568</v>
      </c>
      <c r="B2086" s="12" t="s">
        <v>1569</v>
      </c>
      <c r="C2086" s="13">
        <v>25</v>
      </c>
      <c r="D2086" s="12" t="s">
        <v>1619</v>
      </c>
      <c r="E2086" s="12" t="s">
        <v>1570</v>
      </c>
      <c r="F2086" s="12" t="s">
        <v>1620</v>
      </c>
      <c r="G2086" s="15" t="s">
        <v>1574</v>
      </c>
      <c r="I2086" s="94">
        <v>14</v>
      </c>
    </row>
    <row r="2087" spans="1:10" ht="15" hidden="1" x14ac:dyDescent="0.25">
      <c r="A2087" s="46" t="s">
        <v>1922</v>
      </c>
      <c r="B2087" s="12" t="s">
        <v>1923</v>
      </c>
      <c r="C2087" s="13">
        <v>7</v>
      </c>
      <c r="D2087" s="51" t="s">
        <v>1934</v>
      </c>
      <c r="E2087" s="12" t="s">
        <v>1924</v>
      </c>
      <c r="F2087" s="12" t="s">
        <v>1935</v>
      </c>
      <c r="G2087" s="15" t="s">
        <v>19</v>
      </c>
      <c r="I2087" s="9">
        <v>15</v>
      </c>
      <c r="J2087" s="52"/>
    </row>
    <row r="2088" spans="1:10" ht="15" hidden="1" x14ac:dyDescent="0.25">
      <c r="A2088" s="46" t="s">
        <v>1922</v>
      </c>
      <c r="B2088" s="12" t="s">
        <v>1923</v>
      </c>
      <c r="C2088" s="13">
        <v>6</v>
      </c>
      <c r="D2088" s="51" t="s">
        <v>1932</v>
      </c>
      <c r="E2088" s="12" t="s">
        <v>1924</v>
      </c>
      <c r="F2088" s="12" t="s">
        <v>1933</v>
      </c>
      <c r="G2088" s="15" t="s">
        <v>19</v>
      </c>
      <c r="I2088" s="9">
        <v>15</v>
      </c>
      <c r="J2088" s="52"/>
    </row>
    <row r="2089" spans="1:10" ht="15" hidden="1" x14ac:dyDescent="0.25">
      <c r="A2089" s="46" t="s">
        <v>1922</v>
      </c>
      <c r="B2089" s="12" t="s">
        <v>1923</v>
      </c>
      <c r="C2089" s="13">
        <v>5</v>
      </c>
      <c r="D2089" s="51" t="s">
        <v>1930</v>
      </c>
      <c r="E2089" s="12" t="s">
        <v>1924</v>
      </c>
      <c r="F2089" s="12" t="s">
        <v>1931</v>
      </c>
      <c r="G2089" s="15" t="s">
        <v>19</v>
      </c>
      <c r="I2089" s="9">
        <v>15</v>
      </c>
      <c r="J2089" s="52"/>
    </row>
    <row r="2090" spans="1:10" hidden="1" x14ac:dyDescent="0.25">
      <c r="A2090" s="46" t="s">
        <v>5645</v>
      </c>
      <c r="B2090" s="12" t="s">
        <v>5646</v>
      </c>
      <c r="C2090" s="13">
        <v>14</v>
      </c>
      <c r="D2090" s="22" t="s">
        <v>5671</v>
      </c>
      <c r="E2090" s="12" t="s">
        <v>5647</v>
      </c>
      <c r="F2090" s="22" t="s">
        <v>5672</v>
      </c>
      <c r="G2090" s="15" t="s">
        <v>625</v>
      </c>
      <c r="I2090" s="99">
        <v>13</v>
      </c>
    </row>
    <row r="2091" spans="1:10" hidden="1" x14ac:dyDescent="0.25">
      <c r="A2091" s="46" t="s">
        <v>5686</v>
      </c>
      <c r="B2091" s="12" t="s">
        <v>5687</v>
      </c>
      <c r="C2091" s="13">
        <f>C2090+1</f>
        <v>15</v>
      </c>
      <c r="D2091" s="22" t="s">
        <v>5671</v>
      </c>
      <c r="E2091" s="12" t="s">
        <v>5688</v>
      </c>
      <c r="F2091" s="22" t="s">
        <v>5695</v>
      </c>
      <c r="G2091" s="80" t="s">
        <v>13</v>
      </c>
      <c r="I2091" s="90">
        <v>12</v>
      </c>
    </row>
    <row r="2092" spans="1:10" hidden="1" x14ac:dyDescent="0.25">
      <c r="A2092" s="46" t="s">
        <v>5866</v>
      </c>
      <c r="B2092" s="12" t="s">
        <v>5867</v>
      </c>
      <c r="C2092" s="13">
        <v>14</v>
      </c>
      <c r="D2092" s="22" t="s">
        <v>5671</v>
      </c>
      <c r="E2092" s="12" t="s">
        <v>5868</v>
      </c>
      <c r="F2092" s="22" t="s">
        <v>5882</v>
      </c>
      <c r="G2092" s="15" t="s">
        <v>625</v>
      </c>
      <c r="I2092" s="99">
        <v>13</v>
      </c>
    </row>
    <row r="2093" spans="1:10" hidden="1" x14ac:dyDescent="0.25">
      <c r="A2093" s="46" t="s">
        <v>5957</v>
      </c>
      <c r="B2093" s="12" t="s">
        <v>5958</v>
      </c>
      <c r="C2093" s="13">
        <v>17</v>
      </c>
      <c r="D2093" s="22" t="s">
        <v>5671</v>
      </c>
      <c r="E2093" s="12" t="s">
        <v>5959</v>
      </c>
      <c r="F2093" s="22" t="s">
        <v>5982</v>
      </c>
      <c r="G2093" s="15" t="s">
        <v>625</v>
      </c>
      <c r="I2093" s="9">
        <v>15</v>
      </c>
    </row>
    <row r="2094" spans="1:10" ht="24" hidden="1" x14ac:dyDescent="0.25">
      <c r="A2094" s="46" t="s">
        <v>1031</v>
      </c>
      <c r="B2094" s="12" t="s">
        <v>1032</v>
      </c>
      <c r="C2094" s="13">
        <v>7</v>
      </c>
      <c r="D2094" s="41" t="s">
        <v>1043</v>
      </c>
      <c r="E2094" s="12" t="s">
        <v>1033</v>
      </c>
      <c r="F2094" s="12" t="s">
        <v>1044</v>
      </c>
      <c r="G2094" s="15" t="s">
        <v>829</v>
      </c>
      <c r="I2094" s="9">
        <v>15</v>
      </c>
    </row>
    <row r="2095" spans="1:10" ht="15" hidden="1" x14ac:dyDescent="0.25">
      <c r="A2095" s="46" t="s">
        <v>2194</v>
      </c>
      <c r="B2095" s="8" t="s">
        <v>2195</v>
      </c>
      <c r="C2095" s="13">
        <v>9</v>
      </c>
      <c r="D2095" s="12" t="s">
        <v>2211</v>
      </c>
      <c r="E2095" s="12" t="s">
        <v>2196</v>
      </c>
      <c r="F2095" s="12" t="s">
        <v>2212</v>
      </c>
      <c r="G2095" s="15" t="s">
        <v>780</v>
      </c>
      <c r="I2095" s="54">
        <v>15</v>
      </c>
      <c r="J2095" s="60"/>
    </row>
    <row r="2096" spans="1:10" hidden="1" x14ac:dyDescent="0.25">
      <c r="A2096" s="46" t="s">
        <v>6688</v>
      </c>
      <c r="B2096" s="12" t="s">
        <v>6689</v>
      </c>
      <c r="C2096" s="13">
        <v>20</v>
      </c>
      <c r="D2096" s="12" t="s">
        <v>6724</v>
      </c>
      <c r="E2096" s="12" t="s">
        <v>6690</v>
      </c>
      <c r="F2096" s="12" t="s">
        <v>6725</v>
      </c>
      <c r="G2096" s="15" t="s">
        <v>19</v>
      </c>
    </row>
    <row r="2097" spans="1:9" hidden="1" x14ac:dyDescent="0.25">
      <c r="A2097" s="97" t="s">
        <v>6189</v>
      </c>
      <c r="B2097" s="82" t="s">
        <v>6190</v>
      </c>
      <c r="C2097" s="83">
        <f>C2096+1</f>
        <v>21</v>
      </c>
      <c r="D2097" s="82" t="s">
        <v>6239</v>
      </c>
      <c r="E2097" s="82" t="s">
        <v>6191</v>
      </c>
      <c r="F2097" s="82" t="s">
        <v>6240</v>
      </c>
      <c r="G2097" s="84" t="s">
        <v>19</v>
      </c>
      <c r="I2097" s="101" t="s">
        <v>54</v>
      </c>
    </row>
    <row r="2098" spans="1:9" hidden="1" x14ac:dyDescent="0.25">
      <c r="A2098" s="97" t="s">
        <v>6371</v>
      </c>
      <c r="B2098" s="82" t="s">
        <v>6372</v>
      </c>
      <c r="C2098" s="83">
        <v>25</v>
      </c>
      <c r="D2098" s="82" t="s">
        <v>6239</v>
      </c>
      <c r="E2098" s="82" t="s">
        <v>6373</v>
      </c>
      <c r="F2098" s="82" t="s">
        <v>6399</v>
      </c>
      <c r="G2098" s="84" t="s">
        <v>6041</v>
      </c>
      <c r="I2098" s="101" t="s">
        <v>2778</v>
      </c>
    </row>
    <row r="2099" spans="1:9" hidden="1" x14ac:dyDescent="0.2">
      <c r="A2099" s="46" t="s">
        <v>6614</v>
      </c>
      <c r="B2099" s="12" t="s">
        <v>6615</v>
      </c>
      <c r="C2099" s="13">
        <v>22</v>
      </c>
      <c r="D2099" s="14" t="s">
        <v>6239</v>
      </c>
      <c r="E2099" s="12" t="s">
        <v>6616</v>
      </c>
      <c r="F2099" s="12" t="s">
        <v>6642</v>
      </c>
      <c r="G2099" s="15" t="s">
        <v>19</v>
      </c>
    </row>
    <row r="2100" spans="1:9" hidden="1" x14ac:dyDescent="0.25">
      <c r="A2100" s="97" t="s">
        <v>6189</v>
      </c>
      <c r="B2100" s="82" t="s">
        <v>6190</v>
      </c>
      <c r="C2100" s="83">
        <f>C2099+1</f>
        <v>23</v>
      </c>
      <c r="D2100" s="82" t="s">
        <v>6237</v>
      </c>
      <c r="E2100" s="82" t="s">
        <v>6191</v>
      </c>
      <c r="F2100" s="82" t="s">
        <v>6238</v>
      </c>
      <c r="G2100" s="84" t="s">
        <v>19</v>
      </c>
      <c r="I2100" s="101" t="s">
        <v>54</v>
      </c>
    </row>
    <row r="2101" spans="1:9" hidden="1" x14ac:dyDescent="0.25">
      <c r="A2101" s="97" t="s">
        <v>6371</v>
      </c>
      <c r="B2101" s="82" t="s">
        <v>6372</v>
      </c>
      <c r="C2101" s="83">
        <v>24</v>
      </c>
      <c r="D2101" s="82" t="s">
        <v>6237</v>
      </c>
      <c r="E2101" s="82" t="s">
        <v>6373</v>
      </c>
      <c r="F2101" s="82" t="s">
        <v>6398</v>
      </c>
      <c r="G2101" s="84" t="s">
        <v>6041</v>
      </c>
      <c r="I2101" s="101" t="s">
        <v>2778</v>
      </c>
    </row>
    <row r="2102" spans="1:9" ht="12.75" hidden="1" thickBot="1" x14ac:dyDescent="0.25">
      <c r="A2102" s="44" t="s">
        <v>6614</v>
      </c>
      <c r="B2102" s="30" t="s">
        <v>6615</v>
      </c>
      <c r="C2102" s="31">
        <v>21</v>
      </c>
      <c r="D2102" s="69" t="s">
        <v>6237</v>
      </c>
      <c r="E2102" s="30" t="s">
        <v>6616</v>
      </c>
      <c r="F2102" s="30" t="s">
        <v>6641</v>
      </c>
      <c r="G2102" s="33" t="s">
        <v>19</v>
      </c>
    </row>
    <row r="2103" spans="1:9" hidden="1" x14ac:dyDescent="0.25">
      <c r="A2103" s="139" t="s">
        <v>1818</v>
      </c>
      <c r="B2103" s="61" t="s">
        <v>1819</v>
      </c>
      <c r="C2103" s="58">
        <v>9</v>
      </c>
      <c r="D2103" s="61" t="s">
        <v>1835</v>
      </c>
      <c r="E2103" s="61" t="s">
        <v>1820</v>
      </c>
      <c r="F2103" s="61" t="s">
        <v>1836</v>
      </c>
      <c r="G2103" s="15" t="s">
        <v>19</v>
      </c>
      <c r="I2103" s="9">
        <v>15</v>
      </c>
    </row>
    <row r="2104" spans="1:9" hidden="1" x14ac:dyDescent="0.25">
      <c r="A2104" s="46" t="s">
        <v>6688</v>
      </c>
      <c r="B2104" s="12" t="s">
        <v>6689</v>
      </c>
      <c r="C2104" s="13">
        <v>19</v>
      </c>
      <c r="D2104" s="12" t="s">
        <v>6722</v>
      </c>
      <c r="E2104" s="12" t="s">
        <v>6690</v>
      </c>
      <c r="F2104" s="12" t="s">
        <v>6723</v>
      </c>
      <c r="G2104" s="15" t="s">
        <v>19</v>
      </c>
    </row>
    <row r="2105" spans="1:9" hidden="1" x14ac:dyDescent="0.25">
      <c r="A2105" s="46" t="s">
        <v>1818</v>
      </c>
      <c r="B2105" s="12" t="s">
        <v>1819</v>
      </c>
      <c r="C2105" s="13">
        <v>10</v>
      </c>
      <c r="D2105" s="12" t="s">
        <v>1837</v>
      </c>
      <c r="E2105" s="12" t="s">
        <v>1820</v>
      </c>
      <c r="F2105" s="12" t="s">
        <v>1838</v>
      </c>
      <c r="G2105" s="15" t="s">
        <v>19</v>
      </c>
      <c r="I2105" s="9">
        <v>15</v>
      </c>
    </row>
    <row r="2106" spans="1:9" hidden="1" x14ac:dyDescent="0.2">
      <c r="A2106" s="46" t="s">
        <v>3355</v>
      </c>
      <c r="B2106" s="12" t="s">
        <v>3356</v>
      </c>
      <c r="C2106" s="13">
        <v>11</v>
      </c>
      <c r="D2106" s="12" t="s">
        <v>2868</v>
      </c>
      <c r="E2106" s="12" t="s">
        <v>3357</v>
      </c>
      <c r="F2106" s="65" t="s">
        <v>3371</v>
      </c>
      <c r="G2106" s="66" t="s">
        <v>13</v>
      </c>
    </row>
    <row r="2107" spans="1:9" hidden="1" x14ac:dyDescent="0.2">
      <c r="A2107" s="46" t="s">
        <v>2631</v>
      </c>
      <c r="B2107" s="12" t="s">
        <v>2632</v>
      </c>
      <c r="C2107" s="13">
        <f>C2106+1</f>
        <v>12</v>
      </c>
      <c r="D2107" s="14" t="s">
        <v>2849</v>
      </c>
      <c r="E2107" s="12" t="s">
        <v>2634</v>
      </c>
      <c r="F2107" s="65" t="s">
        <v>2850</v>
      </c>
      <c r="G2107" s="66" t="s">
        <v>684</v>
      </c>
      <c r="I2107" s="94">
        <v>14</v>
      </c>
    </row>
    <row r="2108" spans="1:9" hidden="1" x14ac:dyDescent="0.2">
      <c r="A2108" s="46" t="s">
        <v>3165</v>
      </c>
      <c r="B2108" s="12" t="s">
        <v>3166</v>
      </c>
      <c r="C2108" s="13">
        <v>61</v>
      </c>
      <c r="D2108" s="12" t="s">
        <v>3263</v>
      </c>
      <c r="E2108" s="12" t="s">
        <v>3167</v>
      </c>
      <c r="F2108" s="65" t="s">
        <v>3264</v>
      </c>
      <c r="G2108" s="66" t="s">
        <v>1239</v>
      </c>
      <c r="I2108" s="99">
        <v>13</v>
      </c>
    </row>
    <row r="2109" spans="1:9" hidden="1" x14ac:dyDescent="0.2">
      <c r="A2109" s="46" t="s">
        <v>2631</v>
      </c>
      <c r="B2109" s="12" t="s">
        <v>2632</v>
      </c>
      <c r="C2109" s="13">
        <f t="shared" ref="C2109:C2116" si="4">C2108+1</f>
        <v>62</v>
      </c>
      <c r="D2109" s="14" t="s">
        <v>2857</v>
      </c>
      <c r="E2109" s="12" t="s">
        <v>2634</v>
      </c>
      <c r="F2109" s="65" t="s">
        <v>2858</v>
      </c>
      <c r="G2109" s="66" t="s">
        <v>684</v>
      </c>
      <c r="I2109" s="94">
        <v>14</v>
      </c>
    </row>
    <row r="2110" spans="1:9" hidden="1" x14ac:dyDescent="0.2">
      <c r="A2110" s="46" t="s">
        <v>3165</v>
      </c>
      <c r="B2110" s="12" t="s">
        <v>3166</v>
      </c>
      <c r="C2110" s="13">
        <f t="shared" si="4"/>
        <v>63</v>
      </c>
      <c r="D2110" s="12" t="s">
        <v>2857</v>
      </c>
      <c r="E2110" s="12" t="s">
        <v>3167</v>
      </c>
      <c r="F2110" s="65" t="s">
        <v>3271</v>
      </c>
      <c r="G2110" s="66" t="s">
        <v>1239</v>
      </c>
      <c r="I2110" s="99">
        <v>13</v>
      </c>
    </row>
    <row r="2111" spans="1:9" hidden="1" x14ac:dyDescent="0.2">
      <c r="A2111" s="46" t="s">
        <v>2631</v>
      </c>
      <c r="B2111" s="12" t="s">
        <v>2632</v>
      </c>
      <c r="C2111" s="13">
        <f t="shared" si="4"/>
        <v>64</v>
      </c>
      <c r="D2111" s="14" t="s">
        <v>2853</v>
      </c>
      <c r="E2111" s="12" t="s">
        <v>2634</v>
      </c>
      <c r="F2111" s="65" t="s">
        <v>2854</v>
      </c>
      <c r="G2111" s="66" t="s">
        <v>684</v>
      </c>
      <c r="I2111" s="94">
        <v>14</v>
      </c>
    </row>
    <row r="2112" spans="1:9" hidden="1" x14ac:dyDescent="0.2">
      <c r="A2112" s="46" t="s">
        <v>3165</v>
      </c>
      <c r="B2112" s="12" t="s">
        <v>3166</v>
      </c>
      <c r="C2112" s="13">
        <f t="shared" si="4"/>
        <v>65</v>
      </c>
      <c r="D2112" s="12" t="s">
        <v>3267</v>
      </c>
      <c r="E2112" s="12" t="s">
        <v>3167</v>
      </c>
      <c r="F2112" s="65" t="s">
        <v>3268</v>
      </c>
      <c r="G2112" s="66" t="s">
        <v>1239</v>
      </c>
      <c r="I2112" s="99">
        <v>13</v>
      </c>
    </row>
    <row r="2113" spans="1:10" hidden="1" x14ac:dyDescent="0.2">
      <c r="A2113" s="46" t="s">
        <v>2631</v>
      </c>
      <c r="B2113" s="12" t="s">
        <v>2632</v>
      </c>
      <c r="C2113" s="13">
        <f t="shared" si="4"/>
        <v>66</v>
      </c>
      <c r="D2113" s="14" t="s">
        <v>2855</v>
      </c>
      <c r="E2113" s="12" t="s">
        <v>2634</v>
      </c>
      <c r="F2113" s="65" t="s">
        <v>2856</v>
      </c>
      <c r="G2113" s="66" t="s">
        <v>684</v>
      </c>
      <c r="I2113" s="94">
        <v>14</v>
      </c>
    </row>
    <row r="2114" spans="1:10" hidden="1" x14ac:dyDescent="0.2">
      <c r="A2114" s="46" t="s">
        <v>3165</v>
      </c>
      <c r="B2114" s="12" t="s">
        <v>3166</v>
      </c>
      <c r="C2114" s="13">
        <f t="shared" si="4"/>
        <v>67</v>
      </c>
      <c r="D2114" s="12" t="s">
        <v>3269</v>
      </c>
      <c r="E2114" s="12" t="s">
        <v>3167</v>
      </c>
      <c r="F2114" s="65" t="s">
        <v>3270</v>
      </c>
      <c r="G2114" s="66" t="s">
        <v>1239</v>
      </c>
      <c r="I2114" s="99">
        <v>13</v>
      </c>
    </row>
    <row r="2115" spans="1:10" hidden="1" x14ac:dyDescent="0.2">
      <c r="A2115" s="46" t="s">
        <v>2631</v>
      </c>
      <c r="B2115" s="12" t="s">
        <v>2632</v>
      </c>
      <c r="C2115" s="13">
        <f t="shared" si="4"/>
        <v>68</v>
      </c>
      <c r="D2115" s="14" t="s">
        <v>2851</v>
      </c>
      <c r="E2115" s="12" t="s">
        <v>2634</v>
      </c>
      <c r="F2115" s="65" t="s">
        <v>2852</v>
      </c>
      <c r="G2115" s="66" t="s">
        <v>684</v>
      </c>
      <c r="I2115" s="94">
        <v>14</v>
      </c>
    </row>
    <row r="2116" spans="1:10" hidden="1" x14ac:dyDescent="0.2">
      <c r="A2116" s="46" t="s">
        <v>3165</v>
      </c>
      <c r="B2116" s="12" t="s">
        <v>3166</v>
      </c>
      <c r="C2116" s="13">
        <f t="shared" si="4"/>
        <v>69</v>
      </c>
      <c r="D2116" s="12" t="s">
        <v>3265</v>
      </c>
      <c r="E2116" s="12" t="s">
        <v>3167</v>
      </c>
      <c r="F2116" s="65" t="s">
        <v>3266</v>
      </c>
      <c r="G2116" s="66" t="s">
        <v>1239</v>
      </c>
      <c r="I2116" s="99">
        <v>13</v>
      </c>
    </row>
    <row r="2117" spans="1:10" ht="15" hidden="1" x14ac:dyDescent="0.25">
      <c r="A2117" s="46" t="s">
        <v>4583</v>
      </c>
      <c r="B2117" s="12" t="s">
        <v>4584</v>
      </c>
      <c r="C2117" s="13">
        <v>13</v>
      </c>
      <c r="D2117" s="12" t="s">
        <v>4605</v>
      </c>
      <c r="E2117" s="12" t="s">
        <v>4585</v>
      </c>
      <c r="F2117" s="12" t="s">
        <v>4606</v>
      </c>
      <c r="G2117" s="66" t="s">
        <v>258</v>
      </c>
      <c r="I2117" s="9">
        <v>15</v>
      </c>
      <c r="J2117" s="52"/>
    </row>
    <row r="2118" spans="1:10" hidden="1" x14ac:dyDescent="0.2">
      <c r="A2118" s="46" t="s">
        <v>3165</v>
      </c>
      <c r="B2118" s="12" t="s">
        <v>3166</v>
      </c>
      <c r="C2118" s="13">
        <v>48</v>
      </c>
      <c r="D2118" s="12" t="s">
        <v>3235</v>
      </c>
      <c r="E2118" s="12" t="s">
        <v>3167</v>
      </c>
      <c r="F2118" s="65" t="s">
        <v>3236</v>
      </c>
      <c r="G2118" s="66" t="s">
        <v>13</v>
      </c>
    </row>
    <row r="2119" spans="1:10" hidden="1" x14ac:dyDescent="0.2">
      <c r="A2119" s="46" t="s">
        <v>3165</v>
      </c>
      <c r="B2119" s="12" t="s">
        <v>3166</v>
      </c>
      <c r="C2119" s="13">
        <v>47</v>
      </c>
      <c r="D2119" s="12" t="s">
        <v>3233</v>
      </c>
      <c r="E2119" s="12" t="s">
        <v>3167</v>
      </c>
      <c r="F2119" s="65" t="s">
        <v>3234</v>
      </c>
      <c r="G2119" s="66" t="s">
        <v>13</v>
      </c>
    </row>
    <row r="2120" spans="1:10" hidden="1" x14ac:dyDescent="0.25">
      <c r="A2120" s="46" t="s">
        <v>1568</v>
      </c>
      <c r="B2120" s="12" t="s">
        <v>1569</v>
      </c>
      <c r="C2120" s="13">
        <v>12</v>
      </c>
      <c r="D2120" s="12" t="s">
        <v>1596</v>
      </c>
      <c r="E2120" s="12" t="s">
        <v>1570</v>
      </c>
      <c r="F2120" s="12" t="s">
        <v>1597</v>
      </c>
      <c r="G2120" s="15" t="s">
        <v>1574</v>
      </c>
      <c r="I2120" s="94">
        <v>14</v>
      </c>
    </row>
    <row r="2121" spans="1:10" ht="15" hidden="1" x14ac:dyDescent="0.25">
      <c r="A2121" s="46" t="s">
        <v>5523</v>
      </c>
      <c r="B2121" s="12" t="s">
        <v>5524</v>
      </c>
      <c r="C2121" s="13">
        <v>4</v>
      </c>
      <c r="D2121" s="14" t="s">
        <v>5532</v>
      </c>
      <c r="E2121" s="12" t="s">
        <v>5526</v>
      </c>
      <c r="F2121" s="65" t="s">
        <v>5533</v>
      </c>
      <c r="G2121" s="15" t="s">
        <v>1323</v>
      </c>
      <c r="I2121" s="9">
        <v>15</v>
      </c>
      <c r="J2121" s="52"/>
    </row>
    <row r="2122" spans="1:10" hidden="1" x14ac:dyDescent="0.25">
      <c r="A2122" s="46" t="s">
        <v>943</v>
      </c>
      <c r="B2122" s="12" t="s">
        <v>944</v>
      </c>
      <c r="C2122" s="13">
        <v>28</v>
      </c>
      <c r="D2122" s="12" t="s">
        <v>998</v>
      </c>
      <c r="E2122" s="12" t="s">
        <v>945</v>
      </c>
      <c r="F2122" s="12" t="s">
        <v>999</v>
      </c>
      <c r="G2122" s="15" t="s">
        <v>829</v>
      </c>
      <c r="I2122" s="9">
        <v>15</v>
      </c>
    </row>
    <row r="2123" spans="1:10" hidden="1" x14ac:dyDescent="0.2">
      <c r="A2123" s="46" t="s">
        <v>4212</v>
      </c>
      <c r="B2123" s="12" t="s">
        <v>4213</v>
      </c>
      <c r="C2123" s="13">
        <f>C2122+1</f>
        <v>29</v>
      </c>
      <c r="D2123" s="12" t="s">
        <v>4272</v>
      </c>
      <c r="E2123" s="12" t="s">
        <v>4214</v>
      </c>
      <c r="F2123" s="12" t="s">
        <v>4273</v>
      </c>
      <c r="G2123" s="66" t="s">
        <v>13</v>
      </c>
      <c r="I2123" s="90" t="s">
        <v>2426</v>
      </c>
    </row>
    <row r="2124" spans="1:10" hidden="1" x14ac:dyDescent="0.2">
      <c r="A2124" s="46" t="s">
        <v>3458</v>
      </c>
      <c r="B2124" s="12" t="s">
        <v>3459</v>
      </c>
      <c r="C2124" s="13">
        <f>C2123+1</f>
        <v>30</v>
      </c>
      <c r="D2124" s="12" t="s">
        <v>3579</v>
      </c>
      <c r="E2124" s="65" t="s">
        <v>3460</v>
      </c>
      <c r="F2124" s="65" t="s">
        <v>3580</v>
      </c>
      <c r="G2124" s="66" t="s">
        <v>13</v>
      </c>
      <c r="I2124" s="90" t="s">
        <v>2426</v>
      </c>
    </row>
    <row r="2125" spans="1:10" hidden="1" x14ac:dyDescent="0.2">
      <c r="A2125" s="46" t="s">
        <v>3633</v>
      </c>
      <c r="B2125" s="12" t="s">
        <v>3634</v>
      </c>
      <c r="C2125" s="13">
        <v>59</v>
      </c>
      <c r="D2125" s="12" t="s">
        <v>3579</v>
      </c>
      <c r="E2125" s="65" t="s">
        <v>3635</v>
      </c>
      <c r="F2125" s="65" t="s">
        <v>3712</v>
      </c>
      <c r="G2125" s="66" t="s">
        <v>13</v>
      </c>
      <c r="I2125" s="90" t="s">
        <v>2426</v>
      </c>
    </row>
    <row r="2126" spans="1:10" hidden="1" x14ac:dyDescent="0.2">
      <c r="A2126" s="46" t="s">
        <v>4087</v>
      </c>
      <c r="B2126" s="12" t="s">
        <v>4088</v>
      </c>
      <c r="C2126" s="13">
        <f>C2125+1</f>
        <v>60</v>
      </c>
      <c r="D2126" s="12" t="s">
        <v>3579</v>
      </c>
      <c r="E2126" s="12" t="s">
        <v>4089</v>
      </c>
      <c r="F2126" s="12" t="s">
        <v>4145</v>
      </c>
      <c r="G2126" s="66" t="s">
        <v>13</v>
      </c>
      <c r="I2126" s="90" t="s">
        <v>2426</v>
      </c>
    </row>
    <row r="2127" spans="1:10" hidden="1" x14ac:dyDescent="0.25">
      <c r="A2127" s="46" t="s">
        <v>5886</v>
      </c>
      <c r="B2127" s="12" t="s">
        <v>5887</v>
      </c>
      <c r="C2127" s="13">
        <v>16</v>
      </c>
      <c r="D2127" s="12" t="s">
        <v>5909</v>
      </c>
      <c r="E2127" s="12" t="s">
        <v>5888</v>
      </c>
      <c r="F2127" s="12" t="s">
        <v>5910</v>
      </c>
      <c r="G2127" s="15" t="s">
        <v>13</v>
      </c>
      <c r="I2127" s="99">
        <v>13</v>
      </c>
    </row>
    <row r="2128" spans="1:10" hidden="1" x14ac:dyDescent="0.2">
      <c r="A2128" s="46" t="s">
        <v>434</v>
      </c>
      <c r="B2128" s="12" t="s">
        <v>435</v>
      </c>
      <c r="C2128" s="13">
        <v>8</v>
      </c>
      <c r="D2128" s="14" t="s">
        <v>448</v>
      </c>
      <c r="E2128" s="12" t="s">
        <v>436</v>
      </c>
      <c r="F2128" s="12" t="s">
        <v>449</v>
      </c>
      <c r="G2128" s="15" t="s">
        <v>13</v>
      </c>
    </row>
    <row r="2129" spans="1:27" ht="12.75" hidden="1" thickBot="1" x14ac:dyDescent="0.25">
      <c r="A2129" s="44" t="s">
        <v>93</v>
      </c>
      <c r="B2129" s="30" t="s">
        <v>94</v>
      </c>
      <c r="C2129" s="31">
        <v>68</v>
      </c>
      <c r="D2129" s="69" t="s">
        <v>234</v>
      </c>
      <c r="E2129" s="30" t="s">
        <v>96</v>
      </c>
      <c r="F2129" s="30" t="s">
        <v>235</v>
      </c>
      <c r="G2129" s="33" t="s">
        <v>13</v>
      </c>
    </row>
    <row r="2130" spans="1:27" hidden="1" x14ac:dyDescent="0.2">
      <c r="A2130" s="139" t="s">
        <v>1093</v>
      </c>
      <c r="B2130" s="61" t="s">
        <v>1094</v>
      </c>
      <c r="C2130" s="58">
        <v>3</v>
      </c>
      <c r="D2130" s="107" t="s">
        <v>1099</v>
      </c>
      <c r="E2130" s="61" t="s">
        <v>1095</v>
      </c>
      <c r="F2130" s="61" t="s">
        <v>1100</v>
      </c>
      <c r="G2130" s="15" t="s">
        <v>78</v>
      </c>
    </row>
    <row r="2131" spans="1:27" hidden="1" x14ac:dyDescent="0.2">
      <c r="A2131" s="46" t="s">
        <v>1142</v>
      </c>
      <c r="B2131" s="12" t="s">
        <v>1143</v>
      </c>
      <c r="C2131" s="13">
        <v>5</v>
      </c>
      <c r="D2131" s="37" t="s">
        <v>1099</v>
      </c>
      <c r="E2131" s="12" t="s">
        <v>1144</v>
      </c>
      <c r="F2131" s="22" t="s">
        <v>1149</v>
      </c>
      <c r="G2131" s="15" t="s">
        <v>78</v>
      </c>
    </row>
    <row r="2132" spans="1:27" hidden="1" x14ac:dyDescent="0.2">
      <c r="A2132" s="45" t="s">
        <v>1229</v>
      </c>
      <c r="B2132" s="22" t="s">
        <v>1230</v>
      </c>
      <c r="C2132" s="23">
        <v>5</v>
      </c>
      <c r="D2132" s="37" t="s">
        <v>1099</v>
      </c>
      <c r="E2132" s="22" t="s">
        <v>1231</v>
      </c>
      <c r="F2132" s="22" t="s">
        <v>1236</v>
      </c>
      <c r="G2132" s="26" t="s">
        <v>285</v>
      </c>
      <c r="H2132" s="38"/>
      <c r="I2132" s="39">
        <v>15</v>
      </c>
      <c r="J2132" s="38"/>
      <c r="K2132" s="38"/>
      <c r="L2132" s="38"/>
      <c r="M2132" s="38"/>
      <c r="N2132" s="38"/>
      <c r="O2132" s="38"/>
      <c r="P2132" s="38"/>
      <c r="Q2132" s="38"/>
      <c r="R2132" s="38"/>
      <c r="S2132" s="38"/>
      <c r="T2132" s="38"/>
      <c r="U2132" s="38"/>
      <c r="V2132" s="38"/>
      <c r="W2132" s="38"/>
      <c r="X2132" s="38"/>
      <c r="Y2132" s="38"/>
      <c r="Z2132" s="38"/>
      <c r="AA2132" s="38"/>
    </row>
    <row r="2133" spans="1:27" hidden="1" x14ac:dyDescent="0.2">
      <c r="A2133" s="46" t="s">
        <v>2440</v>
      </c>
      <c r="B2133" s="12" t="s">
        <v>2441</v>
      </c>
      <c r="C2133" s="13">
        <v>3</v>
      </c>
      <c r="D2133" s="37" t="s">
        <v>1099</v>
      </c>
      <c r="E2133" s="12" t="s">
        <v>2442</v>
      </c>
      <c r="F2133" s="22" t="s">
        <v>2446</v>
      </c>
      <c r="G2133" s="15" t="s">
        <v>78</v>
      </c>
    </row>
    <row r="2134" spans="1:27" hidden="1" x14ac:dyDescent="0.2">
      <c r="A2134" s="46" t="s">
        <v>3165</v>
      </c>
      <c r="B2134" s="12" t="s">
        <v>3166</v>
      </c>
      <c r="C2134" s="13">
        <v>35</v>
      </c>
      <c r="D2134" s="12" t="s">
        <v>3214</v>
      </c>
      <c r="E2134" s="12" t="s">
        <v>3167</v>
      </c>
      <c r="F2134" s="65" t="s">
        <v>3215</v>
      </c>
      <c r="G2134" s="66" t="s">
        <v>156</v>
      </c>
    </row>
    <row r="2135" spans="1:27" hidden="1" x14ac:dyDescent="0.2">
      <c r="A2135" s="46" t="s">
        <v>3165</v>
      </c>
      <c r="B2135" s="12" t="s">
        <v>3166</v>
      </c>
      <c r="C2135" s="13">
        <v>34</v>
      </c>
      <c r="D2135" s="12" t="s">
        <v>3212</v>
      </c>
      <c r="E2135" s="12" t="s">
        <v>3167</v>
      </c>
      <c r="F2135" s="65" t="s">
        <v>3213</v>
      </c>
      <c r="G2135" s="66" t="s">
        <v>156</v>
      </c>
    </row>
    <row r="2136" spans="1:27" hidden="1" x14ac:dyDescent="0.2">
      <c r="A2136" s="46" t="s">
        <v>3165</v>
      </c>
      <c r="B2136" s="12" t="s">
        <v>3166</v>
      </c>
      <c r="C2136" s="13">
        <v>30</v>
      </c>
      <c r="D2136" s="12" t="s">
        <v>3204</v>
      </c>
      <c r="E2136" s="12" t="s">
        <v>3167</v>
      </c>
      <c r="F2136" s="65" t="s">
        <v>3205</v>
      </c>
      <c r="G2136" s="66" t="s">
        <v>13</v>
      </c>
    </row>
    <row r="2137" spans="1:27" hidden="1" x14ac:dyDescent="0.2">
      <c r="A2137" s="46" t="s">
        <v>791</v>
      </c>
      <c r="B2137" s="12" t="s">
        <v>792</v>
      </c>
      <c r="C2137" s="13">
        <v>22</v>
      </c>
      <c r="D2137" s="14" t="s">
        <v>835</v>
      </c>
      <c r="E2137" s="12" t="s">
        <v>793</v>
      </c>
      <c r="F2137" s="12" t="s">
        <v>836</v>
      </c>
      <c r="G2137" s="15" t="s">
        <v>276</v>
      </c>
      <c r="I2137" s="9">
        <v>15</v>
      </c>
    </row>
    <row r="2138" spans="1:27" hidden="1" x14ac:dyDescent="0.25">
      <c r="A2138" s="46" t="s">
        <v>1794</v>
      </c>
      <c r="B2138" s="12" t="s">
        <v>1795</v>
      </c>
      <c r="C2138" s="13">
        <v>12</v>
      </c>
      <c r="D2138" s="12" t="s">
        <v>1816</v>
      </c>
      <c r="E2138" s="12" t="s">
        <v>1796</v>
      </c>
      <c r="F2138" s="12" t="s">
        <v>1817</v>
      </c>
      <c r="G2138" s="15" t="s">
        <v>276</v>
      </c>
      <c r="I2138" s="9">
        <v>15</v>
      </c>
    </row>
    <row r="2139" spans="1:27" hidden="1" x14ac:dyDescent="0.25">
      <c r="A2139" s="46" t="s">
        <v>5686</v>
      </c>
      <c r="B2139" s="12" t="s">
        <v>5687</v>
      </c>
      <c r="C2139" s="13">
        <f>C2138+1</f>
        <v>13</v>
      </c>
      <c r="D2139" s="12" t="s">
        <v>5811</v>
      </c>
      <c r="E2139" s="12" t="s">
        <v>5688</v>
      </c>
      <c r="F2139" s="12" t="s">
        <v>5812</v>
      </c>
      <c r="G2139" s="15" t="s">
        <v>3022</v>
      </c>
      <c r="I2139" s="90">
        <v>12</v>
      </c>
    </row>
    <row r="2140" spans="1:27" hidden="1" x14ac:dyDescent="0.2">
      <c r="A2140" s="46" t="s">
        <v>2631</v>
      </c>
      <c r="B2140" s="12" t="s">
        <v>2632</v>
      </c>
      <c r="C2140" s="13">
        <f>C2139+1</f>
        <v>14</v>
      </c>
      <c r="D2140" s="14" t="s">
        <v>2781</v>
      </c>
      <c r="E2140" s="12" t="s">
        <v>2634</v>
      </c>
      <c r="F2140" s="65" t="s">
        <v>2782</v>
      </c>
      <c r="G2140" s="66" t="s">
        <v>156</v>
      </c>
      <c r="I2140" s="99">
        <v>13</v>
      </c>
    </row>
    <row r="2141" spans="1:27" hidden="1" x14ac:dyDescent="0.2">
      <c r="A2141" s="46" t="s">
        <v>3993</v>
      </c>
      <c r="B2141" s="12" t="s">
        <v>3994</v>
      </c>
      <c r="C2141" s="13">
        <v>7</v>
      </c>
      <c r="D2141" s="12" t="s">
        <v>4005</v>
      </c>
      <c r="E2141" s="12" t="s">
        <v>3995</v>
      </c>
      <c r="F2141" s="12" t="s">
        <v>4006</v>
      </c>
      <c r="G2141" s="66" t="s">
        <v>13</v>
      </c>
    </row>
    <row r="2142" spans="1:27" hidden="1" x14ac:dyDescent="0.2">
      <c r="A2142" s="46" t="s">
        <v>2867</v>
      </c>
      <c r="B2142" s="12" t="s">
        <v>2868</v>
      </c>
      <c r="C2142" s="13">
        <v>34</v>
      </c>
      <c r="D2142" s="14" t="s">
        <v>2929</v>
      </c>
      <c r="E2142" s="12" t="s">
        <v>2869</v>
      </c>
      <c r="F2142" s="65" t="s">
        <v>2930</v>
      </c>
      <c r="G2142" s="66" t="s">
        <v>156</v>
      </c>
    </row>
    <row r="2143" spans="1:27" hidden="1" x14ac:dyDescent="0.2">
      <c r="A2143" s="46" t="s">
        <v>3165</v>
      </c>
      <c r="B2143" s="12" t="s">
        <v>3166</v>
      </c>
      <c r="C2143" s="13">
        <v>54</v>
      </c>
      <c r="D2143" s="12" t="s">
        <v>3248</v>
      </c>
      <c r="E2143" s="12" t="s">
        <v>3167</v>
      </c>
      <c r="F2143" s="65" t="s">
        <v>3249</v>
      </c>
      <c r="G2143" s="66" t="s">
        <v>13</v>
      </c>
    </row>
    <row r="2144" spans="1:27" hidden="1" x14ac:dyDescent="0.2">
      <c r="A2144" s="46" t="s">
        <v>2631</v>
      </c>
      <c r="B2144" s="12" t="s">
        <v>2632</v>
      </c>
      <c r="C2144" s="13">
        <v>37</v>
      </c>
      <c r="D2144" s="14" t="s">
        <v>2701</v>
      </c>
      <c r="E2144" s="12" t="s">
        <v>2634</v>
      </c>
      <c r="F2144" s="65" t="s">
        <v>2702</v>
      </c>
      <c r="G2144" s="66" t="s">
        <v>156</v>
      </c>
    </row>
    <row r="2145" spans="1:9" hidden="1" x14ac:dyDescent="0.2">
      <c r="A2145" s="46" t="s">
        <v>3165</v>
      </c>
      <c r="B2145" s="12" t="s">
        <v>3166</v>
      </c>
      <c r="C2145" s="13">
        <v>26</v>
      </c>
      <c r="D2145" s="12" t="s">
        <v>2701</v>
      </c>
      <c r="E2145" s="12" t="s">
        <v>3167</v>
      </c>
      <c r="F2145" s="65" t="s">
        <v>3199</v>
      </c>
      <c r="G2145" s="66" t="s">
        <v>156</v>
      </c>
    </row>
    <row r="2146" spans="1:9" hidden="1" x14ac:dyDescent="0.2">
      <c r="A2146" s="46" t="s">
        <v>5159</v>
      </c>
      <c r="B2146" s="12" t="s">
        <v>5160</v>
      </c>
      <c r="C2146" s="13">
        <v>8</v>
      </c>
      <c r="D2146" s="41" t="s">
        <v>2701</v>
      </c>
      <c r="E2146" s="12" t="s">
        <v>5161</v>
      </c>
      <c r="F2146" s="65" t="s">
        <v>5173</v>
      </c>
      <c r="G2146" s="66" t="s">
        <v>3022</v>
      </c>
    </row>
    <row r="2147" spans="1:9" hidden="1" x14ac:dyDescent="0.2">
      <c r="A2147" s="46" t="s">
        <v>2631</v>
      </c>
      <c r="B2147" s="12" t="s">
        <v>2632</v>
      </c>
      <c r="C2147" s="13">
        <f>C2146+1</f>
        <v>9</v>
      </c>
      <c r="D2147" s="14" t="s">
        <v>2772</v>
      </c>
      <c r="E2147" s="12" t="s">
        <v>2634</v>
      </c>
      <c r="F2147" s="65" t="s">
        <v>2773</v>
      </c>
      <c r="G2147" s="66" t="s">
        <v>156</v>
      </c>
      <c r="I2147" s="90">
        <v>12</v>
      </c>
    </row>
    <row r="2148" spans="1:9" hidden="1" x14ac:dyDescent="0.25">
      <c r="A2148" s="46" t="s">
        <v>1093</v>
      </c>
      <c r="B2148" s="12" t="s">
        <v>1094</v>
      </c>
      <c r="C2148" s="13">
        <v>9</v>
      </c>
      <c r="D2148" s="12" t="s">
        <v>1110</v>
      </c>
      <c r="E2148" s="12" t="s">
        <v>1095</v>
      </c>
      <c r="F2148" s="12" t="s">
        <v>1111</v>
      </c>
      <c r="G2148" s="15" t="s">
        <v>156</v>
      </c>
      <c r="I2148" s="99">
        <v>13</v>
      </c>
    </row>
    <row r="2149" spans="1:9" ht="12.75" hidden="1" thickBot="1" x14ac:dyDescent="0.3">
      <c r="A2149" s="44" t="s">
        <v>641</v>
      </c>
      <c r="B2149" s="30" t="s">
        <v>642</v>
      </c>
      <c r="C2149" s="31">
        <v>9</v>
      </c>
      <c r="D2149" s="30" t="s">
        <v>657</v>
      </c>
      <c r="E2149" s="30" t="s">
        <v>643</v>
      </c>
      <c r="F2149" s="30" t="s">
        <v>658</v>
      </c>
      <c r="G2149" s="33" t="s">
        <v>156</v>
      </c>
      <c r="I2149" s="99">
        <v>13</v>
      </c>
    </row>
    <row r="2150" spans="1:9" hidden="1" x14ac:dyDescent="0.2">
      <c r="A2150" s="46" t="s">
        <v>6531</v>
      </c>
      <c r="B2150" s="61" t="s">
        <v>6532</v>
      </c>
      <c r="C2150" s="58">
        <v>7</v>
      </c>
      <c r="D2150" s="61" t="s">
        <v>657</v>
      </c>
      <c r="E2150" s="61" t="s">
        <v>6533</v>
      </c>
      <c r="F2150" s="61" t="s">
        <v>6542</v>
      </c>
      <c r="G2150" s="66" t="s">
        <v>3022</v>
      </c>
      <c r="I2150" s="9">
        <v>15</v>
      </c>
    </row>
    <row r="2151" spans="1:9" hidden="1" x14ac:dyDescent="0.25">
      <c r="A2151" s="46" t="s">
        <v>6086</v>
      </c>
      <c r="B2151" s="12" t="s">
        <v>6087</v>
      </c>
      <c r="C2151" s="13">
        <v>12</v>
      </c>
      <c r="D2151" s="12" t="s">
        <v>6108</v>
      </c>
      <c r="E2151" s="12" t="s">
        <v>6088</v>
      </c>
      <c r="F2151" s="12" t="s">
        <v>6109</v>
      </c>
      <c r="G2151" s="15" t="s">
        <v>156</v>
      </c>
      <c r="I2151" s="99">
        <v>13</v>
      </c>
    </row>
    <row r="2152" spans="1:9" hidden="1" x14ac:dyDescent="0.25">
      <c r="A2152" s="46" t="s">
        <v>6134</v>
      </c>
      <c r="B2152" s="12" t="s">
        <v>6135</v>
      </c>
      <c r="C2152" s="13">
        <v>12</v>
      </c>
      <c r="D2152" s="12" t="s">
        <v>6108</v>
      </c>
      <c r="E2152" s="12" t="s">
        <v>6136</v>
      </c>
      <c r="F2152" s="12" t="s">
        <v>6150</v>
      </c>
      <c r="G2152" s="15" t="s">
        <v>156</v>
      </c>
      <c r="I2152" s="99">
        <v>13</v>
      </c>
    </row>
    <row r="2153" spans="1:9" hidden="1" x14ac:dyDescent="0.25">
      <c r="A2153" s="46" t="s">
        <v>6463</v>
      </c>
      <c r="B2153" s="12" t="s">
        <v>6464</v>
      </c>
      <c r="C2153" s="13">
        <v>12</v>
      </c>
      <c r="D2153" s="12" t="s">
        <v>6108</v>
      </c>
      <c r="E2153" s="12" t="s">
        <v>6465</v>
      </c>
      <c r="F2153" s="12" t="s">
        <v>6477</v>
      </c>
      <c r="G2153" s="15" t="s">
        <v>156</v>
      </c>
      <c r="I2153" s="9">
        <v>15</v>
      </c>
    </row>
    <row r="2154" spans="1:9" hidden="1" x14ac:dyDescent="0.25">
      <c r="A2154" s="46" t="s">
        <v>6491</v>
      </c>
      <c r="B2154" s="12" t="s">
        <v>6492</v>
      </c>
      <c r="C2154" s="13">
        <v>12</v>
      </c>
      <c r="D2154" s="12" t="s">
        <v>6108</v>
      </c>
      <c r="E2154" s="12" t="s">
        <v>6493</v>
      </c>
      <c r="F2154" s="12" t="s">
        <v>6505</v>
      </c>
      <c r="G2154" s="15" t="s">
        <v>156</v>
      </c>
      <c r="I2154" s="9">
        <v>15</v>
      </c>
    </row>
    <row r="2155" spans="1:9" ht="24" hidden="1" x14ac:dyDescent="0.25">
      <c r="A2155" s="46" t="s">
        <v>1882</v>
      </c>
      <c r="B2155" s="12" t="s">
        <v>1883</v>
      </c>
      <c r="C2155" s="13">
        <v>14</v>
      </c>
      <c r="D2155" s="51" t="s">
        <v>1908</v>
      </c>
      <c r="E2155" s="12" t="s">
        <v>1884</v>
      </c>
      <c r="F2155" s="12" t="s">
        <v>1909</v>
      </c>
      <c r="G2155" s="15" t="s">
        <v>276</v>
      </c>
      <c r="I2155" s="9">
        <v>15</v>
      </c>
    </row>
    <row r="2156" spans="1:9" ht="24" hidden="1" x14ac:dyDescent="0.25">
      <c r="A2156" s="46" t="s">
        <v>1882</v>
      </c>
      <c r="B2156" s="12" t="s">
        <v>1883</v>
      </c>
      <c r="C2156" s="13">
        <v>13</v>
      </c>
      <c r="D2156" s="51" t="s">
        <v>1906</v>
      </c>
      <c r="E2156" s="12" t="s">
        <v>1884</v>
      </c>
      <c r="F2156" s="12" t="s">
        <v>1907</v>
      </c>
      <c r="G2156" s="15" t="s">
        <v>276</v>
      </c>
      <c r="I2156" s="9">
        <v>15</v>
      </c>
    </row>
    <row r="2157" spans="1:9" hidden="1" x14ac:dyDescent="0.2">
      <c r="A2157" s="46" t="s">
        <v>3458</v>
      </c>
      <c r="B2157" s="12" t="s">
        <v>3459</v>
      </c>
      <c r="C2157" s="13">
        <f>C2156+1</f>
        <v>14</v>
      </c>
      <c r="D2157" s="12" t="s">
        <v>3599</v>
      </c>
      <c r="E2157" s="65" t="s">
        <v>3460</v>
      </c>
      <c r="F2157" s="65" t="s">
        <v>3600</v>
      </c>
      <c r="G2157" s="66" t="s">
        <v>156</v>
      </c>
      <c r="I2157" s="99">
        <v>13</v>
      </c>
    </row>
    <row r="2158" spans="1:9" hidden="1" x14ac:dyDescent="0.2">
      <c r="A2158" s="46" t="s">
        <v>3633</v>
      </c>
      <c r="B2158" s="12" t="s">
        <v>3634</v>
      </c>
      <c r="C2158" s="13">
        <v>69</v>
      </c>
      <c r="D2158" s="12" t="s">
        <v>3599</v>
      </c>
      <c r="E2158" s="65" t="s">
        <v>3635</v>
      </c>
      <c r="F2158" s="65" t="s">
        <v>3722</v>
      </c>
      <c r="G2158" s="66" t="s">
        <v>156</v>
      </c>
      <c r="I2158" s="99">
        <v>13</v>
      </c>
    </row>
    <row r="2159" spans="1:9" hidden="1" x14ac:dyDescent="0.25">
      <c r="A2159" s="46" t="s">
        <v>4087</v>
      </c>
      <c r="B2159" s="12" t="s">
        <v>4088</v>
      </c>
      <c r="C2159" s="13">
        <f>C2158+1</f>
        <v>70</v>
      </c>
      <c r="D2159" s="12" t="s">
        <v>3599</v>
      </c>
      <c r="E2159" s="12" t="s">
        <v>4089</v>
      </c>
      <c r="F2159" s="12" t="s">
        <v>4194</v>
      </c>
      <c r="G2159" s="15" t="s">
        <v>156</v>
      </c>
      <c r="I2159" s="99">
        <v>13</v>
      </c>
    </row>
    <row r="2160" spans="1:9" hidden="1" x14ac:dyDescent="0.25">
      <c r="A2160" s="46" t="s">
        <v>4212</v>
      </c>
      <c r="B2160" s="12" t="s">
        <v>4213</v>
      </c>
      <c r="C2160" s="13">
        <f>C2159+1</f>
        <v>71</v>
      </c>
      <c r="D2160" s="12" t="s">
        <v>3599</v>
      </c>
      <c r="E2160" s="12" t="s">
        <v>4214</v>
      </c>
      <c r="F2160" s="12" t="s">
        <v>4302</v>
      </c>
      <c r="G2160" s="15" t="s">
        <v>156</v>
      </c>
      <c r="I2160" s="99">
        <v>13</v>
      </c>
    </row>
    <row r="2161" spans="1:9" ht="12.75" hidden="1" thickBot="1" x14ac:dyDescent="0.25">
      <c r="A2161" s="44" t="s">
        <v>3458</v>
      </c>
      <c r="B2161" s="30" t="s">
        <v>3459</v>
      </c>
      <c r="C2161" s="31">
        <v>14</v>
      </c>
      <c r="D2161" s="30" t="s">
        <v>3481</v>
      </c>
      <c r="E2161" s="67" t="s">
        <v>3460</v>
      </c>
      <c r="F2161" s="67" t="s">
        <v>3482</v>
      </c>
      <c r="G2161" s="68" t="s">
        <v>13</v>
      </c>
    </row>
    <row r="2162" spans="1:9" hidden="1" x14ac:dyDescent="0.2">
      <c r="A2162" s="139" t="s">
        <v>3633</v>
      </c>
      <c r="B2162" s="61" t="s">
        <v>3634</v>
      </c>
      <c r="C2162" s="58">
        <v>14</v>
      </c>
      <c r="D2162" s="61" t="s">
        <v>3481</v>
      </c>
      <c r="E2162" s="74" t="s">
        <v>3635</v>
      </c>
      <c r="F2162" s="74" t="s">
        <v>3650</v>
      </c>
      <c r="G2162" s="66" t="s">
        <v>13</v>
      </c>
    </row>
    <row r="2163" spans="1:9" hidden="1" x14ac:dyDescent="0.2">
      <c r="A2163" s="46" t="s">
        <v>4087</v>
      </c>
      <c r="B2163" s="12" t="s">
        <v>4088</v>
      </c>
      <c r="C2163" s="13">
        <f>C2162+1</f>
        <v>15</v>
      </c>
      <c r="D2163" s="12" t="s">
        <v>3481</v>
      </c>
      <c r="E2163" s="12" t="s">
        <v>4089</v>
      </c>
      <c r="F2163" s="12" t="s">
        <v>4107</v>
      </c>
      <c r="G2163" s="66" t="s">
        <v>13</v>
      </c>
      <c r="I2163" s="90" t="s">
        <v>2426</v>
      </c>
    </row>
    <row r="2164" spans="1:9" hidden="1" x14ac:dyDescent="0.2">
      <c r="A2164" s="46" t="s">
        <v>4212</v>
      </c>
      <c r="B2164" s="12" t="s">
        <v>4213</v>
      </c>
      <c r="C2164" s="13">
        <f>C2163+1</f>
        <v>16</v>
      </c>
      <c r="D2164" s="12" t="s">
        <v>3481</v>
      </c>
      <c r="E2164" s="12" t="s">
        <v>4214</v>
      </c>
      <c r="F2164" s="12" t="s">
        <v>4230</v>
      </c>
      <c r="G2164" s="66" t="s">
        <v>13</v>
      </c>
      <c r="I2164" s="90" t="s">
        <v>2426</v>
      </c>
    </row>
    <row r="2165" spans="1:9" hidden="1" x14ac:dyDescent="0.25">
      <c r="A2165" s="46" t="s">
        <v>2130</v>
      </c>
      <c r="B2165" s="8" t="s">
        <v>2131</v>
      </c>
      <c r="C2165" s="13">
        <v>19</v>
      </c>
      <c r="D2165" s="12" t="s">
        <v>2165</v>
      </c>
      <c r="E2165" s="12" t="s">
        <v>2132</v>
      </c>
      <c r="F2165" s="12" t="s">
        <v>2166</v>
      </c>
      <c r="G2165" s="15" t="s">
        <v>156</v>
      </c>
    </row>
    <row r="2166" spans="1:9" hidden="1" x14ac:dyDescent="0.2">
      <c r="A2166" s="46" t="s">
        <v>3165</v>
      </c>
      <c r="B2166" s="12" t="s">
        <v>3166</v>
      </c>
      <c r="C2166" s="13">
        <f>C2165+1</f>
        <v>20</v>
      </c>
      <c r="D2166" s="12" t="s">
        <v>3304</v>
      </c>
      <c r="E2166" s="12" t="s">
        <v>3167</v>
      </c>
      <c r="F2166" s="12" t="s">
        <v>3305</v>
      </c>
      <c r="G2166" s="66" t="s">
        <v>156</v>
      </c>
      <c r="I2166" s="99">
        <v>13</v>
      </c>
    </row>
    <row r="2167" spans="1:9" hidden="1" x14ac:dyDescent="0.2">
      <c r="A2167" s="46" t="s">
        <v>4087</v>
      </c>
      <c r="B2167" s="12" t="s">
        <v>4088</v>
      </c>
      <c r="C2167" s="13">
        <f>C2166+1</f>
        <v>21</v>
      </c>
      <c r="D2167" s="12" t="s">
        <v>4152</v>
      </c>
      <c r="E2167" s="12" t="s">
        <v>4089</v>
      </c>
      <c r="F2167" s="12" t="s">
        <v>4153</v>
      </c>
      <c r="G2167" s="66" t="s">
        <v>3730</v>
      </c>
      <c r="I2167" s="90" t="s">
        <v>2426</v>
      </c>
    </row>
    <row r="2168" spans="1:9" hidden="1" x14ac:dyDescent="0.2">
      <c r="A2168" s="46" t="s">
        <v>4212</v>
      </c>
      <c r="B2168" s="12" t="s">
        <v>4213</v>
      </c>
      <c r="C2168" s="13">
        <f>C2167+1</f>
        <v>22</v>
      </c>
      <c r="D2168" s="12" t="s">
        <v>4152</v>
      </c>
      <c r="E2168" s="12" t="s">
        <v>4214</v>
      </c>
      <c r="F2168" s="12" t="s">
        <v>4279</v>
      </c>
      <c r="G2168" s="66" t="s">
        <v>3730</v>
      </c>
      <c r="I2168" s="90" t="s">
        <v>2426</v>
      </c>
    </row>
    <row r="2169" spans="1:9" hidden="1" x14ac:dyDescent="0.2">
      <c r="A2169" s="46" t="s">
        <v>4087</v>
      </c>
      <c r="B2169" s="12" t="s">
        <v>4088</v>
      </c>
      <c r="C2169" s="13">
        <f>C2168+1</f>
        <v>23</v>
      </c>
      <c r="D2169" s="12" t="s">
        <v>4154</v>
      </c>
      <c r="E2169" s="12" t="s">
        <v>4089</v>
      </c>
      <c r="F2169" s="12" t="s">
        <v>4155</v>
      </c>
      <c r="G2169" s="66" t="s">
        <v>3730</v>
      </c>
      <c r="I2169" s="90" t="s">
        <v>2426</v>
      </c>
    </row>
    <row r="2170" spans="1:9" hidden="1" x14ac:dyDescent="0.2">
      <c r="A2170" s="46" t="s">
        <v>4212</v>
      </c>
      <c r="B2170" s="12" t="s">
        <v>4213</v>
      </c>
      <c r="C2170" s="13">
        <f>C2169+1</f>
        <v>24</v>
      </c>
      <c r="D2170" s="12" t="s">
        <v>4154</v>
      </c>
      <c r="E2170" s="12" t="s">
        <v>4214</v>
      </c>
      <c r="F2170" s="12" t="s">
        <v>4280</v>
      </c>
      <c r="G2170" s="66" t="s">
        <v>3730</v>
      </c>
      <c r="I2170" s="90" t="s">
        <v>2426</v>
      </c>
    </row>
    <row r="2171" spans="1:9" hidden="1" x14ac:dyDescent="0.2">
      <c r="A2171" s="46" t="s">
        <v>3165</v>
      </c>
      <c r="B2171" s="12" t="s">
        <v>3166</v>
      </c>
      <c r="C2171" s="13">
        <v>45</v>
      </c>
      <c r="D2171" s="12" t="s">
        <v>3229</v>
      </c>
      <c r="E2171" s="12" t="s">
        <v>3167</v>
      </c>
      <c r="F2171" s="65" t="s">
        <v>3230</v>
      </c>
      <c r="G2171" s="66" t="s">
        <v>156</v>
      </c>
    </row>
    <row r="2172" spans="1:9" hidden="1" x14ac:dyDescent="0.2">
      <c r="A2172" s="46" t="s">
        <v>3956</v>
      </c>
      <c r="B2172" s="12" t="s">
        <v>3957</v>
      </c>
      <c r="C2172" s="13">
        <v>18</v>
      </c>
      <c r="D2172" s="12" t="s">
        <v>3229</v>
      </c>
      <c r="E2172" s="12" t="s">
        <v>3958</v>
      </c>
      <c r="F2172" s="12" t="s">
        <v>3988</v>
      </c>
      <c r="G2172" s="66" t="s">
        <v>13</v>
      </c>
    </row>
    <row r="2173" spans="1:9" ht="24" hidden="1" x14ac:dyDescent="0.25">
      <c r="A2173" s="46" t="s">
        <v>1882</v>
      </c>
      <c r="B2173" s="12" t="s">
        <v>1883</v>
      </c>
      <c r="C2173" s="13">
        <v>15</v>
      </c>
      <c r="D2173" s="51" t="s">
        <v>1910</v>
      </c>
      <c r="E2173" s="12" t="s">
        <v>1884</v>
      </c>
      <c r="F2173" s="12" t="s">
        <v>1911</v>
      </c>
      <c r="G2173" s="15" t="s">
        <v>276</v>
      </c>
      <c r="I2173" s="9">
        <v>15</v>
      </c>
    </row>
    <row r="2174" spans="1:9" hidden="1" x14ac:dyDescent="0.2">
      <c r="A2174" s="46" t="s">
        <v>93</v>
      </c>
      <c r="B2174" s="12" t="s">
        <v>94</v>
      </c>
      <c r="C2174" s="13">
        <v>80</v>
      </c>
      <c r="D2174" s="14" t="s">
        <v>259</v>
      </c>
      <c r="E2174" s="12" t="s">
        <v>96</v>
      </c>
      <c r="F2174" s="12" t="s">
        <v>260</v>
      </c>
      <c r="G2174" s="15" t="s">
        <v>258</v>
      </c>
      <c r="I2174" s="99">
        <v>13</v>
      </c>
    </row>
    <row r="2175" spans="1:9" hidden="1" x14ac:dyDescent="0.2">
      <c r="A2175" s="46" t="s">
        <v>93</v>
      </c>
      <c r="B2175" s="12" t="s">
        <v>94</v>
      </c>
      <c r="C2175" s="13">
        <v>79</v>
      </c>
      <c r="D2175" s="14" t="s">
        <v>256</v>
      </c>
      <c r="E2175" s="12" t="s">
        <v>96</v>
      </c>
      <c r="F2175" s="12" t="s">
        <v>257</v>
      </c>
      <c r="G2175" s="15" t="s">
        <v>258</v>
      </c>
      <c r="I2175" s="99">
        <v>13</v>
      </c>
    </row>
    <row r="2176" spans="1:9" hidden="1" x14ac:dyDescent="0.25">
      <c r="A2176" s="46" t="s">
        <v>6050</v>
      </c>
      <c r="B2176" s="12" t="s">
        <v>6051</v>
      </c>
      <c r="C2176" s="13">
        <v>15</v>
      </c>
      <c r="D2176" s="12" t="s">
        <v>6077</v>
      </c>
      <c r="E2176" s="12" t="s">
        <v>6052</v>
      </c>
      <c r="F2176" s="12" t="s">
        <v>6078</v>
      </c>
      <c r="G2176" s="15" t="s">
        <v>156</v>
      </c>
      <c r="I2176" s="99">
        <v>13</v>
      </c>
    </row>
    <row r="2177" spans="1:9" hidden="1" x14ac:dyDescent="0.25">
      <c r="A2177" s="46" t="s">
        <v>6442</v>
      </c>
      <c r="B2177" s="12" t="s">
        <v>6443</v>
      </c>
      <c r="C2177" s="13">
        <v>15</v>
      </c>
      <c r="D2177" s="12" t="s">
        <v>6077</v>
      </c>
      <c r="E2177" s="12" t="s">
        <v>6444</v>
      </c>
      <c r="F2177" s="12" t="s">
        <v>6459</v>
      </c>
      <c r="G2177" s="15" t="s">
        <v>156</v>
      </c>
      <c r="I2177" s="9">
        <v>15</v>
      </c>
    </row>
    <row r="2178" spans="1:9" hidden="1" x14ac:dyDescent="0.25">
      <c r="A2178" s="46" t="s">
        <v>6050</v>
      </c>
      <c r="B2178" s="12" t="s">
        <v>6051</v>
      </c>
      <c r="C2178" s="13">
        <f>C2177+1</f>
        <v>16</v>
      </c>
      <c r="D2178" s="12" t="s">
        <v>6071</v>
      </c>
      <c r="E2178" s="12" t="s">
        <v>6052</v>
      </c>
      <c r="F2178" s="12" t="s">
        <v>6072</v>
      </c>
      <c r="G2178" s="15" t="s">
        <v>3022</v>
      </c>
      <c r="I2178" s="90">
        <v>12</v>
      </c>
    </row>
    <row r="2179" spans="1:9" hidden="1" x14ac:dyDescent="0.25">
      <c r="A2179" s="46" t="s">
        <v>6442</v>
      </c>
      <c r="B2179" s="12" t="s">
        <v>6443</v>
      </c>
      <c r="C2179" s="13">
        <f>C2178+1</f>
        <v>17</v>
      </c>
      <c r="D2179" s="12" t="s">
        <v>6071</v>
      </c>
      <c r="E2179" s="12" t="s">
        <v>6444</v>
      </c>
      <c r="F2179" s="12" t="s">
        <v>6456</v>
      </c>
      <c r="G2179" s="15" t="s">
        <v>3022</v>
      </c>
      <c r="I2179" s="9">
        <v>15</v>
      </c>
    </row>
    <row r="2180" spans="1:9" hidden="1" x14ac:dyDescent="0.2">
      <c r="A2180" s="46" t="s">
        <v>2631</v>
      </c>
      <c r="B2180" s="12" t="s">
        <v>2632</v>
      </c>
      <c r="C2180" s="13">
        <v>36</v>
      </c>
      <c r="D2180" s="14" t="s">
        <v>2699</v>
      </c>
      <c r="E2180" s="12" t="s">
        <v>2634</v>
      </c>
      <c r="F2180" s="65" t="s">
        <v>2700</v>
      </c>
      <c r="G2180" s="66" t="s">
        <v>156</v>
      </c>
    </row>
    <row r="2181" spans="1:9" hidden="1" x14ac:dyDescent="0.2">
      <c r="A2181" s="46" t="s">
        <v>2867</v>
      </c>
      <c r="B2181" s="12" t="s">
        <v>2868</v>
      </c>
      <c r="C2181" s="13">
        <v>31</v>
      </c>
      <c r="D2181" s="14" t="s">
        <v>2923</v>
      </c>
      <c r="E2181" s="12" t="s">
        <v>2869</v>
      </c>
      <c r="F2181" s="65" t="s">
        <v>2924</v>
      </c>
      <c r="G2181" s="66" t="s">
        <v>156</v>
      </c>
    </row>
    <row r="2182" spans="1:9" ht="12.75" hidden="1" thickBot="1" x14ac:dyDescent="0.3">
      <c r="A2182" s="44" t="s">
        <v>1882</v>
      </c>
      <c r="B2182" s="30" t="s">
        <v>1883</v>
      </c>
      <c r="C2182" s="31">
        <v>12</v>
      </c>
      <c r="D2182" s="214" t="s">
        <v>1904</v>
      </c>
      <c r="E2182" s="30" t="s">
        <v>1884</v>
      </c>
      <c r="F2182" s="30" t="s">
        <v>1905</v>
      </c>
      <c r="G2182" s="33" t="s">
        <v>276</v>
      </c>
      <c r="I2182" s="9">
        <v>15</v>
      </c>
    </row>
    <row r="2183" spans="1:9" hidden="1" x14ac:dyDescent="0.25">
      <c r="A2183" s="139" t="s">
        <v>5686</v>
      </c>
      <c r="B2183" s="61" t="s">
        <v>5687</v>
      </c>
      <c r="C2183" s="58">
        <f>C2182+1</f>
        <v>13</v>
      </c>
      <c r="D2183" s="61" t="s">
        <v>5815</v>
      </c>
      <c r="E2183" s="61" t="s">
        <v>5688</v>
      </c>
      <c r="F2183" s="61" t="s">
        <v>5816</v>
      </c>
      <c r="G2183" s="15" t="s">
        <v>3022</v>
      </c>
      <c r="I2183" s="90">
        <v>12</v>
      </c>
    </row>
    <row r="2184" spans="1:9" hidden="1" x14ac:dyDescent="0.25">
      <c r="A2184" s="46" t="s">
        <v>5866</v>
      </c>
      <c r="B2184" s="12" t="s">
        <v>5867</v>
      </c>
      <c r="C2184" s="13">
        <f>C2183+1</f>
        <v>14</v>
      </c>
      <c r="D2184" s="12" t="s">
        <v>5815</v>
      </c>
      <c r="E2184" s="12" t="s">
        <v>5868</v>
      </c>
      <c r="F2184" s="12" t="s">
        <v>5880</v>
      </c>
      <c r="G2184" s="15" t="s">
        <v>3022</v>
      </c>
      <c r="I2184" s="90">
        <v>12</v>
      </c>
    </row>
    <row r="2185" spans="1:9" hidden="1" x14ac:dyDescent="0.2">
      <c r="A2185" s="46" t="s">
        <v>585</v>
      </c>
      <c r="B2185" s="12" t="s">
        <v>586</v>
      </c>
      <c r="C2185" s="13">
        <v>15</v>
      </c>
      <c r="D2185" s="14" t="s">
        <v>614</v>
      </c>
      <c r="E2185" s="12" t="s">
        <v>587</v>
      </c>
      <c r="F2185" s="12" t="s">
        <v>615</v>
      </c>
      <c r="G2185" s="15" t="s">
        <v>258</v>
      </c>
      <c r="I2185" s="99">
        <v>13</v>
      </c>
    </row>
    <row r="2186" spans="1:9" hidden="1" x14ac:dyDescent="0.2">
      <c r="A2186" s="46" t="s">
        <v>3165</v>
      </c>
      <c r="B2186" s="12" t="s">
        <v>3166</v>
      </c>
      <c r="C2186" s="13">
        <f>C2185+1</f>
        <v>16</v>
      </c>
      <c r="D2186" s="12" t="s">
        <v>3272</v>
      </c>
      <c r="E2186" s="12" t="s">
        <v>3167</v>
      </c>
      <c r="F2186" s="65" t="s">
        <v>3273</v>
      </c>
      <c r="G2186" s="66" t="s">
        <v>156</v>
      </c>
    </row>
    <row r="2187" spans="1:9" hidden="1" x14ac:dyDescent="0.2">
      <c r="A2187" s="46" t="s">
        <v>3458</v>
      </c>
      <c r="B2187" s="12" t="s">
        <v>3459</v>
      </c>
      <c r="C2187" s="13">
        <f>C2186+1</f>
        <v>17</v>
      </c>
      <c r="D2187" s="12" t="s">
        <v>3582</v>
      </c>
      <c r="E2187" s="65" t="s">
        <v>3460</v>
      </c>
      <c r="F2187" s="65" t="s">
        <v>3583</v>
      </c>
      <c r="G2187" s="66" t="s">
        <v>258</v>
      </c>
      <c r="I2187" s="90" t="s">
        <v>2426</v>
      </c>
    </row>
    <row r="2188" spans="1:9" hidden="1" x14ac:dyDescent="0.2">
      <c r="A2188" s="46" t="s">
        <v>3633</v>
      </c>
      <c r="B2188" s="12" t="s">
        <v>3634</v>
      </c>
      <c r="C2188" s="13">
        <v>61</v>
      </c>
      <c r="D2188" s="12" t="s">
        <v>3582</v>
      </c>
      <c r="E2188" s="65" t="s">
        <v>3635</v>
      </c>
      <c r="F2188" s="65" t="s">
        <v>3714</v>
      </c>
      <c r="G2188" s="66" t="s">
        <v>258</v>
      </c>
      <c r="I2188" s="90" t="s">
        <v>2426</v>
      </c>
    </row>
    <row r="2189" spans="1:9" hidden="1" x14ac:dyDescent="0.2">
      <c r="A2189" s="46" t="s">
        <v>4087</v>
      </c>
      <c r="B2189" s="12" t="s">
        <v>4088</v>
      </c>
      <c r="C2189" s="13">
        <f>C2188+1</f>
        <v>62</v>
      </c>
      <c r="D2189" s="12" t="s">
        <v>3582</v>
      </c>
      <c r="E2189" s="12" t="s">
        <v>4089</v>
      </c>
      <c r="F2189" s="12" t="s">
        <v>4147</v>
      </c>
      <c r="G2189" s="66" t="s">
        <v>3730</v>
      </c>
      <c r="I2189" s="90" t="s">
        <v>2426</v>
      </c>
    </row>
    <row r="2190" spans="1:9" hidden="1" x14ac:dyDescent="0.2">
      <c r="A2190" s="46" t="s">
        <v>4212</v>
      </c>
      <c r="B2190" s="12" t="s">
        <v>4213</v>
      </c>
      <c r="C2190" s="13">
        <f>C2189+1</f>
        <v>63</v>
      </c>
      <c r="D2190" s="12" t="s">
        <v>3582</v>
      </c>
      <c r="E2190" s="12" t="s">
        <v>4214</v>
      </c>
      <c r="F2190" s="12" t="s">
        <v>4275</v>
      </c>
      <c r="G2190" s="66" t="s">
        <v>3730</v>
      </c>
      <c r="I2190" s="90" t="s">
        <v>2426</v>
      </c>
    </row>
    <row r="2191" spans="1:9" hidden="1" x14ac:dyDescent="0.2">
      <c r="A2191" s="46" t="s">
        <v>2631</v>
      </c>
      <c r="B2191" s="12" t="s">
        <v>2632</v>
      </c>
      <c r="C2191" s="13">
        <f>C2190+1</f>
        <v>64</v>
      </c>
      <c r="D2191" s="14" t="s">
        <v>2859</v>
      </c>
      <c r="E2191" s="12" t="s">
        <v>2634</v>
      </c>
      <c r="F2191" s="65" t="s">
        <v>2860</v>
      </c>
      <c r="G2191" s="66" t="s">
        <v>2861</v>
      </c>
      <c r="I2191" s="94">
        <v>14</v>
      </c>
    </row>
    <row r="2192" spans="1:9" ht="12.75" hidden="1" thickBot="1" x14ac:dyDescent="0.25">
      <c r="A2192" s="44" t="s">
        <v>3165</v>
      </c>
      <c r="B2192" s="30" t="s">
        <v>3166</v>
      </c>
      <c r="C2192" s="31">
        <f>C2191+1</f>
        <v>65</v>
      </c>
      <c r="D2192" s="30" t="s">
        <v>3351</v>
      </c>
      <c r="E2192" s="30" t="s">
        <v>3167</v>
      </c>
      <c r="F2192" s="30" t="s">
        <v>3352</v>
      </c>
      <c r="G2192" s="68" t="s">
        <v>276</v>
      </c>
      <c r="I2192" s="94">
        <v>14</v>
      </c>
    </row>
    <row r="2193" spans="1:9" hidden="1" x14ac:dyDescent="0.2">
      <c r="A2193" s="46" t="s">
        <v>3458</v>
      </c>
      <c r="B2193" s="12" t="s">
        <v>3459</v>
      </c>
      <c r="C2193" s="13">
        <f>C2192+1</f>
        <v>66</v>
      </c>
      <c r="D2193" s="12" t="s">
        <v>3351</v>
      </c>
      <c r="E2193" s="65" t="s">
        <v>3460</v>
      </c>
      <c r="F2193" s="65" t="s">
        <v>3622</v>
      </c>
      <c r="G2193" s="66" t="s">
        <v>276</v>
      </c>
      <c r="I2193" s="94">
        <v>14</v>
      </c>
    </row>
    <row r="2194" spans="1:9" hidden="1" x14ac:dyDescent="0.2">
      <c r="A2194" s="46" t="s">
        <v>3633</v>
      </c>
      <c r="B2194" s="12" t="s">
        <v>3634</v>
      </c>
      <c r="C2194" s="13">
        <v>80</v>
      </c>
      <c r="D2194" s="22" t="s">
        <v>3351</v>
      </c>
      <c r="E2194" s="65" t="s">
        <v>3635</v>
      </c>
      <c r="F2194" s="75" t="s">
        <v>3735</v>
      </c>
      <c r="G2194" s="66" t="s">
        <v>3730</v>
      </c>
      <c r="I2194" s="94">
        <v>14</v>
      </c>
    </row>
    <row r="2195" spans="1:9" hidden="1" x14ac:dyDescent="0.2">
      <c r="A2195" s="46" t="s">
        <v>4087</v>
      </c>
      <c r="B2195" s="12" t="s">
        <v>4088</v>
      </c>
      <c r="C2195" s="13">
        <f>C2194+1</f>
        <v>81</v>
      </c>
      <c r="D2195" s="12" t="s">
        <v>3351</v>
      </c>
      <c r="E2195" s="12" t="s">
        <v>4089</v>
      </c>
      <c r="F2195" s="12" t="s">
        <v>4206</v>
      </c>
      <c r="G2195" s="66" t="s">
        <v>276</v>
      </c>
      <c r="I2195" s="94">
        <v>14</v>
      </c>
    </row>
    <row r="2196" spans="1:9" hidden="1" x14ac:dyDescent="0.2">
      <c r="A2196" s="46" t="s">
        <v>4212</v>
      </c>
      <c r="B2196" s="12" t="s">
        <v>4213</v>
      </c>
      <c r="C2196" s="13">
        <f>C2195+1</f>
        <v>82</v>
      </c>
      <c r="D2196" s="12" t="s">
        <v>3351</v>
      </c>
      <c r="E2196" s="12" t="s">
        <v>4214</v>
      </c>
      <c r="F2196" s="12" t="s">
        <v>4312</v>
      </c>
      <c r="G2196" s="66" t="s">
        <v>276</v>
      </c>
      <c r="I2196" s="94">
        <v>14</v>
      </c>
    </row>
    <row r="2197" spans="1:9" hidden="1" x14ac:dyDescent="0.2">
      <c r="A2197" s="46" t="s">
        <v>2867</v>
      </c>
      <c r="B2197" s="12" t="s">
        <v>2868</v>
      </c>
      <c r="C2197" s="13">
        <v>29</v>
      </c>
      <c r="D2197" s="14" t="s">
        <v>2919</v>
      </c>
      <c r="E2197" s="12" t="s">
        <v>2869</v>
      </c>
      <c r="F2197" s="65" t="s">
        <v>2920</v>
      </c>
      <c r="G2197" s="66" t="s">
        <v>156</v>
      </c>
    </row>
    <row r="2198" spans="1:9" hidden="1" x14ac:dyDescent="0.2">
      <c r="A2198" s="46" t="s">
        <v>3034</v>
      </c>
      <c r="B2198" s="12" t="s">
        <v>3035</v>
      </c>
      <c r="C2198" s="13">
        <f>+C2197+1</f>
        <v>30</v>
      </c>
      <c r="D2198" s="14" t="s">
        <v>3091</v>
      </c>
      <c r="E2198" s="12" t="s">
        <v>3036</v>
      </c>
      <c r="F2198" s="65" t="s">
        <v>3092</v>
      </c>
      <c r="G2198" s="66" t="s">
        <v>3022</v>
      </c>
    </row>
    <row r="2199" spans="1:9" hidden="1" x14ac:dyDescent="0.2">
      <c r="A2199" s="46" t="s">
        <v>3034</v>
      </c>
      <c r="B2199" s="12" t="s">
        <v>3035</v>
      </c>
      <c r="C2199" s="13">
        <f>+C2198+1</f>
        <v>31</v>
      </c>
      <c r="D2199" s="14" t="s">
        <v>3095</v>
      </c>
      <c r="E2199" s="12" t="s">
        <v>3036</v>
      </c>
      <c r="F2199" s="65" t="s">
        <v>3096</v>
      </c>
      <c r="G2199" s="66" t="s">
        <v>3022</v>
      </c>
    </row>
    <row r="2200" spans="1:9" hidden="1" x14ac:dyDescent="0.25">
      <c r="A2200" s="46" t="s">
        <v>5686</v>
      </c>
      <c r="B2200" s="12" t="s">
        <v>5687</v>
      </c>
      <c r="C2200" s="13">
        <f>C2199+1</f>
        <v>32</v>
      </c>
      <c r="D2200" s="12" t="s">
        <v>5763</v>
      </c>
      <c r="E2200" s="12" t="s">
        <v>5688</v>
      </c>
      <c r="F2200" s="12" t="s">
        <v>5764</v>
      </c>
      <c r="G2200" s="15" t="s">
        <v>3022</v>
      </c>
      <c r="I2200" s="90">
        <v>12</v>
      </c>
    </row>
    <row r="2201" spans="1:9" hidden="1" x14ac:dyDescent="0.25">
      <c r="A2201" s="46" t="s">
        <v>5866</v>
      </c>
      <c r="B2201" s="12" t="s">
        <v>5867</v>
      </c>
      <c r="C2201" s="13">
        <f>C2200+1</f>
        <v>33</v>
      </c>
      <c r="D2201" s="12" t="s">
        <v>5763</v>
      </c>
      <c r="E2201" s="12" t="s">
        <v>5868</v>
      </c>
      <c r="F2201" s="12" t="s">
        <v>5874</v>
      </c>
      <c r="G2201" s="15" t="s">
        <v>3022</v>
      </c>
      <c r="I2201" s="90">
        <v>12</v>
      </c>
    </row>
    <row r="2202" spans="1:9" hidden="1" x14ac:dyDescent="0.2">
      <c r="A2202" s="46" t="s">
        <v>2867</v>
      </c>
      <c r="B2202" s="12" t="s">
        <v>2868</v>
      </c>
      <c r="C2202" s="13">
        <v>30</v>
      </c>
      <c r="D2202" s="14" t="s">
        <v>2921</v>
      </c>
      <c r="E2202" s="12" t="s">
        <v>2869</v>
      </c>
      <c r="F2202" s="65" t="s">
        <v>2922</v>
      </c>
      <c r="G2202" s="66" t="s">
        <v>156</v>
      </c>
    </row>
    <row r="2203" spans="1:9" hidden="1" x14ac:dyDescent="0.2">
      <c r="A2203" s="46" t="s">
        <v>2631</v>
      </c>
      <c r="B2203" s="12" t="s">
        <v>2632</v>
      </c>
      <c r="C2203" s="13">
        <v>38</v>
      </c>
      <c r="D2203" s="14" t="s">
        <v>2703</v>
      </c>
      <c r="E2203" s="12" t="s">
        <v>2634</v>
      </c>
      <c r="F2203" s="65" t="s">
        <v>2704</v>
      </c>
      <c r="G2203" s="66" t="s">
        <v>156</v>
      </c>
    </row>
    <row r="2204" spans="1:9" hidden="1" x14ac:dyDescent="0.2">
      <c r="A2204" s="46" t="s">
        <v>3165</v>
      </c>
      <c r="B2204" s="12" t="s">
        <v>3166</v>
      </c>
      <c r="C2204" s="13">
        <v>27</v>
      </c>
      <c r="D2204" s="12" t="s">
        <v>2703</v>
      </c>
      <c r="E2204" s="12" t="s">
        <v>3167</v>
      </c>
      <c r="F2204" s="65" t="s">
        <v>3200</v>
      </c>
      <c r="G2204" s="66" t="s">
        <v>156</v>
      </c>
    </row>
    <row r="2205" spans="1:9" hidden="1" x14ac:dyDescent="0.2">
      <c r="A2205" s="46" t="s">
        <v>3458</v>
      </c>
      <c r="B2205" s="12" t="s">
        <v>3459</v>
      </c>
      <c r="C2205" s="13">
        <v>11</v>
      </c>
      <c r="D2205" s="12" t="s">
        <v>2703</v>
      </c>
      <c r="E2205" s="65" t="s">
        <v>3460</v>
      </c>
      <c r="F2205" s="65" t="s">
        <v>3476</v>
      </c>
      <c r="G2205" s="66" t="s">
        <v>13</v>
      </c>
    </row>
    <row r="2206" spans="1:9" hidden="1" x14ac:dyDescent="0.2">
      <c r="A2206" s="46" t="s">
        <v>3633</v>
      </c>
      <c r="B2206" s="12" t="s">
        <v>3634</v>
      </c>
      <c r="C2206" s="13">
        <v>11</v>
      </c>
      <c r="D2206" s="12" t="s">
        <v>2703</v>
      </c>
      <c r="E2206" s="65" t="s">
        <v>3635</v>
      </c>
      <c r="F2206" s="65" t="s">
        <v>3647</v>
      </c>
      <c r="G2206" s="66" t="s">
        <v>13</v>
      </c>
    </row>
    <row r="2207" spans="1:9" hidden="1" x14ac:dyDescent="0.2">
      <c r="A2207" s="46" t="s">
        <v>4087</v>
      </c>
      <c r="B2207" s="12" t="s">
        <v>4088</v>
      </c>
      <c r="C2207" s="13">
        <f>C2206+1</f>
        <v>12</v>
      </c>
      <c r="D2207" s="12" t="s">
        <v>2703</v>
      </c>
      <c r="E2207" s="12" t="s">
        <v>4089</v>
      </c>
      <c r="F2207" s="12" t="s">
        <v>4104</v>
      </c>
      <c r="G2207" s="66" t="s">
        <v>13</v>
      </c>
      <c r="I2207" s="90" t="s">
        <v>2426</v>
      </c>
    </row>
    <row r="2208" spans="1:9" hidden="1" x14ac:dyDescent="0.2">
      <c r="A2208" s="46" t="s">
        <v>4212</v>
      </c>
      <c r="B2208" s="12" t="s">
        <v>4213</v>
      </c>
      <c r="C2208" s="13">
        <f>C2207+1</f>
        <v>13</v>
      </c>
      <c r="D2208" s="12" t="s">
        <v>2703</v>
      </c>
      <c r="E2208" s="12" t="s">
        <v>4214</v>
      </c>
      <c r="F2208" s="12" t="s">
        <v>4227</v>
      </c>
      <c r="G2208" s="66" t="s">
        <v>13</v>
      </c>
      <c r="I2208" s="90" t="s">
        <v>2426</v>
      </c>
    </row>
    <row r="2209" spans="1:9" hidden="1" x14ac:dyDescent="0.25">
      <c r="A2209" s="46" t="s">
        <v>5686</v>
      </c>
      <c r="B2209" s="12" t="s">
        <v>5687</v>
      </c>
      <c r="C2209" s="13">
        <f>C2208+1</f>
        <v>14</v>
      </c>
      <c r="D2209" s="12" t="s">
        <v>5713</v>
      </c>
      <c r="E2209" s="12" t="s">
        <v>5688</v>
      </c>
      <c r="F2209" s="12" t="s">
        <v>5714</v>
      </c>
      <c r="G2209" s="15" t="s">
        <v>3022</v>
      </c>
      <c r="I2209" s="90">
        <v>12</v>
      </c>
    </row>
    <row r="2210" spans="1:9" hidden="1" x14ac:dyDescent="0.2">
      <c r="A2210" s="46" t="s">
        <v>3165</v>
      </c>
      <c r="B2210" s="12" t="s">
        <v>3166</v>
      </c>
      <c r="C2210" s="13">
        <f>C2209+1</f>
        <v>15</v>
      </c>
      <c r="D2210" s="12" t="s">
        <v>3324</v>
      </c>
      <c r="E2210" s="12" t="s">
        <v>3167</v>
      </c>
      <c r="F2210" s="12" t="s">
        <v>3325</v>
      </c>
      <c r="G2210" s="66" t="s">
        <v>156</v>
      </c>
      <c r="I2210" s="99">
        <v>13</v>
      </c>
    </row>
    <row r="2211" spans="1:9" hidden="1" x14ac:dyDescent="0.2">
      <c r="A2211" s="46" t="s">
        <v>2867</v>
      </c>
      <c r="B2211" s="12" t="s">
        <v>2868</v>
      </c>
      <c r="C2211" s="13">
        <v>32</v>
      </c>
      <c r="D2211" s="14" t="s">
        <v>2925</v>
      </c>
      <c r="E2211" s="12" t="s">
        <v>2869</v>
      </c>
      <c r="F2211" s="65" t="s">
        <v>2926</v>
      </c>
      <c r="G2211" s="66" t="s">
        <v>156</v>
      </c>
    </row>
    <row r="2212" spans="1:9" hidden="1" x14ac:dyDescent="0.2">
      <c r="A2212" s="46" t="s">
        <v>3458</v>
      </c>
      <c r="B2212" s="12" t="s">
        <v>3459</v>
      </c>
      <c r="C2212" s="13">
        <v>13</v>
      </c>
      <c r="D2212" s="12" t="s">
        <v>3479</v>
      </c>
      <c r="E2212" s="65" t="s">
        <v>3460</v>
      </c>
      <c r="F2212" s="65" t="s">
        <v>3480</v>
      </c>
      <c r="G2212" s="66" t="s">
        <v>13</v>
      </c>
    </row>
    <row r="2213" spans="1:9" ht="12.75" hidden="1" thickBot="1" x14ac:dyDescent="0.25">
      <c r="A2213" s="44" t="s">
        <v>3633</v>
      </c>
      <c r="B2213" s="30" t="s">
        <v>3634</v>
      </c>
      <c r="C2213" s="31">
        <v>13</v>
      </c>
      <c r="D2213" s="30" t="s">
        <v>3479</v>
      </c>
      <c r="E2213" s="67" t="s">
        <v>3635</v>
      </c>
      <c r="F2213" s="67" t="s">
        <v>3649</v>
      </c>
      <c r="G2213" s="68" t="s">
        <v>13</v>
      </c>
    </row>
    <row r="2214" spans="1:9" hidden="1" x14ac:dyDescent="0.2">
      <c r="A2214" s="46" t="s">
        <v>3956</v>
      </c>
      <c r="B2214" s="12" t="s">
        <v>3957</v>
      </c>
      <c r="C2214" s="13">
        <v>20</v>
      </c>
      <c r="D2214" s="12" t="s">
        <v>3479</v>
      </c>
      <c r="E2214" s="12" t="s">
        <v>3958</v>
      </c>
      <c r="F2214" s="12" t="s">
        <v>3991</v>
      </c>
      <c r="G2214" s="66" t="s">
        <v>13</v>
      </c>
    </row>
    <row r="2215" spans="1:9" hidden="1" x14ac:dyDescent="0.2">
      <c r="A2215" s="46" t="s">
        <v>4087</v>
      </c>
      <c r="B2215" s="12" t="s">
        <v>4088</v>
      </c>
      <c r="C2215" s="13">
        <f>C2214+1</f>
        <v>21</v>
      </c>
      <c r="D2215" s="12" t="s">
        <v>3479</v>
      </c>
      <c r="E2215" s="12" t="s">
        <v>4089</v>
      </c>
      <c r="F2215" s="12" t="s">
        <v>4106</v>
      </c>
      <c r="G2215" s="66" t="s">
        <v>13</v>
      </c>
      <c r="I2215" s="90" t="s">
        <v>2426</v>
      </c>
    </row>
    <row r="2216" spans="1:9" hidden="1" x14ac:dyDescent="0.2">
      <c r="A2216" s="46" t="s">
        <v>4212</v>
      </c>
      <c r="B2216" s="12" t="s">
        <v>4213</v>
      </c>
      <c r="C2216" s="13">
        <f>C2215+1</f>
        <v>22</v>
      </c>
      <c r="D2216" s="12" t="s">
        <v>3479</v>
      </c>
      <c r="E2216" s="12" t="s">
        <v>4214</v>
      </c>
      <c r="F2216" s="12" t="s">
        <v>4229</v>
      </c>
      <c r="G2216" s="66" t="s">
        <v>13</v>
      </c>
      <c r="I2216" s="90" t="s">
        <v>2426</v>
      </c>
    </row>
    <row r="2217" spans="1:9" hidden="1" x14ac:dyDescent="0.25">
      <c r="A2217" s="46" t="s">
        <v>5886</v>
      </c>
      <c r="B2217" s="12" t="s">
        <v>5887</v>
      </c>
      <c r="C2217" s="13">
        <v>18</v>
      </c>
      <c r="D2217" s="12" t="s">
        <v>3479</v>
      </c>
      <c r="E2217" s="12" t="s">
        <v>5888</v>
      </c>
      <c r="F2217" s="12" t="s">
        <v>5912</v>
      </c>
      <c r="G2217" s="15" t="s">
        <v>156</v>
      </c>
      <c r="I2217" s="99">
        <v>13</v>
      </c>
    </row>
    <row r="2218" spans="1:9" hidden="1" x14ac:dyDescent="0.25">
      <c r="A2218" s="46" t="s">
        <v>5686</v>
      </c>
      <c r="B2218" s="12" t="s">
        <v>5687</v>
      </c>
      <c r="C2218" s="13">
        <f t="shared" ref="C2218:C2224" si="5">C2217+1</f>
        <v>19</v>
      </c>
      <c r="D2218" s="12" t="s">
        <v>5783</v>
      </c>
      <c r="E2218" s="12" t="s">
        <v>5688</v>
      </c>
      <c r="F2218" s="12" t="s">
        <v>5784</v>
      </c>
      <c r="G2218" s="15" t="s">
        <v>3022</v>
      </c>
      <c r="I2218" s="90">
        <v>12</v>
      </c>
    </row>
    <row r="2219" spans="1:9" hidden="1" x14ac:dyDescent="0.2">
      <c r="A2219" s="46" t="s">
        <v>3165</v>
      </c>
      <c r="B2219" s="12" t="s">
        <v>3166</v>
      </c>
      <c r="C2219" s="13">
        <f t="shared" si="5"/>
        <v>20</v>
      </c>
      <c r="D2219" s="12" t="s">
        <v>3290</v>
      </c>
      <c r="E2219" s="12" t="s">
        <v>3167</v>
      </c>
      <c r="F2219" s="12" t="s">
        <v>3291</v>
      </c>
      <c r="G2219" s="66" t="s">
        <v>156</v>
      </c>
      <c r="I2219" s="99">
        <v>13</v>
      </c>
    </row>
    <row r="2220" spans="1:9" hidden="1" x14ac:dyDescent="0.2">
      <c r="A2220" s="46" t="s">
        <v>2631</v>
      </c>
      <c r="B2220" s="12" t="s">
        <v>2632</v>
      </c>
      <c r="C2220" s="13">
        <f t="shared" si="5"/>
        <v>21</v>
      </c>
      <c r="D2220" s="14" t="s">
        <v>2813</v>
      </c>
      <c r="E2220" s="12" t="s">
        <v>2634</v>
      </c>
      <c r="F2220" s="65" t="s">
        <v>2814</v>
      </c>
      <c r="G2220" s="66" t="s">
        <v>1239</v>
      </c>
      <c r="I2220" s="99">
        <v>13</v>
      </c>
    </row>
    <row r="2221" spans="1:9" hidden="1" x14ac:dyDescent="0.2">
      <c r="A2221" s="46" t="s">
        <v>3165</v>
      </c>
      <c r="B2221" s="12" t="s">
        <v>3166</v>
      </c>
      <c r="C2221" s="13">
        <f t="shared" si="5"/>
        <v>22</v>
      </c>
      <c r="D2221" s="12" t="s">
        <v>3317</v>
      </c>
      <c r="E2221" s="12" t="s">
        <v>3167</v>
      </c>
      <c r="F2221" s="12" t="s">
        <v>3318</v>
      </c>
      <c r="G2221" s="66" t="s">
        <v>1239</v>
      </c>
      <c r="I2221" s="99">
        <v>13</v>
      </c>
    </row>
    <row r="2222" spans="1:9" hidden="1" x14ac:dyDescent="0.2">
      <c r="A2222" s="46" t="s">
        <v>3165</v>
      </c>
      <c r="B2222" s="12" t="s">
        <v>3166</v>
      </c>
      <c r="C2222" s="13">
        <f t="shared" si="5"/>
        <v>23</v>
      </c>
      <c r="D2222" s="12" t="s">
        <v>3296</v>
      </c>
      <c r="E2222" s="12" t="s">
        <v>3167</v>
      </c>
      <c r="F2222" s="12" t="s">
        <v>3297</v>
      </c>
      <c r="G2222" s="66" t="s">
        <v>156</v>
      </c>
      <c r="I2222" s="99">
        <v>13</v>
      </c>
    </row>
    <row r="2223" spans="1:9" hidden="1" x14ac:dyDescent="0.2">
      <c r="A2223" s="46" t="s">
        <v>3165</v>
      </c>
      <c r="B2223" s="12" t="s">
        <v>3166</v>
      </c>
      <c r="C2223" s="13">
        <f t="shared" si="5"/>
        <v>24</v>
      </c>
      <c r="D2223" s="12" t="s">
        <v>3292</v>
      </c>
      <c r="E2223" s="12" t="s">
        <v>3167</v>
      </c>
      <c r="F2223" s="12" t="s">
        <v>3293</v>
      </c>
      <c r="G2223" s="66" t="s">
        <v>156</v>
      </c>
      <c r="I2223" s="99">
        <v>13</v>
      </c>
    </row>
    <row r="2224" spans="1:9" hidden="1" x14ac:dyDescent="0.2">
      <c r="A2224" s="46" t="s">
        <v>3165</v>
      </c>
      <c r="B2224" s="12" t="s">
        <v>3166</v>
      </c>
      <c r="C2224" s="13">
        <f t="shared" si="5"/>
        <v>25</v>
      </c>
      <c r="D2224" s="12" t="s">
        <v>3294</v>
      </c>
      <c r="E2224" s="12" t="s">
        <v>3167</v>
      </c>
      <c r="F2224" s="12" t="s">
        <v>3295</v>
      </c>
      <c r="G2224" s="66" t="s">
        <v>156</v>
      </c>
      <c r="I2224" s="99">
        <v>13</v>
      </c>
    </row>
    <row r="2225" spans="1:10" hidden="1" x14ac:dyDescent="0.25">
      <c r="A2225" s="46" t="s">
        <v>1882</v>
      </c>
      <c r="B2225" s="12" t="s">
        <v>1883</v>
      </c>
      <c r="C2225" s="13">
        <v>9</v>
      </c>
      <c r="D2225" s="51" t="s">
        <v>1898</v>
      </c>
      <c r="E2225" s="12" t="s">
        <v>1884</v>
      </c>
      <c r="F2225" s="12" t="s">
        <v>1899</v>
      </c>
      <c r="G2225" s="15" t="s">
        <v>276</v>
      </c>
      <c r="I2225" s="9">
        <v>15</v>
      </c>
    </row>
    <row r="2226" spans="1:10" hidden="1" x14ac:dyDescent="0.2">
      <c r="A2226" s="46" t="s">
        <v>2631</v>
      </c>
      <c r="B2226" s="12" t="s">
        <v>2632</v>
      </c>
      <c r="C2226" s="13">
        <f>C2225+1</f>
        <v>10</v>
      </c>
      <c r="D2226" s="14" t="s">
        <v>2787</v>
      </c>
      <c r="E2226" s="12" t="s">
        <v>2634</v>
      </c>
      <c r="F2226" s="65" t="s">
        <v>2788</v>
      </c>
      <c r="G2226" s="66" t="s">
        <v>156</v>
      </c>
      <c r="I2226" s="99">
        <v>13</v>
      </c>
    </row>
    <row r="2227" spans="1:10" ht="15" hidden="1" x14ac:dyDescent="0.25">
      <c r="A2227" s="46" t="s">
        <v>1922</v>
      </c>
      <c r="B2227" s="12" t="s">
        <v>1923</v>
      </c>
      <c r="C2227" s="13">
        <v>10</v>
      </c>
      <c r="D2227" s="51" t="s">
        <v>1940</v>
      </c>
      <c r="E2227" s="12" t="s">
        <v>1924</v>
      </c>
      <c r="F2227" s="12" t="s">
        <v>1941</v>
      </c>
      <c r="G2227" s="15" t="s">
        <v>276</v>
      </c>
      <c r="I2227" s="9">
        <v>15</v>
      </c>
      <c r="J2227" s="52"/>
    </row>
    <row r="2228" spans="1:10" ht="15" hidden="1" x14ac:dyDescent="0.25">
      <c r="A2228" s="46" t="s">
        <v>1922</v>
      </c>
      <c r="B2228" s="12" t="s">
        <v>1923</v>
      </c>
      <c r="C2228" s="13">
        <v>9</v>
      </c>
      <c r="D2228" s="51" t="s">
        <v>1938</v>
      </c>
      <c r="E2228" s="12" t="s">
        <v>1924</v>
      </c>
      <c r="F2228" s="12" t="s">
        <v>1939</v>
      </c>
      <c r="G2228" s="15" t="s">
        <v>276</v>
      </c>
      <c r="I2228" s="9">
        <v>15</v>
      </c>
      <c r="J2228" s="52"/>
    </row>
    <row r="2229" spans="1:10" ht="15" hidden="1" x14ac:dyDescent="0.25">
      <c r="A2229" s="46" t="s">
        <v>1922</v>
      </c>
      <c r="B2229" s="12" t="s">
        <v>1923</v>
      </c>
      <c r="C2229" s="13">
        <v>8</v>
      </c>
      <c r="D2229" s="51" t="s">
        <v>1936</v>
      </c>
      <c r="E2229" s="12" t="s">
        <v>1924</v>
      </c>
      <c r="F2229" s="12" t="s">
        <v>1937</v>
      </c>
      <c r="G2229" s="15" t="s">
        <v>276</v>
      </c>
      <c r="I2229" s="9">
        <v>15</v>
      </c>
      <c r="J2229" s="52"/>
    </row>
    <row r="2230" spans="1:10" hidden="1" x14ac:dyDescent="0.2">
      <c r="A2230" s="46" t="s">
        <v>3428</v>
      </c>
      <c r="B2230" s="12" t="s">
        <v>3429</v>
      </c>
      <c r="C2230" s="13">
        <v>15</v>
      </c>
      <c r="D2230" s="12" t="s">
        <v>3455</v>
      </c>
      <c r="E2230" s="65" t="s">
        <v>3430</v>
      </c>
      <c r="F2230" s="65" t="s">
        <v>3456</v>
      </c>
      <c r="G2230" s="66" t="s">
        <v>13</v>
      </c>
    </row>
    <row r="2231" spans="1:10" hidden="1" x14ac:dyDescent="0.2">
      <c r="A2231" s="46" t="s">
        <v>3763</v>
      </c>
      <c r="B2231" s="12" t="s">
        <v>3764</v>
      </c>
      <c r="C2231" s="13">
        <v>19</v>
      </c>
      <c r="D2231" s="12" t="s">
        <v>3455</v>
      </c>
      <c r="E2231" s="12" t="s">
        <v>3765</v>
      </c>
      <c r="F2231" s="65" t="s">
        <v>3791</v>
      </c>
      <c r="G2231" s="66" t="s">
        <v>13</v>
      </c>
    </row>
    <row r="2232" spans="1:10" hidden="1" x14ac:dyDescent="0.2">
      <c r="A2232" s="46" t="s">
        <v>3799</v>
      </c>
      <c r="B2232" s="12" t="s">
        <v>3800</v>
      </c>
      <c r="C2232" s="13">
        <v>23</v>
      </c>
      <c r="D2232" s="12" t="s">
        <v>3455</v>
      </c>
      <c r="E2232" s="12" t="s">
        <v>3801</v>
      </c>
      <c r="F2232" s="65" t="s">
        <v>3832</v>
      </c>
      <c r="G2232" s="66" t="s">
        <v>13</v>
      </c>
    </row>
    <row r="2233" spans="1:10" hidden="1" x14ac:dyDescent="0.2">
      <c r="A2233" s="46" t="s">
        <v>3880</v>
      </c>
      <c r="B2233" s="12" t="s">
        <v>3881</v>
      </c>
      <c r="C2233" s="13">
        <v>22</v>
      </c>
      <c r="D2233" s="12" t="s">
        <v>3455</v>
      </c>
      <c r="E2233" s="12" t="s">
        <v>3882</v>
      </c>
      <c r="F2233" s="12" t="s">
        <v>3908</v>
      </c>
      <c r="G2233" s="66" t="s">
        <v>13</v>
      </c>
    </row>
    <row r="2234" spans="1:10" hidden="1" x14ac:dyDescent="0.2">
      <c r="A2234" s="46" t="s">
        <v>2631</v>
      </c>
      <c r="B2234" s="12" t="s">
        <v>2632</v>
      </c>
      <c r="C2234" s="13">
        <f>C2233+1</f>
        <v>23</v>
      </c>
      <c r="D2234" s="14" t="s">
        <v>2795</v>
      </c>
      <c r="E2234" s="12" t="s">
        <v>2634</v>
      </c>
      <c r="F2234" s="65" t="s">
        <v>2796</v>
      </c>
      <c r="G2234" s="66" t="s">
        <v>156</v>
      </c>
      <c r="I2234" s="99">
        <v>13</v>
      </c>
    </row>
    <row r="2235" spans="1:10" ht="12.75" hidden="1" thickBot="1" x14ac:dyDescent="0.3">
      <c r="A2235" s="44" t="s">
        <v>1568</v>
      </c>
      <c r="B2235" s="30" t="s">
        <v>1569</v>
      </c>
      <c r="C2235" s="31">
        <v>11</v>
      </c>
      <c r="D2235" s="30" t="s">
        <v>1594</v>
      </c>
      <c r="E2235" s="30" t="s">
        <v>1570</v>
      </c>
      <c r="F2235" s="30" t="s">
        <v>1595</v>
      </c>
      <c r="G2235" s="33" t="s">
        <v>316</v>
      </c>
      <c r="I2235" s="94">
        <v>14</v>
      </c>
    </row>
    <row r="2236" spans="1:10" hidden="1" x14ac:dyDescent="0.2">
      <c r="A2236" s="56" t="s">
        <v>757</v>
      </c>
      <c r="B2236" s="61" t="s">
        <v>758</v>
      </c>
      <c r="C2236" s="58">
        <v>10</v>
      </c>
      <c r="D2236" s="107" t="s">
        <v>776</v>
      </c>
      <c r="E2236" s="61" t="s">
        <v>759</v>
      </c>
      <c r="F2236" s="61" t="s">
        <v>777</v>
      </c>
      <c r="G2236" s="62" t="s">
        <v>276</v>
      </c>
      <c r="I2236" s="9">
        <v>15</v>
      </c>
    </row>
    <row r="2237" spans="1:10" ht="24" hidden="1" x14ac:dyDescent="0.25">
      <c r="A2237" s="11" t="s">
        <v>1882</v>
      </c>
      <c r="B2237" s="12" t="s">
        <v>1883</v>
      </c>
      <c r="C2237" s="13">
        <v>7</v>
      </c>
      <c r="D2237" s="51" t="s">
        <v>1894</v>
      </c>
      <c r="E2237" s="12" t="s">
        <v>1884</v>
      </c>
      <c r="F2237" s="12" t="s">
        <v>1895</v>
      </c>
      <c r="G2237" s="15" t="s">
        <v>276</v>
      </c>
      <c r="I2237" s="9">
        <v>15</v>
      </c>
    </row>
    <row r="2238" spans="1:10" hidden="1" x14ac:dyDescent="0.2">
      <c r="A2238" s="11" t="s">
        <v>2631</v>
      </c>
      <c r="B2238" s="12" t="s">
        <v>2632</v>
      </c>
      <c r="C2238" s="13">
        <v>69</v>
      </c>
      <c r="D2238" s="14" t="s">
        <v>2766</v>
      </c>
      <c r="E2238" s="12" t="s">
        <v>2634</v>
      </c>
      <c r="F2238" s="65" t="s">
        <v>2767</v>
      </c>
      <c r="G2238" s="66" t="s">
        <v>156</v>
      </c>
    </row>
    <row r="2239" spans="1:10" hidden="1" x14ac:dyDescent="0.2">
      <c r="A2239" s="11" t="s">
        <v>3956</v>
      </c>
      <c r="B2239" s="12" t="s">
        <v>3957</v>
      </c>
      <c r="C2239" s="13">
        <v>10</v>
      </c>
      <c r="D2239" s="12" t="s">
        <v>2766</v>
      </c>
      <c r="E2239" s="12" t="s">
        <v>3958</v>
      </c>
      <c r="F2239" s="12" t="s">
        <v>3973</v>
      </c>
      <c r="G2239" s="66" t="s">
        <v>13</v>
      </c>
    </row>
    <row r="2240" spans="1:10" ht="36" hidden="1" x14ac:dyDescent="0.25">
      <c r="A2240" s="11" t="s">
        <v>1882</v>
      </c>
      <c r="B2240" s="12" t="s">
        <v>1883</v>
      </c>
      <c r="C2240" s="13">
        <v>10</v>
      </c>
      <c r="D2240" s="51" t="s">
        <v>1900</v>
      </c>
      <c r="E2240" s="12" t="s">
        <v>1884</v>
      </c>
      <c r="F2240" s="12" t="s">
        <v>1901</v>
      </c>
      <c r="G2240" s="15" t="s">
        <v>276</v>
      </c>
      <c r="I2240" s="9">
        <v>15</v>
      </c>
    </row>
    <row r="2241" spans="1:9" hidden="1" x14ac:dyDescent="0.25">
      <c r="A2241" s="11" t="s">
        <v>1093</v>
      </c>
      <c r="B2241" s="12" t="s">
        <v>1094</v>
      </c>
      <c r="C2241" s="13">
        <v>8</v>
      </c>
      <c r="D2241" s="12" t="s">
        <v>1108</v>
      </c>
      <c r="E2241" s="12" t="s">
        <v>1095</v>
      </c>
      <c r="F2241" s="12" t="s">
        <v>1109</v>
      </c>
      <c r="G2241" s="15" t="s">
        <v>156</v>
      </c>
      <c r="I2241" s="99">
        <v>13</v>
      </c>
    </row>
    <row r="2242" spans="1:9" ht="24" hidden="1" x14ac:dyDescent="0.25">
      <c r="A2242" s="11" t="s">
        <v>1882</v>
      </c>
      <c r="B2242" s="12" t="s">
        <v>1883</v>
      </c>
      <c r="C2242" s="13">
        <v>11</v>
      </c>
      <c r="D2242" s="51" t="s">
        <v>1902</v>
      </c>
      <c r="E2242" s="12" t="s">
        <v>1884</v>
      </c>
      <c r="F2242" s="12" t="s">
        <v>1903</v>
      </c>
      <c r="G2242" s="15" t="s">
        <v>276</v>
      </c>
      <c r="I2242" s="9">
        <v>15</v>
      </c>
    </row>
    <row r="2243" spans="1:9" hidden="1" x14ac:dyDescent="0.2">
      <c r="A2243" s="11" t="s">
        <v>2631</v>
      </c>
      <c r="B2243" s="12" t="s">
        <v>2632</v>
      </c>
      <c r="C2243" s="13">
        <f>C2242+1</f>
        <v>12</v>
      </c>
      <c r="D2243" s="14" t="s">
        <v>2797</v>
      </c>
      <c r="E2243" s="12" t="s">
        <v>2634</v>
      </c>
      <c r="F2243" s="65" t="s">
        <v>2798</v>
      </c>
      <c r="G2243" s="66" t="s">
        <v>156</v>
      </c>
      <c r="I2243" s="99">
        <v>13</v>
      </c>
    </row>
    <row r="2244" spans="1:9" hidden="1" x14ac:dyDescent="0.2">
      <c r="A2244" s="11" t="s">
        <v>3165</v>
      </c>
      <c r="B2244" s="12" t="s">
        <v>3166</v>
      </c>
      <c r="C2244" s="13">
        <f>C2243+1</f>
        <v>13</v>
      </c>
      <c r="D2244" s="12" t="s">
        <v>3308</v>
      </c>
      <c r="E2244" s="12" t="s">
        <v>3167</v>
      </c>
      <c r="F2244" s="12" t="s">
        <v>3309</v>
      </c>
      <c r="G2244" s="66" t="s">
        <v>156</v>
      </c>
      <c r="I2244" s="99">
        <v>13</v>
      </c>
    </row>
    <row r="2245" spans="1:9" hidden="1" x14ac:dyDescent="0.2">
      <c r="A2245" s="11" t="s">
        <v>2631</v>
      </c>
      <c r="B2245" s="12" t="s">
        <v>2632</v>
      </c>
      <c r="C2245" s="13">
        <f>C2244+1</f>
        <v>14</v>
      </c>
      <c r="D2245" s="14" t="s">
        <v>2799</v>
      </c>
      <c r="E2245" s="12" t="s">
        <v>2634</v>
      </c>
      <c r="F2245" s="65" t="s">
        <v>2800</v>
      </c>
      <c r="G2245" s="66" t="s">
        <v>156</v>
      </c>
      <c r="I2245" s="99">
        <v>13</v>
      </c>
    </row>
    <row r="2246" spans="1:9" hidden="1" x14ac:dyDescent="0.2">
      <c r="A2246" s="11" t="s">
        <v>3165</v>
      </c>
      <c r="B2246" s="12" t="s">
        <v>3166</v>
      </c>
      <c r="C2246" s="13">
        <v>46</v>
      </c>
      <c r="D2246" s="12" t="s">
        <v>3231</v>
      </c>
      <c r="E2246" s="12" t="s">
        <v>3167</v>
      </c>
      <c r="F2246" s="65" t="s">
        <v>3232</v>
      </c>
      <c r="G2246" s="66" t="s">
        <v>156</v>
      </c>
    </row>
    <row r="2247" spans="1:9" hidden="1" x14ac:dyDescent="0.2">
      <c r="A2247" s="11" t="s">
        <v>2631</v>
      </c>
      <c r="B2247" s="12" t="s">
        <v>2632</v>
      </c>
      <c r="C2247" s="13">
        <f>C2246+1</f>
        <v>47</v>
      </c>
      <c r="D2247" s="14" t="s">
        <v>2783</v>
      </c>
      <c r="E2247" s="12" t="s">
        <v>2634</v>
      </c>
      <c r="F2247" s="65" t="s">
        <v>2784</v>
      </c>
      <c r="G2247" s="66" t="s">
        <v>156</v>
      </c>
      <c r="I2247" s="99">
        <v>13</v>
      </c>
    </row>
    <row r="2248" spans="1:9" hidden="1" x14ac:dyDescent="0.2">
      <c r="A2248" s="11" t="s">
        <v>2631</v>
      </c>
      <c r="B2248" s="12" t="s">
        <v>2632</v>
      </c>
      <c r="C2248" s="13">
        <f>C2247+1</f>
        <v>48</v>
      </c>
      <c r="D2248" s="14" t="s">
        <v>2785</v>
      </c>
      <c r="E2248" s="12" t="s">
        <v>2634</v>
      </c>
      <c r="F2248" s="65" t="s">
        <v>2786</v>
      </c>
      <c r="G2248" s="66" t="s">
        <v>156</v>
      </c>
      <c r="I2248" s="99">
        <v>13</v>
      </c>
    </row>
    <row r="2249" spans="1:9" hidden="1" x14ac:dyDescent="0.2">
      <c r="A2249" s="11" t="s">
        <v>3458</v>
      </c>
      <c r="B2249" s="12" t="s">
        <v>3459</v>
      </c>
      <c r="C2249" s="13">
        <f>C2248+1</f>
        <v>49</v>
      </c>
      <c r="D2249" s="12" t="s">
        <v>3592</v>
      </c>
      <c r="E2249" s="65" t="s">
        <v>3460</v>
      </c>
      <c r="F2249" s="65" t="s">
        <v>3593</v>
      </c>
      <c r="G2249" s="66" t="s">
        <v>13</v>
      </c>
      <c r="I2249" s="90" t="s">
        <v>2426</v>
      </c>
    </row>
    <row r="2250" spans="1:9" hidden="1" x14ac:dyDescent="0.2">
      <c r="A2250" s="11" t="s">
        <v>3633</v>
      </c>
      <c r="B2250" s="12" t="s">
        <v>3634</v>
      </c>
      <c r="C2250" s="13">
        <v>64</v>
      </c>
      <c r="D2250" s="12" t="s">
        <v>3592</v>
      </c>
      <c r="E2250" s="65" t="s">
        <v>3635</v>
      </c>
      <c r="F2250" s="65" t="s">
        <v>3717</v>
      </c>
      <c r="G2250" s="66" t="s">
        <v>13</v>
      </c>
      <c r="I2250" s="90" t="s">
        <v>2426</v>
      </c>
    </row>
    <row r="2251" spans="1:9" hidden="1" x14ac:dyDescent="0.2">
      <c r="A2251" s="11" t="s">
        <v>4087</v>
      </c>
      <c r="B2251" s="12" t="s">
        <v>4088</v>
      </c>
      <c r="C2251" s="13">
        <f>C2250+1</f>
        <v>65</v>
      </c>
      <c r="D2251" s="12" t="s">
        <v>3592</v>
      </c>
      <c r="E2251" s="12" t="s">
        <v>4089</v>
      </c>
      <c r="F2251" s="12" t="s">
        <v>4189</v>
      </c>
      <c r="G2251" s="66" t="s">
        <v>13</v>
      </c>
      <c r="I2251" s="90" t="s">
        <v>2426</v>
      </c>
    </row>
    <row r="2252" spans="1:9" hidden="1" x14ac:dyDescent="0.2">
      <c r="A2252" s="11" t="s">
        <v>4212</v>
      </c>
      <c r="B2252" s="12" t="s">
        <v>4213</v>
      </c>
      <c r="C2252" s="13">
        <f>C2251+1</f>
        <v>66</v>
      </c>
      <c r="D2252" s="12" t="s">
        <v>3592</v>
      </c>
      <c r="E2252" s="12" t="s">
        <v>4214</v>
      </c>
      <c r="F2252" s="12" t="s">
        <v>4298</v>
      </c>
      <c r="G2252" s="66" t="s">
        <v>13</v>
      </c>
      <c r="I2252" s="90" t="s">
        <v>2426</v>
      </c>
    </row>
    <row r="2253" spans="1:9" hidden="1" x14ac:dyDescent="0.25">
      <c r="A2253" s="11" t="s">
        <v>5686</v>
      </c>
      <c r="B2253" s="12" t="s">
        <v>5687</v>
      </c>
      <c r="C2253" s="13">
        <f>C2252+1</f>
        <v>67</v>
      </c>
      <c r="D2253" s="12" t="s">
        <v>5803</v>
      </c>
      <c r="E2253" s="12" t="s">
        <v>5688</v>
      </c>
      <c r="F2253" s="12" t="s">
        <v>5804</v>
      </c>
      <c r="G2253" s="15" t="s">
        <v>3022</v>
      </c>
      <c r="I2253" s="90">
        <v>12</v>
      </c>
    </row>
    <row r="2254" spans="1:9" hidden="1" x14ac:dyDescent="0.2">
      <c r="A2254" s="11" t="s">
        <v>2631</v>
      </c>
      <c r="B2254" s="12" t="s">
        <v>2632</v>
      </c>
      <c r="C2254" s="13">
        <v>26</v>
      </c>
      <c r="D2254" s="14" t="s">
        <v>2679</v>
      </c>
      <c r="E2254" s="12" t="s">
        <v>2634</v>
      </c>
      <c r="F2254" s="65" t="s">
        <v>2680</v>
      </c>
      <c r="G2254" s="66" t="s">
        <v>156</v>
      </c>
    </row>
    <row r="2255" spans="1:9" hidden="1" x14ac:dyDescent="0.2">
      <c r="A2255" s="11" t="s">
        <v>3165</v>
      </c>
      <c r="B2255" s="12" t="s">
        <v>3166</v>
      </c>
      <c r="C2255" s="13">
        <v>18</v>
      </c>
      <c r="D2255" s="12" t="s">
        <v>2679</v>
      </c>
      <c r="E2255" s="12" t="s">
        <v>3167</v>
      </c>
      <c r="F2255" s="65" t="s">
        <v>3191</v>
      </c>
      <c r="G2255" s="66" t="s">
        <v>156</v>
      </c>
    </row>
    <row r="2256" spans="1:9" hidden="1" x14ac:dyDescent="0.2">
      <c r="A2256" s="11" t="s">
        <v>3993</v>
      </c>
      <c r="B2256" s="12" t="s">
        <v>3994</v>
      </c>
      <c r="C2256" s="13">
        <v>8</v>
      </c>
      <c r="D2256" s="12" t="s">
        <v>4007</v>
      </c>
      <c r="E2256" s="12" t="s">
        <v>3995</v>
      </c>
      <c r="F2256" s="12" t="s">
        <v>4008</v>
      </c>
      <c r="G2256" s="66" t="s">
        <v>13</v>
      </c>
    </row>
    <row r="2257" spans="1:10" hidden="1" x14ac:dyDescent="0.2">
      <c r="A2257" s="11" t="s">
        <v>6531</v>
      </c>
      <c r="B2257" s="12" t="s">
        <v>6532</v>
      </c>
      <c r="C2257" s="13">
        <v>5</v>
      </c>
      <c r="D2257" s="12" t="s">
        <v>6538</v>
      </c>
      <c r="E2257" s="12" t="s">
        <v>6533</v>
      </c>
      <c r="F2257" s="12" t="s">
        <v>6539</v>
      </c>
      <c r="G2257" s="66" t="s">
        <v>3022</v>
      </c>
      <c r="I2257" s="9">
        <v>15</v>
      </c>
    </row>
    <row r="2258" spans="1:10" hidden="1" x14ac:dyDescent="0.25">
      <c r="A2258" s="11" t="s">
        <v>5686</v>
      </c>
      <c r="B2258" s="12" t="s">
        <v>5687</v>
      </c>
      <c r="C2258" s="13">
        <f>C2257+1</f>
        <v>6</v>
      </c>
      <c r="D2258" s="12" t="s">
        <v>5813</v>
      </c>
      <c r="E2258" s="12" t="s">
        <v>5688</v>
      </c>
      <c r="F2258" s="12" t="s">
        <v>5814</v>
      </c>
      <c r="G2258" s="15" t="s">
        <v>3022</v>
      </c>
      <c r="I2258" s="90">
        <v>12</v>
      </c>
    </row>
    <row r="2259" spans="1:10" hidden="1" x14ac:dyDescent="0.2">
      <c r="A2259" s="11" t="s">
        <v>3400</v>
      </c>
      <c r="B2259" s="12" t="s">
        <v>3401</v>
      </c>
      <c r="C2259" s="13">
        <v>10</v>
      </c>
      <c r="D2259" s="12" t="s">
        <v>3418</v>
      </c>
      <c r="E2259" s="65" t="s">
        <v>3402</v>
      </c>
      <c r="F2259" s="65" t="s">
        <v>3419</v>
      </c>
      <c r="G2259" s="66" t="s">
        <v>13</v>
      </c>
    </row>
    <row r="2260" spans="1:10" hidden="1" x14ac:dyDescent="0.2">
      <c r="A2260" s="11" t="s">
        <v>3741</v>
      </c>
      <c r="B2260" s="12" t="s">
        <v>3742</v>
      </c>
      <c r="C2260" s="13">
        <v>12</v>
      </c>
      <c r="D2260" s="12" t="s">
        <v>3418</v>
      </c>
      <c r="E2260" s="65" t="s">
        <v>3743</v>
      </c>
      <c r="F2260" s="65" t="s">
        <v>3758</v>
      </c>
      <c r="G2260" s="66" t="s">
        <v>13</v>
      </c>
    </row>
    <row r="2261" spans="1:10" hidden="1" x14ac:dyDescent="0.2">
      <c r="A2261" s="11" t="s">
        <v>4347</v>
      </c>
      <c r="B2261" s="12" t="s">
        <v>4348</v>
      </c>
      <c r="C2261" s="13">
        <f>C2260+1</f>
        <v>13</v>
      </c>
      <c r="D2261" s="12" t="s">
        <v>3418</v>
      </c>
      <c r="E2261" s="12" t="s">
        <v>4349</v>
      </c>
      <c r="F2261" s="12" t="s">
        <v>4359</v>
      </c>
      <c r="G2261" s="66" t="s">
        <v>13</v>
      </c>
      <c r="I2261" s="90" t="s">
        <v>2426</v>
      </c>
    </row>
    <row r="2262" spans="1:10" hidden="1" x14ac:dyDescent="0.2">
      <c r="A2262" s="11" t="s">
        <v>93</v>
      </c>
      <c r="B2262" s="12" t="s">
        <v>94</v>
      </c>
      <c r="C2262" s="13">
        <v>84</v>
      </c>
      <c r="D2262" s="14" t="s">
        <v>267</v>
      </c>
      <c r="E2262" s="12" t="s">
        <v>96</v>
      </c>
      <c r="F2262" s="12" t="s">
        <v>268</v>
      </c>
      <c r="G2262" s="15" t="s">
        <v>258</v>
      </c>
      <c r="I2262" s="99">
        <v>13</v>
      </c>
    </row>
    <row r="2263" spans="1:10" hidden="1" x14ac:dyDescent="0.2">
      <c r="A2263" s="11" t="s">
        <v>4087</v>
      </c>
      <c r="B2263" s="12" t="s">
        <v>4088</v>
      </c>
      <c r="C2263" s="13">
        <f>C2262+1</f>
        <v>85</v>
      </c>
      <c r="D2263" s="12" t="s">
        <v>4172</v>
      </c>
      <c r="E2263" s="12" t="s">
        <v>4089</v>
      </c>
      <c r="F2263" s="12" t="s">
        <v>4173</v>
      </c>
      <c r="G2263" s="66" t="s">
        <v>13</v>
      </c>
      <c r="I2263" s="90" t="s">
        <v>2426</v>
      </c>
    </row>
    <row r="2264" spans="1:10" hidden="1" x14ac:dyDescent="0.2">
      <c r="A2264" s="11" t="s">
        <v>4212</v>
      </c>
      <c r="B2264" s="12" t="s">
        <v>4213</v>
      </c>
      <c r="C2264" s="13">
        <f>C2263+1</f>
        <v>86</v>
      </c>
      <c r="D2264" s="12" t="s">
        <v>4172</v>
      </c>
      <c r="E2264" s="12" t="s">
        <v>4214</v>
      </c>
      <c r="F2264" s="12" t="s">
        <v>4289</v>
      </c>
      <c r="G2264" s="66" t="s">
        <v>13</v>
      </c>
      <c r="I2264" s="90" t="s">
        <v>2426</v>
      </c>
    </row>
    <row r="2265" spans="1:10" hidden="1" x14ac:dyDescent="0.25">
      <c r="A2265" s="109" t="s">
        <v>729</v>
      </c>
      <c r="B2265" s="12" t="s">
        <v>730</v>
      </c>
      <c r="C2265" s="13">
        <v>9</v>
      </c>
      <c r="D2265" s="22" t="s">
        <v>744</v>
      </c>
      <c r="E2265" s="12" t="s">
        <v>731</v>
      </c>
      <c r="F2265" s="22" t="s">
        <v>745</v>
      </c>
      <c r="G2265" s="15" t="s">
        <v>156</v>
      </c>
      <c r="I2265" s="102" t="s">
        <v>59</v>
      </c>
    </row>
    <row r="2266" spans="1:10" hidden="1" x14ac:dyDescent="0.25">
      <c r="A2266" s="11" t="s">
        <v>5686</v>
      </c>
      <c r="B2266" s="12" t="s">
        <v>5687</v>
      </c>
      <c r="C2266" s="13">
        <f>C2265+1</f>
        <v>10</v>
      </c>
      <c r="D2266" s="12" t="s">
        <v>5807</v>
      </c>
      <c r="E2266" s="12" t="s">
        <v>5688</v>
      </c>
      <c r="F2266" s="12" t="s">
        <v>5808</v>
      </c>
      <c r="G2266" s="15" t="s">
        <v>3022</v>
      </c>
      <c r="I2266" s="90">
        <v>12</v>
      </c>
    </row>
    <row r="2267" spans="1:10" hidden="1" x14ac:dyDescent="0.2">
      <c r="A2267" s="11" t="s">
        <v>2631</v>
      </c>
      <c r="B2267" s="12" t="s">
        <v>2632</v>
      </c>
      <c r="C2267" s="13">
        <f>C2266+1</f>
        <v>11</v>
      </c>
      <c r="D2267" s="14" t="s">
        <v>2774</v>
      </c>
      <c r="E2267" s="12" t="s">
        <v>2634</v>
      </c>
      <c r="F2267" s="65" t="s">
        <v>2775</v>
      </c>
      <c r="G2267" s="66" t="s">
        <v>156</v>
      </c>
      <c r="I2267" s="90">
        <v>12</v>
      </c>
    </row>
    <row r="2268" spans="1:10" hidden="1" x14ac:dyDescent="0.2">
      <c r="A2268" s="11" t="s">
        <v>890</v>
      </c>
      <c r="B2268" s="12" t="s">
        <v>891</v>
      </c>
      <c r="C2268" s="13">
        <v>10</v>
      </c>
      <c r="D2268" s="14" t="s">
        <v>906</v>
      </c>
      <c r="E2268" s="12" t="s">
        <v>892</v>
      </c>
      <c r="F2268" s="12" t="s">
        <v>907</v>
      </c>
      <c r="G2268" s="15" t="s">
        <v>829</v>
      </c>
      <c r="I2268" s="9">
        <v>15</v>
      </c>
    </row>
    <row r="2269" spans="1:10" hidden="1" x14ac:dyDescent="0.25">
      <c r="A2269" s="11" t="s">
        <v>5686</v>
      </c>
      <c r="B2269" s="12" t="s">
        <v>5687</v>
      </c>
      <c r="C2269" s="13">
        <f>C2268+1</f>
        <v>11</v>
      </c>
      <c r="D2269" s="12" t="s">
        <v>5717</v>
      </c>
      <c r="E2269" s="12" t="s">
        <v>5688</v>
      </c>
      <c r="F2269" s="12" t="s">
        <v>5718</v>
      </c>
      <c r="G2269" s="15" t="s">
        <v>3022</v>
      </c>
      <c r="I2269" s="90">
        <v>12</v>
      </c>
    </row>
    <row r="2270" spans="1:10" hidden="1" x14ac:dyDescent="0.2">
      <c r="A2270" s="11" t="s">
        <v>93</v>
      </c>
      <c r="B2270" s="12" t="s">
        <v>94</v>
      </c>
      <c r="C2270" s="13">
        <v>77</v>
      </c>
      <c r="D2270" s="14" t="s">
        <v>252</v>
      </c>
      <c r="E2270" s="12" t="s">
        <v>96</v>
      </c>
      <c r="F2270" s="12" t="s">
        <v>253</v>
      </c>
      <c r="G2270" s="15" t="s">
        <v>156</v>
      </c>
      <c r="I2270" s="90">
        <v>12</v>
      </c>
    </row>
    <row r="2271" spans="1:10" ht="15" hidden="1" x14ac:dyDescent="0.25">
      <c r="A2271" s="11" t="s">
        <v>1922</v>
      </c>
      <c r="B2271" s="12" t="s">
        <v>1923</v>
      </c>
      <c r="C2271" s="13">
        <v>4</v>
      </c>
      <c r="D2271" s="51" t="s">
        <v>1928</v>
      </c>
      <c r="E2271" s="12" t="s">
        <v>1924</v>
      </c>
      <c r="F2271" s="12" t="s">
        <v>1929</v>
      </c>
      <c r="G2271" s="15" t="s">
        <v>276</v>
      </c>
      <c r="I2271" s="9">
        <v>15</v>
      </c>
      <c r="J2271" s="52"/>
    </row>
    <row r="2272" spans="1:10" hidden="1" x14ac:dyDescent="0.2">
      <c r="A2272" s="11" t="s">
        <v>3034</v>
      </c>
      <c r="B2272" s="12" t="s">
        <v>3035</v>
      </c>
      <c r="C2272" s="13">
        <f>+C2271+1</f>
        <v>5</v>
      </c>
      <c r="D2272" s="8" t="s">
        <v>3058</v>
      </c>
      <c r="E2272" s="12" t="s">
        <v>3036</v>
      </c>
      <c r="F2272" s="8" t="s">
        <v>3059</v>
      </c>
      <c r="G2272" s="66" t="s">
        <v>3022</v>
      </c>
    </row>
    <row r="2273" spans="1:9" hidden="1" x14ac:dyDescent="0.2">
      <c r="A2273" s="11" t="s">
        <v>3165</v>
      </c>
      <c r="B2273" s="12" t="s">
        <v>3166</v>
      </c>
      <c r="C2273" s="13">
        <v>55</v>
      </c>
      <c r="D2273" s="12" t="s">
        <v>3250</v>
      </c>
      <c r="E2273" s="12" t="s">
        <v>3167</v>
      </c>
      <c r="F2273" s="65" t="s">
        <v>3251</v>
      </c>
      <c r="G2273" s="66" t="s">
        <v>13</v>
      </c>
    </row>
    <row r="2274" spans="1:9" hidden="1" x14ac:dyDescent="0.2">
      <c r="A2274" s="11" t="s">
        <v>3355</v>
      </c>
      <c r="B2274" s="12" t="s">
        <v>3356</v>
      </c>
      <c r="C2274" s="13">
        <v>14</v>
      </c>
      <c r="D2274" s="12" t="s">
        <v>3250</v>
      </c>
      <c r="E2274" s="12" t="s">
        <v>3357</v>
      </c>
      <c r="F2274" s="65" t="s">
        <v>3375</v>
      </c>
      <c r="G2274" s="66" t="s">
        <v>13</v>
      </c>
    </row>
    <row r="2275" spans="1:9" hidden="1" x14ac:dyDescent="0.2">
      <c r="A2275" s="11" t="s">
        <v>4087</v>
      </c>
      <c r="B2275" s="12" t="s">
        <v>4088</v>
      </c>
      <c r="C2275" s="13">
        <f>C2274+1</f>
        <v>15</v>
      </c>
      <c r="D2275" s="12" t="s">
        <v>4190</v>
      </c>
      <c r="E2275" s="12" t="s">
        <v>4089</v>
      </c>
      <c r="F2275" s="12" t="s">
        <v>4191</v>
      </c>
      <c r="G2275" s="66" t="s">
        <v>13</v>
      </c>
      <c r="I2275" s="90" t="s">
        <v>2426</v>
      </c>
    </row>
    <row r="2276" spans="1:9" hidden="1" x14ac:dyDescent="0.2">
      <c r="A2276" s="11" t="s">
        <v>4212</v>
      </c>
      <c r="B2276" s="12" t="s">
        <v>4213</v>
      </c>
      <c r="C2276" s="13">
        <f>C2275+1</f>
        <v>16</v>
      </c>
      <c r="D2276" s="12" t="s">
        <v>4190</v>
      </c>
      <c r="E2276" s="12" t="s">
        <v>4214</v>
      </c>
      <c r="F2276" s="12" t="s">
        <v>4299</v>
      </c>
      <c r="G2276" s="66" t="s">
        <v>13</v>
      </c>
      <c r="I2276" s="90" t="s">
        <v>2426</v>
      </c>
    </row>
    <row r="2277" spans="1:9" hidden="1" x14ac:dyDescent="0.25">
      <c r="A2277" s="11" t="s">
        <v>5886</v>
      </c>
      <c r="B2277" s="12" t="s">
        <v>5887</v>
      </c>
      <c r="C2277" s="13">
        <v>17</v>
      </c>
      <c r="D2277" s="12" t="s">
        <v>4190</v>
      </c>
      <c r="E2277" s="12" t="s">
        <v>5888</v>
      </c>
      <c r="F2277" s="12" t="s">
        <v>5911</v>
      </c>
      <c r="G2277" s="15" t="s">
        <v>156</v>
      </c>
      <c r="I2277" s="99">
        <v>13</v>
      </c>
    </row>
    <row r="2278" spans="1:9" hidden="1" x14ac:dyDescent="0.25">
      <c r="A2278" s="11" t="s">
        <v>6050</v>
      </c>
      <c r="B2278" s="12" t="s">
        <v>6051</v>
      </c>
      <c r="C2278" s="13">
        <v>18</v>
      </c>
      <c r="D2278" s="12" t="s">
        <v>6084</v>
      </c>
      <c r="E2278" s="12" t="s">
        <v>6052</v>
      </c>
      <c r="F2278" s="12" t="s">
        <v>6085</v>
      </c>
      <c r="G2278" s="15" t="s">
        <v>156</v>
      </c>
      <c r="I2278" s="169" t="s">
        <v>59</v>
      </c>
    </row>
    <row r="2279" spans="1:9" hidden="1" x14ac:dyDescent="0.25">
      <c r="A2279" s="11" t="s">
        <v>6442</v>
      </c>
      <c r="B2279" s="12" t="s">
        <v>6443</v>
      </c>
      <c r="C2279" s="13">
        <v>18</v>
      </c>
      <c r="D2279" s="12" t="s">
        <v>6084</v>
      </c>
      <c r="E2279" s="12" t="s">
        <v>6444</v>
      </c>
      <c r="F2279" s="12" t="s">
        <v>6462</v>
      </c>
      <c r="G2279" s="15" t="s">
        <v>156</v>
      </c>
      <c r="I2279" s="9">
        <v>15</v>
      </c>
    </row>
    <row r="2280" spans="1:9" hidden="1" x14ac:dyDescent="0.2">
      <c r="A2280" s="11" t="s">
        <v>3400</v>
      </c>
      <c r="B2280" s="12" t="s">
        <v>3401</v>
      </c>
      <c r="C2280" s="13">
        <v>14</v>
      </c>
      <c r="D2280" s="12" t="s">
        <v>3426</v>
      </c>
      <c r="E2280" s="65" t="s">
        <v>3402</v>
      </c>
      <c r="F2280" s="65" t="s">
        <v>3427</v>
      </c>
      <c r="G2280" s="66" t="s">
        <v>13</v>
      </c>
    </row>
    <row r="2281" spans="1:9" hidden="1" x14ac:dyDescent="0.2">
      <c r="A2281" s="11" t="s">
        <v>4347</v>
      </c>
      <c r="B2281" s="12" t="s">
        <v>4348</v>
      </c>
      <c r="C2281" s="13">
        <f>C2280+1</f>
        <v>15</v>
      </c>
      <c r="D2281" s="12" t="s">
        <v>3426</v>
      </c>
      <c r="E2281" s="12" t="s">
        <v>4349</v>
      </c>
      <c r="F2281" s="12" t="s">
        <v>4363</v>
      </c>
      <c r="G2281" s="66" t="s">
        <v>13</v>
      </c>
      <c r="I2281" s="90" t="s">
        <v>2426</v>
      </c>
    </row>
    <row r="2282" spans="1:9" hidden="1" x14ac:dyDescent="0.2">
      <c r="A2282" s="11" t="s">
        <v>2867</v>
      </c>
      <c r="B2282" s="12" t="s">
        <v>2868</v>
      </c>
      <c r="C2282" s="13">
        <v>33</v>
      </c>
      <c r="D2282" s="14" t="s">
        <v>2927</v>
      </c>
      <c r="E2282" s="12" t="s">
        <v>2869</v>
      </c>
      <c r="F2282" s="65" t="s">
        <v>2928</v>
      </c>
      <c r="G2282" s="66" t="s">
        <v>156</v>
      </c>
    </row>
    <row r="2283" spans="1:9" hidden="1" x14ac:dyDescent="0.2">
      <c r="A2283" s="46" t="s">
        <v>3956</v>
      </c>
      <c r="B2283" s="12" t="s">
        <v>3957</v>
      </c>
      <c r="C2283" s="13">
        <v>19</v>
      </c>
      <c r="D2283" s="12" t="s">
        <v>3989</v>
      </c>
      <c r="E2283" s="12" t="s">
        <v>3958</v>
      </c>
      <c r="F2283" s="12" t="s">
        <v>3990</v>
      </c>
      <c r="G2283" s="66" t="s">
        <v>13</v>
      </c>
    </row>
    <row r="2284" spans="1:9" hidden="1" x14ac:dyDescent="0.2">
      <c r="A2284" s="11" t="s">
        <v>585</v>
      </c>
      <c r="B2284" s="12" t="s">
        <v>586</v>
      </c>
      <c r="C2284" s="13">
        <v>17</v>
      </c>
      <c r="D2284" s="14" t="s">
        <v>618</v>
      </c>
      <c r="E2284" s="12" t="s">
        <v>587</v>
      </c>
      <c r="F2284" s="12" t="s">
        <v>619</v>
      </c>
      <c r="G2284" s="15" t="s">
        <v>258</v>
      </c>
      <c r="I2284" s="99">
        <v>13</v>
      </c>
    </row>
    <row r="2285" spans="1:9" hidden="1" x14ac:dyDescent="0.2">
      <c r="A2285" s="11" t="s">
        <v>5559</v>
      </c>
      <c r="B2285" s="12" t="s">
        <v>5560</v>
      </c>
      <c r="C2285" s="13">
        <v>30</v>
      </c>
      <c r="D2285" s="12" t="s">
        <v>5615</v>
      </c>
      <c r="E2285" s="12" t="s">
        <v>5561</v>
      </c>
      <c r="F2285" s="12" t="s">
        <v>5616</v>
      </c>
      <c r="G2285" s="66" t="s">
        <v>3022</v>
      </c>
      <c r="I2285" s="90">
        <v>12</v>
      </c>
    </row>
    <row r="2286" spans="1:9" hidden="1" x14ac:dyDescent="0.25">
      <c r="A2286" s="11" t="s">
        <v>1656</v>
      </c>
      <c r="B2286" s="12" t="s">
        <v>1657</v>
      </c>
      <c r="C2286" s="13">
        <v>33</v>
      </c>
      <c r="D2286" s="12" t="s">
        <v>1724</v>
      </c>
      <c r="E2286" s="12" t="s">
        <v>1658</v>
      </c>
      <c r="F2286" s="12" t="s">
        <v>1725</v>
      </c>
      <c r="G2286" s="15" t="s">
        <v>1669</v>
      </c>
      <c r="I2286" s="94">
        <v>14</v>
      </c>
    </row>
    <row r="2287" spans="1:9" hidden="1" x14ac:dyDescent="0.25">
      <c r="A2287" s="11" t="s">
        <v>1656</v>
      </c>
      <c r="B2287" s="12" t="s">
        <v>1657</v>
      </c>
      <c r="C2287" s="13">
        <v>34</v>
      </c>
      <c r="D2287" s="12" t="s">
        <v>1726</v>
      </c>
      <c r="E2287" s="12" t="s">
        <v>1658</v>
      </c>
      <c r="F2287" s="12" t="s">
        <v>1727</v>
      </c>
      <c r="G2287" s="15" t="s">
        <v>1626</v>
      </c>
      <c r="I2287" s="94">
        <v>14</v>
      </c>
    </row>
    <row r="2288" spans="1:9" hidden="1" x14ac:dyDescent="0.25">
      <c r="A2288" s="11" t="s">
        <v>1656</v>
      </c>
      <c r="B2288" s="12" t="s">
        <v>1657</v>
      </c>
      <c r="C2288" s="13">
        <v>32</v>
      </c>
      <c r="D2288" s="12" t="s">
        <v>1722</v>
      </c>
      <c r="E2288" s="12" t="s">
        <v>1658</v>
      </c>
      <c r="F2288" s="12" t="s">
        <v>1723</v>
      </c>
      <c r="G2288" s="15" t="s">
        <v>271</v>
      </c>
      <c r="I2288" s="94">
        <v>14</v>
      </c>
    </row>
    <row r="2289" spans="1:9" hidden="1" x14ac:dyDescent="0.25">
      <c r="A2289" s="11" t="s">
        <v>1656</v>
      </c>
      <c r="B2289" s="12" t="s">
        <v>1657</v>
      </c>
      <c r="C2289" s="13">
        <v>42</v>
      </c>
      <c r="D2289" s="12" t="s">
        <v>1742</v>
      </c>
      <c r="E2289" s="12" t="s">
        <v>1658</v>
      </c>
      <c r="F2289" s="12" t="s">
        <v>1743</v>
      </c>
      <c r="G2289" s="15" t="s">
        <v>1669</v>
      </c>
      <c r="I2289" s="94">
        <v>14</v>
      </c>
    </row>
    <row r="2290" spans="1:9" hidden="1" x14ac:dyDescent="0.25">
      <c r="A2290" s="11" t="s">
        <v>1656</v>
      </c>
      <c r="B2290" s="12" t="s">
        <v>1657</v>
      </c>
      <c r="C2290" s="13">
        <v>41</v>
      </c>
      <c r="D2290" s="12" t="s">
        <v>1740</v>
      </c>
      <c r="E2290" s="12" t="s">
        <v>1658</v>
      </c>
      <c r="F2290" s="12" t="s">
        <v>1741</v>
      </c>
      <c r="G2290" s="15" t="s">
        <v>271</v>
      </c>
      <c r="I2290" s="94">
        <v>14</v>
      </c>
    </row>
    <row r="2291" spans="1:9" hidden="1" x14ac:dyDescent="0.25">
      <c r="A2291" s="11" t="s">
        <v>1656</v>
      </c>
      <c r="B2291" s="12" t="s">
        <v>1657</v>
      </c>
      <c r="C2291" s="13">
        <v>36</v>
      </c>
      <c r="D2291" s="12" t="s">
        <v>1730</v>
      </c>
      <c r="E2291" s="12" t="s">
        <v>1658</v>
      </c>
      <c r="F2291" s="12" t="s">
        <v>1731</v>
      </c>
      <c r="G2291" s="15" t="s">
        <v>1669</v>
      </c>
      <c r="I2291" s="94">
        <v>14</v>
      </c>
    </row>
    <row r="2292" spans="1:9" hidden="1" x14ac:dyDescent="0.25">
      <c r="A2292" s="11" t="s">
        <v>1656</v>
      </c>
      <c r="B2292" s="12" t="s">
        <v>1657</v>
      </c>
      <c r="C2292" s="13">
        <v>39</v>
      </c>
      <c r="D2292" s="12" t="s">
        <v>1736</v>
      </c>
      <c r="E2292" s="12" t="s">
        <v>1658</v>
      </c>
      <c r="F2292" s="12" t="s">
        <v>1737</v>
      </c>
      <c r="G2292" s="15" t="s">
        <v>1669</v>
      </c>
      <c r="I2292" s="94">
        <v>14</v>
      </c>
    </row>
    <row r="2293" spans="1:9" hidden="1" x14ac:dyDescent="0.25">
      <c r="A2293" s="11" t="s">
        <v>1656</v>
      </c>
      <c r="B2293" s="12" t="s">
        <v>1657</v>
      </c>
      <c r="C2293" s="13">
        <v>40</v>
      </c>
      <c r="D2293" s="12" t="s">
        <v>1738</v>
      </c>
      <c r="E2293" s="12" t="s">
        <v>1658</v>
      </c>
      <c r="F2293" s="12" t="s">
        <v>1739</v>
      </c>
      <c r="G2293" s="15" t="s">
        <v>1626</v>
      </c>
      <c r="I2293" s="94">
        <v>14</v>
      </c>
    </row>
    <row r="2294" spans="1:9" hidden="1" x14ac:dyDescent="0.25">
      <c r="A2294" s="11" t="s">
        <v>1656</v>
      </c>
      <c r="B2294" s="12" t="s">
        <v>1657</v>
      </c>
      <c r="C2294" s="13">
        <v>38</v>
      </c>
      <c r="D2294" s="12" t="s">
        <v>1734</v>
      </c>
      <c r="E2294" s="12" t="s">
        <v>1658</v>
      </c>
      <c r="F2294" s="12" t="s">
        <v>1735</v>
      </c>
      <c r="G2294" s="15" t="s">
        <v>271</v>
      </c>
      <c r="I2294" s="94">
        <v>14</v>
      </c>
    </row>
    <row r="2295" spans="1:9" hidden="1" x14ac:dyDescent="0.25">
      <c r="A2295" s="11" t="s">
        <v>1656</v>
      </c>
      <c r="B2295" s="12" t="s">
        <v>1657</v>
      </c>
      <c r="C2295" s="13">
        <v>37</v>
      </c>
      <c r="D2295" s="12" t="s">
        <v>1732</v>
      </c>
      <c r="E2295" s="12" t="s">
        <v>1658</v>
      </c>
      <c r="F2295" s="12" t="s">
        <v>1733</v>
      </c>
      <c r="G2295" s="15" t="s">
        <v>1626</v>
      </c>
      <c r="I2295" s="94">
        <v>14</v>
      </c>
    </row>
    <row r="2296" spans="1:9" hidden="1" x14ac:dyDescent="0.25">
      <c r="A2296" s="11" t="s">
        <v>1656</v>
      </c>
      <c r="B2296" s="12" t="s">
        <v>1657</v>
      </c>
      <c r="C2296" s="13">
        <v>35</v>
      </c>
      <c r="D2296" s="12" t="s">
        <v>1728</v>
      </c>
      <c r="E2296" s="12" t="s">
        <v>1658</v>
      </c>
      <c r="F2296" s="12" t="s">
        <v>1729</v>
      </c>
      <c r="G2296" s="15" t="s">
        <v>271</v>
      </c>
      <c r="I2296" s="94">
        <v>14</v>
      </c>
    </row>
    <row r="2297" spans="1:9" hidden="1" x14ac:dyDescent="0.2">
      <c r="A2297" s="11" t="s">
        <v>2867</v>
      </c>
      <c r="B2297" s="12" t="s">
        <v>2868</v>
      </c>
      <c r="C2297" s="13">
        <v>58</v>
      </c>
      <c r="D2297" s="14" t="s">
        <v>2973</v>
      </c>
      <c r="E2297" s="12" t="s">
        <v>2869</v>
      </c>
      <c r="F2297" s="65" t="s">
        <v>2974</v>
      </c>
      <c r="G2297" s="66" t="s">
        <v>19</v>
      </c>
    </row>
    <row r="2298" spans="1:9" hidden="1" x14ac:dyDescent="0.2">
      <c r="A2298" s="11" t="s">
        <v>5559</v>
      </c>
      <c r="B2298" s="12" t="s">
        <v>5560</v>
      </c>
      <c r="C2298" s="13">
        <v>31</v>
      </c>
      <c r="D2298" s="12" t="s">
        <v>5617</v>
      </c>
      <c r="E2298" s="12" t="s">
        <v>5561</v>
      </c>
      <c r="F2298" s="12" t="s">
        <v>5618</v>
      </c>
      <c r="G2298" s="66" t="s">
        <v>42</v>
      </c>
      <c r="I2298" s="9">
        <v>15</v>
      </c>
    </row>
    <row r="2299" spans="1:9" hidden="1" x14ac:dyDescent="0.2">
      <c r="A2299" s="11" t="s">
        <v>2631</v>
      </c>
      <c r="B2299" s="12" t="s">
        <v>2632</v>
      </c>
      <c r="C2299" s="13">
        <f>C2298+1</f>
        <v>32</v>
      </c>
      <c r="D2299" s="14" t="s">
        <v>2845</v>
      </c>
      <c r="E2299" s="12" t="s">
        <v>2634</v>
      </c>
      <c r="F2299" s="65" t="s">
        <v>2846</v>
      </c>
      <c r="G2299" s="66" t="s">
        <v>676</v>
      </c>
      <c r="I2299" s="94">
        <v>14</v>
      </c>
    </row>
    <row r="2300" spans="1:9" hidden="1" x14ac:dyDescent="0.2">
      <c r="A2300" s="11" t="s">
        <v>3165</v>
      </c>
      <c r="B2300" s="12" t="s">
        <v>3166</v>
      </c>
      <c r="C2300" s="13">
        <f>C2299+1</f>
        <v>33</v>
      </c>
      <c r="D2300" s="12" t="s">
        <v>3347</v>
      </c>
      <c r="E2300" s="12" t="s">
        <v>3167</v>
      </c>
      <c r="F2300" s="12" t="s">
        <v>3348</v>
      </c>
      <c r="G2300" s="66" t="s">
        <v>676</v>
      </c>
      <c r="I2300" s="94">
        <v>14</v>
      </c>
    </row>
    <row r="2301" spans="1:9" hidden="1" x14ac:dyDescent="0.2">
      <c r="A2301" s="11" t="s">
        <v>2631</v>
      </c>
      <c r="B2301" s="12" t="s">
        <v>2632</v>
      </c>
      <c r="C2301" s="13">
        <f>C2300+1</f>
        <v>34</v>
      </c>
      <c r="D2301" s="14" t="s">
        <v>2847</v>
      </c>
      <c r="E2301" s="12" t="s">
        <v>2634</v>
      </c>
      <c r="F2301" s="65" t="s">
        <v>2848</v>
      </c>
      <c r="G2301" s="66" t="s">
        <v>676</v>
      </c>
      <c r="I2301" s="94">
        <v>14</v>
      </c>
    </row>
    <row r="2302" spans="1:9" hidden="1" x14ac:dyDescent="0.2">
      <c r="A2302" s="11" t="s">
        <v>3165</v>
      </c>
      <c r="B2302" s="12" t="s">
        <v>3166</v>
      </c>
      <c r="C2302" s="13">
        <f>C2301+1</f>
        <v>35</v>
      </c>
      <c r="D2302" s="12" t="s">
        <v>3349</v>
      </c>
      <c r="E2302" s="12" t="s">
        <v>3167</v>
      </c>
      <c r="F2302" s="12" t="s">
        <v>3350</v>
      </c>
      <c r="G2302" s="66" t="s">
        <v>676</v>
      </c>
      <c r="I2302" s="94">
        <v>14</v>
      </c>
    </row>
    <row r="2303" spans="1:9" hidden="1" x14ac:dyDescent="0.2">
      <c r="A2303" s="146" t="s">
        <v>5060</v>
      </c>
      <c r="B2303" s="12" t="s">
        <v>5061</v>
      </c>
      <c r="C2303" s="13">
        <v>27</v>
      </c>
      <c r="D2303" s="14" t="s">
        <v>5109</v>
      </c>
      <c r="E2303" s="12" t="s">
        <v>5062</v>
      </c>
      <c r="F2303" s="12" t="s">
        <v>5110</v>
      </c>
      <c r="G2303" s="80" t="s">
        <v>13</v>
      </c>
    </row>
    <row r="2304" spans="1:9" hidden="1" x14ac:dyDescent="0.2">
      <c r="A2304" s="146" t="s">
        <v>5060</v>
      </c>
      <c r="B2304" s="12" t="s">
        <v>5061</v>
      </c>
      <c r="C2304" s="13">
        <v>26</v>
      </c>
      <c r="D2304" s="14" t="s">
        <v>5107</v>
      </c>
      <c r="E2304" s="12" t="s">
        <v>5062</v>
      </c>
      <c r="F2304" s="12" t="s">
        <v>5108</v>
      </c>
      <c r="G2304" s="80" t="s">
        <v>13</v>
      </c>
    </row>
    <row r="2305" spans="1:27" hidden="1" x14ac:dyDescent="0.2">
      <c r="A2305" s="11" t="s">
        <v>362</v>
      </c>
      <c r="B2305" s="12" t="s">
        <v>363</v>
      </c>
      <c r="C2305" s="13">
        <v>16</v>
      </c>
      <c r="D2305" s="14" t="s">
        <v>392</v>
      </c>
      <c r="E2305" s="12" t="s">
        <v>364</v>
      </c>
      <c r="F2305" s="12" t="s">
        <v>393</v>
      </c>
      <c r="G2305" s="15" t="s">
        <v>13</v>
      </c>
    </row>
    <row r="2306" spans="1:27" hidden="1" x14ac:dyDescent="0.2">
      <c r="A2306" s="146" t="s">
        <v>5060</v>
      </c>
      <c r="B2306" s="12" t="s">
        <v>5061</v>
      </c>
      <c r="C2306" s="13">
        <v>25</v>
      </c>
      <c r="D2306" s="14" t="s">
        <v>5105</v>
      </c>
      <c r="E2306" s="12" t="s">
        <v>5062</v>
      </c>
      <c r="F2306" s="12" t="s">
        <v>5106</v>
      </c>
      <c r="G2306" s="80" t="s">
        <v>13</v>
      </c>
    </row>
    <row r="2307" spans="1:27" hidden="1" x14ac:dyDescent="0.2">
      <c r="A2307" s="11" t="s">
        <v>4318</v>
      </c>
      <c r="B2307" s="12" t="s">
        <v>4319</v>
      </c>
      <c r="C2307" s="13">
        <f>C2306+1</f>
        <v>26</v>
      </c>
      <c r="D2307" s="22" t="s">
        <v>4327</v>
      </c>
      <c r="E2307" s="12" t="s">
        <v>4320</v>
      </c>
      <c r="F2307" s="22" t="s">
        <v>4328</v>
      </c>
      <c r="G2307" s="66" t="s">
        <v>13</v>
      </c>
      <c r="I2307" s="90" t="s">
        <v>2426</v>
      </c>
    </row>
    <row r="2308" spans="1:27" hidden="1" x14ac:dyDescent="0.2">
      <c r="A2308" s="146" t="s">
        <v>4742</v>
      </c>
      <c r="B2308" s="12" t="s">
        <v>4743</v>
      </c>
      <c r="C2308" s="13">
        <v>5</v>
      </c>
      <c r="D2308" s="22" t="s">
        <v>4749</v>
      </c>
      <c r="E2308" s="12" t="s">
        <v>4744</v>
      </c>
      <c r="F2308" s="22" t="s">
        <v>4750</v>
      </c>
      <c r="G2308" s="66" t="s">
        <v>13</v>
      </c>
    </row>
    <row r="2309" spans="1:27" hidden="1" x14ac:dyDescent="0.2">
      <c r="A2309" s="146" t="s">
        <v>4759</v>
      </c>
      <c r="B2309" s="12" t="s">
        <v>4760</v>
      </c>
      <c r="C2309" s="13">
        <v>5</v>
      </c>
      <c r="D2309" s="22" t="s">
        <v>4749</v>
      </c>
      <c r="E2309" s="12" t="s">
        <v>4761</v>
      </c>
      <c r="F2309" s="22" t="s">
        <v>4766</v>
      </c>
      <c r="G2309" s="66" t="s">
        <v>13</v>
      </c>
    </row>
    <row r="2310" spans="1:27" hidden="1" x14ac:dyDescent="0.2">
      <c r="A2310" s="11" t="s">
        <v>4404</v>
      </c>
      <c r="B2310" s="12" t="s">
        <v>4405</v>
      </c>
      <c r="C2310" s="13">
        <v>6</v>
      </c>
      <c r="D2310" s="12" t="s">
        <v>4414</v>
      </c>
      <c r="E2310" s="12" t="s">
        <v>4406</v>
      </c>
      <c r="F2310" s="12" t="s">
        <v>4415</v>
      </c>
      <c r="G2310" s="66" t="s">
        <v>676</v>
      </c>
      <c r="I2310" s="94">
        <v>14</v>
      </c>
    </row>
    <row r="2311" spans="1:27" hidden="1" x14ac:dyDescent="0.2">
      <c r="A2311" s="11" t="s">
        <v>2440</v>
      </c>
      <c r="B2311" s="12" t="s">
        <v>2441</v>
      </c>
      <c r="C2311" s="13">
        <v>4</v>
      </c>
      <c r="D2311" s="75" t="s">
        <v>2447</v>
      </c>
      <c r="E2311" s="12" t="s">
        <v>2442</v>
      </c>
      <c r="F2311" s="22" t="s">
        <v>2448</v>
      </c>
      <c r="G2311" s="15" t="s">
        <v>13</v>
      </c>
    </row>
    <row r="2312" spans="1:27" hidden="1" x14ac:dyDescent="0.2">
      <c r="A2312" s="11" t="s">
        <v>2500</v>
      </c>
      <c r="B2312" s="12" t="s">
        <v>2501</v>
      </c>
      <c r="C2312" s="13">
        <v>6</v>
      </c>
      <c r="D2312" s="37" t="s">
        <v>2447</v>
      </c>
      <c r="E2312" s="12" t="s">
        <v>2502</v>
      </c>
      <c r="F2312" s="22" t="s">
        <v>2508</v>
      </c>
      <c r="G2312" s="15" t="s">
        <v>13</v>
      </c>
    </row>
    <row r="2313" spans="1:27" hidden="1" x14ac:dyDescent="0.2">
      <c r="A2313" s="11" t="s">
        <v>2516</v>
      </c>
      <c r="B2313" s="12" t="s">
        <v>2517</v>
      </c>
      <c r="C2313" s="13">
        <v>6</v>
      </c>
      <c r="D2313" s="37" t="s">
        <v>2447</v>
      </c>
      <c r="E2313" s="12" t="s">
        <v>2518</v>
      </c>
      <c r="F2313" s="22" t="s">
        <v>2524</v>
      </c>
      <c r="G2313" s="15" t="s">
        <v>13</v>
      </c>
    </row>
    <row r="2314" spans="1:27" hidden="1" x14ac:dyDescent="0.2">
      <c r="A2314" s="11" t="s">
        <v>2529</v>
      </c>
      <c r="B2314" s="12" t="s">
        <v>2530</v>
      </c>
      <c r="C2314" s="13">
        <v>5</v>
      </c>
      <c r="D2314" s="37" t="s">
        <v>2447</v>
      </c>
      <c r="E2314" s="12" t="s">
        <v>2531</v>
      </c>
      <c r="F2314" s="22" t="s">
        <v>2536</v>
      </c>
      <c r="G2314" s="15" t="s">
        <v>13</v>
      </c>
    </row>
    <row r="2315" spans="1:27" hidden="1" x14ac:dyDescent="0.2">
      <c r="A2315" s="11" t="s">
        <v>2541</v>
      </c>
      <c r="B2315" s="12" t="s">
        <v>2542</v>
      </c>
      <c r="C2315" s="13">
        <v>4</v>
      </c>
      <c r="D2315" s="37" t="s">
        <v>2447</v>
      </c>
      <c r="E2315" s="12" t="s">
        <v>2543</v>
      </c>
      <c r="F2315" s="22" t="s">
        <v>2547</v>
      </c>
      <c r="G2315" s="15" t="s">
        <v>13</v>
      </c>
    </row>
    <row r="2316" spans="1:27" hidden="1" x14ac:dyDescent="0.2">
      <c r="A2316" s="11" t="s">
        <v>2555</v>
      </c>
      <c r="B2316" s="12" t="s">
        <v>2556</v>
      </c>
      <c r="C2316" s="13">
        <v>4</v>
      </c>
      <c r="D2316" s="37" t="s">
        <v>2447</v>
      </c>
      <c r="E2316" s="12" t="s">
        <v>2557</v>
      </c>
      <c r="F2316" s="22" t="s">
        <v>2561</v>
      </c>
      <c r="G2316" s="15" t="s">
        <v>13</v>
      </c>
    </row>
    <row r="2317" spans="1:27" hidden="1" x14ac:dyDescent="0.2">
      <c r="A2317" s="11" t="s">
        <v>3130</v>
      </c>
      <c r="B2317" s="12" t="s">
        <v>3131</v>
      </c>
      <c r="C2317" s="13">
        <v>5</v>
      </c>
      <c r="D2317" s="22" t="s">
        <v>2447</v>
      </c>
      <c r="E2317" s="12" t="s">
        <v>3132</v>
      </c>
      <c r="F2317" s="75" t="s">
        <v>3137</v>
      </c>
      <c r="G2317" s="66" t="s">
        <v>13</v>
      </c>
    </row>
    <row r="2318" spans="1:27" ht="15" hidden="1" x14ac:dyDescent="0.25">
      <c r="A2318" s="21" t="s">
        <v>4421</v>
      </c>
      <c r="B2318" s="22" t="s">
        <v>4422</v>
      </c>
      <c r="C2318" s="23">
        <v>5</v>
      </c>
      <c r="D2318" s="22" t="s">
        <v>4429</v>
      </c>
      <c r="E2318" s="22" t="s">
        <v>4423</v>
      </c>
      <c r="F2318" s="22" t="s">
        <v>4430</v>
      </c>
      <c r="G2318" s="71" t="s">
        <v>829</v>
      </c>
      <c r="H2318" s="38"/>
      <c r="I2318" s="39">
        <v>15</v>
      </c>
      <c r="J2318" s="52"/>
      <c r="K2318" s="38"/>
      <c r="L2318" s="38"/>
      <c r="M2318" s="38"/>
      <c r="N2318" s="38"/>
      <c r="O2318" s="38"/>
      <c r="P2318" s="38"/>
      <c r="Q2318" s="38"/>
      <c r="R2318" s="38"/>
      <c r="S2318" s="38"/>
      <c r="T2318" s="38"/>
      <c r="U2318" s="38"/>
      <c r="V2318" s="38"/>
      <c r="W2318" s="38"/>
      <c r="X2318" s="38"/>
      <c r="Y2318" s="38"/>
      <c r="Z2318" s="38"/>
      <c r="AA2318" s="38"/>
    </row>
    <row r="2319" spans="1:27" ht="15" hidden="1" x14ac:dyDescent="0.25">
      <c r="A2319" s="21" t="s">
        <v>4465</v>
      </c>
      <c r="B2319" s="22" t="s">
        <v>4466</v>
      </c>
      <c r="C2319" s="23">
        <v>5</v>
      </c>
      <c r="D2319" s="22" t="s">
        <v>4429</v>
      </c>
      <c r="E2319" s="22" t="s">
        <v>4467</v>
      </c>
      <c r="F2319" s="22" t="s">
        <v>4472</v>
      </c>
      <c r="G2319" s="71" t="s">
        <v>829</v>
      </c>
      <c r="H2319" s="38"/>
      <c r="I2319" s="39">
        <v>15</v>
      </c>
      <c r="J2319" s="52"/>
      <c r="K2319" s="38"/>
      <c r="L2319" s="38"/>
      <c r="M2319" s="38"/>
      <c r="N2319" s="38"/>
      <c r="O2319" s="38"/>
      <c r="P2319" s="38"/>
      <c r="Q2319" s="38"/>
      <c r="R2319" s="38"/>
      <c r="S2319" s="38"/>
      <c r="T2319" s="38"/>
      <c r="U2319" s="38"/>
      <c r="V2319" s="38"/>
      <c r="W2319" s="38"/>
      <c r="X2319" s="38"/>
      <c r="Y2319" s="38"/>
      <c r="Z2319" s="38"/>
      <c r="AA2319" s="38"/>
    </row>
    <row r="2320" spans="1:27" hidden="1" x14ac:dyDescent="0.2">
      <c r="A2320" s="21" t="s">
        <v>4513</v>
      </c>
      <c r="B2320" s="22" t="s">
        <v>4514</v>
      </c>
      <c r="C2320" s="23">
        <v>5</v>
      </c>
      <c r="D2320" s="22" t="s">
        <v>4429</v>
      </c>
      <c r="E2320" s="22" t="s">
        <v>4515</v>
      </c>
      <c r="F2320" s="22" t="s">
        <v>4520</v>
      </c>
      <c r="G2320" s="71" t="s">
        <v>829</v>
      </c>
      <c r="H2320" s="38"/>
      <c r="I2320" s="39">
        <v>15</v>
      </c>
      <c r="J2320" s="38"/>
      <c r="K2320" s="38"/>
      <c r="L2320" s="38"/>
      <c r="M2320" s="38"/>
      <c r="N2320" s="38"/>
      <c r="O2320" s="38"/>
      <c r="P2320" s="38"/>
      <c r="Q2320" s="38"/>
      <c r="R2320" s="38"/>
      <c r="S2320" s="38"/>
      <c r="T2320" s="38"/>
      <c r="U2320" s="38"/>
      <c r="V2320" s="38"/>
      <c r="W2320" s="38"/>
      <c r="X2320" s="38"/>
      <c r="Y2320" s="38"/>
      <c r="Z2320" s="38"/>
      <c r="AA2320" s="38"/>
    </row>
    <row r="2321" spans="1:27" hidden="1" x14ac:dyDescent="0.2">
      <c r="A2321" s="21" t="s">
        <v>4540</v>
      </c>
      <c r="B2321" s="22" t="s">
        <v>4541</v>
      </c>
      <c r="C2321" s="23">
        <v>5</v>
      </c>
      <c r="D2321" s="22" t="s">
        <v>4429</v>
      </c>
      <c r="E2321" s="22" t="s">
        <v>4542</v>
      </c>
      <c r="F2321" s="22" t="s">
        <v>4547</v>
      </c>
      <c r="G2321" s="71" t="s">
        <v>829</v>
      </c>
      <c r="H2321" s="38"/>
      <c r="I2321" s="39">
        <v>15</v>
      </c>
      <c r="J2321" s="38"/>
      <c r="K2321" s="38"/>
      <c r="L2321" s="38"/>
      <c r="M2321" s="38"/>
      <c r="N2321" s="38"/>
      <c r="O2321" s="38"/>
      <c r="P2321" s="38"/>
      <c r="Q2321" s="38"/>
      <c r="R2321" s="38"/>
      <c r="S2321" s="38"/>
      <c r="T2321" s="38"/>
      <c r="U2321" s="38"/>
      <c r="V2321" s="38"/>
      <c r="W2321" s="38"/>
      <c r="X2321" s="38"/>
      <c r="Y2321" s="38"/>
      <c r="Z2321" s="38"/>
      <c r="AA2321" s="38"/>
    </row>
    <row r="2322" spans="1:27" hidden="1" x14ac:dyDescent="0.2">
      <c r="A2322" s="21" t="s">
        <v>4564</v>
      </c>
      <c r="B2322" s="22" t="s">
        <v>4565</v>
      </c>
      <c r="C2322" s="23">
        <v>5</v>
      </c>
      <c r="D2322" s="22" t="s">
        <v>4429</v>
      </c>
      <c r="E2322" s="22" t="s">
        <v>4566</v>
      </c>
      <c r="F2322" s="22" t="s">
        <v>4571</v>
      </c>
      <c r="G2322" s="71" t="s">
        <v>829</v>
      </c>
      <c r="H2322" s="38"/>
      <c r="I2322" s="39">
        <v>15</v>
      </c>
      <c r="J2322" s="38"/>
      <c r="K2322" s="38"/>
      <c r="L2322" s="38"/>
      <c r="M2322" s="38"/>
      <c r="N2322" s="38"/>
      <c r="O2322" s="38"/>
      <c r="P2322" s="38"/>
      <c r="Q2322" s="38"/>
      <c r="R2322" s="38"/>
      <c r="S2322" s="38"/>
      <c r="T2322" s="38"/>
      <c r="U2322" s="38"/>
      <c r="V2322" s="38"/>
      <c r="W2322" s="38"/>
      <c r="X2322" s="38"/>
      <c r="Y2322" s="38"/>
      <c r="Z2322" s="38"/>
      <c r="AA2322" s="38"/>
    </row>
    <row r="2323" spans="1:27" ht="15" hidden="1" x14ac:dyDescent="0.25">
      <c r="A2323" s="21" t="s">
        <v>4583</v>
      </c>
      <c r="B2323" s="22" t="s">
        <v>4584</v>
      </c>
      <c r="C2323" s="23">
        <v>5</v>
      </c>
      <c r="D2323" s="22" t="s">
        <v>4429</v>
      </c>
      <c r="E2323" s="22" t="s">
        <v>4585</v>
      </c>
      <c r="F2323" s="22" t="s">
        <v>4590</v>
      </c>
      <c r="G2323" s="71" t="s">
        <v>829</v>
      </c>
      <c r="H2323" s="38"/>
      <c r="I2323" s="39">
        <v>15</v>
      </c>
      <c r="J2323" s="52"/>
      <c r="K2323" s="38"/>
      <c r="L2323" s="38"/>
      <c r="M2323" s="38"/>
      <c r="N2323" s="38"/>
      <c r="O2323" s="38"/>
      <c r="P2323" s="38"/>
      <c r="Q2323" s="38"/>
      <c r="R2323" s="38"/>
      <c r="S2323" s="38"/>
      <c r="T2323" s="38"/>
      <c r="U2323" s="38"/>
      <c r="V2323" s="38"/>
      <c r="W2323" s="38"/>
      <c r="X2323" s="38"/>
      <c r="Y2323" s="38"/>
      <c r="Z2323" s="38"/>
      <c r="AA2323" s="38"/>
    </row>
    <row r="2324" spans="1:27" hidden="1" x14ac:dyDescent="0.2">
      <c r="A2324" s="146" t="s">
        <v>5060</v>
      </c>
      <c r="B2324" s="12" t="s">
        <v>5061</v>
      </c>
      <c r="C2324" s="13">
        <v>24</v>
      </c>
      <c r="D2324" s="14" t="s">
        <v>5103</v>
      </c>
      <c r="E2324" s="12" t="s">
        <v>5062</v>
      </c>
      <c r="F2324" s="12" t="s">
        <v>5104</v>
      </c>
      <c r="G2324" s="80" t="s">
        <v>13</v>
      </c>
    </row>
    <row r="2325" spans="1:27" hidden="1" x14ac:dyDescent="0.2">
      <c r="A2325" s="11" t="s">
        <v>362</v>
      </c>
      <c r="B2325" s="12" t="s">
        <v>363</v>
      </c>
      <c r="C2325" s="13">
        <v>15</v>
      </c>
      <c r="D2325" s="14" t="s">
        <v>390</v>
      </c>
      <c r="E2325" s="12" t="s">
        <v>364</v>
      </c>
      <c r="F2325" s="12" t="s">
        <v>391</v>
      </c>
      <c r="G2325" s="15" t="s">
        <v>13</v>
      </c>
    </row>
    <row r="2326" spans="1:27" hidden="1" x14ac:dyDescent="0.2">
      <c r="A2326" s="11" t="s">
        <v>2566</v>
      </c>
      <c r="B2326" s="12" t="s">
        <v>2567</v>
      </c>
      <c r="C2326" s="13">
        <v>7</v>
      </c>
      <c r="D2326" s="37" t="s">
        <v>390</v>
      </c>
      <c r="E2326" s="12" t="s">
        <v>2568</v>
      </c>
      <c r="F2326" s="75" t="s">
        <v>2575</v>
      </c>
      <c r="G2326" s="66" t="s">
        <v>13</v>
      </c>
    </row>
    <row r="2327" spans="1:27" hidden="1" x14ac:dyDescent="0.2">
      <c r="A2327" s="11" t="s">
        <v>2608</v>
      </c>
      <c r="B2327" s="12" t="s">
        <v>2609</v>
      </c>
      <c r="C2327" s="13">
        <v>6</v>
      </c>
      <c r="D2327" s="37" t="s">
        <v>390</v>
      </c>
      <c r="E2327" s="12" t="s">
        <v>2610</v>
      </c>
      <c r="F2327" s="75" t="s">
        <v>2616</v>
      </c>
      <c r="G2327" s="66" t="s">
        <v>13</v>
      </c>
    </row>
    <row r="2328" spans="1:27" hidden="1" x14ac:dyDescent="0.2">
      <c r="A2328" s="11" t="s">
        <v>2631</v>
      </c>
      <c r="B2328" s="12" t="s">
        <v>2632</v>
      </c>
      <c r="C2328" s="13">
        <v>5</v>
      </c>
      <c r="D2328" s="37" t="s">
        <v>390</v>
      </c>
      <c r="E2328" s="12" t="s">
        <v>2634</v>
      </c>
      <c r="F2328" s="75" t="s">
        <v>2640</v>
      </c>
      <c r="G2328" s="66" t="s">
        <v>13</v>
      </c>
    </row>
    <row r="2329" spans="1:27" hidden="1" x14ac:dyDescent="0.2">
      <c r="A2329" s="11" t="s">
        <v>2867</v>
      </c>
      <c r="B2329" s="12" t="s">
        <v>2868</v>
      </c>
      <c r="C2329" s="13">
        <v>6</v>
      </c>
      <c r="D2329" s="37" t="s">
        <v>390</v>
      </c>
      <c r="E2329" s="12" t="s">
        <v>2869</v>
      </c>
      <c r="F2329" s="75" t="s">
        <v>2876</v>
      </c>
      <c r="G2329" s="66" t="s">
        <v>13</v>
      </c>
    </row>
    <row r="2330" spans="1:27" hidden="1" x14ac:dyDescent="0.2">
      <c r="A2330" s="11" t="s">
        <v>2988</v>
      </c>
      <c r="B2330" s="12" t="s">
        <v>2989</v>
      </c>
      <c r="C2330" s="13">
        <f>1+C2329</f>
        <v>7</v>
      </c>
      <c r="D2330" s="37" t="s">
        <v>390</v>
      </c>
      <c r="E2330" s="12" t="s">
        <v>2990</v>
      </c>
      <c r="F2330" s="75" t="s">
        <v>2995</v>
      </c>
      <c r="G2330" s="66" t="s">
        <v>13</v>
      </c>
    </row>
    <row r="2331" spans="1:27" hidden="1" x14ac:dyDescent="0.2">
      <c r="A2331" s="11" t="s">
        <v>3034</v>
      </c>
      <c r="B2331" s="12" t="s">
        <v>3035</v>
      </c>
      <c r="C2331" s="13">
        <f>+C2330+1</f>
        <v>8</v>
      </c>
      <c r="D2331" s="37" t="s">
        <v>390</v>
      </c>
      <c r="E2331" s="12" t="s">
        <v>3036</v>
      </c>
      <c r="F2331" s="75" t="s">
        <v>3106</v>
      </c>
      <c r="G2331" s="66" t="s">
        <v>13</v>
      </c>
    </row>
    <row r="2332" spans="1:27" s="10" customFormat="1" hidden="1" x14ac:dyDescent="0.2">
      <c r="A2332" s="11" t="s">
        <v>3108</v>
      </c>
      <c r="B2332" s="12" t="s">
        <v>3109</v>
      </c>
      <c r="C2332" s="13">
        <v>7</v>
      </c>
      <c r="D2332" s="37" t="s">
        <v>390</v>
      </c>
      <c r="E2332" s="12" t="s">
        <v>3110</v>
      </c>
      <c r="F2332" s="75" t="s">
        <v>3119</v>
      </c>
      <c r="G2332" s="66" t="s">
        <v>13</v>
      </c>
      <c r="H2332" s="8"/>
      <c r="I2332" s="90"/>
      <c r="J2332" s="8"/>
      <c r="K2332" s="8"/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8"/>
      <c r="AA2332" s="8"/>
    </row>
    <row r="2333" spans="1:27" s="10" customFormat="1" hidden="1" x14ac:dyDescent="0.2">
      <c r="A2333" s="11" t="s">
        <v>3120</v>
      </c>
      <c r="B2333" s="12" t="s">
        <v>3121</v>
      </c>
      <c r="C2333" s="13">
        <v>7</v>
      </c>
      <c r="D2333" s="37" t="s">
        <v>390</v>
      </c>
      <c r="E2333" s="12" t="s">
        <v>3122</v>
      </c>
      <c r="F2333" s="75" t="s">
        <v>3129</v>
      </c>
      <c r="G2333" s="66" t="s">
        <v>13</v>
      </c>
      <c r="H2333" s="8"/>
      <c r="I2333" s="90"/>
      <c r="J2333" s="8"/>
      <c r="K2333" s="8"/>
      <c r="L2333" s="8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8"/>
      <c r="AA2333" s="8"/>
    </row>
    <row r="2334" spans="1:27" s="10" customFormat="1" hidden="1" x14ac:dyDescent="0.2">
      <c r="A2334" s="11" t="s">
        <v>3165</v>
      </c>
      <c r="B2334" s="12" t="s">
        <v>3166</v>
      </c>
      <c r="C2334" s="13">
        <v>5</v>
      </c>
      <c r="D2334" s="22" t="s">
        <v>390</v>
      </c>
      <c r="E2334" s="22" t="s">
        <v>3167</v>
      </c>
      <c r="F2334" s="75" t="s">
        <v>3172</v>
      </c>
      <c r="G2334" s="71" t="s">
        <v>13</v>
      </c>
      <c r="H2334" s="8"/>
      <c r="I2334" s="90"/>
      <c r="J2334" s="8"/>
      <c r="K2334" s="8"/>
      <c r="L2334" s="8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8"/>
      <c r="Z2334" s="8"/>
      <c r="AA2334" s="8"/>
    </row>
    <row r="2335" spans="1:27" s="10" customFormat="1" hidden="1" x14ac:dyDescent="0.2">
      <c r="A2335" s="11" t="s">
        <v>3355</v>
      </c>
      <c r="B2335" s="12" t="s">
        <v>3356</v>
      </c>
      <c r="C2335" s="13">
        <v>5</v>
      </c>
      <c r="D2335" s="22" t="s">
        <v>390</v>
      </c>
      <c r="E2335" s="22" t="s">
        <v>3357</v>
      </c>
      <c r="F2335" s="75" t="s">
        <v>3362</v>
      </c>
      <c r="G2335" s="71" t="s">
        <v>13</v>
      </c>
      <c r="H2335" s="38"/>
      <c r="I2335" s="93"/>
      <c r="J2335" s="38"/>
      <c r="K2335" s="38"/>
      <c r="L2335" s="38"/>
      <c r="M2335" s="38"/>
      <c r="N2335" s="38"/>
      <c r="O2335" s="38"/>
      <c r="P2335" s="38"/>
      <c r="Q2335" s="38"/>
      <c r="R2335" s="38"/>
      <c r="S2335" s="38"/>
      <c r="T2335" s="38"/>
      <c r="U2335" s="38"/>
      <c r="V2335" s="38"/>
      <c r="W2335" s="38"/>
      <c r="X2335" s="38"/>
      <c r="Y2335" s="38"/>
      <c r="Z2335" s="38"/>
      <c r="AA2335" s="38"/>
    </row>
    <row r="2336" spans="1:27" s="10" customFormat="1" hidden="1" x14ac:dyDescent="0.2">
      <c r="A2336" s="11" t="s">
        <v>3428</v>
      </c>
      <c r="B2336" s="12" t="s">
        <v>3429</v>
      </c>
      <c r="C2336" s="13">
        <v>16</v>
      </c>
      <c r="D2336" s="22" t="s">
        <v>390</v>
      </c>
      <c r="E2336" s="65" t="s">
        <v>8640</v>
      </c>
      <c r="F2336" s="75" t="s">
        <v>3457</v>
      </c>
      <c r="G2336" s="66" t="s">
        <v>13</v>
      </c>
      <c r="H2336" s="8"/>
      <c r="I2336" s="94">
        <v>14</v>
      </c>
      <c r="J2336" s="8"/>
      <c r="K2336" s="8"/>
      <c r="L2336" s="8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8"/>
      <c r="AA2336" s="8"/>
    </row>
    <row r="2337" spans="1:9" hidden="1" x14ac:dyDescent="0.2">
      <c r="A2337" s="56" t="s">
        <v>3458</v>
      </c>
      <c r="B2337" s="61" t="s">
        <v>3459</v>
      </c>
      <c r="C2337" s="58">
        <f>C2336+1</f>
        <v>17</v>
      </c>
      <c r="D2337" s="17" t="s">
        <v>390</v>
      </c>
      <c r="E2337" s="74" t="s">
        <v>3460</v>
      </c>
      <c r="F2337" s="128" t="s">
        <v>3617</v>
      </c>
      <c r="G2337" s="129" t="s">
        <v>676</v>
      </c>
      <c r="I2337" s="94">
        <v>14</v>
      </c>
    </row>
    <row r="2338" spans="1:9" hidden="1" x14ac:dyDescent="0.2">
      <c r="A2338" s="11" t="s">
        <v>3633</v>
      </c>
      <c r="B2338" s="12" t="s">
        <v>3634</v>
      </c>
      <c r="C2338" s="13">
        <v>79</v>
      </c>
      <c r="D2338" s="22" t="s">
        <v>390</v>
      </c>
      <c r="E2338" s="65" t="s">
        <v>3635</v>
      </c>
      <c r="F2338" s="75" t="s">
        <v>3734</v>
      </c>
      <c r="G2338" s="66" t="s">
        <v>13</v>
      </c>
      <c r="I2338" s="94">
        <v>14</v>
      </c>
    </row>
    <row r="2339" spans="1:9" hidden="1" x14ac:dyDescent="0.2">
      <c r="A2339" s="11" t="s">
        <v>3763</v>
      </c>
      <c r="B2339" s="12" t="s">
        <v>3764</v>
      </c>
      <c r="C2339" s="13">
        <v>20</v>
      </c>
      <c r="D2339" s="22" t="s">
        <v>390</v>
      </c>
      <c r="E2339" s="12" t="s">
        <v>3765</v>
      </c>
      <c r="F2339" s="75" t="s">
        <v>3792</v>
      </c>
      <c r="G2339" s="66" t="s">
        <v>676</v>
      </c>
      <c r="I2339" s="94">
        <v>14</v>
      </c>
    </row>
    <row r="2340" spans="1:9" hidden="1" x14ac:dyDescent="0.2">
      <c r="A2340" s="11" t="s">
        <v>3799</v>
      </c>
      <c r="B2340" s="12" t="s">
        <v>3800</v>
      </c>
      <c r="C2340" s="13">
        <v>24</v>
      </c>
      <c r="D2340" s="22" t="s">
        <v>390</v>
      </c>
      <c r="E2340" s="12" t="s">
        <v>3801</v>
      </c>
      <c r="F2340" s="75" t="s">
        <v>3833</v>
      </c>
      <c r="G2340" s="66" t="s">
        <v>13</v>
      </c>
      <c r="I2340" s="94">
        <v>14</v>
      </c>
    </row>
    <row r="2341" spans="1:9" hidden="1" x14ac:dyDescent="0.2">
      <c r="A2341" s="11" t="s">
        <v>3839</v>
      </c>
      <c r="B2341" s="12" t="s">
        <v>3840</v>
      </c>
      <c r="C2341" s="13">
        <v>14</v>
      </c>
      <c r="D2341" s="22" t="s">
        <v>390</v>
      </c>
      <c r="E2341" s="12" t="s">
        <v>3841</v>
      </c>
      <c r="F2341" s="75" t="s">
        <v>3857</v>
      </c>
      <c r="G2341" s="66" t="s">
        <v>13</v>
      </c>
      <c r="I2341" s="94">
        <v>14</v>
      </c>
    </row>
    <row r="2342" spans="1:9" hidden="1" x14ac:dyDescent="0.2">
      <c r="A2342" s="11" t="s">
        <v>3858</v>
      </c>
      <c r="B2342" s="12" t="s">
        <v>3859</v>
      </c>
      <c r="C2342" s="13">
        <v>19</v>
      </c>
      <c r="D2342" s="22" t="s">
        <v>390</v>
      </c>
      <c r="E2342" s="12" t="s">
        <v>3860</v>
      </c>
      <c r="F2342" s="75" t="s">
        <v>3879</v>
      </c>
      <c r="G2342" s="66" t="s">
        <v>13</v>
      </c>
      <c r="I2342" s="94">
        <v>14</v>
      </c>
    </row>
    <row r="2343" spans="1:9" hidden="1" x14ac:dyDescent="0.2">
      <c r="A2343" s="11" t="s">
        <v>3880</v>
      </c>
      <c r="B2343" s="12" t="s">
        <v>3881</v>
      </c>
      <c r="C2343" s="13">
        <v>25</v>
      </c>
      <c r="D2343" s="22" t="s">
        <v>390</v>
      </c>
      <c r="E2343" s="12" t="s">
        <v>3882</v>
      </c>
      <c r="F2343" s="22" t="s">
        <v>3911</v>
      </c>
      <c r="G2343" s="66" t="s">
        <v>13</v>
      </c>
      <c r="I2343" s="94">
        <v>14</v>
      </c>
    </row>
    <row r="2344" spans="1:9" hidden="1" x14ac:dyDescent="0.2">
      <c r="A2344" s="11" t="s">
        <v>3914</v>
      </c>
      <c r="B2344" s="12" t="s">
        <v>3915</v>
      </c>
      <c r="C2344" s="13">
        <v>20</v>
      </c>
      <c r="D2344" s="22" t="s">
        <v>390</v>
      </c>
      <c r="E2344" s="12" t="s">
        <v>3916</v>
      </c>
      <c r="F2344" s="22" t="s">
        <v>3936</v>
      </c>
      <c r="G2344" s="66" t="s">
        <v>13</v>
      </c>
      <c r="I2344" s="94">
        <v>14</v>
      </c>
    </row>
    <row r="2345" spans="1:9" hidden="1" x14ac:dyDescent="0.2">
      <c r="A2345" s="11" t="s">
        <v>3937</v>
      </c>
      <c r="B2345" s="12" t="s">
        <v>3938</v>
      </c>
      <c r="C2345" s="13">
        <v>12</v>
      </c>
      <c r="D2345" s="22" t="s">
        <v>390</v>
      </c>
      <c r="E2345" s="12" t="s">
        <v>3939</v>
      </c>
      <c r="F2345" s="22" t="s">
        <v>3955</v>
      </c>
      <c r="G2345" s="66" t="s">
        <v>13</v>
      </c>
      <c r="I2345" s="94">
        <v>14</v>
      </c>
    </row>
    <row r="2346" spans="1:9" hidden="1" x14ac:dyDescent="0.2">
      <c r="A2346" s="11" t="s">
        <v>3956</v>
      </c>
      <c r="B2346" s="12" t="s">
        <v>3957</v>
      </c>
      <c r="C2346" s="13">
        <v>21</v>
      </c>
      <c r="D2346" s="22" t="s">
        <v>390</v>
      </c>
      <c r="E2346" s="12" t="s">
        <v>3958</v>
      </c>
      <c r="F2346" s="22" t="s">
        <v>3992</v>
      </c>
      <c r="G2346" s="66" t="s">
        <v>13</v>
      </c>
      <c r="I2346" s="94">
        <v>14</v>
      </c>
    </row>
    <row r="2347" spans="1:9" hidden="1" x14ac:dyDescent="0.2">
      <c r="A2347" s="11" t="s">
        <v>3993</v>
      </c>
      <c r="B2347" s="12" t="s">
        <v>3994</v>
      </c>
      <c r="C2347" s="13">
        <v>10</v>
      </c>
      <c r="D2347" s="22" t="s">
        <v>390</v>
      </c>
      <c r="E2347" s="12" t="s">
        <v>3995</v>
      </c>
      <c r="F2347" s="22" t="s">
        <v>4012</v>
      </c>
      <c r="G2347" s="66" t="s">
        <v>13</v>
      </c>
      <c r="I2347" s="94">
        <v>14</v>
      </c>
    </row>
    <row r="2348" spans="1:9" hidden="1" x14ac:dyDescent="0.2">
      <c r="A2348" s="11" t="s">
        <v>4013</v>
      </c>
      <c r="B2348" s="12" t="s">
        <v>4014</v>
      </c>
      <c r="C2348" s="13">
        <v>21</v>
      </c>
      <c r="D2348" s="22" t="s">
        <v>390</v>
      </c>
      <c r="E2348" s="12" t="s">
        <v>4015</v>
      </c>
      <c r="F2348" s="22" t="s">
        <v>4048</v>
      </c>
      <c r="G2348" s="66" t="s">
        <v>13</v>
      </c>
      <c r="I2348" s="94">
        <v>14</v>
      </c>
    </row>
    <row r="2349" spans="1:9" hidden="1" x14ac:dyDescent="0.2">
      <c r="A2349" s="11" t="s">
        <v>4049</v>
      </c>
      <c r="B2349" s="12" t="s">
        <v>4050</v>
      </c>
      <c r="C2349" s="13">
        <v>22</v>
      </c>
      <c r="D2349" s="22" t="s">
        <v>390</v>
      </c>
      <c r="E2349" s="12" t="s">
        <v>4051</v>
      </c>
      <c r="F2349" s="22" t="s">
        <v>4086</v>
      </c>
      <c r="G2349" s="66" t="s">
        <v>13</v>
      </c>
      <c r="I2349" s="94">
        <v>14</v>
      </c>
    </row>
    <row r="2350" spans="1:9" hidden="1" x14ac:dyDescent="0.25">
      <c r="A2350" s="11" t="s">
        <v>4087</v>
      </c>
      <c r="B2350" s="12" t="s">
        <v>4088</v>
      </c>
      <c r="C2350" s="13">
        <f>C2349+1</f>
        <v>23</v>
      </c>
      <c r="D2350" s="22" t="s">
        <v>390</v>
      </c>
      <c r="E2350" s="12" t="s">
        <v>4089</v>
      </c>
      <c r="F2350" s="22" t="s">
        <v>4203</v>
      </c>
      <c r="G2350" s="15" t="s">
        <v>676</v>
      </c>
      <c r="I2350" s="94">
        <v>14</v>
      </c>
    </row>
    <row r="2351" spans="1:9" hidden="1" x14ac:dyDescent="0.25">
      <c r="A2351" s="11" t="s">
        <v>4212</v>
      </c>
      <c r="B2351" s="12" t="s">
        <v>4213</v>
      </c>
      <c r="C2351" s="13">
        <f>C2350+1</f>
        <v>24</v>
      </c>
      <c r="D2351" s="22" t="s">
        <v>390</v>
      </c>
      <c r="E2351" s="12" t="s">
        <v>4214</v>
      </c>
      <c r="F2351" s="22" t="s">
        <v>4311</v>
      </c>
      <c r="G2351" s="15" t="s">
        <v>13</v>
      </c>
      <c r="I2351" s="94">
        <v>14</v>
      </c>
    </row>
    <row r="2352" spans="1:9" hidden="1" x14ac:dyDescent="0.2">
      <c r="A2352" s="11" t="s">
        <v>4335</v>
      </c>
      <c r="B2352" s="12" t="s">
        <v>4336</v>
      </c>
      <c r="C2352" s="13">
        <v>9</v>
      </c>
      <c r="D2352" s="22" t="s">
        <v>390</v>
      </c>
      <c r="E2352" s="12" t="s">
        <v>4337</v>
      </c>
      <c r="F2352" s="22" t="s">
        <v>4346</v>
      </c>
      <c r="G2352" s="66" t="s">
        <v>13</v>
      </c>
      <c r="I2352" s="94">
        <v>14</v>
      </c>
    </row>
    <row r="2353" spans="1:27" hidden="1" x14ac:dyDescent="0.25">
      <c r="A2353" s="146" t="s">
        <v>4817</v>
      </c>
      <c r="B2353" s="12" t="s">
        <v>4818</v>
      </c>
      <c r="C2353" s="13">
        <v>4</v>
      </c>
      <c r="D2353" s="22" t="s">
        <v>390</v>
      </c>
      <c r="E2353" s="12" t="s">
        <v>4819</v>
      </c>
      <c r="F2353" s="38" t="s">
        <v>4823</v>
      </c>
      <c r="G2353" s="80" t="s">
        <v>13</v>
      </c>
    </row>
    <row r="2354" spans="1:27" ht="15" hidden="1" x14ac:dyDescent="0.25">
      <c r="A2354" s="11" t="s">
        <v>5523</v>
      </c>
      <c r="B2354" s="12" t="s">
        <v>5524</v>
      </c>
      <c r="C2354" s="13">
        <v>14</v>
      </c>
      <c r="D2354" s="14" t="s">
        <v>390</v>
      </c>
      <c r="E2354" s="12" t="s">
        <v>5526</v>
      </c>
      <c r="F2354" s="65" t="s">
        <v>5552</v>
      </c>
      <c r="G2354" s="15" t="s">
        <v>1323</v>
      </c>
      <c r="I2354" s="9">
        <v>15</v>
      </c>
      <c r="J2354" s="52"/>
    </row>
    <row r="2355" spans="1:27" hidden="1" x14ac:dyDescent="0.25">
      <c r="A2355" s="11" t="s">
        <v>5886</v>
      </c>
      <c r="B2355" s="12" t="s">
        <v>5887</v>
      </c>
      <c r="C2355" s="13">
        <v>7</v>
      </c>
      <c r="D2355" s="22" t="s">
        <v>390</v>
      </c>
      <c r="E2355" s="12" t="s">
        <v>5888</v>
      </c>
      <c r="F2355" s="22" t="s">
        <v>5896</v>
      </c>
      <c r="G2355" s="15" t="s">
        <v>13</v>
      </c>
      <c r="I2355" s="99">
        <v>13</v>
      </c>
    </row>
    <row r="2356" spans="1:27" hidden="1" x14ac:dyDescent="0.25">
      <c r="A2356" s="11" t="s">
        <v>6086</v>
      </c>
      <c r="B2356" s="12" t="s">
        <v>6087</v>
      </c>
      <c r="C2356" s="13">
        <v>13</v>
      </c>
      <c r="D2356" s="22" t="s">
        <v>390</v>
      </c>
      <c r="E2356" s="12" t="s">
        <v>6088</v>
      </c>
      <c r="F2356" s="22" t="s">
        <v>6110</v>
      </c>
      <c r="G2356" s="15" t="s">
        <v>483</v>
      </c>
      <c r="I2356" s="99">
        <v>13</v>
      </c>
    </row>
    <row r="2357" spans="1:27" hidden="1" x14ac:dyDescent="0.25">
      <c r="A2357" s="11" t="s">
        <v>6134</v>
      </c>
      <c r="B2357" s="12" t="s">
        <v>6135</v>
      </c>
      <c r="C2357" s="13">
        <v>13</v>
      </c>
      <c r="D2357" s="22" t="s">
        <v>390</v>
      </c>
      <c r="E2357" s="12" t="s">
        <v>6136</v>
      </c>
      <c r="F2357" s="22" t="s">
        <v>6151</v>
      </c>
      <c r="G2357" s="15" t="s">
        <v>483</v>
      </c>
      <c r="I2357" s="99">
        <v>13</v>
      </c>
    </row>
    <row r="2358" spans="1:27" ht="24" hidden="1" x14ac:dyDescent="0.25">
      <c r="A2358" s="21" t="s">
        <v>6463</v>
      </c>
      <c r="B2358" s="22" t="s">
        <v>6464</v>
      </c>
      <c r="C2358" s="23">
        <v>13</v>
      </c>
      <c r="D2358" s="22" t="s">
        <v>390</v>
      </c>
      <c r="E2358" s="22" t="s">
        <v>6465</v>
      </c>
      <c r="F2358" s="22" t="s">
        <v>6478</v>
      </c>
      <c r="G2358" s="26" t="s">
        <v>483</v>
      </c>
      <c r="H2358" s="38"/>
      <c r="I2358" s="9">
        <v>15</v>
      </c>
      <c r="J2358" s="38"/>
      <c r="K2358" s="38"/>
      <c r="L2358" s="38"/>
      <c r="M2358" s="38"/>
      <c r="N2358" s="38"/>
      <c r="O2358" s="38"/>
      <c r="P2358" s="38"/>
      <c r="Q2358" s="38"/>
      <c r="R2358" s="38"/>
      <c r="S2358" s="38"/>
      <c r="T2358" s="38"/>
      <c r="U2358" s="38"/>
      <c r="V2358" s="38"/>
      <c r="W2358" s="38"/>
      <c r="X2358" s="38"/>
      <c r="Y2358" s="38"/>
      <c r="Z2358" s="38"/>
      <c r="AA2358" s="38"/>
    </row>
    <row r="2359" spans="1:27" hidden="1" x14ac:dyDescent="0.25">
      <c r="A2359" s="11" t="s">
        <v>6491</v>
      </c>
      <c r="B2359" s="12" t="s">
        <v>6492</v>
      </c>
      <c r="C2359" s="13">
        <v>13</v>
      </c>
      <c r="D2359" s="22" t="s">
        <v>390</v>
      </c>
      <c r="E2359" s="12" t="s">
        <v>6493</v>
      </c>
      <c r="F2359" s="22" t="s">
        <v>6506</v>
      </c>
      <c r="G2359" s="15" t="s">
        <v>483</v>
      </c>
      <c r="I2359" s="9">
        <v>15</v>
      </c>
    </row>
    <row r="2360" spans="1:27" ht="24" hidden="1" x14ac:dyDescent="0.25">
      <c r="A2360" s="21" t="s">
        <v>6531</v>
      </c>
      <c r="B2360" s="22" t="s">
        <v>6532</v>
      </c>
      <c r="C2360" s="23">
        <v>4</v>
      </c>
      <c r="D2360" s="22" t="s">
        <v>390</v>
      </c>
      <c r="E2360" s="22" t="s">
        <v>6533</v>
      </c>
      <c r="F2360" s="22" t="s">
        <v>6537</v>
      </c>
      <c r="G2360" s="26" t="s">
        <v>13</v>
      </c>
      <c r="I2360" s="9">
        <v>15</v>
      </c>
    </row>
    <row r="2361" spans="1:27" hidden="1" x14ac:dyDescent="0.2">
      <c r="A2361" s="11" t="s">
        <v>7002</v>
      </c>
      <c r="B2361" s="12" t="s">
        <v>7003</v>
      </c>
      <c r="C2361" s="13">
        <v>4</v>
      </c>
      <c r="D2361" s="75" t="s">
        <v>390</v>
      </c>
      <c r="E2361" s="12" t="s">
        <v>7004</v>
      </c>
      <c r="F2361" s="22" t="s">
        <v>7008</v>
      </c>
      <c r="G2361" s="15" t="s">
        <v>13</v>
      </c>
    </row>
    <row r="2362" spans="1:27" hidden="1" x14ac:dyDescent="0.2">
      <c r="A2362" s="11" t="s">
        <v>2608</v>
      </c>
      <c r="B2362" s="12" t="s">
        <v>2609</v>
      </c>
      <c r="C2362" s="13">
        <v>7</v>
      </c>
      <c r="D2362" s="14" t="s">
        <v>2617</v>
      </c>
      <c r="E2362" s="12" t="s">
        <v>2610</v>
      </c>
      <c r="F2362" s="65" t="s">
        <v>2618</v>
      </c>
      <c r="G2362" s="66" t="s">
        <v>13</v>
      </c>
    </row>
    <row r="2363" spans="1:27" hidden="1" x14ac:dyDescent="0.25">
      <c r="A2363" s="11" t="s">
        <v>6163</v>
      </c>
      <c r="B2363" s="12" t="s">
        <v>6164</v>
      </c>
      <c r="C2363" s="13">
        <v>10</v>
      </c>
      <c r="D2363" s="12" t="s">
        <v>2617</v>
      </c>
      <c r="E2363" s="12" t="s">
        <v>6165</v>
      </c>
      <c r="F2363" s="12" t="s">
        <v>6175</v>
      </c>
      <c r="G2363" s="15" t="s">
        <v>13</v>
      </c>
    </row>
    <row r="2364" spans="1:27" hidden="1" x14ac:dyDescent="0.25">
      <c r="A2364" s="11" t="s">
        <v>6518</v>
      </c>
      <c r="B2364" s="12" t="s">
        <v>6519</v>
      </c>
      <c r="C2364" s="13">
        <v>10</v>
      </c>
      <c r="D2364" s="12" t="s">
        <v>2617</v>
      </c>
      <c r="E2364" s="12" t="s">
        <v>6520</v>
      </c>
      <c r="F2364" s="12" t="s">
        <v>6530</v>
      </c>
      <c r="G2364" s="15" t="s">
        <v>13</v>
      </c>
      <c r="I2364" s="9">
        <v>15</v>
      </c>
    </row>
    <row r="2365" spans="1:27" hidden="1" x14ac:dyDescent="0.2">
      <c r="A2365" s="11" t="s">
        <v>3937</v>
      </c>
      <c r="B2365" s="12" t="s">
        <v>3938</v>
      </c>
      <c r="C2365" s="13">
        <v>11</v>
      </c>
      <c r="D2365" s="12" t="s">
        <v>3953</v>
      </c>
      <c r="E2365" s="12" t="s">
        <v>3939</v>
      </c>
      <c r="F2365" s="12" t="s">
        <v>3954</v>
      </c>
      <c r="G2365" s="66" t="s">
        <v>13</v>
      </c>
    </row>
    <row r="2366" spans="1:27" hidden="1" x14ac:dyDescent="0.25">
      <c r="A2366" s="11" t="s">
        <v>6000</v>
      </c>
      <c r="B2366" s="12" t="s">
        <v>6001</v>
      </c>
      <c r="C2366" s="13">
        <v>4</v>
      </c>
      <c r="D2366" s="12" t="s">
        <v>6006</v>
      </c>
      <c r="E2366" s="12" t="s">
        <v>6002</v>
      </c>
      <c r="F2366" s="12" t="s">
        <v>6007</v>
      </c>
      <c r="G2366" s="15" t="s">
        <v>16</v>
      </c>
    </row>
    <row r="2367" spans="1:27" hidden="1" x14ac:dyDescent="0.2">
      <c r="A2367" s="11" t="s">
        <v>362</v>
      </c>
      <c r="B2367" s="12" t="s">
        <v>363</v>
      </c>
      <c r="C2367" s="13">
        <v>8</v>
      </c>
      <c r="D2367" s="14" t="s">
        <v>376</v>
      </c>
      <c r="E2367" s="12" t="s">
        <v>364</v>
      </c>
      <c r="F2367" s="12" t="s">
        <v>377</v>
      </c>
      <c r="G2367" s="15" t="s">
        <v>16</v>
      </c>
    </row>
    <row r="2368" spans="1:27" hidden="1" x14ac:dyDescent="0.2">
      <c r="A2368" s="11" t="s">
        <v>2024</v>
      </c>
      <c r="B2368" s="12" t="s">
        <v>2025</v>
      </c>
      <c r="C2368" s="13">
        <v>22</v>
      </c>
      <c r="D2368" s="14" t="s">
        <v>419</v>
      </c>
      <c r="E2368" s="12" t="s">
        <v>2026</v>
      </c>
      <c r="F2368" s="12" t="s">
        <v>2061</v>
      </c>
      <c r="G2368" s="15" t="s">
        <v>78</v>
      </c>
    </row>
    <row r="2369" spans="1:10" hidden="1" x14ac:dyDescent="0.2">
      <c r="A2369" s="146" t="s">
        <v>5060</v>
      </c>
      <c r="B2369" s="12" t="s">
        <v>5061</v>
      </c>
      <c r="C2369" s="13">
        <v>13</v>
      </c>
      <c r="D2369" s="14" t="s">
        <v>5081</v>
      </c>
      <c r="E2369" s="12" t="s">
        <v>5062</v>
      </c>
      <c r="F2369" s="12" t="s">
        <v>5082</v>
      </c>
      <c r="G2369" s="80" t="s">
        <v>16</v>
      </c>
    </row>
    <row r="2370" spans="1:10" hidden="1" x14ac:dyDescent="0.2">
      <c r="A2370" s="146" t="s">
        <v>5060</v>
      </c>
      <c r="B2370" s="12" t="s">
        <v>5061</v>
      </c>
      <c r="C2370" s="13">
        <v>12</v>
      </c>
      <c r="D2370" s="14" t="s">
        <v>5079</v>
      </c>
      <c r="E2370" s="12" t="s">
        <v>5062</v>
      </c>
      <c r="F2370" s="12" t="s">
        <v>5080</v>
      </c>
      <c r="G2370" s="80" t="s">
        <v>16</v>
      </c>
    </row>
    <row r="2371" spans="1:10" hidden="1" x14ac:dyDescent="0.25">
      <c r="A2371" s="109" t="s">
        <v>729</v>
      </c>
      <c r="B2371" s="12" t="s">
        <v>730</v>
      </c>
      <c r="C2371" s="13">
        <v>8</v>
      </c>
      <c r="D2371" s="22" t="s">
        <v>742</v>
      </c>
      <c r="E2371" s="12" t="s">
        <v>731</v>
      </c>
      <c r="F2371" s="22" t="s">
        <v>743</v>
      </c>
      <c r="G2371" s="15" t="s">
        <v>16</v>
      </c>
      <c r="I2371" s="102" t="s">
        <v>59</v>
      </c>
    </row>
    <row r="2372" spans="1:10" ht="15" hidden="1" x14ac:dyDescent="0.25">
      <c r="A2372" s="11" t="s">
        <v>2215</v>
      </c>
      <c r="B2372" s="8" t="s">
        <v>2216</v>
      </c>
      <c r="C2372" s="13">
        <v>8</v>
      </c>
      <c r="D2372" s="12" t="s">
        <v>2231</v>
      </c>
      <c r="E2372" s="12" t="s">
        <v>2217</v>
      </c>
      <c r="F2372" s="12" t="s">
        <v>2232</v>
      </c>
      <c r="G2372" s="15" t="s">
        <v>16</v>
      </c>
      <c r="I2372" s="54">
        <v>15</v>
      </c>
      <c r="J2372" s="60"/>
    </row>
    <row r="2373" spans="1:10" hidden="1" x14ac:dyDescent="0.2">
      <c r="A2373" s="11" t="s">
        <v>6801</v>
      </c>
      <c r="B2373" s="12" t="s">
        <v>6802</v>
      </c>
      <c r="C2373" s="13">
        <v>5</v>
      </c>
      <c r="D2373" s="14" t="s">
        <v>2231</v>
      </c>
      <c r="E2373" s="12" t="s">
        <v>6803</v>
      </c>
      <c r="F2373" s="12" t="s">
        <v>6809</v>
      </c>
      <c r="G2373" s="15" t="s">
        <v>16</v>
      </c>
    </row>
    <row r="2374" spans="1:10" hidden="1" x14ac:dyDescent="0.2">
      <c r="A2374" s="11" t="s">
        <v>5509</v>
      </c>
      <c r="B2374" s="12" t="s">
        <v>5510</v>
      </c>
      <c r="C2374" s="13">
        <v>2</v>
      </c>
      <c r="D2374" s="166" t="s">
        <v>5514</v>
      </c>
      <c r="E2374" s="12" t="s">
        <v>5512</v>
      </c>
      <c r="F2374" s="75" t="s">
        <v>5515</v>
      </c>
      <c r="G2374" s="15" t="s">
        <v>16</v>
      </c>
      <c r="I2374" s="90">
        <v>12</v>
      </c>
    </row>
    <row r="2375" spans="1:10" hidden="1" x14ac:dyDescent="0.25">
      <c r="A2375" s="11" t="s">
        <v>1556</v>
      </c>
      <c r="B2375" s="12" t="s">
        <v>1557</v>
      </c>
      <c r="C2375" s="13">
        <v>4</v>
      </c>
      <c r="D2375" s="22" t="s">
        <v>1562</v>
      </c>
      <c r="E2375" s="12" t="s">
        <v>1558</v>
      </c>
      <c r="F2375" s="22" t="s">
        <v>1563</v>
      </c>
      <c r="G2375" s="15" t="s">
        <v>16</v>
      </c>
      <c r="I2375" s="90">
        <v>12</v>
      </c>
    </row>
    <row r="2376" spans="1:10" hidden="1" x14ac:dyDescent="0.25">
      <c r="A2376" s="11" t="s">
        <v>1556</v>
      </c>
      <c r="B2376" s="12" t="s">
        <v>1557</v>
      </c>
      <c r="C2376" s="13">
        <v>5</v>
      </c>
      <c r="D2376" s="12" t="s">
        <v>1564</v>
      </c>
      <c r="E2376" s="12" t="s">
        <v>1558</v>
      </c>
      <c r="F2376" s="12" t="s">
        <v>1565</v>
      </c>
      <c r="G2376" s="15" t="s">
        <v>16</v>
      </c>
      <c r="I2376" s="90">
        <v>12</v>
      </c>
    </row>
    <row r="2377" spans="1:10" hidden="1" x14ac:dyDescent="0.25">
      <c r="A2377" s="11" t="s">
        <v>5379</v>
      </c>
      <c r="B2377" s="12" t="s">
        <v>5380</v>
      </c>
      <c r="C2377" s="13">
        <v>6</v>
      </c>
      <c r="D2377" s="12" t="s">
        <v>5393</v>
      </c>
      <c r="E2377" s="12" t="s">
        <v>5382</v>
      </c>
      <c r="F2377" s="12" t="s">
        <v>5394</v>
      </c>
      <c r="G2377" s="15" t="s">
        <v>16</v>
      </c>
    </row>
    <row r="2378" spans="1:10" hidden="1" x14ac:dyDescent="0.2">
      <c r="A2378" s="11" t="s">
        <v>5469</v>
      </c>
      <c r="B2378" s="12" t="s">
        <v>5470</v>
      </c>
      <c r="C2378" s="13">
        <v>7</v>
      </c>
      <c r="D2378" s="167" t="s">
        <v>5393</v>
      </c>
      <c r="E2378" s="12" t="s">
        <v>5471</v>
      </c>
      <c r="F2378" s="65" t="s">
        <v>5481</v>
      </c>
      <c r="G2378" s="15" t="s">
        <v>16</v>
      </c>
    </row>
    <row r="2379" spans="1:10" hidden="1" x14ac:dyDescent="0.2">
      <c r="A2379" s="11" t="s">
        <v>3108</v>
      </c>
      <c r="B2379" s="12" t="s">
        <v>3109</v>
      </c>
      <c r="C2379" s="13">
        <f>+C2378+1</f>
        <v>8</v>
      </c>
      <c r="D2379" s="14" t="s">
        <v>3114</v>
      </c>
      <c r="E2379" s="12" t="s">
        <v>3110</v>
      </c>
      <c r="F2379" s="65" t="s">
        <v>3115</v>
      </c>
      <c r="G2379" s="66" t="s">
        <v>16</v>
      </c>
    </row>
    <row r="2380" spans="1:10" hidden="1" x14ac:dyDescent="0.2">
      <c r="A2380" s="11" t="s">
        <v>3120</v>
      </c>
      <c r="B2380" s="12" t="s">
        <v>3121</v>
      </c>
      <c r="C2380" s="13">
        <f>+C2379+1</f>
        <v>9</v>
      </c>
      <c r="D2380" s="14" t="s">
        <v>3114</v>
      </c>
      <c r="E2380" s="12" t="s">
        <v>3122</v>
      </c>
      <c r="F2380" s="65" t="s">
        <v>3126</v>
      </c>
      <c r="G2380" s="66" t="s">
        <v>16</v>
      </c>
    </row>
    <row r="2381" spans="1:10" hidden="1" x14ac:dyDescent="0.25">
      <c r="A2381" s="11" t="s">
        <v>6425</v>
      </c>
      <c r="B2381" s="12" t="s">
        <v>6426</v>
      </c>
      <c r="C2381" s="13">
        <v>4</v>
      </c>
      <c r="D2381" s="12" t="s">
        <v>6431</v>
      </c>
      <c r="E2381" s="12" t="s">
        <v>6427</v>
      </c>
      <c r="F2381" s="12" t="s">
        <v>6432</v>
      </c>
      <c r="G2381" s="15" t="s">
        <v>282</v>
      </c>
      <c r="I2381" s="101" t="s">
        <v>5818</v>
      </c>
    </row>
    <row r="2382" spans="1:10" hidden="1" x14ac:dyDescent="0.25">
      <c r="A2382" s="11" t="s">
        <v>6434</v>
      </c>
      <c r="B2382" s="12" t="s">
        <v>6435</v>
      </c>
      <c r="C2382" s="13">
        <v>4</v>
      </c>
      <c r="D2382" s="12" t="s">
        <v>6431</v>
      </c>
      <c r="E2382" s="12" t="s">
        <v>6436</v>
      </c>
      <c r="F2382" s="12" t="s">
        <v>6440</v>
      </c>
      <c r="G2382" s="15" t="s">
        <v>282</v>
      </c>
      <c r="I2382" s="101" t="s">
        <v>5818</v>
      </c>
    </row>
    <row r="2383" spans="1:10" hidden="1" x14ac:dyDescent="0.25">
      <c r="A2383" s="11" t="s">
        <v>7913</v>
      </c>
      <c r="B2383" s="12" t="s">
        <v>4003</v>
      </c>
      <c r="C2383" s="13">
        <v>5</v>
      </c>
      <c r="D2383" s="12" t="s">
        <v>7920</v>
      </c>
      <c r="E2383" s="12" t="s">
        <v>7915</v>
      </c>
      <c r="F2383" s="12" t="s">
        <v>7921</v>
      </c>
      <c r="G2383" s="15" t="s">
        <v>16</v>
      </c>
    </row>
    <row r="2384" spans="1:10" hidden="1" x14ac:dyDescent="0.25">
      <c r="A2384" s="46" t="s">
        <v>7922</v>
      </c>
      <c r="B2384" s="12" t="s">
        <v>3445</v>
      </c>
      <c r="C2384" s="13">
        <v>5</v>
      </c>
      <c r="D2384" s="12" t="s">
        <v>7920</v>
      </c>
      <c r="E2384" s="12" t="s">
        <v>7923</v>
      </c>
      <c r="F2384" s="12" t="s">
        <v>7928</v>
      </c>
      <c r="G2384" s="15" t="s">
        <v>16</v>
      </c>
    </row>
    <row r="2385" spans="1:9" hidden="1" x14ac:dyDescent="0.25">
      <c r="A2385" s="11" t="s">
        <v>7929</v>
      </c>
      <c r="B2385" s="12" t="s">
        <v>4001</v>
      </c>
      <c r="C2385" s="13">
        <v>5</v>
      </c>
      <c r="D2385" s="12" t="s">
        <v>7920</v>
      </c>
      <c r="E2385" s="12" t="s">
        <v>7930</v>
      </c>
      <c r="F2385" s="12" t="s">
        <v>7935</v>
      </c>
      <c r="G2385" s="15" t="s">
        <v>16</v>
      </c>
    </row>
    <row r="2386" spans="1:9" hidden="1" x14ac:dyDescent="0.25">
      <c r="A2386" s="11" t="s">
        <v>7936</v>
      </c>
      <c r="B2386" s="12" t="s">
        <v>5488</v>
      </c>
      <c r="C2386" s="13">
        <v>5</v>
      </c>
      <c r="D2386" s="12" t="s">
        <v>7920</v>
      </c>
      <c r="E2386" s="12" t="s">
        <v>7937</v>
      </c>
      <c r="F2386" s="12" t="s">
        <v>7942</v>
      </c>
      <c r="G2386" s="15" t="s">
        <v>16</v>
      </c>
    </row>
    <row r="2387" spans="1:9" hidden="1" x14ac:dyDescent="0.25">
      <c r="A2387" s="11" t="s">
        <v>7943</v>
      </c>
      <c r="B2387" s="12" t="s">
        <v>7944</v>
      </c>
      <c r="C2387" s="13">
        <v>5</v>
      </c>
      <c r="D2387" s="12" t="s">
        <v>7920</v>
      </c>
      <c r="E2387" s="12" t="s">
        <v>7945</v>
      </c>
      <c r="F2387" s="12" t="s">
        <v>7950</v>
      </c>
      <c r="G2387" s="15" t="s">
        <v>16</v>
      </c>
    </row>
    <row r="2388" spans="1:9" hidden="1" x14ac:dyDescent="0.25">
      <c r="A2388" s="11" t="s">
        <v>7951</v>
      </c>
      <c r="B2388" s="12" t="s">
        <v>7952</v>
      </c>
      <c r="C2388" s="13">
        <v>5</v>
      </c>
      <c r="D2388" s="12" t="s">
        <v>7920</v>
      </c>
      <c r="E2388" s="12" t="s">
        <v>7953</v>
      </c>
      <c r="F2388" s="12" t="s">
        <v>7958</v>
      </c>
      <c r="G2388" s="15" t="s">
        <v>16</v>
      </c>
    </row>
    <row r="2389" spans="1:9" hidden="1" x14ac:dyDescent="0.25">
      <c r="A2389" s="11" t="s">
        <v>7959</v>
      </c>
      <c r="B2389" s="12" t="s">
        <v>7960</v>
      </c>
      <c r="C2389" s="13">
        <v>5</v>
      </c>
      <c r="D2389" s="12" t="s">
        <v>7920</v>
      </c>
      <c r="E2389" s="12" t="s">
        <v>7961</v>
      </c>
      <c r="F2389" s="12" t="s">
        <v>7966</v>
      </c>
      <c r="G2389" s="15" t="s">
        <v>16</v>
      </c>
    </row>
    <row r="2390" spans="1:9" hidden="1" x14ac:dyDescent="0.25">
      <c r="A2390" s="11" t="s">
        <v>7967</v>
      </c>
      <c r="B2390" s="12" t="s">
        <v>3405</v>
      </c>
      <c r="C2390" s="13">
        <v>5</v>
      </c>
      <c r="D2390" s="12" t="s">
        <v>7920</v>
      </c>
      <c r="E2390" s="12" t="s">
        <v>7968</v>
      </c>
      <c r="F2390" s="12" t="s">
        <v>7973</v>
      </c>
      <c r="G2390" s="15" t="s">
        <v>16</v>
      </c>
    </row>
    <row r="2391" spans="1:9" hidden="1" x14ac:dyDescent="0.25">
      <c r="A2391" s="11" t="s">
        <v>7974</v>
      </c>
      <c r="B2391" s="12" t="s">
        <v>7975</v>
      </c>
      <c r="C2391" s="13">
        <v>5</v>
      </c>
      <c r="D2391" s="12" t="s">
        <v>7920</v>
      </c>
      <c r="E2391" s="12" t="s">
        <v>7976</v>
      </c>
      <c r="F2391" s="12" t="s">
        <v>7981</v>
      </c>
      <c r="G2391" s="15" t="s">
        <v>16</v>
      </c>
    </row>
    <row r="2392" spans="1:9" hidden="1" x14ac:dyDescent="0.25">
      <c r="A2392" s="11" t="s">
        <v>7982</v>
      </c>
      <c r="B2392" s="12" t="s">
        <v>3416</v>
      </c>
      <c r="C2392" s="13">
        <v>5</v>
      </c>
      <c r="D2392" s="12" t="s">
        <v>7920</v>
      </c>
      <c r="E2392" s="12" t="s">
        <v>7983</v>
      </c>
      <c r="F2392" s="12" t="s">
        <v>7988</v>
      </c>
      <c r="G2392" s="15" t="s">
        <v>16</v>
      </c>
    </row>
    <row r="2393" spans="1:9" hidden="1" x14ac:dyDescent="0.25">
      <c r="A2393" s="11" t="s">
        <v>7989</v>
      </c>
      <c r="B2393" s="12" t="s">
        <v>1377</v>
      </c>
      <c r="C2393" s="13">
        <v>5</v>
      </c>
      <c r="D2393" s="12" t="s">
        <v>7920</v>
      </c>
      <c r="E2393" s="12" t="s">
        <v>7990</v>
      </c>
      <c r="F2393" s="12" t="s">
        <v>7995</v>
      </c>
      <c r="G2393" s="15" t="s">
        <v>16</v>
      </c>
    </row>
    <row r="2394" spans="1:9" hidden="1" x14ac:dyDescent="0.25">
      <c r="A2394" s="11" t="s">
        <v>7996</v>
      </c>
      <c r="B2394" s="12" t="s">
        <v>5993</v>
      </c>
      <c r="C2394" s="13">
        <v>5</v>
      </c>
      <c r="D2394" s="12" t="s">
        <v>7920</v>
      </c>
      <c r="E2394" s="12" t="s">
        <v>7997</v>
      </c>
      <c r="F2394" s="12" t="s">
        <v>8002</v>
      </c>
      <c r="G2394" s="15" t="s">
        <v>16</v>
      </c>
    </row>
    <row r="2395" spans="1:9" hidden="1" x14ac:dyDescent="0.25">
      <c r="A2395" s="11" t="s">
        <v>8003</v>
      </c>
      <c r="B2395" s="12" t="s">
        <v>8004</v>
      </c>
      <c r="C2395" s="13">
        <v>5</v>
      </c>
      <c r="D2395" s="12" t="s">
        <v>7920</v>
      </c>
      <c r="E2395" s="12" t="s">
        <v>8005</v>
      </c>
      <c r="F2395" s="12" t="s">
        <v>8010</v>
      </c>
      <c r="G2395" s="15" t="s">
        <v>16</v>
      </c>
    </row>
    <row r="2396" spans="1:9" hidden="1" x14ac:dyDescent="0.25">
      <c r="A2396" s="11" t="s">
        <v>8011</v>
      </c>
      <c r="B2396" s="12" t="s">
        <v>8012</v>
      </c>
      <c r="C2396" s="13">
        <v>5</v>
      </c>
      <c r="D2396" s="12" t="s">
        <v>7920</v>
      </c>
      <c r="E2396" s="12" t="s">
        <v>8013</v>
      </c>
      <c r="F2396" s="12" t="s">
        <v>8018</v>
      </c>
      <c r="G2396" s="15" t="s">
        <v>16</v>
      </c>
    </row>
    <row r="2397" spans="1:9" hidden="1" x14ac:dyDescent="0.25">
      <c r="A2397" s="11" t="s">
        <v>8019</v>
      </c>
      <c r="B2397" s="12" t="s">
        <v>4025</v>
      </c>
      <c r="C2397" s="13">
        <v>5</v>
      </c>
      <c r="D2397" s="12" t="s">
        <v>7920</v>
      </c>
      <c r="E2397" s="12" t="s">
        <v>8020</v>
      </c>
      <c r="F2397" s="12" t="s">
        <v>8025</v>
      </c>
      <c r="G2397" s="15" t="s">
        <v>16</v>
      </c>
      <c r="I2397" s="90" t="s">
        <v>2426</v>
      </c>
    </row>
    <row r="2398" spans="1:9" hidden="1" x14ac:dyDescent="0.25">
      <c r="A2398" s="11" t="s">
        <v>8026</v>
      </c>
      <c r="B2398" s="12" t="s">
        <v>8027</v>
      </c>
      <c r="C2398" s="13">
        <v>5</v>
      </c>
      <c r="D2398" s="12" t="s">
        <v>7920</v>
      </c>
      <c r="E2398" s="12" t="s">
        <v>8028</v>
      </c>
      <c r="F2398" s="12" t="s">
        <v>8033</v>
      </c>
      <c r="G2398" s="15" t="s">
        <v>16</v>
      </c>
      <c r="I2398" s="90" t="s">
        <v>2426</v>
      </c>
    </row>
    <row r="2399" spans="1:9" hidden="1" x14ac:dyDescent="0.25">
      <c r="A2399" s="11" t="s">
        <v>8034</v>
      </c>
      <c r="B2399" s="12" t="s">
        <v>8035</v>
      </c>
      <c r="C2399" s="13">
        <v>5</v>
      </c>
      <c r="D2399" s="12" t="s">
        <v>7920</v>
      </c>
      <c r="E2399" s="12" t="s">
        <v>8036</v>
      </c>
      <c r="F2399" s="12" t="s">
        <v>8041</v>
      </c>
      <c r="G2399" s="15" t="s">
        <v>16</v>
      </c>
      <c r="I2399" s="90" t="s">
        <v>2426</v>
      </c>
    </row>
    <row r="2400" spans="1:9" hidden="1" x14ac:dyDescent="0.25">
      <c r="A2400" s="11" t="s">
        <v>8042</v>
      </c>
      <c r="B2400" s="12" t="s">
        <v>8043</v>
      </c>
      <c r="C2400" s="13">
        <v>5</v>
      </c>
      <c r="D2400" s="12" t="s">
        <v>7920</v>
      </c>
      <c r="E2400" s="12" t="s">
        <v>8044</v>
      </c>
      <c r="F2400" s="12" t="s">
        <v>8049</v>
      </c>
      <c r="G2400" s="15" t="s">
        <v>16</v>
      </c>
      <c r="I2400" s="90" t="s">
        <v>2426</v>
      </c>
    </row>
    <row r="2401" spans="1:9" hidden="1" x14ac:dyDescent="0.25">
      <c r="A2401" s="11" t="s">
        <v>8050</v>
      </c>
      <c r="B2401" s="12" t="s">
        <v>8051</v>
      </c>
      <c r="C2401" s="13">
        <v>5</v>
      </c>
      <c r="D2401" s="12" t="s">
        <v>7920</v>
      </c>
      <c r="E2401" s="12" t="s">
        <v>8052</v>
      </c>
      <c r="F2401" s="12" t="s">
        <v>8057</v>
      </c>
      <c r="G2401" s="15" t="s">
        <v>16</v>
      </c>
      <c r="I2401" s="90" t="s">
        <v>2426</v>
      </c>
    </row>
    <row r="2402" spans="1:9" hidden="1" x14ac:dyDescent="0.25">
      <c r="A2402" s="11" t="s">
        <v>8058</v>
      </c>
      <c r="B2402" s="12" t="s">
        <v>8059</v>
      </c>
      <c r="C2402" s="13">
        <v>5</v>
      </c>
      <c r="D2402" s="12" t="s">
        <v>7920</v>
      </c>
      <c r="E2402" s="12" t="s">
        <v>8060</v>
      </c>
      <c r="F2402" s="12" t="s">
        <v>8065</v>
      </c>
      <c r="G2402" s="15" t="s">
        <v>16</v>
      </c>
      <c r="I2402" s="90" t="s">
        <v>2426</v>
      </c>
    </row>
    <row r="2403" spans="1:9" hidden="1" x14ac:dyDescent="0.25">
      <c r="A2403" s="11" t="s">
        <v>8066</v>
      </c>
      <c r="B2403" s="12" t="s">
        <v>8067</v>
      </c>
      <c r="C2403" s="13">
        <v>5</v>
      </c>
      <c r="D2403" s="12" t="s">
        <v>7920</v>
      </c>
      <c r="E2403" s="12" t="s">
        <v>8068</v>
      </c>
      <c r="F2403" s="12" t="s">
        <v>8073</v>
      </c>
      <c r="G2403" s="15" t="s">
        <v>16</v>
      </c>
      <c r="I2403" s="90" t="s">
        <v>2426</v>
      </c>
    </row>
    <row r="2404" spans="1:9" hidden="1" x14ac:dyDescent="0.25">
      <c r="A2404" s="11" t="s">
        <v>8074</v>
      </c>
      <c r="B2404" s="12" t="s">
        <v>8075</v>
      </c>
      <c r="C2404" s="13">
        <v>5</v>
      </c>
      <c r="D2404" s="12" t="s">
        <v>7920</v>
      </c>
      <c r="E2404" s="12" t="s">
        <v>8076</v>
      </c>
      <c r="F2404" s="12" t="s">
        <v>8081</v>
      </c>
      <c r="G2404" s="15" t="s">
        <v>16</v>
      </c>
      <c r="I2404" s="90" t="s">
        <v>2426</v>
      </c>
    </row>
    <row r="2405" spans="1:9" hidden="1" x14ac:dyDescent="0.25">
      <c r="A2405" s="11" t="s">
        <v>8082</v>
      </c>
      <c r="B2405" s="12" t="s">
        <v>4382</v>
      </c>
      <c r="C2405" s="13">
        <v>5</v>
      </c>
      <c r="D2405" s="12" t="s">
        <v>7920</v>
      </c>
      <c r="E2405" s="12" t="s">
        <v>8083</v>
      </c>
      <c r="F2405" s="12" t="s">
        <v>8088</v>
      </c>
      <c r="G2405" s="15" t="s">
        <v>16</v>
      </c>
      <c r="I2405" s="90" t="s">
        <v>2426</v>
      </c>
    </row>
    <row r="2406" spans="1:9" hidden="1" x14ac:dyDescent="0.25">
      <c r="A2406" s="11" t="s">
        <v>8089</v>
      </c>
      <c r="B2406" s="12" t="s">
        <v>8090</v>
      </c>
      <c r="C2406" s="13">
        <v>5</v>
      </c>
      <c r="D2406" s="12" t="s">
        <v>7920</v>
      </c>
      <c r="E2406" s="12" t="s">
        <v>8091</v>
      </c>
      <c r="F2406" s="12" t="s">
        <v>8096</v>
      </c>
      <c r="G2406" s="15" t="s">
        <v>16</v>
      </c>
      <c r="I2406" s="90" t="s">
        <v>5668</v>
      </c>
    </row>
    <row r="2407" spans="1:9" hidden="1" x14ac:dyDescent="0.25">
      <c r="A2407" s="11" t="s">
        <v>8097</v>
      </c>
      <c r="B2407" s="12" t="s">
        <v>8098</v>
      </c>
      <c r="C2407" s="13">
        <v>5</v>
      </c>
      <c r="D2407" s="12" t="s">
        <v>7920</v>
      </c>
      <c r="E2407" s="12" t="s">
        <v>8099</v>
      </c>
      <c r="F2407" s="12" t="s">
        <v>8104</v>
      </c>
      <c r="G2407" s="15" t="s">
        <v>16</v>
      </c>
      <c r="I2407" s="90">
        <v>12</v>
      </c>
    </row>
    <row r="2408" spans="1:9" hidden="1" x14ac:dyDescent="0.25">
      <c r="A2408" s="11" t="s">
        <v>8105</v>
      </c>
      <c r="B2408" s="12" t="s">
        <v>79</v>
      </c>
      <c r="C2408" s="13">
        <v>5</v>
      </c>
      <c r="D2408" s="12" t="s">
        <v>7920</v>
      </c>
      <c r="E2408" s="12" t="s">
        <v>8106</v>
      </c>
      <c r="F2408" s="12" t="s">
        <v>8111</v>
      </c>
      <c r="G2408" s="15" t="s">
        <v>16</v>
      </c>
      <c r="I2408" s="90">
        <v>12</v>
      </c>
    </row>
    <row r="2409" spans="1:9" hidden="1" x14ac:dyDescent="0.25">
      <c r="A2409" s="11" t="s">
        <v>8112</v>
      </c>
      <c r="B2409" s="12" t="s">
        <v>52</v>
      </c>
      <c r="C2409" s="13">
        <v>5</v>
      </c>
      <c r="D2409" s="12" t="s">
        <v>7920</v>
      </c>
      <c r="E2409" s="12" t="s">
        <v>8113</v>
      </c>
      <c r="F2409" s="12" t="s">
        <v>8118</v>
      </c>
      <c r="G2409" s="15" t="s">
        <v>16</v>
      </c>
      <c r="I2409" s="90">
        <v>12</v>
      </c>
    </row>
    <row r="2410" spans="1:9" hidden="1" x14ac:dyDescent="0.25">
      <c r="A2410" s="11" t="s">
        <v>8119</v>
      </c>
      <c r="B2410" s="12" t="s">
        <v>8120</v>
      </c>
      <c r="C2410" s="13">
        <v>5</v>
      </c>
      <c r="D2410" s="12" t="s">
        <v>7920</v>
      </c>
      <c r="E2410" s="12" t="s">
        <v>8121</v>
      </c>
      <c r="F2410" s="12" t="s">
        <v>8126</v>
      </c>
      <c r="G2410" s="15" t="s">
        <v>16</v>
      </c>
      <c r="I2410" s="90">
        <v>12</v>
      </c>
    </row>
    <row r="2411" spans="1:9" hidden="1" x14ac:dyDescent="0.25">
      <c r="A2411" s="11" t="s">
        <v>8127</v>
      </c>
      <c r="B2411" s="12" t="s">
        <v>8128</v>
      </c>
      <c r="C2411" s="13">
        <v>5</v>
      </c>
      <c r="D2411" s="12" t="s">
        <v>7920</v>
      </c>
      <c r="E2411" s="12" t="s">
        <v>8129</v>
      </c>
      <c r="F2411" s="12" t="s">
        <v>8134</v>
      </c>
      <c r="G2411" s="15" t="s">
        <v>16</v>
      </c>
      <c r="I2411" s="90">
        <v>12</v>
      </c>
    </row>
    <row r="2412" spans="1:9" hidden="1" x14ac:dyDescent="0.25">
      <c r="A2412" s="11" t="s">
        <v>8135</v>
      </c>
      <c r="B2412" s="12" t="s">
        <v>8136</v>
      </c>
      <c r="C2412" s="13">
        <v>5</v>
      </c>
      <c r="D2412" s="12" t="s">
        <v>7920</v>
      </c>
      <c r="E2412" s="12" t="s">
        <v>8137</v>
      </c>
      <c r="F2412" s="12" t="s">
        <v>8142</v>
      </c>
      <c r="G2412" s="15" t="s">
        <v>16</v>
      </c>
      <c r="I2412" s="90">
        <v>12</v>
      </c>
    </row>
    <row r="2413" spans="1:9" hidden="1" x14ac:dyDescent="0.25">
      <c r="A2413" s="11" t="s">
        <v>8143</v>
      </c>
      <c r="B2413" s="12" t="s">
        <v>8144</v>
      </c>
      <c r="C2413" s="13">
        <v>5</v>
      </c>
      <c r="D2413" s="12" t="s">
        <v>7920</v>
      </c>
      <c r="E2413" s="12" t="s">
        <v>8145</v>
      </c>
      <c r="F2413" s="12" t="s">
        <v>8150</v>
      </c>
      <c r="G2413" s="15" t="s">
        <v>16</v>
      </c>
      <c r="I2413" s="90">
        <v>12</v>
      </c>
    </row>
    <row r="2414" spans="1:9" hidden="1" x14ac:dyDescent="0.25">
      <c r="A2414" s="11" t="s">
        <v>8151</v>
      </c>
      <c r="B2414" s="12" t="s">
        <v>6748</v>
      </c>
      <c r="C2414" s="13">
        <v>5</v>
      </c>
      <c r="D2414" s="12" t="s">
        <v>7920</v>
      </c>
      <c r="E2414" s="12" t="s">
        <v>8152</v>
      </c>
      <c r="F2414" s="12" t="s">
        <v>8157</v>
      </c>
      <c r="G2414" s="15" t="s">
        <v>16</v>
      </c>
      <c r="I2414" s="90">
        <v>12</v>
      </c>
    </row>
    <row r="2415" spans="1:9" hidden="1" x14ac:dyDescent="0.25">
      <c r="A2415" s="11" t="s">
        <v>8158</v>
      </c>
      <c r="B2415" s="12" t="s">
        <v>8159</v>
      </c>
      <c r="C2415" s="13">
        <v>5</v>
      </c>
      <c r="D2415" s="12" t="s">
        <v>7920</v>
      </c>
      <c r="E2415" s="12" t="s">
        <v>8160</v>
      </c>
      <c r="F2415" s="12" t="s">
        <v>8165</v>
      </c>
      <c r="G2415" s="15" t="s">
        <v>16</v>
      </c>
      <c r="I2415" s="90">
        <v>12</v>
      </c>
    </row>
    <row r="2416" spans="1:9" hidden="1" x14ac:dyDescent="0.25">
      <c r="A2416" s="11" t="s">
        <v>8166</v>
      </c>
      <c r="B2416" s="12" t="s">
        <v>8167</v>
      </c>
      <c r="C2416" s="13">
        <v>5</v>
      </c>
      <c r="D2416" s="12" t="s">
        <v>7920</v>
      </c>
      <c r="E2416" s="12" t="s">
        <v>8168</v>
      </c>
      <c r="F2416" s="12" t="s">
        <v>8173</v>
      </c>
      <c r="G2416" s="15" t="s">
        <v>16</v>
      </c>
      <c r="I2416" s="90">
        <v>12</v>
      </c>
    </row>
    <row r="2417" spans="1:27" hidden="1" x14ac:dyDescent="0.25">
      <c r="A2417" s="11" t="s">
        <v>8174</v>
      </c>
      <c r="B2417" s="12" t="s">
        <v>8175</v>
      </c>
      <c r="C2417" s="13">
        <v>5</v>
      </c>
      <c r="D2417" s="12" t="s">
        <v>7920</v>
      </c>
      <c r="E2417" s="12" t="s">
        <v>8176</v>
      </c>
      <c r="F2417" s="12" t="s">
        <v>8181</v>
      </c>
      <c r="G2417" s="15" t="s">
        <v>16</v>
      </c>
      <c r="I2417" s="90">
        <v>12</v>
      </c>
    </row>
    <row r="2418" spans="1:27" hidden="1" x14ac:dyDescent="0.25">
      <c r="A2418" s="11" t="s">
        <v>8182</v>
      </c>
      <c r="B2418" s="12" t="s">
        <v>6549</v>
      </c>
      <c r="C2418" s="13">
        <v>5</v>
      </c>
      <c r="D2418" s="12" t="s">
        <v>7920</v>
      </c>
      <c r="E2418" s="12" t="s">
        <v>8183</v>
      </c>
      <c r="F2418" s="12" t="s">
        <v>8188</v>
      </c>
      <c r="G2418" s="15" t="s">
        <v>16</v>
      </c>
      <c r="I2418" s="90">
        <v>12</v>
      </c>
    </row>
    <row r="2419" spans="1:27" hidden="1" x14ac:dyDescent="0.25">
      <c r="A2419" s="11" t="s">
        <v>8189</v>
      </c>
      <c r="B2419" s="12" t="s">
        <v>6551</v>
      </c>
      <c r="C2419" s="13">
        <v>5</v>
      </c>
      <c r="D2419" s="12" t="s">
        <v>7920</v>
      </c>
      <c r="E2419" s="12" t="s">
        <v>8190</v>
      </c>
      <c r="F2419" s="12" t="s">
        <v>8195</v>
      </c>
      <c r="G2419" s="15" t="s">
        <v>16</v>
      </c>
      <c r="I2419" s="90">
        <v>12</v>
      </c>
    </row>
    <row r="2420" spans="1:27" hidden="1" x14ac:dyDescent="0.25">
      <c r="A2420" s="11" t="s">
        <v>8196</v>
      </c>
      <c r="B2420" s="12" t="s">
        <v>6553</v>
      </c>
      <c r="C2420" s="13">
        <v>5</v>
      </c>
      <c r="D2420" s="12" t="s">
        <v>7920</v>
      </c>
      <c r="E2420" s="12" t="s">
        <v>8197</v>
      </c>
      <c r="F2420" s="12" t="s">
        <v>8202</v>
      </c>
      <c r="G2420" s="15" t="s">
        <v>16</v>
      </c>
      <c r="I2420" s="90">
        <v>12</v>
      </c>
    </row>
    <row r="2421" spans="1:27" hidden="1" x14ac:dyDescent="0.25">
      <c r="A2421" s="11" t="s">
        <v>8203</v>
      </c>
      <c r="B2421" s="12" t="s">
        <v>8204</v>
      </c>
      <c r="C2421" s="13">
        <v>5</v>
      </c>
      <c r="D2421" s="12" t="s">
        <v>7920</v>
      </c>
      <c r="E2421" s="12" t="s">
        <v>8205</v>
      </c>
      <c r="F2421" s="12" t="s">
        <v>8210</v>
      </c>
      <c r="G2421" s="15" t="s">
        <v>16</v>
      </c>
      <c r="I2421" s="90">
        <v>12</v>
      </c>
    </row>
    <row r="2422" spans="1:27" hidden="1" x14ac:dyDescent="0.25">
      <c r="A2422" s="11" t="s">
        <v>8211</v>
      </c>
      <c r="B2422" s="12" t="s">
        <v>481</v>
      </c>
      <c r="C2422" s="13">
        <v>5</v>
      </c>
      <c r="D2422" s="12" t="s">
        <v>7920</v>
      </c>
      <c r="E2422" s="12" t="s">
        <v>8212</v>
      </c>
      <c r="F2422" s="12" t="s">
        <v>8217</v>
      </c>
      <c r="G2422" s="15" t="s">
        <v>16</v>
      </c>
      <c r="I2422" s="99">
        <v>13</v>
      </c>
    </row>
    <row r="2423" spans="1:27" hidden="1" x14ac:dyDescent="0.25">
      <c r="A2423" s="11" t="s">
        <v>8218</v>
      </c>
      <c r="B2423" s="12" t="s">
        <v>8219</v>
      </c>
      <c r="C2423" s="13">
        <v>5</v>
      </c>
      <c r="D2423" s="12" t="s">
        <v>7920</v>
      </c>
      <c r="E2423" s="12" t="s">
        <v>8220</v>
      </c>
      <c r="F2423" s="12" t="s">
        <v>8225</v>
      </c>
      <c r="G2423" s="15" t="s">
        <v>16</v>
      </c>
      <c r="I2423" s="99">
        <v>13</v>
      </c>
    </row>
    <row r="2424" spans="1:27" hidden="1" x14ac:dyDescent="0.25">
      <c r="A2424" s="11" t="s">
        <v>8226</v>
      </c>
      <c r="B2424" s="12" t="s">
        <v>8227</v>
      </c>
      <c r="C2424" s="13">
        <v>5</v>
      </c>
      <c r="D2424" s="12" t="s">
        <v>7920</v>
      </c>
      <c r="E2424" s="12" t="s">
        <v>8228</v>
      </c>
      <c r="F2424" s="12" t="s">
        <v>8233</v>
      </c>
      <c r="G2424" s="15" t="s">
        <v>16</v>
      </c>
      <c r="I2424" s="99">
        <v>13</v>
      </c>
    </row>
    <row r="2425" spans="1:27" hidden="1" x14ac:dyDescent="0.25">
      <c r="A2425" s="11" t="s">
        <v>8234</v>
      </c>
      <c r="B2425" s="12" t="s">
        <v>8235</v>
      </c>
      <c r="C2425" s="13">
        <v>5</v>
      </c>
      <c r="D2425" s="12" t="s">
        <v>7920</v>
      </c>
      <c r="E2425" s="12" t="s">
        <v>8236</v>
      </c>
      <c r="F2425" s="12" t="s">
        <v>8241</v>
      </c>
      <c r="G2425" s="15" t="s">
        <v>16</v>
      </c>
      <c r="I2425" s="99">
        <v>13</v>
      </c>
    </row>
    <row r="2426" spans="1:27" hidden="1" x14ac:dyDescent="0.25">
      <c r="A2426" s="11" t="s">
        <v>8242</v>
      </c>
      <c r="B2426" s="12" t="s">
        <v>6248</v>
      </c>
      <c r="C2426" s="13">
        <v>5</v>
      </c>
      <c r="D2426" s="12" t="s">
        <v>7920</v>
      </c>
      <c r="E2426" s="12" t="s">
        <v>8243</v>
      </c>
      <c r="F2426" s="12" t="s">
        <v>8248</v>
      </c>
      <c r="G2426" s="15" t="s">
        <v>16</v>
      </c>
      <c r="I2426" s="99">
        <v>13</v>
      </c>
    </row>
    <row r="2427" spans="1:27" hidden="1" x14ac:dyDescent="0.25">
      <c r="A2427" s="11" t="s">
        <v>8249</v>
      </c>
      <c r="B2427" s="12" t="s">
        <v>8250</v>
      </c>
      <c r="C2427" s="13">
        <v>5</v>
      </c>
      <c r="D2427" s="12" t="s">
        <v>7920</v>
      </c>
      <c r="E2427" s="12" t="s">
        <v>8251</v>
      </c>
      <c r="F2427" s="12" t="s">
        <v>8256</v>
      </c>
      <c r="G2427" s="15" t="s">
        <v>16</v>
      </c>
      <c r="I2427" s="99">
        <v>13</v>
      </c>
    </row>
    <row r="2428" spans="1:27" hidden="1" x14ac:dyDescent="0.25">
      <c r="A2428" s="11" t="s">
        <v>8257</v>
      </c>
      <c r="B2428" s="12" t="s">
        <v>8258</v>
      </c>
      <c r="C2428" s="13">
        <v>5</v>
      </c>
      <c r="D2428" s="12" t="s">
        <v>7920</v>
      </c>
      <c r="E2428" s="12" t="s">
        <v>8259</v>
      </c>
      <c r="F2428" s="12" t="s">
        <v>8264</v>
      </c>
      <c r="G2428" s="15" t="s">
        <v>16</v>
      </c>
      <c r="I2428" s="99">
        <v>13</v>
      </c>
    </row>
    <row r="2429" spans="1:27" hidden="1" x14ac:dyDescent="0.25">
      <c r="A2429" s="11" t="s">
        <v>8265</v>
      </c>
      <c r="B2429" s="12" t="s">
        <v>1417</v>
      </c>
      <c r="C2429" s="13">
        <v>5</v>
      </c>
      <c r="D2429" s="12" t="s">
        <v>7920</v>
      </c>
      <c r="E2429" s="12" t="s">
        <v>8266</v>
      </c>
      <c r="F2429" s="12" t="s">
        <v>8271</v>
      </c>
      <c r="G2429" s="15" t="s">
        <v>16</v>
      </c>
      <c r="I2429" s="99">
        <v>13</v>
      </c>
    </row>
    <row r="2430" spans="1:27" s="10" customFormat="1" hidden="1" x14ac:dyDescent="0.25">
      <c r="A2430" s="11" t="s">
        <v>8272</v>
      </c>
      <c r="B2430" s="12" t="s">
        <v>8273</v>
      </c>
      <c r="C2430" s="13">
        <v>5</v>
      </c>
      <c r="D2430" s="12" t="s">
        <v>7920</v>
      </c>
      <c r="E2430" s="12" t="s">
        <v>8274</v>
      </c>
      <c r="F2430" s="12" t="s">
        <v>8279</v>
      </c>
      <c r="G2430" s="15" t="s">
        <v>16</v>
      </c>
      <c r="H2430" s="8"/>
      <c r="I2430" s="94">
        <v>14</v>
      </c>
      <c r="J2430" s="8"/>
      <c r="K2430" s="8"/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8"/>
      <c r="AA2430" s="8"/>
    </row>
    <row r="2431" spans="1:27" s="10" customFormat="1" hidden="1" x14ac:dyDescent="0.25">
      <c r="A2431" s="11" t="s">
        <v>8280</v>
      </c>
      <c r="B2431" s="12" t="s">
        <v>906</v>
      </c>
      <c r="C2431" s="13">
        <v>5</v>
      </c>
      <c r="D2431" s="12" t="s">
        <v>7920</v>
      </c>
      <c r="E2431" s="12" t="s">
        <v>8281</v>
      </c>
      <c r="F2431" s="12" t="s">
        <v>8286</v>
      </c>
      <c r="G2431" s="15" t="s">
        <v>16</v>
      </c>
      <c r="H2431" s="8"/>
      <c r="I2431" s="9">
        <v>15</v>
      </c>
      <c r="J2431" s="8"/>
      <c r="K2431" s="8"/>
      <c r="L2431" s="8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  <c r="AA2431" s="8"/>
    </row>
    <row r="2432" spans="1:27" s="10" customFormat="1" hidden="1" x14ac:dyDescent="0.25">
      <c r="A2432" s="11" t="s">
        <v>8287</v>
      </c>
      <c r="B2432" s="12" t="s">
        <v>908</v>
      </c>
      <c r="C2432" s="13">
        <v>5</v>
      </c>
      <c r="D2432" s="12" t="s">
        <v>7920</v>
      </c>
      <c r="E2432" s="12" t="s">
        <v>8288</v>
      </c>
      <c r="F2432" s="12" t="s">
        <v>8293</v>
      </c>
      <c r="G2432" s="15" t="s">
        <v>16</v>
      </c>
      <c r="H2432" s="8"/>
      <c r="I2432" s="9">
        <v>15</v>
      </c>
      <c r="J2432" s="8"/>
      <c r="K2432" s="8"/>
      <c r="L2432" s="8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  <c r="AA2432" s="8"/>
    </row>
    <row r="2433" spans="1:27" s="10" customFormat="1" hidden="1" x14ac:dyDescent="0.25">
      <c r="A2433" s="11" t="s">
        <v>8294</v>
      </c>
      <c r="B2433" s="12" t="s">
        <v>8295</v>
      </c>
      <c r="C2433" s="13">
        <v>5</v>
      </c>
      <c r="D2433" s="12" t="s">
        <v>7920</v>
      </c>
      <c r="E2433" s="12" t="s">
        <v>8296</v>
      </c>
      <c r="F2433" s="12" t="s">
        <v>8301</v>
      </c>
      <c r="G2433" s="15" t="s">
        <v>16</v>
      </c>
      <c r="H2433" s="8"/>
      <c r="I2433" s="9">
        <v>15</v>
      </c>
      <c r="J2433" s="8"/>
      <c r="K2433" s="8"/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  <c r="AA2433" s="8"/>
    </row>
    <row r="2434" spans="1:27" s="10" customFormat="1" hidden="1" x14ac:dyDescent="0.25">
      <c r="A2434" s="11" t="s">
        <v>8302</v>
      </c>
      <c r="B2434" s="12" t="s">
        <v>8303</v>
      </c>
      <c r="C2434" s="13">
        <v>5</v>
      </c>
      <c r="D2434" s="12" t="s">
        <v>7920</v>
      </c>
      <c r="E2434" s="12" t="s">
        <v>8304</v>
      </c>
      <c r="F2434" s="12" t="s">
        <v>8309</v>
      </c>
      <c r="G2434" s="15" t="s">
        <v>16</v>
      </c>
      <c r="H2434" s="8"/>
      <c r="I2434" s="9">
        <v>15</v>
      </c>
      <c r="J2434" s="8"/>
      <c r="K2434" s="8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  <c r="AA2434" s="8"/>
    </row>
    <row r="2435" spans="1:27" hidden="1" x14ac:dyDescent="0.25">
      <c r="A2435" s="56" t="s">
        <v>8310</v>
      </c>
      <c r="B2435" s="61" t="s">
        <v>1808</v>
      </c>
      <c r="C2435" s="58">
        <v>5</v>
      </c>
      <c r="D2435" s="61" t="s">
        <v>7920</v>
      </c>
      <c r="E2435" s="61" t="s">
        <v>8311</v>
      </c>
      <c r="F2435" s="61" t="s">
        <v>8316</v>
      </c>
      <c r="G2435" s="62" t="s">
        <v>16</v>
      </c>
      <c r="I2435" s="9">
        <v>15</v>
      </c>
    </row>
    <row r="2436" spans="1:27" hidden="1" x14ac:dyDescent="0.25">
      <c r="A2436" s="11" t="s">
        <v>8317</v>
      </c>
      <c r="B2436" s="12" t="s">
        <v>8318</v>
      </c>
      <c r="C2436" s="13">
        <v>5</v>
      </c>
      <c r="D2436" s="12" t="s">
        <v>7920</v>
      </c>
      <c r="E2436" s="12" t="s">
        <v>8319</v>
      </c>
      <c r="F2436" s="12" t="s">
        <v>8324</v>
      </c>
      <c r="G2436" s="15" t="s">
        <v>16</v>
      </c>
      <c r="I2436" s="9">
        <v>15</v>
      </c>
    </row>
    <row r="2437" spans="1:27" hidden="1" x14ac:dyDescent="0.25">
      <c r="A2437" s="11" t="s">
        <v>8325</v>
      </c>
      <c r="B2437" s="12" t="s">
        <v>8326</v>
      </c>
      <c r="C2437" s="13">
        <v>5</v>
      </c>
      <c r="D2437" s="12" t="s">
        <v>7920</v>
      </c>
      <c r="E2437" s="12" t="s">
        <v>8327</v>
      </c>
      <c r="F2437" s="12" t="s">
        <v>8332</v>
      </c>
      <c r="G2437" s="15" t="s">
        <v>16</v>
      </c>
      <c r="I2437" s="9">
        <v>15</v>
      </c>
    </row>
    <row r="2438" spans="1:27" hidden="1" x14ac:dyDescent="0.25">
      <c r="A2438" s="11" t="s">
        <v>8333</v>
      </c>
      <c r="B2438" s="12" t="s">
        <v>5858</v>
      </c>
      <c r="C2438" s="13">
        <v>5</v>
      </c>
      <c r="D2438" s="12" t="s">
        <v>7920</v>
      </c>
      <c r="E2438" s="12" t="s">
        <v>8334</v>
      </c>
      <c r="F2438" s="12" t="s">
        <v>8339</v>
      </c>
      <c r="G2438" s="15" t="s">
        <v>16</v>
      </c>
      <c r="I2438" s="9">
        <v>15</v>
      </c>
    </row>
    <row r="2439" spans="1:27" hidden="1" x14ac:dyDescent="0.25">
      <c r="A2439" s="11" t="s">
        <v>8340</v>
      </c>
      <c r="B2439" s="12" t="s">
        <v>768</v>
      </c>
      <c r="C2439" s="13">
        <v>5</v>
      </c>
      <c r="D2439" s="12" t="s">
        <v>7920</v>
      </c>
      <c r="E2439" s="12" t="s">
        <v>8341</v>
      </c>
      <c r="F2439" s="12" t="s">
        <v>8346</v>
      </c>
      <c r="G2439" s="15" t="s">
        <v>16</v>
      </c>
      <c r="I2439" s="9">
        <v>15</v>
      </c>
    </row>
    <row r="2440" spans="1:27" hidden="1" x14ac:dyDescent="0.25">
      <c r="A2440" s="11" t="s">
        <v>8347</v>
      </c>
      <c r="B2440" s="12" t="s">
        <v>770</v>
      </c>
      <c r="C2440" s="13">
        <v>5</v>
      </c>
      <c r="D2440" s="12" t="s">
        <v>7920</v>
      </c>
      <c r="E2440" s="12" t="s">
        <v>8348</v>
      </c>
      <c r="F2440" s="12" t="s">
        <v>8353</v>
      </c>
      <c r="G2440" s="15" t="s">
        <v>16</v>
      </c>
      <c r="I2440" s="9">
        <v>15</v>
      </c>
    </row>
    <row r="2441" spans="1:27" hidden="1" x14ac:dyDescent="0.25">
      <c r="A2441" s="11" t="s">
        <v>8354</v>
      </c>
      <c r="B2441" s="12" t="s">
        <v>772</v>
      </c>
      <c r="C2441" s="13">
        <v>5</v>
      </c>
      <c r="D2441" s="12" t="s">
        <v>7920</v>
      </c>
      <c r="E2441" s="12" t="s">
        <v>8355</v>
      </c>
      <c r="F2441" s="12" t="s">
        <v>8360</v>
      </c>
      <c r="G2441" s="15" t="s">
        <v>16</v>
      </c>
      <c r="I2441" s="9">
        <v>15</v>
      </c>
    </row>
    <row r="2442" spans="1:27" hidden="1" x14ac:dyDescent="0.25">
      <c r="A2442" s="11" t="s">
        <v>8361</v>
      </c>
      <c r="B2442" s="12" t="s">
        <v>8362</v>
      </c>
      <c r="C2442" s="13">
        <v>5</v>
      </c>
      <c r="D2442" s="12" t="s">
        <v>7920</v>
      </c>
      <c r="E2442" s="12" t="s">
        <v>8363</v>
      </c>
      <c r="F2442" s="12" t="s">
        <v>8368</v>
      </c>
      <c r="G2442" s="15" t="s">
        <v>16</v>
      </c>
      <c r="I2442" s="9">
        <v>15</v>
      </c>
    </row>
    <row r="2443" spans="1:27" ht="12.75" hidden="1" thickBot="1" x14ac:dyDescent="0.3">
      <c r="A2443" s="36" t="s">
        <v>8369</v>
      </c>
      <c r="B2443" s="30" t="s">
        <v>8370</v>
      </c>
      <c r="C2443" s="31">
        <v>5</v>
      </c>
      <c r="D2443" s="30" t="s">
        <v>7920</v>
      </c>
      <c r="E2443" s="30" t="s">
        <v>8371</v>
      </c>
      <c r="F2443" s="30" t="s">
        <v>8376</v>
      </c>
      <c r="G2443" s="33" t="s">
        <v>16</v>
      </c>
      <c r="I2443" s="9">
        <v>15</v>
      </c>
    </row>
    <row r="2444" spans="1:27" hidden="1" x14ac:dyDescent="0.25">
      <c r="A2444" s="56" t="s">
        <v>8377</v>
      </c>
      <c r="B2444" s="61" t="s">
        <v>8378</v>
      </c>
      <c r="C2444" s="58">
        <v>5</v>
      </c>
      <c r="D2444" s="61" t="s">
        <v>7920</v>
      </c>
      <c r="E2444" s="61" t="s">
        <v>8379</v>
      </c>
      <c r="F2444" s="61" t="s">
        <v>8384</v>
      </c>
      <c r="G2444" s="62" t="s">
        <v>16</v>
      </c>
      <c r="I2444" s="9">
        <v>15</v>
      </c>
    </row>
    <row r="2445" spans="1:27" hidden="1" x14ac:dyDescent="0.25">
      <c r="A2445" s="11" t="s">
        <v>8385</v>
      </c>
      <c r="B2445" s="12" t="s">
        <v>8386</v>
      </c>
      <c r="C2445" s="13">
        <v>5</v>
      </c>
      <c r="D2445" s="12" t="s">
        <v>7920</v>
      </c>
      <c r="E2445" s="12" t="s">
        <v>8387</v>
      </c>
      <c r="F2445" s="12" t="s">
        <v>8392</v>
      </c>
      <c r="G2445" s="15" t="s">
        <v>16</v>
      </c>
      <c r="I2445" s="9">
        <v>15</v>
      </c>
    </row>
    <row r="2446" spans="1:27" hidden="1" x14ac:dyDescent="0.25">
      <c r="A2446" s="11" t="s">
        <v>8393</v>
      </c>
      <c r="B2446" s="12" t="s">
        <v>8394</v>
      </c>
      <c r="C2446" s="13">
        <v>5</v>
      </c>
      <c r="D2446" s="12" t="s">
        <v>7920</v>
      </c>
      <c r="E2446" s="12" t="s">
        <v>8395</v>
      </c>
      <c r="F2446" s="12" t="s">
        <v>8400</v>
      </c>
      <c r="G2446" s="15" t="s">
        <v>16</v>
      </c>
      <c r="I2446" s="9">
        <v>15</v>
      </c>
    </row>
    <row r="2447" spans="1:27" hidden="1" x14ac:dyDescent="0.25">
      <c r="A2447" s="11" t="s">
        <v>8401</v>
      </c>
      <c r="B2447" s="12" t="s">
        <v>941</v>
      </c>
      <c r="C2447" s="13">
        <v>5</v>
      </c>
      <c r="D2447" s="12" t="s">
        <v>7920</v>
      </c>
      <c r="E2447" s="12" t="s">
        <v>8402</v>
      </c>
      <c r="F2447" s="12" t="s">
        <v>8407</v>
      </c>
      <c r="G2447" s="15" t="s">
        <v>16</v>
      </c>
      <c r="I2447" s="9">
        <v>15</v>
      </c>
    </row>
    <row r="2448" spans="1:27" hidden="1" x14ac:dyDescent="0.25">
      <c r="A2448" s="11" t="s">
        <v>8408</v>
      </c>
      <c r="B2448" s="12" t="s">
        <v>8409</v>
      </c>
      <c r="C2448" s="13">
        <v>5</v>
      </c>
      <c r="D2448" s="12" t="s">
        <v>7920</v>
      </c>
      <c r="E2448" s="12" t="s">
        <v>8410</v>
      </c>
      <c r="F2448" s="12" t="s">
        <v>8415</v>
      </c>
      <c r="G2448" s="15" t="s">
        <v>16</v>
      </c>
      <c r="I2448" s="9">
        <v>15</v>
      </c>
    </row>
    <row r="2449" spans="1:9" hidden="1" x14ac:dyDescent="0.25">
      <c r="A2449" s="11" t="s">
        <v>8416</v>
      </c>
      <c r="B2449" s="12" t="s">
        <v>955</v>
      </c>
      <c r="C2449" s="13">
        <v>5</v>
      </c>
      <c r="D2449" s="12" t="s">
        <v>7920</v>
      </c>
      <c r="E2449" s="12" t="s">
        <v>8417</v>
      </c>
      <c r="F2449" s="12" t="s">
        <v>8422</v>
      </c>
      <c r="G2449" s="15" t="s">
        <v>16</v>
      </c>
      <c r="I2449" s="9">
        <v>15</v>
      </c>
    </row>
    <row r="2450" spans="1:9" hidden="1" x14ac:dyDescent="0.25">
      <c r="A2450" s="11" t="s">
        <v>8423</v>
      </c>
      <c r="B2450" s="12" t="s">
        <v>961</v>
      </c>
      <c r="C2450" s="13">
        <v>5</v>
      </c>
      <c r="D2450" s="12" t="s">
        <v>7920</v>
      </c>
      <c r="E2450" s="12" t="s">
        <v>8424</v>
      </c>
      <c r="F2450" s="12" t="s">
        <v>8429</v>
      </c>
      <c r="G2450" s="15" t="s">
        <v>16</v>
      </c>
      <c r="I2450" s="9">
        <v>15</v>
      </c>
    </row>
    <row r="2451" spans="1:9" hidden="1" x14ac:dyDescent="0.25">
      <c r="A2451" s="11" t="s">
        <v>8430</v>
      </c>
      <c r="B2451" s="12" t="s">
        <v>963</v>
      </c>
      <c r="C2451" s="13">
        <v>5</v>
      </c>
      <c r="D2451" s="12" t="s">
        <v>7920</v>
      </c>
      <c r="E2451" s="12" t="s">
        <v>8431</v>
      </c>
      <c r="F2451" s="12" t="s">
        <v>8436</v>
      </c>
      <c r="G2451" s="15" t="s">
        <v>16</v>
      </c>
      <c r="I2451" s="9">
        <v>15</v>
      </c>
    </row>
    <row r="2452" spans="1:9" ht="12.75" hidden="1" thickBot="1" x14ac:dyDescent="0.3">
      <c r="A2452" s="36" t="s">
        <v>8437</v>
      </c>
      <c r="B2452" s="30" t="s">
        <v>8438</v>
      </c>
      <c r="C2452" s="31">
        <v>5</v>
      </c>
      <c r="D2452" s="30" t="s">
        <v>7920</v>
      </c>
      <c r="E2452" s="30" t="s">
        <v>8439</v>
      </c>
      <c r="F2452" s="30" t="s">
        <v>8444</v>
      </c>
      <c r="G2452" s="33" t="s">
        <v>16</v>
      </c>
      <c r="I2452" s="9">
        <v>15</v>
      </c>
    </row>
    <row r="2453" spans="1:9" hidden="1" x14ac:dyDescent="0.25">
      <c r="A2453" s="56" t="s">
        <v>8445</v>
      </c>
      <c r="B2453" s="61" t="s">
        <v>967</v>
      </c>
      <c r="C2453" s="58">
        <v>5</v>
      </c>
      <c r="D2453" s="61" t="s">
        <v>7920</v>
      </c>
      <c r="E2453" s="61" t="s">
        <v>8446</v>
      </c>
      <c r="F2453" s="61" t="s">
        <v>8451</v>
      </c>
      <c r="G2453" s="62" t="s">
        <v>16</v>
      </c>
      <c r="I2453" s="9">
        <v>15</v>
      </c>
    </row>
    <row r="2454" spans="1:9" hidden="1" x14ac:dyDescent="0.25">
      <c r="A2454" s="11" t="s">
        <v>8452</v>
      </c>
      <c r="B2454" s="12" t="s">
        <v>982</v>
      </c>
      <c r="C2454" s="13">
        <v>5</v>
      </c>
      <c r="D2454" s="12" t="s">
        <v>7920</v>
      </c>
      <c r="E2454" s="12" t="s">
        <v>8453</v>
      </c>
      <c r="F2454" s="12" t="s">
        <v>8458</v>
      </c>
      <c r="G2454" s="15" t="s">
        <v>16</v>
      </c>
      <c r="I2454" s="9">
        <v>15</v>
      </c>
    </row>
    <row r="2455" spans="1:9" hidden="1" x14ac:dyDescent="0.25">
      <c r="A2455" s="11" t="s">
        <v>8459</v>
      </c>
      <c r="B2455" s="12" t="s">
        <v>990</v>
      </c>
      <c r="C2455" s="13">
        <v>5</v>
      </c>
      <c r="D2455" s="12" t="s">
        <v>7920</v>
      </c>
      <c r="E2455" s="12" t="s">
        <v>8460</v>
      </c>
      <c r="F2455" s="12" t="s">
        <v>8465</v>
      </c>
      <c r="G2455" s="15" t="s">
        <v>16</v>
      </c>
      <c r="I2455" s="9">
        <v>15</v>
      </c>
    </row>
    <row r="2456" spans="1:9" hidden="1" x14ac:dyDescent="0.25">
      <c r="A2456" s="11" t="s">
        <v>8466</v>
      </c>
      <c r="B2456" s="12" t="s">
        <v>8467</v>
      </c>
      <c r="C2456" s="13">
        <v>5</v>
      </c>
      <c r="D2456" s="12" t="s">
        <v>7920</v>
      </c>
      <c r="E2456" s="12" t="s">
        <v>8468</v>
      </c>
      <c r="F2456" s="12" t="s">
        <v>8473</v>
      </c>
      <c r="G2456" s="15" t="s">
        <v>16</v>
      </c>
      <c r="I2456" s="9">
        <v>15</v>
      </c>
    </row>
    <row r="2457" spans="1:9" hidden="1" x14ac:dyDescent="0.25">
      <c r="A2457" s="11" t="s">
        <v>8474</v>
      </c>
      <c r="B2457" s="12" t="s">
        <v>998</v>
      </c>
      <c r="C2457" s="13">
        <v>5</v>
      </c>
      <c r="D2457" s="12" t="s">
        <v>7920</v>
      </c>
      <c r="E2457" s="12" t="s">
        <v>8475</v>
      </c>
      <c r="F2457" s="12" t="s">
        <v>8480</v>
      </c>
      <c r="G2457" s="15" t="s">
        <v>16</v>
      </c>
      <c r="I2457" s="9">
        <v>15</v>
      </c>
    </row>
    <row r="2458" spans="1:9" hidden="1" x14ac:dyDescent="0.25">
      <c r="A2458" s="11" t="s">
        <v>8481</v>
      </c>
      <c r="B2458" s="12" t="s">
        <v>1006</v>
      </c>
      <c r="C2458" s="13">
        <v>5</v>
      </c>
      <c r="D2458" s="12" t="s">
        <v>7920</v>
      </c>
      <c r="E2458" s="12" t="s">
        <v>8482</v>
      </c>
      <c r="F2458" s="12" t="s">
        <v>8487</v>
      </c>
      <c r="G2458" s="15" t="s">
        <v>16</v>
      </c>
      <c r="I2458" s="9">
        <v>15</v>
      </c>
    </row>
    <row r="2459" spans="1:9" hidden="1" x14ac:dyDescent="0.25">
      <c r="A2459" s="11" t="s">
        <v>8488</v>
      </c>
      <c r="B2459" s="12" t="s">
        <v>8489</v>
      </c>
      <c r="C2459" s="13">
        <v>5</v>
      </c>
      <c r="D2459" s="12" t="s">
        <v>7920</v>
      </c>
      <c r="E2459" s="12" t="s">
        <v>8490</v>
      </c>
      <c r="F2459" s="12" t="s">
        <v>8495</v>
      </c>
      <c r="G2459" s="15" t="s">
        <v>16</v>
      </c>
      <c r="I2459" s="9">
        <v>15</v>
      </c>
    </row>
    <row r="2460" spans="1:9" hidden="1" x14ac:dyDescent="0.25">
      <c r="A2460" s="11" t="s">
        <v>8496</v>
      </c>
      <c r="B2460" s="12" t="s">
        <v>1037</v>
      </c>
      <c r="C2460" s="13">
        <v>5</v>
      </c>
      <c r="D2460" s="12" t="s">
        <v>7920</v>
      </c>
      <c r="E2460" s="12" t="s">
        <v>8497</v>
      </c>
      <c r="F2460" s="12" t="s">
        <v>8502</v>
      </c>
      <c r="G2460" s="15" t="s">
        <v>16</v>
      </c>
      <c r="I2460" s="9">
        <v>15</v>
      </c>
    </row>
    <row r="2461" spans="1:9" hidden="1" x14ac:dyDescent="0.25">
      <c r="A2461" s="11" t="s">
        <v>8503</v>
      </c>
      <c r="B2461" s="12" t="s">
        <v>8504</v>
      </c>
      <c r="C2461" s="13">
        <v>5</v>
      </c>
      <c r="D2461" s="12" t="s">
        <v>7920</v>
      </c>
      <c r="E2461" s="12" t="s">
        <v>8505</v>
      </c>
      <c r="F2461" s="12" t="s">
        <v>8510</v>
      </c>
      <c r="G2461" s="15" t="s">
        <v>16</v>
      </c>
      <c r="I2461" s="9">
        <v>15</v>
      </c>
    </row>
    <row r="2462" spans="1:9" hidden="1" x14ac:dyDescent="0.25">
      <c r="A2462" s="11" t="s">
        <v>8511</v>
      </c>
      <c r="B2462" s="12" t="s">
        <v>8512</v>
      </c>
      <c r="C2462" s="13">
        <v>5</v>
      </c>
      <c r="D2462" s="12" t="s">
        <v>7920</v>
      </c>
      <c r="E2462" s="12" t="s">
        <v>8513</v>
      </c>
      <c r="F2462" s="12" t="s">
        <v>8518</v>
      </c>
      <c r="G2462" s="15" t="s">
        <v>16</v>
      </c>
      <c r="I2462" s="9">
        <v>15</v>
      </c>
    </row>
    <row r="2463" spans="1:9" hidden="1" x14ac:dyDescent="0.25">
      <c r="A2463" s="11" t="s">
        <v>8519</v>
      </c>
      <c r="B2463" s="12" t="s">
        <v>8520</v>
      </c>
      <c r="C2463" s="13">
        <v>5</v>
      </c>
      <c r="D2463" s="12" t="s">
        <v>7920</v>
      </c>
      <c r="E2463" s="12" t="s">
        <v>8521</v>
      </c>
      <c r="F2463" s="12" t="s">
        <v>8526</v>
      </c>
      <c r="G2463" s="15" t="s">
        <v>16</v>
      </c>
      <c r="I2463" s="9">
        <v>15</v>
      </c>
    </row>
    <row r="2464" spans="1:9" ht="12.75" hidden="1" thickBot="1" x14ac:dyDescent="0.3">
      <c r="A2464" s="36" t="s">
        <v>8527</v>
      </c>
      <c r="B2464" s="30" t="s">
        <v>8528</v>
      </c>
      <c r="C2464" s="31">
        <v>5</v>
      </c>
      <c r="D2464" s="30" t="s">
        <v>7920</v>
      </c>
      <c r="E2464" s="30" t="s">
        <v>8529</v>
      </c>
      <c r="F2464" s="30" t="s">
        <v>8534</v>
      </c>
      <c r="G2464" s="33" t="s">
        <v>16</v>
      </c>
      <c r="I2464" s="9">
        <v>15</v>
      </c>
    </row>
    <row r="2465" spans="1:9" hidden="1" x14ac:dyDescent="0.25">
      <c r="A2465" s="56" t="s">
        <v>8535</v>
      </c>
      <c r="B2465" s="61" t="s">
        <v>2249</v>
      </c>
      <c r="C2465" s="58">
        <v>5</v>
      </c>
      <c r="D2465" s="61" t="s">
        <v>7920</v>
      </c>
      <c r="E2465" s="61" t="s">
        <v>8536</v>
      </c>
      <c r="F2465" s="61" t="s">
        <v>8541</v>
      </c>
      <c r="G2465" s="62" t="s">
        <v>16</v>
      </c>
      <c r="I2465" s="9">
        <v>15</v>
      </c>
    </row>
    <row r="2466" spans="1:9" hidden="1" x14ac:dyDescent="0.25">
      <c r="A2466" s="11" t="s">
        <v>8542</v>
      </c>
      <c r="B2466" s="12" t="s">
        <v>2161</v>
      </c>
      <c r="C2466" s="13">
        <v>5</v>
      </c>
      <c r="D2466" s="12" t="s">
        <v>7920</v>
      </c>
      <c r="E2466" s="12" t="s">
        <v>8543</v>
      </c>
      <c r="F2466" s="12" t="s">
        <v>8548</v>
      </c>
      <c r="G2466" s="15" t="s">
        <v>16</v>
      </c>
      <c r="I2466" s="9">
        <v>15</v>
      </c>
    </row>
    <row r="2467" spans="1:9" hidden="1" x14ac:dyDescent="0.25">
      <c r="A2467" s="11" t="s">
        <v>8549</v>
      </c>
      <c r="B2467" s="12" t="s">
        <v>1078</v>
      </c>
      <c r="C2467" s="13">
        <v>5</v>
      </c>
      <c r="D2467" s="12" t="s">
        <v>7920</v>
      </c>
      <c r="E2467" s="12" t="s">
        <v>8550</v>
      </c>
      <c r="F2467" s="12" t="s">
        <v>8555</v>
      </c>
      <c r="G2467" s="15" t="s">
        <v>16</v>
      </c>
      <c r="I2467" s="9">
        <v>15</v>
      </c>
    </row>
    <row r="2468" spans="1:9" hidden="1" x14ac:dyDescent="0.25">
      <c r="A2468" s="11" t="s">
        <v>8556</v>
      </c>
      <c r="B2468" s="12" t="s">
        <v>1074</v>
      </c>
      <c r="C2468" s="13">
        <v>5</v>
      </c>
      <c r="D2468" s="12" t="s">
        <v>7920</v>
      </c>
      <c r="E2468" s="12" t="s">
        <v>8557</v>
      </c>
      <c r="F2468" s="12" t="s">
        <v>8562</v>
      </c>
      <c r="G2468" s="15" t="s">
        <v>16</v>
      </c>
      <c r="I2468" s="9">
        <v>15</v>
      </c>
    </row>
    <row r="2469" spans="1:9" hidden="1" x14ac:dyDescent="0.25">
      <c r="A2469" s="11" t="s">
        <v>8563</v>
      </c>
      <c r="B2469" s="12" t="s">
        <v>8564</v>
      </c>
      <c r="C2469" s="13">
        <v>5</v>
      </c>
      <c r="D2469" s="12" t="s">
        <v>7920</v>
      </c>
      <c r="E2469" s="12" t="s">
        <v>8565</v>
      </c>
      <c r="F2469" s="12" t="s">
        <v>8570</v>
      </c>
      <c r="G2469" s="15" t="s">
        <v>16</v>
      </c>
      <c r="I2469" s="9">
        <v>15</v>
      </c>
    </row>
    <row r="2470" spans="1:9" hidden="1" x14ac:dyDescent="0.25">
      <c r="A2470" s="11" t="s">
        <v>8571</v>
      </c>
      <c r="B2470" s="12" t="s">
        <v>8572</v>
      </c>
      <c r="C2470" s="13">
        <v>5</v>
      </c>
      <c r="D2470" s="12" t="s">
        <v>7920</v>
      </c>
      <c r="E2470" s="12" t="s">
        <v>8573</v>
      </c>
      <c r="F2470" s="12" t="s">
        <v>8578</v>
      </c>
      <c r="G2470" s="15" t="s">
        <v>16</v>
      </c>
      <c r="I2470" s="9">
        <v>15</v>
      </c>
    </row>
    <row r="2471" spans="1:9" ht="12.75" hidden="1" thickBot="1" x14ac:dyDescent="0.3">
      <c r="A2471" s="36" t="s">
        <v>8579</v>
      </c>
      <c r="B2471" s="30" t="s">
        <v>975</v>
      </c>
      <c r="C2471" s="31">
        <v>5</v>
      </c>
      <c r="D2471" s="30" t="s">
        <v>7920</v>
      </c>
      <c r="E2471" s="30" t="s">
        <v>8580</v>
      </c>
      <c r="F2471" s="30" t="s">
        <v>8585</v>
      </c>
      <c r="G2471" s="33" t="s">
        <v>16</v>
      </c>
      <c r="I2471" s="9">
        <v>15</v>
      </c>
    </row>
    <row r="2472" spans="1:9" hidden="1" x14ac:dyDescent="0.25">
      <c r="A2472" s="56" t="s">
        <v>8586</v>
      </c>
      <c r="B2472" s="61" t="s">
        <v>8587</v>
      </c>
      <c r="C2472" s="58">
        <v>5</v>
      </c>
      <c r="D2472" s="61" t="s">
        <v>7920</v>
      </c>
      <c r="E2472" s="61" t="s">
        <v>8588</v>
      </c>
      <c r="F2472" s="61" t="s">
        <v>8593</v>
      </c>
      <c r="G2472" s="62" t="s">
        <v>16</v>
      </c>
      <c r="I2472" s="9">
        <v>15</v>
      </c>
    </row>
    <row r="2473" spans="1:9" hidden="1" x14ac:dyDescent="0.25">
      <c r="A2473" s="11" t="s">
        <v>8594</v>
      </c>
      <c r="B2473" s="12" t="s">
        <v>8595</v>
      </c>
      <c r="C2473" s="13">
        <v>5</v>
      </c>
      <c r="D2473" s="12" t="s">
        <v>7920</v>
      </c>
      <c r="E2473" s="12" t="s">
        <v>8596</v>
      </c>
      <c r="F2473" s="12" t="s">
        <v>8601</v>
      </c>
      <c r="G2473" s="15" t="s">
        <v>16</v>
      </c>
      <c r="I2473" s="9">
        <v>15</v>
      </c>
    </row>
    <row r="2474" spans="1:9" hidden="1" x14ac:dyDescent="0.25">
      <c r="A2474" s="11" t="s">
        <v>8602</v>
      </c>
      <c r="B2474" s="12" t="s">
        <v>1814</v>
      </c>
      <c r="C2474" s="13">
        <v>5</v>
      </c>
      <c r="D2474" s="12" t="s">
        <v>7920</v>
      </c>
      <c r="E2474" s="12" t="s">
        <v>8603</v>
      </c>
      <c r="F2474" s="12" t="s">
        <v>8608</v>
      </c>
      <c r="G2474" s="15" t="s">
        <v>16</v>
      </c>
      <c r="I2474" s="9">
        <v>15</v>
      </c>
    </row>
    <row r="2475" spans="1:9" hidden="1" x14ac:dyDescent="0.25">
      <c r="A2475" s="11" t="s">
        <v>8609</v>
      </c>
      <c r="B2475" s="12" t="s">
        <v>1023</v>
      </c>
      <c r="C2475" s="13">
        <v>5</v>
      </c>
      <c r="D2475" s="12" t="s">
        <v>7920</v>
      </c>
      <c r="E2475" s="12" t="s">
        <v>8610</v>
      </c>
      <c r="F2475" s="12" t="s">
        <v>8615</v>
      </c>
      <c r="G2475" s="15" t="s">
        <v>16</v>
      </c>
      <c r="I2475" s="9">
        <v>15</v>
      </c>
    </row>
    <row r="2476" spans="1:9" hidden="1" x14ac:dyDescent="0.25">
      <c r="A2476" s="11" t="s">
        <v>8616</v>
      </c>
      <c r="B2476" s="12" t="s">
        <v>8617</v>
      </c>
      <c r="C2476" s="13">
        <v>5</v>
      </c>
      <c r="D2476" s="12" t="s">
        <v>7920</v>
      </c>
      <c r="E2476" s="12" t="s">
        <v>8618</v>
      </c>
      <c r="F2476" s="12" t="s">
        <v>8623</v>
      </c>
      <c r="G2476" s="15" t="s">
        <v>16</v>
      </c>
      <c r="I2476" s="9">
        <v>15</v>
      </c>
    </row>
    <row r="2477" spans="1:9" hidden="1" x14ac:dyDescent="0.25">
      <c r="A2477" s="11" t="s">
        <v>8624</v>
      </c>
      <c r="B2477" s="12" t="s">
        <v>8625</v>
      </c>
      <c r="C2477" s="13">
        <v>5</v>
      </c>
      <c r="D2477" s="12" t="s">
        <v>7920</v>
      </c>
      <c r="E2477" s="12" t="s">
        <v>8626</v>
      </c>
      <c r="F2477" s="12" t="s">
        <v>8631</v>
      </c>
      <c r="G2477" s="15" t="s">
        <v>16</v>
      </c>
      <c r="I2477" s="9">
        <v>15</v>
      </c>
    </row>
    <row r="2478" spans="1:9" hidden="1" x14ac:dyDescent="0.25">
      <c r="A2478" s="11" t="s">
        <v>8632</v>
      </c>
      <c r="B2478" s="12" t="s">
        <v>5979</v>
      </c>
      <c r="C2478" s="13">
        <v>5</v>
      </c>
      <c r="D2478" s="12" t="s">
        <v>7920</v>
      </c>
      <c r="E2478" s="12" t="s">
        <v>8633</v>
      </c>
      <c r="F2478" s="12" t="s">
        <v>8638</v>
      </c>
      <c r="G2478" s="15" t="s">
        <v>16</v>
      </c>
      <c r="I2478" s="9">
        <v>15</v>
      </c>
    </row>
    <row r="2479" spans="1:9" hidden="1" x14ac:dyDescent="0.25">
      <c r="A2479" s="11" t="s">
        <v>5559</v>
      </c>
      <c r="B2479" s="12" t="s">
        <v>5560</v>
      </c>
      <c r="C2479" s="13">
        <f>C2478+1</f>
        <v>6</v>
      </c>
      <c r="D2479" s="12" t="s">
        <v>5605</v>
      </c>
      <c r="E2479" s="12" t="s">
        <v>5561</v>
      </c>
      <c r="F2479" s="12" t="s">
        <v>5606</v>
      </c>
      <c r="G2479" s="80" t="s">
        <v>16</v>
      </c>
      <c r="I2479" s="90">
        <v>12</v>
      </c>
    </row>
    <row r="2480" spans="1:9" ht="12.75" hidden="1" thickBot="1" x14ac:dyDescent="0.25">
      <c r="A2480" s="36" t="s">
        <v>6601</v>
      </c>
      <c r="B2480" s="30" t="s">
        <v>6602</v>
      </c>
      <c r="C2480" s="31">
        <v>5</v>
      </c>
      <c r="D2480" s="69" t="s">
        <v>6609</v>
      </c>
      <c r="E2480" s="30" t="s">
        <v>6603</v>
      </c>
      <c r="F2480" s="30" t="s">
        <v>6610</v>
      </c>
      <c r="G2480" s="33" t="s">
        <v>16</v>
      </c>
    </row>
    <row r="2481" spans="1:27" hidden="1" x14ac:dyDescent="0.25">
      <c r="A2481" s="56" t="s">
        <v>6189</v>
      </c>
      <c r="B2481" s="61" t="s">
        <v>6190</v>
      </c>
      <c r="C2481" s="58">
        <f>C2480+1</f>
        <v>6</v>
      </c>
      <c r="D2481" s="61" t="s">
        <v>6199</v>
      </c>
      <c r="E2481" s="61" t="s">
        <v>6191</v>
      </c>
      <c r="F2481" s="61" t="s">
        <v>6200</v>
      </c>
      <c r="G2481" s="62" t="s">
        <v>16</v>
      </c>
      <c r="I2481" s="90">
        <v>12</v>
      </c>
    </row>
    <row r="2482" spans="1:27" hidden="1" x14ac:dyDescent="0.25">
      <c r="A2482" s="11" t="s">
        <v>6371</v>
      </c>
      <c r="B2482" s="12" t="s">
        <v>6372</v>
      </c>
      <c r="C2482" s="13">
        <v>6</v>
      </c>
      <c r="D2482" s="12" t="s">
        <v>6199</v>
      </c>
      <c r="E2482" s="12" t="s">
        <v>6373</v>
      </c>
      <c r="F2482" s="12" t="s">
        <v>6380</v>
      </c>
      <c r="G2482" s="15" t="s">
        <v>16</v>
      </c>
      <c r="I2482" s="99">
        <v>13</v>
      </c>
    </row>
    <row r="2483" spans="1:27" hidden="1" x14ac:dyDescent="0.2">
      <c r="A2483" s="11" t="s">
        <v>6614</v>
      </c>
      <c r="B2483" s="12" t="s">
        <v>6615</v>
      </c>
      <c r="C2483" s="13">
        <v>5</v>
      </c>
      <c r="D2483" s="14" t="s">
        <v>6199</v>
      </c>
      <c r="E2483" s="12" t="s">
        <v>6616</v>
      </c>
      <c r="F2483" s="12" t="s">
        <v>6621</v>
      </c>
      <c r="G2483" s="15" t="s">
        <v>16</v>
      </c>
    </row>
    <row r="2484" spans="1:27" hidden="1" x14ac:dyDescent="0.2">
      <c r="A2484" s="11" t="s">
        <v>5329</v>
      </c>
      <c r="B2484" s="12" t="s">
        <v>5330</v>
      </c>
      <c r="C2484" s="13">
        <v>6</v>
      </c>
      <c r="D2484" s="37" t="s">
        <v>5340</v>
      </c>
      <c r="E2484" s="12" t="s">
        <v>5331</v>
      </c>
      <c r="F2484" s="75" t="s">
        <v>5341</v>
      </c>
      <c r="G2484" s="15" t="s">
        <v>16</v>
      </c>
    </row>
    <row r="2485" spans="1:27" hidden="1" x14ac:dyDescent="0.25">
      <c r="A2485" s="11" t="s">
        <v>5363</v>
      </c>
      <c r="B2485" s="12" t="s">
        <v>5364</v>
      </c>
      <c r="C2485" s="13">
        <v>6</v>
      </c>
      <c r="D2485" s="22" t="s">
        <v>5374</v>
      </c>
      <c r="E2485" s="12" t="s">
        <v>5365</v>
      </c>
      <c r="F2485" s="22" t="s">
        <v>5375</v>
      </c>
      <c r="G2485" s="15" t="s">
        <v>16</v>
      </c>
    </row>
    <row r="2486" spans="1:27" hidden="1" x14ac:dyDescent="0.25">
      <c r="A2486" s="11" t="s">
        <v>5413</v>
      </c>
      <c r="B2486" s="12" t="s">
        <v>5414</v>
      </c>
      <c r="C2486" s="13">
        <v>6</v>
      </c>
      <c r="D2486" s="22" t="s">
        <v>5374</v>
      </c>
      <c r="E2486" s="12" t="s">
        <v>5415</v>
      </c>
      <c r="F2486" s="22" t="s">
        <v>5424</v>
      </c>
      <c r="G2486" s="15" t="s">
        <v>16</v>
      </c>
    </row>
    <row r="2487" spans="1:27" ht="12.75" hidden="1" thickBot="1" x14ac:dyDescent="0.25">
      <c r="A2487" s="147" t="s">
        <v>5060</v>
      </c>
      <c r="B2487" s="30" t="s">
        <v>5061</v>
      </c>
      <c r="C2487" s="31">
        <v>21</v>
      </c>
      <c r="D2487" s="69" t="s">
        <v>5097</v>
      </c>
      <c r="E2487" s="30" t="s">
        <v>5062</v>
      </c>
      <c r="F2487" s="30" t="s">
        <v>5098</v>
      </c>
      <c r="G2487" s="152" t="s">
        <v>16</v>
      </c>
    </row>
    <row r="2488" spans="1:27" hidden="1" x14ac:dyDescent="0.2">
      <c r="A2488" s="145" t="s">
        <v>5060</v>
      </c>
      <c r="B2488" s="61" t="s">
        <v>5061</v>
      </c>
      <c r="C2488" s="58">
        <v>20</v>
      </c>
      <c r="D2488" s="107" t="s">
        <v>5095</v>
      </c>
      <c r="E2488" s="61" t="s">
        <v>5062</v>
      </c>
      <c r="F2488" s="61" t="s">
        <v>5096</v>
      </c>
      <c r="G2488" s="149" t="s">
        <v>16</v>
      </c>
    </row>
    <row r="2489" spans="1:27" hidden="1" x14ac:dyDescent="0.2">
      <c r="A2489" s="11" t="s">
        <v>362</v>
      </c>
      <c r="B2489" s="12" t="s">
        <v>363</v>
      </c>
      <c r="C2489" s="13">
        <v>13</v>
      </c>
      <c r="D2489" s="14" t="s">
        <v>386</v>
      </c>
      <c r="E2489" s="12" t="s">
        <v>364</v>
      </c>
      <c r="F2489" s="12" t="s">
        <v>387</v>
      </c>
      <c r="G2489" s="15" t="s">
        <v>16</v>
      </c>
    </row>
    <row r="2490" spans="1:27" hidden="1" x14ac:dyDescent="0.2">
      <c r="A2490" s="146" t="s">
        <v>5060</v>
      </c>
      <c r="B2490" s="12" t="s">
        <v>5061</v>
      </c>
      <c r="C2490" s="13">
        <v>19</v>
      </c>
      <c r="D2490" s="14" t="s">
        <v>5093</v>
      </c>
      <c r="E2490" s="12" t="s">
        <v>5062</v>
      </c>
      <c r="F2490" s="12" t="s">
        <v>5094</v>
      </c>
      <c r="G2490" s="80" t="s">
        <v>16</v>
      </c>
    </row>
    <row r="2491" spans="1:27" hidden="1" x14ac:dyDescent="0.2">
      <c r="A2491" s="146" t="s">
        <v>5060</v>
      </c>
      <c r="B2491" s="12" t="s">
        <v>5061</v>
      </c>
      <c r="C2491" s="13">
        <v>18</v>
      </c>
      <c r="D2491" s="14" t="s">
        <v>5091</v>
      </c>
      <c r="E2491" s="12" t="s">
        <v>5062</v>
      </c>
      <c r="F2491" s="12" t="s">
        <v>5092</v>
      </c>
      <c r="G2491" s="80" t="s">
        <v>16</v>
      </c>
    </row>
    <row r="2492" spans="1:27" hidden="1" x14ac:dyDescent="0.2">
      <c r="A2492" s="11" t="s">
        <v>362</v>
      </c>
      <c r="B2492" s="12" t="s">
        <v>363</v>
      </c>
      <c r="C2492" s="13">
        <v>12</v>
      </c>
      <c r="D2492" s="14" t="s">
        <v>384</v>
      </c>
      <c r="E2492" s="12" t="s">
        <v>364</v>
      </c>
      <c r="F2492" s="12" t="s">
        <v>385</v>
      </c>
      <c r="G2492" s="15" t="s">
        <v>16</v>
      </c>
    </row>
    <row r="2493" spans="1:27" hidden="1" x14ac:dyDescent="0.25">
      <c r="A2493" s="11" t="s">
        <v>1568</v>
      </c>
      <c r="B2493" s="12" t="s">
        <v>1569</v>
      </c>
      <c r="C2493" s="13">
        <v>27</v>
      </c>
      <c r="D2493" s="12" t="s">
        <v>1624</v>
      </c>
      <c r="E2493" s="12" t="s">
        <v>1570</v>
      </c>
      <c r="F2493" s="12" t="s">
        <v>1625</v>
      </c>
      <c r="G2493" s="15" t="s">
        <v>1626</v>
      </c>
      <c r="I2493" s="94">
        <v>14</v>
      </c>
    </row>
    <row r="2494" spans="1:27" hidden="1" x14ac:dyDescent="0.2">
      <c r="A2494" s="11" t="s">
        <v>93</v>
      </c>
      <c r="B2494" s="12" t="s">
        <v>94</v>
      </c>
      <c r="C2494" s="13">
        <v>42</v>
      </c>
      <c r="D2494" s="14" t="s">
        <v>181</v>
      </c>
      <c r="E2494" s="12" t="s">
        <v>96</v>
      </c>
      <c r="F2494" s="12" t="s">
        <v>182</v>
      </c>
      <c r="G2494" s="15" t="s">
        <v>28</v>
      </c>
    </row>
    <row r="2495" spans="1:27" hidden="1" x14ac:dyDescent="0.2">
      <c r="A2495" s="11" t="s">
        <v>93</v>
      </c>
      <c r="B2495" s="12" t="s">
        <v>94</v>
      </c>
      <c r="C2495" s="13">
        <v>40</v>
      </c>
      <c r="D2495" s="14" t="s">
        <v>177</v>
      </c>
      <c r="E2495" s="12" t="s">
        <v>96</v>
      </c>
      <c r="F2495" s="12" t="s">
        <v>178</v>
      </c>
      <c r="G2495" s="15" t="s">
        <v>16</v>
      </c>
    </row>
    <row r="2496" spans="1:27" s="10" customFormat="1" hidden="1" x14ac:dyDescent="0.2">
      <c r="A2496" s="11" t="s">
        <v>537</v>
      </c>
      <c r="B2496" s="12" t="s">
        <v>538</v>
      </c>
      <c r="C2496" s="13">
        <v>5</v>
      </c>
      <c r="D2496" s="12" t="s">
        <v>546</v>
      </c>
      <c r="E2496" s="14" t="s">
        <v>539</v>
      </c>
      <c r="F2496" s="12" t="s">
        <v>547</v>
      </c>
      <c r="G2496" s="15" t="s">
        <v>16</v>
      </c>
      <c r="H2496" s="8"/>
      <c r="I2496" s="90">
        <v>12</v>
      </c>
      <c r="J2496" s="8"/>
      <c r="K2496" s="8"/>
      <c r="L2496" s="8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  <c r="AA2496" s="8"/>
    </row>
    <row r="2497" spans="1:27" hidden="1" x14ac:dyDescent="0.2">
      <c r="A2497" s="11" t="s">
        <v>2416</v>
      </c>
      <c r="B2497" s="12" t="s">
        <v>2417</v>
      </c>
      <c r="C2497" s="13">
        <v>1</v>
      </c>
      <c r="D2497" s="37" t="s">
        <v>2418</v>
      </c>
      <c r="E2497" s="8" t="s">
        <v>2419</v>
      </c>
      <c r="F2497" s="22" t="s">
        <v>2420</v>
      </c>
      <c r="G2497" s="15" t="s">
        <v>16</v>
      </c>
    </row>
    <row r="2498" spans="1:27" ht="12.75" hidden="1" thickBot="1" x14ac:dyDescent="0.25">
      <c r="A2498" s="36" t="s">
        <v>2429</v>
      </c>
      <c r="B2498" s="30" t="s">
        <v>2430</v>
      </c>
      <c r="C2498" s="31">
        <v>1</v>
      </c>
      <c r="D2498" s="6" t="s">
        <v>2418</v>
      </c>
      <c r="E2498" s="55" t="s">
        <v>2431</v>
      </c>
      <c r="F2498" s="4" t="s">
        <v>2432</v>
      </c>
      <c r="G2498" s="33" t="s">
        <v>16</v>
      </c>
    </row>
    <row r="2499" spans="1:27" s="40" customFormat="1" hidden="1" x14ac:dyDescent="0.2">
      <c r="A2499" s="56" t="s">
        <v>2631</v>
      </c>
      <c r="B2499" s="61" t="s">
        <v>2632</v>
      </c>
      <c r="C2499" s="58">
        <v>1</v>
      </c>
      <c r="D2499" s="103" t="s">
        <v>2633</v>
      </c>
      <c r="E2499" s="61" t="s">
        <v>2634</v>
      </c>
      <c r="F2499" s="128" t="s">
        <v>2635</v>
      </c>
      <c r="G2499" s="129" t="s">
        <v>16</v>
      </c>
      <c r="H2499" s="8"/>
      <c r="I2499" s="90"/>
      <c r="J2499" s="8"/>
      <c r="K2499" s="8"/>
      <c r="L2499" s="8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  <c r="AA2499" s="8"/>
    </row>
    <row r="2500" spans="1:27" s="40" customFormat="1" hidden="1" x14ac:dyDescent="0.2">
      <c r="A2500" s="11" t="s">
        <v>2867</v>
      </c>
      <c r="B2500" s="12" t="s">
        <v>2868</v>
      </c>
      <c r="C2500" s="13">
        <v>1</v>
      </c>
      <c r="D2500" s="37" t="s">
        <v>2633</v>
      </c>
      <c r="E2500" s="12" t="s">
        <v>2869</v>
      </c>
      <c r="F2500" s="75" t="s">
        <v>2870</v>
      </c>
      <c r="G2500" s="66" t="s">
        <v>16</v>
      </c>
      <c r="H2500" s="8"/>
      <c r="I2500" s="90"/>
      <c r="J2500" s="8"/>
      <c r="K2500" s="8"/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  <c r="AA2500" s="8"/>
    </row>
    <row r="2501" spans="1:27" s="40" customFormat="1" hidden="1" x14ac:dyDescent="0.2">
      <c r="A2501" s="11" t="s">
        <v>3165</v>
      </c>
      <c r="B2501" s="12" t="s">
        <v>3166</v>
      </c>
      <c r="C2501" s="13">
        <v>1</v>
      </c>
      <c r="D2501" s="22" t="s">
        <v>2633</v>
      </c>
      <c r="E2501" s="22" t="s">
        <v>3167</v>
      </c>
      <c r="F2501" s="75" t="s">
        <v>3168</v>
      </c>
      <c r="G2501" s="71" t="s">
        <v>16</v>
      </c>
      <c r="H2501" s="8"/>
      <c r="I2501" s="90"/>
      <c r="J2501" s="8"/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8"/>
      <c r="AA2501" s="8"/>
    </row>
    <row r="2502" spans="1:27" s="40" customFormat="1" hidden="1" x14ac:dyDescent="0.2">
      <c r="A2502" s="11" t="s">
        <v>3355</v>
      </c>
      <c r="B2502" s="12" t="s">
        <v>3356</v>
      </c>
      <c r="C2502" s="13">
        <v>1</v>
      </c>
      <c r="D2502" s="22" t="s">
        <v>2633</v>
      </c>
      <c r="E2502" s="22" t="s">
        <v>3357</v>
      </c>
      <c r="F2502" s="75" t="s">
        <v>3358</v>
      </c>
      <c r="G2502" s="71" t="s">
        <v>16</v>
      </c>
      <c r="H2502" s="38"/>
      <c r="I2502" s="93"/>
      <c r="J2502" s="38"/>
      <c r="K2502" s="38"/>
      <c r="L2502" s="38"/>
      <c r="M2502" s="38"/>
      <c r="N2502" s="38"/>
      <c r="O2502" s="38"/>
      <c r="P2502" s="38"/>
      <c r="Q2502" s="38"/>
      <c r="R2502" s="38"/>
      <c r="S2502" s="38"/>
      <c r="T2502" s="38"/>
      <c r="U2502" s="38"/>
      <c r="V2502" s="38"/>
      <c r="W2502" s="38"/>
      <c r="X2502" s="38"/>
      <c r="Y2502" s="38"/>
      <c r="Z2502" s="38"/>
      <c r="AA2502" s="38"/>
    </row>
    <row r="2503" spans="1:27" s="40" customFormat="1" hidden="1" x14ac:dyDescent="0.2">
      <c r="A2503" s="11" t="s">
        <v>3384</v>
      </c>
      <c r="B2503" s="12" t="s">
        <v>3385</v>
      </c>
      <c r="C2503" s="13">
        <v>1</v>
      </c>
      <c r="D2503" s="42" t="s">
        <v>2633</v>
      </c>
      <c r="E2503" s="65" t="s">
        <v>3386</v>
      </c>
      <c r="F2503" s="75" t="s">
        <v>3387</v>
      </c>
      <c r="G2503" s="66" t="s">
        <v>16</v>
      </c>
      <c r="H2503" s="8"/>
      <c r="I2503" s="90"/>
      <c r="J2503" s="8"/>
      <c r="K2503" s="8"/>
      <c r="L2503" s="8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  <c r="AA2503" s="8"/>
    </row>
    <row r="2504" spans="1:27" s="10" customFormat="1" hidden="1" x14ac:dyDescent="0.2">
      <c r="A2504" s="11" t="s">
        <v>4364</v>
      </c>
      <c r="B2504" s="12" t="s">
        <v>4365</v>
      </c>
      <c r="C2504" s="13">
        <v>1</v>
      </c>
      <c r="D2504" s="22" t="s">
        <v>2633</v>
      </c>
      <c r="E2504" s="12" t="s">
        <v>4366</v>
      </c>
      <c r="F2504" s="22" t="s">
        <v>4367</v>
      </c>
      <c r="G2504" s="66" t="s">
        <v>16</v>
      </c>
      <c r="H2504" s="8"/>
      <c r="I2504" s="90" t="s">
        <v>2426</v>
      </c>
      <c r="J2504" s="8"/>
      <c r="K2504" s="8"/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  <c r="AA2504" s="8"/>
    </row>
    <row r="2505" spans="1:27" s="10" customFormat="1" hidden="1" x14ac:dyDescent="0.2">
      <c r="A2505" s="11" t="s">
        <v>4375</v>
      </c>
      <c r="B2505" s="12" t="s">
        <v>4376</v>
      </c>
      <c r="C2505" s="13">
        <v>1</v>
      </c>
      <c r="D2505" s="22" t="s">
        <v>2633</v>
      </c>
      <c r="E2505" s="12" t="s">
        <v>4377</v>
      </c>
      <c r="F2505" s="22" t="s">
        <v>4378</v>
      </c>
      <c r="G2505" s="66" t="s">
        <v>16</v>
      </c>
      <c r="H2505" s="8"/>
      <c r="I2505" s="90" t="s">
        <v>2426</v>
      </c>
      <c r="J2505" s="8"/>
      <c r="K2505" s="8"/>
      <c r="L2505" s="8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8"/>
      <c r="AA2505" s="8"/>
    </row>
    <row r="2506" spans="1:27" s="10" customFormat="1" hidden="1" x14ac:dyDescent="0.2">
      <c r="A2506" s="11" t="s">
        <v>4391</v>
      </c>
      <c r="B2506" s="12" t="s">
        <v>4392</v>
      </c>
      <c r="C2506" s="13">
        <v>1</v>
      </c>
      <c r="D2506" s="12" t="s">
        <v>2418</v>
      </c>
      <c r="E2506" s="12" t="s">
        <v>4393</v>
      </c>
      <c r="F2506" s="12" t="s">
        <v>4394</v>
      </c>
      <c r="G2506" s="66" t="s">
        <v>16</v>
      </c>
      <c r="H2506" s="8"/>
      <c r="I2506" s="90">
        <v>12</v>
      </c>
      <c r="J2506" s="8"/>
      <c r="K2506" s="8"/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  <c r="AA2506" s="8"/>
    </row>
    <row r="2507" spans="1:27" s="10" customFormat="1" hidden="1" x14ac:dyDescent="0.25">
      <c r="A2507" s="11" t="s">
        <v>5686</v>
      </c>
      <c r="B2507" s="12" t="s">
        <v>5687</v>
      </c>
      <c r="C2507" s="13">
        <v>1</v>
      </c>
      <c r="D2507" s="22" t="s">
        <v>2633</v>
      </c>
      <c r="E2507" s="12" t="s">
        <v>5688</v>
      </c>
      <c r="F2507" s="22" t="s">
        <v>5689</v>
      </c>
      <c r="G2507" s="80" t="s">
        <v>16</v>
      </c>
      <c r="H2507" s="8"/>
      <c r="I2507" s="90">
        <v>12</v>
      </c>
      <c r="J2507" s="8"/>
      <c r="K2507" s="8"/>
      <c r="L2507" s="8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8"/>
      <c r="AA2507" s="8"/>
    </row>
    <row r="2508" spans="1:27" s="10" customFormat="1" hidden="1" x14ac:dyDescent="0.25">
      <c r="A2508" s="11" t="s">
        <v>5866</v>
      </c>
      <c r="B2508" s="12" t="s">
        <v>5867</v>
      </c>
      <c r="C2508" s="13">
        <v>1</v>
      </c>
      <c r="D2508" s="22" t="s">
        <v>2633</v>
      </c>
      <c r="E2508" s="12" t="s">
        <v>5868</v>
      </c>
      <c r="F2508" s="22" t="s">
        <v>5869</v>
      </c>
      <c r="G2508" s="80" t="s">
        <v>16</v>
      </c>
      <c r="H2508" s="8"/>
      <c r="I2508" s="90">
        <v>12</v>
      </c>
      <c r="J2508" s="8"/>
      <c r="K2508" s="8"/>
      <c r="L2508" s="8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8"/>
      <c r="AA2508" s="8"/>
    </row>
    <row r="2509" spans="1:27" s="10" customFormat="1" hidden="1" x14ac:dyDescent="0.25">
      <c r="A2509" s="11" t="s">
        <v>6325</v>
      </c>
      <c r="B2509" s="12" t="s">
        <v>6326</v>
      </c>
      <c r="C2509" s="13">
        <v>1</v>
      </c>
      <c r="D2509" s="22" t="s">
        <v>2418</v>
      </c>
      <c r="E2509" s="12" t="s">
        <v>6327</v>
      </c>
      <c r="F2509" s="22" t="s">
        <v>6328</v>
      </c>
      <c r="G2509" s="15" t="s">
        <v>16</v>
      </c>
      <c r="H2509" s="8"/>
      <c r="I2509" s="90">
        <v>12</v>
      </c>
      <c r="J2509" s="8"/>
      <c r="K2509" s="8"/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  <c r="AA2509" s="8"/>
    </row>
    <row r="2510" spans="1:27" s="10" customFormat="1" hidden="1" x14ac:dyDescent="0.25">
      <c r="A2510" s="11" t="s">
        <v>6543</v>
      </c>
      <c r="B2510" s="12" t="s">
        <v>6544</v>
      </c>
      <c r="C2510" s="13">
        <v>1</v>
      </c>
      <c r="D2510" s="22" t="s">
        <v>2418</v>
      </c>
      <c r="E2510" s="12" t="s">
        <v>6545</v>
      </c>
      <c r="F2510" s="22" t="s">
        <v>6546</v>
      </c>
      <c r="G2510" s="15" t="s">
        <v>16</v>
      </c>
      <c r="H2510" s="8"/>
      <c r="I2510" s="90">
        <v>12</v>
      </c>
      <c r="J2510" s="8"/>
      <c r="K2510" s="8"/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  <c r="AA2510" s="8"/>
    </row>
    <row r="2511" spans="1:27" s="10" customFormat="1" hidden="1" x14ac:dyDescent="0.25">
      <c r="A2511" s="11" t="s">
        <v>6559</v>
      </c>
      <c r="B2511" s="12" t="s">
        <v>6560</v>
      </c>
      <c r="C2511" s="13">
        <v>1</v>
      </c>
      <c r="D2511" s="22" t="s">
        <v>2418</v>
      </c>
      <c r="E2511" s="12" t="s">
        <v>6561</v>
      </c>
      <c r="F2511" s="22" t="s">
        <v>6562</v>
      </c>
      <c r="G2511" s="15" t="s">
        <v>16</v>
      </c>
      <c r="H2511" s="8"/>
      <c r="I2511" s="90">
        <v>12</v>
      </c>
      <c r="J2511" s="8"/>
      <c r="K2511" s="8"/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  <c r="AA2511" s="8"/>
    </row>
    <row r="2512" spans="1:27" s="10" customFormat="1" hidden="1" x14ac:dyDescent="0.25">
      <c r="A2512" s="11" t="s">
        <v>6570</v>
      </c>
      <c r="B2512" s="12" t="s">
        <v>6571</v>
      </c>
      <c r="C2512" s="13">
        <v>1</v>
      </c>
      <c r="D2512" s="22" t="s">
        <v>2418</v>
      </c>
      <c r="E2512" s="12" t="s">
        <v>6572</v>
      </c>
      <c r="F2512" s="22" t="s">
        <v>6573</v>
      </c>
      <c r="G2512" s="15" t="s">
        <v>16</v>
      </c>
      <c r="H2512" s="8"/>
      <c r="I2512" s="90">
        <v>12</v>
      </c>
      <c r="J2512" s="8"/>
      <c r="K2512" s="8"/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  <c r="AA2512" s="8"/>
    </row>
    <row r="2513" spans="1:27" s="10" customFormat="1" hidden="1" x14ac:dyDescent="0.25">
      <c r="A2513" s="11" t="s">
        <v>6787</v>
      </c>
      <c r="B2513" s="12" t="s">
        <v>6788</v>
      </c>
      <c r="C2513" s="13">
        <v>1</v>
      </c>
      <c r="D2513" s="22" t="s">
        <v>2418</v>
      </c>
      <c r="E2513" s="12" t="s">
        <v>6789</v>
      </c>
      <c r="F2513" s="22" t="s">
        <v>6790</v>
      </c>
      <c r="G2513" s="15" t="s">
        <v>16</v>
      </c>
      <c r="H2513" s="8"/>
      <c r="I2513" s="90"/>
      <c r="J2513" s="8"/>
      <c r="K2513" s="8"/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  <c r="AA2513" s="8"/>
    </row>
    <row r="2514" spans="1:27" s="10" customFormat="1" hidden="1" x14ac:dyDescent="0.2">
      <c r="A2514" s="11" t="s">
        <v>7002</v>
      </c>
      <c r="B2514" s="12" t="s">
        <v>7003</v>
      </c>
      <c r="C2514" s="13">
        <v>1</v>
      </c>
      <c r="D2514" s="75" t="s">
        <v>2418</v>
      </c>
      <c r="E2514" s="12" t="s">
        <v>7004</v>
      </c>
      <c r="F2514" s="22" t="s">
        <v>7005</v>
      </c>
      <c r="G2514" s="15" t="s">
        <v>16</v>
      </c>
      <c r="H2514" s="8"/>
      <c r="I2514" s="90"/>
      <c r="J2514" s="8"/>
      <c r="K2514" s="8"/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  <c r="AA2514" s="8"/>
    </row>
    <row r="2515" spans="1:27" s="10" customFormat="1" hidden="1" x14ac:dyDescent="0.2">
      <c r="A2515" s="146" t="s">
        <v>5060</v>
      </c>
      <c r="B2515" s="12" t="s">
        <v>5061</v>
      </c>
      <c r="C2515" s="13">
        <v>23</v>
      </c>
      <c r="D2515" s="14" t="s">
        <v>5101</v>
      </c>
      <c r="E2515" s="12" t="s">
        <v>5062</v>
      </c>
      <c r="F2515" s="12" t="s">
        <v>5102</v>
      </c>
      <c r="G2515" s="80" t="s">
        <v>16</v>
      </c>
      <c r="H2515" s="8"/>
      <c r="I2515" s="90"/>
      <c r="J2515" s="8"/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  <c r="AA2515" s="8"/>
    </row>
    <row r="2516" spans="1:27" s="10" customFormat="1" hidden="1" x14ac:dyDescent="0.2">
      <c r="A2516" s="146" t="s">
        <v>5060</v>
      </c>
      <c r="B2516" s="12" t="s">
        <v>5061</v>
      </c>
      <c r="C2516" s="13">
        <v>22</v>
      </c>
      <c r="D2516" s="14" t="s">
        <v>5099</v>
      </c>
      <c r="E2516" s="12" t="s">
        <v>5062</v>
      </c>
      <c r="F2516" s="12" t="s">
        <v>5100</v>
      </c>
      <c r="G2516" s="80" t="s">
        <v>16</v>
      </c>
      <c r="H2516" s="8"/>
      <c r="I2516" s="90"/>
      <c r="J2516" s="8"/>
      <c r="K2516" s="8"/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  <c r="AA2516" s="8"/>
    </row>
    <row r="2517" spans="1:27" s="10" customFormat="1" hidden="1" x14ac:dyDescent="0.2">
      <c r="A2517" s="11" t="s">
        <v>362</v>
      </c>
      <c r="B2517" s="12" t="s">
        <v>363</v>
      </c>
      <c r="C2517" s="13">
        <v>14</v>
      </c>
      <c r="D2517" s="14" t="s">
        <v>388</v>
      </c>
      <c r="E2517" s="12" t="s">
        <v>364</v>
      </c>
      <c r="F2517" s="12" t="s">
        <v>389</v>
      </c>
      <c r="G2517" s="15" t="s">
        <v>16</v>
      </c>
      <c r="H2517" s="8"/>
      <c r="I2517" s="90"/>
      <c r="J2517" s="8"/>
      <c r="K2517" s="8"/>
      <c r="L2517" s="8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  <c r="AA2517" s="8"/>
    </row>
    <row r="2518" spans="1:27" s="10" customFormat="1" hidden="1" x14ac:dyDescent="0.25">
      <c r="A2518" s="11" t="s">
        <v>5985</v>
      </c>
      <c r="B2518" s="12" t="s">
        <v>5986</v>
      </c>
      <c r="C2518" s="13">
        <v>4</v>
      </c>
      <c r="D2518" s="22" t="s">
        <v>5991</v>
      </c>
      <c r="E2518" s="12" t="s">
        <v>5987</v>
      </c>
      <c r="F2518" s="22" t="s">
        <v>5992</v>
      </c>
      <c r="G2518" s="80" t="s">
        <v>16</v>
      </c>
      <c r="H2518" s="8"/>
      <c r="I2518" s="90"/>
      <c r="J2518" s="8"/>
      <c r="K2518" s="8"/>
      <c r="L2518" s="8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  <c r="AA2518" s="8"/>
    </row>
    <row r="2519" spans="1:27" s="10" customFormat="1" hidden="1" x14ac:dyDescent="0.25">
      <c r="A2519" s="11" t="s">
        <v>6017</v>
      </c>
      <c r="B2519" s="12" t="s">
        <v>6018</v>
      </c>
      <c r="C2519" s="13">
        <v>8</v>
      </c>
      <c r="D2519" s="22" t="s">
        <v>5991</v>
      </c>
      <c r="E2519" s="12" t="s">
        <v>6019</v>
      </c>
      <c r="F2519" s="22" t="s">
        <v>6031</v>
      </c>
      <c r="G2519" s="15" t="s">
        <v>16</v>
      </c>
      <c r="H2519" s="8"/>
      <c r="I2519" s="90"/>
      <c r="J2519" s="8"/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  <c r="AA2519" s="8"/>
    </row>
    <row r="2520" spans="1:27" s="10" customFormat="1" hidden="1" x14ac:dyDescent="0.25">
      <c r="A2520" s="11" t="s">
        <v>6252</v>
      </c>
      <c r="B2520" s="12" t="s">
        <v>6253</v>
      </c>
      <c r="C2520" s="13">
        <f>C2519+1</f>
        <v>9</v>
      </c>
      <c r="D2520" s="22" t="s">
        <v>5991</v>
      </c>
      <c r="E2520" s="12" t="s">
        <v>6254</v>
      </c>
      <c r="F2520" s="22" t="s">
        <v>6265</v>
      </c>
      <c r="G2520" s="15" t="s">
        <v>16</v>
      </c>
      <c r="H2520" s="8"/>
      <c r="I2520" s="90">
        <v>12</v>
      </c>
      <c r="J2520" s="8"/>
      <c r="K2520" s="8"/>
      <c r="L2520" s="8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  <c r="AA2520" s="8"/>
    </row>
    <row r="2521" spans="1:27" s="10" customFormat="1" ht="12.75" hidden="1" thickBot="1" x14ac:dyDescent="0.3">
      <c r="A2521" s="36" t="s">
        <v>6664</v>
      </c>
      <c r="B2521" s="30" t="s">
        <v>6665</v>
      </c>
      <c r="C2521" s="31">
        <f>+C2520+1</f>
        <v>10</v>
      </c>
      <c r="D2521" s="4" t="s">
        <v>5991</v>
      </c>
      <c r="E2521" s="30" t="s">
        <v>6666</v>
      </c>
      <c r="F2521" s="4" t="s">
        <v>6675</v>
      </c>
      <c r="G2521" s="33" t="s">
        <v>16</v>
      </c>
      <c r="H2521" s="8"/>
      <c r="I2521" s="90"/>
      <c r="J2521" s="8"/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  <c r="AA2521" s="8"/>
    </row>
    <row r="2522" spans="1:27" s="40" customFormat="1" hidden="1" x14ac:dyDescent="0.25">
      <c r="A2522" s="56" t="s">
        <v>6768</v>
      </c>
      <c r="B2522" s="61" t="s">
        <v>6769</v>
      </c>
      <c r="C2522" s="58">
        <v>10</v>
      </c>
      <c r="D2522" s="17" t="s">
        <v>5991</v>
      </c>
      <c r="E2522" s="61" t="s">
        <v>6770</v>
      </c>
      <c r="F2522" s="17" t="s">
        <v>6780</v>
      </c>
      <c r="G2522" s="62" t="s">
        <v>16</v>
      </c>
      <c r="H2522" s="8"/>
      <c r="I2522" s="90"/>
      <c r="J2522" s="8"/>
      <c r="K2522" s="8"/>
      <c r="L2522" s="8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8"/>
      <c r="AA2522" s="8"/>
    </row>
    <row r="2523" spans="1:27" s="40" customFormat="1" hidden="1" x14ac:dyDescent="0.25">
      <c r="A2523" s="180" t="s">
        <v>5312</v>
      </c>
      <c r="B2523" s="82" t="s">
        <v>5313</v>
      </c>
      <c r="C2523" s="83">
        <v>7</v>
      </c>
      <c r="D2523" s="82" t="s">
        <v>5327</v>
      </c>
      <c r="E2523" s="82" t="s">
        <v>5315</v>
      </c>
      <c r="F2523" s="82" t="s">
        <v>5328</v>
      </c>
      <c r="G2523" s="84" t="s">
        <v>16</v>
      </c>
      <c r="H2523" s="8"/>
      <c r="I2523" s="99">
        <v>13</v>
      </c>
      <c r="J2523" s="8"/>
      <c r="K2523" s="8"/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  <c r="AA2523" s="8"/>
    </row>
    <row r="2524" spans="1:27" s="40" customFormat="1" hidden="1" x14ac:dyDescent="0.2">
      <c r="A2524" s="11" t="s">
        <v>8</v>
      </c>
      <c r="B2524" s="12" t="s">
        <v>9</v>
      </c>
      <c r="C2524" s="13">
        <v>5</v>
      </c>
      <c r="D2524" s="14" t="s">
        <v>22</v>
      </c>
      <c r="E2524" s="12" t="s">
        <v>11</v>
      </c>
      <c r="F2524" s="12" t="s">
        <v>23</v>
      </c>
      <c r="G2524" s="15" t="s">
        <v>16</v>
      </c>
      <c r="H2524" s="8"/>
      <c r="I2524" s="90"/>
      <c r="J2524" s="8"/>
      <c r="K2524" s="8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  <c r="AA2524" s="8"/>
    </row>
    <row r="2525" spans="1:27" s="40" customFormat="1" hidden="1" x14ac:dyDescent="0.2">
      <c r="A2525" s="11" t="s">
        <v>69</v>
      </c>
      <c r="B2525" s="12" t="s">
        <v>70</v>
      </c>
      <c r="C2525" s="13">
        <v>10</v>
      </c>
      <c r="D2525" s="14" t="s">
        <v>22</v>
      </c>
      <c r="E2525" s="12" t="s">
        <v>72</v>
      </c>
      <c r="F2525" s="12" t="s">
        <v>88</v>
      </c>
      <c r="G2525" s="15" t="s">
        <v>16</v>
      </c>
      <c r="H2525" s="8"/>
      <c r="I2525" s="90"/>
      <c r="J2525" s="8"/>
      <c r="K2525" s="8"/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  <c r="AA2525" s="8"/>
    </row>
    <row r="2526" spans="1:27" s="40" customFormat="1" hidden="1" x14ac:dyDescent="0.2">
      <c r="A2526" s="11" t="s">
        <v>93</v>
      </c>
      <c r="B2526" s="12" t="s">
        <v>94</v>
      </c>
      <c r="C2526" s="13">
        <v>24</v>
      </c>
      <c r="D2526" s="14" t="s">
        <v>22</v>
      </c>
      <c r="E2526" s="12" t="s">
        <v>96</v>
      </c>
      <c r="F2526" s="12" t="s">
        <v>141</v>
      </c>
      <c r="G2526" s="15" t="s">
        <v>16</v>
      </c>
      <c r="H2526" s="8"/>
      <c r="I2526" s="90"/>
      <c r="J2526" s="8"/>
      <c r="K2526" s="8"/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  <c r="AA2526" s="8"/>
    </row>
    <row r="2527" spans="1:27" s="10" customFormat="1" hidden="1" x14ac:dyDescent="0.2">
      <c r="A2527" s="11" t="s">
        <v>289</v>
      </c>
      <c r="B2527" s="12" t="s">
        <v>290</v>
      </c>
      <c r="C2527" s="13">
        <v>9</v>
      </c>
      <c r="D2527" s="14" t="s">
        <v>22</v>
      </c>
      <c r="E2527" s="12" t="s">
        <v>291</v>
      </c>
      <c r="F2527" s="12" t="s">
        <v>303</v>
      </c>
      <c r="G2527" s="15" t="s">
        <v>16</v>
      </c>
      <c r="H2527" s="8"/>
      <c r="I2527" s="90"/>
      <c r="J2527" s="8"/>
      <c r="K2527" s="8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  <c r="AA2527" s="8"/>
    </row>
    <row r="2528" spans="1:27" s="10" customFormat="1" hidden="1" x14ac:dyDescent="0.2">
      <c r="A2528" s="11" t="s">
        <v>319</v>
      </c>
      <c r="B2528" s="12" t="s">
        <v>320</v>
      </c>
      <c r="C2528" s="13">
        <v>15</v>
      </c>
      <c r="D2528" s="14" t="s">
        <v>22</v>
      </c>
      <c r="E2528" s="12" t="s">
        <v>321</v>
      </c>
      <c r="F2528" s="12" t="s">
        <v>348</v>
      </c>
      <c r="G2528" s="15" t="s">
        <v>16</v>
      </c>
      <c r="H2528" s="8"/>
      <c r="I2528" s="90"/>
      <c r="J2528" s="8"/>
      <c r="K2528" s="8"/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  <c r="AA2528" s="8"/>
    </row>
    <row r="2529" spans="1:27" s="10" customFormat="1" hidden="1" x14ac:dyDescent="0.2">
      <c r="A2529" s="11" t="s">
        <v>362</v>
      </c>
      <c r="B2529" s="12" t="s">
        <v>363</v>
      </c>
      <c r="C2529" s="13">
        <v>33</v>
      </c>
      <c r="D2529" s="14" t="s">
        <v>22</v>
      </c>
      <c r="E2529" s="12" t="s">
        <v>364</v>
      </c>
      <c r="F2529" s="12" t="s">
        <v>425</v>
      </c>
      <c r="G2529" s="15" t="s">
        <v>16</v>
      </c>
      <c r="H2529" s="8"/>
      <c r="I2529" s="90"/>
      <c r="J2529" s="8"/>
      <c r="K2529" s="8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  <c r="AA2529" s="8"/>
    </row>
    <row r="2530" spans="1:27" s="10" customFormat="1" hidden="1" x14ac:dyDescent="0.2">
      <c r="A2530" s="11" t="s">
        <v>434</v>
      </c>
      <c r="B2530" s="12" t="s">
        <v>435</v>
      </c>
      <c r="C2530" s="13">
        <v>10</v>
      </c>
      <c r="D2530" s="14" t="s">
        <v>22</v>
      </c>
      <c r="E2530" s="12" t="s">
        <v>436</v>
      </c>
      <c r="F2530" s="12" t="s">
        <v>452</v>
      </c>
      <c r="G2530" s="15" t="s">
        <v>16</v>
      </c>
      <c r="H2530" s="8"/>
      <c r="I2530" s="90"/>
      <c r="J2530" s="8"/>
      <c r="K2530" s="8"/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  <c r="AA2530" s="8"/>
    </row>
    <row r="2531" spans="1:27" s="10" customFormat="1" hidden="1" x14ac:dyDescent="0.2">
      <c r="A2531" s="11" t="s">
        <v>453</v>
      </c>
      <c r="B2531" s="12" t="s">
        <v>454</v>
      </c>
      <c r="C2531" s="13">
        <v>7</v>
      </c>
      <c r="D2531" s="14" t="s">
        <v>466</v>
      </c>
      <c r="E2531" s="12" t="s">
        <v>455</v>
      </c>
      <c r="F2531" s="12" t="s">
        <v>467</v>
      </c>
      <c r="G2531" s="15" t="s">
        <v>16</v>
      </c>
      <c r="H2531" s="8"/>
      <c r="I2531" s="90"/>
      <c r="J2531" s="8"/>
      <c r="K2531" s="8"/>
      <c r="L2531" s="8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  <c r="AA2531" s="8"/>
    </row>
    <row r="2532" spans="1:27" s="10" customFormat="1" hidden="1" x14ac:dyDescent="0.2">
      <c r="A2532" s="11" t="s">
        <v>484</v>
      </c>
      <c r="B2532" s="12" t="s">
        <v>485</v>
      </c>
      <c r="C2532" s="13">
        <v>11</v>
      </c>
      <c r="D2532" s="14" t="s">
        <v>22</v>
      </c>
      <c r="E2532" s="12" t="s">
        <v>486</v>
      </c>
      <c r="F2532" s="12" t="s">
        <v>504</v>
      </c>
      <c r="G2532" s="15" t="s">
        <v>16</v>
      </c>
      <c r="H2532" s="8"/>
      <c r="I2532" s="90"/>
      <c r="J2532" s="8"/>
      <c r="K2532" s="8"/>
      <c r="L2532" s="8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  <c r="AA2532" s="8"/>
    </row>
    <row r="2533" spans="1:27" s="10" customFormat="1" hidden="1" x14ac:dyDescent="0.2">
      <c r="A2533" s="11" t="s">
        <v>520</v>
      </c>
      <c r="B2533" s="12" t="s">
        <v>521</v>
      </c>
      <c r="C2533" s="13">
        <v>8</v>
      </c>
      <c r="D2533" s="12" t="s">
        <v>22</v>
      </c>
      <c r="E2533" s="14" t="s">
        <v>522</v>
      </c>
      <c r="F2533" s="12" t="s">
        <v>534</v>
      </c>
      <c r="G2533" s="15" t="s">
        <v>16</v>
      </c>
      <c r="H2533" s="8"/>
      <c r="I2533" s="90"/>
      <c r="J2533" s="8"/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  <c r="AA2533" s="8"/>
    </row>
    <row r="2534" spans="1:27" s="10" customFormat="1" hidden="1" x14ac:dyDescent="0.25">
      <c r="A2534" s="109" t="s">
        <v>690</v>
      </c>
      <c r="B2534" s="12" t="s">
        <v>691</v>
      </c>
      <c r="C2534" s="13">
        <v>10</v>
      </c>
      <c r="D2534" s="12" t="s">
        <v>22</v>
      </c>
      <c r="E2534" s="12" t="s">
        <v>692</v>
      </c>
      <c r="F2534" s="12" t="s">
        <v>702</v>
      </c>
      <c r="G2534" s="15" t="s">
        <v>16</v>
      </c>
      <c r="H2534" s="8"/>
      <c r="I2534" s="102" t="s">
        <v>59</v>
      </c>
      <c r="J2534" s="8"/>
      <c r="K2534" s="8"/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  <c r="AA2534" s="8"/>
    </row>
    <row r="2535" spans="1:27" s="10" customFormat="1" hidden="1" x14ac:dyDescent="0.25">
      <c r="A2535" s="109" t="s">
        <v>708</v>
      </c>
      <c r="B2535" s="12" t="s">
        <v>709</v>
      </c>
      <c r="C2535" s="13">
        <v>9</v>
      </c>
      <c r="D2535" s="12" t="s">
        <v>22</v>
      </c>
      <c r="E2535" s="12" t="s">
        <v>710</v>
      </c>
      <c r="F2535" s="12" t="s">
        <v>719</v>
      </c>
      <c r="G2535" s="15" t="s">
        <v>16</v>
      </c>
      <c r="H2535" s="8"/>
      <c r="I2535" s="102" t="s">
        <v>59</v>
      </c>
      <c r="J2535" s="8"/>
      <c r="K2535" s="8"/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  <c r="AA2535" s="8"/>
    </row>
    <row r="2536" spans="1:27" s="10" customFormat="1" hidden="1" x14ac:dyDescent="0.2">
      <c r="A2536" s="11" t="s">
        <v>1093</v>
      </c>
      <c r="B2536" s="12" t="s">
        <v>1094</v>
      </c>
      <c r="C2536" s="13">
        <v>7</v>
      </c>
      <c r="D2536" s="14" t="s">
        <v>22</v>
      </c>
      <c r="E2536" s="12" t="s">
        <v>1095</v>
      </c>
      <c r="F2536" s="12" t="s">
        <v>1107</v>
      </c>
      <c r="G2536" s="15" t="s">
        <v>16</v>
      </c>
      <c r="H2536" s="8"/>
      <c r="I2536" s="90"/>
      <c r="J2536" s="8"/>
      <c r="K2536" s="8"/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  <c r="AA2536" s="8"/>
    </row>
    <row r="2537" spans="1:27" s="10" customFormat="1" hidden="1" x14ac:dyDescent="0.2">
      <c r="A2537" s="11" t="s">
        <v>1122</v>
      </c>
      <c r="B2537" s="12" t="s">
        <v>1123</v>
      </c>
      <c r="C2537" s="13">
        <v>10</v>
      </c>
      <c r="D2537" s="14" t="s">
        <v>22</v>
      </c>
      <c r="E2537" s="12" t="s">
        <v>1124</v>
      </c>
      <c r="F2537" s="12" t="s">
        <v>1141</v>
      </c>
      <c r="G2537" s="15" t="s">
        <v>16</v>
      </c>
      <c r="H2537" s="8"/>
      <c r="I2537" s="90"/>
      <c r="J2537" s="8"/>
      <c r="K2537" s="8"/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  <c r="AA2537" s="8"/>
    </row>
    <row r="2538" spans="1:27" s="10" customFormat="1" hidden="1" x14ac:dyDescent="0.2">
      <c r="A2538" s="11" t="s">
        <v>1142</v>
      </c>
      <c r="B2538" s="12" t="s">
        <v>1143</v>
      </c>
      <c r="C2538" s="13">
        <v>12</v>
      </c>
      <c r="D2538" s="14" t="s">
        <v>22</v>
      </c>
      <c r="E2538" s="12" t="s">
        <v>1144</v>
      </c>
      <c r="F2538" s="12" t="s">
        <v>1162</v>
      </c>
      <c r="G2538" s="15" t="s">
        <v>16</v>
      </c>
      <c r="H2538" s="8"/>
      <c r="I2538" s="90"/>
      <c r="J2538" s="8"/>
      <c r="K2538" s="8"/>
      <c r="L2538" s="8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  <c r="AA2538" s="8"/>
    </row>
    <row r="2539" spans="1:27" s="10" customFormat="1" hidden="1" x14ac:dyDescent="0.2">
      <c r="A2539" s="11" t="s">
        <v>1194</v>
      </c>
      <c r="B2539" s="12" t="s">
        <v>1195</v>
      </c>
      <c r="C2539" s="13">
        <v>7</v>
      </c>
      <c r="D2539" s="14" t="s">
        <v>22</v>
      </c>
      <c r="E2539" s="12" t="s">
        <v>1196</v>
      </c>
      <c r="F2539" s="12" t="s">
        <v>1205</v>
      </c>
      <c r="G2539" s="15" t="s">
        <v>16</v>
      </c>
      <c r="H2539" s="8"/>
      <c r="I2539" s="90"/>
      <c r="J2539" s="8"/>
      <c r="K2539" s="8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  <c r="AA2539" s="8"/>
    </row>
    <row r="2540" spans="1:27" s="10" customFormat="1" hidden="1" x14ac:dyDescent="0.2">
      <c r="A2540" s="11" t="s">
        <v>1242</v>
      </c>
      <c r="B2540" s="12" t="s">
        <v>1243</v>
      </c>
      <c r="C2540" s="13">
        <v>9</v>
      </c>
      <c r="D2540" s="65" t="s">
        <v>22</v>
      </c>
      <c r="E2540" s="12" t="s">
        <v>1244</v>
      </c>
      <c r="F2540" s="12" t="s">
        <v>1259</v>
      </c>
      <c r="G2540" s="15" t="s">
        <v>16</v>
      </c>
      <c r="H2540" s="8"/>
      <c r="I2540" s="90"/>
      <c r="J2540" s="8"/>
      <c r="K2540" s="8"/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  <c r="AA2540" s="8"/>
    </row>
    <row r="2541" spans="1:27" s="10" customFormat="1" hidden="1" x14ac:dyDescent="0.25">
      <c r="A2541" s="11" t="s">
        <v>1260</v>
      </c>
      <c r="B2541" s="12" t="s">
        <v>1261</v>
      </c>
      <c r="C2541" s="13">
        <v>14</v>
      </c>
      <c r="D2541" s="12" t="s">
        <v>22</v>
      </c>
      <c r="E2541" s="12" t="s">
        <v>1262</v>
      </c>
      <c r="F2541" s="12" t="s">
        <v>1285</v>
      </c>
      <c r="G2541" s="15" t="s">
        <v>16</v>
      </c>
      <c r="H2541" s="8"/>
      <c r="I2541" s="90"/>
      <c r="J2541" s="8"/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  <c r="AA2541" s="8"/>
    </row>
    <row r="2542" spans="1:27" s="10" customFormat="1" hidden="1" x14ac:dyDescent="0.25">
      <c r="A2542" s="11" t="s">
        <v>1294</v>
      </c>
      <c r="B2542" s="12" t="s">
        <v>1295</v>
      </c>
      <c r="C2542" s="13">
        <v>11</v>
      </c>
      <c r="D2542" s="12" t="s">
        <v>22</v>
      </c>
      <c r="E2542" s="12" t="s">
        <v>1296</v>
      </c>
      <c r="F2542" s="12" t="s">
        <v>1310</v>
      </c>
      <c r="G2542" s="15" t="s">
        <v>16</v>
      </c>
      <c r="H2542" s="8"/>
      <c r="I2542" s="90"/>
      <c r="J2542" s="8"/>
      <c r="K2542" s="8"/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  <c r="AA2542" s="8"/>
    </row>
    <row r="2543" spans="1:27" s="10" customFormat="1" hidden="1" x14ac:dyDescent="0.25">
      <c r="A2543" s="11" t="s">
        <v>1313</v>
      </c>
      <c r="B2543" s="12" t="s">
        <v>1314</v>
      </c>
      <c r="C2543" s="13">
        <v>24</v>
      </c>
      <c r="D2543" s="12" t="s">
        <v>22</v>
      </c>
      <c r="E2543" s="12" t="s">
        <v>1315</v>
      </c>
      <c r="F2543" s="12" t="s">
        <v>1359</v>
      </c>
      <c r="G2543" s="15" t="s">
        <v>16</v>
      </c>
      <c r="H2543" s="8"/>
      <c r="I2543" s="90"/>
      <c r="J2543" s="8"/>
      <c r="K2543" s="8"/>
      <c r="L2543" s="8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  <c r="AA2543" s="8"/>
    </row>
    <row r="2544" spans="1:27" s="10" customFormat="1" hidden="1" x14ac:dyDescent="0.25">
      <c r="A2544" s="11" t="s">
        <v>1383</v>
      </c>
      <c r="B2544" s="12" t="s">
        <v>1384</v>
      </c>
      <c r="C2544" s="13">
        <v>11</v>
      </c>
      <c r="D2544" s="12" t="s">
        <v>22</v>
      </c>
      <c r="E2544" s="12" t="s">
        <v>1385</v>
      </c>
      <c r="F2544" s="12" t="s">
        <v>1404</v>
      </c>
      <c r="G2544" s="15" t="s">
        <v>16</v>
      </c>
      <c r="H2544" s="8"/>
      <c r="I2544" s="90"/>
      <c r="J2544" s="8"/>
      <c r="K2544" s="8"/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  <c r="AA2544" s="8"/>
    </row>
    <row r="2545" spans="1:27" s="10" customFormat="1" hidden="1" x14ac:dyDescent="0.25">
      <c r="A2545" s="11" t="s">
        <v>1421</v>
      </c>
      <c r="B2545" s="12" t="s">
        <v>1422</v>
      </c>
      <c r="C2545" s="13">
        <v>18</v>
      </c>
      <c r="D2545" s="12" t="s">
        <v>22</v>
      </c>
      <c r="E2545" s="12" t="s">
        <v>1423</v>
      </c>
      <c r="F2545" s="12" t="s">
        <v>1449</v>
      </c>
      <c r="G2545" s="15" t="s">
        <v>16</v>
      </c>
      <c r="H2545" s="8"/>
      <c r="I2545" s="90"/>
      <c r="J2545" s="8"/>
      <c r="K2545" s="8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  <c r="AA2545" s="8"/>
    </row>
    <row r="2546" spans="1:27" s="10" customFormat="1" hidden="1" x14ac:dyDescent="0.25">
      <c r="A2546" s="11" t="s">
        <v>1454</v>
      </c>
      <c r="B2546" s="12" t="s">
        <v>1455</v>
      </c>
      <c r="C2546" s="13">
        <v>6</v>
      </c>
      <c r="D2546" s="12" t="s">
        <v>22</v>
      </c>
      <c r="E2546" s="12" t="s">
        <v>1456</v>
      </c>
      <c r="F2546" s="12" t="s">
        <v>1463</v>
      </c>
      <c r="G2546" s="15" t="s">
        <v>16</v>
      </c>
      <c r="H2546" s="8"/>
      <c r="I2546" s="90"/>
      <c r="J2546" s="8"/>
      <c r="K2546" s="8"/>
      <c r="L2546" s="8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  <c r="AA2546" s="8"/>
    </row>
    <row r="2547" spans="1:27" s="10" customFormat="1" hidden="1" x14ac:dyDescent="0.25">
      <c r="A2547" s="11" t="s">
        <v>1464</v>
      </c>
      <c r="B2547" s="12" t="s">
        <v>1465</v>
      </c>
      <c r="C2547" s="13">
        <v>9</v>
      </c>
      <c r="D2547" s="12" t="s">
        <v>22</v>
      </c>
      <c r="E2547" s="12" t="s">
        <v>1466</v>
      </c>
      <c r="F2547" s="12" t="s">
        <v>1480</v>
      </c>
      <c r="G2547" s="15" t="s">
        <v>16</v>
      </c>
      <c r="H2547" s="8"/>
      <c r="I2547" s="90"/>
      <c r="J2547" s="8"/>
      <c r="K2547" s="8"/>
      <c r="L2547" s="8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  <c r="AA2547" s="8"/>
    </row>
    <row r="2548" spans="1:27" s="10" customFormat="1" hidden="1" x14ac:dyDescent="0.25">
      <c r="A2548" s="11" t="s">
        <v>1505</v>
      </c>
      <c r="B2548" s="12" t="s">
        <v>1506</v>
      </c>
      <c r="C2548" s="13">
        <v>11</v>
      </c>
      <c r="D2548" s="12" t="s">
        <v>22</v>
      </c>
      <c r="E2548" s="12" t="s">
        <v>1507</v>
      </c>
      <c r="F2548" s="12" t="s">
        <v>1518</v>
      </c>
      <c r="G2548" s="15" t="s">
        <v>16</v>
      </c>
      <c r="H2548" s="8"/>
      <c r="I2548" s="90"/>
      <c r="J2548" s="8"/>
      <c r="K2548" s="8"/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  <c r="AA2548" s="8"/>
    </row>
    <row r="2549" spans="1:27" s="10" customFormat="1" hidden="1" x14ac:dyDescent="0.25">
      <c r="A2549" s="11" t="s">
        <v>1519</v>
      </c>
      <c r="B2549" s="12" t="s">
        <v>1520</v>
      </c>
      <c r="C2549" s="13">
        <v>11</v>
      </c>
      <c r="D2549" s="12" t="s">
        <v>22</v>
      </c>
      <c r="E2549" s="12" t="s">
        <v>1521</v>
      </c>
      <c r="F2549" s="12" t="s">
        <v>1533</v>
      </c>
      <c r="G2549" s="15" t="s">
        <v>16</v>
      </c>
      <c r="H2549" s="8"/>
      <c r="I2549" s="90"/>
      <c r="J2549" s="8"/>
      <c r="K2549" s="8"/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  <c r="AA2549" s="8"/>
    </row>
    <row r="2550" spans="1:27" s="10" customFormat="1" hidden="1" x14ac:dyDescent="0.25">
      <c r="A2550" s="11" t="s">
        <v>1534</v>
      </c>
      <c r="B2550" s="12" t="s">
        <v>1535</v>
      </c>
      <c r="C2550" s="13">
        <v>11</v>
      </c>
      <c r="D2550" s="12" t="s">
        <v>22</v>
      </c>
      <c r="E2550" s="12" t="s">
        <v>1537</v>
      </c>
      <c r="F2550" s="12" t="s">
        <v>1555</v>
      </c>
      <c r="G2550" s="15" t="s">
        <v>16</v>
      </c>
      <c r="H2550" s="8"/>
      <c r="I2550" s="90"/>
      <c r="J2550" s="8"/>
      <c r="K2550" s="8"/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  <c r="AA2550" s="8"/>
    </row>
    <row r="2551" spans="1:27" s="10" customFormat="1" hidden="1" x14ac:dyDescent="0.2">
      <c r="A2551" s="11" t="s">
        <v>2024</v>
      </c>
      <c r="B2551" s="12" t="s">
        <v>2025</v>
      </c>
      <c r="C2551" s="13">
        <v>23</v>
      </c>
      <c r="D2551" s="14" t="s">
        <v>2062</v>
      </c>
      <c r="E2551" s="12" t="s">
        <v>2026</v>
      </c>
      <c r="F2551" s="12" t="s">
        <v>2063</v>
      </c>
      <c r="G2551" s="15" t="s">
        <v>32</v>
      </c>
      <c r="H2551" s="8"/>
      <c r="I2551" s="90"/>
      <c r="J2551" s="8"/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  <c r="AA2551" s="8"/>
    </row>
    <row r="2552" spans="1:27" s="10" customFormat="1" ht="12.75" hidden="1" thickBot="1" x14ac:dyDescent="0.25">
      <c r="A2552" s="36" t="s">
        <v>2024</v>
      </c>
      <c r="B2552" s="30" t="s">
        <v>2025</v>
      </c>
      <c r="C2552" s="31">
        <v>24</v>
      </c>
      <c r="D2552" s="69" t="s">
        <v>2064</v>
      </c>
      <c r="E2552" s="30" t="s">
        <v>2026</v>
      </c>
      <c r="F2552" s="30" t="s">
        <v>2065</v>
      </c>
      <c r="G2552" s="33" t="s">
        <v>13</v>
      </c>
      <c r="H2552" s="8"/>
      <c r="I2552" s="90"/>
      <c r="J2552" s="8"/>
      <c r="K2552" s="8"/>
      <c r="L2552" s="8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  <c r="AA2552" s="8"/>
    </row>
    <row r="2553" spans="1:27" s="40" customFormat="1" hidden="1" x14ac:dyDescent="0.2">
      <c r="A2553" s="56" t="s">
        <v>2024</v>
      </c>
      <c r="B2553" s="61" t="s">
        <v>2025</v>
      </c>
      <c r="C2553" s="58">
        <v>25</v>
      </c>
      <c r="D2553" s="107" t="s">
        <v>2066</v>
      </c>
      <c r="E2553" s="61" t="s">
        <v>2026</v>
      </c>
      <c r="F2553" s="61" t="s">
        <v>2067</v>
      </c>
      <c r="G2553" s="62" t="s">
        <v>13</v>
      </c>
      <c r="H2553" s="8"/>
      <c r="I2553" s="90"/>
      <c r="J2553" s="8"/>
      <c r="K2553" s="8"/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  <c r="AA2553" s="8"/>
    </row>
    <row r="2554" spans="1:27" s="40" customFormat="1" hidden="1" x14ac:dyDescent="0.25">
      <c r="A2554" s="11" t="s">
        <v>2114</v>
      </c>
      <c r="B2554" s="12" t="s">
        <v>2115</v>
      </c>
      <c r="C2554" s="13">
        <v>12</v>
      </c>
      <c r="D2554" s="41" t="s">
        <v>22</v>
      </c>
      <c r="E2554" s="12" t="s">
        <v>2116</v>
      </c>
      <c r="F2554" s="12" t="s">
        <v>2129</v>
      </c>
      <c r="G2554" s="15" t="s">
        <v>16</v>
      </c>
      <c r="H2554" s="8"/>
      <c r="I2554" s="90"/>
      <c r="J2554" s="8"/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8"/>
    </row>
    <row r="2555" spans="1:27" s="40" customFormat="1" hidden="1" x14ac:dyDescent="0.2">
      <c r="A2555" s="11" t="s">
        <v>2267</v>
      </c>
      <c r="B2555" s="12" t="s">
        <v>2268</v>
      </c>
      <c r="C2555" s="13">
        <v>10</v>
      </c>
      <c r="D2555" s="14" t="s">
        <v>22</v>
      </c>
      <c r="E2555" s="12" t="s">
        <v>2269</v>
      </c>
      <c r="F2555" s="12" t="s">
        <v>2286</v>
      </c>
      <c r="G2555" s="15" t="s">
        <v>16</v>
      </c>
      <c r="H2555" s="8"/>
      <c r="I2555" s="90"/>
      <c r="J2555" s="8"/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  <c r="AA2555" s="8"/>
    </row>
    <row r="2556" spans="1:27" s="40" customFormat="1" hidden="1" x14ac:dyDescent="0.2">
      <c r="A2556" s="11" t="s">
        <v>2291</v>
      </c>
      <c r="B2556" s="12" t="s">
        <v>2292</v>
      </c>
      <c r="C2556" s="13">
        <v>7</v>
      </c>
      <c r="D2556" s="65" t="s">
        <v>22</v>
      </c>
      <c r="E2556" s="12" t="s">
        <v>2293</v>
      </c>
      <c r="F2556" s="12" t="s">
        <v>2300</v>
      </c>
      <c r="G2556" s="15" t="s">
        <v>16</v>
      </c>
      <c r="H2556" s="8"/>
      <c r="I2556" s="90"/>
      <c r="J2556" s="8"/>
      <c r="K2556" s="8"/>
      <c r="L2556" s="8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  <c r="AA2556" s="8"/>
    </row>
    <row r="2557" spans="1:27" s="40" customFormat="1" hidden="1" x14ac:dyDescent="0.2">
      <c r="A2557" s="11" t="s">
        <v>2301</v>
      </c>
      <c r="B2557" s="12" t="s">
        <v>2302</v>
      </c>
      <c r="C2557" s="13">
        <v>10</v>
      </c>
      <c r="D2557" s="14" t="s">
        <v>22</v>
      </c>
      <c r="E2557" s="12" t="s">
        <v>2303</v>
      </c>
      <c r="F2557" s="12" t="s">
        <v>2316</v>
      </c>
      <c r="G2557" s="15" t="s">
        <v>16</v>
      </c>
      <c r="H2557" s="8"/>
      <c r="I2557" s="90"/>
      <c r="J2557" s="8"/>
      <c r="K2557" s="8"/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  <c r="AA2557" s="8"/>
    </row>
    <row r="2558" spans="1:27" s="10" customFormat="1" hidden="1" x14ac:dyDescent="0.2">
      <c r="A2558" s="11" t="s">
        <v>2317</v>
      </c>
      <c r="B2558" s="12" t="s">
        <v>2318</v>
      </c>
      <c r="C2558" s="13">
        <v>10</v>
      </c>
      <c r="D2558" s="65" t="s">
        <v>22</v>
      </c>
      <c r="E2558" s="12" t="s">
        <v>2320</v>
      </c>
      <c r="F2558" s="12" t="s">
        <v>2336</v>
      </c>
      <c r="G2558" s="15" t="s">
        <v>16</v>
      </c>
      <c r="H2558" s="8"/>
      <c r="I2558" s="90"/>
      <c r="J2558" s="8"/>
      <c r="K2558" s="8"/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  <c r="AA2558" s="8"/>
    </row>
    <row r="2559" spans="1:27" s="10" customFormat="1" hidden="1" x14ac:dyDescent="0.2">
      <c r="A2559" s="11" t="s">
        <v>2337</v>
      </c>
      <c r="B2559" s="12" t="s">
        <v>2338</v>
      </c>
      <c r="C2559" s="13">
        <v>11</v>
      </c>
      <c r="D2559" s="14" t="s">
        <v>22</v>
      </c>
      <c r="E2559" s="12" t="s">
        <v>2339</v>
      </c>
      <c r="F2559" s="12" t="s">
        <v>2354</v>
      </c>
      <c r="G2559" s="15" t="s">
        <v>16</v>
      </c>
      <c r="H2559" s="8"/>
      <c r="I2559" s="90"/>
      <c r="J2559" s="8"/>
      <c r="K2559" s="8"/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  <c r="AA2559" s="8"/>
    </row>
    <row r="2560" spans="1:27" s="10" customFormat="1" hidden="1" x14ac:dyDescent="0.2">
      <c r="A2560" s="11" t="s">
        <v>2355</v>
      </c>
      <c r="B2560" s="12" t="s">
        <v>2356</v>
      </c>
      <c r="C2560" s="13">
        <v>8</v>
      </c>
      <c r="D2560" s="14" t="s">
        <v>22</v>
      </c>
      <c r="E2560" s="12" t="s">
        <v>2357</v>
      </c>
      <c r="F2560" s="12" t="s">
        <v>2368</v>
      </c>
      <c r="G2560" s="15" t="s">
        <v>16</v>
      </c>
      <c r="H2560" s="8"/>
      <c r="I2560" s="90"/>
      <c r="J2560" s="8"/>
      <c r="K2560" s="8"/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  <c r="AA2560" s="8"/>
    </row>
    <row r="2561" spans="1:27" s="10" customFormat="1" hidden="1" x14ac:dyDescent="0.2">
      <c r="A2561" s="11" t="s">
        <v>2369</v>
      </c>
      <c r="B2561" s="12" t="s">
        <v>2370</v>
      </c>
      <c r="C2561" s="13">
        <v>9</v>
      </c>
      <c r="D2561" s="14" t="s">
        <v>22</v>
      </c>
      <c r="E2561" s="12" t="s">
        <v>2371</v>
      </c>
      <c r="F2561" s="12" t="s">
        <v>2381</v>
      </c>
      <c r="G2561" s="15" t="s">
        <v>16</v>
      </c>
      <c r="H2561" s="8"/>
      <c r="I2561" s="90"/>
      <c r="J2561" s="8"/>
      <c r="K2561" s="8"/>
      <c r="L2561" s="8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  <c r="AA2561" s="8"/>
    </row>
    <row r="2562" spans="1:27" s="10" customFormat="1" hidden="1" x14ac:dyDescent="0.2">
      <c r="A2562" s="11" t="s">
        <v>2382</v>
      </c>
      <c r="B2562" s="12" t="s">
        <v>2383</v>
      </c>
      <c r="C2562" s="13">
        <v>7</v>
      </c>
      <c r="D2562" s="14" t="s">
        <v>22</v>
      </c>
      <c r="E2562" s="12" t="s">
        <v>2384</v>
      </c>
      <c r="F2562" s="12" t="s">
        <v>2392</v>
      </c>
      <c r="G2562" s="15" t="s">
        <v>16</v>
      </c>
      <c r="H2562" s="8"/>
      <c r="I2562" s="90"/>
      <c r="J2562" s="8"/>
      <c r="K2562" s="8"/>
      <c r="L2562" s="8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  <c r="AA2562" s="8"/>
    </row>
    <row r="2563" spans="1:27" s="10" customFormat="1" hidden="1" x14ac:dyDescent="0.2">
      <c r="A2563" s="11" t="s">
        <v>2393</v>
      </c>
      <c r="B2563" s="12" t="s">
        <v>2394</v>
      </c>
      <c r="C2563" s="13">
        <v>6</v>
      </c>
      <c r="D2563" s="14" t="s">
        <v>22</v>
      </c>
      <c r="E2563" s="12" t="s">
        <v>2395</v>
      </c>
      <c r="F2563" s="12" t="s">
        <v>2403</v>
      </c>
      <c r="G2563" s="15" t="s">
        <v>16</v>
      </c>
      <c r="H2563" s="8"/>
      <c r="I2563" s="90"/>
      <c r="J2563" s="8"/>
      <c r="K2563" s="8"/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  <c r="AA2563" s="8"/>
    </row>
    <row r="2564" spans="1:27" s="10" customFormat="1" hidden="1" x14ac:dyDescent="0.2">
      <c r="A2564" s="11" t="s">
        <v>2404</v>
      </c>
      <c r="B2564" s="12" t="s">
        <v>2405</v>
      </c>
      <c r="C2564" s="13">
        <v>7</v>
      </c>
      <c r="D2564" s="14" t="s">
        <v>22</v>
      </c>
      <c r="E2564" s="8" t="s">
        <v>2407</v>
      </c>
      <c r="F2564" s="12" t="s">
        <v>2415</v>
      </c>
      <c r="G2564" s="15" t="s">
        <v>16</v>
      </c>
      <c r="H2564" s="8"/>
      <c r="I2564" s="90"/>
      <c r="J2564" s="8"/>
      <c r="K2564" s="8"/>
      <c r="L2564" s="8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  <c r="AA2564" s="8"/>
    </row>
    <row r="2565" spans="1:27" s="10" customFormat="1" hidden="1" x14ac:dyDescent="0.2">
      <c r="A2565" s="11" t="s">
        <v>2440</v>
      </c>
      <c r="B2565" s="12" t="s">
        <v>2441</v>
      </c>
      <c r="C2565" s="13">
        <v>30</v>
      </c>
      <c r="D2565" s="14" t="s">
        <v>466</v>
      </c>
      <c r="E2565" s="12" t="s">
        <v>2442</v>
      </c>
      <c r="F2565" s="12" t="s">
        <v>2499</v>
      </c>
      <c r="G2565" s="15" t="s">
        <v>16</v>
      </c>
      <c r="H2565" s="8"/>
      <c r="I2565" s="90"/>
      <c r="J2565" s="8"/>
      <c r="K2565" s="8"/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  <c r="AA2565" s="8"/>
    </row>
    <row r="2566" spans="1:27" s="10" customFormat="1" hidden="1" x14ac:dyDescent="0.2">
      <c r="A2566" s="11" t="s">
        <v>2500</v>
      </c>
      <c r="B2566" s="12" t="s">
        <v>2501</v>
      </c>
      <c r="C2566" s="13">
        <v>9</v>
      </c>
      <c r="D2566" s="14" t="s">
        <v>22</v>
      </c>
      <c r="E2566" s="12" t="s">
        <v>2502</v>
      </c>
      <c r="F2566" s="12" t="s">
        <v>2513</v>
      </c>
      <c r="G2566" s="15" t="s">
        <v>16</v>
      </c>
      <c r="H2566" s="8"/>
      <c r="I2566" s="90"/>
      <c r="J2566" s="8"/>
      <c r="K2566" s="8"/>
      <c r="L2566" s="8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  <c r="AA2566" s="8"/>
    </row>
    <row r="2567" spans="1:27" s="10" customFormat="1" hidden="1" x14ac:dyDescent="0.2">
      <c r="A2567" s="11" t="s">
        <v>2516</v>
      </c>
      <c r="B2567" s="12" t="s">
        <v>2517</v>
      </c>
      <c r="C2567" s="13">
        <v>9</v>
      </c>
      <c r="D2567" s="14" t="s">
        <v>22</v>
      </c>
      <c r="E2567" s="12" t="s">
        <v>2518</v>
      </c>
      <c r="F2567" s="12" t="s">
        <v>2527</v>
      </c>
      <c r="G2567" s="15" t="s">
        <v>16</v>
      </c>
      <c r="H2567" s="8"/>
      <c r="I2567" s="90"/>
      <c r="J2567" s="8"/>
      <c r="K2567" s="8"/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  <c r="AA2567" s="8"/>
    </row>
    <row r="2568" spans="1:27" s="10" customFormat="1" hidden="1" x14ac:dyDescent="0.2">
      <c r="A2568" s="11" t="s">
        <v>2529</v>
      </c>
      <c r="B2568" s="12" t="s">
        <v>2530</v>
      </c>
      <c r="C2568" s="13">
        <v>7</v>
      </c>
      <c r="D2568" s="14" t="s">
        <v>22</v>
      </c>
      <c r="E2568" s="12" t="s">
        <v>2531</v>
      </c>
      <c r="F2568" s="12" t="s">
        <v>2538</v>
      </c>
      <c r="G2568" s="15" t="s">
        <v>16</v>
      </c>
      <c r="H2568" s="8"/>
      <c r="I2568" s="90"/>
      <c r="J2568" s="8"/>
      <c r="K2568" s="8"/>
      <c r="L2568" s="8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  <c r="AA2568" s="8"/>
    </row>
    <row r="2569" spans="1:27" s="10" customFormat="1" hidden="1" x14ac:dyDescent="0.2">
      <c r="A2569" s="11" t="s">
        <v>2541</v>
      </c>
      <c r="B2569" s="12" t="s">
        <v>2542</v>
      </c>
      <c r="C2569" s="13">
        <v>6</v>
      </c>
      <c r="D2569" s="14" t="s">
        <v>22</v>
      </c>
      <c r="E2569" s="12" t="s">
        <v>2543</v>
      </c>
      <c r="F2569" s="12" t="s">
        <v>2550</v>
      </c>
      <c r="G2569" s="15" t="s">
        <v>16</v>
      </c>
      <c r="H2569" s="8"/>
      <c r="I2569" s="90"/>
      <c r="J2569" s="8"/>
      <c r="K2569" s="8"/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  <c r="AA2569" s="8"/>
    </row>
    <row r="2570" spans="1:27" s="10" customFormat="1" hidden="1" x14ac:dyDescent="0.2">
      <c r="A2570" s="11" t="s">
        <v>2555</v>
      </c>
      <c r="B2570" s="12" t="s">
        <v>2556</v>
      </c>
      <c r="C2570" s="13">
        <v>6</v>
      </c>
      <c r="D2570" s="14" t="s">
        <v>22</v>
      </c>
      <c r="E2570" s="12" t="s">
        <v>2557</v>
      </c>
      <c r="F2570" s="12" t="s">
        <v>2564</v>
      </c>
      <c r="G2570" s="15" t="s">
        <v>16</v>
      </c>
      <c r="H2570" s="8"/>
      <c r="I2570" s="90"/>
      <c r="J2570" s="8"/>
      <c r="K2570" s="8"/>
      <c r="L2570" s="8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  <c r="AA2570" s="8"/>
    </row>
    <row r="2571" spans="1:27" s="10" customFormat="1" hidden="1" x14ac:dyDescent="0.2">
      <c r="A2571" s="11" t="s">
        <v>2566</v>
      </c>
      <c r="B2571" s="12" t="s">
        <v>2567</v>
      </c>
      <c r="C2571" s="13">
        <v>22</v>
      </c>
      <c r="D2571" s="14" t="s">
        <v>466</v>
      </c>
      <c r="E2571" s="12" t="s">
        <v>2568</v>
      </c>
      <c r="F2571" s="65" t="s">
        <v>2604</v>
      </c>
      <c r="G2571" s="66" t="s">
        <v>16</v>
      </c>
      <c r="H2571" s="8"/>
      <c r="I2571" s="90"/>
      <c r="J2571" s="8"/>
      <c r="K2571" s="8"/>
      <c r="L2571" s="8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  <c r="AA2571" s="8"/>
    </row>
    <row r="2572" spans="1:27" s="10" customFormat="1" hidden="1" x14ac:dyDescent="0.2">
      <c r="A2572" s="11" t="s">
        <v>2608</v>
      </c>
      <c r="B2572" s="12" t="s">
        <v>2609</v>
      </c>
      <c r="C2572" s="13">
        <v>11</v>
      </c>
      <c r="D2572" s="14" t="s">
        <v>466</v>
      </c>
      <c r="E2572" s="12" t="s">
        <v>2610</v>
      </c>
      <c r="F2572" s="65" t="s">
        <v>2624</v>
      </c>
      <c r="G2572" s="66" t="s">
        <v>16</v>
      </c>
      <c r="H2572" s="8"/>
      <c r="I2572" s="90"/>
      <c r="J2572" s="8"/>
      <c r="K2572" s="8"/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  <c r="AA2572" s="8"/>
    </row>
    <row r="2573" spans="1:27" s="10" customFormat="1" ht="12.75" hidden="1" thickBot="1" x14ac:dyDescent="0.25">
      <c r="A2573" s="36" t="s">
        <v>2631</v>
      </c>
      <c r="B2573" s="30" t="s">
        <v>2632</v>
      </c>
      <c r="C2573" s="31">
        <v>65</v>
      </c>
      <c r="D2573" s="69" t="s">
        <v>466</v>
      </c>
      <c r="E2573" s="30" t="s">
        <v>2634</v>
      </c>
      <c r="F2573" s="67" t="s">
        <v>2758</v>
      </c>
      <c r="G2573" s="68" t="s">
        <v>16</v>
      </c>
      <c r="H2573" s="8"/>
      <c r="I2573" s="90"/>
      <c r="J2573" s="8"/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  <c r="AA2573" s="8"/>
    </row>
    <row r="2574" spans="1:27" s="40" customFormat="1" hidden="1" x14ac:dyDescent="0.2">
      <c r="A2574" s="56" t="s">
        <v>2867</v>
      </c>
      <c r="B2574" s="61" t="s">
        <v>2868</v>
      </c>
      <c r="C2574" s="58">
        <v>60</v>
      </c>
      <c r="D2574" s="107" t="s">
        <v>466</v>
      </c>
      <c r="E2574" s="61" t="s">
        <v>2869</v>
      </c>
      <c r="F2574" s="74" t="s">
        <v>2977</v>
      </c>
      <c r="G2574" s="129" t="s">
        <v>16</v>
      </c>
      <c r="H2574" s="8"/>
      <c r="I2574" s="90"/>
      <c r="J2574" s="8"/>
      <c r="K2574" s="8"/>
      <c r="L2574" s="8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  <c r="AA2574" s="8"/>
    </row>
    <row r="2575" spans="1:27" s="40" customFormat="1" hidden="1" x14ac:dyDescent="0.2">
      <c r="A2575" s="11" t="s">
        <v>2988</v>
      </c>
      <c r="B2575" s="12" t="s">
        <v>2989</v>
      </c>
      <c r="C2575" s="13">
        <v>22</v>
      </c>
      <c r="D2575" s="14" t="s">
        <v>466</v>
      </c>
      <c r="E2575" s="12" t="s">
        <v>2990</v>
      </c>
      <c r="F2575" s="65" t="s">
        <v>3029</v>
      </c>
      <c r="G2575" s="66" t="s">
        <v>16</v>
      </c>
      <c r="H2575" s="8"/>
      <c r="I2575" s="90"/>
      <c r="J2575" s="8"/>
      <c r="K2575" s="8"/>
      <c r="L2575" s="8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  <c r="AA2575" s="8"/>
    </row>
    <row r="2576" spans="1:27" s="40" customFormat="1" hidden="1" x14ac:dyDescent="0.2">
      <c r="A2576" s="11" t="s">
        <v>3034</v>
      </c>
      <c r="B2576" s="12" t="s">
        <v>3035</v>
      </c>
      <c r="C2576" s="13">
        <f>+C2575+1</f>
        <v>23</v>
      </c>
      <c r="D2576" s="14" t="s">
        <v>22</v>
      </c>
      <c r="E2576" s="12" t="s">
        <v>3036</v>
      </c>
      <c r="F2576" s="65" t="s">
        <v>3105</v>
      </c>
      <c r="G2576" s="66" t="s">
        <v>16</v>
      </c>
      <c r="H2576" s="8"/>
      <c r="I2576" s="90"/>
      <c r="J2576" s="8"/>
      <c r="K2576" s="8"/>
      <c r="L2576" s="8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  <c r="AA2576" s="8"/>
    </row>
    <row r="2577" spans="1:27" s="40" customFormat="1" hidden="1" x14ac:dyDescent="0.2">
      <c r="A2577" s="11" t="s">
        <v>3108</v>
      </c>
      <c r="B2577" s="12" t="s">
        <v>3109</v>
      </c>
      <c r="C2577" s="13">
        <v>6</v>
      </c>
      <c r="D2577" s="12" t="s">
        <v>466</v>
      </c>
      <c r="E2577" s="12" t="s">
        <v>3110</v>
      </c>
      <c r="F2577" s="12" t="s">
        <v>3118</v>
      </c>
      <c r="G2577" s="66" t="s">
        <v>16</v>
      </c>
      <c r="H2577" s="8"/>
      <c r="I2577" s="90"/>
      <c r="J2577" s="8"/>
      <c r="K2577" s="8"/>
      <c r="L2577" s="8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  <c r="AA2577" s="8"/>
    </row>
    <row r="2578" spans="1:27" s="40" customFormat="1" hidden="1" x14ac:dyDescent="0.2">
      <c r="A2578" s="11" t="s">
        <v>3120</v>
      </c>
      <c r="B2578" s="12" t="s">
        <v>3121</v>
      </c>
      <c r="C2578" s="13">
        <v>6</v>
      </c>
      <c r="D2578" s="14" t="s">
        <v>466</v>
      </c>
      <c r="E2578" s="12" t="s">
        <v>3122</v>
      </c>
      <c r="F2578" s="65" t="s">
        <v>3128</v>
      </c>
      <c r="G2578" s="66" t="s">
        <v>16</v>
      </c>
      <c r="H2578" s="8"/>
      <c r="I2578" s="90"/>
      <c r="J2578" s="8"/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  <c r="AA2578" s="8"/>
    </row>
    <row r="2579" spans="1:27" s="10" customFormat="1" hidden="1" x14ac:dyDescent="0.2">
      <c r="A2579" s="11" t="s">
        <v>3130</v>
      </c>
      <c r="B2579" s="12" t="s">
        <v>3131</v>
      </c>
      <c r="C2579" s="13">
        <v>10</v>
      </c>
      <c r="D2579" s="12" t="s">
        <v>22</v>
      </c>
      <c r="E2579" s="12" t="s">
        <v>3132</v>
      </c>
      <c r="F2579" s="65" t="s">
        <v>3145</v>
      </c>
      <c r="G2579" s="66" t="s">
        <v>16</v>
      </c>
      <c r="H2579" s="8"/>
      <c r="I2579" s="90"/>
      <c r="J2579" s="8"/>
      <c r="K2579" s="8"/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  <c r="AA2579" s="8"/>
    </row>
    <row r="2580" spans="1:27" s="10" customFormat="1" hidden="1" x14ac:dyDescent="0.2">
      <c r="A2580" s="11" t="s">
        <v>4404</v>
      </c>
      <c r="B2580" s="12" t="s">
        <v>4405</v>
      </c>
      <c r="C2580" s="13">
        <v>10</v>
      </c>
      <c r="D2580" s="12" t="s">
        <v>22</v>
      </c>
      <c r="E2580" s="12" t="s">
        <v>4406</v>
      </c>
      <c r="F2580" s="12" t="s">
        <v>4419</v>
      </c>
      <c r="G2580" s="66" t="s">
        <v>16</v>
      </c>
      <c r="H2580" s="8"/>
      <c r="I2580" s="94">
        <v>14</v>
      </c>
      <c r="J2580" s="8"/>
      <c r="K2580" s="8"/>
      <c r="L2580" s="8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8"/>
      <c r="AA2580" s="8"/>
    </row>
    <row r="2581" spans="1:27" s="10" customFormat="1" hidden="1" x14ac:dyDescent="0.2">
      <c r="A2581" s="11" t="s">
        <v>4634</v>
      </c>
      <c r="B2581" s="12" t="s">
        <v>4635</v>
      </c>
      <c r="C2581" s="13">
        <v>14</v>
      </c>
      <c r="D2581" s="41" t="s">
        <v>466</v>
      </c>
      <c r="E2581" s="65" t="s">
        <v>4636</v>
      </c>
      <c r="F2581" s="65" t="s">
        <v>4656</v>
      </c>
      <c r="G2581" s="66" t="s">
        <v>16</v>
      </c>
      <c r="H2581" s="8"/>
      <c r="I2581" s="90"/>
      <c r="J2581" s="8"/>
      <c r="K2581" s="8"/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  <c r="AA2581" s="8"/>
    </row>
    <row r="2582" spans="1:27" s="10" customFormat="1" hidden="1" x14ac:dyDescent="0.2">
      <c r="A2582" s="11" t="s">
        <v>4657</v>
      </c>
      <c r="B2582" s="12" t="s">
        <v>4658</v>
      </c>
      <c r="C2582" s="13">
        <v>14</v>
      </c>
      <c r="D2582" s="41" t="s">
        <v>466</v>
      </c>
      <c r="E2582" s="65" t="s">
        <v>4659</v>
      </c>
      <c r="F2582" s="65" t="s">
        <v>4679</v>
      </c>
      <c r="G2582" s="66" t="s">
        <v>16</v>
      </c>
      <c r="H2582" s="8"/>
      <c r="I2582" s="90"/>
      <c r="J2582" s="8"/>
      <c r="K2582" s="8"/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  <c r="AA2582" s="8"/>
    </row>
    <row r="2583" spans="1:27" s="10" customFormat="1" hidden="1" x14ac:dyDescent="0.2">
      <c r="A2583" s="11" t="s">
        <v>4680</v>
      </c>
      <c r="B2583" s="12" t="s">
        <v>4681</v>
      </c>
      <c r="C2583" s="13">
        <v>16</v>
      </c>
      <c r="D2583" s="41" t="s">
        <v>466</v>
      </c>
      <c r="E2583" s="65" t="s">
        <v>4682</v>
      </c>
      <c r="F2583" s="65" t="s">
        <v>4700</v>
      </c>
      <c r="G2583" s="66" t="s">
        <v>16</v>
      </c>
      <c r="H2583" s="8"/>
      <c r="I2583" s="90"/>
      <c r="J2583" s="8"/>
      <c r="K2583" s="8"/>
      <c r="L2583" s="8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  <c r="AA2583" s="8"/>
    </row>
    <row r="2584" spans="1:27" s="10" customFormat="1" hidden="1" x14ac:dyDescent="0.2">
      <c r="A2584" s="11" t="s">
        <v>4701</v>
      </c>
      <c r="B2584" s="12" t="s">
        <v>2737</v>
      </c>
      <c r="C2584" s="13">
        <v>6</v>
      </c>
      <c r="D2584" s="41" t="s">
        <v>466</v>
      </c>
      <c r="E2584" s="65" t="s">
        <v>4702</v>
      </c>
      <c r="F2584" s="65" t="s">
        <v>4710</v>
      </c>
      <c r="G2584" s="66" t="s">
        <v>16</v>
      </c>
      <c r="H2584" s="8"/>
      <c r="I2584" s="90"/>
      <c r="J2584" s="8"/>
      <c r="K2584" s="8"/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  <c r="AA2584" s="8"/>
    </row>
    <row r="2585" spans="1:27" s="10" customFormat="1" hidden="1" x14ac:dyDescent="0.2">
      <c r="A2585" s="11" t="s">
        <v>4711</v>
      </c>
      <c r="B2585" s="12" t="s">
        <v>2739</v>
      </c>
      <c r="C2585" s="13">
        <v>6</v>
      </c>
      <c r="D2585" s="41" t="s">
        <v>466</v>
      </c>
      <c r="E2585" s="65" t="s">
        <v>4712</v>
      </c>
      <c r="F2585" s="65" t="s">
        <v>4720</v>
      </c>
      <c r="G2585" s="66" t="s">
        <v>16</v>
      </c>
      <c r="H2585" s="8"/>
      <c r="I2585" s="90"/>
      <c r="J2585" s="8"/>
      <c r="K2585" s="8"/>
      <c r="L2585" s="8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  <c r="AA2585" s="8"/>
    </row>
    <row r="2586" spans="1:27" s="10" customFormat="1" hidden="1" x14ac:dyDescent="0.2">
      <c r="A2586" s="11" t="s">
        <v>4721</v>
      </c>
      <c r="B2586" s="12" t="s">
        <v>2741</v>
      </c>
      <c r="C2586" s="13">
        <v>6</v>
      </c>
      <c r="D2586" s="41" t="s">
        <v>466</v>
      </c>
      <c r="E2586" s="65" t="s">
        <v>4722</v>
      </c>
      <c r="F2586" s="65" t="s">
        <v>4730</v>
      </c>
      <c r="G2586" s="66" t="s">
        <v>16</v>
      </c>
      <c r="H2586" s="8"/>
      <c r="I2586" s="90"/>
      <c r="J2586" s="8"/>
      <c r="K2586" s="8"/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  <c r="AA2586" s="8"/>
    </row>
    <row r="2587" spans="1:27" s="10" customFormat="1" hidden="1" x14ac:dyDescent="0.2">
      <c r="A2587" s="11" t="s">
        <v>4731</v>
      </c>
      <c r="B2587" s="12" t="s">
        <v>4732</v>
      </c>
      <c r="C2587" s="13">
        <v>6</v>
      </c>
      <c r="D2587" s="41" t="s">
        <v>466</v>
      </c>
      <c r="E2587" s="65" t="s">
        <v>4733</v>
      </c>
      <c r="F2587" s="65" t="s">
        <v>4741</v>
      </c>
      <c r="G2587" s="66" t="s">
        <v>16</v>
      </c>
      <c r="H2587" s="8"/>
      <c r="I2587" s="90"/>
      <c r="J2587" s="8"/>
      <c r="K2587" s="8"/>
      <c r="L2587" s="8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8"/>
      <c r="AA2587" s="8"/>
    </row>
    <row r="2588" spans="1:27" s="10" customFormat="1" hidden="1" x14ac:dyDescent="0.2">
      <c r="A2588" s="11" t="s">
        <v>5159</v>
      </c>
      <c r="B2588" s="12" t="s">
        <v>5160</v>
      </c>
      <c r="C2588" s="13">
        <v>7</v>
      </c>
      <c r="D2588" s="41" t="s">
        <v>466</v>
      </c>
      <c r="E2588" s="12" t="s">
        <v>5161</v>
      </c>
      <c r="F2588" s="65" t="s">
        <v>5172</v>
      </c>
      <c r="G2588" s="66" t="s">
        <v>16</v>
      </c>
      <c r="H2588" s="8"/>
      <c r="I2588" s="90"/>
      <c r="J2588" s="8"/>
      <c r="K2588" s="8"/>
      <c r="L2588" s="8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  <c r="AA2588" s="8"/>
    </row>
    <row r="2589" spans="1:27" s="10" customFormat="1" hidden="1" x14ac:dyDescent="0.2">
      <c r="A2589" s="11" t="s">
        <v>5174</v>
      </c>
      <c r="B2589" s="12" t="s">
        <v>5175</v>
      </c>
      <c r="C2589" s="13">
        <v>9</v>
      </c>
      <c r="D2589" s="41" t="s">
        <v>466</v>
      </c>
      <c r="E2589" s="12" t="s">
        <v>5176</v>
      </c>
      <c r="F2589" s="65" t="s">
        <v>5189</v>
      </c>
      <c r="G2589" s="66" t="s">
        <v>16</v>
      </c>
      <c r="H2589" s="8"/>
      <c r="I2589" s="90"/>
      <c r="J2589" s="8"/>
      <c r="K2589" s="8"/>
      <c r="L2589" s="8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  <c r="AA2589" s="8"/>
    </row>
    <row r="2590" spans="1:27" s="10" customFormat="1" hidden="1" x14ac:dyDescent="0.2">
      <c r="A2590" s="11" t="s">
        <v>5190</v>
      </c>
      <c r="B2590" s="12" t="s">
        <v>5191</v>
      </c>
      <c r="C2590" s="13">
        <v>7</v>
      </c>
      <c r="D2590" s="41" t="s">
        <v>466</v>
      </c>
      <c r="E2590" s="12" t="s">
        <v>5192</v>
      </c>
      <c r="F2590" s="65" t="s">
        <v>5201</v>
      </c>
      <c r="G2590" s="66" t="s">
        <v>16</v>
      </c>
      <c r="H2590" s="8"/>
      <c r="I2590" s="90"/>
      <c r="J2590" s="8"/>
      <c r="K2590" s="8"/>
      <c r="L2590" s="8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8"/>
      <c r="AA2590" s="8"/>
    </row>
    <row r="2591" spans="1:27" s="10" customFormat="1" hidden="1" x14ac:dyDescent="0.2">
      <c r="A2591" s="11" t="s">
        <v>5202</v>
      </c>
      <c r="B2591" s="12" t="s">
        <v>5203</v>
      </c>
      <c r="C2591" s="13">
        <v>7</v>
      </c>
      <c r="D2591" s="41" t="s">
        <v>466</v>
      </c>
      <c r="E2591" s="12" t="s">
        <v>5204</v>
      </c>
      <c r="F2591" s="65" t="s">
        <v>5213</v>
      </c>
      <c r="G2591" s="66" t="s">
        <v>16</v>
      </c>
      <c r="H2591" s="8"/>
      <c r="I2591" s="90"/>
      <c r="J2591" s="8"/>
      <c r="K2591" s="8"/>
      <c r="L2591" s="8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  <c r="AA2591" s="8"/>
    </row>
    <row r="2592" spans="1:27" s="40" customFormat="1" hidden="1" x14ac:dyDescent="0.2">
      <c r="A2592" s="56" t="s">
        <v>5214</v>
      </c>
      <c r="B2592" s="61" t="s">
        <v>5215</v>
      </c>
      <c r="C2592" s="58">
        <v>7</v>
      </c>
      <c r="D2592" s="164" t="s">
        <v>466</v>
      </c>
      <c r="E2592" s="61" t="s">
        <v>5216</v>
      </c>
      <c r="F2592" s="74" t="s">
        <v>5225</v>
      </c>
      <c r="G2592" s="129" t="s">
        <v>16</v>
      </c>
      <c r="H2592" s="8"/>
      <c r="I2592" s="90"/>
      <c r="J2592" s="8"/>
      <c r="K2592" s="8"/>
      <c r="L2592" s="8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8"/>
      <c r="AA2592" s="8"/>
    </row>
    <row r="2593" spans="1:27" s="40" customFormat="1" hidden="1" x14ac:dyDescent="0.2">
      <c r="A2593" s="11" t="s">
        <v>5226</v>
      </c>
      <c r="B2593" s="12" t="s">
        <v>5227</v>
      </c>
      <c r="C2593" s="13">
        <v>7</v>
      </c>
      <c r="D2593" s="41" t="s">
        <v>466</v>
      </c>
      <c r="E2593" s="12" t="s">
        <v>5228</v>
      </c>
      <c r="F2593" s="65" t="s">
        <v>5235</v>
      </c>
      <c r="G2593" s="66" t="s">
        <v>16</v>
      </c>
      <c r="H2593" s="8"/>
      <c r="I2593" s="90"/>
      <c r="J2593" s="8"/>
      <c r="K2593" s="8"/>
      <c r="L2593" s="8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8"/>
      <c r="AA2593" s="8"/>
    </row>
    <row r="2594" spans="1:27" s="40" customFormat="1" hidden="1" x14ac:dyDescent="0.2">
      <c r="A2594" s="11" t="s">
        <v>5236</v>
      </c>
      <c r="B2594" s="12" t="s">
        <v>5237</v>
      </c>
      <c r="C2594" s="13">
        <v>4</v>
      </c>
      <c r="D2594" s="41" t="s">
        <v>466</v>
      </c>
      <c r="E2594" s="12" t="s">
        <v>5238</v>
      </c>
      <c r="F2594" s="65" t="s">
        <v>5243</v>
      </c>
      <c r="G2594" s="66" t="s">
        <v>16</v>
      </c>
      <c r="H2594" s="8"/>
      <c r="I2594" s="90"/>
      <c r="J2594" s="8"/>
      <c r="K2594" s="8"/>
      <c r="L2594" s="8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8"/>
      <c r="AA2594" s="8"/>
    </row>
    <row r="2595" spans="1:27" s="40" customFormat="1" hidden="1" x14ac:dyDescent="0.2">
      <c r="A2595" s="11" t="s">
        <v>5277</v>
      </c>
      <c r="B2595" s="12" t="s">
        <v>5278</v>
      </c>
      <c r="C2595" s="13">
        <v>7</v>
      </c>
      <c r="D2595" s="12" t="s">
        <v>466</v>
      </c>
      <c r="E2595" s="12" t="s">
        <v>5279</v>
      </c>
      <c r="F2595" s="65" t="s">
        <v>5289</v>
      </c>
      <c r="G2595" s="66" t="s">
        <v>16</v>
      </c>
      <c r="H2595" s="8"/>
      <c r="I2595" s="90"/>
      <c r="J2595" s="8"/>
      <c r="K2595" s="8"/>
      <c r="L2595" s="8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8"/>
      <c r="AA2595" s="8"/>
    </row>
    <row r="2596" spans="1:27" s="40" customFormat="1" hidden="1" x14ac:dyDescent="0.2">
      <c r="A2596" s="11" t="s">
        <v>5290</v>
      </c>
      <c r="B2596" s="12" t="s">
        <v>5291</v>
      </c>
      <c r="C2596" s="13">
        <v>7</v>
      </c>
      <c r="D2596" s="12" t="s">
        <v>466</v>
      </c>
      <c r="E2596" s="12" t="s">
        <v>5292</v>
      </c>
      <c r="F2596" s="65" t="s">
        <v>5300</v>
      </c>
      <c r="G2596" s="66" t="s">
        <v>16</v>
      </c>
      <c r="H2596" s="8"/>
      <c r="I2596" s="90"/>
      <c r="J2596" s="8"/>
      <c r="K2596" s="8"/>
      <c r="L2596" s="8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  <c r="AA2596" s="8"/>
    </row>
    <row r="2597" spans="1:27" s="10" customFormat="1" hidden="1" x14ac:dyDescent="0.2">
      <c r="A2597" s="11" t="s">
        <v>5301</v>
      </c>
      <c r="B2597" s="12" t="s">
        <v>5302</v>
      </c>
      <c r="C2597" s="13">
        <v>7</v>
      </c>
      <c r="D2597" s="12" t="s">
        <v>466</v>
      </c>
      <c r="E2597" s="12" t="s">
        <v>5303</v>
      </c>
      <c r="F2597" s="65" t="s">
        <v>5311</v>
      </c>
      <c r="G2597" s="66" t="s">
        <v>16</v>
      </c>
      <c r="H2597" s="8"/>
      <c r="I2597" s="90">
        <v>12</v>
      </c>
      <c r="J2597" s="8"/>
      <c r="K2597" s="8"/>
      <c r="L2597" s="8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8"/>
      <c r="AA2597" s="8"/>
    </row>
    <row r="2598" spans="1:27" s="10" customFormat="1" hidden="1" x14ac:dyDescent="0.2">
      <c r="A2598" s="11" t="s">
        <v>5329</v>
      </c>
      <c r="B2598" s="12" t="s">
        <v>5330</v>
      </c>
      <c r="C2598" s="13">
        <v>7</v>
      </c>
      <c r="D2598" s="14" t="s">
        <v>466</v>
      </c>
      <c r="E2598" s="12" t="s">
        <v>5331</v>
      </c>
      <c r="F2598" s="65" t="s">
        <v>5342</v>
      </c>
      <c r="G2598" s="15" t="s">
        <v>16</v>
      </c>
      <c r="H2598" s="8"/>
      <c r="I2598" s="90"/>
      <c r="J2598" s="8"/>
      <c r="K2598" s="8"/>
      <c r="L2598" s="8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8"/>
      <c r="AA2598" s="8"/>
    </row>
    <row r="2599" spans="1:27" s="10" customFormat="1" hidden="1" x14ac:dyDescent="0.2">
      <c r="A2599" s="11" t="s">
        <v>5355</v>
      </c>
      <c r="B2599" s="12" t="s">
        <v>5356</v>
      </c>
      <c r="C2599" s="13">
        <v>5</v>
      </c>
      <c r="D2599" s="41" t="s">
        <v>466</v>
      </c>
      <c r="E2599" s="41" t="s">
        <v>5357</v>
      </c>
      <c r="F2599" s="65" t="s">
        <v>5362</v>
      </c>
      <c r="G2599" s="66" t="s">
        <v>16</v>
      </c>
      <c r="H2599" s="8"/>
      <c r="I2599" s="90"/>
      <c r="J2599" s="8"/>
      <c r="K2599" s="8"/>
      <c r="L2599" s="8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8"/>
      <c r="AA2599" s="8"/>
    </row>
    <row r="2600" spans="1:27" s="10" customFormat="1" hidden="1" x14ac:dyDescent="0.25">
      <c r="A2600" s="11" t="s">
        <v>5363</v>
      </c>
      <c r="B2600" s="12" t="s">
        <v>5364</v>
      </c>
      <c r="C2600" s="13">
        <v>7</v>
      </c>
      <c r="D2600" s="12" t="s">
        <v>466</v>
      </c>
      <c r="E2600" s="12" t="s">
        <v>5365</v>
      </c>
      <c r="F2600" s="12" t="s">
        <v>5376</v>
      </c>
      <c r="G2600" s="15" t="s">
        <v>16</v>
      </c>
      <c r="H2600" s="8"/>
      <c r="I2600" s="90"/>
      <c r="J2600" s="8"/>
      <c r="K2600" s="8"/>
      <c r="L2600" s="8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8"/>
      <c r="AA2600" s="8"/>
    </row>
    <row r="2601" spans="1:27" s="10" customFormat="1" hidden="1" x14ac:dyDescent="0.25">
      <c r="A2601" s="11" t="s">
        <v>5413</v>
      </c>
      <c r="B2601" s="12" t="s">
        <v>5414</v>
      </c>
      <c r="C2601" s="13">
        <v>7</v>
      </c>
      <c r="D2601" s="12" t="s">
        <v>466</v>
      </c>
      <c r="E2601" s="12" t="s">
        <v>5415</v>
      </c>
      <c r="F2601" s="12" t="s">
        <v>5425</v>
      </c>
      <c r="G2601" s="15" t="s">
        <v>16</v>
      </c>
      <c r="H2601" s="8"/>
      <c r="I2601" s="90"/>
      <c r="J2601" s="8"/>
      <c r="K2601" s="8"/>
      <c r="L2601" s="8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8"/>
      <c r="AA2601" s="8"/>
    </row>
    <row r="2602" spans="1:27" s="10" customFormat="1" hidden="1" x14ac:dyDescent="0.2">
      <c r="A2602" s="11" t="s">
        <v>5492</v>
      </c>
      <c r="B2602" s="12" t="s">
        <v>5493</v>
      </c>
      <c r="C2602" s="13">
        <v>5</v>
      </c>
      <c r="D2602" s="167" t="s">
        <v>22</v>
      </c>
      <c r="E2602" s="12" t="s">
        <v>5494</v>
      </c>
      <c r="F2602" s="65" t="s">
        <v>5500</v>
      </c>
      <c r="G2602" s="15" t="s">
        <v>16</v>
      </c>
      <c r="H2602" s="8"/>
      <c r="I2602" s="90">
        <v>12</v>
      </c>
      <c r="J2602" s="8"/>
      <c r="K2602" s="8"/>
      <c r="L2602" s="8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  <c r="AA2602" s="8"/>
    </row>
    <row r="2603" spans="1:27" s="10" customFormat="1" hidden="1" x14ac:dyDescent="0.25">
      <c r="A2603" s="11" t="s">
        <v>5627</v>
      </c>
      <c r="B2603" s="12" t="s">
        <v>5628</v>
      </c>
      <c r="C2603" s="13">
        <v>8</v>
      </c>
      <c r="D2603" s="12" t="s">
        <v>22</v>
      </c>
      <c r="E2603" s="12" t="s">
        <v>5629</v>
      </c>
      <c r="F2603" s="12" t="s">
        <v>5639</v>
      </c>
      <c r="G2603" s="157" t="s">
        <v>16</v>
      </c>
      <c r="H2603" s="8"/>
      <c r="I2603" s="90"/>
      <c r="J2603" s="8"/>
      <c r="K2603" s="8"/>
      <c r="L2603" s="8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8"/>
      <c r="AA2603" s="8"/>
    </row>
    <row r="2604" spans="1:27" s="10" customFormat="1" hidden="1" x14ac:dyDescent="0.25">
      <c r="A2604" s="11" t="s">
        <v>6017</v>
      </c>
      <c r="B2604" s="12" t="s">
        <v>6018</v>
      </c>
      <c r="C2604" s="13">
        <v>10</v>
      </c>
      <c r="D2604" s="12" t="s">
        <v>22</v>
      </c>
      <c r="E2604" s="12" t="s">
        <v>6019</v>
      </c>
      <c r="F2604" s="12" t="s">
        <v>6034</v>
      </c>
      <c r="G2604" s="15" t="s">
        <v>16</v>
      </c>
      <c r="H2604" s="8"/>
      <c r="I2604" s="90"/>
      <c r="J2604" s="8"/>
      <c r="K2604" s="8"/>
      <c r="L2604" s="8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8"/>
      <c r="AA2604" s="8"/>
    </row>
    <row r="2605" spans="1:27" s="10" customFormat="1" hidden="1" x14ac:dyDescent="0.25">
      <c r="A2605" s="11" t="s">
        <v>6176</v>
      </c>
      <c r="B2605" s="12" t="s">
        <v>6177</v>
      </c>
      <c r="C2605" s="13">
        <f>C2604+1</f>
        <v>11</v>
      </c>
      <c r="D2605" s="12" t="s">
        <v>22</v>
      </c>
      <c r="E2605" s="12" t="s">
        <v>6178</v>
      </c>
      <c r="F2605" s="12" t="s">
        <v>6188</v>
      </c>
      <c r="G2605" s="15" t="s">
        <v>16</v>
      </c>
      <c r="H2605" s="8"/>
      <c r="I2605" s="90">
        <v>12</v>
      </c>
      <c r="J2605" s="8"/>
      <c r="K2605" s="8"/>
      <c r="L2605" s="8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8"/>
      <c r="AA2605" s="8"/>
    </row>
    <row r="2606" spans="1:27" s="10" customFormat="1" hidden="1" x14ac:dyDescent="0.25">
      <c r="A2606" s="11" t="s">
        <v>6189</v>
      </c>
      <c r="B2606" s="12" t="s">
        <v>6190</v>
      </c>
      <c r="C2606" s="13">
        <v>10</v>
      </c>
      <c r="D2606" s="12" t="s">
        <v>22</v>
      </c>
      <c r="E2606" s="12" t="s">
        <v>6191</v>
      </c>
      <c r="F2606" s="12" t="s">
        <v>6243</v>
      </c>
      <c r="G2606" s="15" t="s">
        <v>16</v>
      </c>
      <c r="H2606" s="8"/>
      <c r="I2606" s="90">
        <v>12</v>
      </c>
      <c r="J2606" s="8"/>
      <c r="K2606" s="8"/>
      <c r="L2606" s="8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8"/>
      <c r="AA2606" s="8"/>
    </row>
    <row r="2607" spans="1:27" s="72" customFormat="1" ht="12.75" hidden="1" thickBot="1" x14ac:dyDescent="0.3">
      <c r="A2607" s="36" t="s">
        <v>6286</v>
      </c>
      <c r="B2607" s="30" t="s">
        <v>6287</v>
      </c>
      <c r="C2607" s="31">
        <f>C2606+1</f>
        <v>11</v>
      </c>
      <c r="D2607" s="30" t="s">
        <v>22</v>
      </c>
      <c r="E2607" s="30" t="s">
        <v>6288</v>
      </c>
      <c r="F2607" s="30" t="s">
        <v>6308</v>
      </c>
      <c r="G2607" s="33" t="s">
        <v>16</v>
      </c>
      <c r="H2607" s="55"/>
      <c r="I2607" s="253">
        <v>12</v>
      </c>
      <c r="J2607" s="55"/>
      <c r="K2607" s="55"/>
      <c r="L2607" s="55"/>
      <c r="M2607" s="55"/>
      <c r="N2607" s="55"/>
      <c r="O2607" s="55"/>
      <c r="P2607" s="55"/>
      <c r="Q2607" s="55"/>
      <c r="R2607" s="55"/>
      <c r="S2607" s="55"/>
      <c r="T2607" s="55"/>
      <c r="U2607" s="55"/>
      <c r="V2607" s="55"/>
      <c r="W2607" s="55"/>
      <c r="X2607" s="55"/>
      <c r="Y2607" s="55"/>
      <c r="Z2607" s="55"/>
      <c r="AA2607" s="55"/>
    </row>
    <row r="2608" spans="1:27" s="40" customFormat="1" hidden="1" x14ac:dyDescent="0.25">
      <c r="A2608" s="56" t="s">
        <v>6357</v>
      </c>
      <c r="B2608" s="61" t="s">
        <v>6358</v>
      </c>
      <c r="C2608" s="58">
        <v>7</v>
      </c>
      <c r="D2608" s="61" t="s">
        <v>466</v>
      </c>
      <c r="E2608" s="61" t="s">
        <v>6359</v>
      </c>
      <c r="F2608" s="61" t="s">
        <v>6368</v>
      </c>
      <c r="G2608" s="62" t="s">
        <v>16</v>
      </c>
      <c r="H2608" s="8"/>
      <c r="I2608" s="99">
        <v>13</v>
      </c>
      <c r="J2608" s="8"/>
      <c r="K2608" s="8"/>
      <c r="L2608" s="8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8"/>
      <c r="AA2608" s="8"/>
    </row>
    <row r="2609" spans="1:27" s="40" customFormat="1" hidden="1" x14ac:dyDescent="0.25">
      <c r="A2609" s="11" t="s">
        <v>6371</v>
      </c>
      <c r="B2609" s="12" t="s">
        <v>6372</v>
      </c>
      <c r="C2609" s="13">
        <f>C2592+1</f>
        <v>8</v>
      </c>
      <c r="D2609" s="12" t="s">
        <v>22</v>
      </c>
      <c r="E2609" s="12" t="s">
        <v>6373</v>
      </c>
      <c r="F2609" s="12" t="s">
        <v>6401</v>
      </c>
      <c r="G2609" s="15" t="s">
        <v>16</v>
      </c>
      <c r="H2609" s="8"/>
      <c r="I2609" s="99">
        <v>13</v>
      </c>
      <c r="J2609" s="8"/>
      <c r="K2609" s="8"/>
      <c r="L2609" s="8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8"/>
      <c r="AA2609" s="8"/>
    </row>
    <row r="2610" spans="1:27" s="40" customFormat="1" hidden="1" x14ac:dyDescent="0.25">
      <c r="A2610" s="11" t="s">
        <v>6415</v>
      </c>
      <c r="B2610" s="12" t="s">
        <v>6416</v>
      </c>
      <c r="C2610" s="13">
        <v>5</v>
      </c>
      <c r="D2610" s="12" t="s">
        <v>22</v>
      </c>
      <c r="E2610" s="12" t="s">
        <v>6417</v>
      </c>
      <c r="F2610" s="12" t="s">
        <v>6424</v>
      </c>
      <c r="G2610" s="15" t="s">
        <v>282</v>
      </c>
      <c r="H2610" s="8"/>
      <c r="I2610" s="101" t="s">
        <v>5818</v>
      </c>
      <c r="J2610" s="8"/>
      <c r="K2610" s="8"/>
      <c r="L2610" s="8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8"/>
      <c r="AA2610" s="8"/>
    </row>
    <row r="2611" spans="1:27" s="40" customFormat="1" hidden="1" x14ac:dyDescent="0.25">
      <c r="A2611" s="11" t="s">
        <v>6425</v>
      </c>
      <c r="B2611" s="12" t="s">
        <v>6426</v>
      </c>
      <c r="C2611" s="13">
        <v>5</v>
      </c>
      <c r="D2611" s="12" t="s">
        <v>466</v>
      </c>
      <c r="E2611" s="12" t="s">
        <v>6427</v>
      </c>
      <c r="F2611" s="12" t="s">
        <v>6433</v>
      </c>
      <c r="G2611" s="15" t="s">
        <v>282</v>
      </c>
      <c r="H2611" s="8"/>
      <c r="I2611" s="101" t="s">
        <v>5818</v>
      </c>
      <c r="J2611" s="8"/>
      <c r="K2611" s="8"/>
      <c r="L2611" s="8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8"/>
      <c r="AA2611" s="8"/>
    </row>
    <row r="2612" spans="1:27" s="40" customFormat="1" hidden="1" x14ac:dyDescent="0.25">
      <c r="A2612" s="11" t="s">
        <v>6434</v>
      </c>
      <c r="B2612" s="12" t="s">
        <v>6435</v>
      </c>
      <c r="C2612" s="13">
        <v>5</v>
      </c>
      <c r="D2612" s="12" t="s">
        <v>466</v>
      </c>
      <c r="E2612" s="12" t="s">
        <v>6436</v>
      </c>
      <c r="F2612" s="12" t="s">
        <v>6441</v>
      </c>
      <c r="G2612" s="15" t="s">
        <v>282</v>
      </c>
      <c r="H2612" s="8"/>
      <c r="I2612" s="101" t="s">
        <v>5818</v>
      </c>
      <c r="J2612" s="8"/>
      <c r="K2612" s="8"/>
      <c r="L2612" s="8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8"/>
      <c r="AA2612" s="8"/>
    </row>
    <row r="2613" spans="1:27" s="10" customFormat="1" hidden="1" x14ac:dyDescent="0.2">
      <c r="A2613" s="11" t="s">
        <v>6584</v>
      </c>
      <c r="B2613" s="12" t="s">
        <v>6585</v>
      </c>
      <c r="C2613" s="13">
        <v>11</v>
      </c>
      <c r="D2613" s="65" t="s">
        <v>22</v>
      </c>
      <c r="E2613" s="12" t="s">
        <v>6586</v>
      </c>
      <c r="F2613" s="12" t="s">
        <v>6600</v>
      </c>
      <c r="G2613" s="15" t="s">
        <v>16</v>
      </c>
      <c r="H2613" s="8"/>
      <c r="I2613" s="90"/>
      <c r="J2613" s="8"/>
      <c r="K2613" s="8"/>
      <c r="L2613" s="8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8"/>
      <c r="AA2613" s="8"/>
    </row>
    <row r="2614" spans="1:27" s="10" customFormat="1" hidden="1" x14ac:dyDescent="0.2">
      <c r="A2614" s="11" t="s">
        <v>6601</v>
      </c>
      <c r="B2614" s="12" t="s">
        <v>6602</v>
      </c>
      <c r="C2614" s="13">
        <v>7</v>
      </c>
      <c r="D2614" s="14" t="s">
        <v>22</v>
      </c>
      <c r="E2614" s="12" t="s">
        <v>6603</v>
      </c>
      <c r="F2614" s="12" t="s">
        <v>6613</v>
      </c>
      <c r="G2614" s="15" t="s">
        <v>16</v>
      </c>
      <c r="H2614" s="8"/>
      <c r="I2614" s="90"/>
      <c r="J2614" s="8"/>
      <c r="K2614" s="8"/>
      <c r="L2614" s="8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  <c r="AA2614" s="8"/>
    </row>
    <row r="2615" spans="1:27" s="10" customFormat="1" hidden="1" x14ac:dyDescent="0.2">
      <c r="A2615" s="11" t="s">
        <v>6614</v>
      </c>
      <c r="B2615" s="12" t="s">
        <v>6615</v>
      </c>
      <c r="C2615" s="13">
        <v>24</v>
      </c>
      <c r="D2615" s="14" t="s">
        <v>22</v>
      </c>
      <c r="E2615" s="12" t="s">
        <v>6616</v>
      </c>
      <c r="F2615" s="12" t="s">
        <v>6644</v>
      </c>
      <c r="G2615" s="15" t="s">
        <v>16</v>
      </c>
      <c r="H2615" s="8"/>
      <c r="I2615" s="90"/>
      <c r="J2615" s="8"/>
      <c r="K2615" s="8"/>
      <c r="L2615" s="8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8"/>
      <c r="AA2615" s="8"/>
    </row>
    <row r="2616" spans="1:27" s="10" customFormat="1" hidden="1" x14ac:dyDescent="0.2">
      <c r="A2616" s="11" t="s">
        <v>6645</v>
      </c>
      <c r="B2616" s="12" t="s">
        <v>6646</v>
      </c>
      <c r="C2616" s="13">
        <f>+C2615+1</f>
        <v>25</v>
      </c>
      <c r="D2616" s="14" t="s">
        <v>22</v>
      </c>
      <c r="E2616" s="12" t="s">
        <v>6647</v>
      </c>
      <c r="F2616" s="12" t="s">
        <v>6663</v>
      </c>
      <c r="G2616" s="15" t="s">
        <v>16</v>
      </c>
      <c r="H2616" s="8"/>
      <c r="I2616" s="90"/>
      <c r="J2616" s="8"/>
      <c r="K2616" s="8"/>
      <c r="L2616" s="8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8"/>
      <c r="AA2616" s="8"/>
    </row>
    <row r="2617" spans="1:27" s="10" customFormat="1" hidden="1" x14ac:dyDescent="0.25">
      <c r="A2617" s="11" t="s">
        <v>6664</v>
      </c>
      <c r="B2617" s="12" t="s">
        <v>6665</v>
      </c>
      <c r="C2617" s="13">
        <f>+C2616+1</f>
        <v>26</v>
      </c>
      <c r="D2617" s="12" t="s">
        <v>22</v>
      </c>
      <c r="E2617" s="12" t="s">
        <v>6666</v>
      </c>
      <c r="F2617" s="12" t="s">
        <v>6677</v>
      </c>
      <c r="G2617" s="15" t="s">
        <v>16</v>
      </c>
      <c r="H2617" s="8"/>
      <c r="I2617" s="90"/>
      <c r="J2617" s="8"/>
      <c r="K2617" s="8"/>
      <c r="L2617" s="8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8"/>
      <c r="AA2617" s="8"/>
    </row>
    <row r="2618" spans="1:27" s="10" customFormat="1" hidden="1" x14ac:dyDescent="0.2">
      <c r="A2618" s="11" t="s">
        <v>6801</v>
      </c>
      <c r="B2618" s="12" t="s">
        <v>6802</v>
      </c>
      <c r="C2618" s="13">
        <v>6</v>
      </c>
      <c r="D2618" s="14" t="s">
        <v>22</v>
      </c>
      <c r="E2618" s="12" t="s">
        <v>6803</v>
      </c>
      <c r="F2618" s="12" t="s">
        <v>6810</v>
      </c>
      <c r="G2618" s="15" t="s">
        <v>16</v>
      </c>
      <c r="H2618" s="8"/>
      <c r="I2618" s="90"/>
      <c r="J2618" s="8"/>
      <c r="K2618" s="8"/>
      <c r="L2618" s="8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8"/>
      <c r="AA2618" s="8"/>
    </row>
    <row r="2619" spans="1:27" s="10" customFormat="1" hidden="1" x14ac:dyDescent="0.2">
      <c r="A2619" s="11" t="s">
        <v>6811</v>
      </c>
      <c r="B2619" s="12" t="s">
        <v>6812</v>
      </c>
      <c r="C2619" s="13">
        <v>8</v>
      </c>
      <c r="D2619" s="14" t="s">
        <v>22</v>
      </c>
      <c r="E2619" s="12" t="s">
        <v>6813</v>
      </c>
      <c r="F2619" s="12" t="s">
        <v>6823</v>
      </c>
      <c r="G2619" s="15" t="s">
        <v>16</v>
      </c>
      <c r="H2619" s="8"/>
      <c r="I2619" s="90"/>
      <c r="J2619" s="8"/>
      <c r="K2619" s="8"/>
      <c r="L2619" s="8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8"/>
      <c r="AA2619" s="8"/>
    </row>
    <row r="2620" spans="1:27" s="10" customFormat="1" hidden="1" x14ac:dyDescent="0.2">
      <c r="A2620" s="11" t="s">
        <v>6826</v>
      </c>
      <c r="B2620" s="12" t="s">
        <v>6827</v>
      </c>
      <c r="C2620" s="13">
        <v>10</v>
      </c>
      <c r="D2620" s="219" t="s">
        <v>22</v>
      </c>
      <c r="E2620" s="12" t="s">
        <v>6828</v>
      </c>
      <c r="F2620" s="12" t="s">
        <v>6842</v>
      </c>
      <c r="G2620" s="15" t="s">
        <v>16</v>
      </c>
      <c r="H2620" s="8"/>
      <c r="I2620" s="90"/>
      <c r="J2620" s="8"/>
      <c r="K2620" s="8"/>
      <c r="L2620" s="8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8"/>
      <c r="AA2620" s="8"/>
    </row>
    <row r="2621" spans="1:27" s="10" customFormat="1" hidden="1" x14ac:dyDescent="0.2">
      <c r="A2621" s="11" t="s">
        <v>6843</v>
      </c>
      <c r="B2621" s="12" t="s">
        <v>6844</v>
      </c>
      <c r="C2621" s="13">
        <v>11</v>
      </c>
      <c r="D2621" s="14" t="s">
        <v>22</v>
      </c>
      <c r="E2621" s="12" t="s">
        <v>6845</v>
      </c>
      <c r="F2621" s="12" t="s">
        <v>6861</v>
      </c>
      <c r="G2621" s="15" t="s">
        <v>16</v>
      </c>
      <c r="H2621" s="8"/>
      <c r="I2621" s="90"/>
      <c r="J2621" s="8"/>
      <c r="K2621" s="8"/>
      <c r="L2621" s="8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8"/>
      <c r="AA2621" s="8"/>
    </row>
    <row r="2622" spans="1:27" s="10" customFormat="1" hidden="1" x14ac:dyDescent="0.2">
      <c r="A2622" s="11" t="s">
        <v>6862</v>
      </c>
      <c r="B2622" s="12" t="s">
        <v>6863</v>
      </c>
      <c r="C2622" s="13">
        <v>7</v>
      </c>
      <c r="D2622" s="65" t="s">
        <v>22</v>
      </c>
      <c r="E2622" s="12" t="s">
        <v>6864</v>
      </c>
      <c r="F2622" s="12" t="s">
        <v>6873</v>
      </c>
      <c r="G2622" s="15" t="s">
        <v>16</v>
      </c>
      <c r="H2622" s="8"/>
      <c r="I2622" s="90"/>
      <c r="J2622" s="8"/>
      <c r="K2622" s="8"/>
      <c r="L2622" s="8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  <c r="X2622" s="8"/>
      <c r="Y2622" s="8"/>
      <c r="Z2622" s="8"/>
      <c r="AA2622" s="8"/>
    </row>
    <row r="2623" spans="1:27" s="10" customFormat="1" hidden="1" x14ac:dyDescent="0.2">
      <c r="A2623" s="11" t="s">
        <v>6880</v>
      </c>
      <c r="B2623" s="12" t="s">
        <v>6881</v>
      </c>
      <c r="C2623" s="13">
        <v>17</v>
      </c>
      <c r="D2623" s="14" t="s">
        <v>22</v>
      </c>
      <c r="E2623" s="12" t="s">
        <v>6882</v>
      </c>
      <c r="F2623" s="12" t="s">
        <v>6909</v>
      </c>
      <c r="G2623" s="15" t="s">
        <v>16</v>
      </c>
      <c r="H2623" s="8"/>
      <c r="I2623" s="90"/>
      <c r="J2623" s="8"/>
      <c r="K2623" s="8"/>
      <c r="L2623" s="8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  <c r="X2623" s="8"/>
      <c r="Y2623" s="8"/>
      <c r="Z2623" s="8"/>
      <c r="AA2623" s="8"/>
    </row>
    <row r="2624" spans="1:27" s="10" customFormat="1" hidden="1" x14ac:dyDescent="0.2">
      <c r="A2624" s="11" t="s">
        <v>6912</v>
      </c>
      <c r="B2624" s="12" t="s">
        <v>6913</v>
      </c>
      <c r="C2624" s="13">
        <v>5</v>
      </c>
      <c r="D2624" s="65" t="s">
        <v>22</v>
      </c>
      <c r="E2624" s="12" t="s">
        <v>6914</v>
      </c>
      <c r="F2624" s="12" t="s">
        <v>6920</v>
      </c>
      <c r="G2624" s="15" t="s">
        <v>16</v>
      </c>
      <c r="H2624" s="8"/>
      <c r="I2624" s="90"/>
      <c r="J2624" s="8"/>
      <c r="K2624" s="8"/>
      <c r="L2624" s="8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  <c r="X2624" s="8"/>
      <c r="Y2624" s="8"/>
      <c r="Z2624" s="8"/>
      <c r="AA2624" s="8"/>
    </row>
    <row r="2625" spans="1:27" s="10" customFormat="1" hidden="1" x14ac:dyDescent="0.2">
      <c r="A2625" s="11" t="s">
        <v>6921</v>
      </c>
      <c r="B2625" s="12" t="s">
        <v>6922</v>
      </c>
      <c r="C2625" s="13">
        <v>9</v>
      </c>
      <c r="D2625" s="65" t="s">
        <v>22</v>
      </c>
      <c r="E2625" s="12" t="s">
        <v>6923</v>
      </c>
      <c r="F2625" s="12" t="s">
        <v>6935</v>
      </c>
      <c r="G2625" s="15" t="s">
        <v>16</v>
      </c>
      <c r="H2625" s="8"/>
      <c r="I2625" s="90"/>
      <c r="J2625" s="8"/>
      <c r="K2625" s="8"/>
      <c r="L2625" s="8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  <c r="X2625" s="8"/>
      <c r="Y2625" s="8"/>
      <c r="Z2625" s="8"/>
      <c r="AA2625" s="8"/>
    </row>
    <row r="2626" spans="1:27" s="10" customFormat="1" hidden="1" x14ac:dyDescent="0.2">
      <c r="A2626" s="11" t="s">
        <v>6936</v>
      </c>
      <c r="B2626" s="12" t="s">
        <v>6937</v>
      </c>
      <c r="C2626" s="13">
        <v>6</v>
      </c>
      <c r="D2626" s="14" t="s">
        <v>22</v>
      </c>
      <c r="E2626" s="12" t="s">
        <v>6938</v>
      </c>
      <c r="F2626" s="12" t="s">
        <v>6945</v>
      </c>
      <c r="G2626" s="15" t="s">
        <v>16</v>
      </c>
      <c r="H2626" s="8"/>
      <c r="I2626" s="90"/>
      <c r="J2626" s="8"/>
      <c r="K2626" s="8"/>
      <c r="L2626" s="8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8"/>
      <c r="Z2626" s="8"/>
      <c r="AA2626" s="8"/>
    </row>
    <row r="2627" spans="1:27" s="10" customFormat="1" hidden="1" x14ac:dyDescent="0.2">
      <c r="A2627" s="11" t="s">
        <v>6946</v>
      </c>
      <c r="B2627" s="12" t="s">
        <v>6947</v>
      </c>
      <c r="C2627" s="13">
        <v>9</v>
      </c>
      <c r="D2627" s="65" t="s">
        <v>22</v>
      </c>
      <c r="E2627" s="12" t="s">
        <v>6948</v>
      </c>
      <c r="F2627" s="12" t="s">
        <v>6957</v>
      </c>
      <c r="G2627" s="15" t="s">
        <v>16</v>
      </c>
      <c r="H2627" s="8"/>
      <c r="I2627" s="90"/>
      <c r="J2627" s="8"/>
      <c r="K2627" s="8"/>
      <c r="L2627" s="8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  <c r="X2627" s="8"/>
      <c r="Y2627" s="8"/>
      <c r="Z2627" s="8"/>
      <c r="AA2627" s="8"/>
    </row>
    <row r="2628" spans="1:27" s="10" customFormat="1" hidden="1" x14ac:dyDescent="0.2">
      <c r="A2628" s="11" t="s">
        <v>6958</v>
      </c>
      <c r="B2628" s="12" t="s">
        <v>6959</v>
      </c>
      <c r="C2628" s="13">
        <v>6</v>
      </c>
      <c r="D2628" s="14" t="s">
        <v>22</v>
      </c>
      <c r="E2628" s="12" t="s">
        <v>6960</v>
      </c>
      <c r="F2628" s="12" t="s">
        <v>6966</v>
      </c>
      <c r="G2628" s="15" t="s">
        <v>16</v>
      </c>
      <c r="H2628" s="8"/>
      <c r="I2628" s="90"/>
      <c r="J2628" s="8"/>
      <c r="K2628" s="8"/>
      <c r="L2628" s="8"/>
      <c r="M2628" s="8"/>
      <c r="N2628" s="8"/>
      <c r="O2628" s="8"/>
      <c r="P2628" s="8"/>
      <c r="Q2628" s="8"/>
      <c r="R2628" s="8"/>
      <c r="S2628" s="8"/>
      <c r="T2628" s="8"/>
      <c r="U2628" s="8"/>
      <c r="V2628" s="8"/>
      <c r="W2628" s="8"/>
      <c r="X2628" s="8"/>
      <c r="Y2628" s="8"/>
      <c r="Z2628" s="8"/>
      <c r="AA2628" s="8"/>
    </row>
    <row r="2629" spans="1:27" s="10" customFormat="1" hidden="1" x14ac:dyDescent="0.2">
      <c r="A2629" s="11" t="s">
        <v>6967</v>
      </c>
      <c r="B2629" s="12" t="s">
        <v>6968</v>
      </c>
      <c r="C2629" s="13">
        <v>9</v>
      </c>
      <c r="D2629" s="65" t="s">
        <v>22</v>
      </c>
      <c r="E2629" s="12" t="s">
        <v>6969</v>
      </c>
      <c r="F2629" s="12" t="s">
        <v>6978</v>
      </c>
      <c r="G2629" s="15" t="s">
        <v>16</v>
      </c>
      <c r="H2629" s="8"/>
      <c r="I2629" s="90"/>
      <c r="J2629" s="8"/>
      <c r="K2629" s="8"/>
      <c r="L2629" s="8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  <c r="X2629" s="8"/>
      <c r="Y2629" s="8"/>
      <c r="Z2629" s="8"/>
      <c r="AA2629" s="8"/>
    </row>
    <row r="2630" spans="1:27" s="10" customFormat="1" hidden="1" x14ac:dyDescent="0.2">
      <c r="A2630" s="11" t="s">
        <v>6979</v>
      </c>
      <c r="B2630" s="12" t="s">
        <v>6980</v>
      </c>
      <c r="C2630" s="13">
        <v>7</v>
      </c>
      <c r="D2630" s="14" t="s">
        <v>22</v>
      </c>
      <c r="E2630" s="12" t="s">
        <v>6981</v>
      </c>
      <c r="F2630" s="12" t="s">
        <v>6991</v>
      </c>
      <c r="G2630" s="15" t="s">
        <v>16</v>
      </c>
      <c r="H2630" s="8"/>
      <c r="I2630" s="90"/>
      <c r="J2630" s="8"/>
      <c r="K2630" s="8"/>
      <c r="L2630" s="8"/>
      <c r="M2630" s="8"/>
      <c r="N2630" s="8"/>
      <c r="O2630" s="8"/>
      <c r="P2630" s="8"/>
      <c r="Q2630" s="8"/>
      <c r="R2630" s="8"/>
      <c r="S2630" s="8"/>
      <c r="T2630" s="8"/>
      <c r="U2630" s="8"/>
      <c r="V2630" s="8"/>
      <c r="W2630" s="8"/>
      <c r="X2630" s="8"/>
      <c r="Y2630" s="8"/>
      <c r="Z2630" s="8"/>
      <c r="AA2630" s="8"/>
    </row>
    <row r="2631" spans="1:27" s="10" customFormat="1" hidden="1" x14ac:dyDescent="0.2">
      <c r="A2631" s="11" t="s">
        <v>6992</v>
      </c>
      <c r="B2631" s="12" t="s">
        <v>6993</v>
      </c>
      <c r="C2631" s="13">
        <v>7</v>
      </c>
      <c r="D2631" s="14" t="s">
        <v>22</v>
      </c>
      <c r="E2631" s="12" t="s">
        <v>6994</v>
      </c>
      <c r="F2631" s="12" t="s">
        <v>7001</v>
      </c>
      <c r="G2631" s="15" t="s">
        <v>16</v>
      </c>
      <c r="H2631" s="8"/>
      <c r="I2631" s="90"/>
      <c r="J2631" s="8"/>
      <c r="K2631" s="8"/>
      <c r="L2631" s="8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  <c r="X2631" s="8"/>
      <c r="Y2631" s="8"/>
      <c r="Z2631" s="8"/>
      <c r="AA2631" s="8"/>
    </row>
    <row r="2632" spans="1:27" s="10" customFormat="1" hidden="1" x14ac:dyDescent="0.2">
      <c r="A2632" s="11" t="s">
        <v>7002</v>
      </c>
      <c r="B2632" s="12" t="s">
        <v>7003</v>
      </c>
      <c r="C2632" s="13">
        <v>9</v>
      </c>
      <c r="D2632" s="14" t="s">
        <v>22</v>
      </c>
      <c r="E2632" s="12" t="s">
        <v>7004</v>
      </c>
      <c r="F2632" s="12" t="s">
        <v>7015</v>
      </c>
      <c r="G2632" s="15" t="s">
        <v>16</v>
      </c>
      <c r="H2632" s="8"/>
      <c r="I2632" s="90"/>
      <c r="J2632" s="8"/>
      <c r="K2632" s="8"/>
      <c r="L2632" s="8"/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  <c r="X2632" s="8"/>
      <c r="Y2632" s="8"/>
      <c r="Z2632" s="8"/>
      <c r="AA2632" s="8"/>
    </row>
    <row r="2633" spans="1:27" s="10" customFormat="1" hidden="1" x14ac:dyDescent="0.25">
      <c r="A2633" s="11" t="s">
        <v>7028</v>
      </c>
      <c r="B2633" s="12" t="s">
        <v>10</v>
      </c>
      <c r="C2633" s="13">
        <v>5</v>
      </c>
      <c r="D2633" s="12" t="s">
        <v>466</v>
      </c>
      <c r="E2633" s="12" t="s">
        <v>7030</v>
      </c>
      <c r="F2633" s="12" t="s">
        <v>7036</v>
      </c>
      <c r="G2633" s="15" t="s">
        <v>16</v>
      </c>
      <c r="H2633" s="8"/>
      <c r="I2633" s="90"/>
      <c r="J2633" s="8"/>
      <c r="K2633" s="8"/>
      <c r="L2633" s="8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8"/>
      <c r="X2633" s="8"/>
      <c r="Y2633" s="8"/>
      <c r="Z2633" s="8"/>
      <c r="AA2633" s="8"/>
    </row>
    <row r="2634" spans="1:27" s="10" customFormat="1" hidden="1" x14ac:dyDescent="0.25">
      <c r="A2634" s="11" t="s">
        <v>7037</v>
      </c>
      <c r="B2634" s="12" t="s">
        <v>7038</v>
      </c>
      <c r="C2634" s="13">
        <v>5</v>
      </c>
      <c r="D2634" s="12" t="s">
        <v>466</v>
      </c>
      <c r="E2634" s="12" t="s">
        <v>7039</v>
      </c>
      <c r="F2634" s="12" t="s">
        <v>7044</v>
      </c>
      <c r="G2634" s="15" t="s">
        <v>16</v>
      </c>
      <c r="H2634" s="8"/>
      <c r="I2634" s="90"/>
      <c r="J2634" s="8"/>
      <c r="K2634" s="8"/>
      <c r="L2634" s="8"/>
      <c r="M2634" s="8"/>
      <c r="N2634" s="8"/>
      <c r="O2634" s="8"/>
      <c r="P2634" s="8"/>
      <c r="Q2634" s="8"/>
      <c r="R2634" s="8"/>
      <c r="S2634" s="8"/>
      <c r="T2634" s="8"/>
      <c r="U2634" s="8"/>
      <c r="V2634" s="8"/>
      <c r="W2634" s="8"/>
      <c r="X2634" s="8"/>
      <c r="Y2634" s="8"/>
      <c r="Z2634" s="8"/>
      <c r="AA2634" s="8"/>
    </row>
    <row r="2635" spans="1:27" s="72" customFormat="1" ht="12.75" hidden="1" thickBot="1" x14ac:dyDescent="0.3">
      <c r="A2635" s="36" t="s">
        <v>7045</v>
      </c>
      <c r="B2635" s="30" t="s">
        <v>372</v>
      </c>
      <c r="C2635" s="31">
        <v>5</v>
      </c>
      <c r="D2635" s="30" t="s">
        <v>466</v>
      </c>
      <c r="E2635" s="30" t="s">
        <v>7046</v>
      </c>
      <c r="F2635" s="30" t="s">
        <v>7051</v>
      </c>
      <c r="G2635" s="33" t="s">
        <v>16</v>
      </c>
      <c r="H2635" s="55"/>
      <c r="I2635" s="253"/>
      <c r="J2635" s="55"/>
      <c r="K2635" s="55"/>
      <c r="L2635" s="55"/>
      <c r="M2635" s="55"/>
      <c r="N2635" s="55"/>
      <c r="O2635" s="55"/>
      <c r="P2635" s="55"/>
      <c r="Q2635" s="55"/>
      <c r="R2635" s="55"/>
      <c r="S2635" s="55"/>
      <c r="T2635" s="55"/>
      <c r="U2635" s="55"/>
      <c r="V2635" s="55"/>
      <c r="W2635" s="55"/>
      <c r="X2635" s="55"/>
      <c r="Y2635" s="55"/>
      <c r="Z2635" s="55"/>
      <c r="AA2635" s="55"/>
    </row>
    <row r="2636" spans="1:27" hidden="1" x14ac:dyDescent="0.25">
      <c r="A2636" s="35" t="s">
        <v>7052</v>
      </c>
      <c r="B2636" s="12" t="s">
        <v>390</v>
      </c>
      <c r="C2636" s="13">
        <v>5</v>
      </c>
      <c r="D2636" s="118" t="s">
        <v>466</v>
      </c>
      <c r="E2636" s="12" t="s">
        <v>7053</v>
      </c>
      <c r="F2636" s="12" t="s">
        <v>7058</v>
      </c>
      <c r="G2636" s="15" t="s">
        <v>16</v>
      </c>
    </row>
    <row r="2637" spans="1:27" hidden="1" x14ac:dyDescent="0.25">
      <c r="A2637" s="35" t="s">
        <v>7059</v>
      </c>
      <c r="B2637" s="12" t="s">
        <v>7060</v>
      </c>
      <c r="C2637" s="13">
        <v>5</v>
      </c>
      <c r="D2637" s="118" t="s">
        <v>466</v>
      </c>
      <c r="E2637" s="12" t="s">
        <v>7061</v>
      </c>
      <c r="F2637" s="12" t="s">
        <v>7066</v>
      </c>
      <c r="G2637" s="15" t="s">
        <v>16</v>
      </c>
    </row>
    <row r="2638" spans="1:27" hidden="1" x14ac:dyDescent="0.25">
      <c r="A2638" s="35" t="s">
        <v>7067</v>
      </c>
      <c r="B2638" s="12" t="s">
        <v>37</v>
      </c>
      <c r="C2638" s="13">
        <v>5</v>
      </c>
      <c r="D2638" s="118" t="s">
        <v>466</v>
      </c>
      <c r="E2638" s="12" t="s">
        <v>7068</v>
      </c>
      <c r="F2638" s="12" t="s">
        <v>7073</v>
      </c>
      <c r="G2638" s="15" t="s">
        <v>16</v>
      </c>
    </row>
    <row r="2639" spans="1:27" hidden="1" x14ac:dyDescent="0.25">
      <c r="A2639" s="35" t="s">
        <v>7074</v>
      </c>
      <c r="B2639" s="12" t="s">
        <v>7075</v>
      </c>
      <c r="C2639" s="13">
        <v>5</v>
      </c>
      <c r="D2639" s="118" t="s">
        <v>466</v>
      </c>
      <c r="E2639" s="12" t="s">
        <v>7076</v>
      </c>
      <c r="F2639" s="12" t="s">
        <v>7081</v>
      </c>
      <c r="G2639" s="15" t="s">
        <v>16</v>
      </c>
    </row>
    <row r="2640" spans="1:27" hidden="1" x14ac:dyDescent="0.25">
      <c r="A2640" s="35" t="s">
        <v>7082</v>
      </c>
      <c r="B2640" s="12" t="s">
        <v>7083</v>
      </c>
      <c r="C2640" s="13">
        <v>5</v>
      </c>
      <c r="D2640" s="118" t="s">
        <v>466</v>
      </c>
      <c r="E2640" s="12" t="s">
        <v>7084</v>
      </c>
      <c r="F2640" s="12" t="s">
        <v>7089</v>
      </c>
      <c r="G2640" s="15" t="s">
        <v>16</v>
      </c>
    </row>
    <row r="2641" spans="1:7" hidden="1" x14ac:dyDescent="0.25">
      <c r="A2641" s="35" t="s">
        <v>7090</v>
      </c>
      <c r="B2641" s="12" t="s">
        <v>7091</v>
      </c>
      <c r="C2641" s="13">
        <v>5</v>
      </c>
      <c r="D2641" s="118" t="s">
        <v>466</v>
      </c>
      <c r="E2641" s="12" t="s">
        <v>7092</v>
      </c>
      <c r="F2641" s="12" t="s">
        <v>7097</v>
      </c>
      <c r="G2641" s="15" t="s">
        <v>16</v>
      </c>
    </row>
    <row r="2642" spans="1:7" hidden="1" x14ac:dyDescent="0.25">
      <c r="A2642" s="35" t="s">
        <v>7098</v>
      </c>
      <c r="B2642" s="12" t="s">
        <v>440</v>
      </c>
      <c r="C2642" s="13">
        <v>5</v>
      </c>
      <c r="D2642" s="118" t="s">
        <v>466</v>
      </c>
      <c r="E2642" s="12" t="s">
        <v>7099</v>
      </c>
      <c r="F2642" s="12" t="s">
        <v>7104</v>
      </c>
      <c r="G2642" s="15" t="s">
        <v>16</v>
      </c>
    </row>
    <row r="2643" spans="1:7" hidden="1" x14ac:dyDescent="0.25">
      <c r="A2643" s="35" t="s">
        <v>7105</v>
      </c>
      <c r="B2643" s="12" t="s">
        <v>7106</v>
      </c>
      <c r="C2643" s="13">
        <v>5</v>
      </c>
      <c r="D2643" s="118" t="s">
        <v>466</v>
      </c>
      <c r="E2643" s="12" t="s">
        <v>7107</v>
      </c>
      <c r="F2643" s="12" t="s">
        <v>7112</v>
      </c>
      <c r="G2643" s="15" t="s">
        <v>16</v>
      </c>
    </row>
    <row r="2644" spans="1:7" hidden="1" x14ac:dyDescent="0.25">
      <c r="A2644" s="35" t="s">
        <v>7113</v>
      </c>
      <c r="B2644" s="12" t="s">
        <v>327</v>
      </c>
      <c r="C2644" s="13">
        <v>5</v>
      </c>
      <c r="D2644" s="118" t="s">
        <v>466</v>
      </c>
      <c r="E2644" s="12" t="s">
        <v>7114</v>
      </c>
      <c r="F2644" s="12" t="s">
        <v>7119</v>
      </c>
      <c r="G2644" s="15" t="s">
        <v>16</v>
      </c>
    </row>
    <row r="2645" spans="1:7" hidden="1" x14ac:dyDescent="0.25">
      <c r="A2645" s="35" t="s">
        <v>7120</v>
      </c>
      <c r="B2645" s="12" t="s">
        <v>7121</v>
      </c>
      <c r="C2645" s="13">
        <v>5</v>
      </c>
      <c r="D2645" s="118" t="s">
        <v>466</v>
      </c>
      <c r="E2645" s="12" t="s">
        <v>7122</v>
      </c>
      <c r="F2645" s="12" t="s">
        <v>7127</v>
      </c>
      <c r="G2645" s="15" t="s">
        <v>16</v>
      </c>
    </row>
    <row r="2646" spans="1:7" hidden="1" x14ac:dyDescent="0.25">
      <c r="A2646" s="35" t="s">
        <v>7128</v>
      </c>
      <c r="B2646" s="12" t="s">
        <v>7129</v>
      </c>
      <c r="C2646" s="13">
        <v>5</v>
      </c>
      <c r="D2646" s="118" t="s">
        <v>466</v>
      </c>
      <c r="E2646" s="12" t="s">
        <v>7130</v>
      </c>
      <c r="F2646" s="12" t="s">
        <v>7135</v>
      </c>
      <c r="G2646" s="15" t="s">
        <v>16</v>
      </c>
    </row>
    <row r="2647" spans="1:7" hidden="1" x14ac:dyDescent="0.25">
      <c r="A2647" s="35" t="s">
        <v>7136</v>
      </c>
      <c r="B2647" s="12" t="s">
        <v>5771</v>
      </c>
      <c r="C2647" s="13">
        <v>5</v>
      </c>
      <c r="D2647" s="118" t="s">
        <v>466</v>
      </c>
      <c r="E2647" s="12" t="s">
        <v>7137</v>
      </c>
      <c r="F2647" s="12" t="s">
        <v>7142</v>
      </c>
      <c r="G2647" s="15" t="s">
        <v>16</v>
      </c>
    </row>
    <row r="2648" spans="1:7" hidden="1" x14ac:dyDescent="0.25">
      <c r="A2648" s="35" t="s">
        <v>7143</v>
      </c>
      <c r="B2648" s="12" t="s">
        <v>120</v>
      </c>
      <c r="C2648" s="13">
        <v>5</v>
      </c>
      <c r="D2648" s="118" t="s">
        <v>466</v>
      </c>
      <c r="E2648" s="12" t="s">
        <v>7144</v>
      </c>
      <c r="F2648" s="12" t="s">
        <v>7149</v>
      </c>
      <c r="G2648" s="15" t="s">
        <v>16</v>
      </c>
    </row>
    <row r="2649" spans="1:7" ht="12.75" hidden="1" thickBot="1" x14ac:dyDescent="0.3">
      <c r="A2649" s="47" t="s">
        <v>7150</v>
      </c>
      <c r="B2649" s="30" t="s">
        <v>7151</v>
      </c>
      <c r="C2649" s="31">
        <v>5</v>
      </c>
      <c r="D2649" s="159" t="s">
        <v>466</v>
      </c>
      <c r="E2649" s="30" t="s">
        <v>7152</v>
      </c>
      <c r="F2649" s="30" t="s">
        <v>7157</v>
      </c>
      <c r="G2649" s="33" t="s">
        <v>16</v>
      </c>
    </row>
    <row r="2650" spans="1:7" hidden="1" x14ac:dyDescent="0.25">
      <c r="A2650" s="35" t="s">
        <v>7158</v>
      </c>
      <c r="B2650" s="12" t="s">
        <v>7159</v>
      </c>
      <c r="C2650" s="13">
        <v>5</v>
      </c>
      <c r="D2650" s="118" t="s">
        <v>466</v>
      </c>
      <c r="E2650" s="12" t="s">
        <v>7160</v>
      </c>
      <c r="F2650" s="12" t="s">
        <v>7165</v>
      </c>
      <c r="G2650" s="15" t="s">
        <v>16</v>
      </c>
    </row>
    <row r="2651" spans="1:7" hidden="1" x14ac:dyDescent="0.25">
      <c r="A2651" s="35" t="s">
        <v>7166</v>
      </c>
      <c r="B2651" s="12" t="s">
        <v>7167</v>
      </c>
      <c r="C2651" s="13">
        <v>5</v>
      </c>
      <c r="D2651" s="118" t="s">
        <v>466</v>
      </c>
      <c r="E2651" s="12" t="s">
        <v>7168</v>
      </c>
      <c r="F2651" s="12" t="s">
        <v>7173</v>
      </c>
      <c r="G2651" s="15" t="s">
        <v>16</v>
      </c>
    </row>
    <row r="2652" spans="1:7" hidden="1" x14ac:dyDescent="0.25">
      <c r="A2652" s="35" t="s">
        <v>7174</v>
      </c>
      <c r="B2652" s="12" t="s">
        <v>7175</v>
      </c>
      <c r="C2652" s="13">
        <v>5</v>
      </c>
      <c r="D2652" s="118" t="s">
        <v>466</v>
      </c>
      <c r="E2652" s="12" t="s">
        <v>7176</v>
      </c>
      <c r="F2652" s="12" t="s">
        <v>7181</v>
      </c>
      <c r="G2652" s="15" t="s">
        <v>16</v>
      </c>
    </row>
    <row r="2653" spans="1:7" hidden="1" x14ac:dyDescent="0.25">
      <c r="A2653" s="35" t="s">
        <v>7182</v>
      </c>
      <c r="B2653" s="12" t="s">
        <v>1627</v>
      </c>
      <c r="C2653" s="13">
        <v>5</v>
      </c>
      <c r="D2653" s="118" t="s">
        <v>466</v>
      </c>
      <c r="E2653" s="12" t="s">
        <v>7183</v>
      </c>
      <c r="F2653" s="12" t="s">
        <v>7188</v>
      </c>
      <c r="G2653" s="15" t="s">
        <v>16</v>
      </c>
    </row>
    <row r="2654" spans="1:7" hidden="1" x14ac:dyDescent="0.25">
      <c r="A2654" s="35" t="s">
        <v>7189</v>
      </c>
      <c r="B2654" s="12" t="s">
        <v>7190</v>
      </c>
      <c r="C2654" s="13">
        <v>5</v>
      </c>
      <c r="D2654" s="118" t="s">
        <v>466</v>
      </c>
      <c r="E2654" s="12" t="s">
        <v>7191</v>
      </c>
      <c r="F2654" s="12" t="s">
        <v>7196</v>
      </c>
      <c r="G2654" s="15" t="s">
        <v>16</v>
      </c>
    </row>
    <row r="2655" spans="1:7" hidden="1" x14ac:dyDescent="0.25">
      <c r="A2655" s="35" t="s">
        <v>7197</v>
      </c>
      <c r="B2655" s="12" t="s">
        <v>7198</v>
      </c>
      <c r="C2655" s="13">
        <v>5</v>
      </c>
      <c r="D2655" s="118" t="s">
        <v>466</v>
      </c>
      <c r="E2655" s="12" t="s">
        <v>7199</v>
      </c>
      <c r="F2655" s="12" t="s">
        <v>7204</v>
      </c>
      <c r="G2655" s="15" t="s">
        <v>16</v>
      </c>
    </row>
    <row r="2656" spans="1:7" hidden="1" x14ac:dyDescent="0.25">
      <c r="A2656" s="35" t="s">
        <v>7205</v>
      </c>
      <c r="B2656" s="12" t="s">
        <v>4595</v>
      </c>
      <c r="C2656" s="13">
        <v>5</v>
      </c>
      <c r="D2656" s="118" t="s">
        <v>466</v>
      </c>
      <c r="E2656" s="12" t="s">
        <v>7206</v>
      </c>
      <c r="F2656" s="12" t="s">
        <v>7211</v>
      </c>
      <c r="G2656" s="15" t="s">
        <v>16</v>
      </c>
    </row>
    <row r="2657" spans="1:7" hidden="1" x14ac:dyDescent="0.25">
      <c r="A2657" s="35" t="s">
        <v>7212</v>
      </c>
      <c r="B2657" s="12" t="s">
        <v>3887</v>
      </c>
      <c r="C2657" s="13">
        <v>5</v>
      </c>
      <c r="D2657" s="118" t="s">
        <v>466</v>
      </c>
      <c r="E2657" s="12" t="s">
        <v>7213</v>
      </c>
      <c r="F2657" s="12" t="s">
        <v>7218</v>
      </c>
      <c r="G2657" s="15" t="s">
        <v>16</v>
      </c>
    </row>
    <row r="2658" spans="1:7" hidden="1" x14ac:dyDescent="0.25">
      <c r="A2658" s="35" t="s">
        <v>7219</v>
      </c>
      <c r="B2658" s="12" t="s">
        <v>7220</v>
      </c>
      <c r="C2658" s="13">
        <v>5</v>
      </c>
      <c r="D2658" s="118" t="s">
        <v>466</v>
      </c>
      <c r="E2658" s="12" t="s">
        <v>7221</v>
      </c>
      <c r="F2658" s="12" t="s">
        <v>7226</v>
      </c>
      <c r="G2658" s="15" t="s">
        <v>16</v>
      </c>
    </row>
    <row r="2659" spans="1:7" hidden="1" x14ac:dyDescent="0.25">
      <c r="A2659" s="35" t="s">
        <v>7227</v>
      </c>
      <c r="B2659" s="12" t="s">
        <v>7228</v>
      </c>
      <c r="C2659" s="13">
        <v>5</v>
      </c>
      <c r="D2659" s="118" t="s">
        <v>466</v>
      </c>
      <c r="E2659" s="12" t="s">
        <v>7229</v>
      </c>
      <c r="F2659" s="12" t="s">
        <v>7234</v>
      </c>
      <c r="G2659" s="15" t="s">
        <v>16</v>
      </c>
    </row>
    <row r="2660" spans="1:7" hidden="1" x14ac:dyDescent="0.25">
      <c r="A2660" s="35" t="s">
        <v>7235</v>
      </c>
      <c r="B2660" s="12" t="s">
        <v>7236</v>
      </c>
      <c r="C2660" s="13">
        <v>5</v>
      </c>
      <c r="D2660" s="118" t="s">
        <v>466</v>
      </c>
      <c r="E2660" s="12" t="s">
        <v>7237</v>
      </c>
      <c r="F2660" s="12" t="s">
        <v>7242</v>
      </c>
      <c r="G2660" s="15" t="s">
        <v>16</v>
      </c>
    </row>
    <row r="2661" spans="1:7" hidden="1" x14ac:dyDescent="0.25">
      <c r="A2661" s="35" t="s">
        <v>7243</v>
      </c>
      <c r="B2661" s="12" t="s">
        <v>7244</v>
      </c>
      <c r="C2661" s="13">
        <v>5</v>
      </c>
      <c r="D2661" s="118" t="s">
        <v>466</v>
      </c>
      <c r="E2661" s="12" t="s">
        <v>7245</v>
      </c>
      <c r="F2661" s="12" t="s">
        <v>7250</v>
      </c>
      <c r="G2661" s="15" t="s">
        <v>16</v>
      </c>
    </row>
    <row r="2662" spans="1:7" hidden="1" x14ac:dyDescent="0.25">
      <c r="A2662" s="35" t="s">
        <v>7251</v>
      </c>
      <c r="B2662" s="12" t="s">
        <v>1998</v>
      </c>
      <c r="C2662" s="13">
        <v>5</v>
      </c>
      <c r="D2662" s="118" t="s">
        <v>466</v>
      </c>
      <c r="E2662" s="12" t="s">
        <v>7252</v>
      </c>
      <c r="F2662" s="12" t="s">
        <v>7257</v>
      </c>
      <c r="G2662" s="15" t="s">
        <v>16</v>
      </c>
    </row>
    <row r="2663" spans="1:7" ht="12.75" hidden="1" thickBot="1" x14ac:dyDescent="0.3">
      <c r="A2663" s="47" t="s">
        <v>7258</v>
      </c>
      <c r="B2663" s="30" t="s">
        <v>6607</v>
      </c>
      <c r="C2663" s="31">
        <v>5</v>
      </c>
      <c r="D2663" s="159" t="s">
        <v>466</v>
      </c>
      <c r="E2663" s="30" t="s">
        <v>7259</v>
      </c>
      <c r="F2663" s="30" t="s">
        <v>7264</v>
      </c>
      <c r="G2663" s="33" t="s">
        <v>16</v>
      </c>
    </row>
    <row r="2664" spans="1:7" hidden="1" x14ac:dyDescent="0.25">
      <c r="A2664" s="35" t="s">
        <v>7265</v>
      </c>
      <c r="B2664" s="12" t="s">
        <v>7266</v>
      </c>
      <c r="C2664" s="13">
        <v>5</v>
      </c>
      <c r="D2664" s="118" t="s">
        <v>466</v>
      </c>
      <c r="E2664" s="12" t="s">
        <v>7267</v>
      </c>
      <c r="F2664" s="12" t="s">
        <v>7272</v>
      </c>
      <c r="G2664" s="15" t="s">
        <v>16</v>
      </c>
    </row>
    <row r="2665" spans="1:7" hidden="1" x14ac:dyDescent="0.25">
      <c r="A2665" s="35" t="s">
        <v>7273</v>
      </c>
      <c r="B2665" s="12" t="s">
        <v>7274</v>
      </c>
      <c r="C2665" s="13">
        <v>5</v>
      </c>
      <c r="D2665" s="118" t="s">
        <v>466</v>
      </c>
      <c r="E2665" s="12" t="s">
        <v>7275</v>
      </c>
      <c r="F2665" s="12" t="s">
        <v>7280</v>
      </c>
      <c r="G2665" s="15" t="s">
        <v>16</v>
      </c>
    </row>
    <row r="2666" spans="1:7" hidden="1" x14ac:dyDescent="0.25">
      <c r="A2666" s="35" t="s">
        <v>7281</v>
      </c>
      <c r="B2666" s="12" t="s">
        <v>7282</v>
      </c>
      <c r="C2666" s="13">
        <v>5</v>
      </c>
      <c r="D2666" s="118" t="s">
        <v>466</v>
      </c>
      <c r="E2666" s="12" t="s">
        <v>7283</v>
      </c>
      <c r="F2666" s="12" t="s">
        <v>7288</v>
      </c>
      <c r="G2666" s="15" t="s">
        <v>16</v>
      </c>
    </row>
    <row r="2667" spans="1:7" hidden="1" x14ac:dyDescent="0.25">
      <c r="A2667" s="35" t="s">
        <v>7289</v>
      </c>
      <c r="B2667" s="12" t="s">
        <v>6027</v>
      </c>
      <c r="C2667" s="13">
        <v>5</v>
      </c>
      <c r="D2667" s="118" t="s">
        <v>466</v>
      </c>
      <c r="E2667" s="12" t="s">
        <v>7290</v>
      </c>
      <c r="F2667" s="12" t="s">
        <v>7295</v>
      </c>
      <c r="G2667" s="15" t="s">
        <v>16</v>
      </c>
    </row>
    <row r="2668" spans="1:7" hidden="1" x14ac:dyDescent="0.25">
      <c r="A2668" s="35" t="s">
        <v>7296</v>
      </c>
      <c r="B2668" s="12" t="s">
        <v>1101</v>
      </c>
      <c r="C2668" s="13">
        <v>5</v>
      </c>
      <c r="D2668" s="118" t="s">
        <v>466</v>
      </c>
      <c r="E2668" s="12" t="s">
        <v>7297</v>
      </c>
      <c r="F2668" s="12" t="s">
        <v>7302</v>
      </c>
      <c r="G2668" s="15" t="s">
        <v>16</v>
      </c>
    </row>
    <row r="2669" spans="1:7" hidden="1" x14ac:dyDescent="0.25">
      <c r="A2669" s="35" t="s">
        <v>7303</v>
      </c>
      <c r="B2669" s="12" t="s">
        <v>7304</v>
      </c>
      <c r="C2669" s="13">
        <v>5</v>
      </c>
      <c r="D2669" s="118" t="s">
        <v>466</v>
      </c>
      <c r="E2669" s="12" t="s">
        <v>7305</v>
      </c>
      <c r="F2669" s="12" t="s">
        <v>7310</v>
      </c>
      <c r="G2669" s="15" t="s">
        <v>16</v>
      </c>
    </row>
    <row r="2670" spans="1:7" hidden="1" x14ac:dyDescent="0.25">
      <c r="A2670" s="35" t="s">
        <v>7311</v>
      </c>
      <c r="B2670" s="12" t="s">
        <v>7312</v>
      </c>
      <c r="C2670" s="13">
        <v>5</v>
      </c>
      <c r="D2670" s="118" t="s">
        <v>466</v>
      </c>
      <c r="E2670" s="12" t="s">
        <v>7313</v>
      </c>
      <c r="F2670" s="12" t="s">
        <v>7318</v>
      </c>
      <c r="G2670" s="15" t="s">
        <v>16</v>
      </c>
    </row>
    <row r="2671" spans="1:7" hidden="1" x14ac:dyDescent="0.25">
      <c r="A2671" s="35" t="s">
        <v>7319</v>
      </c>
      <c r="B2671" s="12" t="s">
        <v>7320</v>
      </c>
      <c r="C2671" s="13">
        <v>5</v>
      </c>
      <c r="D2671" s="118" t="s">
        <v>466</v>
      </c>
      <c r="E2671" s="12" t="s">
        <v>7321</v>
      </c>
      <c r="F2671" s="12" t="s">
        <v>7326</v>
      </c>
      <c r="G2671" s="15" t="s">
        <v>16</v>
      </c>
    </row>
    <row r="2672" spans="1:7" hidden="1" x14ac:dyDescent="0.25">
      <c r="A2672" s="35" t="s">
        <v>7327</v>
      </c>
      <c r="B2672" s="12" t="s">
        <v>7328</v>
      </c>
      <c r="C2672" s="13">
        <v>5</v>
      </c>
      <c r="D2672" s="118" t="s">
        <v>466</v>
      </c>
      <c r="E2672" s="12" t="s">
        <v>7329</v>
      </c>
      <c r="F2672" s="12" t="s">
        <v>7334</v>
      </c>
      <c r="G2672" s="15" t="s">
        <v>16</v>
      </c>
    </row>
    <row r="2673" spans="1:7" hidden="1" x14ac:dyDescent="0.25">
      <c r="A2673" s="35" t="s">
        <v>7335</v>
      </c>
      <c r="B2673" s="12" t="s">
        <v>7336</v>
      </c>
      <c r="C2673" s="13">
        <v>5</v>
      </c>
      <c r="D2673" s="118" t="s">
        <v>466</v>
      </c>
      <c r="E2673" s="12" t="s">
        <v>7337</v>
      </c>
      <c r="F2673" s="12" t="s">
        <v>7342</v>
      </c>
      <c r="G2673" s="15" t="s">
        <v>16</v>
      </c>
    </row>
    <row r="2674" spans="1:7" hidden="1" x14ac:dyDescent="0.25">
      <c r="A2674" s="35" t="s">
        <v>7343</v>
      </c>
      <c r="B2674" s="12" t="s">
        <v>7344</v>
      </c>
      <c r="C2674" s="13">
        <v>5</v>
      </c>
      <c r="D2674" s="118" t="s">
        <v>466</v>
      </c>
      <c r="E2674" s="12" t="s">
        <v>7345</v>
      </c>
      <c r="F2674" s="12" t="s">
        <v>7350</v>
      </c>
      <c r="G2674" s="15" t="s">
        <v>16</v>
      </c>
    </row>
    <row r="2675" spans="1:7" hidden="1" x14ac:dyDescent="0.25">
      <c r="A2675" s="35" t="s">
        <v>7351</v>
      </c>
      <c r="B2675" s="12" t="s">
        <v>7352</v>
      </c>
      <c r="C2675" s="13">
        <v>5</v>
      </c>
      <c r="D2675" s="118" t="s">
        <v>466</v>
      </c>
      <c r="E2675" s="12" t="s">
        <v>7353</v>
      </c>
      <c r="F2675" s="12" t="s">
        <v>7358</v>
      </c>
      <c r="G2675" s="15" t="s">
        <v>16</v>
      </c>
    </row>
    <row r="2676" spans="1:7" hidden="1" x14ac:dyDescent="0.25">
      <c r="A2676" s="35" t="s">
        <v>7359</v>
      </c>
      <c r="B2676" s="12" t="s">
        <v>7360</v>
      </c>
      <c r="C2676" s="13">
        <v>5</v>
      </c>
      <c r="D2676" s="118" t="s">
        <v>466</v>
      </c>
      <c r="E2676" s="12" t="s">
        <v>7361</v>
      </c>
      <c r="F2676" s="12" t="s">
        <v>7366</v>
      </c>
      <c r="G2676" s="15" t="s">
        <v>16</v>
      </c>
    </row>
    <row r="2677" spans="1:7" hidden="1" x14ac:dyDescent="0.25">
      <c r="A2677" s="35" t="s">
        <v>7367</v>
      </c>
      <c r="B2677" s="12" t="s">
        <v>403</v>
      </c>
      <c r="C2677" s="13">
        <v>5</v>
      </c>
      <c r="D2677" s="118" t="s">
        <v>466</v>
      </c>
      <c r="E2677" s="12" t="s">
        <v>7368</v>
      </c>
      <c r="F2677" s="12" t="s">
        <v>7373</v>
      </c>
      <c r="G2677" s="15" t="s">
        <v>16</v>
      </c>
    </row>
    <row r="2678" spans="1:7" hidden="1" x14ac:dyDescent="0.25">
      <c r="A2678" s="35" t="s">
        <v>7374</v>
      </c>
      <c r="B2678" s="12" t="s">
        <v>7375</v>
      </c>
      <c r="C2678" s="13">
        <v>5</v>
      </c>
      <c r="D2678" s="118" t="s">
        <v>466</v>
      </c>
      <c r="E2678" s="12" t="s">
        <v>7376</v>
      </c>
      <c r="F2678" s="12" t="s">
        <v>7381</v>
      </c>
      <c r="G2678" s="15" t="s">
        <v>16</v>
      </c>
    </row>
    <row r="2679" spans="1:7" ht="12.75" hidden="1" thickBot="1" x14ac:dyDescent="0.3">
      <c r="A2679" s="47" t="s">
        <v>7382</v>
      </c>
      <c r="B2679" s="30" t="s">
        <v>2324</v>
      </c>
      <c r="C2679" s="31">
        <v>5</v>
      </c>
      <c r="D2679" s="159" t="s">
        <v>466</v>
      </c>
      <c r="E2679" s="30" t="s">
        <v>7383</v>
      </c>
      <c r="F2679" s="30" t="s">
        <v>7388</v>
      </c>
      <c r="G2679" s="33" t="s">
        <v>16</v>
      </c>
    </row>
    <row r="2680" spans="1:7" hidden="1" x14ac:dyDescent="0.25">
      <c r="A2680" s="35" t="s">
        <v>7389</v>
      </c>
      <c r="B2680" s="12" t="s">
        <v>7390</v>
      </c>
      <c r="C2680" s="13">
        <v>5</v>
      </c>
      <c r="D2680" s="118" t="s">
        <v>466</v>
      </c>
      <c r="E2680" s="12" t="s">
        <v>7391</v>
      </c>
      <c r="F2680" s="12" t="s">
        <v>7396</v>
      </c>
      <c r="G2680" s="15" t="s">
        <v>16</v>
      </c>
    </row>
    <row r="2681" spans="1:7" hidden="1" x14ac:dyDescent="0.25">
      <c r="A2681" s="35" t="s">
        <v>7397</v>
      </c>
      <c r="B2681" s="12" t="s">
        <v>2066</v>
      </c>
      <c r="C2681" s="13">
        <v>5</v>
      </c>
      <c r="D2681" s="118" t="s">
        <v>466</v>
      </c>
      <c r="E2681" s="12" t="s">
        <v>7398</v>
      </c>
      <c r="F2681" s="12" t="s">
        <v>7403</v>
      </c>
      <c r="G2681" s="15" t="s">
        <v>16</v>
      </c>
    </row>
    <row r="2682" spans="1:7" hidden="1" x14ac:dyDescent="0.25">
      <c r="A2682" s="35" t="s">
        <v>7404</v>
      </c>
      <c r="B2682" s="12" t="s">
        <v>7405</v>
      </c>
      <c r="C2682" s="13">
        <v>5</v>
      </c>
      <c r="D2682" s="118" t="s">
        <v>466</v>
      </c>
      <c r="E2682" s="12" t="s">
        <v>7406</v>
      </c>
      <c r="F2682" s="12" t="s">
        <v>7411</v>
      </c>
      <c r="G2682" s="15" t="s">
        <v>16</v>
      </c>
    </row>
    <row r="2683" spans="1:7" hidden="1" x14ac:dyDescent="0.25">
      <c r="A2683" s="35" t="s">
        <v>7412</v>
      </c>
      <c r="B2683" s="12" t="s">
        <v>7413</v>
      </c>
      <c r="C2683" s="13">
        <v>5</v>
      </c>
      <c r="D2683" s="118" t="s">
        <v>466</v>
      </c>
      <c r="E2683" s="12" t="s">
        <v>7414</v>
      </c>
      <c r="F2683" s="12" t="s">
        <v>7419</v>
      </c>
      <c r="G2683" s="15" t="s">
        <v>16</v>
      </c>
    </row>
    <row r="2684" spans="1:7" hidden="1" x14ac:dyDescent="0.25">
      <c r="A2684" s="35" t="s">
        <v>7420</v>
      </c>
      <c r="B2684" s="12" t="s">
        <v>2274</v>
      </c>
      <c r="C2684" s="13">
        <v>5</v>
      </c>
      <c r="D2684" s="118" t="s">
        <v>466</v>
      </c>
      <c r="E2684" s="12" t="s">
        <v>7421</v>
      </c>
      <c r="F2684" s="12" t="s">
        <v>7426</v>
      </c>
      <c r="G2684" s="15" t="s">
        <v>16</v>
      </c>
    </row>
    <row r="2685" spans="1:7" ht="12.75" hidden="1" thickBot="1" x14ac:dyDescent="0.3">
      <c r="A2685" s="47" t="s">
        <v>7427</v>
      </c>
      <c r="B2685" s="30" t="s">
        <v>6857</v>
      </c>
      <c r="C2685" s="31">
        <v>5</v>
      </c>
      <c r="D2685" s="159" t="s">
        <v>466</v>
      </c>
      <c r="E2685" s="30" t="s">
        <v>7428</v>
      </c>
      <c r="F2685" s="30" t="s">
        <v>7433</v>
      </c>
      <c r="G2685" s="33" t="s">
        <v>16</v>
      </c>
    </row>
    <row r="2686" spans="1:7" hidden="1" x14ac:dyDescent="0.25">
      <c r="A2686" s="35" t="s">
        <v>7434</v>
      </c>
      <c r="B2686" s="12" t="s">
        <v>7435</v>
      </c>
      <c r="C2686" s="13">
        <v>5</v>
      </c>
      <c r="D2686" s="118" t="s">
        <v>466</v>
      </c>
      <c r="E2686" s="12" t="s">
        <v>7436</v>
      </c>
      <c r="F2686" s="12" t="s">
        <v>7441</v>
      </c>
      <c r="G2686" s="15" t="s">
        <v>16</v>
      </c>
    </row>
    <row r="2687" spans="1:7" hidden="1" x14ac:dyDescent="0.25">
      <c r="A2687" s="35" t="s">
        <v>7442</v>
      </c>
      <c r="B2687" s="12" t="s">
        <v>5773</v>
      </c>
      <c r="C2687" s="13">
        <v>5</v>
      </c>
      <c r="D2687" s="118" t="s">
        <v>466</v>
      </c>
      <c r="E2687" s="12" t="s">
        <v>7443</v>
      </c>
      <c r="F2687" s="12" t="s">
        <v>7448</v>
      </c>
      <c r="G2687" s="15" t="s">
        <v>16</v>
      </c>
    </row>
    <row r="2688" spans="1:7" hidden="1" x14ac:dyDescent="0.25">
      <c r="A2688" s="35" t="s">
        <v>7449</v>
      </c>
      <c r="B2688" s="12" t="s">
        <v>7450</v>
      </c>
      <c r="C2688" s="13">
        <v>5</v>
      </c>
      <c r="D2688" s="118" t="s">
        <v>466</v>
      </c>
      <c r="E2688" s="12" t="s">
        <v>7451</v>
      </c>
      <c r="F2688" s="12" t="s">
        <v>7456</v>
      </c>
      <c r="G2688" s="15" t="s">
        <v>16</v>
      </c>
    </row>
    <row r="2689" spans="1:7" hidden="1" x14ac:dyDescent="0.25">
      <c r="A2689" s="35" t="s">
        <v>7457</v>
      </c>
      <c r="B2689" s="12" t="s">
        <v>7458</v>
      </c>
      <c r="C2689" s="13">
        <v>5</v>
      </c>
      <c r="D2689" s="118" t="s">
        <v>466</v>
      </c>
      <c r="E2689" s="12" t="s">
        <v>7459</v>
      </c>
      <c r="F2689" s="12" t="s">
        <v>7464</v>
      </c>
      <c r="G2689" s="15" t="s">
        <v>16</v>
      </c>
    </row>
    <row r="2690" spans="1:7" hidden="1" x14ac:dyDescent="0.25">
      <c r="A2690" s="35" t="s">
        <v>7465</v>
      </c>
      <c r="B2690" s="12" t="s">
        <v>1461</v>
      </c>
      <c r="C2690" s="13">
        <v>5</v>
      </c>
      <c r="D2690" s="118" t="s">
        <v>466</v>
      </c>
      <c r="E2690" s="12" t="s">
        <v>7466</v>
      </c>
      <c r="F2690" s="12" t="s">
        <v>7471</v>
      </c>
      <c r="G2690" s="15" t="s">
        <v>16</v>
      </c>
    </row>
    <row r="2691" spans="1:7" ht="12.75" hidden="1" thickBot="1" x14ac:dyDescent="0.3">
      <c r="A2691" s="47" t="s">
        <v>7472</v>
      </c>
      <c r="B2691" s="30" t="s">
        <v>7473</v>
      </c>
      <c r="C2691" s="31">
        <v>5</v>
      </c>
      <c r="D2691" s="159" t="s">
        <v>466</v>
      </c>
      <c r="E2691" s="30" t="s">
        <v>7474</v>
      </c>
      <c r="F2691" s="30" t="s">
        <v>7479</v>
      </c>
      <c r="G2691" s="33" t="s">
        <v>16</v>
      </c>
    </row>
    <row r="2692" spans="1:7" hidden="1" x14ac:dyDescent="0.25">
      <c r="A2692" s="35" t="s">
        <v>7480</v>
      </c>
      <c r="B2692" s="12" t="s">
        <v>4749</v>
      </c>
      <c r="C2692" s="13">
        <v>5</v>
      </c>
      <c r="D2692" s="118" t="s">
        <v>466</v>
      </c>
      <c r="E2692" s="12" t="s">
        <v>7481</v>
      </c>
      <c r="F2692" s="12" t="s">
        <v>7486</v>
      </c>
      <c r="G2692" s="15" t="s">
        <v>16</v>
      </c>
    </row>
    <row r="2693" spans="1:7" hidden="1" x14ac:dyDescent="0.25">
      <c r="A2693" s="35" t="s">
        <v>7487</v>
      </c>
      <c r="B2693" s="12" t="s">
        <v>490</v>
      </c>
      <c r="C2693" s="13">
        <v>5</v>
      </c>
      <c r="D2693" s="118" t="s">
        <v>466</v>
      </c>
      <c r="E2693" s="12" t="s">
        <v>7488</v>
      </c>
      <c r="F2693" s="12" t="s">
        <v>7493</v>
      </c>
      <c r="G2693" s="15" t="s">
        <v>16</v>
      </c>
    </row>
    <row r="2694" spans="1:7" hidden="1" x14ac:dyDescent="0.25">
      <c r="A2694" s="35" t="s">
        <v>7494</v>
      </c>
      <c r="B2694" s="12" t="s">
        <v>7495</v>
      </c>
      <c r="C2694" s="13">
        <v>5</v>
      </c>
      <c r="D2694" s="118" t="s">
        <v>466</v>
      </c>
      <c r="E2694" s="12" t="s">
        <v>7496</v>
      </c>
      <c r="F2694" s="12" t="s">
        <v>7501</v>
      </c>
      <c r="G2694" s="15" t="s">
        <v>16</v>
      </c>
    </row>
    <row r="2695" spans="1:7" hidden="1" x14ac:dyDescent="0.25">
      <c r="A2695" s="35" t="s">
        <v>7502</v>
      </c>
      <c r="B2695" s="12" t="s">
        <v>7503</v>
      </c>
      <c r="C2695" s="13">
        <v>5</v>
      </c>
      <c r="D2695" s="118" t="s">
        <v>466</v>
      </c>
      <c r="E2695" s="12" t="s">
        <v>7504</v>
      </c>
      <c r="F2695" s="12" t="s">
        <v>7509</v>
      </c>
      <c r="G2695" s="15" t="s">
        <v>16</v>
      </c>
    </row>
    <row r="2696" spans="1:7" hidden="1" x14ac:dyDescent="0.25">
      <c r="A2696" s="35" t="s">
        <v>7510</v>
      </c>
      <c r="B2696" s="12" t="s">
        <v>7511</v>
      </c>
      <c r="C2696" s="13">
        <v>5</v>
      </c>
      <c r="D2696" s="118" t="s">
        <v>466</v>
      </c>
      <c r="E2696" s="12" t="s">
        <v>7512</v>
      </c>
      <c r="F2696" s="12" t="s">
        <v>7517</v>
      </c>
      <c r="G2696" s="15" t="s">
        <v>16</v>
      </c>
    </row>
    <row r="2697" spans="1:7" ht="12.75" hidden="1" thickBot="1" x14ac:dyDescent="0.3">
      <c r="A2697" s="47" t="s">
        <v>7518</v>
      </c>
      <c r="B2697" s="30" t="s">
        <v>7519</v>
      </c>
      <c r="C2697" s="31">
        <v>5</v>
      </c>
      <c r="D2697" s="159" t="s">
        <v>466</v>
      </c>
      <c r="E2697" s="30" t="s">
        <v>7520</v>
      </c>
      <c r="F2697" s="30" t="s">
        <v>7525</v>
      </c>
      <c r="G2697" s="33" t="s">
        <v>16</v>
      </c>
    </row>
    <row r="2698" spans="1:7" hidden="1" x14ac:dyDescent="0.25">
      <c r="A2698" s="56" t="s">
        <v>7526</v>
      </c>
      <c r="B2698" s="61" t="s">
        <v>7527</v>
      </c>
      <c r="C2698" s="58">
        <v>5</v>
      </c>
      <c r="D2698" s="204" t="s">
        <v>466</v>
      </c>
      <c r="E2698" s="61" t="s">
        <v>7528</v>
      </c>
      <c r="F2698" s="61" t="s">
        <v>7533</v>
      </c>
      <c r="G2698" s="62" t="s">
        <v>16</v>
      </c>
    </row>
    <row r="2699" spans="1:7" hidden="1" x14ac:dyDescent="0.25">
      <c r="A2699" s="11" t="s">
        <v>7534</v>
      </c>
      <c r="B2699" s="12" t="s">
        <v>7535</v>
      </c>
      <c r="C2699" s="13">
        <v>5</v>
      </c>
      <c r="D2699" s="118" t="s">
        <v>466</v>
      </c>
      <c r="E2699" s="12" t="s">
        <v>7536</v>
      </c>
      <c r="F2699" s="12" t="s">
        <v>7541</v>
      </c>
      <c r="G2699" s="15" t="s">
        <v>16</v>
      </c>
    </row>
    <row r="2700" spans="1:7" hidden="1" x14ac:dyDescent="0.25">
      <c r="A2700" s="11" t="s">
        <v>7542</v>
      </c>
      <c r="B2700" s="12" t="s">
        <v>7543</v>
      </c>
      <c r="C2700" s="13">
        <v>5</v>
      </c>
      <c r="D2700" s="118" t="s">
        <v>466</v>
      </c>
      <c r="E2700" s="12" t="s">
        <v>7544</v>
      </c>
      <c r="F2700" s="12" t="s">
        <v>7549</v>
      </c>
      <c r="G2700" s="15" t="s">
        <v>16</v>
      </c>
    </row>
    <row r="2701" spans="1:7" hidden="1" x14ac:dyDescent="0.25">
      <c r="A2701" s="11" t="s">
        <v>7550</v>
      </c>
      <c r="B2701" s="12" t="s">
        <v>7551</v>
      </c>
      <c r="C2701" s="13">
        <v>5</v>
      </c>
      <c r="D2701" s="118" t="s">
        <v>466</v>
      </c>
      <c r="E2701" s="12" t="s">
        <v>7552</v>
      </c>
      <c r="F2701" s="12" t="s">
        <v>7557</v>
      </c>
      <c r="G2701" s="15" t="s">
        <v>16</v>
      </c>
    </row>
    <row r="2702" spans="1:7" hidden="1" x14ac:dyDescent="0.25">
      <c r="A2702" s="11" t="s">
        <v>7558</v>
      </c>
      <c r="B2702" s="12" t="s">
        <v>7559</v>
      </c>
      <c r="C2702" s="13">
        <v>5</v>
      </c>
      <c r="D2702" s="118" t="s">
        <v>466</v>
      </c>
      <c r="E2702" s="12" t="s">
        <v>7560</v>
      </c>
      <c r="F2702" s="12" t="s">
        <v>7565</v>
      </c>
      <c r="G2702" s="15" t="s">
        <v>16</v>
      </c>
    </row>
    <row r="2703" spans="1:7" ht="12.75" hidden="1" thickBot="1" x14ac:dyDescent="0.3">
      <c r="A2703" s="36" t="s">
        <v>7566</v>
      </c>
      <c r="B2703" s="30" t="s">
        <v>7567</v>
      </c>
      <c r="C2703" s="31">
        <v>5</v>
      </c>
      <c r="D2703" s="159" t="s">
        <v>466</v>
      </c>
      <c r="E2703" s="30" t="s">
        <v>7568</v>
      </c>
      <c r="F2703" s="30" t="s">
        <v>7573</v>
      </c>
      <c r="G2703" s="33" t="s">
        <v>16</v>
      </c>
    </row>
    <row r="2704" spans="1:7" hidden="1" x14ac:dyDescent="0.25">
      <c r="A2704" s="56" t="s">
        <v>7574</v>
      </c>
      <c r="B2704" s="61" t="s">
        <v>7575</v>
      </c>
      <c r="C2704" s="58">
        <v>5</v>
      </c>
      <c r="D2704" s="61" t="s">
        <v>466</v>
      </c>
      <c r="E2704" s="89" t="s">
        <v>7576</v>
      </c>
      <c r="F2704" s="61" t="s">
        <v>7581</v>
      </c>
      <c r="G2704" s="62" t="s">
        <v>16</v>
      </c>
    </row>
    <row r="2705" spans="1:7" hidden="1" x14ac:dyDescent="0.25">
      <c r="A2705" s="11" t="s">
        <v>7582</v>
      </c>
      <c r="B2705" s="12" t="s">
        <v>1360</v>
      </c>
      <c r="C2705" s="13">
        <v>5</v>
      </c>
      <c r="D2705" s="12" t="s">
        <v>466</v>
      </c>
      <c r="E2705" s="28" t="s">
        <v>7583</v>
      </c>
      <c r="F2705" s="12" t="s">
        <v>7588</v>
      </c>
      <c r="G2705" s="15" t="s">
        <v>16</v>
      </c>
    </row>
    <row r="2706" spans="1:7" hidden="1" x14ac:dyDescent="0.25">
      <c r="A2706" s="11" t="s">
        <v>7589</v>
      </c>
      <c r="B2706" s="12" t="s">
        <v>1445</v>
      </c>
      <c r="C2706" s="13">
        <v>5</v>
      </c>
      <c r="D2706" s="12" t="s">
        <v>466</v>
      </c>
      <c r="E2706" s="28" t="s">
        <v>7590</v>
      </c>
      <c r="F2706" s="12" t="s">
        <v>7595</v>
      </c>
      <c r="G2706" s="15" t="s">
        <v>16</v>
      </c>
    </row>
    <row r="2707" spans="1:7" hidden="1" x14ac:dyDescent="0.25">
      <c r="A2707" s="11" t="s">
        <v>7596</v>
      </c>
      <c r="B2707" s="12" t="s">
        <v>7597</v>
      </c>
      <c r="C2707" s="13">
        <v>5</v>
      </c>
      <c r="D2707" s="12" t="s">
        <v>466</v>
      </c>
      <c r="E2707" s="28" t="s">
        <v>7598</v>
      </c>
      <c r="F2707" s="12" t="s">
        <v>7603</v>
      </c>
      <c r="G2707" s="15" t="s">
        <v>16</v>
      </c>
    </row>
    <row r="2708" spans="1:7" hidden="1" x14ac:dyDescent="0.25">
      <c r="A2708" s="11" t="s">
        <v>7604</v>
      </c>
      <c r="B2708" s="12" t="s">
        <v>7605</v>
      </c>
      <c r="C2708" s="13">
        <v>5</v>
      </c>
      <c r="D2708" s="12" t="s">
        <v>466</v>
      </c>
      <c r="E2708" s="28" t="s">
        <v>7606</v>
      </c>
      <c r="F2708" s="12" t="s">
        <v>7611</v>
      </c>
      <c r="G2708" s="15" t="s">
        <v>16</v>
      </c>
    </row>
    <row r="2709" spans="1:7" hidden="1" x14ac:dyDescent="0.25">
      <c r="A2709" s="11" t="s">
        <v>7612</v>
      </c>
      <c r="B2709" s="12" t="s">
        <v>7613</v>
      </c>
      <c r="C2709" s="13">
        <v>5</v>
      </c>
      <c r="D2709" s="12" t="s">
        <v>466</v>
      </c>
      <c r="E2709" s="28" t="s">
        <v>7614</v>
      </c>
      <c r="F2709" s="12" t="s">
        <v>7619</v>
      </c>
      <c r="G2709" s="15" t="s">
        <v>16</v>
      </c>
    </row>
    <row r="2710" spans="1:7" hidden="1" x14ac:dyDescent="0.25">
      <c r="A2710" s="11" t="s">
        <v>7620</v>
      </c>
      <c r="B2710" s="12" t="s">
        <v>7621</v>
      </c>
      <c r="C2710" s="13">
        <v>5</v>
      </c>
      <c r="D2710" s="12" t="s">
        <v>466</v>
      </c>
      <c r="E2710" s="28" t="s">
        <v>7622</v>
      </c>
      <c r="F2710" s="12" t="s">
        <v>7627</v>
      </c>
      <c r="G2710" s="15" t="s">
        <v>16</v>
      </c>
    </row>
    <row r="2711" spans="1:7" hidden="1" x14ac:dyDescent="0.25">
      <c r="A2711" s="11" t="s">
        <v>7628</v>
      </c>
      <c r="B2711" s="12" t="s">
        <v>7629</v>
      </c>
      <c r="C2711" s="13">
        <v>5</v>
      </c>
      <c r="D2711" s="12" t="s">
        <v>466</v>
      </c>
      <c r="E2711" s="28" t="s">
        <v>7630</v>
      </c>
      <c r="F2711" s="12" t="s">
        <v>7635</v>
      </c>
      <c r="G2711" s="15" t="s">
        <v>16</v>
      </c>
    </row>
    <row r="2712" spans="1:7" ht="12.75" hidden="1" thickBot="1" x14ac:dyDescent="0.3">
      <c r="A2712" s="36" t="s">
        <v>7636</v>
      </c>
      <c r="B2712" s="30" t="s">
        <v>7637</v>
      </c>
      <c r="C2712" s="31">
        <v>5</v>
      </c>
      <c r="D2712" s="30" t="s">
        <v>466</v>
      </c>
      <c r="E2712" s="32" t="s">
        <v>7638</v>
      </c>
      <c r="F2712" s="30" t="s">
        <v>7643</v>
      </c>
      <c r="G2712" s="33" t="s">
        <v>16</v>
      </c>
    </row>
    <row r="2713" spans="1:7" hidden="1" x14ac:dyDescent="0.25">
      <c r="A2713" s="56" t="s">
        <v>7644</v>
      </c>
      <c r="B2713" s="61" t="s">
        <v>7645</v>
      </c>
      <c r="C2713" s="58">
        <v>5</v>
      </c>
      <c r="D2713" s="61" t="s">
        <v>466</v>
      </c>
      <c r="E2713" s="89" t="s">
        <v>7646</v>
      </c>
      <c r="F2713" s="61" t="s">
        <v>7651</v>
      </c>
      <c r="G2713" s="62" t="s">
        <v>16</v>
      </c>
    </row>
    <row r="2714" spans="1:7" hidden="1" x14ac:dyDescent="0.25">
      <c r="A2714" s="11" t="s">
        <v>7652</v>
      </c>
      <c r="B2714" s="12" t="s">
        <v>7653</v>
      </c>
      <c r="C2714" s="13">
        <v>5</v>
      </c>
      <c r="D2714" s="12" t="s">
        <v>466</v>
      </c>
      <c r="E2714" s="28" t="s">
        <v>7654</v>
      </c>
      <c r="F2714" s="12" t="s">
        <v>7659</v>
      </c>
      <c r="G2714" s="15" t="s">
        <v>16</v>
      </c>
    </row>
    <row r="2715" spans="1:7" hidden="1" x14ac:dyDescent="0.25">
      <c r="A2715" s="11" t="s">
        <v>7660</v>
      </c>
      <c r="B2715" s="12" t="s">
        <v>7661</v>
      </c>
      <c r="C2715" s="13">
        <v>5</v>
      </c>
      <c r="D2715" s="12" t="s">
        <v>466</v>
      </c>
      <c r="E2715" s="28" t="s">
        <v>7662</v>
      </c>
      <c r="F2715" s="12" t="s">
        <v>7667</v>
      </c>
      <c r="G2715" s="15" t="s">
        <v>16</v>
      </c>
    </row>
    <row r="2716" spans="1:7" hidden="1" x14ac:dyDescent="0.25">
      <c r="A2716" s="11" t="s">
        <v>7668</v>
      </c>
      <c r="B2716" s="12" t="s">
        <v>7669</v>
      </c>
      <c r="C2716" s="13">
        <v>5</v>
      </c>
      <c r="D2716" s="12" t="s">
        <v>466</v>
      </c>
      <c r="E2716" s="28" t="s">
        <v>7670</v>
      </c>
      <c r="F2716" s="12" t="s">
        <v>7675</v>
      </c>
      <c r="G2716" s="15" t="s">
        <v>16</v>
      </c>
    </row>
    <row r="2717" spans="1:7" hidden="1" x14ac:dyDescent="0.25">
      <c r="A2717" s="11" t="s">
        <v>7676</v>
      </c>
      <c r="B2717" s="12" t="s">
        <v>1165</v>
      </c>
      <c r="C2717" s="13">
        <v>5</v>
      </c>
      <c r="D2717" s="12" t="s">
        <v>466</v>
      </c>
      <c r="E2717" s="28" t="s">
        <v>7677</v>
      </c>
      <c r="F2717" s="12" t="s">
        <v>7682</v>
      </c>
      <c r="G2717" s="15" t="s">
        <v>16</v>
      </c>
    </row>
    <row r="2718" spans="1:7" hidden="1" x14ac:dyDescent="0.25">
      <c r="A2718" s="11" t="s">
        <v>7683</v>
      </c>
      <c r="B2718" s="12" t="s">
        <v>7684</v>
      </c>
      <c r="C2718" s="13">
        <v>5</v>
      </c>
      <c r="D2718" s="12" t="s">
        <v>466</v>
      </c>
      <c r="E2718" s="28" t="s">
        <v>7685</v>
      </c>
      <c r="F2718" s="12" t="s">
        <v>7690</v>
      </c>
      <c r="G2718" s="15" t="s">
        <v>16</v>
      </c>
    </row>
    <row r="2719" spans="1:7" hidden="1" x14ac:dyDescent="0.25">
      <c r="A2719" s="11" t="s">
        <v>7691</v>
      </c>
      <c r="B2719" s="12" t="s">
        <v>5347</v>
      </c>
      <c r="C2719" s="13">
        <v>5</v>
      </c>
      <c r="D2719" s="12" t="s">
        <v>466</v>
      </c>
      <c r="E2719" s="28" t="s">
        <v>7692</v>
      </c>
      <c r="F2719" s="12" t="s">
        <v>7697</v>
      </c>
      <c r="G2719" s="15" t="s">
        <v>16</v>
      </c>
    </row>
    <row r="2720" spans="1:7" hidden="1" x14ac:dyDescent="0.25">
      <c r="A2720" s="11" t="s">
        <v>7698</v>
      </c>
      <c r="B2720" s="12" t="s">
        <v>7699</v>
      </c>
      <c r="C2720" s="13">
        <v>5</v>
      </c>
      <c r="D2720" s="12" t="s">
        <v>466</v>
      </c>
      <c r="E2720" s="28" t="s">
        <v>7700</v>
      </c>
      <c r="F2720" s="12" t="s">
        <v>7705</v>
      </c>
      <c r="G2720" s="15" t="s">
        <v>16</v>
      </c>
    </row>
    <row r="2721" spans="1:7" hidden="1" x14ac:dyDescent="0.25">
      <c r="A2721" s="11" t="s">
        <v>7706</v>
      </c>
      <c r="B2721" s="12" t="s">
        <v>2289</v>
      </c>
      <c r="C2721" s="13">
        <v>5</v>
      </c>
      <c r="D2721" s="12" t="s">
        <v>466</v>
      </c>
      <c r="E2721" s="28" t="s">
        <v>7707</v>
      </c>
      <c r="F2721" s="12" t="s">
        <v>7712</v>
      </c>
      <c r="G2721" s="15" t="s">
        <v>16</v>
      </c>
    </row>
    <row r="2722" spans="1:7" hidden="1" x14ac:dyDescent="0.25">
      <c r="A2722" s="56" t="s">
        <v>7713</v>
      </c>
      <c r="B2722" s="61" t="s">
        <v>7714</v>
      </c>
      <c r="C2722" s="58">
        <v>5</v>
      </c>
      <c r="D2722" s="61" t="s">
        <v>466</v>
      </c>
      <c r="E2722" s="89" t="s">
        <v>7715</v>
      </c>
      <c r="F2722" s="61" t="s">
        <v>7720</v>
      </c>
      <c r="G2722" s="62" t="s">
        <v>16</v>
      </c>
    </row>
    <row r="2723" spans="1:7" hidden="1" x14ac:dyDescent="0.25">
      <c r="A2723" s="11" t="s">
        <v>7721</v>
      </c>
      <c r="B2723" s="12" t="s">
        <v>5435</v>
      </c>
      <c r="C2723" s="13">
        <v>5</v>
      </c>
      <c r="D2723" s="12" t="s">
        <v>466</v>
      </c>
      <c r="E2723" s="28" t="s">
        <v>7722</v>
      </c>
      <c r="F2723" s="12" t="s">
        <v>7727</v>
      </c>
      <c r="G2723" s="15" t="s">
        <v>16</v>
      </c>
    </row>
    <row r="2724" spans="1:7" hidden="1" x14ac:dyDescent="0.25">
      <c r="A2724" s="11" t="s">
        <v>7728</v>
      </c>
      <c r="B2724" s="12" t="s">
        <v>6703</v>
      </c>
      <c r="C2724" s="13">
        <v>5</v>
      </c>
      <c r="D2724" s="12" t="s">
        <v>466</v>
      </c>
      <c r="E2724" s="28" t="s">
        <v>7729</v>
      </c>
      <c r="F2724" s="12" t="s">
        <v>7734</v>
      </c>
      <c r="G2724" s="15" t="s">
        <v>16</v>
      </c>
    </row>
    <row r="2725" spans="1:7" hidden="1" x14ac:dyDescent="0.25">
      <c r="A2725" s="11" t="s">
        <v>7735</v>
      </c>
      <c r="B2725" s="12" t="s">
        <v>6705</v>
      </c>
      <c r="C2725" s="13">
        <v>5</v>
      </c>
      <c r="D2725" s="12" t="s">
        <v>466</v>
      </c>
      <c r="E2725" s="28" t="s">
        <v>7736</v>
      </c>
      <c r="F2725" s="12" t="s">
        <v>7741</v>
      </c>
      <c r="G2725" s="15" t="s">
        <v>16</v>
      </c>
    </row>
    <row r="2726" spans="1:7" hidden="1" x14ac:dyDescent="0.25">
      <c r="A2726" s="11" t="s">
        <v>7742</v>
      </c>
      <c r="B2726" s="12" t="s">
        <v>7743</v>
      </c>
      <c r="C2726" s="13">
        <v>5</v>
      </c>
      <c r="D2726" s="12" t="s">
        <v>466</v>
      </c>
      <c r="E2726" s="28" t="s">
        <v>7744</v>
      </c>
      <c r="F2726" s="12" t="s">
        <v>7749</v>
      </c>
      <c r="G2726" s="15" t="s">
        <v>16</v>
      </c>
    </row>
    <row r="2727" spans="1:7" hidden="1" x14ac:dyDescent="0.25">
      <c r="A2727" s="11" t="s">
        <v>7750</v>
      </c>
      <c r="B2727" s="12" t="s">
        <v>6709</v>
      </c>
      <c r="C2727" s="13">
        <v>5</v>
      </c>
      <c r="D2727" s="12" t="s">
        <v>466</v>
      </c>
      <c r="E2727" s="28" t="s">
        <v>7751</v>
      </c>
      <c r="F2727" s="12" t="s">
        <v>7756</v>
      </c>
      <c r="G2727" s="15" t="s">
        <v>16</v>
      </c>
    </row>
    <row r="2728" spans="1:7" hidden="1" x14ac:dyDescent="0.25">
      <c r="A2728" s="11" t="s">
        <v>7757</v>
      </c>
      <c r="B2728" s="12" t="s">
        <v>6715</v>
      </c>
      <c r="C2728" s="13">
        <v>5</v>
      </c>
      <c r="D2728" s="12" t="s">
        <v>466</v>
      </c>
      <c r="E2728" s="28" t="s">
        <v>7758</v>
      </c>
      <c r="F2728" s="12" t="s">
        <v>7763</v>
      </c>
      <c r="G2728" s="15" t="s">
        <v>16</v>
      </c>
    </row>
    <row r="2729" spans="1:7" hidden="1" x14ac:dyDescent="0.25">
      <c r="A2729" s="11" t="s">
        <v>7764</v>
      </c>
      <c r="B2729" s="12" t="s">
        <v>7765</v>
      </c>
      <c r="C2729" s="13">
        <v>5</v>
      </c>
      <c r="D2729" s="12" t="s">
        <v>466</v>
      </c>
      <c r="E2729" s="28" t="s">
        <v>7766</v>
      </c>
      <c r="F2729" s="12" t="s">
        <v>7771</v>
      </c>
      <c r="G2729" s="15" t="s">
        <v>16</v>
      </c>
    </row>
    <row r="2730" spans="1:7" hidden="1" x14ac:dyDescent="0.25">
      <c r="A2730" s="11" t="s">
        <v>7772</v>
      </c>
      <c r="B2730" s="12" t="s">
        <v>7773</v>
      </c>
      <c r="C2730" s="13">
        <v>5</v>
      </c>
      <c r="D2730" s="12" t="s">
        <v>466</v>
      </c>
      <c r="E2730" s="28" t="s">
        <v>7774</v>
      </c>
      <c r="F2730" s="12" t="s">
        <v>7779</v>
      </c>
      <c r="G2730" s="15" t="s">
        <v>16</v>
      </c>
    </row>
    <row r="2731" spans="1:7" hidden="1" x14ac:dyDescent="0.25">
      <c r="A2731" s="11" t="s">
        <v>7780</v>
      </c>
      <c r="B2731" s="12" t="s">
        <v>7781</v>
      </c>
      <c r="C2731" s="13">
        <v>5</v>
      </c>
      <c r="D2731" s="12" t="s">
        <v>466</v>
      </c>
      <c r="E2731" s="28" t="s">
        <v>7782</v>
      </c>
      <c r="F2731" s="12" t="s">
        <v>7787</v>
      </c>
      <c r="G2731" s="15" t="s">
        <v>16</v>
      </c>
    </row>
    <row r="2732" spans="1:7" hidden="1" x14ac:dyDescent="0.25">
      <c r="A2732" s="11" t="s">
        <v>7788</v>
      </c>
      <c r="B2732" s="12" t="s">
        <v>1490</v>
      </c>
      <c r="C2732" s="13">
        <v>5</v>
      </c>
      <c r="D2732" s="12" t="s">
        <v>466</v>
      </c>
      <c r="E2732" s="28" t="s">
        <v>7789</v>
      </c>
      <c r="F2732" s="12" t="s">
        <v>7794</v>
      </c>
      <c r="G2732" s="15" t="s">
        <v>16</v>
      </c>
    </row>
    <row r="2733" spans="1:7" hidden="1" x14ac:dyDescent="0.25">
      <c r="A2733" s="11" t="s">
        <v>7795</v>
      </c>
      <c r="B2733" s="12" t="s">
        <v>7796</v>
      </c>
      <c r="C2733" s="13">
        <v>5</v>
      </c>
      <c r="D2733" s="12" t="s">
        <v>466</v>
      </c>
      <c r="E2733" s="28" t="s">
        <v>7797</v>
      </c>
      <c r="F2733" s="12" t="s">
        <v>7802</v>
      </c>
      <c r="G2733" s="15" t="s">
        <v>16</v>
      </c>
    </row>
    <row r="2734" spans="1:7" hidden="1" x14ac:dyDescent="0.25">
      <c r="A2734" s="11" t="s">
        <v>7803</v>
      </c>
      <c r="B2734" s="12" t="s">
        <v>7804</v>
      </c>
      <c r="C2734" s="13">
        <v>5</v>
      </c>
      <c r="D2734" s="12" t="s">
        <v>466</v>
      </c>
      <c r="E2734" s="28" t="s">
        <v>7805</v>
      </c>
      <c r="F2734" s="12" t="s">
        <v>7810</v>
      </c>
      <c r="G2734" s="15" t="s">
        <v>16</v>
      </c>
    </row>
    <row r="2735" spans="1:7" hidden="1" x14ac:dyDescent="0.25">
      <c r="A2735" s="11" t="s">
        <v>7811</v>
      </c>
      <c r="B2735" s="12" t="s">
        <v>7812</v>
      </c>
      <c r="C2735" s="13">
        <v>5</v>
      </c>
      <c r="D2735" s="12" t="s">
        <v>466</v>
      </c>
      <c r="E2735" s="28" t="s">
        <v>7813</v>
      </c>
      <c r="F2735" s="12" t="s">
        <v>7818</v>
      </c>
      <c r="G2735" s="15" t="s">
        <v>16</v>
      </c>
    </row>
    <row r="2736" spans="1:7" hidden="1" x14ac:dyDescent="0.25">
      <c r="A2736" s="11" t="s">
        <v>7819</v>
      </c>
      <c r="B2736" s="12" t="s">
        <v>7820</v>
      </c>
      <c r="C2736" s="13">
        <v>5</v>
      </c>
      <c r="D2736" s="12" t="s">
        <v>466</v>
      </c>
      <c r="E2736" s="28" t="s">
        <v>7821</v>
      </c>
      <c r="F2736" s="12" t="s">
        <v>7826</v>
      </c>
      <c r="G2736" s="15" t="s">
        <v>16</v>
      </c>
    </row>
    <row r="2737" spans="1:27" ht="12.75" hidden="1" thickBot="1" x14ac:dyDescent="0.3">
      <c r="A2737" s="36" t="s">
        <v>7827</v>
      </c>
      <c r="B2737" s="30" t="s">
        <v>7828</v>
      </c>
      <c r="C2737" s="31">
        <v>5</v>
      </c>
      <c r="D2737" s="30" t="s">
        <v>466</v>
      </c>
      <c r="E2737" s="32" t="s">
        <v>7829</v>
      </c>
      <c r="F2737" s="30" t="s">
        <v>7834</v>
      </c>
      <c r="G2737" s="33" t="s">
        <v>16</v>
      </c>
    </row>
    <row r="2738" spans="1:27" hidden="1" x14ac:dyDescent="0.25">
      <c r="A2738" s="56" t="s">
        <v>7835</v>
      </c>
      <c r="B2738" s="61" t="s">
        <v>7836</v>
      </c>
      <c r="C2738" s="58">
        <v>5</v>
      </c>
      <c r="D2738" s="61" t="s">
        <v>466</v>
      </c>
      <c r="E2738" s="89" t="s">
        <v>7837</v>
      </c>
      <c r="F2738" s="61" t="s">
        <v>7842</v>
      </c>
      <c r="G2738" s="62" t="s">
        <v>16</v>
      </c>
    </row>
    <row r="2739" spans="1:27" hidden="1" x14ac:dyDescent="0.25">
      <c r="A2739" s="11" t="s">
        <v>7843</v>
      </c>
      <c r="B2739" s="12" t="s">
        <v>7844</v>
      </c>
      <c r="C2739" s="13">
        <v>5</v>
      </c>
      <c r="D2739" s="12" t="s">
        <v>466</v>
      </c>
      <c r="E2739" s="28" t="s">
        <v>7845</v>
      </c>
      <c r="F2739" s="12" t="s">
        <v>7850</v>
      </c>
      <c r="G2739" s="15" t="s">
        <v>16</v>
      </c>
    </row>
    <row r="2740" spans="1:27" hidden="1" x14ac:dyDescent="0.25">
      <c r="A2740" s="11" t="s">
        <v>7851</v>
      </c>
      <c r="B2740" s="12" t="s">
        <v>7852</v>
      </c>
      <c r="C2740" s="13">
        <v>5</v>
      </c>
      <c r="D2740" s="12" t="s">
        <v>466</v>
      </c>
      <c r="E2740" s="28" t="s">
        <v>7853</v>
      </c>
      <c r="F2740" s="12" t="s">
        <v>7858</v>
      </c>
      <c r="G2740" s="15" t="s">
        <v>16</v>
      </c>
    </row>
    <row r="2741" spans="1:27" hidden="1" x14ac:dyDescent="0.25">
      <c r="A2741" s="11" t="s">
        <v>7859</v>
      </c>
      <c r="B2741" s="12" t="s">
        <v>7860</v>
      </c>
      <c r="C2741" s="13">
        <v>5</v>
      </c>
      <c r="D2741" s="12" t="s">
        <v>466</v>
      </c>
      <c r="E2741" s="28" t="s">
        <v>7861</v>
      </c>
      <c r="F2741" s="12" t="s">
        <v>7866</v>
      </c>
      <c r="G2741" s="15" t="s">
        <v>16</v>
      </c>
    </row>
    <row r="2742" spans="1:27" hidden="1" x14ac:dyDescent="0.25">
      <c r="A2742" s="11" t="s">
        <v>7867</v>
      </c>
      <c r="B2742" s="12" t="s">
        <v>7868</v>
      </c>
      <c r="C2742" s="13">
        <v>5</v>
      </c>
      <c r="D2742" s="12" t="s">
        <v>466</v>
      </c>
      <c r="E2742" s="28" t="s">
        <v>7869</v>
      </c>
      <c r="F2742" s="12" t="s">
        <v>7874</v>
      </c>
      <c r="G2742" s="15" t="s">
        <v>16</v>
      </c>
    </row>
    <row r="2743" spans="1:27" hidden="1" x14ac:dyDescent="0.25">
      <c r="A2743" s="11" t="s">
        <v>7875</v>
      </c>
      <c r="B2743" s="12" t="s">
        <v>7876</v>
      </c>
      <c r="C2743" s="13">
        <v>5</v>
      </c>
      <c r="D2743" s="12" t="s">
        <v>466</v>
      </c>
      <c r="E2743" s="28" t="s">
        <v>7877</v>
      </c>
      <c r="F2743" s="12" t="s">
        <v>7882</v>
      </c>
      <c r="G2743" s="15" t="s">
        <v>16</v>
      </c>
    </row>
    <row r="2744" spans="1:27" hidden="1" x14ac:dyDescent="0.25">
      <c r="A2744" s="11" t="s">
        <v>7883</v>
      </c>
      <c r="B2744" s="12" t="s">
        <v>7884</v>
      </c>
      <c r="C2744" s="13">
        <v>5</v>
      </c>
      <c r="D2744" s="12" t="s">
        <v>466</v>
      </c>
      <c r="E2744" s="28" t="s">
        <v>7885</v>
      </c>
      <c r="F2744" s="12" t="s">
        <v>7890</v>
      </c>
      <c r="G2744" s="15" t="s">
        <v>16</v>
      </c>
    </row>
    <row r="2745" spans="1:27" hidden="1" x14ac:dyDescent="0.25">
      <c r="A2745" s="11" t="s">
        <v>7891</v>
      </c>
      <c r="B2745" s="12" t="s">
        <v>7892</v>
      </c>
      <c r="C2745" s="13">
        <v>5</v>
      </c>
      <c r="D2745" s="12" t="s">
        <v>466</v>
      </c>
      <c r="E2745" s="28" t="s">
        <v>7893</v>
      </c>
      <c r="F2745" s="12" t="s">
        <v>7898</v>
      </c>
      <c r="G2745" s="15" t="s">
        <v>16</v>
      </c>
    </row>
    <row r="2746" spans="1:27" hidden="1" x14ac:dyDescent="0.25">
      <c r="A2746" s="11" t="s">
        <v>7899</v>
      </c>
      <c r="B2746" s="12" t="s">
        <v>1373</v>
      </c>
      <c r="C2746" s="13">
        <v>5</v>
      </c>
      <c r="D2746" s="12" t="s">
        <v>466</v>
      </c>
      <c r="E2746" s="28" t="s">
        <v>7900</v>
      </c>
      <c r="F2746" s="12" t="s">
        <v>7905</v>
      </c>
      <c r="G2746" s="15" t="s">
        <v>16</v>
      </c>
    </row>
    <row r="2747" spans="1:27" hidden="1" x14ac:dyDescent="0.25">
      <c r="A2747" s="11" t="s">
        <v>7906</v>
      </c>
      <c r="B2747" s="12" t="s">
        <v>1373</v>
      </c>
      <c r="C2747" s="13">
        <v>5</v>
      </c>
      <c r="D2747" s="12" t="s">
        <v>466</v>
      </c>
      <c r="E2747" s="28" t="s">
        <v>7907</v>
      </c>
      <c r="F2747" s="12" t="s">
        <v>7912</v>
      </c>
      <c r="G2747" s="15" t="s">
        <v>16</v>
      </c>
    </row>
    <row r="2748" spans="1:27" hidden="1" x14ac:dyDescent="0.2">
      <c r="A2748" s="11" t="s">
        <v>5509</v>
      </c>
      <c r="B2748" s="12" t="s">
        <v>5510</v>
      </c>
      <c r="C2748" s="13">
        <v>1</v>
      </c>
      <c r="D2748" s="166" t="s">
        <v>5511</v>
      </c>
      <c r="E2748" s="28" t="s">
        <v>5512</v>
      </c>
      <c r="F2748" s="75" t="s">
        <v>5513</v>
      </c>
      <c r="G2748" s="15" t="s">
        <v>16</v>
      </c>
      <c r="I2748" s="90">
        <v>12</v>
      </c>
    </row>
    <row r="2749" spans="1:27" hidden="1" x14ac:dyDescent="0.2">
      <c r="A2749" s="11" t="s">
        <v>8</v>
      </c>
      <c r="B2749" s="12" t="s">
        <v>9</v>
      </c>
      <c r="C2749" s="13">
        <v>2</v>
      </c>
      <c r="D2749" s="37" t="s">
        <v>14</v>
      </c>
      <c r="E2749" s="28" t="s">
        <v>11</v>
      </c>
      <c r="F2749" s="22" t="s">
        <v>15</v>
      </c>
      <c r="G2749" s="15" t="s">
        <v>16</v>
      </c>
      <c r="H2749" s="1"/>
      <c r="I2749" s="93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</row>
    <row r="2750" spans="1:27" hidden="1" x14ac:dyDescent="0.2">
      <c r="A2750" s="56" t="s">
        <v>24</v>
      </c>
      <c r="B2750" s="61" t="s">
        <v>25</v>
      </c>
      <c r="C2750" s="58">
        <v>1</v>
      </c>
      <c r="D2750" s="103" t="s">
        <v>14</v>
      </c>
      <c r="E2750" s="89" t="s">
        <v>26</v>
      </c>
      <c r="F2750" s="17" t="s">
        <v>27</v>
      </c>
      <c r="G2750" s="62" t="s">
        <v>28</v>
      </c>
      <c r="H2750" s="1"/>
      <c r="I2750" s="93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</row>
    <row r="2751" spans="1:27" hidden="1" x14ac:dyDescent="0.2">
      <c r="A2751" s="11" t="s">
        <v>55</v>
      </c>
      <c r="B2751" s="12" t="s">
        <v>56</v>
      </c>
      <c r="C2751" s="13">
        <v>1</v>
      </c>
      <c r="D2751" s="37" t="s">
        <v>14</v>
      </c>
      <c r="E2751" s="28" t="s">
        <v>57</v>
      </c>
      <c r="F2751" s="22" t="s">
        <v>58</v>
      </c>
      <c r="G2751" s="15" t="s">
        <v>28</v>
      </c>
      <c r="I2751" s="102" t="s">
        <v>59</v>
      </c>
    </row>
    <row r="2752" spans="1:27" hidden="1" x14ac:dyDescent="0.2">
      <c r="A2752" s="11" t="s">
        <v>69</v>
      </c>
      <c r="B2752" s="12" t="s">
        <v>70</v>
      </c>
      <c r="C2752" s="13">
        <v>6</v>
      </c>
      <c r="D2752" s="37" t="s">
        <v>81</v>
      </c>
      <c r="E2752" s="28" t="s">
        <v>72</v>
      </c>
      <c r="F2752" s="22" t="s">
        <v>82</v>
      </c>
      <c r="G2752" s="15" t="s">
        <v>16</v>
      </c>
    </row>
    <row r="2753" spans="1:9" hidden="1" x14ac:dyDescent="0.2">
      <c r="A2753" s="11" t="s">
        <v>93</v>
      </c>
      <c r="B2753" s="12" t="s">
        <v>94</v>
      </c>
      <c r="C2753" s="13">
        <v>4</v>
      </c>
      <c r="D2753" s="37" t="s">
        <v>81</v>
      </c>
      <c r="E2753" s="28" t="s">
        <v>96</v>
      </c>
      <c r="F2753" s="22" t="s">
        <v>100</v>
      </c>
      <c r="G2753" s="15" t="s">
        <v>16</v>
      </c>
    </row>
    <row r="2754" spans="1:9" hidden="1" x14ac:dyDescent="0.2">
      <c r="A2754" s="11" t="s">
        <v>289</v>
      </c>
      <c r="B2754" s="12" t="s">
        <v>290</v>
      </c>
      <c r="C2754" s="13">
        <v>4</v>
      </c>
      <c r="D2754" s="37" t="s">
        <v>14</v>
      </c>
      <c r="E2754" s="28" t="s">
        <v>291</v>
      </c>
      <c r="F2754" s="22" t="s">
        <v>295</v>
      </c>
      <c r="G2754" s="15" t="s">
        <v>16</v>
      </c>
    </row>
    <row r="2755" spans="1:9" hidden="1" x14ac:dyDescent="0.25">
      <c r="A2755" s="109" t="s">
        <v>690</v>
      </c>
      <c r="B2755" s="12" t="s">
        <v>691</v>
      </c>
      <c r="C2755" s="13">
        <v>6</v>
      </c>
      <c r="D2755" s="22" t="s">
        <v>81</v>
      </c>
      <c r="E2755" s="28" t="s">
        <v>692</v>
      </c>
      <c r="F2755" s="22" t="s">
        <v>698</v>
      </c>
      <c r="G2755" s="15" t="s">
        <v>16</v>
      </c>
      <c r="I2755" s="102" t="s">
        <v>59</v>
      </c>
    </row>
    <row r="2756" spans="1:9" ht="12.75" hidden="1" thickBot="1" x14ac:dyDescent="0.3">
      <c r="A2756" s="29" t="s">
        <v>708</v>
      </c>
      <c r="B2756" s="30" t="s">
        <v>709</v>
      </c>
      <c r="C2756" s="31">
        <v>4</v>
      </c>
      <c r="D2756" s="4" t="s">
        <v>14</v>
      </c>
      <c r="E2756" s="32" t="s">
        <v>710</v>
      </c>
      <c r="F2756" s="4" t="s">
        <v>714</v>
      </c>
      <c r="G2756" s="33" t="s">
        <v>16</v>
      </c>
      <c r="I2756" s="102" t="s">
        <v>59</v>
      </c>
    </row>
    <row r="2757" spans="1:9" hidden="1" x14ac:dyDescent="0.25">
      <c r="A2757" s="11" t="s">
        <v>1464</v>
      </c>
      <c r="B2757" s="12" t="s">
        <v>1465</v>
      </c>
      <c r="C2757" s="58">
        <v>1</v>
      </c>
      <c r="D2757" s="22" t="s">
        <v>81</v>
      </c>
      <c r="E2757" s="89" t="s">
        <v>1466</v>
      </c>
      <c r="F2757" s="17" t="s">
        <v>1467</v>
      </c>
      <c r="G2757" s="62" t="s">
        <v>16</v>
      </c>
    </row>
    <row r="2758" spans="1:9" hidden="1" x14ac:dyDescent="0.2">
      <c r="A2758" s="11" t="s">
        <v>2440</v>
      </c>
      <c r="B2758" s="12" t="s">
        <v>2441</v>
      </c>
      <c r="C2758" s="13">
        <v>5</v>
      </c>
      <c r="D2758" s="37" t="s">
        <v>14</v>
      </c>
      <c r="E2758" s="28" t="s">
        <v>2442</v>
      </c>
      <c r="F2758" s="22" t="s">
        <v>2449</v>
      </c>
      <c r="G2758" s="15" t="s">
        <v>16</v>
      </c>
    </row>
    <row r="2759" spans="1:9" hidden="1" x14ac:dyDescent="0.2">
      <c r="A2759" s="11" t="s">
        <v>2566</v>
      </c>
      <c r="B2759" s="12" t="s">
        <v>2567</v>
      </c>
      <c r="C2759" s="13">
        <v>6</v>
      </c>
      <c r="D2759" s="37" t="s">
        <v>14</v>
      </c>
      <c r="E2759" s="28" t="s">
        <v>2568</v>
      </c>
      <c r="F2759" s="75" t="s">
        <v>2574</v>
      </c>
      <c r="G2759" s="66" t="s">
        <v>16</v>
      </c>
    </row>
    <row r="2760" spans="1:9" hidden="1" x14ac:dyDescent="0.2">
      <c r="A2760" s="11" t="s">
        <v>2608</v>
      </c>
      <c r="B2760" s="12" t="s">
        <v>2609</v>
      </c>
      <c r="C2760" s="13">
        <v>5</v>
      </c>
      <c r="D2760" s="37" t="s">
        <v>14</v>
      </c>
      <c r="E2760" s="28" t="s">
        <v>2610</v>
      </c>
      <c r="F2760" s="75" t="s">
        <v>2615</v>
      </c>
      <c r="G2760" s="66" t="s">
        <v>16</v>
      </c>
    </row>
    <row r="2761" spans="1:9" hidden="1" x14ac:dyDescent="0.2">
      <c r="A2761" s="11" t="s">
        <v>4634</v>
      </c>
      <c r="B2761" s="12" t="s">
        <v>4635</v>
      </c>
      <c r="C2761" s="13">
        <v>3</v>
      </c>
      <c r="D2761" s="42" t="s">
        <v>14</v>
      </c>
      <c r="E2761" s="138" t="s">
        <v>4636</v>
      </c>
      <c r="F2761" s="75" t="s">
        <v>4639</v>
      </c>
      <c r="G2761" s="66" t="s">
        <v>16</v>
      </c>
    </row>
    <row r="2762" spans="1:9" hidden="1" x14ac:dyDescent="0.2">
      <c r="A2762" s="11" t="s">
        <v>4657</v>
      </c>
      <c r="B2762" s="12" t="s">
        <v>4658</v>
      </c>
      <c r="C2762" s="13">
        <v>5</v>
      </c>
      <c r="D2762" s="42" t="s">
        <v>14</v>
      </c>
      <c r="E2762" s="138" t="s">
        <v>4659</v>
      </c>
      <c r="F2762" s="75" t="s">
        <v>4665</v>
      </c>
      <c r="G2762" s="66" t="s">
        <v>16</v>
      </c>
    </row>
    <row r="2763" spans="1:9" hidden="1" x14ac:dyDescent="0.2">
      <c r="A2763" s="11" t="s">
        <v>4680</v>
      </c>
      <c r="B2763" s="12" t="s">
        <v>4681</v>
      </c>
      <c r="C2763" s="13">
        <v>4</v>
      </c>
      <c r="D2763" s="42" t="s">
        <v>14</v>
      </c>
      <c r="E2763" s="138" t="s">
        <v>4682</v>
      </c>
      <c r="F2763" s="75" t="s">
        <v>4687</v>
      </c>
      <c r="G2763" s="66" t="s">
        <v>16</v>
      </c>
    </row>
    <row r="2764" spans="1:9" hidden="1" x14ac:dyDescent="0.2">
      <c r="A2764" s="11" t="s">
        <v>6801</v>
      </c>
      <c r="B2764" s="12" t="s">
        <v>6802</v>
      </c>
      <c r="C2764" s="13">
        <v>4</v>
      </c>
      <c r="D2764" s="37" t="s">
        <v>81</v>
      </c>
      <c r="E2764" s="28" t="s">
        <v>6803</v>
      </c>
      <c r="F2764" s="22" t="s">
        <v>6808</v>
      </c>
      <c r="G2764" s="15" t="s">
        <v>16</v>
      </c>
    </row>
    <row r="2765" spans="1:9" hidden="1" x14ac:dyDescent="0.2">
      <c r="A2765" s="11" t="s">
        <v>6826</v>
      </c>
      <c r="B2765" s="12" t="s">
        <v>6827</v>
      </c>
      <c r="C2765" s="13">
        <v>6</v>
      </c>
      <c r="D2765" s="37" t="s">
        <v>81</v>
      </c>
      <c r="E2765" s="28" t="s">
        <v>6828</v>
      </c>
      <c r="F2765" s="22" t="s">
        <v>6835</v>
      </c>
      <c r="G2765" s="15" t="s">
        <v>16</v>
      </c>
    </row>
    <row r="2766" spans="1:9" hidden="1" x14ac:dyDescent="0.2">
      <c r="A2766" s="11" t="s">
        <v>6912</v>
      </c>
      <c r="B2766" s="12" t="s">
        <v>6913</v>
      </c>
      <c r="C2766" s="13">
        <v>3</v>
      </c>
      <c r="D2766" s="75" t="s">
        <v>81</v>
      </c>
      <c r="E2766" s="28" t="s">
        <v>6914</v>
      </c>
      <c r="F2766" s="22" t="s">
        <v>6917</v>
      </c>
      <c r="G2766" s="15" t="s">
        <v>16</v>
      </c>
    </row>
    <row r="2767" spans="1:9" hidden="1" x14ac:dyDescent="0.2">
      <c r="A2767" s="11" t="s">
        <v>6921</v>
      </c>
      <c r="B2767" s="12" t="s">
        <v>6922</v>
      </c>
      <c r="C2767" s="13">
        <v>5</v>
      </c>
      <c r="D2767" s="37" t="s">
        <v>81</v>
      </c>
      <c r="E2767" s="28" t="s">
        <v>6923</v>
      </c>
      <c r="F2767" s="22" t="s">
        <v>6929</v>
      </c>
      <c r="G2767" s="15" t="s">
        <v>16</v>
      </c>
    </row>
    <row r="2768" spans="1:9" hidden="1" x14ac:dyDescent="0.2">
      <c r="A2768" s="11" t="s">
        <v>6946</v>
      </c>
      <c r="B2768" s="12" t="s">
        <v>6947</v>
      </c>
      <c r="C2768" s="13">
        <v>5</v>
      </c>
      <c r="D2768" s="37" t="s">
        <v>81</v>
      </c>
      <c r="E2768" s="28" t="s">
        <v>6948</v>
      </c>
      <c r="F2768" s="22" t="s">
        <v>6953</v>
      </c>
      <c r="G2768" s="15" t="s">
        <v>16</v>
      </c>
    </row>
    <row r="2769" spans="1:27" hidden="1" x14ac:dyDescent="0.2">
      <c r="A2769" s="11" t="s">
        <v>6967</v>
      </c>
      <c r="B2769" s="12" t="s">
        <v>6968</v>
      </c>
      <c r="C2769" s="13">
        <v>4</v>
      </c>
      <c r="D2769" s="37" t="s">
        <v>81</v>
      </c>
      <c r="E2769" s="28" t="s">
        <v>6969</v>
      </c>
      <c r="F2769" s="22" t="s">
        <v>6973</v>
      </c>
      <c r="G2769" s="15" t="s">
        <v>16</v>
      </c>
    </row>
    <row r="2770" spans="1:27" hidden="1" x14ac:dyDescent="0.2">
      <c r="A2770" s="11" t="s">
        <v>6979</v>
      </c>
      <c r="B2770" s="12" t="s">
        <v>6980</v>
      </c>
      <c r="C2770" s="13">
        <v>5</v>
      </c>
      <c r="D2770" s="37" t="s">
        <v>81</v>
      </c>
      <c r="E2770" s="28" t="s">
        <v>6981</v>
      </c>
      <c r="F2770" s="22" t="s">
        <v>6988</v>
      </c>
      <c r="G2770" s="15" t="s">
        <v>16</v>
      </c>
    </row>
    <row r="2771" spans="1:27" hidden="1" x14ac:dyDescent="0.2">
      <c r="A2771" s="11" t="s">
        <v>6992</v>
      </c>
      <c r="B2771" s="12" t="s">
        <v>6993</v>
      </c>
      <c r="C2771" s="13">
        <v>5</v>
      </c>
      <c r="D2771" s="37" t="s">
        <v>81</v>
      </c>
      <c r="E2771" s="28" t="s">
        <v>6994</v>
      </c>
      <c r="F2771" s="22" t="s">
        <v>6999</v>
      </c>
      <c r="G2771" s="15" t="s">
        <v>16</v>
      </c>
    </row>
    <row r="2772" spans="1:27" hidden="1" x14ac:dyDescent="0.25">
      <c r="A2772" s="81" t="s">
        <v>6189</v>
      </c>
      <c r="B2772" s="82" t="s">
        <v>6190</v>
      </c>
      <c r="C2772" s="83">
        <f>C2771+1</f>
        <v>6</v>
      </c>
      <c r="D2772" s="82" t="s">
        <v>6201</v>
      </c>
      <c r="E2772" s="86" t="s">
        <v>6191</v>
      </c>
      <c r="F2772" s="82" t="s">
        <v>6202</v>
      </c>
      <c r="G2772" s="84" t="s">
        <v>16</v>
      </c>
      <c r="I2772" s="101" t="s">
        <v>54</v>
      </c>
    </row>
    <row r="2773" spans="1:27" hidden="1" x14ac:dyDescent="0.25">
      <c r="A2773" s="81" t="s">
        <v>6371</v>
      </c>
      <c r="B2773" s="82" t="s">
        <v>6372</v>
      </c>
      <c r="C2773" s="83">
        <v>7</v>
      </c>
      <c r="D2773" s="82" t="s">
        <v>6201</v>
      </c>
      <c r="E2773" s="86" t="s">
        <v>6373</v>
      </c>
      <c r="F2773" s="82" t="s">
        <v>6381</v>
      </c>
      <c r="G2773" s="84" t="s">
        <v>16</v>
      </c>
      <c r="I2773" s="101" t="s">
        <v>2778</v>
      </c>
    </row>
    <row r="2774" spans="1:27" hidden="1" x14ac:dyDescent="0.2">
      <c r="A2774" s="11" t="s">
        <v>6614</v>
      </c>
      <c r="B2774" s="12" t="s">
        <v>6615</v>
      </c>
      <c r="C2774" s="13">
        <v>6</v>
      </c>
      <c r="D2774" s="14" t="s">
        <v>6201</v>
      </c>
      <c r="E2774" s="28" t="s">
        <v>6616</v>
      </c>
      <c r="F2774" s="12" t="s">
        <v>6622</v>
      </c>
      <c r="G2774" s="15" t="s">
        <v>16</v>
      </c>
    </row>
    <row r="2775" spans="1:27" hidden="1" x14ac:dyDescent="0.2">
      <c r="A2775" s="11" t="s">
        <v>93</v>
      </c>
      <c r="B2775" s="12" t="s">
        <v>94</v>
      </c>
      <c r="C2775" s="13">
        <v>69</v>
      </c>
      <c r="D2775" s="14" t="s">
        <v>236</v>
      </c>
      <c r="E2775" s="28" t="s">
        <v>96</v>
      </c>
      <c r="F2775" s="12" t="s">
        <v>237</v>
      </c>
      <c r="G2775" s="15" t="s">
        <v>16</v>
      </c>
    </row>
    <row r="2776" spans="1:27" hidden="1" x14ac:dyDescent="0.25">
      <c r="A2776" s="11" t="s">
        <v>1313</v>
      </c>
      <c r="B2776" s="12" t="s">
        <v>1314</v>
      </c>
      <c r="C2776" s="13">
        <v>34</v>
      </c>
      <c r="D2776" s="12" t="s">
        <v>1379</v>
      </c>
      <c r="E2776" s="28" t="s">
        <v>1315</v>
      </c>
      <c r="F2776" s="12" t="s">
        <v>1380</v>
      </c>
      <c r="G2776" s="15" t="s">
        <v>16</v>
      </c>
    </row>
    <row r="2777" spans="1:27" hidden="1" x14ac:dyDescent="0.2">
      <c r="A2777" s="11" t="s">
        <v>570</v>
      </c>
      <c r="B2777" s="12" t="s">
        <v>571</v>
      </c>
      <c r="C2777" s="13">
        <v>4</v>
      </c>
      <c r="D2777" s="22" t="s">
        <v>577</v>
      </c>
      <c r="E2777" s="105" t="s">
        <v>573</v>
      </c>
      <c r="F2777" s="22" t="s">
        <v>578</v>
      </c>
      <c r="G2777" s="15" t="s">
        <v>16</v>
      </c>
      <c r="I2777" s="90">
        <v>12</v>
      </c>
    </row>
    <row r="2778" spans="1:27" hidden="1" x14ac:dyDescent="0.2">
      <c r="A2778" s="16" t="s">
        <v>916</v>
      </c>
      <c r="B2778" s="17" t="s">
        <v>917</v>
      </c>
      <c r="C2778" s="18">
        <v>4</v>
      </c>
      <c r="D2778" s="103" t="s">
        <v>577</v>
      </c>
      <c r="E2778" s="19" t="s">
        <v>918</v>
      </c>
      <c r="F2778" s="17" t="s">
        <v>922</v>
      </c>
      <c r="G2778" s="20" t="s">
        <v>16</v>
      </c>
      <c r="H2778" s="38"/>
      <c r="I2778" s="39">
        <v>15</v>
      </c>
      <c r="J2778" s="38"/>
      <c r="K2778" s="38"/>
      <c r="L2778" s="38"/>
      <c r="M2778" s="38"/>
      <c r="N2778" s="38"/>
      <c r="O2778" s="38"/>
      <c r="P2778" s="38"/>
      <c r="Q2778" s="38"/>
      <c r="R2778" s="38"/>
      <c r="S2778" s="38"/>
      <c r="T2778" s="38"/>
      <c r="U2778" s="38"/>
      <c r="V2778" s="38"/>
      <c r="W2778" s="38"/>
      <c r="X2778" s="38"/>
      <c r="Y2778" s="38"/>
      <c r="Z2778" s="38"/>
      <c r="AA2778" s="38"/>
    </row>
    <row r="2779" spans="1:27" hidden="1" x14ac:dyDescent="0.25">
      <c r="A2779" s="11" t="s">
        <v>1313</v>
      </c>
      <c r="B2779" s="12" t="s">
        <v>1314</v>
      </c>
      <c r="C2779" s="13">
        <v>22</v>
      </c>
      <c r="D2779" s="12" t="s">
        <v>1355</v>
      </c>
      <c r="E2779" s="28" t="s">
        <v>1315</v>
      </c>
      <c r="F2779" s="12" t="s">
        <v>1356</v>
      </c>
      <c r="G2779" s="15" t="s">
        <v>16</v>
      </c>
    </row>
    <row r="2780" spans="1:27" hidden="1" x14ac:dyDescent="0.25">
      <c r="A2780" s="11" t="s">
        <v>6357</v>
      </c>
      <c r="B2780" s="12" t="s">
        <v>6358</v>
      </c>
      <c r="C2780" s="13">
        <v>8</v>
      </c>
      <c r="D2780" s="12" t="s">
        <v>6369</v>
      </c>
      <c r="E2780" s="28" t="s">
        <v>6359</v>
      </c>
      <c r="F2780" s="12" t="s">
        <v>6370</v>
      </c>
      <c r="G2780" s="15" t="s">
        <v>16</v>
      </c>
      <c r="I2780" s="9">
        <v>15</v>
      </c>
    </row>
    <row r="2781" spans="1:27" hidden="1" x14ac:dyDescent="0.25">
      <c r="A2781" s="11" t="s">
        <v>6176</v>
      </c>
      <c r="B2781" s="12" t="s">
        <v>6177</v>
      </c>
      <c r="C2781" s="13">
        <f>C2780+1</f>
        <v>9</v>
      </c>
      <c r="D2781" s="22" t="s">
        <v>6182</v>
      </c>
      <c r="E2781" s="28" t="s">
        <v>6178</v>
      </c>
      <c r="F2781" s="22" t="s">
        <v>6183</v>
      </c>
      <c r="G2781" s="15" t="s">
        <v>16</v>
      </c>
      <c r="I2781" s="90">
        <v>12</v>
      </c>
    </row>
    <row r="2782" spans="1:27" hidden="1" x14ac:dyDescent="0.25">
      <c r="A2782" s="11" t="s">
        <v>6189</v>
      </c>
      <c r="B2782" s="12" t="s">
        <v>6190</v>
      </c>
      <c r="C2782" s="13">
        <f>C2781+1</f>
        <v>10</v>
      </c>
      <c r="D2782" s="22" t="s">
        <v>6195</v>
      </c>
      <c r="E2782" s="28" t="s">
        <v>6191</v>
      </c>
      <c r="F2782" s="22" t="s">
        <v>6196</v>
      </c>
      <c r="G2782" s="15" t="s">
        <v>16</v>
      </c>
      <c r="I2782" s="90">
        <v>12</v>
      </c>
    </row>
    <row r="2783" spans="1:27" ht="12.75" hidden="1" thickBot="1" x14ac:dyDescent="0.3">
      <c r="A2783" s="36" t="s">
        <v>6357</v>
      </c>
      <c r="B2783" s="30" t="s">
        <v>6358</v>
      </c>
      <c r="C2783" s="31">
        <v>3</v>
      </c>
      <c r="D2783" s="4" t="s">
        <v>6362</v>
      </c>
      <c r="E2783" s="32" t="s">
        <v>6359</v>
      </c>
      <c r="F2783" s="4" t="s">
        <v>6363</v>
      </c>
      <c r="G2783" s="33" t="s">
        <v>16</v>
      </c>
      <c r="I2783" s="99">
        <v>13</v>
      </c>
    </row>
    <row r="2784" spans="1:27" hidden="1" x14ac:dyDescent="0.25">
      <c r="A2784" s="56" t="s">
        <v>6371</v>
      </c>
      <c r="B2784" s="61" t="s">
        <v>6372</v>
      </c>
      <c r="C2784" s="58">
        <v>3</v>
      </c>
      <c r="D2784" s="17" t="s">
        <v>6362</v>
      </c>
      <c r="E2784" s="89" t="s">
        <v>6373</v>
      </c>
      <c r="F2784" s="17" t="s">
        <v>6376</v>
      </c>
      <c r="G2784" s="62" t="s">
        <v>16</v>
      </c>
      <c r="I2784" s="99">
        <v>13</v>
      </c>
    </row>
    <row r="2785" spans="1:27" hidden="1" x14ac:dyDescent="0.2">
      <c r="A2785" s="11" t="s">
        <v>6584</v>
      </c>
      <c r="B2785" s="12" t="s">
        <v>6585</v>
      </c>
      <c r="C2785" s="13">
        <v>3</v>
      </c>
      <c r="D2785" s="37" t="s">
        <v>6182</v>
      </c>
      <c r="E2785" s="28" t="s">
        <v>6586</v>
      </c>
      <c r="F2785" s="22" t="s">
        <v>6589</v>
      </c>
      <c r="G2785" s="15" t="s">
        <v>16</v>
      </c>
    </row>
    <row r="2786" spans="1:27" hidden="1" x14ac:dyDescent="0.2">
      <c r="A2786" s="11" t="s">
        <v>6601</v>
      </c>
      <c r="B2786" s="12" t="s">
        <v>6602</v>
      </c>
      <c r="C2786" s="13">
        <v>3</v>
      </c>
      <c r="D2786" s="37" t="s">
        <v>6195</v>
      </c>
      <c r="E2786" s="28" t="s">
        <v>6603</v>
      </c>
      <c r="F2786" s="22" t="s">
        <v>6606</v>
      </c>
      <c r="G2786" s="15" t="s">
        <v>16</v>
      </c>
    </row>
    <row r="2787" spans="1:27" hidden="1" x14ac:dyDescent="0.2">
      <c r="A2787" s="11" t="s">
        <v>6614</v>
      </c>
      <c r="B2787" s="12" t="s">
        <v>6615</v>
      </c>
      <c r="C2787" s="13">
        <v>3</v>
      </c>
      <c r="D2787" s="37" t="s">
        <v>6195</v>
      </c>
      <c r="E2787" s="28" t="s">
        <v>6616</v>
      </c>
      <c r="F2787" s="22" t="s">
        <v>6619</v>
      </c>
      <c r="G2787" s="15" t="s">
        <v>16</v>
      </c>
    </row>
    <row r="2788" spans="1:27" hidden="1" x14ac:dyDescent="0.2">
      <c r="A2788" s="11" t="s">
        <v>6645</v>
      </c>
      <c r="B2788" s="12" t="s">
        <v>6646</v>
      </c>
      <c r="C2788" s="13">
        <f>+C2787+1</f>
        <v>4</v>
      </c>
      <c r="D2788" s="37" t="s">
        <v>6195</v>
      </c>
      <c r="E2788" s="28" t="s">
        <v>6647</v>
      </c>
      <c r="F2788" s="22" t="s">
        <v>6650</v>
      </c>
      <c r="G2788" s="15" t="s">
        <v>16</v>
      </c>
    </row>
    <row r="2789" spans="1:27" hidden="1" x14ac:dyDescent="0.25">
      <c r="A2789" s="11" t="s">
        <v>6664</v>
      </c>
      <c r="B2789" s="12" t="s">
        <v>6665</v>
      </c>
      <c r="C2789" s="13">
        <f>+C2788+1</f>
        <v>5</v>
      </c>
      <c r="D2789" s="22" t="s">
        <v>6195</v>
      </c>
      <c r="E2789" s="28" t="s">
        <v>6666</v>
      </c>
      <c r="F2789" s="22" t="s">
        <v>6670</v>
      </c>
      <c r="G2789" s="15" t="s">
        <v>16</v>
      </c>
    </row>
    <row r="2790" spans="1:27" hidden="1" x14ac:dyDescent="0.25">
      <c r="A2790" s="11" t="s">
        <v>6678</v>
      </c>
      <c r="B2790" s="12" t="s">
        <v>6679</v>
      </c>
      <c r="C2790" s="13">
        <f>+C2789+1</f>
        <v>6</v>
      </c>
      <c r="D2790" s="22" t="s">
        <v>6182</v>
      </c>
      <c r="E2790" s="28" t="s">
        <v>6680</v>
      </c>
      <c r="F2790" s="22" t="s">
        <v>6684</v>
      </c>
      <c r="G2790" s="15" t="s">
        <v>16</v>
      </c>
    </row>
    <row r="2791" spans="1:27" ht="12.75" hidden="1" thickBot="1" x14ac:dyDescent="0.3">
      <c r="A2791" s="36" t="s">
        <v>6768</v>
      </c>
      <c r="B2791" s="30" t="s">
        <v>6769</v>
      </c>
      <c r="C2791" s="31">
        <v>4</v>
      </c>
      <c r="D2791" s="4" t="s">
        <v>6195</v>
      </c>
      <c r="E2791" s="32" t="s">
        <v>6770</v>
      </c>
      <c r="F2791" s="4" t="s">
        <v>6774</v>
      </c>
      <c r="G2791" s="33" t="s">
        <v>16</v>
      </c>
    </row>
    <row r="2792" spans="1:27" hidden="1" x14ac:dyDescent="0.2">
      <c r="A2792" s="56" t="s">
        <v>2317</v>
      </c>
      <c r="B2792" s="61" t="s">
        <v>2318</v>
      </c>
      <c r="C2792" s="58">
        <v>7</v>
      </c>
      <c r="D2792" s="107" t="s">
        <v>2331</v>
      </c>
      <c r="E2792" s="89" t="s">
        <v>2320</v>
      </c>
      <c r="F2792" s="61" t="s">
        <v>2332</v>
      </c>
      <c r="G2792" s="62" t="s">
        <v>16</v>
      </c>
    </row>
    <row r="2793" spans="1:27" hidden="1" x14ac:dyDescent="0.2">
      <c r="A2793" s="11" t="s">
        <v>2337</v>
      </c>
      <c r="B2793" s="12" t="s">
        <v>2338</v>
      </c>
      <c r="C2793" s="13">
        <v>6</v>
      </c>
      <c r="D2793" s="37" t="s">
        <v>2348</v>
      </c>
      <c r="E2793" s="28" t="s">
        <v>2339</v>
      </c>
      <c r="F2793" s="22" t="s">
        <v>2349</v>
      </c>
      <c r="G2793" s="15" t="s">
        <v>16</v>
      </c>
    </row>
    <row r="2794" spans="1:27" hidden="1" x14ac:dyDescent="0.2">
      <c r="A2794" s="11" t="s">
        <v>2317</v>
      </c>
      <c r="B2794" s="12" t="s">
        <v>2318</v>
      </c>
      <c r="C2794" s="13">
        <v>4</v>
      </c>
      <c r="D2794" s="37" t="s">
        <v>2326</v>
      </c>
      <c r="E2794" s="28" t="s">
        <v>2320</v>
      </c>
      <c r="F2794" s="22" t="s">
        <v>2327</v>
      </c>
      <c r="G2794" s="15" t="s">
        <v>16</v>
      </c>
    </row>
    <row r="2795" spans="1:27" hidden="1" x14ac:dyDescent="0.2">
      <c r="A2795" s="11" t="s">
        <v>2355</v>
      </c>
      <c r="B2795" s="12" t="s">
        <v>2356</v>
      </c>
      <c r="C2795" s="13">
        <v>3</v>
      </c>
      <c r="D2795" s="37" t="s">
        <v>2360</v>
      </c>
      <c r="E2795" s="28" t="s">
        <v>2357</v>
      </c>
      <c r="F2795" s="22" t="s">
        <v>2361</v>
      </c>
      <c r="G2795" s="15" t="s">
        <v>16</v>
      </c>
    </row>
    <row r="2796" spans="1:27" hidden="1" x14ac:dyDescent="0.2">
      <c r="A2796" s="11" t="s">
        <v>93</v>
      </c>
      <c r="B2796" s="12" t="s">
        <v>94</v>
      </c>
      <c r="C2796" s="13">
        <v>30</v>
      </c>
      <c r="D2796" s="14" t="s">
        <v>157</v>
      </c>
      <c r="E2796" s="28" t="s">
        <v>96</v>
      </c>
      <c r="F2796" s="12" t="s">
        <v>158</v>
      </c>
      <c r="G2796" s="15" t="s">
        <v>16</v>
      </c>
    </row>
    <row r="2797" spans="1:27" hidden="1" x14ac:dyDescent="0.25">
      <c r="A2797" s="11" t="s">
        <v>505</v>
      </c>
      <c r="B2797" s="12" t="s">
        <v>506</v>
      </c>
      <c r="C2797" s="13">
        <v>5</v>
      </c>
      <c r="D2797" s="12" t="s">
        <v>516</v>
      </c>
      <c r="E2797" s="28" t="s">
        <v>507</v>
      </c>
      <c r="F2797" s="12" t="s">
        <v>517</v>
      </c>
      <c r="G2797" s="15" t="s">
        <v>16</v>
      </c>
    </row>
    <row r="2798" spans="1:27" hidden="1" x14ac:dyDescent="0.25">
      <c r="A2798" s="11" t="s">
        <v>1464</v>
      </c>
      <c r="B2798" s="12" t="s">
        <v>1465</v>
      </c>
      <c r="C2798" s="13">
        <v>13</v>
      </c>
      <c r="D2798" s="12" t="s">
        <v>1486</v>
      </c>
      <c r="E2798" s="28" t="s">
        <v>1466</v>
      </c>
      <c r="F2798" s="12" t="s">
        <v>1487</v>
      </c>
      <c r="G2798" s="15" t="s">
        <v>16</v>
      </c>
    </row>
    <row r="2799" spans="1:27" ht="15" hidden="1" x14ac:dyDescent="0.25">
      <c r="A2799" s="21" t="s">
        <v>4421</v>
      </c>
      <c r="B2799" s="22" t="s">
        <v>4422</v>
      </c>
      <c r="C2799" s="23">
        <v>4</v>
      </c>
      <c r="D2799" s="22" t="s">
        <v>4427</v>
      </c>
      <c r="E2799" s="25" t="s">
        <v>4423</v>
      </c>
      <c r="F2799" s="22" t="s">
        <v>4428</v>
      </c>
      <c r="G2799" s="71" t="s">
        <v>16</v>
      </c>
      <c r="H2799" s="38"/>
      <c r="I2799" s="39">
        <v>15</v>
      </c>
      <c r="J2799" s="52"/>
      <c r="K2799" s="38"/>
      <c r="L2799" s="38"/>
      <c r="M2799" s="38"/>
      <c r="N2799" s="38"/>
      <c r="O2799" s="38"/>
      <c r="P2799" s="38"/>
      <c r="Q2799" s="38"/>
      <c r="R2799" s="38"/>
      <c r="S2799" s="38"/>
      <c r="T2799" s="38"/>
      <c r="U2799" s="38"/>
      <c r="V2799" s="38"/>
      <c r="W2799" s="38"/>
      <c r="X2799" s="38"/>
      <c r="Y2799" s="38"/>
      <c r="Z2799" s="38"/>
      <c r="AA2799" s="38"/>
    </row>
    <row r="2800" spans="1:27" ht="15" hidden="1" x14ac:dyDescent="0.25">
      <c r="A2800" s="21" t="s">
        <v>4465</v>
      </c>
      <c r="B2800" s="22" t="s">
        <v>4466</v>
      </c>
      <c r="C2800" s="23">
        <v>4</v>
      </c>
      <c r="D2800" s="22" t="s">
        <v>4427</v>
      </c>
      <c r="E2800" s="25" t="s">
        <v>4467</v>
      </c>
      <c r="F2800" s="22" t="s">
        <v>4471</v>
      </c>
      <c r="G2800" s="71" t="s">
        <v>16</v>
      </c>
      <c r="H2800" s="38"/>
      <c r="I2800" s="39">
        <v>15</v>
      </c>
      <c r="J2800" s="52"/>
      <c r="K2800" s="38"/>
      <c r="L2800" s="38"/>
      <c r="M2800" s="38"/>
      <c r="N2800" s="38"/>
      <c r="O2800" s="38"/>
      <c r="P2800" s="38"/>
      <c r="Q2800" s="38"/>
      <c r="R2800" s="38"/>
      <c r="S2800" s="38"/>
      <c r="T2800" s="38"/>
      <c r="U2800" s="38"/>
      <c r="V2800" s="38"/>
      <c r="W2800" s="38"/>
      <c r="X2800" s="38"/>
      <c r="Y2800" s="38"/>
      <c r="Z2800" s="38"/>
      <c r="AA2800" s="38"/>
    </row>
    <row r="2801" spans="1:27" hidden="1" x14ac:dyDescent="0.2">
      <c r="A2801" s="21" t="s">
        <v>4513</v>
      </c>
      <c r="B2801" s="22" t="s">
        <v>4514</v>
      </c>
      <c r="C2801" s="23">
        <v>4</v>
      </c>
      <c r="D2801" s="22" t="s">
        <v>4427</v>
      </c>
      <c r="E2801" s="25" t="s">
        <v>4515</v>
      </c>
      <c r="F2801" s="22" t="s">
        <v>4519</v>
      </c>
      <c r="G2801" s="71" t="s">
        <v>16</v>
      </c>
      <c r="H2801" s="38"/>
      <c r="I2801" s="39">
        <v>15</v>
      </c>
      <c r="J2801" s="38"/>
      <c r="K2801" s="38"/>
      <c r="L2801" s="38"/>
      <c r="M2801" s="38"/>
      <c r="N2801" s="38"/>
      <c r="O2801" s="38"/>
      <c r="P2801" s="38"/>
      <c r="Q2801" s="38"/>
      <c r="R2801" s="38"/>
      <c r="S2801" s="38"/>
      <c r="T2801" s="38"/>
      <c r="U2801" s="38"/>
      <c r="V2801" s="38"/>
      <c r="W2801" s="38"/>
      <c r="X2801" s="38"/>
      <c r="Y2801" s="38"/>
      <c r="Z2801" s="38"/>
      <c r="AA2801" s="38"/>
    </row>
    <row r="2802" spans="1:27" hidden="1" x14ac:dyDescent="0.2">
      <c r="A2802" s="21" t="s">
        <v>4540</v>
      </c>
      <c r="B2802" s="22" t="s">
        <v>4541</v>
      </c>
      <c r="C2802" s="23">
        <v>4</v>
      </c>
      <c r="D2802" s="22" t="s">
        <v>4427</v>
      </c>
      <c r="E2802" s="25" t="s">
        <v>4542</v>
      </c>
      <c r="F2802" s="22" t="s">
        <v>4546</v>
      </c>
      <c r="G2802" s="71" t="s">
        <v>16</v>
      </c>
      <c r="H2802" s="38"/>
      <c r="I2802" s="39">
        <v>15</v>
      </c>
      <c r="J2802" s="38"/>
      <c r="K2802" s="38"/>
      <c r="L2802" s="38"/>
      <c r="M2802" s="38"/>
      <c r="N2802" s="38"/>
      <c r="O2802" s="38"/>
      <c r="P2802" s="38"/>
      <c r="Q2802" s="38"/>
      <c r="R2802" s="38"/>
      <c r="S2802" s="38"/>
      <c r="T2802" s="38"/>
      <c r="U2802" s="38"/>
      <c r="V2802" s="38"/>
      <c r="W2802" s="38"/>
      <c r="X2802" s="38"/>
      <c r="Y2802" s="38"/>
      <c r="Z2802" s="38"/>
      <c r="AA2802" s="38"/>
    </row>
    <row r="2803" spans="1:27" hidden="1" x14ac:dyDescent="0.2">
      <c r="A2803" s="21" t="s">
        <v>4564</v>
      </c>
      <c r="B2803" s="22" t="s">
        <v>4565</v>
      </c>
      <c r="C2803" s="23">
        <v>4</v>
      </c>
      <c r="D2803" s="22" t="s">
        <v>4427</v>
      </c>
      <c r="E2803" s="25" t="s">
        <v>4566</v>
      </c>
      <c r="F2803" s="22" t="s">
        <v>4570</v>
      </c>
      <c r="G2803" s="71" t="s">
        <v>16</v>
      </c>
      <c r="H2803" s="38"/>
      <c r="I2803" s="39">
        <v>15</v>
      </c>
      <c r="J2803" s="38"/>
      <c r="K2803" s="38"/>
      <c r="L2803" s="38"/>
      <c r="M2803" s="38"/>
      <c r="N2803" s="38"/>
      <c r="O2803" s="38"/>
      <c r="P2803" s="38"/>
      <c r="Q2803" s="38"/>
      <c r="R2803" s="38"/>
      <c r="S2803" s="38"/>
      <c r="T2803" s="38"/>
      <c r="U2803" s="38"/>
      <c r="V2803" s="38"/>
      <c r="W2803" s="38"/>
      <c r="X2803" s="38"/>
      <c r="Y2803" s="38"/>
      <c r="Z2803" s="38"/>
      <c r="AA2803" s="38"/>
    </row>
    <row r="2804" spans="1:27" ht="15" hidden="1" x14ac:dyDescent="0.25">
      <c r="A2804" s="21" t="s">
        <v>4583</v>
      </c>
      <c r="B2804" s="22" t="s">
        <v>4584</v>
      </c>
      <c r="C2804" s="23">
        <v>4</v>
      </c>
      <c r="D2804" s="22" t="s">
        <v>4427</v>
      </c>
      <c r="E2804" s="25" t="s">
        <v>4585</v>
      </c>
      <c r="F2804" s="22" t="s">
        <v>4589</v>
      </c>
      <c r="G2804" s="71" t="s">
        <v>16</v>
      </c>
      <c r="H2804" s="38"/>
      <c r="I2804" s="39">
        <v>15</v>
      </c>
      <c r="J2804" s="52"/>
      <c r="K2804" s="38"/>
      <c r="L2804" s="38"/>
      <c r="M2804" s="38"/>
      <c r="N2804" s="38"/>
      <c r="O2804" s="38"/>
      <c r="P2804" s="38"/>
      <c r="Q2804" s="38"/>
      <c r="R2804" s="38"/>
      <c r="S2804" s="38"/>
      <c r="T2804" s="38"/>
      <c r="U2804" s="38"/>
      <c r="V2804" s="38"/>
      <c r="W2804" s="38"/>
      <c r="X2804" s="38"/>
      <c r="Y2804" s="38"/>
      <c r="Z2804" s="38"/>
      <c r="AA2804" s="38"/>
    </row>
    <row r="2805" spans="1:27" hidden="1" x14ac:dyDescent="0.25">
      <c r="A2805" s="146" t="s">
        <v>4895</v>
      </c>
      <c r="B2805" s="12" t="s">
        <v>4896</v>
      </c>
      <c r="C2805" s="13">
        <v>13</v>
      </c>
      <c r="D2805" s="12" t="s">
        <v>4920</v>
      </c>
      <c r="E2805" s="28" t="s">
        <v>4897</v>
      </c>
      <c r="F2805" s="8" t="s">
        <v>4921</v>
      </c>
      <c r="G2805" s="80" t="s">
        <v>16</v>
      </c>
    </row>
    <row r="2806" spans="1:27" ht="12.75" hidden="1" thickBot="1" x14ac:dyDescent="0.3">
      <c r="A2806" s="147" t="s">
        <v>4895</v>
      </c>
      <c r="B2806" s="30" t="s">
        <v>4896</v>
      </c>
      <c r="C2806" s="31">
        <v>12</v>
      </c>
      <c r="D2806" s="30" t="s">
        <v>4918</v>
      </c>
      <c r="E2806" s="32" t="s">
        <v>4897</v>
      </c>
      <c r="F2806" s="55" t="s">
        <v>4919</v>
      </c>
      <c r="G2806" s="152" t="s">
        <v>16</v>
      </c>
    </row>
    <row r="2807" spans="1:27" hidden="1" x14ac:dyDescent="0.25">
      <c r="A2807" s="11" t="s">
        <v>1383</v>
      </c>
      <c r="B2807" s="12" t="s">
        <v>1384</v>
      </c>
      <c r="C2807" s="58">
        <v>4</v>
      </c>
      <c r="D2807" s="12" t="s">
        <v>1389</v>
      </c>
      <c r="E2807" s="28" t="s">
        <v>1385</v>
      </c>
      <c r="F2807" s="12" t="s">
        <v>1390</v>
      </c>
      <c r="G2807" s="62" t="s">
        <v>16</v>
      </c>
    </row>
    <row r="2808" spans="1:27" hidden="1" x14ac:dyDescent="0.25">
      <c r="A2808" s="11" t="s">
        <v>1421</v>
      </c>
      <c r="B2808" s="12" t="s">
        <v>1422</v>
      </c>
      <c r="C2808" s="13">
        <v>15</v>
      </c>
      <c r="D2808" s="12" t="s">
        <v>1389</v>
      </c>
      <c r="E2808" s="28" t="s">
        <v>1423</v>
      </c>
      <c r="F2808" s="12" t="s">
        <v>1444</v>
      </c>
      <c r="G2808" s="15" t="s">
        <v>16</v>
      </c>
    </row>
    <row r="2809" spans="1:27" hidden="1" x14ac:dyDescent="0.25">
      <c r="A2809" s="11" t="s">
        <v>1568</v>
      </c>
      <c r="B2809" s="12" t="s">
        <v>1569</v>
      </c>
      <c r="C2809" s="13">
        <v>13</v>
      </c>
      <c r="D2809" s="12" t="s">
        <v>1389</v>
      </c>
      <c r="E2809" s="28" t="s">
        <v>1570</v>
      </c>
      <c r="F2809" s="12" t="s">
        <v>1598</v>
      </c>
      <c r="G2809" s="15" t="s">
        <v>1599</v>
      </c>
      <c r="I2809" s="94">
        <v>14</v>
      </c>
    </row>
    <row r="2810" spans="1:27" hidden="1" x14ac:dyDescent="0.25">
      <c r="A2810" s="11" t="s">
        <v>1768</v>
      </c>
      <c r="B2810" s="12" t="s">
        <v>1769</v>
      </c>
      <c r="C2810" s="13">
        <v>4</v>
      </c>
      <c r="D2810" s="12" t="s">
        <v>1389</v>
      </c>
      <c r="E2810" s="28" t="s">
        <v>1770</v>
      </c>
      <c r="F2810" s="12" t="s">
        <v>1775</v>
      </c>
      <c r="G2810" s="15" t="s">
        <v>1599</v>
      </c>
      <c r="I2810" s="94">
        <v>14</v>
      </c>
    </row>
    <row r="2811" spans="1:27" hidden="1" x14ac:dyDescent="0.25">
      <c r="A2811" s="180" t="s">
        <v>5312</v>
      </c>
      <c r="B2811" s="82" t="s">
        <v>5313</v>
      </c>
      <c r="C2811" s="83">
        <v>6</v>
      </c>
      <c r="D2811" s="82" t="s">
        <v>5325</v>
      </c>
      <c r="E2811" s="86" t="s">
        <v>5315</v>
      </c>
      <c r="F2811" s="82" t="s">
        <v>5326</v>
      </c>
      <c r="G2811" s="84" t="s">
        <v>16</v>
      </c>
      <c r="I2811" s="99">
        <v>13</v>
      </c>
    </row>
    <row r="2812" spans="1:27" hidden="1" x14ac:dyDescent="0.25">
      <c r="A2812" s="11" t="s">
        <v>1093</v>
      </c>
      <c r="B2812" s="12" t="s">
        <v>1094</v>
      </c>
      <c r="C2812" s="13">
        <v>11</v>
      </c>
      <c r="D2812" s="12" t="s">
        <v>1114</v>
      </c>
      <c r="E2812" s="28" t="s">
        <v>1095</v>
      </c>
      <c r="F2812" s="12" t="s">
        <v>1115</v>
      </c>
      <c r="G2812" s="15" t="s">
        <v>16</v>
      </c>
      <c r="I2812" s="94">
        <v>14</v>
      </c>
    </row>
    <row r="2813" spans="1:27" hidden="1" x14ac:dyDescent="0.2">
      <c r="A2813" s="11" t="s">
        <v>2267</v>
      </c>
      <c r="B2813" s="12" t="s">
        <v>2268</v>
      </c>
      <c r="C2813" s="13">
        <v>7</v>
      </c>
      <c r="D2813" s="14" t="s">
        <v>2280</v>
      </c>
      <c r="E2813" s="28" t="s">
        <v>2269</v>
      </c>
      <c r="F2813" s="12" t="s">
        <v>2281</v>
      </c>
      <c r="G2813" s="15" t="s">
        <v>16</v>
      </c>
    </row>
    <row r="2814" spans="1:27" hidden="1" x14ac:dyDescent="0.2">
      <c r="A2814" s="11" t="s">
        <v>2291</v>
      </c>
      <c r="B2814" s="12" t="s">
        <v>2292</v>
      </c>
      <c r="C2814" s="13">
        <v>5</v>
      </c>
      <c r="D2814" s="65" t="s">
        <v>2280</v>
      </c>
      <c r="E2814" s="28" t="s">
        <v>2293</v>
      </c>
      <c r="F2814" s="12" t="s">
        <v>2298</v>
      </c>
      <c r="G2814" s="15" t="s">
        <v>16</v>
      </c>
    </row>
    <row r="2815" spans="1:27" hidden="1" x14ac:dyDescent="0.2">
      <c r="A2815" s="11" t="s">
        <v>2301</v>
      </c>
      <c r="B2815" s="12" t="s">
        <v>2302</v>
      </c>
      <c r="C2815" s="13">
        <v>8</v>
      </c>
      <c r="D2815" s="14" t="s">
        <v>2280</v>
      </c>
      <c r="E2815" s="28" t="s">
        <v>2303</v>
      </c>
      <c r="F2815" s="12" t="s">
        <v>2313</v>
      </c>
      <c r="G2815" s="15" t="s">
        <v>16</v>
      </c>
    </row>
    <row r="2816" spans="1:27" hidden="1" x14ac:dyDescent="0.2">
      <c r="A2816" s="11" t="s">
        <v>2317</v>
      </c>
      <c r="B2816" s="12" t="s">
        <v>2318</v>
      </c>
      <c r="C2816" s="13">
        <v>9</v>
      </c>
      <c r="D2816" s="65" t="s">
        <v>2280</v>
      </c>
      <c r="E2816" s="28" t="s">
        <v>2320</v>
      </c>
      <c r="F2816" s="12" t="s">
        <v>2335</v>
      </c>
      <c r="G2816" s="15" t="s">
        <v>16</v>
      </c>
    </row>
    <row r="2817" spans="1:7" hidden="1" x14ac:dyDescent="0.2">
      <c r="A2817" s="11" t="s">
        <v>2337</v>
      </c>
      <c r="B2817" s="12" t="s">
        <v>2338</v>
      </c>
      <c r="C2817" s="13">
        <v>10</v>
      </c>
      <c r="D2817" s="14" t="s">
        <v>2280</v>
      </c>
      <c r="E2817" s="28" t="s">
        <v>2339</v>
      </c>
      <c r="F2817" s="12" t="s">
        <v>2353</v>
      </c>
      <c r="G2817" s="15" t="s">
        <v>16</v>
      </c>
    </row>
    <row r="2818" spans="1:7" hidden="1" x14ac:dyDescent="0.2">
      <c r="A2818" s="11" t="s">
        <v>2355</v>
      </c>
      <c r="B2818" s="12" t="s">
        <v>2356</v>
      </c>
      <c r="C2818" s="13">
        <v>6</v>
      </c>
      <c r="D2818" s="14" t="s">
        <v>2280</v>
      </c>
      <c r="E2818" s="28" t="s">
        <v>2357</v>
      </c>
      <c r="F2818" s="12" t="s">
        <v>2365</v>
      </c>
      <c r="G2818" s="15" t="s">
        <v>16</v>
      </c>
    </row>
    <row r="2819" spans="1:7" hidden="1" x14ac:dyDescent="0.2">
      <c r="A2819" s="11" t="s">
        <v>2369</v>
      </c>
      <c r="B2819" s="12" t="s">
        <v>2370</v>
      </c>
      <c r="C2819" s="13">
        <v>7</v>
      </c>
      <c r="D2819" s="14" t="s">
        <v>2280</v>
      </c>
      <c r="E2819" s="28" t="s">
        <v>2371</v>
      </c>
      <c r="F2819" s="12" t="s">
        <v>2379</v>
      </c>
      <c r="G2819" s="15" t="s">
        <v>16</v>
      </c>
    </row>
    <row r="2820" spans="1:7" hidden="1" x14ac:dyDescent="0.2">
      <c r="A2820" s="11" t="s">
        <v>2382</v>
      </c>
      <c r="B2820" s="12" t="s">
        <v>2383</v>
      </c>
      <c r="C2820" s="13">
        <v>6</v>
      </c>
      <c r="D2820" s="14" t="s">
        <v>2280</v>
      </c>
      <c r="E2820" s="28" t="s">
        <v>2384</v>
      </c>
      <c r="F2820" s="12" t="s">
        <v>2391</v>
      </c>
      <c r="G2820" s="15" t="s">
        <v>16</v>
      </c>
    </row>
    <row r="2821" spans="1:7" hidden="1" x14ac:dyDescent="0.2">
      <c r="A2821" s="11" t="s">
        <v>2393</v>
      </c>
      <c r="B2821" s="12" t="s">
        <v>2394</v>
      </c>
      <c r="C2821" s="13">
        <v>5</v>
      </c>
      <c r="D2821" s="14" t="s">
        <v>2280</v>
      </c>
      <c r="E2821" s="28" t="s">
        <v>2395</v>
      </c>
      <c r="F2821" s="12" t="s">
        <v>2402</v>
      </c>
      <c r="G2821" s="15" t="s">
        <v>16</v>
      </c>
    </row>
    <row r="2822" spans="1:7" hidden="1" x14ac:dyDescent="0.2">
      <c r="A2822" s="11" t="s">
        <v>2404</v>
      </c>
      <c r="B2822" s="12" t="s">
        <v>2405</v>
      </c>
      <c r="C2822" s="13">
        <v>6</v>
      </c>
      <c r="D2822" s="14" t="s">
        <v>2280</v>
      </c>
      <c r="E2822" s="151" t="s">
        <v>2407</v>
      </c>
      <c r="F2822" s="12" t="s">
        <v>2414</v>
      </c>
      <c r="G2822" s="15" t="s">
        <v>16</v>
      </c>
    </row>
    <row r="2823" spans="1:7" hidden="1" x14ac:dyDescent="0.2">
      <c r="A2823" s="11" t="s">
        <v>4701</v>
      </c>
      <c r="B2823" s="12" t="s">
        <v>2737</v>
      </c>
      <c r="C2823" s="13">
        <v>5</v>
      </c>
      <c r="D2823" s="8" t="s">
        <v>2280</v>
      </c>
      <c r="E2823" s="138" t="s">
        <v>4702</v>
      </c>
      <c r="F2823" s="65" t="s">
        <v>4709</v>
      </c>
      <c r="G2823" s="66" t="s">
        <v>16</v>
      </c>
    </row>
    <row r="2824" spans="1:7" hidden="1" x14ac:dyDescent="0.2">
      <c r="A2824" s="11" t="s">
        <v>4711</v>
      </c>
      <c r="B2824" s="12" t="s">
        <v>2739</v>
      </c>
      <c r="C2824" s="13">
        <v>5</v>
      </c>
      <c r="D2824" s="12" t="s">
        <v>2280</v>
      </c>
      <c r="E2824" s="138" t="s">
        <v>4712</v>
      </c>
      <c r="F2824" s="65" t="s">
        <v>4719</v>
      </c>
      <c r="G2824" s="66" t="s">
        <v>16</v>
      </c>
    </row>
    <row r="2825" spans="1:7" hidden="1" x14ac:dyDescent="0.2">
      <c r="A2825" s="11" t="s">
        <v>4721</v>
      </c>
      <c r="B2825" s="12" t="s">
        <v>2741</v>
      </c>
      <c r="C2825" s="13">
        <v>5</v>
      </c>
      <c r="D2825" s="12" t="s">
        <v>2280</v>
      </c>
      <c r="E2825" s="138" t="s">
        <v>4722</v>
      </c>
      <c r="F2825" s="65" t="s">
        <v>4729</v>
      </c>
      <c r="G2825" s="66" t="s">
        <v>16</v>
      </c>
    </row>
    <row r="2826" spans="1:7" hidden="1" x14ac:dyDescent="0.2">
      <c r="A2826" s="11" t="s">
        <v>4731</v>
      </c>
      <c r="B2826" s="12" t="s">
        <v>4732</v>
      </c>
      <c r="C2826" s="13">
        <v>5</v>
      </c>
      <c r="D2826" s="12" t="s">
        <v>2280</v>
      </c>
      <c r="E2826" s="138" t="s">
        <v>4733</v>
      </c>
      <c r="F2826" s="65" t="s">
        <v>4740</v>
      </c>
      <c r="G2826" s="66" t="s">
        <v>16</v>
      </c>
    </row>
    <row r="2827" spans="1:7" hidden="1" x14ac:dyDescent="0.2">
      <c r="A2827" s="11" t="s">
        <v>5159</v>
      </c>
      <c r="B2827" s="12" t="s">
        <v>5160</v>
      </c>
      <c r="C2827" s="13">
        <v>6</v>
      </c>
      <c r="D2827" s="41" t="s">
        <v>1114</v>
      </c>
      <c r="E2827" s="28" t="s">
        <v>5161</v>
      </c>
      <c r="F2827" s="65" t="s">
        <v>5171</v>
      </c>
      <c r="G2827" s="66" t="s">
        <v>16</v>
      </c>
    </row>
    <row r="2828" spans="1:7" hidden="1" x14ac:dyDescent="0.2">
      <c r="A2828" s="11" t="s">
        <v>5174</v>
      </c>
      <c r="B2828" s="12" t="s">
        <v>5175</v>
      </c>
      <c r="C2828" s="13">
        <v>8</v>
      </c>
      <c r="D2828" s="41" t="s">
        <v>1114</v>
      </c>
      <c r="E2828" s="28" t="s">
        <v>5176</v>
      </c>
      <c r="F2828" s="65" t="s">
        <v>5188</v>
      </c>
      <c r="G2828" s="66" t="s">
        <v>16</v>
      </c>
    </row>
    <row r="2829" spans="1:7" hidden="1" x14ac:dyDescent="0.2">
      <c r="A2829" s="11" t="s">
        <v>5190</v>
      </c>
      <c r="B2829" s="12" t="s">
        <v>5191</v>
      </c>
      <c r="C2829" s="13">
        <v>6</v>
      </c>
      <c r="D2829" s="41" t="s">
        <v>1114</v>
      </c>
      <c r="E2829" s="28" t="s">
        <v>5192</v>
      </c>
      <c r="F2829" s="65" t="s">
        <v>5200</v>
      </c>
      <c r="G2829" s="66" t="s">
        <v>16</v>
      </c>
    </row>
    <row r="2830" spans="1:7" hidden="1" x14ac:dyDescent="0.2">
      <c r="A2830" s="11" t="s">
        <v>5202</v>
      </c>
      <c r="B2830" s="12" t="s">
        <v>5203</v>
      </c>
      <c r="C2830" s="13">
        <v>6</v>
      </c>
      <c r="D2830" s="41" t="s">
        <v>1114</v>
      </c>
      <c r="E2830" s="28" t="s">
        <v>5204</v>
      </c>
      <c r="F2830" s="65" t="s">
        <v>5212</v>
      </c>
      <c r="G2830" s="66" t="s">
        <v>16</v>
      </c>
    </row>
    <row r="2831" spans="1:7" hidden="1" x14ac:dyDescent="0.2">
      <c r="A2831" s="11" t="s">
        <v>5214</v>
      </c>
      <c r="B2831" s="12" t="s">
        <v>5215</v>
      </c>
      <c r="C2831" s="13">
        <v>6</v>
      </c>
      <c r="D2831" s="41" t="s">
        <v>1114</v>
      </c>
      <c r="E2831" s="28" t="s">
        <v>5216</v>
      </c>
      <c r="F2831" s="65" t="s">
        <v>5224</v>
      </c>
      <c r="G2831" s="66" t="s">
        <v>16</v>
      </c>
    </row>
    <row r="2832" spans="1:7" hidden="1" x14ac:dyDescent="0.2">
      <c r="A2832" s="11" t="s">
        <v>5226</v>
      </c>
      <c r="B2832" s="12" t="s">
        <v>5227</v>
      </c>
      <c r="C2832" s="13">
        <v>6</v>
      </c>
      <c r="D2832" s="41" t="s">
        <v>1114</v>
      </c>
      <c r="E2832" s="28" t="s">
        <v>5228</v>
      </c>
      <c r="F2832" s="65" t="s">
        <v>5234</v>
      </c>
      <c r="G2832" s="66" t="s">
        <v>16</v>
      </c>
    </row>
    <row r="2833" spans="1:9" hidden="1" x14ac:dyDescent="0.2">
      <c r="A2833" s="11" t="s">
        <v>5277</v>
      </c>
      <c r="B2833" s="12" t="s">
        <v>5278</v>
      </c>
      <c r="C2833" s="13">
        <v>6</v>
      </c>
      <c r="D2833" s="12" t="s">
        <v>1114</v>
      </c>
      <c r="E2833" s="28" t="s">
        <v>5279</v>
      </c>
      <c r="F2833" s="65" t="s">
        <v>5288</v>
      </c>
      <c r="G2833" s="66" t="s">
        <v>16</v>
      </c>
    </row>
    <row r="2834" spans="1:9" hidden="1" x14ac:dyDescent="0.2">
      <c r="A2834" s="11" t="s">
        <v>5290</v>
      </c>
      <c r="B2834" s="12" t="s">
        <v>5291</v>
      </c>
      <c r="C2834" s="13">
        <v>6</v>
      </c>
      <c r="D2834" s="12" t="s">
        <v>1114</v>
      </c>
      <c r="E2834" s="28" t="s">
        <v>5292</v>
      </c>
      <c r="F2834" s="65" t="s">
        <v>5299</v>
      </c>
      <c r="G2834" s="66" t="s">
        <v>16</v>
      </c>
    </row>
    <row r="2835" spans="1:9" hidden="1" x14ac:dyDescent="0.2">
      <c r="A2835" s="11" t="s">
        <v>5301</v>
      </c>
      <c r="B2835" s="12" t="s">
        <v>5302</v>
      </c>
      <c r="C2835" s="13">
        <v>6</v>
      </c>
      <c r="D2835" s="12" t="s">
        <v>1114</v>
      </c>
      <c r="E2835" s="28" t="s">
        <v>5303</v>
      </c>
      <c r="F2835" s="65" t="s">
        <v>5310</v>
      </c>
      <c r="G2835" s="66" t="s">
        <v>16</v>
      </c>
      <c r="I2835" s="90">
        <v>12</v>
      </c>
    </row>
    <row r="2836" spans="1:9" hidden="1" x14ac:dyDescent="0.2">
      <c r="A2836" s="11" t="s">
        <v>5355</v>
      </c>
      <c r="B2836" s="12" t="s">
        <v>5356</v>
      </c>
      <c r="C2836" s="13">
        <v>4</v>
      </c>
      <c r="D2836" s="41" t="s">
        <v>1114</v>
      </c>
      <c r="E2836" s="243" t="s">
        <v>5357</v>
      </c>
      <c r="F2836" s="65" t="s">
        <v>5361</v>
      </c>
      <c r="G2836" s="66" t="s">
        <v>16</v>
      </c>
    </row>
    <row r="2837" spans="1:9" hidden="1" x14ac:dyDescent="0.25">
      <c r="A2837" s="11" t="s">
        <v>5395</v>
      </c>
      <c r="B2837" s="12" t="s">
        <v>5396</v>
      </c>
      <c r="C2837" s="13">
        <v>6</v>
      </c>
      <c r="D2837" s="12" t="s">
        <v>2280</v>
      </c>
      <c r="E2837" s="28" t="s">
        <v>5397</v>
      </c>
      <c r="F2837" s="12" t="s">
        <v>5406</v>
      </c>
      <c r="G2837" s="15" t="s">
        <v>16</v>
      </c>
    </row>
    <row r="2838" spans="1:9" hidden="1" x14ac:dyDescent="0.2">
      <c r="A2838" s="11" t="s">
        <v>5439</v>
      </c>
      <c r="B2838" s="12" t="s">
        <v>5440</v>
      </c>
      <c r="C2838" s="13">
        <v>6</v>
      </c>
      <c r="D2838" s="12" t="s">
        <v>2280</v>
      </c>
      <c r="E2838" s="28" t="s">
        <v>5441</v>
      </c>
      <c r="F2838" s="65" t="s">
        <v>5450</v>
      </c>
      <c r="G2838" s="15" t="s">
        <v>16</v>
      </c>
    </row>
    <row r="2839" spans="1:9" hidden="1" x14ac:dyDescent="0.2">
      <c r="A2839" s="11" t="s">
        <v>5469</v>
      </c>
      <c r="B2839" s="12" t="s">
        <v>5470</v>
      </c>
      <c r="C2839" s="13">
        <v>5</v>
      </c>
      <c r="D2839" s="167" t="s">
        <v>1114</v>
      </c>
      <c r="E2839" s="28" t="s">
        <v>5471</v>
      </c>
      <c r="F2839" s="65" t="s">
        <v>5478</v>
      </c>
      <c r="G2839" s="15" t="s">
        <v>16</v>
      </c>
    </row>
    <row r="2840" spans="1:9" hidden="1" x14ac:dyDescent="0.2">
      <c r="A2840" s="11" t="s">
        <v>5482</v>
      </c>
      <c r="B2840" s="12" t="s">
        <v>5483</v>
      </c>
      <c r="C2840" s="13">
        <v>3</v>
      </c>
      <c r="D2840" s="167" t="s">
        <v>2280</v>
      </c>
      <c r="E2840" s="28" t="s">
        <v>5484</v>
      </c>
      <c r="F2840" s="65" t="s">
        <v>5487</v>
      </c>
      <c r="G2840" s="15" t="s">
        <v>16</v>
      </c>
    </row>
    <row r="2841" spans="1:9" hidden="1" x14ac:dyDescent="0.2">
      <c r="A2841" s="11" t="s">
        <v>5492</v>
      </c>
      <c r="B2841" s="12" t="s">
        <v>5493</v>
      </c>
      <c r="C2841" s="13">
        <v>4</v>
      </c>
      <c r="D2841" s="167" t="s">
        <v>2280</v>
      </c>
      <c r="E2841" s="28" t="s">
        <v>5494</v>
      </c>
      <c r="F2841" s="65" t="s">
        <v>5499</v>
      </c>
      <c r="G2841" s="15" t="s">
        <v>16</v>
      </c>
      <c r="I2841" s="90">
        <v>12</v>
      </c>
    </row>
    <row r="2842" spans="1:9" hidden="1" x14ac:dyDescent="0.25">
      <c r="A2842" s="11" t="s">
        <v>5619</v>
      </c>
      <c r="B2842" s="12" t="s">
        <v>5620</v>
      </c>
      <c r="C2842" s="13">
        <v>5</v>
      </c>
      <c r="D2842" s="12" t="s">
        <v>2280</v>
      </c>
      <c r="E2842" s="28" t="s">
        <v>5621</v>
      </c>
      <c r="F2842" s="12" t="s">
        <v>5626</v>
      </c>
      <c r="G2842" s="15" t="s">
        <v>16</v>
      </c>
    </row>
    <row r="2843" spans="1:9" hidden="1" x14ac:dyDescent="0.25">
      <c r="A2843" s="11" t="s">
        <v>6286</v>
      </c>
      <c r="B2843" s="12" t="s">
        <v>6287</v>
      </c>
      <c r="C2843" s="13">
        <f>C2842+1</f>
        <v>6</v>
      </c>
      <c r="D2843" s="12" t="s">
        <v>1114</v>
      </c>
      <c r="E2843" s="28" t="s">
        <v>6288</v>
      </c>
      <c r="F2843" s="12" t="s">
        <v>6294</v>
      </c>
      <c r="G2843" s="15" t="s">
        <v>16</v>
      </c>
      <c r="I2843" s="90">
        <v>12</v>
      </c>
    </row>
    <row r="2844" spans="1:9" hidden="1" x14ac:dyDescent="0.25">
      <c r="A2844" s="11" t="s">
        <v>6408</v>
      </c>
      <c r="B2844" s="12" t="s">
        <v>6409</v>
      </c>
      <c r="C2844" s="13">
        <v>4</v>
      </c>
      <c r="D2844" s="12" t="s">
        <v>1114</v>
      </c>
      <c r="E2844" s="28" t="s">
        <v>6410</v>
      </c>
      <c r="F2844" s="12" t="s">
        <v>6414</v>
      </c>
      <c r="G2844" s="15" t="s">
        <v>282</v>
      </c>
      <c r="I2844" s="101" t="s">
        <v>5818</v>
      </c>
    </row>
    <row r="2845" spans="1:9" hidden="1" x14ac:dyDescent="0.2">
      <c r="A2845" s="11" t="s">
        <v>6645</v>
      </c>
      <c r="B2845" s="12" t="s">
        <v>6646</v>
      </c>
      <c r="C2845" s="13">
        <f>+C2844+1</f>
        <v>5</v>
      </c>
      <c r="D2845" s="14" t="s">
        <v>1114</v>
      </c>
      <c r="E2845" s="28" t="s">
        <v>6647</v>
      </c>
      <c r="F2845" s="12" t="s">
        <v>6654</v>
      </c>
      <c r="G2845" s="15" t="s">
        <v>16</v>
      </c>
    </row>
    <row r="2846" spans="1:9" hidden="1" x14ac:dyDescent="0.2">
      <c r="A2846" s="56" t="s">
        <v>6811</v>
      </c>
      <c r="B2846" s="61" t="s">
        <v>6812</v>
      </c>
      <c r="C2846" s="58">
        <v>6</v>
      </c>
      <c r="D2846" s="107" t="s">
        <v>2280</v>
      </c>
      <c r="E2846" s="89" t="s">
        <v>6813</v>
      </c>
      <c r="F2846" s="61" t="s">
        <v>6820</v>
      </c>
      <c r="G2846" s="62" t="s">
        <v>16</v>
      </c>
    </row>
    <row r="2847" spans="1:9" hidden="1" x14ac:dyDescent="0.2">
      <c r="A2847" s="11" t="s">
        <v>6843</v>
      </c>
      <c r="B2847" s="12" t="s">
        <v>6844</v>
      </c>
      <c r="C2847" s="13">
        <v>5</v>
      </c>
      <c r="D2847" s="14" t="s">
        <v>2280</v>
      </c>
      <c r="E2847" s="28" t="s">
        <v>6845</v>
      </c>
      <c r="F2847" s="12" t="s">
        <v>6851</v>
      </c>
      <c r="G2847" s="15" t="s">
        <v>16</v>
      </c>
    </row>
    <row r="2848" spans="1:9" hidden="1" x14ac:dyDescent="0.2">
      <c r="A2848" s="11" t="s">
        <v>6862</v>
      </c>
      <c r="B2848" s="12" t="s">
        <v>6863</v>
      </c>
      <c r="C2848" s="13">
        <v>4</v>
      </c>
      <c r="D2848" s="14" t="s">
        <v>2280</v>
      </c>
      <c r="E2848" s="28" t="s">
        <v>6864</v>
      </c>
      <c r="F2848" s="12" t="s">
        <v>6869</v>
      </c>
      <c r="G2848" s="15" t="s">
        <v>16</v>
      </c>
    </row>
    <row r="2849" spans="1:7" hidden="1" x14ac:dyDescent="0.2">
      <c r="A2849" s="11" t="s">
        <v>6880</v>
      </c>
      <c r="B2849" s="12" t="s">
        <v>6881</v>
      </c>
      <c r="C2849" s="13">
        <v>4</v>
      </c>
      <c r="D2849" s="14" t="s">
        <v>2280</v>
      </c>
      <c r="E2849" s="28" t="s">
        <v>6882</v>
      </c>
      <c r="F2849" s="12" t="s">
        <v>6887</v>
      </c>
      <c r="G2849" s="15" t="s">
        <v>16</v>
      </c>
    </row>
    <row r="2850" spans="1:7" hidden="1" x14ac:dyDescent="0.2">
      <c r="A2850" s="11" t="s">
        <v>6936</v>
      </c>
      <c r="B2850" s="12" t="s">
        <v>6937</v>
      </c>
      <c r="C2850" s="13">
        <v>4</v>
      </c>
      <c r="D2850" s="14" t="s">
        <v>2280</v>
      </c>
      <c r="E2850" s="28" t="s">
        <v>6938</v>
      </c>
      <c r="F2850" s="12" t="s">
        <v>6942</v>
      </c>
      <c r="G2850" s="15" t="s">
        <v>16</v>
      </c>
    </row>
    <row r="2851" spans="1:7" ht="12.75" hidden="1" thickBot="1" x14ac:dyDescent="0.25">
      <c r="A2851" s="36" t="s">
        <v>6958</v>
      </c>
      <c r="B2851" s="30" t="s">
        <v>6959</v>
      </c>
      <c r="C2851" s="31">
        <v>5</v>
      </c>
      <c r="D2851" s="69" t="s">
        <v>2280</v>
      </c>
      <c r="E2851" s="32" t="s">
        <v>6960</v>
      </c>
      <c r="F2851" s="30" t="s">
        <v>6965</v>
      </c>
      <c r="G2851" s="33" t="s">
        <v>16</v>
      </c>
    </row>
    <row r="2852" spans="1:7" hidden="1" x14ac:dyDescent="0.25">
      <c r="A2852" s="11" t="s">
        <v>7028</v>
      </c>
      <c r="B2852" s="12" t="s">
        <v>10</v>
      </c>
      <c r="C2852" s="58">
        <v>4</v>
      </c>
      <c r="D2852" s="12" t="s">
        <v>2280</v>
      </c>
      <c r="E2852" s="28" t="s">
        <v>7030</v>
      </c>
      <c r="F2852" s="12" t="s">
        <v>7035</v>
      </c>
      <c r="G2852" s="62" t="s">
        <v>16</v>
      </c>
    </row>
    <row r="2853" spans="1:7" hidden="1" x14ac:dyDescent="0.25">
      <c r="A2853" s="11" t="s">
        <v>7037</v>
      </c>
      <c r="B2853" s="12" t="s">
        <v>7038</v>
      </c>
      <c r="C2853" s="13">
        <v>4</v>
      </c>
      <c r="D2853" s="12" t="s">
        <v>2280</v>
      </c>
      <c r="E2853" s="28" t="s">
        <v>7039</v>
      </c>
      <c r="F2853" s="12" t="s">
        <v>7043</v>
      </c>
      <c r="G2853" s="15" t="s">
        <v>16</v>
      </c>
    </row>
    <row r="2854" spans="1:7" hidden="1" x14ac:dyDescent="0.25">
      <c r="A2854" s="11" t="s">
        <v>7045</v>
      </c>
      <c r="B2854" s="12" t="s">
        <v>372</v>
      </c>
      <c r="C2854" s="13">
        <v>4</v>
      </c>
      <c r="D2854" s="12" t="s">
        <v>2280</v>
      </c>
      <c r="E2854" s="28" t="s">
        <v>7046</v>
      </c>
      <c r="F2854" s="12" t="s">
        <v>7050</v>
      </c>
      <c r="G2854" s="15" t="s">
        <v>16</v>
      </c>
    </row>
    <row r="2855" spans="1:7" hidden="1" x14ac:dyDescent="0.25">
      <c r="A2855" s="11" t="s">
        <v>7052</v>
      </c>
      <c r="B2855" s="12" t="s">
        <v>390</v>
      </c>
      <c r="C2855" s="13">
        <v>4</v>
      </c>
      <c r="D2855" s="12" t="s">
        <v>2280</v>
      </c>
      <c r="E2855" s="28" t="s">
        <v>7053</v>
      </c>
      <c r="F2855" s="12" t="s">
        <v>7057</v>
      </c>
      <c r="G2855" s="15" t="s">
        <v>16</v>
      </c>
    </row>
    <row r="2856" spans="1:7" hidden="1" x14ac:dyDescent="0.25">
      <c r="A2856" s="11" t="s">
        <v>7059</v>
      </c>
      <c r="B2856" s="12" t="s">
        <v>7060</v>
      </c>
      <c r="C2856" s="13">
        <v>4</v>
      </c>
      <c r="D2856" s="12" t="s">
        <v>2280</v>
      </c>
      <c r="E2856" s="28" t="s">
        <v>7061</v>
      </c>
      <c r="F2856" s="12" t="s">
        <v>7065</v>
      </c>
      <c r="G2856" s="15" t="s">
        <v>16</v>
      </c>
    </row>
    <row r="2857" spans="1:7" hidden="1" x14ac:dyDescent="0.25">
      <c r="A2857" s="11" t="s">
        <v>7067</v>
      </c>
      <c r="B2857" s="12" t="s">
        <v>37</v>
      </c>
      <c r="C2857" s="13">
        <v>4</v>
      </c>
      <c r="D2857" s="12" t="s">
        <v>2280</v>
      </c>
      <c r="E2857" s="28" t="s">
        <v>7068</v>
      </c>
      <c r="F2857" s="12" t="s">
        <v>7072</v>
      </c>
      <c r="G2857" s="15" t="s">
        <v>16</v>
      </c>
    </row>
    <row r="2858" spans="1:7" hidden="1" x14ac:dyDescent="0.25">
      <c r="A2858" s="11" t="s">
        <v>7074</v>
      </c>
      <c r="B2858" s="12" t="s">
        <v>7075</v>
      </c>
      <c r="C2858" s="13">
        <v>4</v>
      </c>
      <c r="D2858" s="12" t="s">
        <v>2280</v>
      </c>
      <c r="E2858" s="28" t="s">
        <v>7076</v>
      </c>
      <c r="F2858" s="12" t="s">
        <v>7080</v>
      </c>
      <c r="G2858" s="15" t="s">
        <v>16</v>
      </c>
    </row>
    <row r="2859" spans="1:7" hidden="1" x14ac:dyDescent="0.25">
      <c r="A2859" s="11" t="s">
        <v>7082</v>
      </c>
      <c r="B2859" s="12" t="s">
        <v>7083</v>
      </c>
      <c r="C2859" s="13">
        <v>4</v>
      </c>
      <c r="D2859" s="12" t="s">
        <v>2280</v>
      </c>
      <c r="E2859" s="28" t="s">
        <v>7084</v>
      </c>
      <c r="F2859" s="12" t="s">
        <v>7088</v>
      </c>
      <c r="G2859" s="15" t="s">
        <v>16</v>
      </c>
    </row>
    <row r="2860" spans="1:7" hidden="1" x14ac:dyDescent="0.25">
      <c r="A2860" s="56" t="s">
        <v>7090</v>
      </c>
      <c r="B2860" s="61" t="s">
        <v>7091</v>
      </c>
      <c r="C2860" s="58">
        <v>4</v>
      </c>
      <c r="D2860" s="61" t="s">
        <v>2280</v>
      </c>
      <c r="E2860" s="61" t="s">
        <v>7092</v>
      </c>
      <c r="F2860" s="61" t="s">
        <v>7096</v>
      </c>
      <c r="G2860" s="62" t="s">
        <v>16</v>
      </c>
    </row>
    <row r="2861" spans="1:7" hidden="1" x14ac:dyDescent="0.25">
      <c r="A2861" s="11" t="s">
        <v>7098</v>
      </c>
      <c r="B2861" s="12" t="s">
        <v>440</v>
      </c>
      <c r="C2861" s="13">
        <v>4</v>
      </c>
      <c r="D2861" s="12" t="s">
        <v>2280</v>
      </c>
      <c r="E2861" s="28" t="s">
        <v>7099</v>
      </c>
      <c r="F2861" s="12" t="s">
        <v>7103</v>
      </c>
      <c r="G2861" s="15" t="s">
        <v>16</v>
      </c>
    </row>
    <row r="2862" spans="1:7" hidden="1" x14ac:dyDescent="0.25">
      <c r="A2862" s="11" t="s">
        <v>7105</v>
      </c>
      <c r="B2862" s="12" t="s">
        <v>7106</v>
      </c>
      <c r="C2862" s="13">
        <v>4</v>
      </c>
      <c r="D2862" s="12" t="s">
        <v>2280</v>
      </c>
      <c r="E2862" s="28" t="s">
        <v>7107</v>
      </c>
      <c r="F2862" s="12" t="s">
        <v>7111</v>
      </c>
      <c r="G2862" s="15" t="s">
        <v>16</v>
      </c>
    </row>
    <row r="2863" spans="1:7" hidden="1" x14ac:dyDescent="0.25">
      <c r="A2863" s="11" t="s">
        <v>7113</v>
      </c>
      <c r="B2863" s="12" t="s">
        <v>327</v>
      </c>
      <c r="C2863" s="13">
        <v>4</v>
      </c>
      <c r="D2863" s="12" t="s">
        <v>2280</v>
      </c>
      <c r="E2863" s="28" t="s">
        <v>7114</v>
      </c>
      <c r="F2863" s="12" t="s">
        <v>7118</v>
      </c>
      <c r="G2863" s="15" t="s">
        <v>16</v>
      </c>
    </row>
    <row r="2864" spans="1:7" hidden="1" x14ac:dyDescent="0.25">
      <c r="A2864" s="11" t="s">
        <v>7120</v>
      </c>
      <c r="B2864" s="12" t="s">
        <v>7121</v>
      </c>
      <c r="C2864" s="13">
        <v>4</v>
      </c>
      <c r="D2864" s="12" t="s">
        <v>2280</v>
      </c>
      <c r="E2864" s="28" t="s">
        <v>7122</v>
      </c>
      <c r="F2864" s="12" t="s">
        <v>7126</v>
      </c>
      <c r="G2864" s="15" t="s">
        <v>16</v>
      </c>
    </row>
    <row r="2865" spans="1:7" hidden="1" x14ac:dyDescent="0.25">
      <c r="A2865" s="11" t="s">
        <v>7128</v>
      </c>
      <c r="B2865" s="12" t="s">
        <v>7129</v>
      </c>
      <c r="C2865" s="13">
        <v>4</v>
      </c>
      <c r="D2865" s="12" t="s">
        <v>2280</v>
      </c>
      <c r="E2865" s="28" t="s">
        <v>7130</v>
      </c>
      <c r="F2865" s="12" t="s">
        <v>7134</v>
      </c>
      <c r="G2865" s="15" t="s">
        <v>16</v>
      </c>
    </row>
    <row r="2866" spans="1:7" hidden="1" x14ac:dyDescent="0.25">
      <c r="A2866" s="11" t="s">
        <v>7136</v>
      </c>
      <c r="B2866" s="12" t="s">
        <v>5771</v>
      </c>
      <c r="C2866" s="13">
        <v>4</v>
      </c>
      <c r="D2866" s="12" t="s">
        <v>2280</v>
      </c>
      <c r="E2866" s="28" t="s">
        <v>7137</v>
      </c>
      <c r="F2866" s="12" t="s">
        <v>7141</v>
      </c>
      <c r="G2866" s="15" t="s">
        <v>16</v>
      </c>
    </row>
    <row r="2867" spans="1:7" ht="12.75" hidden="1" thickBot="1" x14ac:dyDescent="0.3">
      <c r="A2867" s="36" t="s">
        <v>7143</v>
      </c>
      <c r="B2867" s="30" t="s">
        <v>120</v>
      </c>
      <c r="C2867" s="31">
        <v>4</v>
      </c>
      <c r="D2867" s="30" t="s">
        <v>2280</v>
      </c>
      <c r="E2867" s="32" t="s">
        <v>7144</v>
      </c>
      <c r="F2867" s="30" t="s">
        <v>7148</v>
      </c>
      <c r="G2867" s="33" t="s">
        <v>16</v>
      </c>
    </row>
    <row r="2868" spans="1:7" hidden="1" x14ac:dyDescent="0.25">
      <c r="A2868" s="56" t="s">
        <v>7150</v>
      </c>
      <c r="B2868" s="61" t="s">
        <v>7151</v>
      </c>
      <c r="C2868" s="58">
        <v>4</v>
      </c>
      <c r="D2868" s="61" t="s">
        <v>2280</v>
      </c>
      <c r="E2868" s="89" t="s">
        <v>7152</v>
      </c>
      <c r="F2868" s="61" t="s">
        <v>7156</v>
      </c>
      <c r="G2868" s="62" t="s">
        <v>16</v>
      </c>
    </row>
    <row r="2869" spans="1:7" hidden="1" x14ac:dyDescent="0.25">
      <c r="A2869" s="11" t="s">
        <v>7158</v>
      </c>
      <c r="B2869" s="12" t="s">
        <v>7159</v>
      </c>
      <c r="C2869" s="13">
        <v>4</v>
      </c>
      <c r="D2869" s="12" t="s">
        <v>2280</v>
      </c>
      <c r="E2869" s="28" t="s">
        <v>7160</v>
      </c>
      <c r="F2869" s="12" t="s">
        <v>7164</v>
      </c>
      <c r="G2869" s="15" t="s">
        <v>16</v>
      </c>
    </row>
    <row r="2870" spans="1:7" hidden="1" x14ac:dyDescent="0.25">
      <c r="A2870" s="11" t="s">
        <v>7166</v>
      </c>
      <c r="B2870" s="12" t="s">
        <v>7167</v>
      </c>
      <c r="C2870" s="13">
        <v>4</v>
      </c>
      <c r="D2870" s="12" t="s">
        <v>2280</v>
      </c>
      <c r="E2870" s="28" t="s">
        <v>7168</v>
      </c>
      <c r="F2870" s="12" t="s">
        <v>7172</v>
      </c>
      <c r="G2870" s="15" t="s">
        <v>16</v>
      </c>
    </row>
    <row r="2871" spans="1:7" hidden="1" x14ac:dyDescent="0.25">
      <c r="A2871" s="11" t="s">
        <v>7174</v>
      </c>
      <c r="B2871" s="12" t="s">
        <v>7175</v>
      </c>
      <c r="C2871" s="13">
        <v>4</v>
      </c>
      <c r="D2871" s="12" t="s">
        <v>2280</v>
      </c>
      <c r="E2871" s="28" t="s">
        <v>7176</v>
      </c>
      <c r="F2871" s="12" t="s">
        <v>7180</v>
      </c>
      <c r="G2871" s="15" t="s">
        <v>16</v>
      </c>
    </row>
    <row r="2872" spans="1:7" hidden="1" x14ac:dyDescent="0.25">
      <c r="A2872" s="11" t="s">
        <v>7182</v>
      </c>
      <c r="B2872" s="12" t="s">
        <v>1627</v>
      </c>
      <c r="C2872" s="13">
        <v>4</v>
      </c>
      <c r="D2872" s="12" t="s">
        <v>2280</v>
      </c>
      <c r="E2872" s="28" t="s">
        <v>7183</v>
      </c>
      <c r="F2872" s="12" t="s">
        <v>7187</v>
      </c>
      <c r="G2872" s="15" t="s">
        <v>16</v>
      </c>
    </row>
    <row r="2873" spans="1:7" hidden="1" x14ac:dyDescent="0.25">
      <c r="A2873" s="11" t="s">
        <v>7189</v>
      </c>
      <c r="B2873" s="12" t="s">
        <v>7190</v>
      </c>
      <c r="C2873" s="13">
        <v>4</v>
      </c>
      <c r="D2873" s="12" t="s">
        <v>2280</v>
      </c>
      <c r="E2873" s="28" t="s">
        <v>7191</v>
      </c>
      <c r="F2873" s="12" t="s">
        <v>7195</v>
      </c>
      <c r="G2873" s="15" t="s">
        <v>16</v>
      </c>
    </row>
    <row r="2874" spans="1:7" hidden="1" x14ac:dyDescent="0.25">
      <c r="A2874" s="11" t="s">
        <v>7197</v>
      </c>
      <c r="B2874" s="12" t="s">
        <v>7198</v>
      </c>
      <c r="C2874" s="13">
        <v>4</v>
      </c>
      <c r="D2874" s="12" t="s">
        <v>2280</v>
      </c>
      <c r="E2874" s="28" t="s">
        <v>7199</v>
      </c>
      <c r="F2874" s="12" t="s">
        <v>7203</v>
      </c>
      <c r="G2874" s="15" t="s">
        <v>16</v>
      </c>
    </row>
    <row r="2875" spans="1:7" hidden="1" x14ac:dyDescent="0.25">
      <c r="A2875" s="11" t="s">
        <v>7205</v>
      </c>
      <c r="B2875" s="12" t="s">
        <v>4595</v>
      </c>
      <c r="C2875" s="13">
        <v>4</v>
      </c>
      <c r="D2875" s="12" t="s">
        <v>2280</v>
      </c>
      <c r="E2875" s="28" t="s">
        <v>7206</v>
      </c>
      <c r="F2875" s="12" t="s">
        <v>7210</v>
      </c>
      <c r="G2875" s="15" t="s">
        <v>16</v>
      </c>
    </row>
    <row r="2876" spans="1:7" hidden="1" x14ac:dyDescent="0.25">
      <c r="A2876" s="11" t="s">
        <v>7212</v>
      </c>
      <c r="B2876" s="12" t="s">
        <v>3887</v>
      </c>
      <c r="C2876" s="13">
        <v>4</v>
      </c>
      <c r="D2876" s="12" t="s">
        <v>2280</v>
      </c>
      <c r="E2876" s="28" t="s">
        <v>7213</v>
      </c>
      <c r="F2876" s="12" t="s">
        <v>7217</v>
      </c>
      <c r="G2876" s="15" t="s">
        <v>16</v>
      </c>
    </row>
    <row r="2877" spans="1:7" ht="12.75" hidden="1" thickBot="1" x14ac:dyDescent="0.3">
      <c r="A2877" s="36" t="s">
        <v>7219</v>
      </c>
      <c r="B2877" s="30" t="s">
        <v>7220</v>
      </c>
      <c r="C2877" s="31">
        <v>4</v>
      </c>
      <c r="D2877" s="30" t="s">
        <v>2280</v>
      </c>
      <c r="E2877" s="32" t="s">
        <v>7221</v>
      </c>
      <c r="F2877" s="30" t="s">
        <v>7225</v>
      </c>
      <c r="G2877" s="33" t="s">
        <v>16</v>
      </c>
    </row>
    <row r="2878" spans="1:7" hidden="1" x14ac:dyDescent="0.25">
      <c r="A2878" s="56" t="s">
        <v>7227</v>
      </c>
      <c r="B2878" s="61" t="s">
        <v>7228</v>
      </c>
      <c r="C2878" s="58">
        <v>4</v>
      </c>
      <c r="D2878" s="204" t="s">
        <v>2280</v>
      </c>
      <c r="E2878" s="61" t="s">
        <v>7229</v>
      </c>
      <c r="F2878" s="61" t="s">
        <v>7233</v>
      </c>
      <c r="G2878" s="62" t="s">
        <v>16</v>
      </c>
    </row>
    <row r="2879" spans="1:7" hidden="1" x14ac:dyDescent="0.25">
      <c r="A2879" s="11" t="s">
        <v>7235</v>
      </c>
      <c r="B2879" s="12" t="s">
        <v>7236</v>
      </c>
      <c r="C2879" s="13">
        <v>4</v>
      </c>
      <c r="D2879" s="118" t="s">
        <v>2280</v>
      </c>
      <c r="E2879" s="12" t="s">
        <v>7237</v>
      </c>
      <c r="F2879" s="12" t="s">
        <v>7241</v>
      </c>
      <c r="G2879" s="15" t="s">
        <v>16</v>
      </c>
    </row>
    <row r="2880" spans="1:7" hidden="1" x14ac:dyDescent="0.25">
      <c r="A2880" s="11" t="s">
        <v>7243</v>
      </c>
      <c r="B2880" s="12" t="s">
        <v>7244</v>
      </c>
      <c r="C2880" s="13">
        <v>4</v>
      </c>
      <c r="D2880" s="118" t="s">
        <v>2280</v>
      </c>
      <c r="E2880" s="12" t="s">
        <v>7245</v>
      </c>
      <c r="F2880" s="12" t="s">
        <v>7249</v>
      </c>
      <c r="G2880" s="15" t="s">
        <v>16</v>
      </c>
    </row>
    <row r="2881" spans="1:7" hidden="1" x14ac:dyDescent="0.25">
      <c r="A2881" s="11" t="s">
        <v>7251</v>
      </c>
      <c r="B2881" s="12" t="s">
        <v>1998</v>
      </c>
      <c r="C2881" s="13">
        <v>4</v>
      </c>
      <c r="D2881" s="118" t="s">
        <v>2280</v>
      </c>
      <c r="E2881" s="12" t="s">
        <v>7252</v>
      </c>
      <c r="F2881" s="12" t="s">
        <v>7256</v>
      </c>
      <c r="G2881" s="15" t="s">
        <v>16</v>
      </c>
    </row>
    <row r="2882" spans="1:7" hidden="1" x14ac:dyDescent="0.25">
      <c r="A2882" s="11" t="s">
        <v>7258</v>
      </c>
      <c r="B2882" s="12" t="s">
        <v>6607</v>
      </c>
      <c r="C2882" s="13">
        <v>4</v>
      </c>
      <c r="D2882" s="118" t="s">
        <v>2280</v>
      </c>
      <c r="E2882" s="12" t="s">
        <v>7259</v>
      </c>
      <c r="F2882" s="12" t="s">
        <v>7263</v>
      </c>
      <c r="G2882" s="15" t="s">
        <v>16</v>
      </c>
    </row>
    <row r="2883" spans="1:7" hidden="1" x14ac:dyDescent="0.25">
      <c r="A2883" s="11" t="s">
        <v>7265</v>
      </c>
      <c r="B2883" s="12" t="s">
        <v>7266</v>
      </c>
      <c r="C2883" s="13">
        <v>4</v>
      </c>
      <c r="D2883" s="118" t="s">
        <v>2280</v>
      </c>
      <c r="E2883" s="12" t="s">
        <v>7267</v>
      </c>
      <c r="F2883" s="12" t="s">
        <v>7271</v>
      </c>
      <c r="G2883" s="15" t="s">
        <v>16</v>
      </c>
    </row>
    <row r="2884" spans="1:7" hidden="1" x14ac:dyDescent="0.25">
      <c r="A2884" s="11" t="s">
        <v>7273</v>
      </c>
      <c r="B2884" s="12" t="s">
        <v>7274</v>
      </c>
      <c r="C2884" s="13">
        <v>4</v>
      </c>
      <c r="D2884" s="118" t="s">
        <v>2280</v>
      </c>
      <c r="E2884" s="12" t="s">
        <v>7275</v>
      </c>
      <c r="F2884" s="12" t="s">
        <v>7279</v>
      </c>
      <c r="G2884" s="15" t="s">
        <v>16</v>
      </c>
    </row>
    <row r="2885" spans="1:7" hidden="1" x14ac:dyDescent="0.25">
      <c r="A2885" s="11" t="s">
        <v>7281</v>
      </c>
      <c r="B2885" s="12" t="s">
        <v>7282</v>
      </c>
      <c r="C2885" s="13">
        <v>4</v>
      </c>
      <c r="D2885" s="118" t="s">
        <v>2280</v>
      </c>
      <c r="E2885" s="12" t="s">
        <v>7283</v>
      </c>
      <c r="F2885" s="12" t="s">
        <v>7287</v>
      </c>
      <c r="G2885" s="15" t="s">
        <v>16</v>
      </c>
    </row>
    <row r="2886" spans="1:7" hidden="1" x14ac:dyDescent="0.25">
      <c r="A2886" s="11" t="s">
        <v>7289</v>
      </c>
      <c r="B2886" s="12" t="s">
        <v>6027</v>
      </c>
      <c r="C2886" s="13">
        <v>4</v>
      </c>
      <c r="D2886" s="118" t="s">
        <v>2280</v>
      </c>
      <c r="E2886" s="12" t="s">
        <v>7290</v>
      </c>
      <c r="F2886" s="12" t="s">
        <v>7294</v>
      </c>
      <c r="G2886" s="15" t="s">
        <v>16</v>
      </c>
    </row>
    <row r="2887" spans="1:7" hidden="1" x14ac:dyDescent="0.25">
      <c r="A2887" s="11" t="s">
        <v>7296</v>
      </c>
      <c r="B2887" s="12" t="s">
        <v>1101</v>
      </c>
      <c r="C2887" s="13">
        <v>4</v>
      </c>
      <c r="D2887" s="118" t="s">
        <v>2280</v>
      </c>
      <c r="E2887" s="12" t="s">
        <v>7297</v>
      </c>
      <c r="F2887" s="12" t="s">
        <v>7301</v>
      </c>
      <c r="G2887" s="15" t="s">
        <v>16</v>
      </c>
    </row>
    <row r="2888" spans="1:7" hidden="1" x14ac:dyDescent="0.25">
      <c r="A2888" s="11" t="s">
        <v>7303</v>
      </c>
      <c r="B2888" s="12" t="s">
        <v>7304</v>
      </c>
      <c r="C2888" s="13">
        <v>4</v>
      </c>
      <c r="D2888" s="118" t="s">
        <v>2280</v>
      </c>
      <c r="E2888" s="12" t="s">
        <v>7305</v>
      </c>
      <c r="F2888" s="12" t="s">
        <v>7309</v>
      </c>
      <c r="G2888" s="15" t="s">
        <v>16</v>
      </c>
    </row>
    <row r="2889" spans="1:7" hidden="1" x14ac:dyDescent="0.25">
      <c r="A2889" s="11" t="s">
        <v>7311</v>
      </c>
      <c r="B2889" s="12" t="s">
        <v>7312</v>
      </c>
      <c r="C2889" s="13">
        <v>4</v>
      </c>
      <c r="D2889" s="118" t="s">
        <v>2280</v>
      </c>
      <c r="E2889" s="12" t="s">
        <v>7313</v>
      </c>
      <c r="F2889" s="12" t="s">
        <v>7317</v>
      </c>
      <c r="G2889" s="15" t="s">
        <v>16</v>
      </c>
    </row>
    <row r="2890" spans="1:7" hidden="1" x14ac:dyDescent="0.25">
      <c r="A2890" s="11" t="s">
        <v>7319</v>
      </c>
      <c r="B2890" s="12" t="s">
        <v>7320</v>
      </c>
      <c r="C2890" s="13">
        <v>4</v>
      </c>
      <c r="D2890" s="118" t="s">
        <v>2280</v>
      </c>
      <c r="E2890" s="12" t="s">
        <v>7321</v>
      </c>
      <c r="F2890" s="12" t="s">
        <v>7325</v>
      </c>
      <c r="G2890" s="15" t="s">
        <v>16</v>
      </c>
    </row>
    <row r="2891" spans="1:7" hidden="1" x14ac:dyDescent="0.25">
      <c r="A2891" s="11" t="s">
        <v>7327</v>
      </c>
      <c r="B2891" s="12" t="s">
        <v>7328</v>
      </c>
      <c r="C2891" s="13">
        <v>4</v>
      </c>
      <c r="D2891" s="118" t="s">
        <v>2280</v>
      </c>
      <c r="E2891" s="12" t="s">
        <v>7329</v>
      </c>
      <c r="F2891" s="12" t="s">
        <v>7333</v>
      </c>
      <c r="G2891" s="15" t="s">
        <v>16</v>
      </c>
    </row>
    <row r="2892" spans="1:7" hidden="1" x14ac:dyDescent="0.25">
      <c r="A2892" s="11" t="s">
        <v>7335</v>
      </c>
      <c r="B2892" s="12" t="s">
        <v>7336</v>
      </c>
      <c r="C2892" s="13">
        <v>4</v>
      </c>
      <c r="D2892" s="118" t="s">
        <v>2280</v>
      </c>
      <c r="E2892" s="12" t="s">
        <v>7337</v>
      </c>
      <c r="F2892" s="12" t="s">
        <v>7341</v>
      </c>
      <c r="G2892" s="15" t="s">
        <v>16</v>
      </c>
    </row>
    <row r="2893" spans="1:7" hidden="1" x14ac:dyDescent="0.25">
      <c r="A2893" s="11" t="s">
        <v>7343</v>
      </c>
      <c r="B2893" s="12" t="s">
        <v>7344</v>
      </c>
      <c r="C2893" s="13">
        <v>4</v>
      </c>
      <c r="D2893" s="118" t="s">
        <v>2280</v>
      </c>
      <c r="E2893" s="12" t="s">
        <v>7345</v>
      </c>
      <c r="F2893" s="12" t="s">
        <v>7349</v>
      </c>
      <c r="G2893" s="15" t="s">
        <v>16</v>
      </c>
    </row>
    <row r="2894" spans="1:7" hidden="1" x14ac:dyDescent="0.25">
      <c r="A2894" s="11" t="s">
        <v>7351</v>
      </c>
      <c r="B2894" s="12" t="s">
        <v>7352</v>
      </c>
      <c r="C2894" s="13">
        <v>4</v>
      </c>
      <c r="D2894" s="118" t="s">
        <v>2280</v>
      </c>
      <c r="E2894" s="12" t="s">
        <v>7353</v>
      </c>
      <c r="F2894" s="12" t="s">
        <v>7357</v>
      </c>
      <c r="G2894" s="15" t="s">
        <v>16</v>
      </c>
    </row>
    <row r="2895" spans="1:7" hidden="1" x14ac:dyDescent="0.25">
      <c r="A2895" s="11" t="s">
        <v>7359</v>
      </c>
      <c r="B2895" s="12" t="s">
        <v>7360</v>
      </c>
      <c r="C2895" s="13">
        <v>4</v>
      </c>
      <c r="D2895" s="118" t="s">
        <v>2280</v>
      </c>
      <c r="E2895" s="12" t="s">
        <v>7361</v>
      </c>
      <c r="F2895" s="12" t="s">
        <v>7365</v>
      </c>
      <c r="G2895" s="15" t="s">
        <v>16</v>
      </c>
    </row>
    <row r="2896" spans="1:7" hidden="1" x14ac:dyDescent="0.25">
      <c r="A2896" s="11" t="s">
        <v>7367</v>
      </c>
      <c r="B2896" s="12" t="s">
        <v>403</v>
      </c>
      <c r="C2896" s="13">
        <v>4</v>
      </c>
      <c r="D2896" s="118" t="s">
        <v>2280</v>
      </c>
      <c r="E2896" s="12" t="s">
        <v>7368</v>
      </c>
      <c r="F2896" s="12" t="s">
        <v>7372</v>
      </c>
      <c r="G2896" s="15" t="s">
        <v>16</v>
      </c>
    </row>
    <row r="2897" spans="1:7" hidden="1" x14ac:dyDescent="0.25">
      <c r="A2897" s="11" t="s">
        <v>7374</v>
      </c>
      <c r="B2897" s="12" t="s">
        <v>7375</v>
      </c>
      <c r="C2897" s="13">
        <v>4</v>
      </c>
      <c r="D2897" s="118" t="s">
        <v>2280</v>
      </c>
      <c r="E2897" s="12" t="s">
        <v>7376</v>
      </c>
      <c r="F2897" s="12" t="s">
        <v>7380</v>
      </c>
      <c r="G2897" s="15" t="s">
        <v>16</v>
      </c>
    </row>
    <row r="2898" spans="1:7" hidden="1" x14ac:dyDescent="0.25">
      <c r="A2898" s="11" t="s">
        <v>7382</v>
      </c>
      <c r="B2898" s="12" t="s">
        <v>2324</v>
      </c>
      <c r="C2898" s="13">
        <v>4</v>
      </c>
      <c r="D2898" s="118" t="s">
        <v>2280</v>
      </c>
      <c r="E2898" s="12" t="s">
        <v>7383</v>
      </c>
      <c r="F2898" s="12" t="s">
        <v>7387</v>
      </c>
      <c r="G2898" s="15" t="s">
        <v>16</v>
      </c>
    </row>
    <row r="2899" spans="1:7" hidden="1" x14ac:dyDescent="0.25">
      <c r="A2899" s="11" t="s">
        <v>7389</v>
      </c>
      <c r="B2899" s="12" t="s">
        <v>7390</v>
      </c>
      <c r="C2899" s="13">
        <v>4</v>
      </c>
      <c r="D2899" s="118" t="s">
        <v>2280</v>
      </c>
      <c r="E2899" s="12" t="s">
        <v>7391</v>
      </c>
      <c r="F2899" s="12" t="s">
        <v>7395</v>
      </c>
      <c r="G2899" s="15" t="s">
        <v>16</v>
      </c>
    </row>
    <row r="2900" spans="1:7" hidden="1" x14ac:dyDescent="0.25">
      <c r="A2900" s="11" t="s">
        <v>7397</v>
      </c>
      <c r="B2900" s="12" t="s">
        <v>2066</v>
      </c>
      <c r="C2900" s="13">
        <v>4</v>
      </c>
      <c r="D2900" s="118" t="s">
        <v>2280</v>
      </c>
      <c r="E2900" s="12" t="s">
        <v>7398</v>
      </c>
      <c r="F2900" s="12" t="s">
        <v>7402</v>
      </c>
      <c r="G2900" s="15" t="s">
        <v>16</v>
      </c>
    </row>
    <row r="2901" spans="1:7" hidden="1" x14ac:dyDescent="0.25">
      <c r="A2901" s="11" t="s">
        <v>7404</v>
      </c>
      <c r="B2901" s="12" t="s">
        <v>7405</v>
      </c>
      <c r="C2901" s="13">
        <v>4</v>
      </c>
      <c r="D2901" s="118" t="s">
        <v>2280</v>
      </c>
      <c r="E2901" s="12" t="s">
        <v>7406</v>
      </c>
      <c r="F2901" s="12" t="s">
        <v>7410</v>
      </c>
      <c r="G2901" s="15" t="s">
        <v>16</v>
      </c>
    </row>
    <row r="2902" spans="1:7" hidden="1" x14ac:dyDescent="0.25">
      <c r="A2902" s="11" t="s">
        <v>7412</v>
      </c>
      <c r="B2902" s="12" t="s">
        <v>7413</v>
      </c>
      <c r="C2902" s="13">
        <v>4</v>
      </c>
      <c r="D2902" s="118" t="s">
        <v>2280</v>
      </c>
      <c r="E2902" s="12" t="s">
        <v>7414</v>
      </c>
      <c r="F2902" s="12" t="s">
        <v>7418</v>
      </c>
      <c r="G2902" s="15" t="s">
        <v>16</v>
      </c>
    </row>
    <row r="2903" spans="1:7" hidden="1" x14ac:dyDescent="0.25">
      <c r="A2903" s="11" t="s">
        <v>7420</v>
      </c>
      <c r="B2903" s="12" t="s">
        <v>2274</v>
      </c>
      <c r="C2903" s="13">
        <v>4</v>
      </c>
      <c r="D2903" s="118" t="s">
        <v>2280</v>
      </c>
      <c r="E2903" s="12" t="s">
        <v>7421</v>
      </c>
      <c r="F2903" s="12" t="s">
        <v>7425</v>
      </c>
      <c r="G2903" s="15" t="s">
        <v>16</v>
      </c>
    </row>
    <row r="2904" spans="1:7" hidden="1" x14ac:dyDescent="0.25">
      <c r="A2904" s="11" t="s">
        <v>7427</v>
      </c>
      <c r="B2904" s="12" t="s">
        <v>6857</v>
      </c>
      <c r="C2904" s="13">
        <v>4</v>
      </c>
      <c r="D2904" s="118" t="s">
        <v>2280</v>
      </c>
      <c r="E2904" s="12" t="s">
        <v>7428</v>
      </c>
      <c r="F2904" s="12" t="s">
        <v>7432</v>
      </c>
      <c r="G2904" s="15" t="s">
        <v>16</v>
      </c>
    </row>
    <row r="2905" spans="1:7" hidden="1" x14ac:dyDescent="0.25">
      <c r="A2905" s="11" t="s">
        <v>7434</v>
      </c>
      <c r="B2905" s="12" t="s">
        <v>7435</v>
      </c>
      <c r="C2905" s="13">
        <v>4</v>
      </c>
      <c r="D2905" s="118" t="s">
        <v>2280</v>
      </c>
      <c r="E2905" s="12" t="s">
        <v>7436</v>
      </c>
      <c r="F2905" s="12" t="s">
        <v>7440</v>
      </c>
      <c r="G2905" s="15" t="s">
        <v>16</v>
      </c>
    </row>
    <row r="2906" spans="1:7" hidden="1" x14ac:dyDescent="0.25">
      <c r="A2906" s="11" t="s">
        <v>7442</v>
      </c>
      <c r="B2906" s="12" t="s">
        <v>5773</v>
      </c>
      <c r="C2906" s="13">
        <v>4</v>
      </c>
      <c r="D2906" s="118" t="s">
        <v>2280</v>
      </c>
      <c r="E2906" s="12" t="s">
        <v>7443</v>
      </c>
      <c r="F2906" s="12" t="s">
        <v>7447</v>
      </c>
      <c r="G2906" s="15" t="s">
        <v>16</v>
      </c>
    </row>
    <row r="2907" spans="1:7" hidden="1" x14ac:dyDescent="0.25">
      <c r="A2907" s="11" t="s">
        <v>7449</v>
      </c>
      <c r="B2907" s="12" t="s">
        <v>7450</v>
      </c>
      <c r="C2907" s="13">
        <v>4</v>
      </c>
      <c r="D2907" s="118" t="s">
        <v>2280</v>
      </c>
      <c r="E2907" s="12" t="s">
        <v>7451</v>
      </c>
      <c r="F2907" s="12" t="s">
        <v>7455</v>
      </c>
      <c r="G2907" s="15" t="s">
        <v>16</v>
      </c>
    </row>
    <row r="2908" spans="1:7" hidden="1" x14ac:dyDescent="0.25">
      <c r="A2908" s="11" t="s">
        <v>7457</v>
      </c>
      <c r="B2908" s="12" t="s">
        <v>7458</v>
      </c>
      <c r="C2908" s="13">
        <v>4</v>
      </c>
      <c r="D2908" s="118" t="s">
        <v>2280</v>
      </c>
      <c r="E2908" s="12" t="s">
        <v>7459</v>
      </c>
      <c r="F2908" s="12" t="s">
        <v>7463</v>
      </c>
      <c r="G2908" s="15" t="s">
        <v>16</v>
      </c>
    </row>
    <row r="2909" spans="1:7" hidden="1" x14ac:dyDescent="0.25">
      <c r="A2909" s="11" t="s">
        <v>7465</v>
      </c>
      <c r="B2909" s="12" t="s">
        <v>1461</v>
      </c>
      <c r="C2909" s="13">
        <v>4</v>
      </c>
      <c r="D2909" s="118" t="s">
        <v>2280</v>
      </c>
      <c r="E2909" s="12" t="s">
        <v>7466</v>
      </c>
      <c r="F2909" s="12" t="s">
        <v>7470</v>
      </c>
      <c r="G2909" s="15" t="s">
        <v>16</v>
      </c>
    </row>
    <row r="2910" spans="1:7" hidden="1" x14ac:dyDescent="0.25">
      <c r="A2910" s="11" t="s">
        <v>7472</v>
      </c>
      <c r="B2910" s="12" t="s">
        <v>7473</v>
      </c>
      <c r="C2910" s="13">
        <v>4</v>
      </c>
      <c r="D2910" s="118" t="s">
        <v>2280</v>
      </c>
      <c r="E2910" s="12" t="s">
        <v>7474</v>
      </c>
      <c r="F2910" s="12" t="s">
        <v>7478</v>
      </c>
      <c r="G2910" s="15" t="s">
        <v>16</v>
      </c>
    </row>
    <row r="2911" spans="1:7" hidden="1" x14ac:dyDescent="0.25">
      <c r="A2911" s="11" t="s">
        <v>7480</v>
      </c>
      <c r="B2911" s="12" t="s">
        <v>4749</v>
      </c>
      <c r="C2911" s="13">
        <v>4</v>
      </c>
      <c r="D2911" s="118" t="s">
        <v>2280</v>
      </c>
      <c r="E2911" s="12" t="s">
        <v>7481</v>
      </c>
      <c r="F2911" s="12" t="s">
        <v>7485</v>
      </c>
      <c r="G2911" s="15" t="s">
        <v>16</v>
      </c>
    </row>
    <row r="2912" spans="1:7" hidden="1" x14ac:dyDescent="0.25">
      <c r="A2912" s="11" t="s">
        <v>7487</v>
      </c>
      <c r="B2912" s="12" t="s">
        <v>490</v>
      </c>
      <c r="C2912" s="13">
        <v>4</v>
      </c>
      <c r="D2912" s="118" t="s">
        <v>2280</v>
      </c>
      <c r="E2912" s="12" t="s">
        <v>7488</v>
      </c>
      <c r="F2912" s="12" t="s">
        <v>7492</v>
      </c>
      <c r="G2912" s="15" t="s">
        <v>16</v>
      </c>
    </row>
    <row r="2913" spans="1:7" hidden="1" x14ac:dyDescent="0.25">
      <c r="A2913" s="11" t="s">
        <v>7494</v>
      </c>
      <c r="B2913" s="12" t="s">
        <v>7495</v>
      </c>
      <c r="C2913" s="13">
        <v>4</v>
      </c>
      <c r="D2913" s="118" t="s">
        <v>2280</v>
      </c>
      <c r="E2913" s="12" t="s">
        <v>7496</v>
      </c>
      <c r="F2913" s="12" t="s">
        <v>7500</v>
      </c>
      <c r="G2913" s="15" t="s">
        <v>16</v>
      </c>
    </row>
    <row r="2914" spans="1:7" hidden="1" x14ac:dyDescent="0.25">
      <c r="A2914" s="11" t="s">
        <v>7502</v>
      </c>
      <c r="B2914" s="12" t="s">
        <v>7503</v>
      </c>
      <c r="C2914" s="13">
        <v>4</v>
      </c>
      <c r="D2914" s="118" t="s">
        <v>2280</v>
      </c>
      <c r="E2914" s="12" t="s">
        <v>7504</v>
      </c>
      <c r="F2914" s="12" t="s">
        <v>7508</v>
      </c>
      <c r="G2914" s="15" t="s">
        <v>16</v>
      </c>
    </row>
    <row r="2915" spans="1:7" hidden="1" x14ac:dyDescent="0.25">
      <c r="A2915" s="11" t="s">
        <v>7510</v>
      </c>
      <c r="B2915" s="12" t="s">
        <v>7511</v>
      </c>
      <c r="C2915" s="13">
        <v>4</v>
      </c>
      <c r="D2915" s="118" t="s">
        <v>2280</v>
      </c>
      <c r="E2915" s="12" t="s">
        <v>7512</v>
      </c>
      <c r="F2915" s="12" t="s">
        <v>7516</v>
      </c>
      <c r="G2915" s="15" t="s">
        <v>16</v>
      </c>
    </row>
    <row r="2916" spans="1:7" hidden="1" x14ac:dyDescent="0.25">
      <c r="A2916" s="11" t="s">
        <v>7518</v>
      </c>
      <c r="B2916" s="12" t="s">
        <v>7519</v>
      </c>
      <c r="C2916" s="13">
        <v>4</v>
      </c>
      <c r="D2916" s="118" t="s">
        <v>2280</v>
      </c>
      <c r="E2916" s="12" t="s">
        <v>7520</v>
      </c>
      <c r="F2916" s="12" t="s">
        <v>7524</v>
      </c>
      <c r="G2916" s="15" t="s">
        <v>16</v>
      </c>
    </row>
    <row r="2917" spans="1:7" hidden="1" x14ac:dyDescent="0.25">
      <c r="A2917" s="11" t="s">
        <v>7526</v>
      </c>
      <c r="B2917" s="12" t="s">
        <v>7527</v>
      </c>
      <c r="C2917" s="13">
        <v>4</v>
      </c>
      <c r="D2917" s="118" t="s">
        <v>2280</v>
      </c>
      <c r="E2917" s="12" t="s">
        <v>7528</v>
      </c>
      <c r="F2917" s="12" t="s">
        <v>7532</v>
      </c>
      <c r="G2917" s="15" t="s">
        <v>16</v>
      </c>
    </row>
    <row r="2918" spans="1:7" hidden="1" x14ac:dyDescent="0.25">
      <c r="A2918" s="11" t="s">
        <v>7534</v>
      </c>
      <c r="B2918" s="12" t="s">
        <v>7535</v>
      </c>
      <c r="C2918" s="13">
        <v>4</v>
      </c>
      <c r="D2918" s="118" t="s">
        <v>2280</v>
      </c>
      <c r="E2918" s="12" t="s">
        <v>7536</v>
      </c>
      <c r="F2918" s="12" t="s">
        <v>7540</v>
      </c>
      <c r="G2918" s="15" t="s">
        <v>16</v>
      </c>
    </row>
    <row r="2919" spans="1:7" hidden="1" x14ac:dyDescent="0.25">
      <c r="A2919" s="11" t="s">
        <v>7542</v>
      </c>
      <c r="B2919" s="12" t="s">
        <v>7543</v>
      </c>
      <c r="C2919" s="13">
        <v>4</v>
      </c>
      <c r="D2919" s="118" t="s">
        <v>2280</v>
      </c>
      <c r="E2919" s="12" t="s">
        <v>7544</v>
      </c>
      <c r="F2919" s="12" t="s">
        <v>7548</v>
      </c>
      <c r="G2919" s="15" t="s">
        <v>16</v>
      </c>
    </row>
    <row r="2920" spans="1:7" hidden="1" x14ac:dyDescent="0.25">
      <c r="A2920" s="11" t="s">
        <v>7550</v>
      </c>
      <c r="B2920" s="12" t="s">
        <v>7551</v>
      </c>
      <c r="C2920" s="13">
        <v>4</v>
      </c>
      <c r="D2920" s="118" t="s">
        <v>2280</v>
      </c>
      <c r="E2920" s="12" t="s">
        <v>7552</v>
      </c>
      <c r="F2920" s="12" t="s">
        <v>7556</v>
      </c>
      <c r="G2920" s="15" t="s">
        <v>16</v>
      </c>
    </row>
    <row r="2921" spans="1:7" hidden="1" x14ac:dyDescent="0.25">
      <c r="A2921" s="11" t="s">
        <v>7558</v>
      </c>
      <c r="B2921" s="12" t="s">
        <v>7559</v>
      </c>
      <c r="C2921" s="13">
        <v>4</v>
      </c>
      <c r="D2921" s="118" t="s">
        <v>2280</v>
      </c>
      <c r="E2921" s="12" t="s">
        <v>7560</v>
      </c>
      <c r="F2921" s="12" t="s">
        <v>7564</v>
      </c>
      <c r="G2921" s="15" t="s">
        <v>16</v>
      </c>
    </row>
    <row r="2922" spans="1:7" hidden="1" x14ac:dyDescent="0.25">
      <c r="A2922" s="11" t="s">
        <v>7566</v>
      </c>
      <c r="B2922" s="12" t="s">
        <v>7567</v>
      </c>
      <c r="C2922" s="13">
        <v>4</v>
      </c>
      <c r="D2922" s="118" t="s">
        <v>2280</v>
      </c>
      <c r="E2922" s="12" t="s">
        <v>7568</v>
      </c>
      <c r="F2922" s="12" t="s">
        <v>7572</v>
      </c>
      <c r="G2922" s="15" t="s">
        <v>16</v>
      </c>
    </row>
    <row r="2923" spans="1:7" hidden="1" x14ac:dyDescent="0.25">
      <c r="A2923" s="11" t="s">
        <v>7574</v>
      </c>
      <c r="B2923" s="12" t="s">
        <v>7575</v>
      </c>
      <c r="C2923" s="13">
        <v>4</v>
      </c>
      <c r="D2923" s="118" t="s">
        <v>2280</v>
      </c>
      <c r="E2923" s="12" t="s">
        <v>7576</v>
      </c>
      <c r="F2923" s="12" t="s">
        <v>7580</v>
      </c>
      <c r="G2923" s="15" t="s">
        <v>16</v>
      </c>
    </row>
    <row r="2924" spans="1:7" hidden="1" x14ac:dyDescent="0.25">
      <c r="A2924" s="11" t="s">
        <v>7582</v>
      </c>
      <c r="B2924" s="12" t="s">
        <v>1360</v>
      </c>
      <c r="C2924" s="13">
        <v>4</v>
      </c>
      <c r="D2924" s="118" t="s">
        <v>2280</v>
      </c>
      <c r="E2924" s="12" t="s">
        <v>7583</v>
      </c>
      <c r="F2924" s="12" t="s">
        <v>7587</v>
      </c>
      <c r="G2924" s="15" t="s">
        <v>16</v>
      </c>
    </row>
    <row r="2925" spans="1:7" hidden="1" x14ac:dyDescent="0.25">
      <c r="A2925" s="11" t="s">
        <v>7589</v>
      </c>
      <c r="B2925" s="12" t="s">
        <v>1445</v>
      </c>
      <c r="C2925" s="13">
        <v>4</v>
      </c>
      <c r="D2925" s="118" t="s">
        <v>2280</v>
      </c>
      <c r="E2925" s="12" t="s">
        <v>7590</v>
      </c>
      <c r="F2925" s="12" t="s">
        <v>7594</v>
      </c>
      <c r="G2925" s="15" t="s">
        <v>16</v>
      </c>
    </row>
    <row r="2926" spans="1:7" hidden="1" x14ac:dyDescent="0.25">
      <c r="A2926" s="11" t="s">
        <v>7596</v>
      </c>
      <c r="B2926" s="12" t="s">
        <v>7597</v>
      </c>
      <c r="C2926" s="13">
        <v>4</v>
      </c>
      <c r="D2926" s="118" t="s">
        <v>2280</v>
      </c>
      <c r="E2926" s="12" t="s">
        <v>7598</v>
      </c>
      <c r="F2926" s="12" t="s">
        <v>7602</v>
      </c>
      <c r="G2926" s="15" t="s">
        <v>16</v>
      </c>
    </row>
    <row r="2927" spans="1:7" hidden="1" x14ac:dyDescent="0.25">
      <c r="A2927" s="11" t="s">
        <v>7604</v>
      </c>
      <c r="B2927" s="12" t="s">
        <v>7605</v>
      </c>
      <c r="C2927" s="13">
        <v>4</v>
      </c>
      <c r="D2927" s="118" t="s">
        <v>2280</v>
      </c>
      <c r="E2927" s="12" t="s">
        <v>7606</v>
      </c>
      <c r="F2927" s="12" t="s">
        <v>7610</v>
      </c>
      <c r="G2927" s="15" t="s">
        <v>16</v>
      </c>
    </row>
    <row r="2928" spans="1:7" ht="12.75" hidden="1" thickBot="1" x14ac:dyDescent="0.3">
      <c r="A2928" s="36" t="s">
        <v>7612</v>
      </c>
      <c r="B2928" s="30" t="s">
        <v>7613</v>
      </c>
      <c r="C2928" s="31">
        <v>4</v>
      </c>
      <c r="D2928" s="159" t="s">
        <v>2280</v>
      </c>
      <c r="E2928" s="30" t="s">
        <v>7614</v>
      </c>
      <c r="F2928" s="30" t="s">
        <v>7618</v>
      </c>
      <c r="G2928" s="33" t="s">
        <v>16</v>
      </c>
    </row>
    <row r="2929" spans="1:7" hidden="1" x14ac:dyDescent="0.25">
      <c r="A2929" s="56" t="s">
        <v>7620</v>
      </c>
      <c r="B2929" s="61" t="s">
        <v>7621</v>
      </c>
      <c r="C2929" s="58">
        <v>4</v>
      </c>
      <c r="D2929" s="204" t="s">
        <v>2280</v>
      </c>
      <c r="E2929" s="61" t="s">
        <v>7622</v>
      </c>
      <c r="F2929" s="61" t="s">
        <v>7626</v>
      </c>
      <c r="G2929" s="62" t="s">
        <v>16</v>
      </c>
    </row>
    <row r="2930" spans="1:7" hidden="1" x14ac:dyDescent="0.25">
      <c r="A2930" s="11" t="s">
        <v>7628</v>
      </c>
      <c r="B2930" s="12" t="s">
        <v>7629</v>
      </c>
      <c r="C2930" s="13">
        <v>4</v>
      </c>
      <c r="D2930" s="118" t="s">
        <v>2280</v>
      </c>
      <c r="E2930" s="12" t="s">
        <v>7630</v>
      </c>
      <c r="F2930" s="12" t="s">
        <v>7634</v>
      </c>
      <c r="G2930" s="15" t="s">
        <v>16</v>
      </c>
    </row>
    <row r="2931" spans="1:7" hidden="1" x14ac:dyDescent="0.25">
      <c r="A2931" s="11" t="s">
        <v>7636</v>
      </c>
      <c r="B2931" s="12" t="s">
        <v>7637</v>
      </c>
      <c r="C2931" s="13">
        <v>4</v>
      </c>
      <c r="D2931" s="118" t="s">
        <v>2280</v>
      </c>
      <c r="E2931" s="12" t="s">
        <v>7638</v>
      </c>
      <c r="F2931" s="12" t="s">
        <v>7642</v>
      </c>
      <c r="G2931" s="15" t="s">
        <v>16</v>
      </c>
    </row>
    <row r="2932" spans="1:7" hidden="1" x14ac:dyDescent="0.25">
      <c r="A2932" s="11" t="s">
        <v>7644</v>
      </c>
      <c r="B2932" s="12" t="s">
        <v>7645</v>
      </c>
      <c r="C2932" s="13">
        <v>4</v>
      </c>
      <c r="D2932" s="118" t="s">
        <v>2280</v>
      </c>
      <c r="E2932" s="12" t="s">
        <v>7646</v>
      </c>
      <c r="F2932" s="12" t="s">
        <v>7650</v>
      </c>
      <c r="G2932" s="15" t="s">
        <v>16</v>
      </c>
    </row>
    <row r="2933" spans="1:7" hidden="1" x14ac:dyDescent="0.25">
      <c r="A2933" s="11" t="s">
        <v>7652</v>
      </c>
      <c r="B2933" s="12" t="s">
        <v>7653</v>
      </c>
      <c r="C2933" s="13">
        <v>4</v>
      </c>
      <c r="D2933" s="118" t="s">
        <v>2280</v>
      </c>
      <c r="E2933" s="12" t="s">
        <v>7654</v>
      </c>
      <c r="F2933" s="12" t="s">
        <v>7658</v>
      </c>
      <c r="G2933" s="15" t="s">
        <v>16</v>
      </c>
    </row>
    <row r="2934" spans="1:7" hidden="1" x14ac:dyDescent="0.25">
      <c r="A2934" s="11" t="s">
        <v>7660</v>
      </c>
      <c r="B2934" s="12" t="s">
        <v>7661</v>
      </c>
      <c r="C2934" s="13">
        <v>4</v>
      </c>
      <c r="D2934" s="118" t="s">
        <v>2280</v>
      </c>
      <c r="E2934" s="12" t="s">
        <v>7662</v>
      </c>
      <c r="F2934" s="12" t="s">
        <v>7666</v>
      </c>
      <c r="G2934" s="15" t="s">
        <v>16</v>
      </c>
    </row>
    <row r="2935" spans="1:7" hidden="1" x14ac:dyDescent="0.25">
      <c r="A2935" s="11" t="s">
        <v>7668</v>
      </c>
      <c r="B2935" s="12" t="s">
        <v>7669</v>
      </c>
      <c r="C2935" s="13">
        <v>4</v>
      </c>
      <c r="D2935" s="118" t="s">
        <v>2280</v>
      </c>
      <c r="E2935" s="12" t="s">
        <v>7670</v>
      </c>
      <c r="F2935" s="12" t="s">
        <v>7674</v>
      </c>
      <c r="G2935" s="15" t="s">
        <v>16</v>
      </c>
    </row>
    <row r="2936" spans="1:7" ht="12.75" hidden="1" thickBot="1" x14ac:dyDescent="0.3">
      <c r="A2936" s="36" t="s">
        <v>7676</v>
      </c>
      <c r="B2936" s="30" t="s">
        <v>1165</v>
      </c>
      <c r="C2936" s="13">
        <v>4</v>
      </c>
      <c r="D2936" s="159" t="s">
        <v>2280</v>
      </c>
      <c r="E2936" s="30" t="s">
        <v>7677</v>
      </c>
      <c r="F2936" s="30" t="s">
        <v>7681</v>
      </c>
      <c r="G2936" s="33" t="s">
        <v>16</v>
      </c>
    </row>
    <row r="2937" spans="1:7" hidden="1" x14ac:dyDescent="0.25">
      <c r="A2937" s="46" t="s">
        <v>7683</v>
      </c>
      <c r="B2937" s="12" t="s">
        <v>7684</v>
      </c>
      <c r="C2937" s="58">
        <v>4</v>
      </c>
      <c r="D2937" s="118" t="s">
        <v>2280</v>
      </c>
      <c r="E2937" s="12" t="s">
        <v>7685</v>
      </c>
      <c r="F2937" s="12" t="s">
        <v>7689</v>
      </c>
      <c r="G2937" s="15" t="s">
        <v>16</v>
      </c>
    </row>
    <row r="2938" spans="1:7" hidden="1" x14ac:dyDescent="0.25">
      <c r="A2938" s="46" t="s">
        <v>7691</v>
      </c>
      <c r="B2938" s="12" t="s">
        <v>5347</v>
      </c>
      <c r="C2938" s="13">
        <v>4</v>
      </c>
      <c r="D2938" s="118" t="s">
        <v>2280</v>
      </c>
      <c r="E2938" s="12" t="s">
        <v>7692</v>
      </c>
      <c r="F2938" s="12" t="s">
        <v>7696</v>
      </c>
      <c r="G2938" s="15" t="s">
        <v>16</v>
      </c>
    </row>
    <row r="2939" spans="1:7" hidden="1" x14ac:dyDescent="0.25">
      <c r="A2939" s="46" t="s">
        <v>7698</v>
      </c>
      <c r="B2939" s="12" t="s">
        <v>7699</v>
      </c>
      <c r="C2939" s="13">
        <v>4</v>
      </c>
      <c r="D2939" s="118" t="s">
        <v>2280</v>
      </c>
      <c r="E2939" s="12" t="s">
        <v>7700</v>
      </c>
      <c r="F2939" s="12" t="s">
        <v>7704</v>
      </c>
      <c r="G2939" s="15" t="s">
        <v>16</v>
      </c>
    </row>
    <row r="2940" spans="1:7" hidden="1" x14ac:dyDescent="0.25">
      <c r="A2940" s="46" t="s">
        <v>7706</v>
      </c>
      <c r="B2940" s="12" t="s">
        <v>2289</v>
      </c>
      <c r="C2940" s="13">
        <v>4</v>
      </c>
      <c r="D2940" s="118" t="s">
        <v>2280</v>
      </c>
      <c r="E2940" s="12" t="s">
        <v>7707</v>
      </c>
      <c r="F2940" s="12" t="s">
        <v>7711</v>
      </c>
      <c r="G2940" s="15" t="s">
        <v>16</v>
      </c>
    </row>
    <row r="2941" spans="1:7" hidden="1" x14ac:dyDescent="0.25">
      <c r="A2941" s="46" t="s">
        <v>7713</v>
      </c>
      <c r="B2941" s="12" t="s">
        <v>7714</v>
      </c>
      <c r="C2941" s="13">
        <v>4</v>
      </c>
      <c r="D2941" s="118" t="s">
        <v>2280</v>
      </c>
      <c r="E2941" s="12" t="s">
        <v>7715</v>
      </c>
      <c r="F2941" s="12" t="s">
        <v>7719</v>
      </c>
      <c r="G2941" s="15" t="s">
        <v>16</v>
      </c>
    </row>
    <row r="2942" spans="1:7" hidden="1" x14ac:dyDescent="0.25">
      <c r="A2942" s="46" t="s">
        <v>7721</v>
      </c>
      <c r="B2942" s="12" t="s">
        <v>5435</v>
      </c>
      <c r="C2942" s="13">
        <v>4</v>
      </c>
      <c r="D2942" s="118" t="s">
        <v>2280</v>
      </c>
      <c r="E2942" s="12" t="s">
        <v>7722</v>
      </c>
      <c r="F2942" s="12" t="s">
        <v>7726</v>
      </c>
      <c r="G2942" s="15" t="s">
        <v>16</v>
      </c>
    </row>
    <row r="2943" spans="1:7" hidden="1" x14ac:dyDescent="0.25">
      <c r="A2943" s="46" t="s">
        <v>7728</v>
      </c>
      <c r="B2943" s="12" t="s">
        <v>6703</v>
      </c>
      <c r="C2943" s="13">
        <v>4</v>
      </c>
      <c r="D2943" s="118" t="s">
        <v>2280</v>
      </c>
      <c r="E2943" s="12" t="s">
        <v>7729</v>
      </c>
      <c r="F2943" s="12" t="s">
        <v>7733</v>
      </c>
      <c r="G2943" s="15" t="s">
        <v>16</v>
      </c>
    </row>
    <row r="2944" spans="1:7" hidden="1" x14ac:dyDescent="0.25">
      <c r="A2944" s="46" t="s">
        <v>7735</v>
      </c>
      <c r="B2944" s="12" t="s">
        <v>6705</v>
      </c>
      <c r="C2944" s="13">
        <v>4</v>
      </c>
      <c r="D2944" s="118" t="s">
        <v>2280</v>
      </c>
      <c r="E2944" s="12" t="s">
        <v>7736</v>
      </c>
      <c r="F2944" s="12" t="s">
        <v>7740</v>
      </c>
      <c r="G2944" s="15" t="s">
        <v>16</v>
      </c>
    </row>
    <row r="2945" spans="1:7" ht="12.75" hidden="1" thickBot="1" x14ac:dyDescent="0.3">
      <c r="A2945" s="44" t="s">
        <v>7742</v>
      </c>
      <c r="B2945" s="30" t="s">
        <v>7743</v>
      </c>
      <c r="C2945" s="31">
        <v>4</v>
      </c>
      <c r="D2945" s="159" t="s">
        <v>2280</v>
      </c>
      <c r="E2945" s="30" t="s">
        <v>7744</v>
      </c>
      <c r="F2945" s="30" t="s">
        <v>7748</v>
      </c>
      <c r="G2945" s="33" t="s">
        <v>16</v>
      </c>
    </row>
    <row r="2946" spans="1:7" hidden="1" x14ac:dyDescent="0.25">
      <c r="A2946" s="46" t="s">
        <v>7750</v>
      </c>
      <c r="B2946" s="12" t="s">
        <v>6709</v>
      </c>
      <c r="C2946" s="13">
        <v>4</v>
      </c>
      <c r="D2946" s="118" t="s">
        <v>2280</v>
      </c>
      <c r="E2946" s="12" t="s">
        <v>7751</v>
      </c>
      <c r="F2946" s="12" t="s">
        <v>7755</v>
      </c>
      <c r="G2946" s="15" t="s">
        <v>16</v>
      </c>
    </row>
    <row r="2947" spans="1:7" hidden="1" x14ac:dyDescent="0.25">
      <c r="A2947" s="46" t="s">
        <v>7757</v>
      </c>
      <c r="B2947" s="12" t="s">
        <v>6715</v>
      </c>
      <c r="C2947" s="13">
        <v>4</v>
      </c>
      <c r="D2947" s="118" t="s">
        <v>2280</v>
      </c>
      <c r="E2947" s="12" t="s">
        <v>7758</v>
      </c>
      <c r="F2947" s="12" t="s">
        <v>7762</v>
      </c>
      <c r="G2947" s="15" t="s">
        <v>16</v>
      </c>
    </row>
    <row r="2948" spans="1:7" hidden="1" x14ac:dyDescent="0.25">
      <c r="A2948" s="46" t="s">
        <v>7764</v>
      </c>
      <c r="B2948" s="12" t="s">
        <v>7765</v>
      </c>
      <c r="C2948" s="13">
        <v>4</v>
      </c>
      <c r="D2948" s="118" t="s">
        <v>2280</v>
      </c>
      <c r="E2948" s="12" t="s">
        <v>7766</v>
      </c>
      <c r="F2948" s="12" t="s">
        <v>7770</v>
      </c>
      <c r="G2948" s="15" t="s">
        <v>16</v>
      </c>
    </row>
    <row r="2949" spans="1:7" hidden="1" x14ac:dyDescent="0.25">
      <c r="A2949" s="46" t="s">
        <v>7772</v>
      </c>
      <c r="B2949" s="12" t="s">
        <v>7773</v>
      </c>
      <c r="C2949" s="13">
        <v>4</v>
      </c>
      <c r="D2949" s="118" t="s">
        <v>2280</v>
      </c>
      <c r="E2949" s="12" t="s">
        <v>7774</v>
      </c>
      <c r="F2949" s="12" t="s">
        <v>7778</v>
      </c>
      <c r="G2949" s="15" t="s">
        <v>16</v>
      </c>
    </row>
    <row r="2950" spans="1:7" hidden="1" x14ac:dyDescent="0.25">
      <c r="A2950" s="46" t="s">
        <v>7780</v>
      </c>
      <c r="B2950" s="12" t="s">
        <v>7781</v>
      </c>
      <c r="C2950" s="13">
        <v>4</v>
      </c>
      <c r="D2950" s="118" t="s">
        <v>2280</v>
      </c>
      <c r="E2950" s="12" t="s">
        <v>7782</v>
      </c>
      <c r="F2950" s="12" t="s">
        <v>7786</v>
      </c>
      <c r="G2950" s="15" t="s">
        <v>16</v>
      </c>
    </row>
    <row r="2951" spans="1:7" hidden="1" x14ac:dyDescent="0.25">
      <c r="A2951" s="46" t="s">
        <v>7788</v>
      </c>
      <c r="B2951" s="12" t="s">
        <v>1490</v>
      </c>
      <c r="C2951" s="13">
        <v>4</v>
      </c>
      <c r="D2951" s="118" t="s">
        <v>2280</v>
      </c>
      <c r="E2951" s="12" t="s">
        <v>7789</v>
      </c>
      <c r="F2951" s="12" t="s">
        <v>7793</v>
      </c>
      <c r="G2951" s="15" t="s">
        <v>16</v>
      </c>
    </row>
    <row r="2952" spans="1:7" ht="12.75" hidden="1" thickBot="1" x14ac:dyDescent="0.3">
      <c r="A2952" s="44" t="s">
        <v>7795</v>
      </c>
      <c r="B2952" s="30" t="s">
        <v>7796</v>
      </c>
      <c r="C2952" s="31">
        <v>4</v>
      </c>
      <c r="D2952" s="159" t="s">
        <v>2280</v>
      </c>
      <c r="E2952" s="30" t="s">
        <v>7797</v>
      </c>
      <c r="F2952" s="30" t="s">
        <v>7801</v>
      </c>
      <c r="G2952" s="33" t="s">
        <v>16</v>
      </c>
    </row>
    <row r="2953" spans="1:7" hidden="1" x14ac:dyDescent="0.25">
      <c r="A2953" s="46" t="s">
        <v>7803</v>
      </c>
      <c r="B2953" s="12" t="s">
        <v>7804</v>
      </c>
      <c r="C2953" s="13">
        <v>4</v>
      </c>
      <c r="D2953" s="118" t="s">
        <v>2280</v>
      </c>
      <c r="E2953" s="12" t="s">
        <v>7805</v>
      </c>
      <c r="F2953" s="12" t="s">
        <v>7809</v>
      </c>
      <c r="G2953" s="15" t="s">
        <v>16</v>
      </c>
    </row>
    <row r="2954" spans="1:7" hidden="1" x14ac:dyDescent="0.25">
      <c r="A2954" s="46" t="s">
        <v>7811</v>
      </c>
      <c r="B2954" s="12" t="s">
        <v>7812</v>
      </c>
      <c r="C2954" s="13">
        <v>4</v>
      </c>
      <c r="D2954" s="118" t="s">
        <v>2280</v>
      </c>
      <c r="E2954" s="12" t="s">
        <v>7813</v>
      </c>
      <c r="F2954" s="12" t="s">
        <v>7817</v>
      </c>
      <c r="G2954" s="15" t="s">
        <v>16</v>
      </c>
    </row>
    <row r="2955" spans="1:7" hidden="1" x14ac:dyDescent="0.25">
      <c r="A2955" s="46" t="s">
        <v>7819</v>
      </c>
      <c r="B2955" s="12" t="s">
        <v>7820</v>
      </c>
      <c r="C2955" s="13">
        <v>4</v>
      </c>
      <c r="D2955" s="118" t="s">
        <v>2280</v>
      </c>
      <c r="E2955" s="12" t="s">
        <v>7821</v>
      </c>
      <c r="F2955" s="12" t="s">
        <v>7825</v>
      </c>
      <c r="G2955" s="15" t="s">
        <v>16</v>
      </c>
    </row>
    <row r="2956" spans="1:7" hidden="1" x14ac:dyDescent="0.25">
      <c r="A2956" s="46" t="s">
        <v>7827</v>
      </c>
      <c r="B2956" s="12" t="s">
        <v>7828</v>
      </c>
      <c r="C2956" s="13">
        <v>4</v>
      </c>
      <c r="D2956" s="118" t="s">
        <v>2280</v>
      </c>
      <c r="E2956" s="12" t="s">
        <v>7829</v>
      </c>
      <c r="F2956" s="12" t="s">
        <v>7833</v>
      </c>
      <c r="G2956" s="15" t="s">
        <v>16</v>
      </c>
    </row>
    <row r="2957" spans="1:7" hidden="1" x14ac:dyDescent="0.25">
      <c r="A2957" s="46" t="s">
        <v>7835</v>
      </c>
      <c r="B2957" s="12" t="s">
        <v>7836</v>
      </c>
      <c r="C2957" s="13">
        <v>4</v>
      </c>
      <c r="D2957" s="118" t="s">
        <v>2280</v>
      </c>
      <c r="E2957" s="12" t="s">
        <v>7837</v>
      </c>
      <c r="F2957" s="12" t="s">
        <v>7841</v>
      </c>
      <c r="G2957" s="15" t="s">
        <v>16</v>
      </c>
    </row>
    <row r="2958" spans="1:7" hidden="1" x14ac:dyDescent="0.25">
      <c r="A2958" s="46" t="s">
        <v>7843</v>
      </c>
      <c r="B2958" s="12" t="s">
        <v>7844</v>
      </c>
      <c r="C2958" s="13">
        <v>4</v>
      </c>
      <c r="D2958" s="118" t="s">
        <v>2280</v>
      </c>
      <c r="E2958" s="12" t="s">
        <v>7845</v>
      </c>
      <c r="F2958" s="12" t="s">
        <v>7849</v>
      </c>
      <c r="G2958" s="15" t="s">
        <v>16</v>
      </c>
    </row>
    <row r="2959" spans="1:7" ht="12.75" hidden="1" thickBot="1" x14ac:dyDescent="0.3">
      <c r="A2959" s="44" t="s">
        <v>7851</v>
      </c>
      <c r="B2959" s="30" t="s">
        <v>7852</v>
      </c>
      <c r="C2959" s="31">
        <v>4</v>
      </c>
      <c r="D2959" s="159" t="s">
        <v>2280</v>
      </c>
      <c r="E2959" s="30" t="s">
        <v>7853</v>
      </c>
      <c r="F2959" s="30" t="s">
        <v>7857</v>
      </c>
      <c r="G2959" s="33" t="s">
        <v>16</v>
      </c>
    </row>
    <row r="2960" spans="1:7" hidden="1" x14ac:dyDescent="0.25">
      <c r="A2960" s="46" t="s">
        <v>7859</v>
      </c>
      <c r="B2960" s="12" t="s">
        <v>7860</v>
      </c>
      <c r="C2960" s="13">
        <v>4</v>
      </c>
      <c r="D2960" s="118" t="s">
        <v>2280</v>
      </c>
      <c r="E2960" s="12" t="s">
        <v>7861</v>
      </c>
      <c r="F2960" s="12" t="s">
        <v>7865</v>
      </c>
      <c r="G2960" s="15" t="s">
        <v>16</v>
      </c>
    </row>
    <row r="2961" spans="1:7" hidden="1" x14ac:dyDescent="0.25">
      <c r="A2961" s="46" t="s">
        <v>7867</v>
      </c>
      <c r="B2961" s="12" t="s">
        <v>7868</v>
      </c>
      <c r="C2961" s="13">
        <v>4</v>
      </c>
      <c r="D2961" s="118" t="s">
        <v>2280</v>
      </c>
      <c r="E2961" s="12" t="s">
        <v>7869</v>
      </c>
      <c r="F2961" s="12" t="s">
        <v>7873</v>
      </c>
      <c r="G2961" s="15" t="s">
        <v>16</v>
      </c>
    </row>
    <row r="2962" spans="1:7" hidden="1" x14ac:dyDescent="0.25">
      <c r="A2962" s="46" t="s">
        <v>7875</v>
      </c>
      <c r="B2962" s="12" t="s">
        <v>7876</v>
      </c>
      <c r="C2962" s="13">
        <v>4</v>
      </c>
      <c r="D2962" s="118" t="s">
        <v>2280</v>
      </c>
      <c r="E2962" s="12" t="s">
        <v>7877</v>
      </c>
      <c r="F2962" s="12" t="s">
        <v>7881</v>
      </c>
      <c r="G2962" s="15" t="s">
        <v>16</v>
      </c>
    </row>
    <row r="2963" spans="1:7" hidden="1" x14ac:dyDescent="0.25">
      <c r="A2963" s="46" t="s">
        <v>7883</v>
      </c>
      <c r="B2963" s="12" t="s">
        <v>7884</v>
      </c>
      <c r="C2963" s="13">
        <v>4</v>
      </c>
      <c r="D2963" s="118" t="s">
        <v>2280</v>
      </c>
      <c r="E2963" s="12" t="s">
        <v>7885</v>
      </c>
      <c r="F2963" s="12" t="s">
        <v>7889</v>
      </c>
      <c r="G2963" s="15" t="s">
        <v>16</v>
      </c>
    </row>
    <row r="2964" spans="1:7" hidden="1" x14ac:dyDescent="0.25">
      <c r="A2964" s="46" t="s">
        <v>7891</v>
      </c>
      <c r="B2964" s="12" t="s">
        <v>7892</v>
      </c>
      <c r="C2964" s="13">
        <v>4</v>
      </c>
      <c r="D2964" s="118" t="s">
        <v>2280</v>
      </c>
      <c r="E2964" s="12" t="s">
        <v>7893</v>
      </c>
      <c r="F2964" s="12" t="s">
        <v>7897</v>
      </c>
      <c r="G2964" s="15" t="s">
        <v>16</v>
      </c>
    </row>
    <row r="2965" spans="1:7" hidden="1" x14ac:dyDescent="0.25">
      <c r="A2965" s="46" t="s">
        <v>7899</v>
      </c>
      <c r="B2965" s="12" t="s">
        <v>1373</v>
      </c>
      <c r="C2965" s="13">
        <v>4</v>
      </c>
      <c r="D2965" s="118" t="s">
        <v>2280</v>
      </c>
      <c r="E2965" s="12" t="s">
        <v>7900</v>
      </c>
      <c r="F2965" s="12" t="s">
        <v>7904</v>
      </c>
      <c r="G2965" s="15" t="s">
        <v>16</v>
      </c>
    </row>
    <row r="2966" spans="1:7" ht="12.75" hidden="1" thickBot="1" x14ac:dyDescent="0.3">
      <c r="A2966" s="44" t="s">
        <v>7906</v>
      </c>
      <c r="B2966" s="30" t="s">
        <v>1373</v>
      </c>
      <c r="C2966" s="31">
        <v>4</v>
      </c>
      <c r="D2966" s="159" t="s">
        <v>2280</v>
      </c>
      <c r="E2966" s="30" t="s">
        <v>7907</v>
      </c>
      <c r="F2966" s="30" t="s">
        <v>7911</v>
      </c>
      <c r="G2966" s="33" t="s">
        <v>16</v>
      </c>
    </row>
    <row r="2967" spans="1:7" hidden="1" x14ac:dyDescent="0.25">
      <c r="A2967" s="46" t="s">
        <v>7913</v>
      </c>
      <c r="B2967" s="12" t="s">
        <v>4003</v>
      </c>
      <c r="C2967" s="13">
        <v>4</v>
      </c>
      <c r="D2967" s="118" t="s">
        <v>1114</v>
      </c>
      <c r="E2967" s="12" t="s">
        <v>7915</v>
      </c>
      <c r="F2967" s="12" t="s">
        <v>7919</v>
      </c>
      <c r="G2967" s="15" t="s">
        <v>16</v>
      </c>
    </row>
    <row r="2968" spans="1:7" hidden="1" x14ac:dyDescent="0.25">
      <c r="A2968" s="46" t="s">
        <v>7922</v>
      </c>
      <c r="B2968" s="12" t="s">
        <v>3445</v>
      </c>
      <c r="C2968" s="13">
        <v>4</v>
      </c>
      <c r="D2968" s="118" t="s">
        <v>1114</v>
      </c>
      <c r="E2968" s="12" t="s">
        <v>7923</v>
      </c>
      <c r="F2968" s="12" t="s">
        <v>7927</v>
      </c>
      <c r="G2968" s="15" t="s">
        <v>16</v>
      </c>
    </row>
    <row r="2969" spans="1:7" hidden="1" x14ac:dyDescent="0.25">
      <c r="A2969" s="46" t="s">
        <v>7929</v>
      </c>
      <c r="B2969" s="12" t="s">
        <v>4001</v>
      </c>
      <c r="C2969" s="13">
        <v>4</v>
      </c>
      <c r="D2969" s="118" t="s">
        <v>1114</v>
      </c>
      <c r="E2969" s="12" t="s">
        <v>7930</v>
      </c>
      <c r="F2969" s="12" t="s">
        <v>7934</v>
      </c>
      <c r="G2969" s="15" t="s">
        <v>16</v>
      </c>
    </row>
    <row r="2970" spans="1:7" hidden="1" x14ac:dyDescent="0.25">
      <c r="A2970" s="46" t="s">
        <v>7936</v>
      </c>
      <c r="B2970" s="12" t="s">
        <v>5488</v>
      </c>
      <c r="C2970" s="13">
        <v>4</v>
      </c>
      <c r="D2970" s="118" t="s">
        <v>1114</v>
      </c>
      <c r="E2970" s="12" t="s">
        <v>7937</v>
      </c>
      <c r="F2970" s="12" t="s">
        <v>7941</v>
      </c>
      <c r="G2970" s="15" t="s">
        <v>16</v>
      </c>
    </row>
    <row r="2971" spans="1:7" hidden="1" x14ac:dyDescent="0.25">
      <c r="A2971" s="46" t="s">
        <v>7943</v>
      </c>
      <c r="B2971" s="12" t="s">
        <v>7944</v>
      </c>
      <c r="C2971" s="13">
        <v>4</v>
      </c>
      <c r="D2971" s="118" t="s">
        <v>1114</v>
      </c>
      <c r="E2971" s="12" t="s">
        <v>7945</v>
      </c>
      <c r="F2971" s="12" t="s">
        <v>7949</v>
      </c>
      <c r="G2971" s="15" t="s">
        <v>16</v>
      </c>
    </row>
    <row r="2972" spans="1:7" hidden="1" x14ac:dyDescent="0.25">
      <c r="A2972" s="46" t="s">
        <v>7951</v>
      </c>
      <c r="B2972" s="12" t="s">
        <v>7952</v>
      </c>
      <c r="C2972" s="13">
        <v>4</v>
      </c>
      <c r="D2972" s="118" t="s">
        <v>1114</v>
      </c>
      <c r="E2972" s="12" t="s">
        <v>7953</v>
      </c>
      <c r="F2972" s="12" t="s">
        <v>7957</v>
      </c>
      <c r="G2972" s="15" t="s">
        <v>16</v>
      </c>
    </row>
    <row r="2973" spans="1:7" ht="12.75" hidden="1" thickBot="1" x14ac:dyDescent="0.3">
      <c r="A2973" s="44" t="s">
        <v>7959</v>
      </c>
      <c r="B2973" s="30" t="s">
        <v>7960</v>
      </c>
      <c r="C2973" s="31">
        <v>4</v>
      </c>
      <c r="D2973" s="159" t="s">
        <v>1114</v>
      </c>
      <c r="E2973" s="30" t="s">
        <v>7961</v>
      </c>
      <c r="F2973" s="30" t="s">
        <v>7965</v>
      </c>
      <c r="G2973" s="33" t="s">
        <v>16</v>
      </c>
    </row>
    <row r="2974" spans="1:7" hidden="1" x14ac:dyDescent="0.25">
      <c r="A2974" s="46" t="s">
        <v>7967</v>
      </c>
      <c r="B2974" s="12" t="s">
        <v>3405</v>
      </c>
      <c r="C2974" s="13">
        <v>4</v>
      </c>
      <c r="D2974" s="118" t="s">
        <v>1114</v>
      </c>
      <c r="E2974" s="12" t="s">
        <v>7968</v>
      </c>
      <c r="F2974" s="12" t="s">
        <v>7972</v>
      </c>
      <c r="G2974" s="15" t="s">
        <v>16</v>
      </c>
    </row>
    <row r="2975" spans="1:7" hidden="1" x14ac:dyDescent="0.25">
      <c r="A2975" s="46" t="s">
        <v>7974</v>
      </c>
      <c r="B2975" s="12" t="s">
        <v>7975</v>
      </c>
      <c r="C2975" s="13">
        <v>4</v>
      </c>
      <c r="D2975" s="118" t="s">
        <v>1114</v>
      </c>
      <c r="E2975" s="12" t="s">
        <v>7976</v>
      </c>
      <c r="F2975" s="12" t="s">
        <v>7980</v>
      </c>
      <c r="G2975" s="15" t="s">
        <v>16</v>
      </c>
    </row>
    <row r="2976" spans="1:7" hidden="1" x14ac:dyDescent="0.25">
      <c r="A2976" s="46" t="s">
        <v>7982</v>
      </c>
      <c r="B2976" s="12" t="s">
        <v>3416</v>
      </c>
      <c r="C2976" s="13">
        <v>4</v>
      </c>
      <c r="D2976" s="118" t="s">
        <v>1114</v>
      </c>
      <c r="E2976" s="12" t="s">
        <v>7983</v>
      </c>
      <c r="F2976" s="12" t="s">
        <v>7987</v>
      </c>
      <c r="G2976" s="15" t="s">
        <v>16</v>
      </c>
    </row>
    <row r="2977" spans="1:9" ht="12.75" hidden="1" thickBot="1" x14ac:dyDescent="0.3">
      <c r="A2977" s="44" t="s">
        <v>7989</v>
      </c>
      <c r="B2977" s="30" t="s">
        <v>1377</v>
      </c>
      <c r="C2977" s="31">
        <v>4</v>
      </c>
      <c r="D2977" s="159" t="s">
        <v>1114</v>
      </c>
      <c r="E2977" s="30" t="s">
        <v>7990</v>
      </c>
      <c r="F2977" s="30" t="s">
        <v>7994</v>
      </c>
      <c r="G2977" s="33" t="s">
        <v>16</v>
      </c>
    </row>
    <row r="2978" spans="1:9" hidden="1" x14ac:dyDescent="0.25">
      <c r="A2978" s="56" t="s">
        <v>7996</v>
      </c>
      <c r="B2978" s="61" t="s">
        <v>5993</v>
      </c>
      <c r="C2978" s="58">
        <v>4</v>
      </c>
      <c r="D2978" s="61" t="s">
        <v>1114</v>
      </c>
      <c r="E2978" s="89" t="s">
        <v>7997</v>
      </c>
      <c r="F2978" s="61" t="s">
        <v>8001</v>
      </c>
      <c r="G2978" s="62" t="s">
        <v>16</v>
      </c>
    </row>
    <row r="2979" spans="1:9" hidden="1" x14ac:dyDescent="0.25">
      <c r="A2979" s="11" t="s">
        <v>8003</v>
      </c>
      <c r="B2979" s="12" t="s">
        <v>8004</v>
      </c>
      <c r="C2979" s="13">
        <v>4</v>
      </c>
      <c r="D2979" s="12" t="s">
        <v>1114</v>
      </c>
      <c r="E2979" s="28" t="s">
        <v>8005</v>
      </c>
      <c r="F2979" s="12" t="s">
        <v>8009</v>
      </c>
      <c r="G2979" s="15" t="s">
        <v>16</v>
      </c>
    </row>
    <row r="2980" spans="1:9" hidden="1" x14ac:dyDescent="0.25">
      <c r="A2980" s="11" t="s">
        <v>8011</v>
      </c>
      <c r="B2980" s="12" t="s">
        <v>8012</v>
      </c>
      <c r="C2980" s="13">
        <v>4</v>
      </c>
      <c r="D2980" s="12" t="s">
        <v>1114</v>
      </c>
      <c r="E2980" s="28" t="s">
        <v>8013</v>
      </c>
      <c r="F2980" s="12" t="s">
        <v>8017</v>
      </c>
      <c r="G2980" s="15" t="s">
        <v>16</v>
      </c>
    </row>
    <row r="2981" spans="1:9" hidden="1" x14ac:dyDescent="0.25">
      <c r="A2981" s="11" t="s">
        <v>8019</v>
      </c>
      <c r="B2981" s="12" t="s">
        <v>4025</v>
      </c>
      <c r="C2981" s="13">
        <v>4</v>
      </c>
      <c r="D2981" s="12" t="s">
        <v>1114</v>
      </c>
      <c r="E2981" s="28" t="s">
        <v>8020</v>
      </c>
      <c r="F2981" s="12" t="s">
        <v>8024</v>
      </c>
      <c r="G2981" s="15" t="s">
        <v>16</v>
      </c>
      <c r="I2981" s="90" t="s">
        <v>2426</v>
      </c>
    </row>
    <row r="2982" spans="1:9" hidden="1" x14ac:dyDescent="0.25">
      <c r="A2982" s="11" t="s">
        <v>8026</v>
      </c>
      <c r="B2982" s="12" t="s">
        <v>8027</v>
      </c>
      <c r="C2982" s="13">
        <v>4</v>
      </c>
      <c r="D2982" s="12" t="s">
        <v>1114</v>
      </c>
      <c r="E2982" s="28" t="s">
        <v>8028</v>
      </c>
      <c r="F2982" s="12" t="s">
        <v>8032</v>
      </c>
      <c r="G2982" s="15" t="s">
        <v>16</v>
      </c>
      <c r="I2982" s="90" t="s">
        <v>2426</v>
      </c>
    </row>
    <row r="2983" spans="1:9" hidden="1" x14ac:dyDescent="0.25">
      <c r="A2983" s="11" t="s">
        <v>8034</v>
      </c>
      <c r="B2983" s="12" t="s">
        <v>8035</v>
      </c>
      <c r="C2983" s="13">
        <v>4</v>
      </c>
      <c r="D2983" s="12" t="s">
        <v>1114</v>
      </c>
      <c r="E2983" s="28" t="s">
        <v>8036</v>
      </c>
      <c r="F2983" s="12" t="s">
        <v>8040</v>
      </c>
      <c r="G2983" s="15" t="s">
        <v>16</v>
      </c>
      <c r="I2983" s="90" t="s">
        <v>2426</v>
      </c>
    </row>
    <row r="2984" spans="1:9" hidden="1" x14ac:dyDescent="0.25">
      <c r="A2984" s="11" t="s">
        <v>8042</v>
      </c>
      <c r="B2984" s="12" t="s">
        <v>8043</v>
      </c>
      <c r="C2984" s="13">
        <v>4</v>
      </c>
      <c r="D2984" s="12" t="s">
        <v>1114</v>
      </c>
      <c r="E2984" s="28" t="s">
        <v>8044</v>
      </c>
      <c r="F2984" s="12" t="s">
        <v>8048</v>
      </c>
      <c r="G2984" s="15" t="s">
        <v>16</v>
      </c>
      <c r="I2984" s="90" t="s">
        <v>2426</v>
      </c>
    </row>
    <row r="2985" spans="1:9" hidden="1" x14ac:dyDescent="0.25">
      <c r="A2985" s="11" t="s">
        <v>8050</v>
      </c>
      <c r="B2985" s="12" t="s">
        <v>8051</v>
      </c>
      <c r="C2985" s="13">
        <v>4</v>
      </c>
      <c r="D2985" s="12" t="s">
        <v>1114</v>
      </c>
      <c r="E2985" s="28" t="s">
        <v>8052</v>
      </c>
      <c r="F2985" s="12" t="s">
        <v>8056</v>
      </c>
      <c r="G2985" s="15" t="s">
        <v>16</v>
      </c>
      <c r="I2985" s="90" t="s">
        <v>2426</v>
      </c>
    </row>
    <row r="2986" spans="1:9" hidden="1" x14ac:dyDescent="0.25">
      <c r="A2986" s="11" t="s">
        <v>8058</v>
      </c>
      <c r="B2986" s="12" t="s">
        <v>8059</v>
      </c>
      <c r="C2986" s="13">
        <v>4</v>
      </c>
      <c r="D2986" s="12" t="s">
        <v>1114</v>
      </c>
      <c r="E2986" s="28" t="s">
        <v>8060</v>
      </c>
      <c r="F2986" s="12" t="s">
        <v>8064</v>
      </c>
      <c r="G2986" s="15" t="s">
        <v>16</v>
      </c>
      <c r="I2986" s="90" t="s">
        <v>2426</v>
      </c>
    </row>
    <row r="2987" spans="1:9" hidden="1" x14ac:dyDescent="0.25">
      <c r="A2987" s="11" t="s">
        <v>8066</v>
      </c>
      <c r="B2987" s="12" t="s">
        <v>8067</v>
      </c>
      <c r="C2987" s="13">
        <v>4</v>
      </c>
      <c r="D2987" s="12" t="s">
        <v>1114</v>
      </c>
      <c r="E2987" s="28" t="s">
        <v>8068</v>
      </c>
      <c r="F2987" s="12" t="s">
        <v>8072</v>
      </c>
      <c r="G2987" s="15" t="s">
        <v>16</v>
      </c>
      <c r="I2987" s="90" t="s">
        <v>2426</v>
      </c>
    </row>
    <row r="2988" spans="1:9" hidden="1" x14ac:dyDescent="0.25">
      <c r="A2988" s="11" t="s">
        <v>8074</v>
      </c>
      <c r="B2988" s="12" t="s">
        <v>8075</v>
      </c>
      <c r="C2988" s="13">
        <v>4</v>
      </c>
      <c r="D2988" s="12" t="s">
        <v>1114</v>
      </c>
      <c r="E2988" s="28" t="s">
        <v>8076</v>
      </c>
      <c r="F2988" s="12" t="s">
        <v>8080</v>
      </c>
      <c r="G2988" s="15" t="s">
        <v>16</v>
      </c>
      <c r="I2988" s="90" t="s">
        <v>2426</v>
      </c>
    </row>
    <row r="2989" spans="1:9" hidden="1" x14ac:dyDescent="0.25">
      <c r="A2989" s="11" t="s">
        <v>8082</v>
      </c>
      <c r="B2989" s="12" t="s">
        <v>4382</v>
      </c>
      <c r="C2989" s="13">
        <v>4</v>
      </c>
      <c r="D2989" s="12" t="s">
        <v>1114</v>
      </c>
      <c r="E2989" s="28" t="s">
        <v>8083</v>
      </c>
      <c r="F2989" s="12" t="s">
        <v>8087</v>
      </c>
      <c r="G2989" s="15" t="s">
        <v>16</v>
      </c>
      <c r="I2989" s="90" t="s">
        <v>2426</v>
      </c>
    </row>
    <row r="2990" spans="1:9" hidden="1" x14ac:dyDescent="0.25">
      <c r="A2990" s="11" t="s">
        <v>8089</v>
      </c>
      <c r="B2990" s="12" t="s">
        <v>8090</v>
      </c>
      <c r="C2990" s="13">
        <v>4</v>
      </c>
      <c r="D2990" s="12" t="s">
        <v>1114</v>
      </c>
      <c r="E2990" s="28" t="s">
        <v>8091</v>
      </c>
      <c r="F2990" s="12" t="s">
        <v>8095</v>
      </c>
      <c r="G2990" s="15" t="s">
        <v>16</v>
      </c>
      <c r="I2990" s="90" t="s">
        <v>5668</v>
      </c>
    </row>
    <row r="2991" spans="1:9" hidden="1" x14ac:dyDescent="0.25">
      <c r="A2991" s="11" t="s">
        <v>8097</v>
      </c>
      <c r="B2991" s="12" t="s">
        <v>8098</v>
      </c>
      <c r="C2991" s="13">
        <v>4</v>
      </c>
      <c r="D2991" s="12" t="s">
        <v>1114</v>
      </c>
      <c r="E2991" s="28" t="s">
        <v>8099</v>
      </c>
      <c r="F2991" s="12" t="s">
        <v>8103</v>
      </c>
      <c r="G2991" s="15" t="s">
        <v>16</v>
      </c>
      <c r="I2991" s="90">
        <v>12</v>
      </c>
    </row>
    <row r="2992" spans="1:9" hidden="1" x14ac:dyDescent="0.25">
      <c r="A2992" s="11" t="s">
        <v>8105</v>
      </c>
      <c r="B2992" s="12" t="s">
        <v>79</v>
      </c>
      <c r="C2992" s="13">
        <v>4</v>
      </c>
      <c r="D2992" s="12" t="s">
        <v>1114</v>
      </c>
      <c r="E2992" s="28" t="s">
        <v>8106</v>
      </c>
      <c r="F2992" s="12" t="s">
        <v>8110</v>
      </c>
      <c r="G2992" s="15" t="s">
        <v>16</v>
      </c>
      <c r="I2992" s="90">
        <v>12</v>
      </c>
    </row>
    <row r="2993" spans="1:9" hidden="1" x14ac:dyDescent="0.25">
      <c r="A2993" s="11" t="s">
        <v>8112</v>
      </c>
      <c r="B2993" s="12" t="s">
        <v>52</v>
      </c>
      <c r="C2993" s="13">
        <v>4</v>
      </c>
      <c r="D2993" s="12" t="s">
        <v>1114</v>
      </c>
      <c r="E2993" s="28" t="s">
        <v>8113</v>
      </c>
      <c r="F2993" s="12" t="s">
        <v>8117</v>
      </c>
      <c r="G2993" s="15" t="s">
        <v>16</v>
      </c>
      <c r="I2993" s="90">
        <v>12</v>
      </c>
    </row>
    <row r="2994" spans="1:9" hidden="1" x14ac:dyDescent="0.25">
      <c r="A2994" s="11" t="s">
        <v>8119</v>
      </c>
      <c r="B2994" s="12" t="s">
        <v>8120</v>
      </c>
      <c r="C2994" s="13">
        <v>4</v>
      </c>
      <c r="D2994" s="12" t="s">
        <v>1114</v>
      </c>
      <c r="E2994" s="28" t="s">
        <v>8121</v>
      </c>
      <c r="F2994" s="12" t="s">
        <v>8125</v>
      </c>
      <c r="G2994" s="15" t="s">
        <v>16</v>
      </c>
      <c r="I2994" s="90">
        <v>12</v>
      </c>
    </row>
    <row r="2995" spans="1:9" ht="12.75" hidden="1" thickBot="1" x14ac:dyDescent="0.3">
      <c r="A2995" s="36" t="s">
        <v>8127</v>
      </c>
      <c r="B2995" s="30" t="s">
        <v>8128</v>
      </c>
      <c r="C2995" s="31">
        <v>4</v>
      </c>
      <c r="D2995" s="30" t="s">
        <v>1114</v>
      </c>
      <c r="E2995" s="32" t="s">
        <v>8129</v>
      </c>
      <c r="F2995" s="30" t="s">
        <v>8133</v>
      </c>
      <c r="G2995" s="33" t="s">
        <v>16</v>
      </c>
      <c r="I2995" s="90">
        <v>12</v>
      </c>
    </row>
    <row r="2996" spans="1:9" hidden="1" x14ac:dyDescent="0.25">
      <c r="A2996" s="56" t="s">
        <v>8135</v>
      </c>
      <c r="B2996" s="61" t="s">
        <v>8136</v>
      </c>
      <c r="C2996" s="58">
        <v>4</v>
      </c>
      <c r="D2996" s="61" t="s">
        <v>1114</v>
      </c>
      <c r="E2996" s="61" t="s">
        <v>8137</v>
      </c>
      <c r="F2996" s="61" t="s">
        <v>8141</v>
      </c>
      <c r="G2996" s="62" t="s">
        <v>16</v>
      </c>
      <c r="I2996" s="90">
        <v>12</v>
      </c>
    </row>
    <row r="2997" spans="1:9" hidden="1" x14ac:dyDescent="0.25">
      <c r="A2997" s="11" t="s">
        <v>8143</v>
      </c>
      <c r="B2997" s="12" t="s">
        <v>8144</v>
      </c>
      <c r="C2997" s="13">
        <v>4</v>
      </c>
      <c r="D2997" s="12" t="s">
        <v>1114</v>
      </c>
      <c r="E2997" s="12" t="s">
        <v>8145</v>
      </c>
      <c r="F2997" s="12" t="s">
        <v>8149</v>
      </c>
      <c r="G2997" s="15" t="s">
        <v>16</v>
      </c>
      <c r="I2997" s="90">
        <v>12</v>
      </c>
    </row>
    <row r="2998" spans="1:9" hidden="1" x14ac:dyDescent="0.25">
      <c r="A2998" s="11" t="s">
        <v>8151</v>
      </c>
      <c r="B2998" s="12" t="s">
        <v>6748</v>
      </c>
      <c r="C2998" s="13">
        <v>4</v>
      </c>
      <c r="D2998" s="12" t="s">
        <v>1114</v>
      </c>
      <c r="E2998" s="12" t="s">
        <v>8152</v>
      </c>
      <c r="F2998" s="12" t="s">
        <v>8156</v>
      </c>
      <c r="G2998" s="15" t="s">
        <v>16</v>
      </c>
      <c r="I2998" s="90">
        <v>12</v>
      </c>
    </row>
    <row r="2999" spans="1:9" hidden="1" x14ac:dyDescent="0.25">
      <c r="A2999" s="11" t="s">
        <v>8158</v>
      </c>
      <c r="B2999" s="12" t="s">
        <v>8159</v>
      </c>
      <c r="C2999" s="13">
        <v>4</v>
      </c>
      <c r="D2999" s="12" t="s">
        <v>1114</v>
      </c>
      <c r="E2999" s="12" t="s">
        <v>8160</v>
      </c>
      <c r="F2999" s="12" t="s">
        <v>8164</v>
      </c>
      <c r="G2999" s="15" t="s">
        <v>16</v>
      </c>
      <c r="I2999" s="90">
        <v>12</v>
      </c>
    </row>
    <row r="3000" spans="1:9" hidden="1" x14ac:dyDescent="0.25">
      <c r="A3000" s="11" t="s">
        <v>8166</v>
      </c>
      <c r="B3000" s="12" t="s">
        <v>8167</v>
      </c>
      <c r="C3000" s="13">
        <v>4</v>
      </c>
      <c r="D3000" s="12" t="s">
        <v>1114</v>
      </c>
      <c r="E3000" s="12" t="s">
        <v>8168</v>
      </c>
      <c r="F3000" s="12" t="s">
        <v>8172</v>
      </c>
      <c r="G3000" s="15" t="s">
        <v>16</v>
      </c>
      <c r="I3000" s="90">
        <v>12</v>
      </c>
    </row>
    <row r="3001" spans="1:9" hidden="1" x14ac:dyDescent="0.25">
      <c r="A3001" s="11" t="s">
        <v>8174</v>
      </c>
      <c r="B3001" s="12" t="s">
        <v>8175</v>
      </c>
      <c r="C3001" s="13">
        <v>4</v>
      </c>
      <c r="D3001" s="12" t="s">
        <v>1114</v>
      </c>
      <c r="E3001" s="12" t="s">
        <v>8176</v>
      </c>
      <c r="F3001" s="12" t="s">
        <v>8180</v>
      </c>
      <c r="G3001" s="15" t="s">
        <v>16</v>
      </c>
      <c r="I3001" s="90">
        <v>12</v>
      </c>
    </row>
    <row r="3002" spans="1:9" ht="12.75" hidden="1" thickBot="1" x14ac:dyDescent="0.3">
      <c r="A3002" s="36" t="s">
        <v>8182</v>
      </c>
      <c r="B3002" s="30" t="s">
        <v>6549</v>
      </c>
      <c r="C3002" s="31">
        <v>4</v>
      </c>
      <c r="D3002" s="30" t="s">
        <v>1114</v>
      </c>
      <c r="E3002" s="30" t="s">
        <v>8183</v>
      </c>
      <c r="F3002" s="30" t="s">
        <v>8187</v>
      </c>
      <c r="G3002" s="33" t="s">
        <v>16</v>
      </c>
      <c r="I3002" s="90">
        <v>12</v>
      </c>
    </row>
    <row r="3003" spans="1:9" hidden="1" x14ac:dyDescent="0.25">
      <c r="A3003" s="56" t="s">
        <v>8189</v>
      </c>
      <c r="B3003" s="61" t="s">
        <v>6551</v>
      </c>
      <c r="C3003" s="58">
        <v>4</v>
      </c>
      <c r="D3003" s="61" t="s">
        <v>1114</v>
      </c>
      <c r="E3003" s="61" t="s">
        <v>8190</v>
      </c>
      <c r="F3003" s="61" t="s">
        <v>8194</v>
      </c>
      <c r="G3003" s="62" t="s">
        <v>16</v>
      </c>
      <c r="I3003" s="90">
        <v>12</v>
      </c>
    </row>
    <row r="3004" spans="1:9" hidden="1" x14ac:dyDescent="0.25">
      <c r="A3004" s="11" t="s">
        <v>8196</v>
      </c>
      <c r="B3004" s="12" t="s">
        <v>6553</v>
      </c>
      <c r="C3004" s="13">
        <v>4</v>
      </c>
      <c r="D3004" s="12" t="s">
        <v>1114</v>
      </c>
      <c r="E3004" s="12" t="s">
        <v>8197</v>
      </c>
      <c r="F3004" s="12" t="s">
        <v>8201</v>
      </c>
      <c r="G3004" s="15" t="s">
        <v>16</v>
      </c>
      <c r="I3004" s="90">
        <v>12</v>
      </c>
    </row>
    <row r="3005" spans="1:9" hidden="1" x14ac:dyDescent="0.25">
      <c r="A3005" s="11" t="s">
        <v>8203</v>
      </c>
      <c r="B3005" s="12" t="s">
        <v>8204</v>
      </c>
      <c r="C3005" s="13">
        <v>4</v>
      </c>
      <c r="D3005" s="12" t="s">
        <v>1114</v>
      </c>
      <c r="E3005" s="12" t="s">
        <v>8205</v>
      </c>
      <c r="F3005" s="12" t="s">
        <v>8209</v>
      </c>
      <c r="G3005" s="15" t="s">
        <v>16</v>
      </c>
      <c r="I3005" s="90">
        <v>12</v>
      </c>
    </row>
    <row r="3006" spans="1:9" hidden="1" x14ac:dyDescent="0.25">
      <c r="A3006" s="11" t="s">
        <v>8211</v>
      </c>
      <c r="B3006" s="12" t="s">
        <v>481</v>
      </c>
      <c r="C3006" s="13">
        <v>4</v>
      </c>
      <c r="D3006" s="12" t="s">
        <v>1114</v>
      </c>
      <c r="E3006" s="12" t="s">
        <v>8212</v>
      </c>
      <c r="F3006" s="12" t="s">
        <v>8216</v>
      </c>
      <c r="G3006" s="15" t="s">
        <v>16</v>
      </c>
      <c r="I3006" s="99">
        <v>13</v>
      </c>
    </row>
    <row r="3007" spans="1:9" hidden="1" x14ac:dyDescent="0.25">
      <c r="A3007" s="11" t="s">
        <v>8218</v>
      </c>
      <c r="B3007" s="12" t="s">
        <v>8219</v>
      </c>
      <c r="C3007" s="13">
        <v>4</v>
      </c>
      <c r="D3007" s="12" t="s">
        <v>1114</v>
      </c>
      <c r="E3007" s="12" t="s">
        <v>8220</v>
      </c>
      <c r="F3007" s="12" t="s">
        <v>8224</v>
      </c>
      <c r="G3007" s="15" t="s">
        <v>16</v>
      </c>
      <c r="I3007" s="99">
        <v>13</v>
      </c>
    </row>
    <row r="3008" spans="1:9" hidden="1" x14ac:dyDescent="0.25">
      <c r="A3008" s="11" t="s">
        <v>8226</v>
      </c>
      <c r="B3008" s="12" t="s">
        <v>8227</v>
      </c>
      <c r="C3008" s="13">
        <v>4</v>
      </c>
      <c r="D3008" s="12" t="s">
        <v>1114</v>
      </c>
      <c r="E3008" s="12" t="s">
        <v>8228</v>
      </c>
      <c r="F3008" s="12" t="s">
        <v>8232</v>
      </c>
      <c r="G3008" s="15" t="s">
        <v>16</v>
      </c>
      <c r="I3008" s="99">
        <v>13</v>
      </c>
    </row>
    <row r="3009" spans="1:9" ht="12.75" hidden="1" thickBot="1" x14ac:dyDescent="0.3">
      <c r="A3009" s="36" t="s">
        <v>8234</v>
      </c>
      <c r="B3009" s="30" t="s">
        <v>8235</v>
      </c>
      <c r="C3009" s="31">
        <v>4</v>
      </c>
      <c r="D3009" s="30" t="s">
        <v>1114</v>
      </c>
      <c r="E3009" s="30" t="s">
        <v>8236</v>
      </c>
      <c r="F3009" s="30" t="s">
        <v>8240</v>
      </c>
      <c r="G3009" s="33" t="s">
        <v>16</v>
      </c>
      <c r="I3009" s="99">
        <v>13</v>
      </c>
    </row>
    <row r="3010" spans="1:9" hidden="1" x14ac:dyDescent="0.25">
      <c r="A3010" s="56" t="s">
        <v>8242</v>
      </c>
      <c r="B3010" s="61" t="s">
        <v>6248</v>
      </c>
      <c r="C3010" s="58">
        <v>4</v>
      </c>
      <c r="D3010" s="61" t="s">
        <v>1114</v>
      </c>
      <c r="E3010" s="61" t="s">
        <v>8243</v>
      </c>
      <c r="F3010" s="61" t="s">
        <v>8247</v>
      </c>
      <c r="G3010" s="62" t="s">
        <v>16</v>
      </c>
      <c r="I3010" s="99">
        <v>13</v>
      </c>
    </row>
    <row r="3011" spans="1:9" hidden="1" x14ac:dyDescent="0.25">
      <c r="A3011" s="11" t="s">
        <v>8249</v>
      </c>
      <c r="B3011" s="12" t="s">
        <v>8250</v>
      </c>
      <c r="C3011" s="13">
        <v>4</v>
      </c>
      <c r="D3011" s="12" t="s">
        <v>1114</v>
      </c>
      <c r="E3011" s="12" t="s">
        <v>8251</v>
      </c>
      <c r="F3011" s="12" t="s">
        <v>8255</v>
      </c>
      <c r="G3011" s="15" t="s">
        <v>16</v>
      </c>
      <c r="I3011" s="99">
        <v>13</v>
      </c>
    </row>
    <row r="3012" spans="1:9" hidden="1" x14ac:dyDescent="0.25">
      <c r="A3012" s="11" t="s">
        <v>8257</v>
      </c>
      <c r="B3012" s="12" t="s">
        <v>8258</v>
      </c>
      <c r="C3012" s="13">
        <v>4</v>
      </c>
      <c r="D3012" s="12" t="s">
        <v>1114</v>
      </c>
      <c r="E3012" s="12" t="s">
        <v>8259</v>
      </c>
      <c r="F3012" s="12" t="s">
        <v>8263</v>
      </c>
      <c r="G3012" s="15" t="s">
        <v>16</v>
      </c>
      <c r="I3012" s="99">
        <v>13</v>
      </c>
    </row>
    <row r="3013" spans="1:9" hidden="1" x14ac:dyDescent="0.25">
      <c r="A3013" s="11" t="s">
        <v>8265</v>
      </c>
      <c r="B3013" s="12" t="s">
        <v>1417</v>
      </c>
      <c r="C3013" s="13">
        <v>4</v>
      </c>
      <c r="D3013" s="12" t="s">
        <v>1114</v>
      </c>
      <c r="E3013" s="12" t="s">
        <v>8266</v>
      </c>
      <c r="F3013" s="12" t="s">
        <v>8270</v>
      </c>
      <c r="G3013" s="15" t="s">
        <v>16</v>
      </c>
      <c r="I3013" s="99">
        <v>13</v>
      </c>
    </row>
    <row r="3014" spans="1:9" hidden="1" x14ac:dyDescent="0.25">
      <c r="A3014" s="11" t="s">
        <v>8272</v>
      </c>
      <c r="B3014" s="12" t="s">
        <v>8273</v>
      </c>
      <c r="C3014" s="13">
        <v>4</v>
      </c>
      <c r="D3014" s="12" t="s">
        <v>1114</v>
      </c>
      <c r="E3014" s="12" t="s">
        <v>8274</v>
      </c>
      <c r="F3014" s="12" t="s">
        <v>8278</v>
      </c>
      <c r="G3014" s="15" t="s">
        <v>16</v>
      </c>
      <c r="I3014" s="94">
        <v>14</v>
      </c>
    </row>
    <row r="3015" spans="1:9" hidden="1" x14ac:dyDescent="0.25">
      <c r="A3015" s="11" t="s">
        <v>8280</v>
      </c>
      <c r="B3015" s="12" t="s">
        <v>906</v>
      </c>
      <c r="C3015" s="13">
        <v>4</v>
      </c>
      <c r="D3015" s="12" t="s">
        <v>1114</v>
      </c>
      <c r="E3015" s="12" t="s">
        <v>8281</v>
      </c>
      <c r="F3015" s="12" t="s">
        <v>8285</v>
      </c>
      <c r="G3015" s="15" t="s">
        <v>16</v>
      </c>
      <c r="I3015" s="9">
        <v>15</v>
      </c>
    </row>
    <row r="3016" spans="1:9" ht="12.75" hidden="1" thickBot="1" x14ac:dyDescent="0.3">
      <c r="A3016" s="36" t="s">
        <v>8287</v>
      </c>
      <c r="B3016" s="30" t="s">
        <v>908</v>
      </c>
      <c r="C3016" s="31">
        <v>4</v>
      </c>
      <c r="D3016" s="30" t="s">
        <v>1114</v>
      </c>
      <c r="E3016" s="30" t="s">
        <v>8288</v>
      </c>
      <c r="F3016" s="30" t="s">
        <v>8292</v>
      </c>
      <c r="G3016" s="33" t="s">
        <v>16</v>
      </c>
      <c r="I3016" s="9">
        <v>15</v>
      </c>
    </row>
    <row r="3017" spans="1:9" hidden="1" x14ac:dyDescent="0.25">
      <c r="A3017" s="46" t="s">
        <v>8294</v>
      </c>
      <c r="B3017" s="12" t="s">
        <v>8295</v>
      </c>
      <c r="C3017" s="13">
        <v>4</v>
      </c>
      <c r="D3017" s="12" t="s">
        <v>1114</v>
      </c>
      <c r="E3017" s="12" t="s">
        <v>8296</v>
      </c>
      <c r="F3017" s="12" t="s">
        <v>8300</v>
      </c>
      <c r="G3017" s="62" t="s">
        <v>16</v>
      </c>
      <c r="I3017" s="9">
        <v>15</v>
      </c>
    </row>
    <row r="3018" spans="1:9" hidden="1" x14ac:dyDescent="0.25">
      <c r="A3018" s="46" t="s">
        <v>8302</v>
      </c>
      <c r="B3018" s="12" t="s">
        <v>8303</v>
      </c>
      <c r="C3018" s="13">
        <v>4</v>
      </c>
      <c r="D3018" s="12" t="s">
        <v>1114</v>
      </c>
      <c r="E3018" s="12" t="s">
        <v>8304</v>
      </c>
      <c r="F3018" s="12" t="s">
        <v>8308</v>
      </c>
      <c r="G3018" s="15" t="s">
        <v>16</v>
      </c>
      <c r="I3018" s="9">
        <v>15</v>
      </c>
    </row>
    <row r="3019" spans="1:9" hidden="1" x14ac:dyDescent="0.25">
      <c r="A3019" s="46" t="s">
        <v>8310</v>
      </c>
      <c r="B3019" s="12" t="s">
        <v>1808</v>
      </c>
      <c r="C3019" s="13">
        <v>4</v>
      </c>
      <c r="D3019" s="12" t="s">
        <v>1114</v>
      </c>
      <c r="E3019" s="12" t="s">
        <v>8311</v>
      </c>
      <c r="F3019" s="12" t="s">
        <v>8315</v>
      </c>
      <c r="G3019" s="15" t="s">
        <v>16</v>
      </c>
      <c r="I3019" s="9">
        <v>15</v>
      </c>
    </row>
    <row r="3020" spans="1:9" hidden="1" x14ac:dyDescent="0.25">
      <c r="A3020" s="46" t="s">
        <v>8317</v>
      </c>
      <c r="B3020" s="12" t="s">
        <v>8318</v>
      </c>
      <c r="C3020" s="13">
        <v>4</v>
      </c>
      <c r="D3020" s="12" t="s">
        <v>1114</v>
      </c>
      <c r="E3020" s="12" t="s">
        <v>8319</v>
      </c>
      <c r="F3020" s="12" t="s">
        <v>8323</v>
      </c>
      <c r="G3020" s="15" t="s">
        <v>16</v>
      </c>
      <c r="I3020" s="9">
        <v>15</v>
      </c>
    </row>
    <row r="3021" spans="1:9" hidden="1" x14ac:dyDescent="0.25">
      <c r="A3021" s="46" t="s">
        <v>8325</v>
      </c>
      <c r="B3021" s="12" t="s">
        <v>8326</v>
      </c>
      <c r="C3021" s="13">
        <v>4</v>
      </c>
      <c r="D3021" s="12" t="s">
        <v>1114</v>
      </c>
      <c r="E3021" s="12" t="s">
        <v>8327</v>
      </c>
      <c r="F3021" s="12" t="s">
        <v>8331</v>
      </c>
      <c r="G3021" s="15" t="s">
        <v>16</v>
      </c>
      <c r="I3021" s="9">
        <v>15</v>
      </c>
    </row>
    <row r="3022" spans="1:9" hidden="1" x14ac:dyDescent="0.25">
      <c r="A3022" s="46" t="s">
        <v>8333</v>
      </c>
      <c r="B3022" s="12" t="s">
        <v>5858</v>
      </c>
      <c r="C3022" s="13">
        <v>4</v>
      </c>
      <c r="D3022" s="12" t="s">
        <v>1114</v>
      </c>
      <c r="E3022" s="12" t="s">
        <v>8334</v>
      </c>
      <c r="F3022" s="12" t="s">
        <v>8338</v>
      </c>
      <c r="G3022" s="15" t="s">
        <v>16</v>
      </c>
      <c r="I3022" s="9">
        <v>15</v>
      </c>
    </row>
    <row r="3023" spans="1:9" ht="12.75" hidden="1" thickBot="1" x14ac:dyDescent="0.3">
      <c r="A3023" s="44" t="s">
        <v>8340</v>
      </c>
      <c r="B3023" s="30" t="s">
        <v>768</v>
      </c>
      <c r="C3023" s="31">
        <v>4</v>
      </c>
      <c r="D3023" s="30" t="s">
        <v>1114</v>
      </c>
      <c r="E3023" s="30" t="s">
        <v>8341</v>
      </c>
      <c r="F3023" s="30" t="s">
        <v>8345</v>
      </c>
      <c r="G3023" s="33" t="s">
        <v>16</v>
      </c>
      <c r="I3023" s="9">
        <v>15</v>
      </c>
    </row>
    <row r="3024" spans="1:9" hidden="1" x14ac:dyDescent="0.25">
      <c r="A3024" s="56" t="s">
        <v>8347</v>
      </c>
      <c r="B3024" s="61" t="s">
        <v>770</v>
      </c>
      <c r="C3024" s="58">
        <v>4</v>
      </c>
      <c r="D3024" s="204" t="s">
        <v>1114</v>
      </c>
      <c r="E3024" s="61" t="s">
        <v>8348</v>
      </c>
      <c r="F3024" s="61" t="s">
        <v>8352</v>
      </c>
      <c r="G3024" s="62" t="s">
        <v>16</v>
      </c>
      <c r="I3024" s="9">
        <v>15</v>
      </c>
    </row>
    <row r="3025" spans="1:9" hidden="1" x14ac:dyDescent="0.25">
      <c r="A3025" s="11" t="s">
        <v>8354</v>
      </c>
      <c r="B3025" s="12" t="s">
        <v>772</v>
      </c>
      <c r="C3025" s="13">
        <v>4</v>
      </c>
      <c r="D3025" s="118" t="s">
        <v>1114</v>
      </c>
      <c r="E3025" s="12" t="s">
        <v>8355</v>
      </c>
      <c r="F3025" s="12" t="s">
        <v>8359</v>
      </c>
      <c r="G3025" s="15" t="s">
        <v>16</v>
      </c>
      <c r="I3025" s="9">
        <v>15</v>
      </c>
    </row>
    <row r="3026" spans="1:9" hidden="1" x14ac:dyDescent="0.25">
      <c r="A3026" s="11" t="s">
        <v>8361</v>
      </c>
      <c r="B3026" s="12" t="s">
        <v>8362</v>
      </c>
      <c r="C3026" s="13">
        <v>4</v>
      </c>
      <c r="D3026" s="118" t="s">
        <v>1114</v>
      </c>
      <c r="E3026" s="12" t="s">
        <v>8363</v>
      </c>
      <c r="F3026" s="12" t="s">
        <v>8367</v>
      </c>
      <c r="G3026" s="15" t="s">
        <v>16</v>
      </c>
      <c r="I3026" s="9">
        <v>15</v>
      </c>
    </row>
    <row r="3027" spans="1:9" hidden="1" x14ac:dyDescent="0.25">
      <c r="A3027" s="11" t="s">
        <v>8369</v>
      </c>
      <c r="B3027" s="12" t="s">
        <v>8370</v>
      </c>
      <c r="C3027" s="13">
        <v>4</v>
      </c>
      <c r="D3027" s="118" t="s">
        <v>1114</v>
      </c>
      <c r="E3027" s="12" t="s">
        <v>8371</v>
      </c>
      <c r="F3027" s="12" t="s">
        <v>8375</v>
      </c>
      <c r="G3027" s="15" t="s">
        <v>16</v>
      </c>
      <c r="I3027" s="9">
        <v>15</v>
      </c>
    </row>
    <row r="3028" spans="1:9" hidden="1" x14ac:dyDescent="0.25">
      <c r="A3028" s="11" t="s">
        <v>8377</v>
      </c>
      <c r="B3028" s="12" t="s">
        <v>8378</v>
      </c>
      <c r="C3028" s="13">
        <v>4</v>
      </c>
      <c r="D3028" s="118" t="s">
        <v>1114</v>
      </c>
      <c r="E3028" s="12" t="s">
        <v>8379</v>
      </c>
      <c r="F3028" s="12" t="s">
        <v>8383</v>
      </c>
      <c r="G3028" s="15" t="s">
        <v>16</v>
      </c>
      <c r="I3028" s="9">
        <v>15</v>
      </c>
    </row>
    <row r="3029" spans="1:9" hidden="1" x14ac:dyDescent="0.25">
      <c r="A3029" s="11" t="s">
        <v>8385</v>
      </c>
      <c r="B3029" s="12" t="s">
        <v>8386</v>
      </c>
      <c r="C3029" s="13">
        <v>4</v>
      </c>
      <c r="D3029" s="118" t="s">
        <v>1114</v>
      </c>
      <c r="E3029" s="12" t="s">
        <v>8387</v>
      </c>
      <c r="F3029" s="12" t="s">
        <v>8391</v>
      </c>
      <c r="G3029" s="15" t="s">
        <v>16</v>
      </c>
      <c r="I3029" s="9">
        <v>15</v>
      </c>
    </row>
    <row r="3030" spans="1:9" hidden="1" x14ac:dyDescent="0.25">
      <c r="A3030" s="11" t="s">
        <v>8393</v>
      </c>
      <c r="B3030" s="12" t="s">
        <v>8394</v>
      </c>
      <c r="C3030" s="13">
        <v>4</v>
      </c>
      <c r="D3030" s="118" t="s">
        <v>1114</v>
      </c>
      <c r="E3030" s="12" t="s">
        <v>8395</v>
      </c>
      <c r="F3030" s="12" t="s">
        <v>8399</v>
      </c>
      <c r="G3030" s="15" t="s">
        <v>16</v>
      </c>
      <c r="I3030" s="9">
        <v>15</v>
      </c>
    </row>
    <row r="3031" spans="1:9" hidden="1" x14ac:dyDescent="0.25">
      <c r="A3031" s="11" t="s">
        <v>8401</v>
      </c>
      <c r="B3031" s="12" t="s">
        <v>941</v>
      </c>
      <c r="C3031" s="13">
        <v>4</v>
      </c>
      <c r="D3031" s="118" t="s">
        <v>1114</v>
      </c>
      <c r="E3031" s="12" t="s">
        <v>8402</v>
      </c>
      <c r="F3031" s="12" t="s">
        <v>8406</v>
      </c>
      <c r="G3031" s="15" t="s">
        <v>16</v>
      </c>
      <c r="I3031" s="9">
        <v>15</v>
      </c>
    </row>
    <row r="3032" spans="1:9" hidden="1" x14ac:dyDescent="0.25">
      <c r="A3032" s="11" t="s">
        <v>8408</v>
      </c>
      <c r="B3032" s="12" t="s">
        <v>8409</v>
      </c>
      <c r="C3032" s="13">
        <v>4</v>
      </c>
      <c r="D3032" s="118" t="s">
        <v>1114</v>
      </c>
      <c r="E3032" s="12" t="s">
        <v>8410</v>
      </c>
      <c r="F3032" s="12" t="s">
        <v>8414</v>
      </c>
      <c r="G3032" s="15" t="s">
        <v>16</v>
      </c>
      <c r="I3032" s="9">
        <v>15</v>
      </c>
    </row>
    <row r="3033" spans="1:9" hidden="1" x14ac:dyDescent="0.25">
      <c r="A3033" s="11" t="s">
        <v>8416</v>
      </c>
      <c r="B3033" s="12" t="s">
        <v>955</v>
      </c>
      <c r="C3033" s="13">
        <v>4</v>
      </c>
      <c r="D3033" s="118" t="s">
        <v>1114</v>
      </c>
      <c r="E3033" s="12" t="s">
        <v>8417</v>
      </c>
      <c r="F3033" s="12" t="s">
        <v>8421</v>
      </c>
      <c r="G3033" s="15" t="s">
        <v>16</v>
      </c>
      <c r="I3033" s="9">
        <v>15</v>
      </c>
    </row>
    <row r="3034" spans="1:9" hidden="1" x14ac:dyDescent="0.25">
      <c r="A3034" s="11" t="s">
        <v>8423</v>
      </c>
      <c r="B3034" s="12" t="s">
        <v>961</v>
      </c>
      <c r="C3034" s="13">
        <v>4</v>
      </c>
      <c r="D3034" s="118" t="s">
        <v>1114</v>
      </c>
      <c r="E3034" s="12" t="s">
        <v>8424</v>
      </c>
      <c r="F3034" s="12" t="s">
        <v>8428</v>
      </c>
      <c r="G3034" s="15" t="s">
        <v>16</v>
      </c>
      <c r="I3034" s="9">
        <v>15</v>
      </c>
    </row>
    <row r="3035" spans="1:9" hidden="1" x14ac:dyDescent="0.25">
      <c r="A3035" s="11" t="s">
        <v>8430</v>
      </c>
      <c r="B3035" s="12" t="s">
        <v>963</v>
      </c>
      <c r="C3035" s="13">
        <v>4</v>
      </c>
      <c r="D3035" s="118" t="s">
        <v>1114</v>
      </c>
      <c r="E3035" s="12" t="s">
        <v>8431</v>
      </c>
      <c r="F3035" s="12" t="s">
        <v>8435</v>
      </c>
      <c r="G3035" s="15" t="s">
        <v>16</v>
      </c>
      <c r="I3035" s="9">
        <v>15</v>
      </c>
    </row>
    <row r="3036" spans="1:9" ht="12.75" hidden="1" thickBot="1" x14ac:dyDescent="0.3">
      <c r="A3036" s="36" t="s">
        <v>8437</v>
      </c>
      <c r="B3036" s="30" t="s">
        <v>8438</v>
      </c>
      <c r="C3036" s="31">
        <v>4</v>
      </c>
      <c r="D3036" s="159" t="s">
        <v>1114</v>
      </c>
      <c r="E3036" s="30" t="s">
        <v>8439</v>
      </c>
      <c r="F3036" s="30" t="s">
        <v>8443</v>
      </c>
      <c r="G3036" s="33" t="s">
        <v>16</v>
      </c>
      <c r="I3036" s="9">
        <v>15</v>
      </c>
    </row>
    <row r="3037" spans="1:9" hidden="1" x14ac:dyDescent="0.25">
      <c r="A3037" s="56" t="s">
        <v>8445</v>
      </c>
      <c r="B3037" s="61" t="s">
        <v>967</v>
      </c>
      <c r="C3037" s="58">
        <v>4</v>
      </c>
      <c r="D3037" s="204" t="s">
        <v>1114</v>
      </c>
      <c r="E3037" s="61" t="s">
        <v>8446</v>
      </c>
      <c r="F3037" s="61" t="s">
        <v>8450</v>
      </c>
      <c r="G3037" s="62" t="s">
        <v>16</v>
      </c>
      <c r="I3037" s="9">
        <v>15</v>
      </c>
    </row>
    <row r="3038" spans="1:9" hidden="1" x14ac:dyDescent="0.25">
      <c r="A3038" s="11" t="s">
        <v>8452</v>
      </c>
      <c r="B3038" s="12" t="s">
        <v>982</v>
      </c>
      <c r="C3038" s="13">
        <v>4</v>
      </c>
      <c r="D3038" s="118" t="s">
        <v>1114</v>
      </c>
      <c r="E3038" s="12" t="s">
        <v>8453</v>
      </c>
      <c r="F3038" s="12" t="s">
        <v>8457</v>
      </c>
      <c r="G3038" s="15" t="s">
        <v>16</v>
      </c>
      <c r="I3038" s="9">
        <v>15</v>
      </c>
    </row>
    <row r="3039" spans="1:9" hidden="1" x14ac:dyDescent="0.25">
      <c r="A3039" s="11" t="s">
        <v>8459</v>
      </c>
      <c r="B3039" s="12" t="s">
        <v>990</v>
      </c>
      <c r="C3039" s="13">
        <v>4</v>
      </c>
      <c r="D3039" s="118" t="s">
        <v>1114</v>
      </c>
      <c r="E3039" s="12" t="s">
        <v>8460</v>
      </c>
      <c r="F3039" s="12" t="s">
        <v>8464</v>
      </c>
      <c r="G3039" s="15" t="s">
        <v>16</v>
      </c>
      <c r="I3039" s="9">
        <v>15</v>
      </c>
    </row>
    <row r="3040" spans="1:9" hidden="1" x14ac:dyDescent="0.25">
      <c r="A3040" s="11" t="s">
        <v>8466</v>
      </c>
      <c r="B3040" s="12" t="s">
        <v>8467</v>
      </c>
      <c r="C3040" s="13">
        <v>4</v>
      </c>
      <c r="D3040" s="118" t="s">
        <v>1114</v>
      </c>
      <c r="E3040" s="12" t="s">
        <v>8468</v>
      </c>
      <c r="F3040" s="12" t="s">
        <v>8472</v>
      </c>
      <c r="G3040" s="15" t="s">
        <v>16</v>
      </c>
      <c r="I3040" s="9">
        <v>15</v>
      </c>
    </row>
    <row r="3041" spans="1:9" ht="12.75" hidden="1" thickBot="1" x14ac:dyDescent="0.3">
      <c r="A3041" s="36" t="s">
        <v>8474</v>
      </c>
      <c r="B3041" s="30" t="s">
        <v>998</v>
      </c>
      <c r="C3041" s="31">
        <v>4</v>
      </c>
      <c r="D3041" s="159" t="s">
        <v>1114</v>
      </c>
      <c r="E3041" s="30" t="s">
        <v>8475</v>
      </c>
      <c r="F3041" s="30" t="s">
        <v>8479</v>
      </c>
      <c r="G3041" s="33" t="s">
        <v>16</v>
      </c>
      <c r="I3041" s="9">
        <v>15</v>
      </c>
    </row>
    <row r="3042" spans="1:9" hidden="1" x14ac:dyDescent="0.25">
      <c r="A3042" s="56" t="s">
        <v>8481</v>
      </c>
      <c r="B3042" s="61" t="s">
        <v>1006</v>
      </c>
      <c r="C3042" s="58">
        <v>4</v>
      </c>
      <c r="D3042" s="61" t="s">
        <v>1114</v>
      </c>
      <c r="E3042" s="89" t="s">
        <v>8482</v>
      </c>
      <c r="F3042" s="61" t="s">
        <v>8486</v>
      </c>
      <c r="G3042" s="62" t="s">
        <v>16</v>
      </c>
      <c r="I3042" s="9">
        <v>15</v>
      </c>
    </row>
    <row r="3043" spans="1:9" hidden="1" x14ac:dyDescent="0.25">
      <c r="A3043" s="11" t="s">
        <v>8488</v>
      </c>
      <c r="B3043" s="12" t="s">
        <v>8489</v>
      </c>
      <c r="C3043" s="13">
        <v>4</v>
      </c>
      <c r="D3043" s="12" t="s">
        <v>1114</v>
      </c>
      <c r="E3043" s="28" t="s">
        <v>8490</v>
      </c>
      <c r="F3043" s="12" t="s">
        <v>8494</v>
      </c>
      <c r="G3043" s="15" t="s">
        <v>16</v>
      </c>
      <c r="I3043" s="9">
        <v>15</v>
      </c>
    </row>
    <row r="3044" spans="1:9" hidden="1" x14ac:dyDescent="0.25">
      <c r="A3044" s="11" t="s">
        <v>8496</v>
      </c>
      <c r="B3044" s="12" t="s">
        <v>1037</v>
      </c>
      <c r="C3044" s="13">
        <v>4</v>
      </c>
      <c r="D3044" s="12" t="s">
        <v>1114</v>
      </c>
      <c r="E3044" s="28" t="s">
        <v>8497</v>
      </c>
      <c r="F3044" s="12" t="s">
        <v>8501</v>
      </c>
      <c r="G3044" s="15" t="s">
        <v>16</v>
      </c>
      <c r="I3044" s="9">
        <v>15</v>
      </c>
    </row>
    <row r="3045" spans="1:9" hidden="1" x14ac:dyDescent="0.25">
      <c r="A3045" s="11" t="s">
        <v>8503</v>
      </c>
      <c r="B3045" s="12" t="s">
        <v>8504</v>
      </c>
      <c r="C3045" s="13">
        <v>4</v>
      </c>
      <c r="D3045" s="12" t="s">
        <v>1114</v>
      </c>
      <c r="E3045" s="28" t="s">
        <v>8505</v>
      </c>
      <c r="F3045" s="12" t="s">
        <v>8509</v>
      </c>
      <c r="G3045" s="15" t="s">
        <v>16</v>
      </c>
      <c r="I3045" s="9">
        <v>15</v>
      </c>
    </row>
    <row r="3046" spans="1:9" hidden="1" x14ac:dyDescent="0.25">
      <c r="A3046" s="11" t="s">
        <v>8511</v>
      </c>
      <c r="B3046" s="12" t="s">
        <v>8512</v>
      </c>
      <c r="C3046" s="13">
        <v>4</v>
      </c>
      <c r="D3046" s="12" t="s">
        <v>1114</v>
      </c>
      <c r="E3046" s="28" t="s">
        <v>8513</v>
      </c>
      <c r="F3046" s="12" t="s">
        <v>8517</v>
      </c>
      <c r="G3046" s="15" t="s">
        <v>16</v>
      </c>
      <c r="I3046" s="9">
        <v>15</v>
      </c>
    </row>
    <row r="3047" spans="1:9" hidden="1" x14ac:dyDescent="0.25">
      <c r="A3047" s="11" t="s">
        <v>8519</v>
      </c>
      <c r="B3047" s="12" t="s">
        <v>8520</v>
      </c>
      <c r="C3047" s="13">
        <v>4</v>
      </c>
      <c r="D3047" s="12" t="s">
        <v>1114</v>
      </c>
      <c r="E3047" s="28" t="s">
        <v>8521</v>
      </c>
      <c r="F3047" s="12" t="s">
        <v>8525</v>
      </c>
      <c r="G3047" s="15" t="s">
        <v>16</v>
      </c>
      <c r="I3047" s="9">
        <v>15</v>
      </c>
    </row>
    <row r="3048" spans="1:9" hidden="1" x14ac:dyDescent="0.25">
      <c r="A3048" s="11" t="s">
        <v>8527</v>
      </c>
      <c r="B3048" s="12" t="s">
        <v>8528</v>
      </c>
      <c r="C3048" s="13">
        <v>4</v>
      </c>
      <c r="D3048" s="12" t="s">
        <v>1114</v>
      </c>
      <c r="E3048" s="28" t="s">
        <v>8529</v>
      </c>
      <c r="F3048" s="12" t="s">
        <v>8533</v>
      </c>
      <c r="G3048" s="15" t="s">
        <v>16</v>
      </c>
      <c r="I3048" s="9">
        <v>15</v>
      </c>
    </row>
    <row r="3049" spans="1:9" hidden="1" x14ac:dyDescent="0.25">
      <c r="A3049" s="11" t="s">
        <v>8535</v>
      </c>
      <c r="B3049" s="12" t="s">
        <v>2249</v>
      </c>
      <c r="C3049" s="13">
        <v>4</v>
      </c>
      <c r="D3049" s="12" t="s">
        <v>1114</v>
      </c>
      <c r="E3049" s="28" t="s">
        <v>8536</v>
      </c>
      <c r="F3049" s="12" t="s">
        <v>8540</v>
      </c>
      <c r="G3049" s="15" t="s">
        <v>16</v>
      </c>
      <c r="I3049" s="9">
        <v>15</v>
      </c>
    </row>
    <row r="3050" spans="1:9" ht="12.75" hidden="1" thickBot="1" x14ac:dyDescent="0.3">
      <c r="A3050" s="36" t="s">
        <v>8542</v>
      </c>
      <c r="B3050" s="30" t="s">
        <v>2161</v>
      </c>
      <c r="C3050" s="31">
        <v>4</v>
      </c>
      <c r="D3050" s="30" t="s">
        <v>1114</v>
      </c>
      <c r="E3050" s="32" t="s">
        <v>8543</v>
      </c>
      <c r="F3050" s="30" t="s">
        <v>8547</v>
      </c>
      <c r="G3050" s="33" t="s">
        <v>16</v>
      </c>
      <c r="I3050" s="9">
        <v>15</v>
      </c>
    </row>
    <row r="3051" spans="1:9" hidden="1" x14ac:dyDescent="0.25">
      <c r="A3051" s="56" t="s">
        <v>8549</v>
      </c>
      <c r="B3051" s="61" t="s">
        <v>1078</v>
      </c>
      <c r="C3051" s="58">
        <v>4</v>
      </c>
      <c r="D3051" s="61" t="s">
        <v>1114</v>
      </c>
      <c r="E3051" s="89" t="s">
        <v>8550</v>
      </c>
      <c r="F3051" s="61" t="s">
        <v>8554</v>
      </c>
      <c r="G3051" s="62" t="s">
        <v>16</v>
      </c>
      <c r="I3051" s="9">
        <v>15</v>
      </c>
    </row>
    <row r="3052" spans="1:9" hidden="1" x14ac:dyDescent="0.25">
      <c r="A3052" s="11" t="s">
        <v>8556</v>
      </c>
      <c r="B3052" s="12" t="s">
        <v>1074</v>
      </c>
      <c r="C3052" s="13">
        <v>4</v>
      </c>
      <c r="D3052" s="12" t="s">
        <v>1114</v>
      </c>
      <c r="E3052" s="28" t="s">
        <v>8557</v>
      </c>
      <c r="F3052" s="12" t="s">
        <v>8561</v>
      </c>
      <c r="G3052" s="15" t="s">
        <v>16</v>
      </c>
      <c r="I3052" s="9">
        <v>15</v>
      </c>
    </row>
    <row r="3053" spans="1:9" hidden="1" x14ac:dyDescent="0.25">
      <c r="A3053" s="11" t="s">
        <v>8563</v>
      </c>
      <c r="B3053" s="12" t="s">
        <v>8564</v>
      </c>
      <c r="C3053" s="13">
        <v>4</v>
      </c>
      <c r="D3053" s="12" t="s">
        <v>1114</v>
      </c>
      <c r="E3053" s="28" t="s">
        <v>8565</v>
      </c>
      <c r="F3053" s="12" t="s">
        <v>8569</v>
      </c>
      <c r="G3053" s="15" t="s">
        <v>16</v>
      </c>
      <c r="I3053" s="9">
        <v>15</v>
      </c>
    </row>
    <row r="3054" spans="1:9" hidden="1" x14ac:dyDescent="0.25">
      <c r="A3054" s="11" t="s">
        <v>8571</v>
      </c>
      <c r="B3054" s="12" t="s">
        <v>8572</v>
      </c>
      <c r="C3054" s="13">
        <v>4</v>
      </c>
      <c r="D3054" s="12" t="s">
        <v>1114</v>
      </c>
      <c r="E3054" s="28" t="s">
        <v>8573</v>
      </c>
      <c r="F3054" s="12" t="s">
        <v>8577</v>
      </c>
      <c r="G3054" s="15" t="s">
        <v>16</v>
      </c>
      <c r="I3054" s="9">
        <v>15</v>
      </c>
    </row>
    <row r="3055" spans="1:9" hidden="1" x14ac:dyDescent="0.25">
      <c r="A3055" s="11" t="s">
        <v>8579</v>
      </c>
      <c r="B3055" s="12" t="s">
        <v>975</v>
      </c>
      <c r="C3055" s="13">
        <v>4</v>
      </c>
      <c r="D3055" s="12" t="s">
        <v>1114</v>
      </c>
      <c r="E3055" s="28" t="s">
        <v>8580</v>
      </c>
      <c r="F3055" s="12" t="s">
        <v>8584</v>
      </c>
      <c r="G3055" s="15" t="s">
        <v>16</v>
      </c>
      <c r="I3055" s="9">
        <v>15</v>
      </c>
    </row>
    <row r="3056" spans="1:9" ht="12.75" hidden="1" thickBot="1" x14ac:dyDescent="0.3">
      <c r="A3056" s="36" t="s">
        <v>8586</v>
      </c>
      <c r="B3056" s="30" t="s">
        <v>8587</v>
      </c>
      <c r="C3056" s="31">
        <v>4</v>
      </c>
      <c r="D3056" s="30" t="s">
        <v>1114</v>
      </c>
      <c r="E3056" s="32" t="s">
        <v>8588</v>
      </c>
      <c r="F3056" s="30" t="s">
        <v>8592</v>
      </c>
      <c r="G3056" s="33" t="s">
        <v>16</v>
      </c>
      <c r="I3056" s="9">
        <v>15</v>
      </c>
    </row>
    <row r="3057" spans="1:9" hidden="1" x14ac:dyDescent="0.25">
      <c r="A3057" s="56" t="s">
        <v>8594</v>
      </c>
      <c r="B3057" s="61" t="s">
        <v>8595</v>
      </c>
      <c r="C3057" s="58">
        <v>4</v>
      </c>
      <c r="D3057" s="61" t="s">
        <v>1114</v>
      </c>
      <c r="E3057" s="89" t="s">
        <v>8596</v>
      </c>
      <c r="F3057" s="61" t="s">
        <v>8600</v>
      </c>
      <c r="G3057" s="62" t="s">
        <v>16</v>
      </c>
      <c r="I3057" s="9">
        <v>15</v>
      </c>
    </row>
    <row r="3058" spans="1:9" hidden="1" x14ac:dyDescent="0.25">
      <c r="A3058" s="11" t="s">
        <v>8602</v>
      </c>
      <c r="B3058" s="12" t="s">
        <v>1814</v>
      </c>
      <c r="C3058" s="13">
        <v>4</v>
      </c>
      <c r="D3058" s="12" t="s">
        <v>1114</v>
      </c>
      <c r="E3058" s="28" t="s">
        <v>8603</v>
      </c>
      <c r="F3058" s="12" t="s">
        <v>8607</v>
      </c>
      <c r="G3058" s="15" t="s">
        <v>16</v>
      </c>
      <c r="I3058" s="9">
        <v>15</v>
      </c>
    </row>
    <row r="3059" spans="1:9" hidden="1" x14ac:dyDescent="0.25">
      <c r="A3059" s="11" t="s">
        <v>8609</v>
      </c>
      <c r="B3059" s="12" t="s">
        <v>1023</v>
      </c>
      <c r="C3059" s="13">
        <v>4</v>
      </c>
      <c r="D3059" s="12" t="s">
        <v>1114</v>
      </c>
      <c r="E3059" s="28" t="s">
        <v>8610</v>
      </c>
      <c r="F3059" s="12" t="s">
        <v>8614</v>
      </c>
      <c r="G3059" s="15" t="s">
        <v>16</v>
      </c>
      <c r="I3059" s="9">
        <v>15</v>
      </c>
    </row>
    <row r="3060" spans="1:9" hidden="1" x14ac:dyDescent="0.25">
      <c r="A3060" s="11" t="s">
        <v>8616</v>
      </c>
      <c r="B3060" s="12" t="s">
        <v>8617</v>
      </c>
      <c r="C3060" s="13">
        <v>4</v>
      </c>
      <c r="D3060" s="12" t="s">
        <v>1114</v>
      </c>
      <c r="E3060" s="28" t="s">
        <v>8618</v>
      </c>
      <c r="F3060" s="12" t="s">
        <v>8622</v>
      </c>
      <c r="G3060" s="15" t="s">
        <v>16</v>
      </c>
      <c r="I3060" s="9">
        <v>15</v>
      </c>
    </row>
    <row r="3061" spans="1:9" hidden="1" x14ac:dyDescent="0.25">
      <c r="A3061" s="11" t="s">
        <v>8624</v>
      </c>
      <c r="B3061" s="12" t="s">
        <v>8625</v>
      </c>
      <c r="C3061" s="13">
        <v>4</v>
      </c>
      <c r="D3061" s="12" t="s">
        <v>1114</v>
      </c>
      <c r="E3061" s="28" t="s">
        <v>8626</v>
      </c>
      <c r="F3061" s="12" t="s">
        <v>8630</v>
      </c>
      <c r="G3061" s="15" t="s">
        <v>16</v>
      </c>
      <c r="I3061" s="9">
        <v>15</v>
      </c>
    </row>
    <row r="3062" spans="1:9" hidden="1" x14ac:dyDescent="0.25">
      <c r="A3062" s="11" t="s">
        <v>8632</v>
      </c>
      <c r="B3062" s="12" t="s">
        <v>5979</v>
      </c>
      <c r="C3062" s="13">
        <v>4</v>
      </c>
      <c r="D3062" s="12" t="s">
        <v>1114</v>
      </c>
      <c r="E3062" s="28" t="s">
        <v>8633</v>
      </c>
      <c r="F3062" s="12" t="s">
        <v>8637</v>
      </c>
      <c r="G3062" s="15" t="s">
        <v>16</v>
      </c>
      <c r="I3062" s="9">
        <v>15</v>
      </c>
    </row>
    <row r="3063" spans="1:9" hidden="1" x14ac:dyDescent="0.2">
      <c r="A3063" s="11" t="s">
        <v>520</v>
      </c>
      <c r="B3063" s="12" t="s">
        <v>521</v>
      </c>
      <c r="C3063" s="13">
        <v>4</v>
      </c>
      <c r="D3063" s="12" t="s">
        <v>526</v>
      </c>
      <c r="E3063" s="105" t="s">
        <v>522</v>
      </c>
      <c r="F3063" s="12" t="s">
        <v>527</v>
      </c>
      <c r="G3063" s="15" t="s">
        <v>16</v>
      </c>
    </row>
    <row r="3064" spans="1:9" hidden="1" x14ac:dyDescent="0.2">
      <c r="A3064" s="11" t="s">
        <v>93</v>
      </c>
      <c r="B3064" s="12" t="s">
        <v>94</v>
      </c>
      <c r="C3064" s="13">
        <v>70</v>
      </c>
      <c r="D3064" s="14" t="s">
        <v>238</v>
      </c>
      <c r="E3064" s="28" t="s">
        <v>96</v>
      </c>
      <c r="F3064" s="12" t="s">
        <v>239</v>
      </c>
      <c r="G3064" s="15" t="s">
        <v>16</v>
      </c>
    </row>
    <row r="3065" spans="1:9" ht="12.75" hidden="1" thickBot="1" x14ac:dyDescent="0.3">
      <c r="A3065" s="36" t="s">
        <v>1313</v>
      </c>
      <c r="B3065" s="30" t="s">
        <v>1314</v>
      </c>
      <c r="C3065" s="31">
        <v>35</v>
      </c>
      <c r="D3065" s="30" t="s">
        <v>1381</v>
      </c>
      <c r="E3065" s="32" t="s">
        <v>1315</v>
      </c>
      <c r="F3065" s="30" t="s">
        <v>1382</v>
      </c>
      <c r="G3065" s="33" t="s">
        <v>16</v>
      </c>
    </row>
    <row r="3066" spans="1:9" hidden="1" x14ac:dyDescent="0.2">
      <c r="A3066" s="56" t="s">
        <v>570</v>
      </c>
      <c r="B3066" s="61" t="s">
        <v>571</v>
      </c>
      <c r="C3066" s="58">
        <v>5</v>
      </c>
      <c r="D3066" s="61" t="s">
        <v>579</v>
      </c>
      <c r="E3066" s="104" t="s">
        <v>573</v>
      </c>
      <c r="F3066" s="61" t="s">
        <v>580</v>
      </c>
      <c r="G3066" s="62" t="s">
        <v>16</v>
      </c>
      <c r="I3066" s="90">
        <v>12</v>
      </c>
    </row>
    <row r="3067" spans="1:9" hidden="1" x14ac:dyDescent="0.2">
      <c r="A3067" s="11" t="s">
        <v>916</v>
      </c>
      <c r="B3067" s="12" t="s">
        <v>917</v>
      </c>
      <c r="C3067" s="13">
        <v>5</v>
      </c>
      <c r="D3067" s="14" t="s">
        <v>579</v>
      </c>
      <c r="E3067" s="28" t="s">
        <v>918</v>
      </c>
      <c r="F3067" s="12" t="s">
        <v>923</v>
      </c>
      <c r="G3067" s="15" t="s">
        <v>16</v>
      </c>
      <c r="I3067" s="9">
        <v>15</v>
      </c>
    </row>
    <row r="3068" spans="1:9" hidden="1" x14ac:dyDescent="0.25">
      <c r="A3068" s="11" t="s">
        <v>1464</v>
      </c>
      <c r="B3068" s="12" t="s">
        <v>1465</v>
      </c>
      <c r="C3068" s="13">
        <v>19</v>
      </c>
      <c r="D3068" s="12" t="s">
        <v>1498</v>
      </c>
      <c r="E3068" s="28" t="s">
        <v>1466</v>
      </c>
      <c r="F3068" s="12" t="s">
        <v>1499</v>
      </c>
      <c r="G3068" s="15" t="s">
        <v>16</v>
      </c>
      <c r="I3068" s="94">
        <v>14</v>
      </c>
    </row>
    <row r="3069" spans="1:9" hidden="1" x14ac:dyDescent="0.25">
      <c r="A3069" s="11" t="s">
        <v>6176</v>
      </c>
      <c r="B3069" s="12" t="s">
        <v>6177</v>
      </c>
      <c r="C3069" s="13">
        <f>C3068+1</f>
        <v>20</v>
      </c>
      <c r="D3069" s="12" t="s">
        <v>6184</v>
      </c>
      <c r="E3069" s="28" t="s">
        <v>6178</v>
      </c>
      <c r="F3069" s="12" t="s">
        <v>6185</v>
      </c>
      <c r="G3069" s="15" t="s">
        <v>16</v>
      </c>
      <c r="I3069" s="90">
        <v>12</v>
      </c>
    </row>
    <row r="3070" spans="1:9" hidden="1" x14ac:dyDescent="0.25">
      <c r="A3070" s="11" t="s">
        <v>6357</v>
      </c>
      <c r="B3070" s="12" t="s">
        <v>6358</v>
      </c>
      <c r="C3070" s="13">
        <v>5</v>
      </c>
      <c r="D3070" s="12" t="s">
        <v>6365</v>
      </c>
      <c r="E3070" s="28" t="s">
        <v>6359</v>
      </c>
      <c r="F3070" s="12" t="s">
        <v>6366</v>
      </c>
      <c r="G3070" s="15" t="s">
        <v>16</v>
      </c>
      <c r="I3070" s="99">
        <v>13</v>
      </c>
    </row>
    <row r="3071" spans="1:9" hidden="1" x14ac:dyDescent="0.2">
      <c r="A3071" s="11" t="s">
        <v>6584</v>
      </c>
      <c r="B3071" s="12" t="s">
        <v>6585</v>
      </c>
      <c r="C3071" s="13">
        <v>4</v>
      </c>
      <c r="D3071" s="14" t="s">
        <v>6184</v>
      </c>
      <c r="E3071" s="28" t="s">
        <v>6586</v>
      </c>
      <c r="F3071" s="12" t="s">
        <v>6590</v>
      </c>
      <c r="G3071" s="15" t="s">
        <v>16</v>
      </c>
    </row>
    <row r="3072" spans="1:9" hidden="1" x14ac:dyDescent="0.25">
      <c r="A3072" s="11" t="s">
        <v>6678</v>
      </c>
      <c r="B3072" s="12" t="s">
        <v>6679</v>
      </c>
      <c r="C3072" s="13">
        <f>+C3071+1</f>
        <v>5</v>
      </c>
      <c r="D3072" s="12" t="s">
        <v>6184</v>
      </c>
      <c r="E3072" s="28" t="s">
        <v>6680</v>
      </c>
      <c r="F3072" s="12" t="s">
        <v>6687</v>
      </c>
      <c r="G3072" s="15" t="s">
        <v>16</v>
      </c>
    </row>
    <row r="3073" spans="1:9" hidden="1" x14ac:dyDescent="0.2">
      <c r="A3073" s="11" t="s">
        <v>93</v>
      </c>
      <c r="B3073" s="12" t="s">
        <v>94</v>
      </c>
      <c r="C3073" s="13">
        <v>31</v>
      </c>
      <c r="D3073" s="14" t="s">
        <v>159</v>
      </c>
      <c r="E3073" s="28" t="s">
        <v>96</v>
      </c>
      <c r="F3073" s="12" t="s">
        <v>160</v>
      </c>
      <c r="G3073" s="15" t="s">
        <v>16</v>
      </c>
    </row>
    <row r="3074" spans="1:9" ht="12.75" hidden="1" thickBot="1" x14ac:dyDescent="0.3">
      <c r="A3074" s="36" t="s">
        <v>1313</v>
      </c>
      <c r="B3074" s="30" t="s">
        <v>1314</v>
      </c>
      <c r="C3074" s="31">
        <v>23</v>
      </c>
      <c r="D3074" s="30" t="s">
        <v>1357</v>
      </c>
      <c r="E3074" s="32" t="s">
        <v>1315</v>
      </c>
      <c r="F3074" s="30" t="s">
        <v>1358</v>
      </c>
      <c r="G3074" s="33" t="s">
        <v>16</v>
      </c>
    </row>
    <row r="3075" spans="1:9" hidden="1" x14ac:dyDescent="0.25">
      <c r="A3075" s="56" t="s">
        <v>505</v>
      </c>
      <c r="B3075" s="61" t="s">
        <v>506</v>
      </c>
      <c r="C3075" s="58">
        <v>6</v>
      </c>
      <c r="D3075" s="61" t="s">
        <v>518</v>
      </c>
      <c r="E3075" s="89" t="s">
        <v>507</v>
      </c>
      <c r="F3075" s="61" t="s">
        <v>519</v>
      </c>
      <c r="G3075" s="62" t="s">
        <v>16</v>
      </c>
    </row>
    <row r="3076" spans="1:9" hidden="1" x14ac:dyDescent="0.25">
      <c r="A3076" s="11" t="s">
        <v>1568</v>
      </c>
      <c r="B3076" s="12" t="s">
        <v>1569</v>
      </c>
      <c r="C3076" s="13">
        <v>29</v>
      </c>
      <c r="D3076" s="12" t="s">
        <v>1629</v>
      </c>
      <c r="E3076" s="28" t="s">
        <v>1570</v>
      </c>
      <c r="F3076" s="12" t="s">
        <v>1630</v>
      </c>
      <c r="G3076" s="15" t="s">
        <v>1626</v>
      </c>
      <c r="I3076" s="94">
        <v>14</v>
      </c>
    </row>
    <row r="3077" spans="1:9" hidden="1" x14ac:dyDescent="0.2">
      <c r="A3077" s="11" t="s">
        <v>362</v>
      </c>
      <c r="B3077" s="12" t="s">
        <v>363</v>
      </c>
      <c r="C3077" s="13">
        <v>36</v>
      </c>
      <c r="D3077" s="14" t="s">
        <v>430</v>
      </c>
      <c r="E3077" s="28" t="s">
        <v>364</v>
      </c>
      <c r="F3077" s="12" t="s">
        <v>431</v>
      </c>
      <c r="G3077" s="15" t="s">
        <v>16</v>
      </c>
    </row>
    <row r="3078" spans="1:9" hidden="1" x14ac:dyDescent="0.2">
      <c r="A3078" s="11" t="s">
        <v>6531</v>
      </c>
      <c r="B3078" s="12" t="s">
        <v>6532</v>
      </c>
      <c r="C3078" s="13">
        <v>6</v>
      </c>
      <c r="D3078" s="12" t="s">
        <v>6540</v>
      </c>
      <c r="E3078" s="28" t="s">
        <v>6533</v>
      </c>
      <c r="F3078" s="12" t="s">
        <v>6541</v>
      </c>
      <c r="G3078" s="66" t="s">
        <v>16</v>
      </c>
      <c r="I3078" s="9">
        <v>15</v>
      </c>
    </row>
    <row r="3079" spans="1:9" ht="12.75" hidden="1" thickBot="1" x14ac:dyDescent="0.25">
      <c r="A3079" s="44" t="s">
        <v>537</v>
      </c>
      <c r="B3079" s="30" t="s">
        <v>538</v>
      </c>
      <c r="C3079" s="31">
        <v>7</v>
      </c>
      <c r="D3079" s="30" t="s">
        <v>550</v>
      </c>
      <c r="E3079" s="106" t="s">
        <v>539</v>
      </c>
      <c r="F3079" s="30" t="s">
        <v>551</v>
      </c>
      <c r="G3079" s="33" t="s">
        <v>16</v>
      </c>
      <c r="I3079" s="90">
        <v>12</v>
      </c>
    </row>
    <row r="3080" spans="1:9" hidden="1" x14ac:dyDescent="0.25">
      <c r="A3080" s="195" t="s">
        <v>5312</v>
      </c>
      <c r="B3080" s="196" t="s">
        <v>5313</v>
      </c>
      <c r="C3080" s="200">
        <v>3</v>
      </c>
      <c r="D3080" s="196" t="s">
        <v>5319</v>
      </c>
      <c r="E3080" s="196" t="s">
        <v>5315</v>
      </c>
      <c r="F3080" s="196" t="s">
        <v>5320</v>
      </c>
      <c r="G3080" s="160" t="s">
        <v>16</v>
      </c>
      <c r="I3080" s="99">
        <v>13</v>
      </c>
    </row>
    <row r="3081" spans="1:9" hidden="1" x14ac:dyDescent="0.25">
      <c r="A3081" s="11" t="s">
        <v>1093</v>
      </c>
      <c r="B3081" s="12" t="s">
        <v>1094</v>
      </c>
      <c r="C3081" s="13">
        <v>10</v>
      </c>
      <c r="D3081" s="22" t="s">
        <v>1112</v>
      </c>
      <c r="E3081" s="12" t="s">
        <v>1095</v>
      </c>
      <c r="F3081" s="22" t="s">
        <v>1113</v>
      </c>
      <c r="G3081" s="15" t="s">
        <v>16</v>
      </c>
      <c r="I3081" s="94">
        <v>14</v>
      </c>
    </row>
    <row r="3082" spans="1:9" hidden="1" x14ac:dyDescent="0.2">
      <c r="A3082" s="11" t="s">
        <v>2267</v>
      </c>
      <c r="B3082" s="12" t="s">
        <v>2268</v>
      </c>
      <c r="C3082" s="13">
        <v>5</v>
      </c>
      <c r="D3082" s="37" t="s">
        <v>2276</v>
      </c>
      <c r="E3082" s="12" t="s">
        <v>2269</v>
      </c>
      <c r="F3082" s="22" t="s">
        <v>2277</v>
      </c>
      <c r="G3082" s="15" t="s">
        <v>16</v>
      </c>
    </row>
    <row r="3083" spans="1:9" hidden="1" x14ac:dyDescent="0.2">
      <c r="A3083" s="11" t="s">
        <v>2291</v>
      </c>
      <c r="B3083" s="12" t="s">
        <v>2292</v>
      </c>
      <c r="C3083" s="13">
        <v>4</v>
      </c>
      <c r="D3083" s="75" t="s">
        <v>2276</v>
      </c>
      <c r="E3083" s="12" t="s">
        <v>2293</v>
      </c>
      <c r="F3083" s="22" t="s">
        <v>2297</v>
      </c>
      <c r="G3083" s="15" t="s">
        <v>16</v>
      </c>
    </row>
    <row r="3084" spans="1:9" hidden="1" x14ac:dyDescent="0.2">
      <c r="A3084" s="11" t="s">
        <v>2301</v>
      </c>
      <c r="B3084" s="12" t="s">
        <v>2302</v>
      </c>
      <c r="C3084" s="13">
        <v>6</v>
      </c>
      <c r="D3084" s="37" t="s">
        <v>2276</v>
      </c>
      <c r="E3084" s="12" t="s">
        <v>2303</v>
      </c>
      <c r="F3084" s="22" t="s">
        <v>2310</v>
      </c>
      <c r="G3084" s="15" t="s">
        <v>16</v>
      </c>
    </row>
    <row r="3085" spans="1:9" hidden="1" x14ac:dyDescent="0.2">
      <c r="A3085" s="11" t="s">
        <v>2317</v>
      </c>
      <c r="B3085" s="12" t="s">
        <v>2318</v>
      </c>
      <c r="C3085" s="13">
        <v>5</v>
      </c>
      <c r="D3085" s="37" t="s">
        <v>2276</v>
      </c>
      <c r="E3085" s="12" t="s">
        <v>2320</v>
      </c>
      <c r="F3085" s="22" t="s">
        <v>2328</v>
      </c>
      <c r="G3085" s="15" t="s">
        <v>16</v>
      </c>
    </row>
    <row r="3086" spans="1:9" ht="12.75" hidden="1" thickBot="1" x14ac:dyDescent="0.25">
      <c r="A3086" s="36" t="s">
        <v>2337</v>
      </c>
      <c r="B3086" s="30" t="s">
        <v>2338</v>
      </c>
      <c r="C3086" s="31">
        <v>7</v>
      </c>
      <c r="D3086" s="63" t="s">
        <v>2276</v>
      </c>
      <c r="E3086" s="30" t="s">
        <v>2339</v>
      </c>
      <c r="F3086" s="4" t="s">
        <v>2350</v>
      </c>
      <c r="G3086" s="33" t="s">
        <v>16</v>
      </c>
    </row>
    <row r="3087" spans="1:9" hidden="1" x14ac:dyDescent="0.2">
      <c r="A3087" s="56" t="s">
        <v>2382</v>
      </c>
      <c r="B3087" s="61" t="s">
        <v>2383</v>
      </c>
      <c r="C3087" s="58">
        <v>4</v>
      </c>
      <c r="D3087" s="103" t="s">
        <v>2276</v>
      </c>
      <c r="E3087" s="61" t="s">
        <v>2384</v>
      </c>
      <c r="F3087" s="17" t="s">
        <v>2388</v>
      </c>
      <c r="G3087" s="62" t="s">
        <v>16</v>
      </c>
    </row>
    <row r="3088" spans="1:9" hidden="1" x14ac:dyDescent="0.2">
      <c r="A3088" s="11" t="s">
        <v>2393</v>
      </c>
      <c r="B3088" s="12" t="s">
        <v>2394</v>
      </c>
      <c r="C3088" s="13">
        <v>3</v>
      </c>
      <c r="D3088" s="37" t="s">
        <v>2276</v>
      </c>
      <c r="E3088" s="12" t="s">
        <v>2395</v>
      </c>
      <c r="F3088" s="22" t="s">
        <v>2399</v>
      </c>
      <c r="G3088" s="15" t="s">
        <v>16</v>
      </c>
    </row>
    <row r="3089" spans="1:9" hidden="1" x14ac:dyDescent="0.2">
      <c r="A3089" s="11" t="s">
        <v>2404</v>
      </c>
      <c r="B3089" s="12" t="s">
        <v>2405</v>
      </c>
      <c r="C3089" s="13">
        <v>3</v>
      </c>
      <c r="D3089" s="37" t="s">
        <v>2276</v>
      </c>
      <c r="E3089" s="8" t="s">
        <v>2407</v>
      </c>
      <c r="F3089" s="22" t="s">
        <v>2411</v>
      </c>
      <c r="G3089" s="15" t="s">
        <v>16</v>
      </c>
    </row>
    <row r="3090" spans="1:9" hidden="1" x14ac:dyDescent="0.2">
      <c r="A3090" s="11" t="s">
        <v>4701</v>
      </c>
      <c r="B3090" s="12" t="s">
        <v>2737</v>
      </c>
      <c r="C3090" s="13">
        <v>3</v>
      </c>
      <c r="D3090" s="42" t="s">
        <v>1112</v>
      </c>
      <c r="E3090" s="65" t="s">
        <v>4702</v>
      </c>
      <c r="F3090" s="75" t="s">
        <v>4706</v>
      </c>
      <c r="G3090" s="66" t="s">
        <v>16</v>
      </c>
    </row>
    <row r="3091" spans="1:9" hidden="1" x14ac:dyDescent="0.2">
      <c r="A3091" s="11" t="s">
        <v>4711</v>
      </c>
      <c r="B3091" s="12" t="s">
        <v>2739</v>
      </c>
      <c r="C3091" s="13">
        <v>3</v>
      </c>
      <c r="D3091" s="42" t="s">
        <v>1112</v>
      </c>
      <c r="E3091" s="65" t="s">
        <v>4712</v>
      </c>
      <c r="F3091" s="75" t="s">
        <v>4716</v>
      </c>
      <c r="G3091" s="66" t="s">
        <v>16</v>
      </c>
    </row>
    <row r="3092" spans="1:9" hidden="1" x14ac:dyDescent="0.2">
      <c r="A3092" s="11" t="s">
        <v>4721</v>
      </c>
      <c r="B3092" s="12" t="s">
        <v>2741</v>
      </c>
      <c r="C3092" s="13">
        <v>3</v>
      </c>
      <c r="D3092" s="42" t="s">
        <v>1112</v>
      </c>
      <c r="E3092" s="65" t="s">
        <v>4722</v>
      </c>
      <c r="F3092" s="75" t="s">
        <v>4726</v>
      </c>
      <c r="G3092" s="66" t="s">
        <v>16</v>
      </c>
    </row>
    <row r="3093" spans="1:9" ht="12.75" hidden="1" thickBot="1" x14ac:dyDescent="0.25">
      <c r="A3093" s="36" t="s">
        <v>4731</v>
      </c>
      <c r="B3093" s="30" t="s">
        <v>4732</v>
      </c>
      <c r="C3093" s="31">
        <v>3</v>
      </c>
      <c r="D3093" s="220" t="s">
        <v>1112</v>
      </c>
      <c r="E3093" s="67" t="s">
        <v>4733</v>
      </c>
      <c r="F3093" s="64" t="s">
        <v>4737</v>
      </c>
      <c r="G3093" s="68" t="s">
        <v>16</v>
      </c>
    </row>
    <row r="3094" spans="1:9" hidden="1" x14ac:dyDescent="0.2">
      <c r="A3094" s="11" t="s">
        <v>5159</v>
      </c>
      <c r="B3094" s="12" t="s">
        <v>5160</v>
      </c>
      <c r="C3094" s="13">
        <v>3</v>
      </c>
      <c r="D3094" s="42" t="s">
        <v>1112</v>
      </c>
      <c r="E3094" s="12" t="s">
        <v>5161</v>
      </c>
      <c r="F3094" s="75" t="s">
        <v>5165</v>
      </c>
      <c r="G3094" s="66" t="s">
        <v>16</v>
      </c>
    </row>
    <row r="3095" spans="1:9" hidden="1" x14ac:dyDescent="0.2">
      <c r="A3095" s="11" t="s">
        <v>5174</v>
      </c>
      <c r="B3095" s="12" t="s">
        <v>5175</v>
      </c>
      <c r="C3095" s="13">
        <v>3</v>
      </c>
      <c r="D3095" s="42" t="s">
        <v>1112</v>
      </c>
      <c r="E3095" s="12" t="s">
        <v>5176</v>
      </c>
      <c r="F3095" s="75" t="s">
        <v>5180</v>
      </c>
      <c r="G3095" s="66" t="s">
        <v>16</v>
      </c>
    </row>
    <row r="3096" spans="1:9" hidden="1" x14ac:dyDescent="0.2">
      <c r="A3096" s="11" t="s">
        <v>5190</v>
      </c>
      <c r="B3096" s="12" t="s">
        <v>5191</v>
      </c>
      <c r="C3096" s="13">
        <v>3</v>
      </c>
      <c r="D3096" s="42" t="s">
        <v>1112</v>
      </c>
      <c r="E3096" s="12" t="s">
        <v>5192</v>
      </c>
      <c r="F3096" s="75" t="s">
        <v>5196</v>
      </c>
      <c r="G3096" s="66" t="s">
        <v>16</v>
      </c>
    </row>
    <row r="3097" spans="1:9" hidden="1" x14ac:dyDescent="0.2">
      <c r="A3097" s="11" t="s">
        <v>5202</v>
      </c>
      <c r="B3097" s="12" t="s">
        <v>5203</v>
      </c>
      <c r="C3097" s="13">
        <v>3</v>
      </c>
      <c r="D3097" s="42" t="s">
        <v>1112</v>
      </c>
      <c r="E3097" s="12" t="s">
        <v>5204</v>
      </c>
      <c r="F3097" s="75" t="s">
        <v>5208</v>
      </c>
      <c r="G3097" s="66" t="s">
        <v>16</v>
      </c>
    </row>
    <row r="3098" spans="1:9" hidden="1" x14ac:dyDescent="0.2">
      <c r="A3098" s="11" t="s">
        <v>5214</v>
      </c>
      <c r="B3098" s="12" t="s">
        <v>5215</v>
      </c>
      <c r="C3098" s="13">
        <v>3</v>
      </c>
      <c r="D3098" s="42" t="s">
        <v>1112</v>
      </c>
      <c r="E3098" s="12" t="s">
        <v>5216</v>
      </c>
      <c r="F3098" s="75" t="s">
        <v>5220</v>
      </c>
      <c r="G3098" s="66" t="s">
        <v>16</v>
      </c>
    </row>
    <row r="3099" spans="1:9" hidden="1" x14ac:dyDescent="0.2">
      <c r="A3099" s="11" t="s">
        <v>5226</v>
      </c>
      <c r="B3099" s="12" t="s">
        <v>5227</v>
      </c>
      <c r="C3099" s="13">
        <v>3</v>
      </c>
      <c r="D3099" s="42" t="s">
        <v>1112</v>
      </c>
      <c r="E3099" s="12" t="s">
        <v>5228</v>
      </c>
      <c r="F3099" s="75" t="s">
        <v>5231</v>
      </c>
      <c r="G3099" s="66" t="s">
        <v>16</v>
      </c>
    </row>
    <row r="3100" spans="1:9" ht="12.75" hidden="1" thickBot="1" x14ac:dyDescent="0.25">
      <c r="A3100" s="36" t="s">
        <v>5277</v>
      </c>
      <c r="B3100" s="30" t="s">
        <v>5278</v>
      </c>
      <c r="C3100" s="31">
        <v>3</v>
      </c>
      <c r="D3100" s="4" t="s">
        <v>1112</v>
      </c>
      <c r="E3100" s="30" t="s">
        <v>5279</v>
      </c>
      <c r="F3100" s="64" t="s">
        <v>5283</v>
      </c>
      <c r="G3100" s="68" t="s">
        <v>16</v>
      </c>
    </row>
    <row r="3101" spans="1:9" hidden="1" x14ac:dyDescent="0.2">
      <c r="A3101" s="11" t="s">
        <v>5290</v>
      </c>
      <c r="B3101" s="12" t="s">
        <v>5291</v>
      </c>
      <c r="C3101" s="13">
        <v>3</v>
      </c>
      <c r="D3101" s="22" t="s">
        <v>1112</v>
      </c>
      <c r="E3101" s="12" t="s">
        <v>5292</v>
      </c>
      <c r="F3101" s="75" t="s">
        <v>5296</v>
      </c>
      <c r="G3101" s="66" t="s">
        <v>16</v>
      </c>
    </row>
    <row r="3102" spans="1:9" hidden="1" x14ac:dyDescent="0.2">
      <c r="A3102" s="11" t="s">
        <v>5301</v>
      </c>
      <c r="B3102" s="12" t="s">
        <v>5302</v>
      </c>
      <c r="C3102" s="13">
        <v>3</v>
      </c>
      <c r="D3102" s="22" t="s">
        <v>1112</v>
      </c>
      <c r="E3102" s="12" t="s">
        <v>5303</v>
      </c>
      <c r="F3102" s="75" t="s">
        <v>5307</v>
      </c>
      <c r="G3102" s="66" t="s">
        <v>16</v>
      </c>
      <c r="I3102" s="90">
        <v>12</v>
      </c>
    </row>
    <row r="3103" spans="1:9" hidden="1" x14ac:dyDescent="0.2">
      <c r="A3103" s="11" t="s">
        <v>5355</v>
      </c>
      <c r="B3103" s="12" t="s">
        <v>5356</v>
      </c>
      <c r="C3103" s="13">
        <v>3</v>
      </c>
      <c r="D3103" s="41" t="s">
        <v>1112</v>
      </c>
      <c r="E3103" s="41" t="s">
        <v>5357</v>
      </c>
      <c r="F3103" s="65" t="s">
        <v>5360</v>
      </c>
      <c r="G3103" s="66" t="s">
        <v>16</v>
      </c>
    </row>
    <row r="3104" spans="1:9" hidden="1" x14ac:dyDescent="0.25">
      <c r="A3104" s="11" t="s">
        <v>5395</v>
      </c>
      <c r="B3104" s="12" t="s">
        <v>5396</v>
      </c>
      <c r="C3104" s="13">
        <v>5</v>
      </c>
      <c r="D3104" s="22" t="s">
        <v>2276</v>
      </c>
      <c r="E3104" s="12" t="s">
        <v>5397</v>
      </c>
      <c r="F3104" s="22" t="s">
        <v>5405</v>
      </c>
      <c r="G3104" s="15" t="s">
        <v>16</v>
      </c>
    </row>
    <row r="3105" spans="1:27" ht="12.75" hidden="1" thickBot="1" x14ac:dyDescent="0.25">
      <c r="A3105" s="36" t="s">
        <v>5439</v>
      </c>
      <c r="B3105" s="30" t="s">
        <v>5440</v>
      </c>
      <c r="C3105" s="31">
        <v>5</v>
      </c>
      <c r="D3105" s="4" t="s">
        <v>2276</v>
      </c>
      <c r="E3105" s="30" t="s">
        <v>5441</v>
      </c>
      <c r="F3105" s="64" t="s">
        <v>5449</v>
      </c>
      <c r="G3105" s="33" t="s">
        <v>16</v>
      </c>
    </row>
    <row r="3106" spans="1:27" hidden="1" x14ac:dyDescent="0.2">
      <c r="A3106" s="56" t="s">
        <v>5469</v>
      </c>
      <c r="B3106" s="61" t="s">
        <v>5470</v>
      </c>
      <c r="C3106" s="58">
        <v>4</v>
      </c>
      <c r="D3106" s="165" t="s">
        <v>1112</v>
      </c>
      <c r="E3106" s="17" t="s">
        <v>5471</v>
      </c>
      <c r="F3106" s="128" t="s">
        <v>5477</v>
      </c>
      <c r="G3106" s="20" t="s">
        <v>16</v>
      </c>
    </row>
    <row r="3107" spans="1:27" hidden="1" x14ac:dyDescent="0.2">
      <c r="A3107" s="11" t="s">
        <v>5482</v>
      </c>
      <c r="B3107" s="12" t="s">
        <v>5483</v>
      </c>
      <c r="C3107" s="13">
        <v>2</v>
      </c>
      <c r="D3107" s="166" t="s">
        <v>2276</v>
      </c>
      <c r="E3107" s="12" t="s">
        <v>5484</v>
      </c>
      <c r="F3107" s="75" t="s">
        <v>5486</v>
      </c>
      <c r="G3107" s="15" t="s">
        <v>16</v>
      </c>
    </row>
    <row r="3108" spans="1:27" hidden="1" x14ac:dyDescent="0.2">
      <c r="A3108" s="11" t="s">
        <v>5492</v>
      </c>
      <c r="B3108" s="12" t="s">
        <v>5493</v>
      </c>
      <c r="C3108" s="13">
        <v>3</v>
      </c>
      <c r="D3108" s="166" t="s">
        <v>2276</v>
      </c>
      <c r="E3108" s="12" t="s">
        <v>5494</v>
      </c>
      <c r="F3108" s="75" t="s">
        <v>5498</v>
      </c>
      <c r="G3108" s="15" t="s">
        <v>16</v>
      </c>
      <c r="I3108" s="90">
        <v>12</v>
      </c>
    </row>
    <row r="3109" spans="1:27" hidden="1" x14ac:dyDescent="0.25">
      <c r="A3109" s="11" t="s">
        <v>5619</v>
      </c>
      <c r="B3109" s="12" t="s">
        <v>5620</v>
      </c>
      <c r="C3109" s="13">
        <v>4</v>
      </c>
      <c r="D3109" s="22" t="s">
        <v>2276</v>
      </c>
      <c r="E3109" s="22" t="s">
        <v>5621</v>
      </c>
      <c r="F3109" s="22" t="s">
        <v>5625</v>
      </c>
      <c r="G3109" s="26" t="s">
        <v>16</v>
      </c>
    </row>
    <row r="3110" spans="1:27" ht="12.75" hidden="1" thickBot="1" x14ac:dyDescent="0.3">
      <c r="A3110" s="36" t="s">
        <v>6286</v>
      </c>
      <c r="B3110" s="30" t="s">
        <v>6287</v>
      </c>
      <c r="C3110" s="31">
        <f>C3109+1</f>
        <v>5</v>
      </c>
      <c r="D3110" s="4" t="s">
        <v>1112</v>
      </c>
      <c r="E3110" s="30" t="s">
        <v>6288</v>
      </c>
      <c r="F3110" s="4" t="s">
        <v>6293</v>
      </c>
      <c r="G3110" s="33" t="s">
        <v>16</v>
      </c>
      <c r="I3110" s="90">
        <v>12</v>
      </c>
    </row>
    <row r="3111" spans="1:27" hidden="1" x14ac:dyDescent="0.25">
      <c r="A3111" s="56" t="s">
        <v>6408</v>
      </c>
      <c r="B3111" s="61" t="s">
        <v>6409</v>
      </c>
      <c r="C3111" s="58">
        <v>3</v>
      </c>
      <c r="D3111" s="17" t="s">
        <v>1112</v>
      </c>
      <c r="E3111" s="61" t="s">
        <v>6410</v>
      </c>
      <c r="F3111" s="17" t="s">
        <v>6413</v>
      </c>
      <c r="G3111" s="62" t="s">
        <v>282</v>
      </c>
      <c r="I3111" s="101" t="s">
        <v>5818</v>
      </c>
    </row>
    <row r="3112" spans="1:27" hidden="1" x14ac:dyDescent="0.2">
      <c r="A3112" s="11" t="s">
        <v>6645</v>
      </c>
      <c r="B3112" s="12" t="s">
        <v>6646</v>
      </c>
      <c r="C3112" s="13">
        <f>+C3111+1</f>
        <v>4</v>
      </c>
      <c r="D3112" s="37" t="s">
        <v>1112</v>
      </c>
      <c r="E3112" s="12" t="s">
        <v>6647</v>
      </c>
      <c r="F3112" s="22" t="s">
        <v>6653</v>
      </c>
      <c r="G3112" s="15" t="s">
        <v>16</v>
      </c>
    </row>
    <row r="3113" spans="1:27" ht="12.75" hidden="1" thickBot="1" x14ac:dyDescent="0.25">
      <c r="A3113" s="36" t="s">
        <v>6811</v>
      </c>
      <c r="B3113" s="30" t="s">
        <v>6812</v>
      </c>
      <c r="C3113" s="31">
        <v>5</v>
      </c>
      <c r="D3113" s="6" t="s">
        <v>2276</v>
      </c>
      <c r="E3113" s="30" t="s">
        <v>6813</v>
      </c>
      <c r="F3113" s="4" t="s">
        <v>6819</v>
      </c>
      <c r="G3113" s="33" t="s">
        <v>16</v>
      </c>
    </row>
    <row r="3114" spans="1:27" hidden="1" x14ac:dyDescent="0.2">
      <c r="A3114" s="56" t="s">
        <v>6843</v>
      </c>
      <c r="B3114" s="61" t="s">
        <v>6844</v>
      </c>
      <c r="C3114" s="58">
        <v>4</v>
      </c>
      <c r="D3114" s="103" t="s">
        <v>2276</v>
      </c>
      <c r="E3114" s="61" t="s">
        <v>6845</v>
      </c>
      <c r="F3114" s="17" t="s">
        <v>6850</v>
      </c>
      <c r="G3114" s="62" t="s">
        <v>16</v>
      </c>
    </row>
    <row r="3115" spans="1:27" hidden="1" x14ac:dyDescent="0.2">
      <c r="A3115" s="11" t="s">
        <v>6862</v>
      </c>
      <c r="B3115" s="12" t="s">
        <v>6863</v>
      </c>
      <c r="C3115" s="13">
        <v>3</v>
      </c>
      <c r="D3115" s="37" t="s">
        <v>2276</v>
      </c>
      <c r="E3115" s="12" t="s">
        <v>6864</v>
      </c>
      <c r="F3115" s="22" t="s">
        <v>6868</v>
      </c>
      <c r="G3115" s="15" t="s">
        <v>16</v>
      </c>
    </row>
    <row r="3116" spans="1:27" hidden="1" x14ac:dyDescent="0.2">
      <c r="A3116" s="11" t="s">
        <v>6880</v>
      </c>
      <c r="B3116" s="12" t="s">
        <v>6881</v>
      </c>
      <c r="C3116" s="13">
        <v>3</v>
      </c>
      <c r="D3116" s="37" t="s">
        <v>2276</v>
      </c>
      <c r="E3116" s="12" t="s">
        <v>6882</v>
      </c>
      <c r="F3116" s="22" t="s">
        <v>6886</v>
      </c>
      <c r="G3116" s="15" t="s">
        <v>16</v>
      </c>
    </row>
    <row r="3117" spans="1:27" hidden="1" x14ac:dyDescent="0.2">
      <c r="A3117" s="11" t="s">
        <v>6936</v>
      </c>
      <c r="B3117" s="12" t="s">
        <v>6937</v>
      </c>
      <c r="C3117" s="13">
        <v>3</v>
      </c>
      <c r="D3117" s="37" t="s">
        <v>2276</v>
      </c>
      <c r="E3117" s="12" t="s">
        <v>6938</v>
      </c>
      <c r="F3117" s="22" t="s">
        <v>6941</v>
      </c>
      <c r="G3117" s="15" t="s">
        <v>16</v>
      </c>
    </row>
    <row r="3118" spans="1:27" hidden="1" x14ac:dyDescent="0.2">
      <c r="A3118" s="11" t="s">
        <v>6958</v>
      </c>
      <c r="B3118" s="12" t="s">
        <v>6959</v>
      </c>
      <c r="C3118" s="13">
        <v>4</v>
      </c>
      <c r="D3118" s="37" t="s">
        <v>2276</v>
      </c>
      <c r="E3118" s="12" t="s">
        <v>6960</v>
      </c>
      <c r="F3118" s="22" t="s">
        <v>6964</v>
      </c>
      <c r="G3118" s="15" t="s">
        <v>16</v>
      </c>
    </row>
    <row r="3119" spans="1:27" s="10" customFormat="1" hidden="1" x14ac:dyDescent="0.25">
      <c r="A3119" s="56" t="s">
        <v>7028</v>
      </c>
      <c r="B3119" s="61" t="s">
        <v>10</v>
      </c>
      <c r="C3119" s="58">
        <v>3</v>
      </c>
      <c r="D3119" s="204" t="s">
        <v>1112</v>
      </c>
      <c r="E3119" s="61" t="s">
        <v>7030</v>
      </c>
      <c r="F3119" s="61" t="s">
        <v>7034</v>
      </c>
      <c r="G3119" s="62" t="s">
        <v>16</v>
      </c>
      <c r="H3119" s="8"/>
      <c r="I3119" s="90"/>
      <c r="J3119" s="8"/>
      <c r="K3119" s="8"/>
      <c r="L3119" s="8"/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  <c r="AA3119" s="8"/>
    </row>
    <row r="3120" spans="1:27" s="10" customFormat="1" hidden="1" x14ac:dyDescent="0.25">
      <c r="A3120" s="11" t="s">
        <v>7037</v>
      </c>
      <c r="B3120" s="12" t="s">
        <v>7038</v>
      </c>
      <c r="C3120" s="13">
        <v>3</v>
      </c>
      <c r="D3120" s="118" t="s">
        <v>1112</v>
      </c>
      <c r="E3120" s="12" t="s">
        <v>7039</v>
      </c>
      <c r="F3120" s="12" t="s">
        <v>7042</v>
      </c>
      <c r="G3120" s="15" t="s">
        <v>16</v>
      </c>
      <c r="H3120" s="8"/>
      <c r="I3120" s="90"/>
      <c r="J3120" s="8"/>
      <c r="K3120" s="8"/>
      <c r="L3120" s="8"/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  <c r="AA3120" s="8"/>
    </row>
    <row r="3121" spans="1:27" s="10" customFormat="1" hidden="1" x14ac:dyDescent="0.25">
      <c r="A3121" s="11" t="s">
        <v>7045</v>
      </c>
      <c r="B3121" s="12" t="s">
        <v>372</v>
      </c>
      <c r="C3121" s="13">
        <v>3</v>
      </c>
      <c r="D3121" s="118" t="s">
        <v>1112</v>
      </c>
      <c r="E3121" s="12" t="s">
        <v>7046</v>
      </c>
      <c r="F3121" s="12" t="s">
        <v>7049</v>
      </c>
      <c r="G3121" s="15" t="s">
        <v>16</v>
      </c>
      <c r="H3121" s="8"/>
      <c r="I3121" s="90"/>
      <c r="J3121" s="8"/>
      <c r="K3121" s="8"/>
      <c r="L3121" s="8"/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8"/>
      <c r="X3121" s="8"/>
      <c r="Y3121" s="8"/>
      <c r="Z3121" s="8"/>
      <c r="AA3121" s="8"/>
    </row>
    <row r="3122" spans="1:27" s="10" customFormat="1" hidden="1" x14ac:dyDescent="0.25">
      <c r="A3122" s="11" t="s">
        <v>7052</v>
      </c>
      <c r="B3122" s="12" t="s">
        <v>390</v>
      </c>
      <c r="C3122" s="13">
        <v>3</v>
      </c>
      <c r="D3122" s="118" t="s">
        <v>1112</v>
      </c>
      <c r="E3122" s="12" t="s">
        <v>7053</v>
      </c>
      <c r="F3122" s="12" t="s">
        <v>7056</v>
      </c>
      <c r="G3122" s="15" t="s">
        <v>16</v>
      </c>
      <c r="H3122" s="8"/>
      <c r="I3122" s="90"/>
      <c r="J3122" s="8"/>
      <c r="K3122" s="8"/>
      <c r="L3122" s="8"/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  <c r="X3122" s="8"/>
      <c r="Y3122" s="8"/>
      <c r="Z3122" s="8"/>
      <c r="AA3122" s="8"/>
    </row>
    <row r="3123" spans="1:27" s="10" customFormat="1" hidden="1" x14ac:dyDescent="0.25">
      <c r="A3123" s="11" t="s">
        <v>7059</v>
      </c>
      <c r="B3123" s="12" t="s">
        <v>7060</v>
      </c>
      <c r="C3123" s="13">
        <v>3</v>
      </c>
      <c r="D3123" s="118" t="s">
        <v>1112</v>
      </c>
      <c r="E3123" s="12" t="s">
        <v>7061</v>
      </c>
      <c r="F3123" s="12" t="s">
        <v>7064</v>
      </c>
      <c r="G3123" s="15" t="s">
        <v>16</v>
      </c>
      <c r="H3123" s="8"/>
      <c r="I3123" s="90"/>
      <c r="J3123" s="8"/>
      <c r="K3123" s="8"/>
      <c r="L3123" s="8"/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8"/>
      <c r="AA3123" s="8"/>
    </row>
    <row r="3124" spans="1:27" s="10" customFormat="1" hidden="1" x14ac:dyDescent="0.25">
      <c r="A3124" s="11" t="s">
        <v>7067</v>
      </c>
      <c r="B3124" s="12" t="s">
        <v>37</v>
      </c>
      <c r="C3124" s="13">
        <v>3</v>
      </c>
      <c r="D3124" s="118" t="s">
        <v>1112</v>
      </c>
      <c r="E3124" s="12" t="s">
        <v>7068</v>
      </c>
      <c r="F3124" s="12" t="s">
        <v>7071</v>
      </c>
      <c r="G3124" s="15" t="s">
        <v>16</v>
      </c>
      <c r="H3124" s="8"/>
      <c r="I3124" s="90"/>
      <c r="J3124" s="8"/>
      <c r="K3124" s="8"/>
      <c r="L3124" s="8"/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8"/>
      <c r="AA3124" s="8"/>
    </row>
    <row r="3125" spans="1:27" s="10" customFormat="1" hidden="1" x14ac:dyDescent="0.25">
      <c r="A3125" s="11" t="s">
        <v>7074</v>
      </c>
      <c r="B3125" s="12" t="s">
        <v>7075</v>
      </c>
      <c r="C3125" s="13">
        <v>3</v>
      </c>
      <c r="D3125" s="118" t="s">
        <v>1112</v>
      </c>
      <c r="E3125" s="12" t="s">
        <v>7076</v>
      </c>
      <c r="F3125" s="12" t="s">
        <v>7079</v>
      </c>
      <c r="G3125" s="15" t="s">
        <v>16</v>
      </c>
      <c r="H3125" s="8"/>
      <c r="I3125" s="90"/>
      <c r="J3125" s="8"/>
      <c r="K3125" s="8"/>
      <c r="L3125" s="8"/>
      <c r="M3125" s="8"/>
      <c r="N3125" s="8"/>
      <c r="O3125" s="8"/>
      <c r="P3125" s="8"/>
      <c r="Q3125" s="8"/>
      <c r="R3125" s="8"/>
      <c r="S3125" s="8"/>
      <c r="T3125" s="8"/>
      <c r="U3125" s="8"/>
      <c r="V3125" s="8"/>
      <c r="W3125" s="8"/>
      <c r="X3125" s="8"/>
      <c r="Y3125" s="8"/>
      <c r="Z3125" s="8"/>
      <c r="AA3125" s="8"/>
    </row>
    <row r="3126" spans="1:27" s="10" customFormat="1" hidden="1" x14ac:dyDescent="0.25">
      <c r="A3126" s="11" t="s">
        <v>7082</v>
      </c>
      <c r="B3126" s="12" t="s">
        <v>7083</v>
      </c>
      <c r="C3126" s="13">
        <v>3</v>
      </c>
      <c r="D3126" s="118" t="s">
        <v>1112</v>
      </c>
      <c r="E3126" s="12" t="s">
        <v>7084</v>
      </c>
      <c r="F3126" s="12" t="s">
        <v>7087</v>
      </c>
      <c r="G3126" s="15" t="s">
        <v>16</v>
      </c>
      <c r="H3126" s="8"/>
      <c r="I3126" s="90"/>
      <c r="J3126" s="8"/>
      <c r="K3126" s="8"/>
      <c r="L3126" s="8"/>
      <c r="M3126" s="8"/>
      <c r="N3126" s="8"/>
      <c r="O3126" s="8"/>
      <c r="P3126" s="8"/>
      <c r="Q3126" s="8"/>
      <c r="R3126" s="8"/>
      <c r="S3126" s="8"/>
      <c r="T3126" s="8"/>
      <c r="U3126" s="8"/>
      <c r="V3126" s="8"/>
      <c r="W3126" s="8"/>
      <c r="X3126" s="8"/>
      <c r="Y3126" s="8"/>
      <c r="Z3126" s="8"/>
      <c r="AA3126" s="8"/>
    </row>
    <row r="3127" spans="1:27" s="10" customFormat="1" hidden="1" x14ac:dyDescent="0.25">
      <c r="A3127" s="11" t="s">
        <v>7090</v>
      </c>
      <c r="B3127" s="12" t="s">
        <v>7091</v>
      </c>
      <c r="C3127" s="13">
        <v>3</v>
      </c>
      <c r="D3127" s="118" t="s">
        <v>1112</v>
      </c>
      <c r="E3127" s="12" t="s">
        <v>7092</v>
      </c>
      <c r="F3127" s="12" t="s">
        <v>7095</v>
      </c>
      <c r="G3127" s="15" t="s">
        <v>16</v>
      </c>
      <c r="H3127" s="8"/>
      <c r="I3127" s="90"/>
      <c r="J3127" s="8"/>
      <c r="K3127" s="8"/>
      <c r="L3127" s="8"/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8"/>
      <c r="AA3127" s="8"/>
    </row>
    <row r="3128" spans="1:27" s="10" customFormat="1" hidden="1" x14ac:dyDescent="0.25">
      <c r="A3128" s="11" t="s">
        <v>7098</v>
      </c>
      <c r="B3128" s="12" t="s">
        <v>440</v>
      </c>
      <c r="C3128" s="13">
        <v>3</v>
      </c>
      <c r="D3128" s="118" t="s">
        <v>1112</v>
      </c>
      <c r="E3128" s="12" t="s">
        <v>7099</v>
      </c>
      <c r="F3128" s="12" t="s">
        <v>7102</v>
      </c>
      <c r="G3128" s="15" t="s">
        <v>16</v>
      </c>
      <c r="H3128" s="8"/>
      <c r="I3128" s="90"/>
      <c r="J3128" s="8"/>
      <c r="K3128" s="8"/>
      <c r="L3128" s="8"/>
      <c r="M3128" s="8"/>
      <c r="N3128" s="8"/>
      <c r="O3128" s="8"/>
      <c r="P3128" s="8"/>
      <c r="Q3128" s="8"/>
      <c r="R3128" s="8"/>
      <c r="S3128" s="8"/>
      <c r="T3128" s="8"/>
      <c r="U3128" s="8"/>
      <c r="V3128" s="8"/>
      <c r="W3128" s="8"/>
      <c r="X3128" s="8"/>
      <c r="Y3128" s="8"/>
      <c r="Z3128" s="8"/>
      <c r="AA3128" s="8"/>
    </row>
    <row r="3129" spans="1:27" s="10" customFormat="1" hidden="1" x14ac:dyDescent="0.25">
      <c r="A3129" s="11" t="s">
        <v>7105</v>
      </c>
      <c r="B3129" s="12" t="s">
        <v>7106</v>
      </c>
      <c r="C3129" s="13">
        <v>3</v>
      </c>
      <c r="D3129" s="118" t="s">
        <v>1112</v>
      </c>
      <c r="E3129" s="12" t="s">
        <v>7107</v>
      </c>
      <c r="F3129" s="12" t="s">
        <v>7110</v>
      </c>
      <c r="G3129" s="15" t="s">
        <v>16</v>
      </c>
      <c r="H3129" s="8"/>
      <c r="I3129" s="90"/>
      <c r="J3129" s="8"/>
      <c r="K3129" s="8"/>
      <c r="L3129" s="8"/>
      <c r="M3129" s="8"/>
      <c r="N3129" s="8"/>
      <c r="O3129" s="8"/>
      <c r="P3129" s="8"/>
      <c r="Q3129" s="8"/>
      <c r="R3129" s="8"/>
      <c r="S3129" s="8"/>
      <c r="T3129" s="8"/>
      <c r="U3129" s="8"/>
      <c r="V3129" s="8"/>
      <c r="W3129" s="8"/>
      <c r="X3129" s="8"/>
      <c r="Y3129" s="8"/>
      <c r="Z3129" s="8"/>
      <c r="AA3129" s="8"/>
    </row>
    <row r="3130" spans="1:27" s="10" customFormat="1" hidden="1" x14ac:dyDescent="0.25">
      <c r="A3130" s="11" t="s">
        <v>7113</v>
      </c>
      <c r="B3130" s="12" t="s">
        <v>327</v>
      </c>
      <c r="C3130" s="13">
        <v>3</v>
      </c>
      <c r="D3130" s="118" t="s">
        <v>1112</v>
      </c>
      <c r="E3130" s="12" t="s">
        <v>7114</v>
      </c>
      <c r="F3130" s="12" t="s">
        <v>7117</v>
      </c>
      <c r="G3130" s="15" t="s">
        <v>16</v>
      </c>
      <c r="H3130" s="8"/>
      <c r="I3130" s="90"/>
      <c r="J3130" s="8"/>
      <c r="K3130" s="8"/>
      <c r="L3130" s="8"/>
      <c r="M3130" s="8"/>
      <c r="N3130" s="8"/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8"/>
      <c r="AA3130" s="8"/>
    </row>
    <row r="3131" spans="1:27" s="10" customFormat="1" hidden="1" x14ac:dyDescent="0.25">
      <c r="A3131" s="11" t="s">
        <v>7120</v>
      </c>
      <c r="B3131" s="12" t="s">
        <v>7121</v>
      </c>
      <c r="C3131" s="13">
        <v>3</v>
      </c>
      <c r="D3131" s="118" t="s">
        <v>1112</v>
      </c>
      <c r="E3131" s="12" t="s">
        <v>7122</v>
      </c>
      <c r="F3131" s="12" t="s">
        <v>7125</v>
      </c>
      <c r="G3131" s="15" t="s">
        <v>16</v>
      </c>
      <c r="H3131" s="8"/>
      <c r="I3131" s="90"/>
      <c r="J3131" s="8"/>
      <c r="K3131" s="8"/>
      <c r="L3131" s="8"/>
      <c r="M3131" s="8"/>
      <c r="N3131" s="8"/>
      <c r="O3131" s="8"/>
      <c r="P3131" s="8"/>
      <c r="Q3131" s="8"/>
      <c r="R3131" s="8"/>
      <c r="S3131" s="8"/>
      <c r="T3131" s="8"/>
      <c r="U3131" s="8"/>
      <c r="V3131" s="8"/>
      <c r="W3131" s="8"/>
      <c r="X3131" s="8"/>
      <c r="Y3131" s="8"/>
      <c r="Z3131" s="8"/>
      <c r="AA3131" s="8"/>
    </row>
    <row r="3132" spans="1:27" s="10" customFormat="1" hidden="1" x14ac:dyDescent="0.25">
      <c r="A3132" s="11" t="s">
        <v>7128</v>
      </c>
      <c r="B3132" s="12" t="s">
        <v>7129</v>
      </c>
      <c r="C3132" s="13">
        <v>3</v>
      </c>
      <c r="D3132" s="118" t="s">
        <v>1112</v>
      </c>
      <c r="E3132" s="12" t="s">
        <v>7130</v>
      </c>
      <c r="F3132" s="12" t="s">
        <v>7133</v>
      </c>
      <c r="G3132" s="15" t="s">
        <v>16</v>
      </c>
      <c r="H3132" s="8"/>
      <c r="I3132" s="90"/>
      <c r="J3132" s="8"/>
      <c r="K3132" s="8"/>
      <c r="L3132" s="8"/>
      <c r="M3132" s="8"/>
      <c r="N3132" s="8"/>
      <c r="O3132" s="8"/>
      <c r="P3132" s="8"/>
      <c r="Q3132" s="8"/>
      <c r="R3132" s="8"/>
      <c r="S3132" s="8"/>
      <c r="T3132" s="8"/>
      <c r="U3132" s="8"/>
      <c r="V3132" s="8"/>
      <c r="W3132" s="8"/>
      <c r="X3132" s="8"/>
      <c r="Y3132" s="8"/>
      <c r="Z3132" s="8"/>
      <c r="AA3132" s="8"/>
    </row>
    <row r="3133" spans="1:27" s="10" customFormat="1" hidden="1" x14ac:dyDescent="0.25">
      <c r="A3133" s="11" t="s">
        <v>7136</v>
      </c>
      <c r="B3133" s="12" t="s">
        <v>5771</v>
      </c>
      <c r="C3133" s="13">
        <v>3</v>
      </c>
      <c r="D3133" s="118" t="s">
        <v>1112</v>
      </c>
      <c r="E3133" s="12" t="s">
        <v>7137</v>
      </c>
      <c r="F3133" s="12" t="s">
        <v>7140</v>
      </c>
      <c r="G3133" s="15" t="s">
        <v>16</v>
      </c>
      <c r="H3133" s="8"/>
      <c r="I3133" s="90"/>
      <c r="J3133" s="8"/>
      <c r="K3133" s="8"/>
      <c r="L3133" s="8"/>
      <c r="M3133" s="8"/>
      <c r="N3133" s="8"/>
      <c r="O3133" s="8"/>
      <c r="P3133" s="8"/>
      <c r="Q3133" s="8"/>
      <c r="R3133" s="8"/>
      <c r="S3133" s="8"/>
      <c r="T3133" s="8"/>
      <c r="U3133" s="8"/>
      <c r="V3133" s="8"/>
      <c r="W3133" s="8"/>
      <c r="X3133" s="8"/>
      <c r="Y3133" s="8"/>
      <c r="Z3133" s="8"/>
      <c r="AA3133" s="8"/>
    </row>
    <row r="3134" spans="1:27" s="10" customFormat="1" hidden="1" x14ac:dyDescent="0.25">
      <c r="A3134" s="11" t="s">
        <v>7143</v>
      </c>
      <c r="B3134" s="12" t="s">
        <v>120</v>
      </c>
      <c r="C3134" s="13">
        <v>3</v>
      </c>
      <c r="D3134" s="118" t="s">
        <v>1112</v>
      </c>
      <c r="E3134" s="12" t="s">
        <v>7144</v>
      </c>
      <c r="F3134" s="12" t="s">
        <v>7147</v>
      </c>
      <c r="G3134" s="15" t="s">
        <v>16</v>
      </c>
      <c r="H3134" s="8"/>
      <c r="I3134" s="90"/>
      <c r="J3134" s="8"/>
      <c r="K3134" s="8"/>
      <c r="L3134" s="8"/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  <c r="X3134" s="8"/>
      <c r="Y3134" s="8"/>
      <c r="Z3134" s="8"/>
      <c r="AA3134" s="8"/>
    </row>
    <row r="3135" spans="1:27" s="10" customFormat="1" ht="12.75" hidden="1" thickBot="1" x14ac:dyDescent="0.3">
      <c r="A3135" s="36" t="s">
        <v>7150</v>
      </c>
      <c r="B3135" s="30" t="s">
        <v>7151</v>
      </c>
      <c r="C3135" s="31">
        <v>3</v>
      </c>
      <c r="D3135" s="159" t="s">
        <v>1112</v>
      </c>
      <c r="E3135" s="30" t="s">
        <v>7152</v>
      </c>
      <c r="F3135" s="30" t="s">
        <v>7155</v>
      </c>
      <c r="G3135" s="33" t="s">
        <v>16</v>
      </c>
      <c r="H3135" s="8"/>
      <c r="I3135" s="90"/>
      <c r="J3135" s="8"/>
      <c r="K3135" s="8"/>
      <c r="L3135" s="8"/>
      <c r="M3135" s="8"/>
      <c r="N3135" s="8"/>
      <c r="O3135" s="8"/>
      <c r="P3135" s="8"/>
      <c r="Q3135" s="8"/>
      <c r="R3135" s="8"/>
      <c r="S3135" s="8"/>
      <c r="T3135" s="8"/>
      <c r="U3135" s="8"/>
      <c r="V3135" s="8"/>
      <c r="W3135" s="8"/>
      <c r="X3135" s="8"/>
      <c r="Y3135" s="8"/>
      <c r="Z3135" s="8"/>
      <c r="AA3135" s="8"/>
    </row>
    <row r="3136" spans="1:27" hidden="1" x14ac:dyDescent="0.25">
      <c r="A3136" s="56" t="s">
        <v>7158</v>
      </c>
      <c r="B3136" s="61" t="s">
        <v>7159</v>
      </c>
      <c r="C3136" s="58">
        <v>3</v>
      </c>
      <c r="D3136" s="61" t="s">
        <v>1112</v>
      </c>
      <c r="E3136" s="61" t="s">
        <v>7160</v>
      </c>
      <c r="F3136" s="61" t="s">
        <v>7163</v>
      </c>
      <c r="G3136" s="62" t="s">
        <v>16</v>
      </c>
    </row>
    <row r="3137" spans="1:7" hidden="1" x14ac:dyDescent="0.25">
      <c r="A3137" s="11" t="s">
        <v>7166</v>
      </c>
      <c r="B3137" s="12" t="s">
        <v>7167</v>
      </c>
      <c r="C3137" s="13">
        <v>3</v>
      </c>
      <c r="D3137" s="12" t="s">
        <v>1112</v>
      </c>
      <c r="E3137" s="12" t="s">
        <v>7168</v>
      </c>
      <c r="F3137" s="12" t="s">
        <v>7171</v>
      </c>
      <c r="G3137" s="15" t="s">
        <v>16</v>
      </c>
    </row>
    <row r="3138" spans="1:7" hidden="1" x14ac:dyDescent="0.25">
      <c r="A3138" s="11" t="s">
        <v>7174</v>
      </c>
      <c r="B3138" s="12" t="s">
        <v>7175</v>
      </c>
      <c r="C3138" s="13">
        <v>3</v>
      </c>
      <c r="D3138" s="12" t="s">
        <v>1112</v>
      </c>
      <c r="E3138" s="12" t="s">
        <v>7176</v>
      </c>
      <c r="F3138" s="12" t="s">
        <v>7179</v>
      </c>
      <c r="G3138" s="15" t="s">
        <v>16</v>
      </c>
    </row>
    <row r="3139" spans="1:7" hidden="1" x14ac:dyDescent="0.25">
      <c r="A3139" s="11" t="s">
        <v>7182</v>
      </c>
      <c r="B3139" s="12" t="s">
        <v>1627</v>
      </c>
      <c r="C3139" s="13">
        <v>3</v>
      </c>
      <c r="D3139" s="12" t="s">
        <v>1112</v>
      </c>
      <c r="E3139" s="12" t="s">
        <v>7183</v>
      </c>
      <c r="F3139" s="12" t="s">
        <v>7186</v>
      </c>
      <c r="G3139" s="15" t="s">
        <v>16</v>
      </c>
    </row>
    <row r="3140" spans="1:7" hidden="1" x14ac:dyDescent="0.25">
      <c r="A3140" s="11" t="s">
        <v>7189</v>
      </c>
      <c r="B3140" s="12" t="s">
        <v>7190</v>
      </c>
      <c r="C3140" s="13">
        <v>3</v>
      </c>
      <c r="D3140" s="12" t="s">
        <v>1112</v>
      </c>
      <c r="E3140" s="12" t="s">
        <v>7191</v>
      </c>
      <c r="F3140" s="12" t="s">
        <v>7194</v>
      </c>
      <c r="G3140" s="15" t="s">
        <v>16</v>
      </c>
    </row>
    <row r="3141" spans="1:7" hidden="1" x14ac:dyDescent="0.25">
      <c r="A3141" s="11" t="s">
        <v>7197</v>
      </c>
      <c r="B3141" s="12" t="s">
        <v>7198</v>
      </c>
      <c r="C3141" s="13">
        <v>3</v>
      </c>
      <c r="D3141" s="12" t="s">
        <v>1112</v>
      </c>
      <c r="E3141" s="12" t="s">
        <v>7199</v>
      </c>
      <c r="F3141" s="12" t="s">
        <v>7202</v>
      </c>
      <c r="G3141" s="15" t="s">
        <v>16</v>
      </c>
    </row>
    <row r="3142" spans="1:7" hidden="1" x14ac:dyDescent="0.25">
      <c r="A3142" s="11" t="s">
        <v>7205</v>
      </c>
      <c r="B3142" s="12" t="s">
        <v>4595</v>
      </c>
      <c r="C3142" s="13">
        <v>3</v>
      </c>
      <c r="D3142" s="12" t="s">
        <v>1112</v>
      </c>
      <c r="E3142" s="12" t="s">
        <v>7206</v>
      </c>
      <c r="F3142" s="12" t="s">
        <v>7209</v>
      </c>
      <c r="G3142" s="15" t="s">
        <v>16</v>
      </c>
    </row>
    <row r="3143" spans="1:7" hidden="1" x14ac:dyDescent="0.25">
      <c r="A3143" s="11" t="s">
        <v>7212</v>
      </c>
      <c r="B3143" s="12" t="s">
        <v>3887</v>
      </c>
      <c r="C3143" s="13">
        <v>3</v>
      </c>
      <c r="D3143" s="12" t="s">
        <v>1112</v>
      </c>
      <c r="E3143" s="12" t="s">
        <v>7213</v>
      </c>
      <c r="F3143" s="12" t="s">
        <v>7216</v>
      </c>
      <c r="G3143" s="15" t="s">
        <v>16</v>
      </c>
    </row>
    <row r="3144" spans="1:7" hidden="1" x14ac:dyDescent="0.25">
      <c r="A3144" s="11" t="s">
        <v>7219</v>
      </c>
      <c r="B3144" s="12" t="s">
        <v>7220</v>
      </c>
      <c r="C3144" s="13">
        <v>3</v>
      </c>
      <c r="D3144" s="12" t="s">
        <v>1112</v>
      </c>
      <c r="E3144" s="12" t="s">
        <v>7221</v>
      </c>
      <c r="F3144" s="12" t="s">
        <v>7224</v>
      </c>
      <c r="G3144" s="15" t="s">
        <v>16</v>
      </c>
    </row>
    <row r="3145" spans="1:7" hidden="1" x14ac:dyDescent="0.25">
      <c r="A3145" s="11" t="s">
        <v>7227</v>
      </c>
      <c r="B3145" s="12" t="s">
        <v>7228</v>
      </c>
      <c r="C3145" s="13">
        <v>3</v>
      </c>
      <c r="D3145" s="12" t="s">
        <v>1112</v>
      </c>
      <c r="E3145" s="12" t="s">
        <v>7229</v>
      </c>
      <c r="F3145" s="12" t="s">
        <v>7232</v>
      </c>
      <c r="G3145" s="15" t="s">
        <v>16</v>
      </c>
    </row>
    <row r="3146" spans="1:7" hidden="1" x14ac:dyDescent="0.25">
      <c r="A3146" s="11" t="s">
        <v>7235</v>
      </c>
      <c r="B3146" s="12" t="s">
        <v>7236</v>
      </c>
      <c r="C3146" s="13">
        <v>3</v>
      </c>
      <c r="D3146" s="12" t="s">
        <v>1112</v>
      </c>
      <c r="E3146" s="12" t="s">
        <v>7237</v>
      </c>
      <c r="F3146" s="12" t="s">
        <v>7240</v>
      </c>
      <c r="G3146" s="15" t="s">
        <v>16</v>
      </c>
    </row>
    <row r="3147" spans="1:7" hidden="1" x14ac:dyDescent="0.25">
      <c r="A3147" s="11" t="s">
        <v>7243</v>
      </c>
      <c r="B3147" s="12" t="s">
        <v>7244</v>
      </c>
      <c r="C3147" s="13">
        <v>3</v>
      </c>
      <c r="D3147" s="12" t="s">
        <v>1112</v>
      </c>
      <c r="E3147" s="12" t="s">
        <v>7245</v>
      </c>
      <c r="F3147" s="12" t="s">
        <v>7248</v>
      </c>
      <c r="G3147" s="15" t="s">
        <v>16</v>
      </c>
    </row>
    <row r="3148" spans="1:7" hidden="1" x14ac:dyDescent="0.25">
      <c r="A3148" s="11" t="s">
        <v>7251</v>
      </c>
      <c r="B3148" s="12" t="s">
        <v>1998</v>
      </c>
      <c r="C3148" s="13">
        <v>3</v>
      </c>
      <c r="D3148" s="12" t="s">
        <v>1112</v>
      </c>
      <c r="E3148" s="12" t="s">
        <v>7252</v>
      </c>
      <c r="F3148" s="12" t="s">
        <v>7255</v>
      </c>
      <c r="G3148" s="15" t="s">
        <v>16</v>
      </c>
    </row>
    <row r="3149" spans="1:7" hidden="1" x14ac:dyDescent="0.25">
      <c r="A3149" s="11" t="s">
        <v>7258</v>
      </c>
      <c r="B3149" s="12" t="s">
        <v>6607</v>
      </c>
      <c r="C3149" s="13">
        <v>3</v>
      </c>
      <c r="D3149" s="12" t="s">
        <v>1112</v>
      </c>
      <c r="E3149" s="12" t="s">
        <v>7259</v>
      </c>
      <c r="F3149" s="12" t="s">
        <v>7262</v>
      </c>
      <c r="G3149" s="15" t="s">
        <v>16</v>
      </c>
    </row>
    <row r="3150" spans="1:7" hidden="1" x14ac:dyDescent="0.25">
      <c r="A3150" s="11" t="s">
        <v>7265</v>
      </c>
      <c r="B3150" s="12" t="s">
        <v>7266</v>
      </c>
      <c r="C3150" s="13">
        <v>3</v>
      </c>
      <c r="D3150" s="12" t="s">
        <v>1112</v>
      </c>
      <c r="E3150" s="12" t="s">
        <v>7267</v>
      </c>
      <c r="F3150" s="12" t="s">
        <v>7270</v>
      </c>
      <c r="G3150" s="15" t="s">
        <v>16</v>
      </c>
    </row>
    <row r="3151" spans="1:7" hidden="1" x14ac:dyDescent="0.25">
      <c r="A3151" s="11" t="s">
        <v>7273</v>
      </c>
      <c r="B3151" s="12" t="s">
        <v>7274</v>
      </c>
      <c r="C3151" s="13">
        <v>3</v>
      </c>
      <c r="D3151" s="12" t="s">
        <v>1112</v>
      </c>
      <c r="E3151" s="12" t="s">
        <v>7275</v>
      </c>
      <c r="F3151" s="12" t="s">
        <v>7278</v>
      </c>
      <c r="G3151" s="15" t="s">
        <v>16</v>
      </c>
    </row>
    <row r="3152" spans="1:7" hidden="1" x14ac:dyDescent="0.25">
      <c r="A3152" s="11" t="s">
        <v>7281</v>
      </c>
      <c r="B3152" s="12" t="s">
        <v>7282</v>
      </c>
      <c r="C3152" s="13">
        <v>3</v>
      </c>
      <c r="D3152" s="12" t="s">
        <v>1112</v>
      </c>
      <c r="E3152" s="12" t="s">
        <v>7283</v>
      </c>
      <c r="F3152" s="12" t="s">
        <v>7286</v>
      </c>
      <c r="G3152" s="15" t="s">
        <v>16</v>
      </c>
    </row>
    <row r="3153" spans="1:27" hidden="1" x14ac:dyDescent="0.25">
      <c r="A3153" s="11" t="s">
        <v>7289</v>
      </c>
      <c r="B3153" s="12" t="s">
        <v>6027</v>
      </c>
      <c r="C3153" s="13">
        <v>3</v>
      </c>
      <c r="D3153" s="12" t="s">
        <v>1112</v>
      </c>
      <c r="E3153" s="12" t="s">
        <v>7290</v>
      </c>
      <c r="F3153" s="12" t="s">
        <v>7293</v>
      </c>
      <c r="G3153" s="15" t="s">
        <v>16</v>
      </c>
    </row>
    <row r="3154" spans="1:27" hidden="1" x14ac:dyDescent="0.25">
      <c r="A3154" s="11" t="s">
        <v>7296</v>
      </c>
      <c r="B3154" s="12" t="s">
        <v>1101</v>
      </c>
      <c r="C3154" s="13">
        <v>3</v>
      </c>
      <c r="D3154" s="12" t="s">
        <v>1112</v>
      </c>
      <c r="E3154" s="12" t="s">
        <v>7297</v>
      </c>
      <c r="F3154" s="12" t="s">
        <v>7300</v>
      </c>
      <c r="G3154" s="15" t="s">
        <v>16</v>
      </c>
    </row>
    <row r="3155" spans="1:27" hidden="1" x14ac:dyDescent="0.25">
      <c r="A3155" s="11" t="s">
        <v>7303</v>
      </c>
      <c r="B3155" s="12" t="s">
        <v>7304</v>
      </c>
      <c r="C3155" s="13">
        <v>3</v>
      </c>
      <c r="D3155" s="12" t="s">
        <v>1112</v>
      </c>
      <c r="E3155" s="12" t="s">
        <v>7305</v>
      </c>
      <c r="F3155" s="12" t="s">
        <v>7308</v>
      </c>
      <c r="G3155" s="15" t="s">
        <v>16</v>
      </c>
    </row>
    <row r="3156" spans="1:27" hidden="1" x14ac:dyDescent="0.25">
      <c r="A3156" s="11" t="s">
        <v>7311</v>
      </c>
      <c r="B3156" s="12" t="s">
        <v>7312</v>
      </c>
      <c r="C3156" s="13">
        <v>3</v>
      </c>
      <c r="D3156" s="12" t="s">
        <v>1112</v>
      </c>
      <c r="E3156" s="12" t="s">
        <v>7313</v>
      </c>
      <c r="F3156" s="12" t="s">
        <v>7316</v>
      </c>
      <c r="G3156" s="15" t="s">
        <v>16</v>
      </c>
    </row>
    <row r="3157" spans="1:27" hidden="1" x14ac:dyDescent="0.25">
      <c r="A3157" s="11" t="s">
        <v>7319</v>
      </c>
      <c r="B3157" s="12" t="s">
        <v>7320</v>
      </c>
      <c r="C3157" s="13">
        <v>3</v>
      </c>
      <c r="D3157" s="12" t="s">
        <v>1112</v>
      </c>
      <c r="E3157" s="12" t="s">
        <v>7321</v>
      </c>
      <c r="F3157" s="12" t="s">
        <v>7324</v>
      </c>
      <c r="G3157" s="15" t="s">
        <v>16</v>
      </c>
    </row>
    <row r="3158" spans="1:27" hidden="1" x14ac:dyDescent="0.25">
      <c r="A3158" s="11" t="s">
        <v>7327</v>
      </c>
      <c r="B3158" s="12" t="s">
        <v>7328</v>
      </c>
      <c r="C3158" s="13">
        <v>3</v>
      </c>
      <c r="D3158" s="12" t="s">
        <v>1112</v>
      </c>
      <c r="E3158" s="12" t="s">
        <v>7329</v>
      </c>
      <c r="F3158" s="12" t="s">
        <v>7332</v>
      </c>
      <c r="G3158" s="15" t="s">
        <v>16</v>
      </c>
    </row>
    <row r="3159" spans="1:27" hidden="1" x14ac:dyDescent="0.25">
      <c r="A3159" s="11" t="s">
        <v>7335</v>
      </c>
      <c r="B3159" s="12" t="s">
        <v>7336</v>
      </c>
      <c r="C3159" s="13">
        <v>3</v>
      </c>
      <c r="D3159" s="12" t="s">
        <v>1112</v>
      </c>
      <c r="E3159" s="12" t="s">
        <v>7337</v>
      </c>
      <c r="F3159" s="12" t="s">
        <v>7340</v>
      </c>
      <c r="G3159" s="15" t="s">
        <v>16</v>
      </c>
    </row>
    <row r="3160" spans="1:27" hidden="1" x14ac:dyDescent="0.25">
      <c r="A3160" s="11" t="s">
        <v>7343</v>
      </c>
      <c r="B3160" s="12" t="s">
        <v>7344</v>
      </c>
      <c r="C3160" s="13">
        <v>3</v>
      </c>
      <c r="D3160" s="12" t="s">
        <v>1112</v>
      </c>
      <c r="E3160" s="12" t="s">
        <v>7345</v>
      </c>
      <c r="F3160" s="12" t="s">
        <v>7348</v>
      </c>
      <c r="G3160" s="15" t="s">
        <v>16</v>
      </c>
    </row>
    <row r="3161" spans="1:27" hidden="1" x14ac:dyDescent="0.25">
      <c r="A3161" s="11" t="s">
        <v>7351</v>
      </c>
      <c r="B3161" s="12" t="s">
        <v>7352</v>
      </c>
      <c r="C3161" s="13">
        <v>3</v>
      </c>
      <c r="D3161" s="12" t="s">
        <v>1112</v>
      </c>
      <c r="E3161" s="12" t="s">
        <v>7353</v>
      </c>
      <c r="F3161" s="12" t="s">
        <v>7356</v>
      </c>
      <c r="G3161" s="15" t="s">
        <v>16</v>
      </c>
    </row>
    <row r="3162" spans="1:27" hidden="1" x14ac:dyDescent="0.25">
      <c r="A3162" s="11" t="s">
        <v>7359</v>
      </c>
      <c r="B3162" s="12" t="s">
        <v>7360</v>
      </c>
      <c r="C3162" s="13">
        <v>3</v>
      </c>
      <c r="D3162" s="12" t="s">
        <v>1112</v>
      </c>
      <c r="E3162" s="12" t="s">
        <v>7361</v>
      </c>
      <c r="F3162" s="12" t="s">
        <v>7364</v>
      </c>
      <c r="G3162" s="15" t="s">
        <v>16</v>
      </c>
    </row>
    <row r="3163" spans="1:27" hidden="1" x14ac:dyDescent="0.25">
      <c r="A3163" s="11" t="s">
        <v>7367</v>
      </c>
      <c r="B3163" s="12" t="s">
        <v>403</v>
      </c>
      <c r="C3163" s="13">
        <v>3</v>
      </c>
      <c r="D3163" s="12" t="s">
        <v>1112</v>
      </c>
      <c r="E3163" s="12" t="s">
        <v>7368</v>
      </c>
      <c r="F3163" s="12" t="s">
        <v>7371</v>
      </c>
      <c r="G3163" s="15" t="s">
        <v>16</v>
      </c>
    </row>
    <row r="3164" spans="1:27" hidden="1" x14ac:dyDescent="0.25">
      <c r="A3164" s="11" t="s">
        <v>7374</v>
      </c>
      <c r="B3164" s="12" t="s">
        <v>7375</v>
      </c>
      <c r="C3164" s="13">
        <v>3</v>
      </c>
      <c r="D3164" s="12" t="s">
        <v>1112</v>
      </c>
      <c r="E3164" s="12" t="s">
        <v>7376</v>
      </c>
      <c r="F3164" s="12" t="s">
        <v>7379</v>
      </c>
      <c r="G3164" s="15" t="s">
        <v>16</v>
      </c>
    </row>
    <row r="3165" spans="1:27" hidden="1" x14ac:dyDescent="0.25">
      <c r="A3165" s="11" t="s">
        <v>7382</v>
      </c>
      <c r="B3165" s="12" t="s">
        <v>2324</v>
      </c>
      <c r="C3165" s="13">
        <v>3</v>
      </c>
      <c r="D3165" s="12" t="s">
        <v>1112</v>
      </c>
      <c r="E3165" s="12" t="s">
        <v>7383</v>
      </c>
      <c r="F3165" s="12" t="s">
        <v>7386</v>
      </c>
      <c r="G3165" s="15" t="s">
        <v>16</v>
      </c>
    </row>
    <row r="3166" spans="1:27" s="10" customFormat="1" ht="12.75" hidden="1" thickBot="1" x14ac:dyDescent="0.3">
      <c r="A3166" s="36" t="s">
        <v>7389</v>
      </c>
      <c r="B3166" s="30" t="s">
        <v>7390</v>
      </c>
      <c r="C3166" s="31">
        <v>3</v>
      </c>
      <c r="D3166" s="30" t="s">
        <v>1112</v>
      </c>
      <c r="E3166" s="30" t="s">
        <v>7391</v>
      </c>
      <c r="F3166" s="30" t="s">
        <v>7394</v>
      </c>
      <c r="G3166" s="33" t="s">
        <v>16</v>
      </c>
      <c r="H3166" s="8"/>
      <c r="I3166" s="90"/>
      <c r="J3166" s="8"/>
      <c r="K3166" s="8"/>
      <c r="L3166" s="8"/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8"/>
      <c r="AA3166" s="8"/>
    </row>
    <row r="3167" spans="1:27" hidden="1" x14ac:dyDescent="0.25">
      <c r="A3167" s="11" t="s">
        <v>7397</v>
      </c>
      <c r="B3167" s="12" t="s">
        <v>2066</v>
      </c>
      <c r="C3167" s="13">
        <v>3</v>
      </c>
      <c r="D3167" s="12" t="s">
        <v>1112</v>
      </c>
      <c r="E3167" s="12" t="s">
        <v>7398</v>
      </c>
      <c r="F3167" s="12" t="s">
        <v>7401</v>
      </c>
      <c r="G3167" s="15" t="s">
        <v>16</v>
      </c>
    </row>
    <row r="3168" spans="1:27" hidden="1" x14ac:dyDescent="0.25">
      <c r="A3168" s="11" t="s">
        <v>7404</v>
      </c>
      <c r="B3168" s="12" t="s">
        <v>7405</v>
      </c>
      <c r="C3168" s="13">
        <v>3</v>
      </c>
      <c r="D3168" s="12" t="s">
        <v>1112</v>
      </c>
      <c r="E3168" s="12" t="s">
        <v>7406</v>
      </c>
      <c r="F3168" s="12" t="s">
        <v>7409</v>
      </c>
      <c r="G3168" s="15" t="s">
        <v>16</v>
      </c>
    </row>
    <row r="3169" spans="1:7" hidden="1" x14ac:dyDescent="0.25">
      <c r="A3169" s="11" t="s">
        <v>7412</v>
      </c>
      <c r="B3169" s="12" t="s">
        <v>7413</v>
      </c>
      <c r="C3169" s="13">
        <v>3</v>
      </c>
      <c r="D3169" s="12" t="s">
        <v>1112</v>
      </c>
      <c r="E3169" s="12" t="s">
        <v>7414</v>
      </c>
      <c r="F3169" s="12" t="s">
        <v>7417</v>
      </c>
      <c r="G3169" s="15" t="s">
        <v>16</v>
      </c>
    </row>
    <row r="3170" spans="1:7" hidden="1" x14ac:dyDescent="0.25">
      <c r="A3170" s="11" t="s">
        <v>7420</v>
      </c>
      <c r="B3170" s="12" t="s">
        <v>2274</v>
      </c>
      <c r="C3170" s="13">
        <v>3</v>
      </c>
      <c r="D3170" s="12" t="s">
        <v>1112</v>
      </c>
      <c r="E3170" s="12" t="s">
        <v>7421</v>
      </c>
      <c r="F3170" s="12" t="s">
        <v>7424</v>
      </c>
      <c r="G3170" s="15" t="s">
        <v>16</v>
      </c>
    </row>
    <row r="3171" spans="1:7" hidden="1" x14ac:dyDescent="0.25">
      <c r="A3171" s="11" t="s">
        <v>7427</v>
      </c>
      <c r="B3171" s="12" t="s">
        <v>6857</v>
      </c>
      <c r="C3171" s="13">
        <v>3</v>
      </c>
      <c r="D3171" s="12" t="s">
        <v>1112</v>
      </c>
      <c r="E3171" s="12" t="s">
        <v>7428</v>
      </c>
      <c r="F3171" s="12" t="s">
        <v>7431</v>
      </c>
      <c r="G3171" s="15" t="s">
        <v>16</v>
      </c>
    </row>
    <row r="3172" spans="1:7" hidden="1" x14ac:dyDescent="0.25">
      <c r="A3172" s="56" t="s">
        <v>7434</v>
      </c>
      <c r="B3172" s="61" t="s">
        <v>7435</v>
      </c>
      <c r="C3172" s="58">
        <v>3</v>
      </c>
      <c r="D3172" s="61" t="s">
        <v>1112</v>
      </c>
      <c r="E3172" s="61" t="s">
        <v>7436</v>
      </c>
      <c r="F3172" s="61" t="s">
        <v>7439</v>
      </c>
      <c r="G3172" s="62" t="s">
        <v>16</v>
      </c>
    </row>
    <row r="3173" spans="1:7" hidden="1" x14ac:dyDescent="0.25">
      <c r="A3173" s="11" t="s">
        <v>7442</v>
      </c>
      <c r="B3173" s="12" t="s">
        <v>5773</v>
      </c>
      <c r="C3173" s="13">
        <v>3</v>
      </c>
      <c r="D3173" s="12" t="s">
        <v>1112</v>
      </c>
      <c r="E3173" s="12" t="s">
        <v>7443</v>
      </c>
      <c r="F3173" s="12" t="s">
        <v>7446</v>
      </c>
      <c r="G3173" s="15" t="s">
        <v>16</v>
      </c>
    </row>
    <row r="3174" spans="1:7" hidden="1" x14ac:dyDescent="0.25">
      <c r="A3174" s="11" t="s">
        <v>7449</v>
      </c>
      <c r="B3174" s="12" t="s">
        <v>7450</v>
      </c>
      <c r="C3174" s="13">
        <v>3</v>
      </c>
      <c r="D3174" s="12" t="s">
        <v>1112</v>
      </c>
      <c r="E3174" s="12" t="s">
        <v>7451</v>
      </c>
      <c r="F3174" s="12" t="s">
        <v>7454</v>
      </c>
      <c r="G3174" s="15" t="s">
        <v>16</v>
      </c>
    </row>
    <row r="3175" spans="1:7" hidden="1" x14ac:dyDescent="0.25">
      <c r="A3175" s="11" t="s">
        <v>7457</v>
      </c>
      <c r="B3175" s="12" t="s">
        <v>7458</v>
      </c>
      <c r="C3175" s="13">
        <v>3</v>
      </c>
      <c r="D3175" s="12" t="s">
        <v>1112</v>
      </c>
      <c r="E3175" s="12" t="s">
        <v>7459</v>
      </c>
      <c r="F3175" s="12" t="s">
        <v>7462</v>
      </c>
      <c r="G3175" s="15" t="s">
        <v>16</v>
      </c>
    </row>
    <row r="3176" spans="1:7" hidden="1" x14ac:dyDescent="0.25">
      <c r="A3176" s="11" t="s">
        <v>7465</v>
      </c>
      <c r="B3176" s="12" t="s">
        <v>1461</v>
      </c>
      <c r="C3176" s="13">
        <v>3</v>
      </c>
      <c r="D3176" s="12" t="s">
        <v>1112</v>
      </c>
      <c r="E3176" s="12" t="s">
        <v>7466</v>
      </c>
      <c r="F3176" s="12" t="s">
        <v>7469</v>
      </c>
      <c r="G3176" s="15" t="s">
        <v>16</v>
      </c>
    </row>
    <row r="3177" spans="1:7" hidden="1" x14ac:dyDescent="0.25">
      <c r="A3177" s="11" t="s">
        <v>7472</v>
      </c>
      <c r="B3177" s="12" t="s">
        <v>7473</v>
      </c>
      <c r="C3177" s="13">
        <v>3</v>
      </c>
      <c r="D3177" s="12" t="s">
        <v>1112</v>
      </c>
      <c r="E3177" s="12" t="s">
        <v>7474</v>
      </c>
      <c r="F3177" s="12" t="s">
        <v>7477</v>
      </c>
      <c r="G3177" s="15" t="s">
        <v>16</v>
      </c>
    </row>
    <row r="3178" spans="1:7" hidden="1" x14ac:dyDescent="0.25">
      <c r="A3178" s="11" t="s">
        <v>7480</v>
      </c>
      <c r="B3178" s="12" t="s">
        <v>4749</v>
      </c>
      <c r="C3178" s="13">
        <v>3</v>
      </c>
      <c r="D3178" s="12" t="s">
        <v>1112</v>
      </c>
      <c r="E3178" s="12" t="s">
        <v>7481</v>
      </c>
      <c r="F3178" s="12" t="s">
        <v>7484</v>
      </c>
      <c r="G3178" s="15" t="s">
        <v>16</v>
      </c>
    </row>
    <row r="3179" spans="1:7" hidden="1" x14ac:dyDescent="0.25">
      <c r="A3179" s="11" t="s">
        <v>7487</v>
      </c>
      <c r="B3179" s="12" t="s">
        <v>490</v>
      </c>
      <c r="C3179" s="13">
        <v>3</v>
      </c>
      <c r="D3179" s="12" t="s">
        <v>1112</v>
      </c>
      <c r="E3179" s="12" t="s">
        <v>7488</v>
      </c>
      <c r="F3179" s="12" t="s">
        <v>7491</v>
      </c>
      <c r="G3179" s="15" t="s">
        <v>16</v>
      </c>
    </row>
    <row r="3180" spans="1:7" hidden="1" x14ac:dyDescent="0.25">
      <c r="A3180" s="11" t="s">
        <v>7494</v>
      </c>
      <c r="B3180" s="12" t="s">
        <v>7495</v>
      </c>
      <c r="C3180" s="13">
        <v>3</v>
      </c>
      <c r="D3180" s="12" t="s">
        <v>1112</v>
      </c>
      <c r="E3180" s="12" t="s">
        <v>7496</v>
      </c>
      <c r="F3180" s="12" t="s">
        <v>7499</v>
      </c>
      <c r="G3180" s="15" t="s">
        <v>16</v>
      </c>
    </row>
    <row r="3181" spans="1:7" hidden="1" x14ac:dyDescent="0.25">
      <c r="A3181" s="11" t="s">
        <v>7502</v>
      </c>
      <c r="B3181" s="12" t="s">
        <v>7503</v>
      </c>
      <c r="C3181" s="13">
        <v>3</v>
      </c>
      <c r="D3181" s="12" t="s">
        <v>1112</v>
      </c>
      <c r="E3181" s="12" t="s">
        <v>7504</v>
      </c>
      <c r="F3181" s="12" t="s">
        <v>7507</v>
      </c>
      <c r="G3181" s="15" t="s">
        <v>16</v>
      </c>
    </row>
    <row r="3182" spans="1:7" ht="12.75" hidden="1" thickBot="1" x14ac:dyDescent="0.3">
      <c r="A3182" s="36" t="s">
        <v>7510</v>
      </c>
      <c r="B3182" s="30" t="s">
        <v>7511</v>
      </c>
      <c r="C3182" s="31">
        <v>3</v>
      </c>
      <c r="D3182" s="30" t="s">
        <v>1112</v>
      </c>
      <c r="E3182" s="30" t="s">
        <v>7512</v>
      </c>
      <c r="F3182" s="30" t="s">
        <v>7515</v>
      </c>
      <c r="G3182" s="33" t="s">
        <v>16</v>
      </c>
    </row>
    <row r="3183" spans="1:7" hidden="1" x14ac:dyDescent="0.25">
      <c r="A3183" s="46" t="s">
        <v>7518</v>
      </c>
      <c r="B3183" s="12" t="s">
        <v>7519</v>
      </c>
      <c r="C3183" s="13">
        <v>3</v>
      </c>
      <c r="D3183" s="12" t="s">
        <v>1112</v>
      </c>
      <c r="E3183" s="12" t="s">
        <v>7520</v>
      </c>
      <c r="F3183" s="12" t="s">
        <v>7523</v>
      </c>
      <c r="G3183" s="15" t="s">
        <v>16</v>
      </c>
    </row>
    <row r="3184" spans="1:7" hidden="1" x14ac:dyDescent="0.25">
      <c r="A3184" s="46" t="s">
        <v>7526</v>
      </c>
      <c r="B3184" s="12" t="s">
        <v>7527</v>
      </c>
      <c r="C3184" s="13">
        <v>3</v>
      </c>
      <c r="D3184" s="12" t="s">
        <v>1112</v>
      </c>
      <c r="E3184" s="12" t="s">
        <v>7528</v>
      </c>
      <c r="F3184" s="12" t="s">
        <v>7531</v>
      </c>
      <c r="G3184" s="15" t="s">
        <v>16</v>
      </c>
    </row>
    <row r="3185" spans="1:7" hidden="1" x14ac:dyDescent="0.25">
      <c r="A3185" s="46" t="s">
        <v>7534</v>
      </c>
      <c r="B3185" s="12" t="s">
        <v>7535</v>
      </c>
      <c r="C3185" s="13">
        <v>3</v>
      </c>
      <c r="D3185" s="12" t="s">
        <v>1112</v>
      </c>
      <c r="E3185" s="12" t="s">
        <v>7536</v>
      </c>
      <c r="F3185" s="12" t="s">
        <v>7539</v>
      </c>
      <c r="G3185" s="15" t="s">
        <v>16</v>
      </c>
    </row>
    <row r="3186" spans="1:7" hidden="1" x14ac:dyDescent="0.25">
      <c r="A3186" s="46" t="s">
        <v>7542</v>
      </c>
      <c r="B3186" s="12" t="s">
        <v>7543</v>
      </c>
      <c r="C3186" s="13">
        <v>3</v>
      </c>
      <c r="D3186" s="12" t="s">
        <v>1112</v>
      </c>
      <c r="E3186" s="12" t="s">
        <v>7544</v>
      </c>
      <c r="F3186" s="12" t="s">
        <v>7547</v>
      </c>
      <c r="G3186" s="15" t="s">
        <v>16</v>
      </c>
    </row>
    <row r="3187" spans="1:7" hidden="1" x14ac:dyDescent="0.25">
      <c r="A3187" s="46" t="s">
        <v>7550</v>
      </c>
      <c r="B3187" s="12" t="s">
        <v>7551</v>
      </c>
      <c r="C3187" s="13">
        <v>3</v>
      </c>
      <c r="D3187" s="12" t="s">
        <v>1112</v>
      </c>
      <c r="E3187" s="12" t="s">
        <v>7552</v>
      </c>
      <c r="F3187" s="12" t="s">
        <v>7555</v>
      </c>
      <c r="G3187" s="15" t="s">
        <v>16</v>
      </c>
    </row>
    <row r="3188" spans="1:7" hidden="1" x14ac:dyDescent="0.25">
      <c r="A3188" s="46" t="s">
        <v>7558</v>
      </c>
      <c r="B3188" s="12" t="s">
        <v>7559</v>
      </c>
      <c r="C3188" s="13">
        <v>3</v>
      </c>
      <c r="D3188" s="12" t="s">
        <v>1112</v>
      </c>
      <c r="E3188" s="12" t="s">
        <v>7560</v>
      </c>
      <c r="F3188" s="12" t="s">
        <v>7563</v>
      </c>
      <c r="G3188" s="15" t="s">
        <v>16</v>
      </c>
    </row>
    <row r="3189" spans="1:7" hidden="1" x14ac:dyDescent="0.25">
      <c r="A3189" s="46" t="s">
        <v>7566</v>
      </c>
      <c r="B3189" s="12" t="s">
        <v>7567</v>
      </c>
      <c r="C3189" s="13">
        <v>3</v>
      </c>
      <c r="D3189" s="12" t="s">
        <v>1112</v>
      </c>
      <c r="E3189" s="12" t="s">
        <v>7568</v>
      </c>
      <c r="F3189" s="12" t="s">
        <v>7571</v>
      </c>
      <c r="G3189" s="15" t="s">
        <v>16</v>
      </c>
    </row>
    <row r="3190" spans="1:7" hidden="1" x14ac:dyDescent="0.25">
      <c r="A3190" s="46" t="s">
        <v>7574</v>
      </c>
      <c r="B3190" s="12" t="s">
        <v>7575</v>
      </c>
      <c r="C3190" s="13">
        <v>3</v>
      </c>
      <c r="D3190" s="12" t="s">
        <v>1112</v>
      </c>
      <c r="E3190" s="12" t="s">
        <v>7576</v>
      </c>
      <c r="F3190" s="12" t="s">
        <v>7579</v>
      </c>
      <c r="G3190" s="15" t="s">
        <v>16</v>
      </c>
    </row>
    <row r="3191" spans="1:7" hidden="1" x14ac:dyDescent="0.25">
      <c r="A3191" s="46" t="s">
        <v>7582</v>
      </c>
      <c r="B3191" s="12" t="s">
        <v>1360</v>
      </c>
      <c r="C3191" s="13">
        <v>3</v>
      </c>
      <c r="D3191" s="12" t="s">
        <v>1112</v>
      </c>
      <c r="E3191" s="12" t="s">
        <v>7583</v>
      </c>
      <c r="F3191" s="12" t="s">
        <v>7586</v>
      </c>
      <c r="G3191" s="15" t="s">
        <v>16</v>
      </c>
    </row>
    <row r="3192" spans="1:7" hidden="1" x14ac:dyDescent="0.25">
      <c r="A3192" s="46" t="s">
        <v>7589</v>
      </c>
      <c r="B3192" s="12" t="s">
        <v>1445</v>
      </c>
      <c r="C3192" s="13">
        <v>3</v>
      </c>
      <c r="D3192" s="12" t="s">
        <v>1112</v>
      </c>
      <c r="E3192" s="12" t="s">
        <v>7590</v>
      </c>
      <c r="F3192" s="12" t="s">
        <v>7593</v>
      </c>
      <c r="G3192" s="15" t="s">
        <v>16</v>
      </c>
    </row>
    <row r="3193" spans="1:7" hidden="1" x14ac:dyDescent="0.25">
      <c r="A3193" s="46" t="s">
        <v>7596</v>
      </c>
      <c r="B3193" s="12" t="s">
        <v>7597</v>
      </c>
      <c r="C3193" s="13">
        <v>3</v>
      </c>
      <c r="D3193" s="12" t="s">
        <v>1112</v>
      </c>
      <c r="E3193" s="12" t="s">
        <v>7598</v>
      </c>
      <c r="F3193" s="12" t="s">
        <v>7601</v>
      </c>
      <c r="G3193" s="15" t="s">
        <v>16</v>
      </c>
    </row>
    <row r="3194" spans="1:7" hidden="1" x14ac:dyDescent="0.25">
      <c r="A3194" s="46" t="s">
        <v>7604</v>
      </c>
      <c r="B3194" s="12" t="s">
        <v>7605</v>
      </c>
      <c r="C3194" s="13">
        <v>3</v>
      </c>
      <c r="D3194" s="12" t="s">
        <v>1112</v>
      </c>
      <c r="E3194" s="12" t="s">
        <v>7606</v>
      </c>
      <c r="F3194" s="12" t="s">
        <v>7609</v>
      </c>
      <c r="G3194" s="15" t="s">
        <v>16</v>
      </c>
    </row>
    <row r="3195" spans="1:7" hidden="1" x14ac:dyDescent="0.25">
      <c r="A3195" s="46" t="s">
        <v>7612</v>
      </c>
      <c r="B3195" s="12" t="s">
        <v>7613</v>
      </c>
      <c r="C3195" s="13">
        <v>3</v>
      </c>
      <c r="D3195" s="12" t="s">
        <v>1112</v>
      </c>
      <c r="E3195" s="12" t="s">
        <v>7614</v>
      </c>
      <c r="F3195" s="12" t="s">
        <v>7617</v>
      </c>
      <c r="G3195" s="15" t="s">
        <v>16</v>
      </c>
    </row>
    <row r="3196" spans="1:7" hidden="1" x14ac:dyDescent="0.25">
      <c r="A3196" s="46" t="s">
        <v>7620</v>
      </c>
      <c r="B3196" s="12" t="s">
        <v>7621</v>
      </c>
      <c r="C3196" s="13">
        <v>3</v>
      </c>
      <c r="D3196" s="12" t="s">
        <v>1112</v>
      </c>
      <c r="E3196" s="12" t="s">
        <v>7622</v>
      </c>
      <c r="F3196" s="12" t="s">
        <v>7625</v>
      </c>
      <c r="G3196" s="15" t="s">
        <v>16</v>
      </c>
    </row>
    <row r="3197" spans="1:7" hidden="1" x14ac:dyDescent="0.25">
      <c r="A3197" s="46" t="s">
        <v>7628</v>
      </c>
      <c r="B3197" s="12" t="s">
        <v>7629</v>
      </c>
      <c r="C3197" s="13">
        <v>3</v>
      </c>
      <c r="D3197" s="12" t="s">
        <v>1112</v>
      </c>
      <c r="E3197" s="12" t="s">
        <v>7630</v>
      </c>
      <c r="F3197" s="12" t="s">
        <v>7633</v>
      </c>
      <c r="G3197" s="15" t="s">
        <v>16</v>
      </c>
    </row>
    <row r="3198" spans="1:7" ht="12.75" hidden="1" thickBot="1" x14ac:dyDescent="0.3">
      <c r="A3198" s="44" t="s">
        <v>7636</v>
      </c>
      <c r="B3198" s="30" t="s">
        <v>7637</v>
      </c>
      <c r="C3198" s="31">
        <v>3</v>
      </c>
      <c r="D3198" s="30" t="s">
        <v>1112</v>
      </c>
      <c r="E3198" s="30" t="s">
        <v>7638</v>
      </c>
      <c r="F3198" s="30" t="s">
        <v>7641</v>
      </c>
      <c r="G3198" s="33" t="s">
        <v>16</v>
      </c>
    </row>
    <row r="3199" spans="1:7" hidden="1" x14ac:dyDescent="0.25">
      <c r="A3199" s="46" t="s">
        <v>7644</v>
      </c>
      <c r="B3199" s="61" t="s">
        <v>7645</v>
      </c>
      <c r="C3199" s="58">
        <v>3</v>
      </c>
      <c r="D3199" s="61" t="s">
        <v>1112</v>
      </c>
      <c r="E3199" s="61" t="s">
        <v>7646</v>
      </c>
      <c r="F3199" s="61" t="s">
        <v>7649</v>
      </c>
      <c r="G3199" s="62" t="s">
        <v>16</v>
      </c>
    </row>
    <row r="3200" spans="1:7" hidden="1" x14ac:dyDescent="0.25">
      <c r="A3200" s="46" t="s">
        <v>7652</v>
      </c>
      <c r="B3200" s="12" t="s">
        <v>7653</v>
      </c>
      <c r="C3200" s="13">
        <v>3</v>
      </c>
      <c r="D3200" s="12" t="s">
        <v>1112</v>
      </c>
      <c r="E3200" s="12" t="s">
        <v>7654</v>
      </c>
      <c r="F3200" s="12" t="s">
        <v>7657</v>
      </c>
      <c r="G3200" s="15" t="s">
        <v>16</v>
      </c>
    </row>
    <row r="3201" spans="1:7" hidden="1" x14ac:dyDescent="0.25">
      <c r="A3201" s="46" t="s">
        <v>7660</v>
      </c>
      <c r="B3201" s="12" t="s">
        <v>7661</v>
      </c>
      <c r="C3201" s="13">
        <v>3</v>
      </c>
      <c r="D3201" s="12" t="s">
        <v>1112</v>
      </c>
      <c r="E3201" s="12" t="s">
        <v>7662</v>
      </c>
      <c r="F3201" s="12" t="s">
        <v>7665</v>
      </c>
      <c r="G3201" s="15" t="s">
        <v>16</v>
      </c>
    </row>
    <row r="3202" spans="1:7" ht="12.75" hidden="1" thickBot="1" x14ac:dyDescent="0.3">
      <c r="A3202" s="44" t="s">
        <v>7668</v>
      </c>
      <c r="B3202" s="30" t="s">
        <v>7669</v>
      </c>
      <c r="C3202" s="31">
        <v>3</v>
      </c>
      <c r="D3202" s="30" t="s">
        <v>1112</v>
      </c>
      <c r="E3202" s="30" t="s">
        <v>7670</v>
      </c>
      <c r="F3202" s="30" t="s">
        <v>7673</v>
      </c>
      <c r="G3202" s="33" t="s">
        <v>16</v>
      </c>
    </row>
    <row r="3203" spans="1:7" hidden="1" x14ac:dyDescent="0.25">
      <c r="A3203" s="56" t="s">
        <v>7676</v>
      </c>
      <c r="B3203" s="61" t="s">
        <v>1165</v>
      </c>
      <c r="C3203" s="58">
        <v>3</v>
      </c>
      <c r="D3203" s="61" t="s">
        <v>1112</v>
      </c>
      <c r="E3203" s="61" t="s">
        <v>7677</v>
      </c>
      <c r="F3203" s="61" t="s">
        <v>7680</v>
      </c>
      <c r="G3203" s="62" t="s">
        <v>16</v>
      </c>
    </row>
    <row r="3204" spans="1:7" hidden="1" x14ac:dyDescent="0.25">
      <c r="A3204" s="11" t="s">
        <v>7683</v>
      </c>
      <c r="B3204" s="12" t="s">
        <v>7684</v>
      </c>
      <c r="C3204" s="13">
        <v>3</v>
      </c>
      <c r="D3204" s="12" t="s">
        <v>1112</v>
      </c>
      <c r="E3204" s="12" t="s">
        <v>7685</v>
      </c>
      <c r="F3204" s="12" t="s">
        <v>7688</v>
      </c>
      <c r="G3204" s="15" t="s">
        <v>16</v>
      </c>
    </row>
    <row r="3205" spans="1:7" hidden="1" x14ac:dyDescent="0.25">
      <c r="A3205" s="11" t="s">
        <v>7691</v>
      </c>
      <c r="B3205" s="12" t="s">
        <v>5347</v>
      </c>
      <c r="C3205" s="13">
        <v>3</v>
      </c>
      <c r="D3205" s="12" t="s">
        <v>1112</v>
      </c>
      <c r="E3205" s="12" t="s">
        <v>7692</v>
      </c>
      <c r="F3205" s="12" t="s">
        <v>7695</v>
      </c>
      <c r="G3205" s="15" t="s">
        <v>16</v>
      </c>
    </row>
    <row r="3206" spans="1:7" hidden="1" x14ac:dyDescent="0.25">
      <c r="A3206" s="11" t="s">
        <v>7698</v>
      </c>
      <c r="B3206" s="12" t="s">
        <v>7699</v>
      </c>
      <c r="C3206" s="13">
        <v>3</v>
      </c>
      <c r="D3206" s="12" t="s">
        <v>1112</v>
      </c>
      <c r="E3206" s="12" t="s">
        <v>7700</v>
      </c>
      <c r="F3206" s="12" t="s">
        <v>7703</v>
      </c>
      <c r="G3206" s="15" t="s">
        <v>16</v>
      </c>
    </row>
    <row r="3207" spans="1:7" hidden="1" x14ac:dyDescent="0.25">
      <c r="A3207" s="11" t="s">
        <v>7706</v>
      </c>
      <c r="B3207" s="12" t="s">
        <v>2289</v>
      </c>
      <c r="C3207" s="13">
        <v>3</v>
      </c>
      <c r="D3207" s="12" t="s">
        <v>1112</v>
      </c>
      <c r="E3207" s="12" t="s">
        <v>7707</v>
      </c>
      <c r="F3207" s="12" t="s">
        <v>7710</v>
      </c>
      <c r="G3207" s="15" t="s">
        <v>16</v>
      </c>
    </row>
    <row r="3208" spans="1:7" hidden="1" x14ac:dyDescent="0.25">
      <c r="A3208" s="11" t="s">
        <v>7713</v>
      </c>
      <c r="B3208" s="12" t="s">
        <v>7714</v>
      </c>
      <c r="C3208" s="13">
        <v>3</v>
      </c>
      <c r="D3208" s="12" t="s">
        <v>1112</v>
      </c>
      <c r="E3208" s="12" t="s">
        <v>7715</v>
      </c>
      <c r="F3208" s="12" t="s">
        <v>7718</v>
      </c>
      <c r="G3208" s="15" t="s">
        <v>16</v>
      </c>
    </row>
    <row r="3209" spans="1:7" hidden="1" x14ac:dyDescent="0.25">
      <c r="A3209" s="11" t="s">
        <v>7721</v>
      </c>
      <c r="B3209" s="12" t="s">
        <v>5435</v>
      </c>
      <c r="C3209" s="13">
        <v>3</v>
      </c>
      <c r="D3209" s="12" t="s">
        <v>1112</v>
      </c>
      <c r="E3209" s="12" t="s">
        <v>7722</v>
      </c>
      <c r="F3209" s="12" t="s">
        <v>7725</v>
      </c>
      <c r="G3209" s="15" t="s">
        <v>16</v>
      </c>
    </row>
    <row r="3210" spans="1:7" hidden="1" x14ac:dyDescent="0.25">
      <c r="A3210" s="11" t="s">
        <v>7728</v>
      </c>
      <c r="B3210" s="12" t="s">
        <v>6703</v>
      </c>
      <c r="C3210" s="13">
        <v>3</v>
      </c>
      <c r="D3210" s="12" t="s">
        <v>1112</v>
      </c>
      <c r="E3210" s="12" t="s">
        <v>7729</v>
      </c>
      <c r="F3210" s="12" t="s">
        <v>7732</v>
      </c>
      <c r="G3210" s="15" t="s">
        <v>16</v>
      </c>
    </row>
    <row r="3211" spans="1:7" hidden="1" x14ac:dyDescent="0.25">
      <c r="A3211" s="11" t="s">
        <v>7735</v>
      </c>
      <c r="B3211" s="12" t="s">
        <v>6705</v>
      </c>
      <c r="C3211" s="13">
        <v>3</v>
      </c>
      <c r="D3211" s="12" t="s">
        <v>1112</v>
      </c>
      <c r="E3211" s="12" t="s">
        <v>7736</v>
      </c>
      <c r="F3211" s="12" t="s">
        <v>7739</v>
      </c>
      <c r="G3211" s="15" t="s">
        <v>16</v>
      </c>
    </row>
    <row r="3212" spans="1:7" hidden="1" x14ac:dyDescent="0.25">
      <c r="A3212" s="11" t="s">
        <v>7742</v>
      </c>
      <c r="B3212" s="12" t="s">
        <v>7743</v>
      </c>
      <c r="C3212" s="13">
        <v>3</v>
      </c>
      <c r="D3212" s="12" t="s">
        <v>1112</v>
      </c>
      <c r="E3212" s="12" t="s">
        <v>7744</v>
      </c>
      <c r="F3212" s="12" t="s">
        <v>7747</v>
      </c>
      <c r="G3212" s="15" t="s">
        <v>16</v>
      </c>
    </row>
    <row r="3213" spans="1:7" hidden="1" x14ac:dyDescent="0.25">
      <c r="A3213" s="11" t="s">
        <v>7750</v>
      </c>
      <c r="B3213" s="12" t="s">
        <v>6709</v>
      </c>
      <c r="C3213" s="13">
        <v>3</v>
      </c>
      <c r="D3213" s="12" t="s">
        <v>1112</v>
      </c>
      <c r="E3213" s="12" t="s">
        <v>7751</v>
      </c>
      <c r="F3213" s="12" t="s">
        <v>7754</v>
      </c>
      <c r="G3213" s="15" t="s">
        <v>16</v>
      </c>
    </row>
    <row r="3214" spans="1:7" hidden="1" x14ac:dyDescent="0.25">
      <c r="A3214" s="11" t="s">
        <v>7757</v>
      </c>
      <c r="B3214" s="12" t="s">
        <v>6715</v>
      </c>
      <c r="C3214" s="13">
        <v>3</v>
      </c>
      <c r="D3214" s="12" t="s">
        <v>1112</v>
      </c>
      <c r="E3214" s="12" t="s">
        <v>7758</v>
      </c>
      <c r="F3214" s="12" t="s">
        <v>7761</v>
      </c>
      <c r="G3214" s="15" t="s">
        <v>16</v>
      </c>
    </row>
    <row r="3215" spans="1:7" hidden="1" x14ac:dyDescent="0.25">
      <c r="A3215" s="11" t="s">
        <v>7764</v>
      </c>
      <c r="B3215" s="12" t="s">
        <v>7765</v>
      </c>
      <c r="C3215" s="13">
        <v>3</v>
      </c>
      <c r="D3215" s="12" t="s">
        <v>1112</v>
      </c>
      <c r="E3215" s="12" t="s">
        <v>7766</v>
      </c>
      <c r="F3215" s="12" t="s">
        <v>7769</v>
      </c>
      <c r="G3215" s="15" t="s">
        <v>16</v>
      </c>
    </row>
    <row r="3216" spans="1:7" hidden="1" x14ac:dyDescent="0.25">
      <c r="A3216" s="11" t="s">
        <v>7772</v>
      </c>
      <c r="B3216" s="12" t="s">
        <v>7773</v>
      </c>
      <c r="C3216" s="13">
        <v>3</v>
      </c>
      <c r="D3216" s="12" t="s">
        <v>1112</v>
      </c>
      <c r="E3216" s="12" t="s">
        <v>7774</v>
      </c>
      <c r="F3216" s="12" t="s">
        <v>7777</v>
      </c>
      <c r="G3216" s="15" t="s">
        <v>16</v>
      </c>
    </row>
    <row r="3217" spans="1:7" hidden="1" x14ac:dyDescent="0.25">
      <c r="A3217" s="11" t="s">
        <v>7780</v>
      </c>
      <c r="B3217" s="12" t="s">
        <v>7781</v>
      </c>
      <c r="C3217" s="13">
        <v>3</v>
      </c>
      <c r="D3217" s="12" t="s">
        <v>1112</v>
      </c>
      <c r="E3217" s="12" t="s">
        <v>7782</v>
      </c>
      <c r="F3217" s="12" t="s">
        <v>7785</v>
      </c>
      <c r="G3217" s="15" t="s">
        <v>16</v>
      </c>
    </row>
    <row r="3218" spans="1:7" hidden="1" x14ac:dyDescent="0.25">
      <c r="A3218" s="11" t="s">
        <v>7788</v>
      </c>
      <c r="B3218" s="12" t="s">
        <v>1490</v>
      </c>
      <c r="C3218" s="13">
        <v>3</v>
      </c>
      <c r="D3218" s="12" t="s">
        <v>1112</v>
      </c>
      <c r="E3218" s="12" t="s">
        <v>7789</v>
      </c>
      <c r="F3218" s="12" t="s">
        <v>7792</v>
      </c>
      <c r="G3218" s="15" t="s">
        <v>16</v>
      </c>
    </row>
    <row r="3219" spans="1:7" hidden="1" x14ac:dyDescent="0.25">
      <c r="A3219" s="11" t="s">
        <v>7795</v>
      </c>
      <c r="B3219" s="12" t="s">
        <v>7796</v>
      </c>
      <c r="C3219" s="13">
        <v>3</v>
      </c>
      <c r="D3219" s="12" t="s">
        <v>1112</v>
      </c>
      <c r="E3219" s="12" t="s">
        <v>7797</v>
      </c>
      <c r="F3219" s="12" t="s">
        <v>7800</v>
      </c>
      <c r="G3219" s="15" t="s">
        <v>16</v>
      </c>
    </row>
    <row r="3220" spans="1:7" hidden="1" x14ac:dyDescent="0.25">
      <c r="A3220" s="11" t="s">
        <v>7803</v>
      </c>
      <c r="B3220" s="12" t="s">
        <v>7804</v>
      </c>
      <c r="C3220" s="13">
        <v>3</v>
      </c>
      <c r="D3220" s="12" t="s">
        <v>1112</v>
      </c>
      <c r="E3220" s="12" t="s">
        <v>7805</v>
      </c>
      <c r="F3220" s="12" t="s">
        <v>7808</v>
      </c>
      <c r="G3220" s="15" t="s">
        <v>16</v>
      </c>
    </row>
    <row r="3221" spans="1:7" hidden="1" x14ac:dyDescent="0.25">
      <c r="A3221" s="11" t="s">
        <v>7811</v>
      </c>
      <c r="B3221" s="12" t="s">
        <v>7812</v>
      </c>
      <c r="C3221" s="13">
        <v>3</v>
      </c>
      <c r="D3221" s="12" t="s">
        <v>1112</v>
      </c>
      <c r="E3221" s="12" t="s">
        <v>7813</v>
      </c>
      <c r="F3221" s="12" t="s">
        <v>7816</v>
      </c>
      <c r="G3221" s="15" t="s">
        <v>16</v>
      </c>
    </row>
    <row r="3222" spans="1:7" hidden="1" x14ac:dyDescent="0.25">
      <c r="A3222" s="11" t="s">
        <v>7819</v>
      </c>
      <c r="B3222" s="12" t="s">
        <v>7820</v>
      </c>
      <c r="C3222" s="13">
        <v>3</v>
      </c>
      <c r="D3222" s="12" t="s">
        <v>1112</v>
      </c>
      <c r="E3222" s="12" t="s">
        <v>7821</v>
      </c>
      <c r="F3222" s="12" t="s">
        <v>7824</v>
      </c>
      <c r="G3222" s="15" t="s">
        <v>16</v>
      </c>
    </row>
    <row r="3223" spans="1:7" hidden="1" x14ac:dyDescent="0.25">
      <c r="A3223" s="11" t="s">
        <v>7827</v>
      </c>
      <c r="B3223" s="12" t="s">
        <v>7828</v>
      </c>
      <c r="C3223" s="13">
        <v>3</v>
      </c>
      <c r="D3223" s="12" t="s">
        <v>1112</v>
      </c>
      <c r="E3223" s="12" t="s">
        <v>7829</v>
      </c>
      <c r="F3223" s="12" t="s">
        <v>7832</v>
      </c>
      <c r="G3223" s="15" t="s">
        <v>16</v>
      </c>
    </row>
    <row r="3224" spans="1:7" hidden="1" x14ac:dyDescent="0.25">
      <c r="A3224" s="11" t="s">
        <v>7835</v>
      </c>
      <c r="B3224" s="12" t="s">
        <v>7836</v>
      </c>
      <c r="C3224" s="13">
        <v>3</v>
      </c>
      <c r="D3224" s="12" t="s">
        <v>1112</v>
      </c>
      <c r="E3224" s="12" t="s">
        <v>7837</v>
      </c>
      <c r="F3224" s="12" t="s">
        <v>7840</v>
      </c>
      <c r="G3224" s="15" t="s">
        <v>16</v>
      </c>
    </row>
    <row r="3225" spans="1:7" hidden="1" x14ac:dyDescent="0.25">
      <c r="A3225" s="11" t="s">
        <v>7843</v>
      </c>
      <c r="B3225" s="12" t="s">
        <v>7844</v>
      </c>
      <c r="C3225" s="13">
        <v>3</v>
      </c>
      <c r="D3225" s="12" t="s">
        <v>1112</v>
      </c>
      <c r="E3225" s="12" t="s">
        <v>7845</v>
      </c>
      <c r="F3225" s="12" t="s">
        <v>7848</v>
      </c>
      <c r="G3225" s="15" t="s">
        <v>16</v>
      </c>
    </row>
    <row r="3226" spans="1:7" hidden="1" x14ac:dyDescent="0.25">
      <c r="A3226" s="11" t="s">
        <v>7851</v>
      </c>
      <c r="B3226" s="12" t="s">
        <v>7852</v>
      </c>
      <c r="C3226" s="13">
        <v>3</v>
      </c>
      <c r="D3226" s="12" t="s">
        <v>1112</v>
      </c>
      <c r="E3226" s="12" t="s">
        <v>7853</v>
      </c>
      <c r="F3226" s="12" t="s">
        <v>7856</v>
      </c>
      <c r="G3226" s="15" t="s">
        <v>16</v>
      </c>
    </row>
    <row r="3227" spans="1:7" hidden="1" x14ac:dyDescent="0.25">
      <c r="A3227" s="11" t="s">
        <v>7859</v>
      </c>
      <c r="B3227" s="12" t="s">
        <v>7860</v>
      </c>
      <c r="C3227" s="13">
        <v>3</v>
      </c>
      <c r="D3227" s="12" t="s">
        <v>1112</v>
      </c>
      <c r="E3227" s="12" t="s">
        <v>7861</v>
      </c>
      <c r="F3227" s="12" t="s">
        <v>7864</v>
      </c>
      <c r="G3227" s="15" t="s">
        <v>16</v>
      </c>
    </row>
    <row r="3228" spans="1:7" hidden="1" x14ac:dyDescent="0.25">
      <c r="A3228" s="11" t="s">
        <v>7867</v>
      </c>
      <c r="B3228" s="12" t="s">
        <v>7868</v>
      </c>
      <c r="C3228" s="13">
        <v>3</v>
      </c>
      <c r="D3228" s="12" t="s">
        <v>1112</v>
      </c>
      <c r="E3228" s="12" t="s">
        <v>7869</v>
      </c>
      <c r="F3228" s="12" t="s">
        <v>7872</v>
      </c>
      <c r="G3228" s="15" t="s">
        <v>16</v>
      </c>
    </row>
    <row r="3229" spans="1:7" hidden="1" x14ac:dyDescent="0.25">
      <c r="A3229" s="11" t="s">
        <v>7875</v>
      </c>
      <c r="B3229" s="12" t="s">
        <v>7876</v>
      </c>
      <c r="C3229" s="13">
        <v>3</v>
      </c>
      <c r="D3229" s="12" t="s">
        <v>1112</v>
      </c>
      <c r="E3229" s="12" t="s">
        <v>7877</v>
      </c>
      <c r="F3229" s="12" t="s">
        <v>7880</v>
      </c>
      <c r="G3229" s="15" t="s">
        <v>16</v>
      </c>
    </row>
    <row r="3230" spans="1:7" hidden="1" x14ac:dyDescent="0.25">
      <c r="A3230" s="11" t="s">
        <v>7883</v>
      </c>
      <c r="B3230" s="12" t="s">
        <v>7884</v>
      </c>
      <c r="C3230" s="13">
        <v>3</v>
      </c>
      <c r="D3230" s="12" t="s">
        <v>1112</v>
      </c>
      <c r="E3230" s="12" t="s">
        <v>7885</v>
      </c>
      <c r="F3230" s="12" t="s">
        <v>7888</v>
      </c>
      <c r="G3230" s="15" t="s">
        <v>16</v>
      </c>
    </row>
    <row r="3231" spans="1:7" hidden="1" x14ac:dyDescent="0.25">
      <c r="A3231" s="11" t="s">
        <v>7891</v>
      </c>
      <c r="B3231" s="12" t="s">
        <v>7892</v>
      </c>
      <c r="C3231" s="13">
        <v>3</v>
      </c>
      <c r="D3231" s="12" t="s">
        <v>1112</v>
      </c>
      <c r="E3231" s="12" t="s">
        <v>7893</v>
      </c>
      <c r="F3231" s="12" t="s">
        <v>7896</v>
      </c>
      <c r="G3231" s="15" t="s">
        <v>16</v>
      </c>
    </row>
    <row r="3232" spans="1:7" hidden="1" x14ac:dyDescent="0.25">
      <c r="A3232" s="11" t="s">
        <v>7899</v>
      </c>
      <c r="B3232" s="12" t="s">
        <v>1373</v>
      </c>
      <c r="C3232" s="13">
        <v>3</v>
      </c>
      <c r="D3232" s="12" t="s">
        <v>1112</v>
      </c>
      <c r="E3232" s="12" t="s">
        <v>7900</v>
      </c>
      <c r="F3232" s="12" t="s">
        <v>7903</v>
      </c>
      <c r="G3232" s="15" t="s">
        <v>16</v>
      </c>
    </row>
    <row r="3233" spans="1:9" hidden="1" x14ac:dyDescent="0.25">
      <c r="A3233" s="11" t="s">
        <v>7906</v>
      </c>
      <c r="B3233" s="12" t="s">
        <v>1373</v>
      </c>
      <c r="C3233" s="13">
        <v>3</v>
      </c>
      <c r="D3233" s="12" t="s">
        <v>1112</v>
      </c>
      <c r="E3233" s="12" t="s">
        <v>7907</v>
      </c>
      <c r="F3233" s="12" t="s">
        <v>7910</v>
      </c>
      <c r="G3233" s="15" t="s">
        <v>16</v>
      </c>
    </row>
    <row r="3234" spans="1:9" hidden="1" x14ac:dyDescent="0.25">
      <c r="A3234" s="11" t="s">
        <v>7913</v>
      </c>
      <c r="B3234" s="12" t="s">
        <v>4003</v>
      </c>
      <c r="C3234" s="13">
        <v>3</v>
      </c>
      <c r="D3234" s="12" t="s">
        <v>1112</v>
      </c>
      <c r="E3234" s="12" t="s">
        <v>7915</v>
      </c>
      <c r="F3234" s="12" t="s">
        <v>7918</v>
      </c>
      <c r="G3234" s="15" t="s">
        <v>16</v>
      </c>
    </row>
    <row r="3235" spans="1:9" hidden="1" x14ac:dyDescent="0.25">
      <c r="A3235" s="11" t="s">
        <v>7922</v>
      </c>
      <c r="B3235" s="12" t="s">
        <v>3445</v>
      </c>
      <c r="C3235" s="13">
        <v>3</v>
      </c>
      <c r="D3235" s="12" t="s">
        <v>1112</v>
      </c>
      <c r="E3235" s="12" t="s">
        <v>7923</v>
      </c>
      <c r="F3235" s="12" t="s">
        <v>7926</v>
      </c>
      <c r="G3235" s="15" t="s">
        <v>16</v>
      </c>
    </row>
    <row r="3236" spans="1:9" hidden="1" x14ac:dyDescent="0.25">
      <c r="A3236" s="11" t="s">
        <v>7929</v>
      </c>
      <c r="B3236" s="12" t="s">
        <v>4001</v>
      </c>
      <c r="C3236" s="13">
        <v>3</v>
      </c>
      <c r="D3236" s="12" t="s">
        <v>1112</v>
      </c>
      <c r="E3236" s="12" t="s">
        <v>7930</v>
      </c>
      <c r="F3236" s="12" t="s">
        <v>7933</v>
      </c>
      <c r="G3236" s="15" t="s">
        <v>16</v>
      </c>
    </row>
    <row r="3237" spans="1:9" hidden="1" x14ac:dyDescent="0.25">
      <c r="A3237" s="11" t="s">
        <v>7936</v>
      </c>
      <c r="B3237" s="12" t="s">
        <v>5488</v>
      </c>
      <c r="C3237" s="13">
        <v>3</v>
      </c>
      <c r="D3237" s="12" t="s">
        <v>1112</v>
      </c>
      <c r="E3237" s="12" t="s">
        <v>7937</v>
      </c>
      <c r="F3237" s="12" t="s">
        <v>7940</v>
      </c>
      <c r="G3237" s="15" t="s">
        <v>16</v>
      </c>
    </row>
    <row r="3238" spans="1:9" hidden="1" x14ac:dyDescent="0.25">
      <c r="A3238" s="11" t="s">
        <v>7943</v>
      </c>
      <c r="B3238" s="12" t="s">
        <v>7944</v>
      </c>
      <c r="C3238" s="13">
        <v>3</v>
      </c>
      <c r="D3238" s="12" t="s">
        <v>1112</v>
      </c>
      <c r="E3238" s="12" t="s">
        <v>7945</v>
      </c>
      <c r="F3238" s="12" t="s">
        <v>7948</v>
      </c>
      <c r="G3238" s="15" t="s">
        <v>16</v>
      </c>
    </row>
    <row r="3239" spans="1:9" hidden="1" x14ac:dyDescent="0.25">
      <c r="A3239" s="11" t="s">
        <v>7951</v>
      </c>
      <c r="B3239" s="12" t="s">
        <v>7952</v>
      </c>
      <c r="C3239" s="13">
        <v>3</v>
      </c>
      <c r="D3239" s="12" t="s">
        <v>1112</v>
      </c>
      <c r="E3239" s="12" t="s">
        <v>7953</v>
      </c>
      <c r="F3239" s="12" t="s">
        <v>7956</v>
      </c>
      <c r="G3239" s="15" t="s">
        <v>16</v>
      </c>
    </row>
    <row r="3240" spans="1:9" hidden="1" x14ac:dyDescent="0.25">
      <c r="A3240" s="11" t="s">
        <v>7959</v>
      </c>
      <c r="B3240" s="12" t="s">
        <v>7960</v>
      </c>
      <c r="C3240" s="13">
        <v>3</v>
      </c>
      <c r="D3240" s="12" t="s">
        <v>1112</v>
      </c>
      <c r="E3240" s="12" t="s">
        <v>7961</v>
      </c>
      <c r="F3240" s="12" t="s">
        <v>7964</v>
      </c>
      <c r="G3240" s="15" t="s">
        <v>16</v>
      </c>
    </row>
    <row r="3241" spans="1:9" hidden="1" x14ac:dyDescent="0.25">
      <c r="A3241" s="11" t="s">
        <v>7967</v>
      </c>
      <c r="B3241" s="12" t="s">
        <v>3405</v>
      </c>
      <c r="C3241" s="13">
        <v>3</v>
      </c>
      <c r="D3241" s="12" t="s">
        <v>1112</v>
      </c>
      <c r="E3241" s="12" t="s">
        <v>7968</v>
      </c>
      <c r="F3241" s="12" t="s">
        <v>7971</v>
      </c>
      <c r="G3241" s="15" t="s">
        <v>16</v>
      </c>
    </row>
    <row r="3242" spans="1:9" hidden="1" x14ac:dyDescent="0.25">
      <c r="A3242" s="11" t="s">
        <v>7974</v>
      </c>
      <c r="B3242" s="12" t="s">
        <v>7975</v>
      </c>
      <c r="C3242" s="13">
        <v>3</v>
      </c>
      <c r="D3242" s="12" t="s">
        <v>1112</v>
      </c>
      <c r="E3242" s="12" t="s">
        <v>7976</v>
      </c>
      <c r="F3242" s="12" t="s">
        <v>7979</v>
      </c>
      <c r="G3242" s="15" t="s">
        <v>16</v>
      </c>
    </row>
    <row r="3243" spans="1:9" hidden="1" x14ac:dyDescent="0.25">
      <c r="A3243" s="11" t="s">
        <v>7982</v>
      </c>
      <c r="B3243" s="12" t="s">
        <v>3416</v>
      </c>
      <c r="C3243" s="13">
        <v>3</v>
      </c>
      <c r="D3243" s="12" t="s">
        <v>1112</v>
      </c>
      <c r="E3243" s="12" t="s">
        <v>7983</v>
      </c>
      <c r="F3243" s="12" t="s">
        <v>7986</v>
      </c>
      <c r="G3243" s="15" t="s">
        <v>16</v>
      </c>
    </row>
    <row r="3244" spans="1:9" hidden="1" x14ac:dyDescent="0.25">
      <c r="A3244" s="11" t="s">
        <v>7989</v>
      </c>
      <c r="B3244" s="12" t="s">
        <v>1377</v>
      </c>
      <c r="C3244" s="13">
        <v>3</v>
      </c>
      <c r="D3244" s="12" t="s">
        <v>1112</v>
      </c>
      <c r="E3244" s="12" t="s">
        <v>7990</v>
      </c>
      <c r="F3244" s="12" t="s">
        <v>7993</v>
      </c>
      <c r="G3244" s="15" t="s">
        <v>16</v>
      </c>
    </row>
    <row r="3245" spans="1:9" hidden="1" x14ac:dyDescent="0.25">
      <c r="A3245" s="11" t="s">
        <v>7996</v>
      </c>
      <c r="B3245" s="12" t="s">
        <v>5993</v>
      </c>
      <c r="C3245" s="13">
        <v>3</v>
      </c>
      <c r="D3245" s="12" t="s">
        <v>1112</v>
      </c>
      <c r="E3245" s="12" t="s">
        <v>7997</v>
      </c>
      <c r="F3245" s="12" t="s">
        <v>8000</v>
      </c>
      <c r="G3245" s="15" t="s">
        <v>16</v>
      </c>
    </row>
    <row r="3246" spans="1:9" hidden="1" x14ac:dyDescent="0.25">
      <c r="A3246" s="11" t="s">
        <v>8003</v>
      </c>
      <c r="B3246" s="12" t="s">
        <v>8004</v>
      </c>
      <c r="C3246" s="13">
        <v>3</v>
      </c>
      <c r="D3246" s="12" t="s">
        <v>1112</v>
      </c>
      <c r="E3246" s="12" t="s">
        <v>8005</v>
      </c>
      <c r="F3246" s="12" t="s">
        <v>8008</v>
      </c>
      <c r="G3246" s="15" t="s">
        <v>16</v>
      </c>
    </row>
    <row r="3247" spans="1:9" hidden="1" x14ac:dyDescent="0.25">
      <c r="A3247" s="11" t="s">
        <v>8011</v>
      </c>
      <c r="B3247" s="12" t="s">
        <v>8012</v>
      </c>
      <c r="C3247" s="13">
        <v>3</v>
      </c>
      <c r="D3247" s="12" t="s">
        <v>1112</v>
      </c>
      <c r="E3247" s="12" t="s">
        <v>8013</v>
      </c>
      <c r="F3247" s="12" t="s">
        <v>8016</v>
      </c>
      <c r="G3247" s="15" t="s">
        <v>16</v>
      </c>
    </row>
    <row r="3248" spans="1:9" hidden="1" x14ac:dyDescent="0.25">
      <c r="A3248" s="11" t="s">
        <v>8019</v>
      </c>
      <c r="B3248" s="12" t="s">
        <v>4025</v>
      </c>
      <c r="C3248" s="13">
        <v>3</v>
      </c>
      <c r="D3248" s="12" t="s">
        <v>1112</v>
      </c>
      <c r="E3248" s="12" t="s">
        <v>8020</v>
      </c>
      <c r="F3248" s="12" t="s">
        <v>8023</v>
      </c>
      <c r="G3248" s="15" t="s">
        <v>16</v>
      </c>
      <c r="I3248" s="90" t="s">
        <v>2426</v>
      </c>
    </row>
    <row r="3249" spans="1:9" hidden="1" x14ac:dyDescent="0.25">
      <c r="A3249" s="11" t="s">
        <v>8026</v>
      </c>
      <c r="B3249" s="12" t="s">
        <v>8027</v>
      </c>
      <c r="C3249" s="13">
        <v>3</v>
      </c>
      <c r="D3249" s="12" t="s">
        <v>1112</v>
      </c>
      <c r="E3249" s="12" t="s">
        <v>8028</v>
      </c>
      <c r="F3249" s="12" t="s">
        <v>8031</v>
      </c>
      <c r="G3249" s="15" t="s">
        <v>16</v>
      </c>
      <c r="I3249" s="90" t="s">
        <v>2426</v>
      </c>
    </row>
    <row r="3250" spans="1:9" hidden="1" x14ac:dyDescent="0.25">
      <c r="A3250" s="11" t="s">
        <v>8034</v>
      </c>
      <c r="B3250" s="12" t="s">
        <v>8035</v>
      </c>
      <c r="C3250" s="13">
        <v>3</v>
      </c>
      <c r="D3250" s="12" t="s">
        <v>1112</v>
      </c>
      <c r="E3250" s="12" t="s">
        <v>8036</v>
      </c>
      <c r="F3250" s="12" t="s">
        <v>8039</v>
      </c>
      <c r="G3250" s="15" t="s">
        <v>16</v>
      </c>
      <c r="I3250" s="90" t="s">
        <v>2426</v>
      </c>
    </row>
    <row r="3251" spans="1:9" hidden="1" x14ac:dyDescent="0.25">
      <c r="A3251" s="11" t="s">
        <v>8042</v>
      </c>
      <c r="B3251" s="12" t="s">
        <v>8043</v>
      </c>
      <c r="C3251" s="13">
        <v>3</v>
      </c>
      <c r="D3251" s="12" t="s">
        <v>1112</v>
      </c>
      <c r="E3251" s="12" t="s">
        <v>8044</v>
      </c>
      <c r="F3251" s="12" t="s">
        <v>8047</v>
      </c>
      <c r="G3251" s="15" t="s">
        <v>16</v>
      </c>
      <c r="I3251" s="90" t="s">
        <v>2426</v>
      </c>
    </row>
    <row r="3252" spans="1:9" hidden="1" x14ac:dyDescent="0.25">
      <c r="A3252" s="11" t="s">
        <v>8050</v>
      </c>
      <c r="B3252" s="12" t="s">
        <v>8051</v>
      </c>
      <c r="C3252" s="13">
        <v>3</v>
      </c>
      <c r="D3252" s="12" t="s">
        <v>1112</v>
      </c>
      <c r="E3252" s="12" t="s">
        <v>8052</v>
      </c>
      <c r="F3252" s="12" t="s">
        <v>8055</v>
      </c>
      <c r="G3252" s="15" t="s">
        <v>16</v>
      </c>
      <c r="I3252" s="90" t="s">
        <v>2426</v>
      </c>
    </row>
    <row r="3253" spans="1:9" hidden="1" x14ac:dyDescent="0.25">
      <c r="A3253" s="11" t="s">
        <v>8058</v>
      </c>
      <c r="B3253" s="12" t="s">
        <v>8059</v>
      </c>
      <c r="C3253" s="13">
        <v>3</v>
      </c>
      <c r="D3253" s="12" t="s">
        <v>1112</v>
      </c>
      <c r="E3253" s="12" t="s">
        <v>8060</v>
      </c>
      <c r="F3253" s="12" t="s">
        <v>8063</v>
      </c>
      <c r="G3253" s="15" t="s">
        <v>16</v>
      </c>
      <c r="I3253" s="90" t="s">
        <v>2426</v>
      </c>
    </row>
    <row r="3254" spans="1:9" hidden="1" x14ac:dyDescent="0.25">
      <c r="A3254" s="11" t="s">
        <v>8066</v>
      </c>
      <c r="B3254" s="12" t="s">
        <v>8067</v>
      </c>
      <c r="C3254" s="13">
        <v>3</v>
      </c>
      <c r="D3254" s="12" t="s">
        <v>1112</v>
      </c>
      <c r="E3254" s="12" t="s">
        <v>8068</v>
      </c>
      <c r="F3254" s="12" t="s">
        <v>8071</v>
      </c>
      <c r="G3254" s="15" t="s">
        <v>16</v>
      </c>
      <c r="I3254" s="90" t="s">
        <v>2426</v>
      </c>
    </row>
    <row r="3255" spans="1:9" hidden="1" x14ac:dyDescent="0.25">
      <c r="A3255" s="11" t="s">
        <v>8074</v>
      </c>
      <c r="B3255" s="12" t="s">
        <v>8075</v>
      </c>
      <c r="C3255" s="13">
        <v>3</v>
      </c>
      <c r="D3255" s="12" t="s">
        <v>1112</v>
      </c>
      <c r="E3255" s="12" t="s">
        <v>8076</v>
      </c>
      <c r="F3255" s="12" t="s">
        <v>8079</v>
      </c>
      <c r="G3255" s="15" t="s">
        <v>16</v>
      </c>
      <c r="I3255" s="90" t="s">
        <v>2426</v>
      </c>
    </row>
    <row r="3256" spans="1:9" hidden="1" x14ac:dyDescent="0.25">
      <c r="A3256" s="11" t="s">
        <v>8082</v>
      </c>
      <c r="B3256" s="12" t="s">
        <v>4382</v>
      </c>
      <c r="C3256" s="13">
        <v>3</v>
      </c>
      <c r="D3256" s="12" t="s">
        <v>1112</v>
      </c>
      <c r="E3256" s="12" t="s">
        <v>8083</v>
      </c>
      <c r="F3256" s="12" t="s">
        <v>8086</v>
      </c>
      <c r="G3256" s="15" t="s">
        <v>16</v>
      </c>
      <c r="I3256" s="90" t="s">
        <v>2426</v>
      </c>
    </row>
    <row r="3257" spans="1:9" hidden="1" x14ac:dyDescent="0.25">
      <c r="A3257" s="11" t="s">
        <v>8089</v>
      </c>
      <c r="B3257" s="12" t="s">
        <v>8090</v>
      </c>
      <c r="C3257" s="13">
        <v>3</v>
      </c>
      <c r="D3257" s="12" t="s">
        <v>1112</v>
      </c>
      <c r="E3257" s="12" t="s">
        <v>8091</v>
      </c>
      <c r="F3257" s="12" t="s">
        <v>8094</v>
      </c>
      <c r="G3257" s="15" t="s">
        <v>16</v>
      </c>
      <c r="I3257" s="90" t="s">
        <v>5668</v>
      </c>
    </row>
    <row r="3258" spans="1:9" hidden="1" x14ac:dyDescent="0.25">
      <c r="A3258" s="11" t="s">
        <v>8097</v>
      </c>
      <c r="B3258" s="12" t="s">
        <v>8098</v>
      </c>
      <c r="C3258" s="13">
        <v>3</v>
      </c>
      <c r="D3258" s="12" t="s">
        <v>1112</v>
      </c>
      <c r="E3258" s="12" t="s">
        <v>8099</v>
      </c>
      <c r="F3258" s="12" t="s">
        <v>8102</v>
      </c>
      <c r="G3258" s="15" t="s">
        <v>16</v>
      </c>
      <c r="I3258" s="90">
        <v>12</v>
      </c>
    </row>
    <row r="3259" spans="1:9" hidden="1" x14ac:dyDescent="0.25">
      <c r="A3259" s="11" t="s">
        <v>8105</v>
      </c>
      <c r="B3259" s="12" t="s">
        <v>79</v>
      </c>
      <c r="C3259" s="13">
        <v>3</v>
      </c>
      <c r="D3259" s="12" t="s">
        <v>1112</v>
      </c>
      <c r="E3259" s="12" t="s">
        <v>8106</v>
      </c>
      <c r="F3259" s="12" t="s">
        <v>8109</v>
      </c>
      <c r="G3259" s="15" t="s">
        <v>16</v>
      </c>
      <c r="I3259" s="90">
        <v>12</v>
      </c>
    </row>
    <row r="3260" spans="1:9" hidden="1" x14ac:dyDescent="0.25">
      <c r="A3260" s="11" t="s">
        <v>8112</v>
      </c>
      <c r="B3260" s="12" t="s">
        <v>52</v>
      </c>
      <c r="C3260" s="13">
        <v>3</v>
      </c>
      <c r="D3260" s="12" t="s">
        <v>1112</v>
      </c>
      <c r="E3260" s="12" t="s">
        <v>8113</v>
      </c>
      <c r="F3260" s="12" t="s">
        <v>8116</v>
      </c>
      <c r="G3260" s="15" t="s">
        <v>16</v>
      </c>
      <c r="I3260" s="90">
        <v>12</v>
      </c>
    </row>
    <row r="3261" spans="1:9" hidden="1" x14ac:dyDescent="0.25">
      <c r="A3261" s="11" t="s">
        <v>8119</v>
      </c>
      <c r="B3261" s="12" t="s">
        <v>8120</v>
      </c>
      <c r="C3261" s="13">
        <v>3</v>
      </c>
      <c r="D3261" s="12" t="s">
        <v>1112</v>
      </c>
      <c r="E3261" s="12" t="s">
        <v>8121</v>
      </c>
      <c r="F3261" s="12" t="s">
        <v>8124</v>
      </c>
      <c r="G3261" s="15" t="s">
        <v>16</v>
      </c>
      <c r="I3261" s="90">
        <v>12</v>
      </c>
    </row>
    <row r="3262" spans="1:9" hidden="1" x14ac:dyDescent="0.25">
      <c r="A3262" s="11" t="s">
        <v>8127</v>
      </c>
      <c r="B3262" s="12" t="s">
        <v>8128</v>
      </c>
      <c r="C3262" s="13">
        <v>3</v>
      </c>
      <c r="D3262" s="12" t="s">
        <v>1112</v>
      </c>
      <c r="E3262" s="12" t="s">
        <v>8129</v>
      </c>
      <c r="F3262" s="12" t="s">
        <v>8132</v>
      </c>
      <c r="G3262" s="15" t="s">
        <v>16</v>
      </c>
      <c r="I3262" s="90">
        <v>12</v>
      </c>
    </row>
    <row r="3263" spans="1:9" hidden="1" x14ac:dyDescent="0.25">
      <c r="A3263" s="11" t="s">
        <v>8135</v>
      </c>
      <c r="B3263" s="12" t="s">
        <v>8136</v>
      </c>
      <c r="C3263" s="13">
        <v>3</v>
      </c>
      <c r="D3263" s="12" t="s">
        <v>1112</v>
      </c>
      <c r="E3263" s="12" t="s">
        <v>8137</v>
      </c>
      <c r="F3263" s="12" t="s">
        <v>8140</v>
      </c>
      <c r="G3263" s="15" t="s">
        <v>16</v>
      </c>
      <c r="I3263" s="90">
        <v>12</v>
      </c>
    </row>
    <row r="3264" spans="1:9" hidden="1" x14ac:dyDescent="0.25">
      <c r="A3264" s="11" t="s">
        <v>8143</v>
      </c>
      <c r="B3264" s="12" t="s">
        <v>8144</v>
      </c>
      <c r="C3264" s="13">
        <v>3</v>
      </c>
      <c r="D3264" s="12" t="s">
        <v>1112</v>
      </c>
      <c r="E3264" s="12" t="s">
        <v>8145</v>
      </c>
      <c r="F3264" s="12" t="s">
        <v>8148</v>
      </c>
      <c r="G3264" s="15" t="s">
        <v>16</v>
      </c>
      <c r="I3264" s="90">
        <v>12</v>
      </c>
    </row>
    <row r="3265" spans="1:9" hidden="1" x14ac:dyDescent="0.25">
      <c r="A3265" s="11" t="s">
        <v>8151</v>
      </c>
      <c r="B3265" s="12" t="s">
        <v>6748</v>
      </c>
      <c r="C3265" s="13">
        <v>3</v>
      </c>
      <c r="D3265" s="12" t="s">
        <v>1112</v>
      </c>
      <c r="E3265" s="12" t="s">
        <v>8152</v>
      </c>
      <c r="F3265" s="12" t="s">
        <v>8155</v>
      </c>
      <c r="G3265" s="15" t="s">
        <v>16</v>
      </c>
      <c r="I3265" s="90">
        <v>12</v>
      </c>
    </row>
    <row r="3266" spans="1:9" hidden="1" x14ac:dyDescent="0.25">
      <c r="A3266" s="11" t="s">
        <v>8158</v>
      </c>
      <c r="B3266" s="12" t="s">
        <v>8159</v>
      </c>
      <c r="C3266" s="13">
        <v>3</v>
      </c>
      <c r="D3266" s="12" t="s">
        <v>1112</v>
      </c>
      <c r="E3266" s="12" t="s">
        <v>8160</v>
      </c>
      <c r="F3266" s="12" t="s">
        <v>8163</v>
      </c>
      <c r="G3266" s="15" t="s">
        <v>16</v>
      </c>
      <c r="I3266" s="90">
        <v>12</v>
      </c>
    </row>
    <row r="3267" spans="1:9" hidden="1" x14ac:dyDescent="0.25">
      <c r="A3267" s="11" t="s">
        <v>8166</v>
      </c>
      <c r="B3267" s="12" t="s">
        <v>8167</v>
      </c>
      <c r="C3267" s="13">
        <v>3</v>
      </c>
      <c r="D3267" s="12" t="s">
        <v>1112</v>
      </c>
      <c r="E3267" s="12" t="s">
        <v>8168</v>
      </c>
      <c r="F3267" s="12" t="s">
        <v>8171</v>
      </c>
      <c r="G3267" s="15" t="s">
        <v>16</v>
      </c>
      <c r="I3267" s="90">
        <v>12</v>
      </c>
    </row>
    <row r="3268" spans="1:9" hidden="1" x14ac:dyDescent="0.25">
      <c r="A3268" s="11" t="s">
        <v>8174</v>
      </c>
      <c r="B3268" s="12" t="s">
        <v>8175</v>
      </c>
      <c r="C3268" s="13">
        <v>3</v>
      </c>
      <c r="D3268" s="12" t="s">
        <v>1112</v>
      </c>
      <c r="E3268" s="12" t="s">
        <v>8176</v>
      </c>
      <c r="F3268" s="12" t="s">
        <v>8179</v>
      </c>
      <c r="G3268" s="15" t="s">
        <v>16</v>
      </c>
      <c r="I3268" s="90">
        <v>12</v>
      </c>
    </row>
    <row r="3269" spans="1:9" hidden="1" x14ac:dyDescent="0.25">
      <c r="A3269" s="11" t="s">
        <v>8182</v>
      </c>
      <c r="B3269" s="12" t="s">
        <v>6549</v>
      </c>
      <c r="C3269" s="13">
        <v>3</v>
      </c>
      <c r="D3269" s="12" t="s">
        <v>1112</v>
      </c>
      <c r="E3269" s="12" t="s">
        <v>8183</v>
      </c>
      <c r="F3269" s="12" t="s">
        <v>8186</v>
      </c>
      <c r="G3269" s="15" t="s">
        <v>16</v>
      </c>
      <c r="I3269" s="90">
        <v>12</v>
      </c>
    </row>
    <row r="3270" spans="1:9" hidden="1" x14ac:dyDescent="0.25">
      <c r="A3270" s="11" t="s">
        <v>8189</v>
      </c>
      <c r="B3270" s="12" t="s">
        <v>6551</v>
      </c>
      <c r="C3270" s="13">
        <v>3</v>
      </c>
      <c r="D3270" s="12" t="s">
        <v>1112</v>
      </c>
      <c r="E3270" s="12" t="s">
        <v>8190</v>
      </c>
      <c r="F3270" s="12" t="s">
        <v>8193</v>
      </c>
      <c r="G3270" s="15" t="s">
        <v>16</v>
      </c>
      <c r="I3270" s="90">
        <v>12</v>
      </c>
    </row>
    <row r="3271" spans="1:9" hidden="1" x14ac:dyDescent="0.25">
      <c r="A3271" s="11" t="s">
        <v>8196</v>
      </c>
      <c r="B3271" s="12" t="s">
        <v>6553</v>
      </c>
      <c r="C3271" s="13">
        <v>3</v>
      </c>
      <c r="D3271" s="12" t="s">
        <v>1112</v>
      </c>
      <c r="E3271" s="12" t="s">
        <v>8197</v>
      </c>
      <c r="F3271" s="12" t="s">
        <v>8200</v>
      </c>
      <c r="G3271" s="15" t="s">
        <v>16</v>
      </c>
      <c r="I3271" s="90">
        <v>12</v>
      </c>
    </row>
    <row r="3272" spans="1:9" hidden="1" x14ac:dyDescent="0.25">
      <c r="A3272" s="11" t="s">
        <v>8203</v>
      </c>
      <c r="B3272" s="12" t="s">
        <v>8204</v>
      </c>
      <c r="C3272" s="13">
        <v>3</v>
      </c>
      <c r="D3272" s="12" t="s">
        <v>1112</v>
      </c>
      <c r="E3272" s="12" t="s">
        <v>8205</v>
      </c>
      <c r="F3272" s="12" t="s">
        <v>8208</v>
      </c>
      <c r="G3272" s="15" t="s">
        <v>16</v>
      </c>
      <c r="I3272" s="90">
        <v>12</v>
      </c>
    </row>
    <row r="3273" spans="1:9" hidden="1" x14ac:dyDescent="0.25">
      <c r="A3273" s="11" t="s">
        <v>8211</v>
      </c>
      <c r="B3273" s="12" t="s">
        <v>481</v>
      </c>
      <c r="C3273" s="13">
        <v>3</v>
      </c>
      <c r="D3273" s="12" t="s">
        <v>1112</v>
      </c>
      <c r="E3273" s="12" t="s">
        <v>8212</v>
      </c>
      <c r="F3273" s="12" t="s">
        <v>8215</v>
      </c>
      <c r="G3273" s="15" t="s">
        <v>16</v>
      </c>
      <c r="I3273" s="99">
        <v>13</v>
      </c>
    </row>
    <row r="3274" spans="1:9" hidden="1" x14ac:dyDescent="0.25">
      <c r="A3274" s="11" t="s">
        <v>8218</v>
      </c>
      <c r="B3274" s="12" t="s">
        <v>8219</v>
      </c>
      <c r="C3274" s="13">
        <v>3</v>
      </c>
      <c r="D3274" s="12" t="s">
        <v>1112</v>
      </c>
      <c r="E3274" s="12" t="s">
        <v>8220</v>
      </c>
      <c r="F3274" s="12" t="s">
        <v>8223</v>
      </c>
      <c r="G3274" s="15" t="s">
        <v>16</v>
      </c>
      <c r="I3274" s="99">
        <v>13</v>
      </c>
    </row>
    <row r="3275" spans="1:9" hidden="1" x14ac:dyDescent="0.25">
      <c r="A3275" s="11" t="s">
        <v>8226</v>
      </c>
      <c r="B3275" s="12" t="s">
        <v>8227</v>
      </c>
      <c r="C3275" s="13">
        <v>3</v>
      </c>
      <c r="D3275" s="12" t="s">
        <v>1112</v>
      </c>
      <c r="E3275" s="12" t="s">
        <v>8228</v>
      </c>
      <c r="F3275" s="12" t="s">
        <v>8231</v>
      </c>
      <c r="G3275" s="15" t="s">
        <v>16</v>
      </c>
      <c r="I3275" s="99">
        <v>13</v>
      </c>
    </row>
    <row r="3276" spans="1:9" hidden="1" x14ac:dyDescent="0.25">
      <c r="A3276" s="11" t="s">
        <v>8234</v>
      </c>
      <c r="B3276" s="12" t="s">
        <v>8235</v>
      </c>
      <c r="C3276" s="13">
        <v>3</v>
      </c>
      <c r="D3276" s="12" t="s">
        <v>1112</v>
      </c>
      <c r="E3276" s="12" t="s">
        <v>8236</v>
      </c>
      <c r="F3276" s="12" t="s">
        <v>8239</v>
      </c>
      <c r="G3276" s="15" t="s">
        <v>16</v>
      </c>
      <c r="I3276" s="99">
        <v>13</v>
      </c>
    </row>
    <row r="3277" spans="1:9" hidden="1" x14ac:dyDescent="0.25">
      <c r="A3277" s="11" t="s">
        <v>8242</v>
      </c>
      <c r="B3277" s="12" t="s">
        <v>6248</v>
      </c>
      <c r="C3277" s="13">
        <v>3</v>
      </c>
      <c r="D3277" s="12" t="s">
        <v>1112</v>
      </c>
      <c r="E3277" s="12" t="s">
        <v>8243</v>
      </c>
      <c r="F3277" s="12" t="s">
        <v>8246</v>
      </c>
      <c r="G3277" s="15" t="s">
        <v>16</v>
      </c>
      <c r="I3277" s="99">
        <v>13</v>
      </c>
    </row>
    <row r="3278" spans="1:9" hidden="1" x14ac:dyDescent="0.25">
      <c r="A3278" s="11" t="s">
        <v>8249</v>
      </c>
      <c r="B3278" s="12" t="s">
        <v>8250</v>
      </c>
      <c r="C3278" s="13">
        <v>3</v>
      </c>
      <c r="D3278" s="12" t="s">
        <v>1112</v>
      </c>
      <c r="E3278" s="12" t="s">
        <v>8251</v>
      </c>
      <c r="F3278" s="12" t="s">
        <v>8254</v>
      </c>
      <c r="G3278" s="15" t="s">
        <v>16</v>
      </c>
      <c r="I3278" s="99">
        <v>13</v>
      </c>
    </row>
    <row r="3279" spans="1:9" hidden="1" x14ac:dyDescent="0.25">
      <c r="A3279" s="11" t="s">
        <v>8257</v>
      </c>
      <c r="B3279" s="12" t="s">
        <v>8258</v>
      </c>
      <c r="C3279" s="13">
        <v>3</v>
      </c>
      <c r="D3279" s="12" t="s">
        <v>1112</v>
      </c>
      <c r="E3279" s="12" t="s">
        <v>8259</v>
      </c>
      <c r="F3279" s="12" t="s">
        <v>8262</v>
      </c>
      <c r="G3279" s="15" t="s">
        <v>16</v>
      </c>
      <c r="I3279" s="99">
        <v>13</v>
      </c>
    </row>
    <row r="3280" spans="1:9" hidden="1" x14ac:dyDescent="0.25">
      <c r="A3280" s="11" t="s">
        <v>8265</v>
      </c>
      <c r="B3280" s="12" t="s">
        <v>1417</v>
      </c>
      <c r="C3280" s="13">
        <v>3</v>
      </c>
      <c r="D3280" s="12" t="s">
        <v>1112</v>
      </c>
      <c r="E3280" s="12" t="s">
        <v>8266</v>
      </c>
      <c r="F3280" s="12" t="s">
        <v>8269</v>
      </c>
      <c r="G3280" s="15" t="s">
        <v>16</v>
      </c>
      <c r="I3280" s="99">
        <v>13</v>
      </c>
    </row>
    <row r="3281" spans="1:27" hidden="1" x14ac:dyDescent="0.25">
      <c r="A3281" s="11" t="s">
        <v>8272</v>
      </c>
      <c r="B3281" s="12" t="s">
        <v>8273</v>
      </c>
      <c r="C3281" s="13">
        <v>3</v>
      </c>
      <c r="D3281" s="12" t="s">
        <v>1112</v>
      </c>
      <c r="E3281" s="12" t="s">
        <v>8274</v>
      </c>
      <c r="F3281" s="12" t="s">
        <v>8277</v>
      </c>
      <c r="G3281" s="15" t="s">
        <v>16</v>
      </c>
      <c r="I3281" s="94">
        <v>14</v>
      </c>
    </row>
    <row r="3282" spans="1:27" hidden="1" x14ac:dyDescent="0.25">
      <c r="A3282" s="11" t="s">
        <v>8280</v>
      </c>
      <c r="B3282" s="12" t="s">
        <v>906</v>
      </c>
      <c r="C3282" s="13">
        <v>3</v>
      </c>
      <c r="D3282" s="12" t="s">
        <v>1112</v>
      </c>
      <c r="E3282" s="12" t="s">
        <v>8281</v>
      </c>
      <c r="F3282" s="12" t="s">
        <v>8284</v>
      </c>
      <c r="G3282" s="15" t="s">
        <v>16</v>
      </c>
      <c r="I3282" s="9">
        <v>15</v>
      </c>
    </row>
    <row r="3283" spans="1:27" hidden="1" x14ac:dyDescent="0.25">
      <c r="A3283" s="11" t="s">
        <v>8287</v>
      </c>
      <c r="B3283" s="12" t="s">
        <v>908</v>
      </c>
      <c r="C3283" s="13">
        <v>3</v>
      </c>
      <c r="D3283" s="12" t="s">
        <v>1112</v>
      </c>
      <c r="E3283" s="12" t="s">
        <v>8288</v>
      </c>
      <c r="F3283" s="12" t="s">
        <v>8291</v>
      </c>
      <c r="G3283" s="15" t="s">
        <v>16</v>
      </c>
      <c r="I3283" s="9">
        <v>15</v>
      </c>
    </row>
    <row r="3284" spans="1:27" hidden="1" x14ac:dyDescent="0.25">
      <c r="A3284" s="11" t="s">
        <v>8294</v>
      </c>
      <c r="B3284" s="12" t="s">
        <v>8295</v>
      </c>
      <c r="C3284" s="13">
        <v>3</v>
      </c>
      <c r="D3284" s="12" t="s">
        <v>1112</v>
      </c>
      <c r="E3284" s="12" t="s">
        <v>8296</v>
      </c>
      <c r="F3284" s="12" t="s">
        <v>8299</v>
      </c>
      <c r="G3284" s="15" t="s">
        <v>16</v>
      </c>
      <c r="I3284" s="9">
        <v>15</v>
      </c>
    </row>
    <row r="3285" spans="1:27" hidden="1" x14ac:dyDescent="0.25">
      <c r="A3285" s="11" t="s">
        <v>8302</v>
      </c>
      <c r="B3285" s="12" t="s">
        <v>8303</v>
      </c>
      <c r="C3285" s="13">
        <v>3</v>
      </c>
      <c r="D3285" s="12" t="s">
        <v>1112</v>
      </c>
      <c r="E3285" s="12" t="s">
        <v>8304</v>
      </c>
      <c r="F3285" s="12" t="s">
        <v>8307</v>
      </c>
      <c r="G3285" s="15" t="s">
        <v>16</v>
      </c>
      <c r="I3285" s="9">
        <v>15</v>
      </c>
    </row>
    <row r="3286" spans="1:27" hidden="1" x14ac:dyDescent="0.25">
      <c r="A3286" s="11" t="s">
        <v>8310</v>
      </c>
      <c r="B3286" s="12" t="s">
        <v>1808</v>
      </c>
      <c r="C3286" s="13">
        <v>3</v>
      </c>
      <c r="D3286" s="12" t="s">
        <v>1112</v>
      </c>
      <c r="E3286" s="12" t="s">
        <v>8311</v>
      </c>
      <c r="F3286" s="12" t="s">
        <v>8314</v>
      </c>
      <c r="G3286" s="15" t="s">
        <v>16</v>
      </c>
      <c r="I3286" s="9">
        <v>15</v>
      </c>
    </row>
    <row r="3287" spans="1:27" hidden="1" x14ac:dyDescent="0.25">
      <c r="A3287" s="11" t="s">
        <v>8317</v>
      </c>
      <c r="B3287" s="12" t="s">
        <v>8318</v>
      </c>
      <c r="C3287" s="13">
        <v>3</v>
      </c>
      <c r="D3287" s="12" t="s">
        <v>1112</v>
      </c>
      <c r="E3287" s="12" t="s">
        <v>8319</v>
      </c>
      <c r="F3287" s="12" t="s">
        <v>8322</v>
      </c>
      <c r="G3287" s="15" t="s">
        <v>16</v>
      </c>
      <c r="I3287" s="9">
        <v>15</v>
      </c>
    </row>
    <row r="3288" spans="1:27" hidden="1" x14ac:dyDescent="0.25">
      <c r="A3288" s="11" t="s">
        <v>8325</v>
      </c>
      <c r="B3288" s="12" t="s">
        <v>8326</v>
      </c>
      <c r="C3288" s="13">
        <v>3</v>
      </c>
      <c r="D3288" s="12" t="s">
        <v>1112</v>
      </c>
      <c r="E3288" s="12" t="s">
        <v>8327</v>
      </c>
      <c r="F3288" s="12" t="s">
        <v>8330</v>
      </c>
      <c r="G3288" s="15" t="s">
        <v>16</v>
      </c>
      <c r="I3288" s="9">
        <v>15</v>
      </c>
    </row>
    <row r="3289" spans="1:27" s="10" customFormat="1" hidden="1" x14ac:dyDescent="0.25">
      <c r="A3289" s="11" t="s">
        <v>8333</v>
      </c>
      <c r="B3289" s="12" t="s">
        <v>5858</v>
      </c>
      <c r="C3289" s="13">
        <v>3</v>
      </c>
      <c r="D3289" s="12" t="s">
        <v>1112</v>
      </c>
      <c r="E3289" s="12" t="s">
        <v>8334</v>
      </c>
      <c r="F3289" s="12" t="s">
        <v>8337</v>
      </c>
      <c r="G3289" s="15" t="s">
        <v>16</v>
      </c>
      <c r="H3289" s="8"/>
      <c r="I3289" s="9">
        <v>15</v>
      </c>
      <c r="J3289" s="8"/>
      <c r="K3289" s="8"/>
      <c r="L3289" s="8"/>
      <c r="M3289" s="8"/>
      <c r="N3289" s="8"/>
      <c r="O3289" s="8"/>
      <c r="P3289" s="8"/>
      <c r="Q3289" s="8"/>
      <c r="R3289" s="8"/>
      <c r="S3289" s="8"/>
      <c r="T3289" s="8"/>
      <c r="U3289" s="8"/>
      <c r="V3289" s="8"/>
      <c r="W3289" s="8"/>
      <c r="X3289" s="8"/>
      <c r="Y3289" s="8"/>
      <c r="Z3289" s="8"/>
      <c r="AA3289" s="8"/>
    </row>
    <row r="3290" spans="1:27" s="10" customFormat="1" hidden="1" x14ac:dyDescent="0.25">
      <c r="A3290" s="11" t="s">
        <v>8340</v>
      </c>
      <c r="B3290" s="12" t="s">
        <v>768</v>
      </c>
      <c r="C3290" s="13">
        <v>3</v>
      </c>
      <c r="D3290" s="12" t="s">
        <v>1112</v>
      </c>
      <c r="E3290" s="12" t="s">
        <v>8341</v>
      </c>
      <c r="F3290" s="12" t="s">
        <v>8344</v>
      </c>
      <c r="G3290" s="15" t="s">
        <v>16</v>
      </c>
      <c r="H3290" s="8"/>
      <c r="I3290" s="9">
        <v>15</v>
      </c>
      <c r="J3290" s="8"/>
      <c r="K3290" s="8"/>
      <c r="L3290" s="8"/>
      <c r="M3290" s="8"/>
      <c r="N3290" s="8"/>
      <c r="O3290" s="8"/>
      <c r="P3290" s="8"/>
      <c r="Q3290" s="8"/>
      <c r="R3290" s="8"/>
      <c r="S3290" s="8"/>
      <c r="T3290" s="8"/>
      <c r="U3290" s="8"/>
      <c r="V3290" s="8"/>
      <c r="W3290" s="8"/>
      <c r="X3290" s="8"/>
      <c r="Y3290" s="8"/>
      <c r="Z3290" s="8"/>
      <c r="AA3290" s="8"/>
    </row>
    <row r="3291" spans="1:27" s="10" customFormat="1" hidden="1" x14ac:dyDescent="0.25">
      <c r="A3291" s="11" t="s">
        <v>8347</v>
      </c>
      <c r="B3291" s="12" t="s">
        <v>770</v>
      </c>
      <c r="C3291" s="13">
        <v>3</v>
      </c>
      <c r="D3291" s="12" t="s">
        <v>1112</v>
      </c>
      <c r="E3291" s="12" t="s">
        <v>8348</v>
      </c>
      <c r="F3291" s="12" t="s">
        <v>8351</v>
      </c>
      <c r="G3291" s="15" t="s">
        <v>16</v>
      </c>
      <c r="H3291" s="8"/>
      <c r="I3291" s="9">
        <v>15</v>
      </c>
      <c r="J3291" s="8"/>
      <c r="K3291" s="8"/>
      <c r="L3291" s="8"/>
      <c r="M3291" s="8"/>
      <c r="N3291" s="8"/>
      <c r="O3291" s="8"/>
      <c r="P3291" s="8"/>
      <c r="Q3291" s="8"/>
      <c r="R3291" s="8"/>
      <c r="S3291" s="8"/>
      <c r="T3291" s="8"/>
      <c r="U3291" s="8"/>
      <c r="V3291" s="8"/>
      <c r="W3291" s="8"/>
      <c r="X3291" s="8"/>
      <c r="Y3291" s="8"/>
      <c r="Z3291" s="8"/>
      <c r="AA3291" s="8"/>
    </row>
    <row r="3292" spans="1:27" s="10" customFormat="1" hidden="1" x14ac:dyDescent="0.25">
      <c r="A3292" s="11" t="s">
        <v>8354</v>
      </c>
      <c r="B3292" s="12" t="s">
        <v>772</v>
      </c>
      <c r="C3292" s="13">
        <v>3</v>
      </c>
      <c r="D3292" s="12" t="s">
        <v>1112</v>
      </c>
      <c r="E3292" s="12" t="s">
        <v>8355</v>
      </c>
      <c r="F3292" s="12" t="s">
        <v>8358</v>
      </c>
      <c r="G3292" s="15" t="s">
        <v>16</v>
      </c>
      <c r="H3292" s="8"/>
      <c r="I3292" s="9">
        <v>15</v>
      </c>
      <c r="J3292" s="8"/>
      <c r="K3292" s="8"/>
      <c r="L3292" s="8"/>
      <c r="M3292" s="8"/>
      <c r="N3292" s="8"/>
      <c r="O3292" s="8"/>
      <c r="P3292" s="8"/>
      <c r="Q3292" s="8"/>
      <c r="R3292" s="8"/>
      <c r="S3292" s="8"/>
      <c r="T3292" s="8"/>
      <c r="U3292" s="8"/>
      <c r="V3292" s="8"/>
      <c r="W3292" s="8"/>
      <c r="X3292" s="8"/>
      <c r="Y3292" s="8"/>
      <c r="Z3292" s="8"/>
      <c r="AA3292" s="8"/>
    </row>
    <row r="3293" spans="1:27" s="10" customFormat="1" hidden="1" x14ac:dyDescent="0.25">
      <c r="A3293" s="11" t="s">
        <v>8361</v>
      </c>
      <c r="B3293" s="12" t="s">
        <v>8362</v>
      </c>
      <c r="C3293" s="13">
        <v>3</v>
      </c>
      <c r="D3293" s="12" t="s">
        <v>1112</v>
      </c>
      <c r="E3293" s="12" t="s">
        <v>8363</v>
      </c>
      <c r="F3293" s="12" t="s">
        <v>8366</v>
      </c>
      <c r="G3293" s="15" t="s">
        <v>16</v>
      </c>
      <c r="H3293" s="8"/>
      <c r="I3293" s="9">
        <v>15</v>
      </c>
      <c r="J3293" s="8"/>
      <c r="K3293" s="8"/>
      <c r="L3293" s="8"/>
      <c r="M3293" s="8"/>
      <c r="N3293" s="8"/>
      <c r="O3293" s="8"/>
      <c r="P3293" s="8"/>
      <c r="Q3293" s="8"/>
      <c r="R3293" s="8"/>
      <c r="S3293" s="8"/>
      <c r="T3293" s="8"/>
      <c r="U3293" s="8"/>
      <c r="V3293" s="8"/>
      <c r="W3293" s="8"/>
      <c r="X3293" s="8"/>
      <c r="Y3293" s="8"/>
      <c r="Z3293" s="8"/>
      <c r="AA3293" s="8"/>
    </row>
    <row r="3294" spans="1:27" s="10" customFormat="1" hidden="1" x14ac:dyDescent="0.25">
      <c r="A3294" s="11" t="s">
        <v>8369</v>
      </c>
      <c r="B3294" s="12" t="s">
        <v>8370</v>
      </c>
      <c r="C3294" s="13">
        <v>3</v>
      </c>
      <c r="D3294" s="12" t="s">
        <v>1112</v>
      </c>
      <c r="E3294" s="12" t="s">
        <v>8371</v>
      </c>
      <c r="F3294" s="12" t="s">
        <v>8374</v>
      </c>
      <c r="G3294" s="15" t="s">
        <v>16</v>
      </c>
      <c r="H3294" s="8"/>
      <c r="I3294" s="9">
        <v>15</v>
      </c>
      <c r="J3294" s="8"/>
      <c r="K3294" s="8"/>
      <c r="L3294" s="8"/>
      <c r="M3294" s="8"/>
      <c r="N3294" s="8"/>
      <c r="O3294" s="8"/>
      <c r="P3294" s="8"/>
      <c r="Q3294" s="8"/>
      <c r="R3294" s="8"/>
      <c r="S3294" s="8"/>
      <c r="T3294" s="8"/>
      <c r="U3294" s="8"/>
      <c r="V3294" s="8"/>
      <c r="W3294" s="8"/>
      <c r="X3294" s="8"/>
      <c r="Y3294" s="8"/>
      <c r="Z3294" s="8"/>
      <c r="AA3294" s="8"/>
    </row>
    <row r="3295" spans="1:27" s="10" customFormat="1" hidden="1" x14ac:dyDescent="0.25">
      <c r="A3295" s="11" t="s">
        <v>8377</v>
      </c>
      <c r="B3295" s="12" t="s">
        <v>8378</v>
      </c>
      <c r="C3295" s="13">
        <v>3</v>
      </c>
      <c r="D3295" s="12" t="s">
        <v>1112</v>
      </c>
      <c r="E3295" s="12" t="s">
        <v>8379</v>
      </c>
      <c r="F3295" s="12" t="s">
        <v>8382</v>
      </c>
      <c r="G3295" s="15" t="s">
        <v>16</v>
      </c>
      <c r="H3295" s="8"/>
      <c r="I3295" s="9">
        <v>15</v>
      </c>
      <c r="J3295" s="8"/>
      <c r="K3295" s="8"/>
      <c r="L3295" s="8"/>
      <c r="M3295" s="8"/>
      <c r="N3295" s="8"/>
      <c r="O3295" s="8"/>
      <c r="P3295" s="8"/>
      <c r="Q3295" s="8"/>
      <c r="R3295" s="8"/>
      <c r="S3295" s="8"/>
      <c r="T3295" s="8"/>
      <c r="U3295" s="8"/>
      <c r="V3295" s="8"/>
      <c r="W3295" s="8"/>
      <c r="X3295" s="8"/>
      <c r="Y3295" s="8"/>
      <c r="Z3295" s="8"/>
      <c r="AA3295" s="8"/>
    </row>
    <row r="3296" spans="1:27" s="10" customFormat="1" ht="12.75" hidden="1" thickBot="1" x14ac:dyDescent="0.3">
      <c r="A3296" s="36" t="s">
        <v>8385</v>
      </c>
      <c r="B3296" s="30" t="s">
        <v>8386</v>
      </c>
      <c r="C3296" s="31">
        <v>3</v>
      </c>
      <c r="D3296" s="30" t="s">
        <v>1112</v>
      </c>
      <c r="E3296" s="30" t="s">
        <v>8387</v>
      </c>
      <c r="F3296" s="30" t="s">
        <v>8390</v>
      </c>
      <c r="G3296" s="33" t="s">
        <v>16</v>
      </c>
      <c r="H3296" s="8"/>
      <c r="I3296" s="9">
        <v>15</v>
      </c>
      <c r="J3296" s="8"/>
      <c r="K3296" s="8"/>
      <c r="L3296" s="8"/>
      <c r="M3296" s="8"/>
      <c r="N3296" s="8"/>
      <c r="O3296" s="8"/>
      <c r="P3296" s="8"/>
      <c r="Q3296" s="8"/>
      <c r="R3296" s="8"/>
      <c r="S3296" s="8"/>
      <c r="T3296" s="8"/>
      <c r="U3296" s="8"/>
      <c r="V3296" s="8"/>
      <c r="W3296" s="8"/>
      <c r="X3296" s="8"/>
      <c r="Y3296" s="8"/>
      <c r="Z3296" s="8"/>
      <c r="AA3296" s="8"/>
    </row>
    <row r="3297" spans="1:9" hidden="1" x14ac:dyDescent="0.25">
      <c r="A3297" s="46" t="s">
        <v>8393</v>
      </c>
      <c r="B3297" s="12" t="s">
        <v>8394</v>
      </c>
      <c r="C3297" s="13">
        <v>3</v>
      </c>
      <c r="D3297" s="12" t="s">
        <v>1112</v>
      </c>
      <c r="E3297" s="12" t="s">
        <v>8395</v>
      </c>
      <c r="F3297" s="12" t="s">
        <v>8398</v>
      </c>
      <c r="G3297" s="62" t="s">
        <v>16</v>
      </c>
      <c r="I3297" s="9">
        <v>15</v>
      </c>
    </row>
    <row r="3298" spans="1:9" hidden="1" x14ac:dyDescent="0.25">
      <c r="A3298" s="46" t="s">
        <v>8401</v>
      </c>
      <c r="B3298" s="12" t="s">
        <v>941</v>
      </c>
      <c r="C3298" s="13">
        <v>3</v>
      </c>
      <c r="D3298" s="12" t="s">
        <v>1112</v>
      </c>
      <c r="E3298" s="12" t="s">
        <v>8402</v>
      </c>
      <c r="F3298" s="12" t="s">
        <v>8405</v>
      </c>
      <c r="G3298" s="15" t="s">
        <v>16</v>
      </c>
      <c r="I3298" s="9">
        <v>15</v>
      </c>
    </row>
    <row r="3299" spans="1:9" hidden="1" x14ac:dyDescent="0.25">
      <c r="A3299" s="46" t="s">
        <v>8408</v>
      </c>
      <c r="B3299" s="12" t="s">
        <v>8409</v>
      </c>
      <c r="C3299" s="13">
        <v>3</v>
      </c>
      <c r="D3299" s="12" t="s">
        <v>1112</v>
      </c>
      <c r="E3299" s="12" t="s">
        <v>8410</v>
      </c>
      <c r="F3299" s="12" t="s">
        <v>8413</v>
      </c>
      <c r="G3299" s="15" t="s">
        <v>16</v>
      </c>
      <c r="I3299" s="9">
        <v>15</v>
      </c>
    </row>
    <row r="3300" spans="1:9" hidden="1" x14ac:dyDescent="0.25">
      <c r="A3300" s="46" t="s">
        <v>8416</v>
      </c>
      <c r="B3300" s="12" t="s">
        <v>955</v>
      </c>
      <c r="C3300" s="13">
        <v>3</v>
      </c>
      <c r="D3300" s="12" t="s">
        <v>1112</v>
      </c>
      <c r="E3300" s="12" t="s">
        <v>8417</v>
      </c>
      <c r="F3300" s="12" t="s">
        <v>8420</v>
      </c>
      <c r="G3300" s="15" t="s">
        <v>16</v>
      </c>
      <c r="I3300" s="9">
        <v>15</v>
      </c>
    </row>
    <row r="3301" spans="1:9" hidden="1" x14ac:dyDescent="0.25">
      <c r="A3301" s="46" t="s">
        <v>8423</v>
      </c>
      <c r="B3301" s="12" t="s">
        <v>961</v>
      </c>
      <c r="C3301" s="13">
        <v>3</v>
      </c>
      <c r="D3301" s="12" t="s">
        <v>1112</v>
      </c>
      <c r="E3301" s="12" t="s">
        <v>8424</v>
      </c>
      <c r="F3301" s="12" t="s">
        <v>8427</v>
      </c>
      <c r="G3301" s="15" t="s">
        <v>16</v>
      </c>
      <c r="I3301" s="9">
        <v>15</v>
      </c>
    </row>
    <row r="3302" spans="1:9" hidden="1" x14ac:dyDescent="0.25">
      <c r="A3302" s="46" t="s">
        <v>8430</v>
      </c>
      <c r="B3302" s="12" t="s">
        <v>963</v>
      </c>
      <c r="C3302" s="13">
        <v>3</v>
      </c>
      <c r="D3302" s="12" t="s">
        <v>1112</v>
      </c>
      <c r="E3302" s="12" t="s">
        <v>8431</v>
      </c>
      <c r="F3302" s="12" t="s">
        <v>8434</v>
      </c>
      <c r="G3302" s="15" t="s">
        <v>16</v>
      </c>
      <c r="I3302" s="9">
        <v>15</v>
      </c>
    </row>
    <row r="3303" spans="1:9" hidden="1" x14ac:dyDescent="0.25">
      <c r="A3303" s="46" t="s">
        <v>8437</v>
      </c>
      <c r="B3303" s="12" t="s">
        <v>8438</v>
      </c>
      <c r="C3303" s="13">
        <v>3</v>
      </c>
      <c r="D3303" s="12" t="s">
        <v>1112</v>
      </c>
      <c r="E3303" s="12" t="s">
        <v>8439</v>
      </c>
      <c r="F3303" s="12" t="s">
        <v>8442</v>
      </c>
      <c r="G3303" s="15" t="s">
        <v>16</v>
      </c>
      <c r="I3303" s="9">
        <v>15</v>
      </c>
    </row>
    <row r="3304" spans="1:9" hidden="1" x14ac:dyDescent="0.25">
      <c r="A3304" s="46" t="s">
        <v>8445</v>
      </c>
      <c r="B3304" s="12" t="s">
        <v>967</v>
      </c>
      <c r="C3304" s="13">
        <v>3</v>
      </c>
      <c r="D3304" s="12" t="s">
        <v>1112</v>
      </c>
      <c r="E3304" s="12" t="s">
        <v>8446</v>
      </c>
      <c r="F3304" s="12" t="s">
        <v>8449</v>
      </c>
      <c r="G3304" s="15" t="s">
        <v>16</v>
      </c>
      <c r="I3304" s="9">
        <v>15</v>
      </c>
    </row>
    <row r="3305" spans="1:9" hidden="1" x14ac:dyDescent="0.25">
      <c r="A3305" s="46" t="s">
        <v>8452</v>
      </c>
      <c r="B3305" s="12" t="s">
        <v>982</v>
      </c>
      <c r="C3305" s="13">
        <v>3</v>
      </c>
      <c r="D3305" s="12" t="s">
        <v>1112</v>
      </c>
      <c r="E3305" s="12" t="s">
        <v>8453</v>
      </c>
      <c r="F3305" s="12" t="s">
        <v>8456</v>
      </c>
      <c r="G3305" s="15" t="s">
        <v>16</v>
      </c>
      <c r="I3305" s="9">
        <v>15</v>
      </c>
    </row>
    <row r="3306" spans="1:9" hidden="1" x14ac:dyDescent="0.25">
      <c r="A3306" s="46" t="s">
        <v>8459</v>
      </c>
      <c r="B3306" s="12" t="s">
        <v>990</v>
      </c>
      <c r="C3306" s="13">
        <v>3</v>
      </c>
      <c r="D3306" s="12" t="s">
        <v>1112</v>
      </c>
      <c r="E3306" s="12" t="s">
        <v>8460</v>
      </c>
      <c r="F3306" s="12" t="s">
        <v>8463</v>
      </c>
      <c r="G3306" s="15" t="s">
        <v>16</v>
      </c>
      <c r="I3306" s="9">
        <v>15</v>
      </c>
    </row>
    <row r="3307" spans="1:9" hidden="1" x14ac:dyDescent="0.25">
      <c r="A3307" s="46" t="s">
        <v>8466</v>
      </c>
      <c r="B3307" s="12" t="s">
        <v>8467</v>
      </c>
      <c r="C3307" s="13">
        <v>3</v>
      </c>
      <c r="D3307" s="12" t="s">
        <v>1112</v>
      </c>
      <c r="E3307" s="12" t="s">
        <v>8468</v>
      </c>
      <c r="F3307" s="12" t="s">
        <v>8471</v>
      </c>
      <c r="G3307" s="15" t="s">
        <v>16</v>
      </c>
      <c r="I3307" s="9">
        <v>15</v>
      </c>
    </row>
    <row r="3308" spans="1:9" hidden="1" x14ac:dyDescent="0.25">
      <c r="A3308" s="46" t="s">
        <v>8474</v>
      </c>
      <c r="B3308" s="12" t="s">
        <v>998</v>
      </c>
      <c r="C3308" s="13">
        <v>3</v>
      </c>
      <c r="D3308" s="12" t="s">
        <v>1112</v>
      </c>
      <c r="E3308" s="12" t="s">
        <v>8475</v>
      </c>
      <c r="F3308" s="12" t="s">
        <v>8478</v>
      </c>
      <c r="G3308" s="15" t="s">
        <v>16</v>
      </c>
      <c r="I3308" s="9">
        <v>15</v>
      </c>
    </row>
    <row r="3309" spans="1:9" hidden="1" x14ac:dyDescent="0.25">
      <c r="A3309" s="46" t="s">
        <v>8481</v>
      </c>
      <c r="B3309" s="12" t="s">
        <v>1006</v>
      </c>
      <c r="C3309" s="13">
        <v>3</v>
      </c>
      <c r="D3309" s="12" t="s">
        <v>1112</v>
      </c>
      <c r="E3309" s="12" t="s">
        <v>8482</v>
      </c>
      <c r="F3309" s="12" t="s">
        <v>8485</v>
      </c>
      <c r="G3309" s="15" t="s">
        <v>16</v>
      </c>
      <c r="I3309" s="9">
        <v>15</v>
      </c>
    </row>
    <row r="3310" spans="1:9" hidden="1" x14ac:dyDescent="0.25">
      <c r="A3310" s="46" t="s">
        <v>8488</v>
      </c>
      <c r="B3310" s="12" t="s">
        <v>8489</v>
      </c>
      <c r="C3310" s="13">
        <v>3</v>
      </c>
      <c r="D3310" s="12" t="s">
        <v>1112</v>
      </c>
      <c r="E3310" s="12" t="s">
        <v>8490</v>
      </c>
      <c r="F3310" s="12" t="s">
        <v>8493</v>
      </c>
      <c r="G3310" s="15" t="s">
        <v>16</v>
      </c>
      <c r="I3310" s="9">
        <v>15</v>
      </c>
    </row>
    <row r="3311" spans="1:9" hidden="1" x14ac:dyDescent="0.25">
      <c r="A3311" s="46" t="s">
        <v>8496</v>
      </c>
      <c r="B3311" s="12" t="s">
        <v>1037</v>
      </c>
      <c r="C3311" s="13">
        <v>3</v>
      </c>
      <c r="D3311" s="12" t="s">
        <v>1112</v>
      </c>
      <c r="E3311" s="12" t="s">
        <v>8497</v>
      </c>
      <c r="F3311" s="12" t="s">
        <v>8500</v>
      </c>
      <c r="G3311" s="15" t="s">
        <v>16</v>
      </c>
      <c r="I3311" s="9">
        <v>15</v>
      </c>
    </row>
    <row r="3312" spans="1:9" ht="12.75" hidden="1" thickBot="1" x14ac:dyDescent="0.3">
      <c r="A3312" s="44" t="s">
        <v>8503</v>
      </c>
      <c r="B3312" s="30" t="s">
        <v>8504</v>
      </c>
      <c r="C3312" s="31">
        <v>3</v>
      </c>
      <c r="D3312" s="30" t="s">
        <v>1112</v>
      </c>
      <c r="E3312" s="30" t="s">
        <v>8505</v>
      </c>
      <c r="F3312" s="30" t="s">
        <v>8508</v>
      </c>
      <c r="G3312" s="30" t="s">
        <v>16</v>
      </c>
      <c r="I3312" s="9">
        <v>15</v>
      </c>
    </row>
    <row r="3313" spans="1:9" hidden="1" x14ac:dyDescent="0.25">
      <c r="A3313" s="56" t="s">
        <v>8511</v>
      </c>
      <c r="B3313" s="61" t="s">
        <v>8512</v>
      </c>
      <c r="C3313" s="58">
        <v>3</v>
      </c>
      <c r="D3313" s="61" t="s">
        <v>1112</v>
      </c>
      <c r="E3313" s="61" t="s">
        <v>8513</v>
      </c>
      <c r="F3313" s="61" t="s">
        <v>8516</v>
      </c>
      <c r="G3313" s="62" t="s">
        <v>16</v>
      </c>
      <c r="I3313" s="9">
        <v>15</v>
      </c>
    </row>
    <row r="3314" spans="1:9" hidden="1" x14ac:dyDescent="0.25">
      <c r="A3314" s="11" t="s">
        <v>8519</v>
      </c>
      <c r="B3314" s="12" t="s">
        <v>8520</v>
      </c>
      <c r="C3314" s="13">
        <v>3</v>
      </c>
      <c r="D3314" s="12" t="s">
        <v>1112</v>
      </c>
      <c r="E3314" s="12" t="s">
        <v>8521</v>
      </c>
      <c r="F3314" s="12" t="s">
        <v>8524</v>
      </c>
      <c r="G3314" s="15" t="s">
        <v>16</v>
      </c>
      <c r="I3314" s="9">
        <v>15</v>
      </c>
    </row>
    <row r="3315" spans="1:9" hidden="1" x14ac:dyDescent="0.25">
      <c r="A3315" s="11" t="s">
        <v>8527</v>
      </c>
      <c r="B3315" s="12" t="s">
        <v>8528</v>
      </c>
      <c r="C3315" s="13">
        <v>3</v>
      </c>
      <c r="D3315" s="12" t="s">
        <v>1112</v>
      </c>
      <c r="E3315" s="12" t="s">
        <v>8529</v>
      </c>
      <c r="F3315" s="12" t="s">
        <v>8532</v>
      </c>
      <c r="G3315" s="15" t="s">
        <v>16</v>
      </c>
      <c r="I3315" s="9">
        <v>15</v>
      </c>
    </row>
    <row r="3316" spans="1:9" hidden="1" x14ac:dyDescent="0.25">
      <c r="A3316" s="11" t="s">
        <v>8535</v>
      </c>
      <c r="B3316" s="12" t="s">
        <v>2249</v>
      </c>
      <c r="C3316" s="13">
        <v>3</v>
      </c>
      <c r="D3316" s="12" t="s">
        <v>1112</v>
      </c>
      <c r="E3316" s="12" t="s">
        <v>8536</v>
      </c>
      <c r="F3316" s="12" t="s">
        <v>8539</v>
      </c>
      <c r="G3316" s="15" t="s">
        <v>16</v>
      </c>
      <c r="I3316" s="9">
        <v>15</v>
      </c>
    </row>
    <row r="3317" spans="1:9" hidden="1" x14ac:dyDescent="0.25">
      <c r="A3317" s="11" t="s">
        <v>8542</v>
      </c>
      <c r="B3317" s="12" t="s">
        <v>2161</v>
      </c>
      <c r="C3317" s="13">
        <v>3</v>
      </c>
      <c r="D3317" s="12" t="s">
        <v>1112</v>
      </c>
      <c r="E3317" s="12" t="s">
        <v>8543</v>
      </c>
      <c r="F3317" s="12" t="s">
        <v>8546</v>
      </c>
      <c r="G3317" s="15" t="s">
        <v>16</v>
      </c>
      <c r="I3317" s="9">
        <v>15</v>
      </c>
    </row>
    <row r="3318" spans="1:9" hidden="1" x14ac:dyDescent="0.25">
      <c r="A3318" s="11" t="s">
        <v>8549</v>
      </c>
      <c r="B3318" s="12" t="s">
        <v>1078</v>
      </c>
      <c r="C3318" s="13">
        <v>3</v>
      </c>
      <c r="D3318" s="12" t="s">
        <v>1112</v>
      </c>
      <c r="E3318" s="12" t="s">
        <v>8550</v>
      </c>
      <c r="F3318" s="12" t="s">
        <v>8553</v>
      </c>
      <c r="G3318" s="15" t="s">
        <v>16</v>
      </c>
      <c r="I3318" s="9">
        <v>15</v>
      </c>
    </row>
    <row r="3319" spans="1:9" hidden="1" x14ac:dyDescent="0.25">
      <c r="A3319" s="11" t="s">
        <v>8556</v>
      </c>
      <c r="B3319" s="12" t="s">
        <v>1074</v>
      </c>
      <c r="C3319" s="13">
        <v>3</v>
      </c>
      <c r="D3319" s="12" t="s">
        <v>1112</v>
      </c>
      <c r="E3319" s="12" t="s">
        <v>8557</v>
      </c>
      <c r="F3319" s="12" t="s">
        <v>8560</v>
      </c>
      <c r="G3319" s="15" t="s">
        <v>16</v>
      </c>
      <c r="I3319" s="9">
        <v>15</v>
      </c>
    </row>
    <row r="3320" spans="1:9" hidden="1" x14ac:dyDescent="0.25">
      <c r="A3320" s="11" t="s">
        <v>8563</v>
      </c>
      <c r="B3320" s="12" t="s">
        <v>8564</v>
      </c>
      <c r="C3320" s="13">
        <v>3</v>
      </c>
      <c r="D3320" s="12" t="s">
        <v>1112</v>
      </c>
      <c r="E3320" s="12" t="s">
        <v>8565</v>
      </c>
      <c r="F3320" s="12" t="s">
        <v>8568</v>
      </c>
      <c r="G3320" s="15" t="s">
        <v>16</v>
      </c>
      <c r="I3320" s="9">
        <v>15</v>
      </c>
    </row>
    <row r="3321" spans="1:9" hidden="1" x14ac:dyDescent="0.25">
      <c r="A3321" s="11" t="s">
        <v>8571</v>
      </c>
      <c r="B3321" s="12" t="s">
        <v>8572</v>
      </c>
      <c r="C3321" s="13">
        <v>3</v>
      </c>
      <c r="D3321" s="12" t="s">
        <v>1112</v>
      </c>
      <c r="E3321" s="12" t="s">
        <v>8573</v>
      </c>
      <c r="F3321" s="12" t="s">
        <v>8576</v>
      </c>
      <c r="G3321" s="15" t="s">
        <v>16</v>
      </c>
      <c r="I3321" s="9">
        <v>15</v>
      </c>
    </row>
    <row r="3322" spans="1:9" hidden="1" x14ac:dyDescent="0.25">
      <c r="A3322" s="11" t="s">
        <v>8579</v>
      </c>
      <c r="B3322" s="12" t="s">
        <v>975</v>
      </c>
      <c r="C3322" s="13">
        <v>3</v>
      </c>
      <c r="D3322" s="12" t="s">
        <v>1112</v>
      </c>
      <c r="E3322" s="12" t="s">
        <v>8580</v>
      </c>
      <c r="F3322" s="12" t="s">
        <v>8583</v>
      </c>
      <c r="G3322" s="15" t="s">
        <v>16</v>
      </c>
      <c r="I3322" s="9">
        <v>15</v>
      </c>
    </row>
    <row r="3323" spans="1:9" hidden="1" x14ac:dyDescent="0.25">
      <c r="A3323" s="11" t="s">
        <v>8586</v>
      </c>
      <c r="B3323" s="12" t="s">
        <v>8587</v>
      </c>
      <c r="C3323" s="13">
        <v>3</v>
      </c>
      <c r="D3323" s="12" t="s">
        <v>1112</v>
      </c>
      <c r="E3323" s="12" t="s">
        <v>8588</v>
      </c>
      <c r="F3323" s="12" t="s">
        <v>8591</v>
      </c>
      <c r="G3323" s="15" t="s">
        <v>16</v>
      </c>
      <c r="I3323" s="9">
        <v>15</v>
      </c>
    </row>
    <row r="3324" spans="1:9" hidden="1" x14ac:dyDescent="0.25">
      <c r="A3324" s="11" t="s">
        <v>8594</v>
      </c>
      <c r="B3324" s="12" t="s">
        <v>8595</v>
      </c>
      <c r="C3324" s="13">
        <v>3</v>
      </c>
      <c r="D3324" s="12" t="s">
        <v>1112</v>
      </c>
      <c r="E3324" s="12" t="s">
        <v>8596</v>
      </c>
      <c r="F3324" s="12" t="s">
        <v>8599</v>
      </c>
      <c r="G3324" s="15" t="s">
        <v>16</v>
      </c>
      <c r="I3324" s="9">
        <v>15</v>
      </c>
    </row>
    <row r="3325" spans="1:9" hidden="1" x14ac:dyDescent="0.25">
      <c r="A3325" s="11" t="s">
        <v>8602</v>
      </c>
      <c r="B3325" s="12" t="s">
        <v>1814</v>
      </c>
      <c r="C3325" s="13">
        <v>3</v>
      </c>
      <c r="D3325" s="12" t="s">
        <v>1112</v>
      </c>
      <c r="E3325" s="12" t="s">
        <v>8603</v>
      </c>
      <c r="F3325" s="12" t="s">
        <v>8606</v>
      </c>
      <c r="G3325" s="15" t="s">
        <v>16</v>
      </c>
      <c r="I3325" s="9">
        <v>15</v>
      </c>
    </row>
    <row r="3326" spans="1:9" hidden="1" x14ac:dyDescent="0.25">
      <c r="A3326" s="11" t="s">
        <v>8609</v>
      </c>
      <c r="B3326" s="12" t="s">
        <v>1023</v>
      </c>
      <c r="C3326" s="13">
        <v>3</v>
      </c>
      <c r="D3326" s="12" t="s">
        <v>1112</v>
      </c>
      <c r="E3326" s="12" t="s">
        <v>8610</v>
      </c>
      <c r="F3326" s="12" t="s">
        <v>8613</v>
      </c>
      <c r="G3326" s="15" t="s">
        <v>16</v>
      </c>
      <c r="I3326" s="9">
        <v>15</v>
      </c>
    </row>
    <row r="3327" spans="1:9" hidden="1" x14ac:dyDescent="0.25">
      <c r="A3327" s="11" t="s">
        <v>8616</v>
      </c>
      <c r="B3327" s="12" t="s">
        <v>8617</v>
      </c>
      <c r="C3327" s="13">
        <v>3</v>
      </c>
      <c r="D3327" s="12" t="s">
        <v>1112</v>
      </c>
      <c r="E3327" s="12" t="s">
        <v>8618</v>
      </c>
      <c r="F3327" s="12" t="s">
        <v>8621</v>
      </c>
      <c r="G3327" s="15" t="s">
        <v>16</v>
      </c>
      <c r="I3327" s="9">
        <v>15</v>
      </c>
    </row>
    <row r="3328" spans="1:9" hidden="1" x14ac:dyDescent="0.25">
      <c r="A3328" s="11" t="s">
        <v>8624</v>
      </c>
      <c r="B3328" s="12" t="s">
        <v>8625</v>
      </c>
      <c r="C3328" s="13">
        <v>3</v>
      </c>
      <c r="D3328" s="12" t="s">
        <v>1112</v>
      </c>
      <c r="E3328" s="12" t="s">
        <v>8626</v>
      </c>
      <c r="F3328" s="12" t="s">
        <v>8629</v>
      </c>
      <c r="G3328" s="15" t="s">
        <v>16</v>
      </c>
      <c r="I3328" s="9">
        <v>15</v>
      </c>
    </row>
    <row r="3329" spans="1:10" hidden="1" x14ac:dyDescent="0.25">
      <c r="A3329" s="11" t="s">
        <v>8632</v>
      </c>
      <c r="B3329" s="12" t="s">
        <v>5979</v>
      </c>
      <c r="C3329" s="13">
        <v>3</v>
      </c>
      <c r="D3329" s="12" t="s">
        <v>1112</v>
      </c>
      <c r="E3329" s="12" t="s">
        <v>8633</v>
      </c>
      <c r="F3329" s="12" t="s">
        <v>8636</v>
      </c>
      <c r="G3329" s="15" t="s">
        <v>16</v>
      </c>
      <c r="I3329" s="9">
        <v>15</v>
      </c>
    </row>
    <row r="3330" spans="1:10" ht="15" hidden="1" x14ac:dyDescent="0.25">
      <c r="A3330" s="11" t="s">
        <v>2194</v>
      </c>
      <c r="B3330" s="8" t="s">
        <v>2195</v>
      </c>
      <c r="C3330" s="13">
        <v>8</v>
      </c>
      <c r="D3330" s="12" t="s">
        <v>2209</v>
      </c>
      <c r="E3330" s="12" t="s">
        <v>2196</v>
      </c>
      <c r="F3330" s="12" t="s">
        <v>2210</v>
      </c>
      <c r="G3330" s="15" t="s">
        <v>16</v>
      </c>
      <c r="I3330" s="54">
        <v>15</v>
      </c>
      <c r="J3330" s="60"/>
    </row>
    <row r="3331" spans="1:10" ht="15" hidden="1" x14ac:dyDescent="0.25">
      <c r="A3331" s="11" t="s">
        <v>6286</v>
      </c>
      <c r="B3331" s="12" t="s">
        <v>6287</v>
      </c>
      <c r="C3331" s="13">
        <f>C3330+1</f>
        <v>9</v>
      </c>
      <c r="D3331" s="12" t="s">
        <v>6321</v>
      </c>
      <c r="E3331" s="12" t="s">
        <v>6288</v>
      </c>
      <c r="F3331" s="12" t="s">
        <v>6322</v>
      </c>
      <c r="G3331" s="15" t="s">
        <v>16</v>
      </c>
      <c r="I3331" s="9">
        <v>15</v>
      </c>
      <c r="J3331" s="52"/>
    </row>
    <row r="3332" spans="1:10" hidden="1" x14ac:dyDescent="0.25">
      <c r="A3332" s="11" t="s">
        <v>6688</v>
      </c>
      <c r="B3332" s="12" t="s">
        <v>6689</v>
      </c>
      <c r="C3332" s="13">
        <v>26</v>
      </c>
      <c r="D3332" s="12" t="s">
        <v>6736</v>
      </c>
      <c r="E3332" s="12" t="s">
        <v>6690</v>
      </c>
      <c r="F3332" s="12" t="s">
        <v>6737</v>
      </c>
      <c r="G3332" s="15" t="s">
        <v>16</v>
      </c>
    </row>
    <row r="3333" spans="1:10" hidden="1" x14ac:dyDescent="0.25">
      <c r="A3333" s="11" t="s">
        <v>839</v>
      </c>
      <c r="B3333" s="12" t="s">
        <v>840</v>
      </c>
      <c r="C3333" s="13">
        <v>14</v>
      </c>
      <c r="D3333" s="12" t="s">
        <v>869</v>
      </c>
      <c r="E3333" s="12" t="s">
        <v>841</v>
      </c>
      <c r="F3333" s="12" t="s">
        <v>870</v>
      </c>
      <c r="G3333" s="15" t="s">
        <v>16</v>
      </c>
      <c r="I3333" s="9">
        <v>15</v>
      </c>
    </row>
    <row r="3334" spans="1:10" ht="12.75" hidden="1" thickBot="1" x14ac:dyDescent="0.3">
      <c r="A3334" s="36" t="s">
        <v>5686</v>
      </c>
      <c r="B3334" s="30" t="s">
        <v>5687</v>
      </c>
      <c r="C3334" s="31">
        <f>C3333+1</f>
        <v>15</v>
      </c>
      <c r="D3334" s="30" t="s">
        <v>5708</v>
      </c>
      <c r="E3334" s="30" t="s">
        <v>5688</v>
      </c>
      <c r="F3334" s="30" t="s">
        <v>5709</v>
      </c>
      <c r="G3334" s="152" t="s">
        <v>16</v>
      </c>
      <c r="I3334" s="90">
        <v>12</v>
      </c>
    </row>
    <row r="3335" spans="1:10" hidden="1" x14ac:dyDescent="0.2">
      <c r="A3335" s="56" t="s">
        <v>2024</v>
      </c>
      <c r="B3335" s="61" t="s">
        <v>2025</v>
      </c>
      <c r="C3335" s="58">
        <v>26</v>
      </c>
      <c r="D3335" s="107" t="s">
        <v>2068</v>
      </c>
      <c r="E3335" s="61" t="s">
        <v>2026</v>
      </c>
      <c r="F3335" s="61" t="s">
        <v>2069</v>
      </c>
      <c r="G3335" s="62" t="s">
        <v>103</v>
      </c>
    </row>
    <row r="3336" spans="1:10" hidden="1" x14ac:dyDescent="0.2">
      <c r="A3336" s="11" t="s">
        <v>6843</v>
      </c>
      <c r="B3336" s="12" t="s">
        <v>6844</v>
      </c>
      <c r="C3336" s="13">
        <v>8</v>
      </c>
      <c r="D3336" s="14" t="s">
        <v>6855</v>
      </c>
      <c r="E3336" s="12" t="s">
        <v>6845</v>
      </c>
      <c r="F3336" s="12" t="s">
        <v>6856</v>
      </c>
      <c r="G3336" s="15" t="s">
        <v>16</v>
      </c>
    </row>
    <row r="3337" spans="1:10" hidden="1" x14ac:dyDescent="0.2">
      <c r="A3337" s="11" t="s">
        <v>3428</v>
      </c>
      <c r="B3337" s="12" t="s">
        <v>3429</v>
      </c>
      <c r="C3337" s="13">
        <v>5</v>
      </c>
      <c r="D3337" s="12" t="s">
        <v>3435</v>
      </c>
      <c r="E3337" s="65" t="s">
        <v>3430</v>
      </c>
      <c r="F3337" s="65" t="s">
        <v>3436</v>
      </c>
      <c r="G3337" s="66" t="s">
        <v>16</v>
      </c>
    </row>
    <row r="3338" spans="1:10" hidden="1" x14ac:dyDescent="0.2">
      <c r="A3338" s="11" t="s">
        <v>3799</v>
      </c>
      <c r="B3338" s="12" t="s">
        <v>3800</v>
      </c>
      <c r="C3338" s="13">
        <v>9</v>
      </c>
      <c r="D3338" s="12" t="s">
        <v>3435</v>
      </c>
      <c r="E3338" s="12" t="s">
        <v>3801</v>
      </c>
      <c r="F3338" s="65" t="s">
        <v>3810</v>
      </c>
      <c r="G3338" s="66" t="s">
        <v>16</v>
      </c>
    </row>
    <row r="3339" spans="1:10" hidden="1" x14ac:dyDescent="0.2">
      <c r="A3339" s="11" t="s">
        <v>3858</v>
      </c>
      <c r="B3339" s="12" t="s">
        <v>3859</v>
      </c>
      <c r="C3339" s="13">
        <v>9</v>
      </c>
      <c r="D3339" s="12" t="s">
        <v>3435</v>
      </c>
      <c r="E3339" s="12" t="s">
        <v>3860</v>
      </c>
      <c r="F3339" s="65" t="s">
        <v>3869</v>
      </c>
      <c r="G3339" s="66" t="s">
        <v>16</v>
      </c>
    </row>
    <row r="3340" spans="1:10" hidden="1" x14ac:dyDescent="0.2">
      <c r="A3340" s="11" t="s">
        <v>3880</v>
      </c>
      <c r="B3340" s="12" t="s">
        <v>3881</v>
      </c>
      <c r="C3340" s="13">
        <v>11</v>
      </c>
      <c r="D3340" s="12" t="s">
        <v>3435</v>
      </c>
      <c r="E3340" s="12" t="s">
        <v>3882</v>
      </c>
      <c r="F3340" s="12" t="s">
        <v>3895</v>
      </c>
      <c r="G3340" s="66" t="s">
        <v>16</v>
      </c>
    </row>
    <row r="3341" spans="1:10" hidden="1" x14ac:dyDescent="0.2">
      <c r="A3341" s="11" t="s">
        <v>3914</v>
      </c>
      <c r="B3341" s="12" t="s">
        <v>3915</v>
      </c>
      <c r="C3341" s="13">
        <v>11</v>
      </c>
      <c r="D3341" s="12" t="s">
        <v>3435</v>
      </c>
      <c r="E3341" s="12" t="s">
        <v>3916</v>
      </c>
      <c r="F3341" s="12" t="s">
        <v>3927</v>
      </c>
      <c r="G3341" s="66" t="s">
        <v>16</v>
      </c>
    </row>
    <row r="3342" spans="1:10" hidden="1" x14ac:dyDescent="0.2">
      <c r="A3342" s="11" t="s">
        <v>2024</v>
      </c>
      <c r="B3342" s="12" t="s">
        <v>2025</v>
      </c>
      <c r="C3342" s="13">
        <v>27</v>
      </c>
      <c r="D3342" s="14" t="s">
        <v>2070</v>
      </c>
      <c r="E3342" s="12" t="s">
        <v>2026</v>
      </c>
      <c r="F3342" s="12" t="s">
        <v>2071</v>
      </c>
      <c r="G3342" s="15" t="s">
        <v>13</v>
      </c>
    </row>
    <row r="3343" spans="1:10" hidden="1" x14ac:dyDescent="0.25">
      <c r="A3343" s="146" t="s">
        <v>4881</v>
      </c>
      <c r="B3343" s="12" t="s">
        <v>4882</v>
      </c>
      <c r="C3343" s="13">
        <v>5</v>
      </c>
      <c r="D3343" s="22" t="s">
        <v>2103</v>
      </c>
      <c r="E3343" s="12" t="s">
        <v>4883</v>
      </c>
      <c r="F3343" s="38" t="s">
        <v>4888</v>
      </c>
      <c r="G3343" s="80" t="s">
        <v>16</v>
      </c>
    </row>
    <row r="3344" spans="1:10" hidden="1" x14ac:dyDescent="0.25">
      <c r="A3344" s="11" t="s">
        <v>5627</v>
      </c>
      <c r="B3344" s="12" t="s">
        <v>5628</v>
      </c>
      <c r="C3344" s="13">
        <v>4</v>
      </c>
      <c r="D3344" s="22" t="s">
        <v>2103</v>
      </c>
      <c r="E3344" s="22" t="s">
        <v>5629</v>
      </c>
      <c r="F3344" s="22" t="s">
        <v>5633</v>
      </c>
      <c r="G3344" s="157" t="s">
        <v>16</v>
      </c>
    </row>
    <row r="3345" spans="1:27" hidden="1" x14ac:dyDescent="0.2">
      <c r="A3345" s="11" t="s">
        <v>1122</v>
      </c>
      <c r="B3345" s="12" t="s">
        <v>1123</v>
      </c>
      <c r="C3345" s="13">
        <v>7</v>
      </c>
      <c r="D3345" s="14" t="s">
        <v>1135</v>
      </c>
      <c r="E3345" s="12" t="s">
        <v>1124</v>
      </c>
      <c r="F3345" s="12" t="s">
        <v>1136</v>
      </c>
      <c r="G3345" s="15" t="s">
        <v>16</v>
      </c>
    </row>
    <row r="3346" spans="1:27" hidden="1" x14ac:dyDescent="0.2">
      <c r="A3346" s="11" t="s">
        <v>1142</v>
      </c>
      <c r="B3346" s="12" t="s">
        <v>1143</v>
      </c>
      <c r="C3346" s="13">
        <v>10</v>
      </c>
      <c r="D3346" s="14" t="s">
        <v>1158</v>
      </c>
      <c r="E3346" s="12" t="s">
        <v>1144</v>
      </c>
      <c r="F3346" s="12" t="s">
        <v>1159</v>
      </c>
      <c r="G3346" s="15" t="s">
        <v>16</v>
      </c>
    </row>
    <row r="3347" spans="1:27" hidden="1" x14ac:dyDescent="0.25">
      <c r="A3347" s="11" t="s">
        <v>6086</v>
      </c>
      <c r="B3347" s="12" t="s">
        <v>6087</v>
      </c>
      <c r="C3347" s="13">
        <v>9</v>
      </c>
      <c r="D3347" s="12" t="s">
        <v>6102</v>
      </c>
      <c r="E3347" s="12" t="s">
        <v>6088</v>
      </c>
      <c r="F3347" s="12" t="s">
        <v>6103</v>
      </c>
      <c r="G3347" s="15" t="s">
        <v>16</v>
      </c>
    </row>
    <row r="3348" spans="1:27" hidden="1" x14ac:dyDescent="0.25">
      <c r="A3348" s="11" t="s">
        <v>6134</v>
      </c>
      <c r="B3348" s="12" t="s">
        <v>6135</v>
      </c>
      <c r="C3348" s="13">
        <v>9</v>
      </c>
      <c r="D3348" s="12" t="s">
        <v>6102</v>
      </c>
      <c r="E3348" s="12" t="s">
        <v>6136</v>
      </c>
      <c r="F3348" s="12" t="s">
        <v>6145</v>
      </c>
      <c r="G3348" s="15" t="s">
        <v>16</v>
      </c>
    </row>
    <row r="3349" spans="1:27" hidden="1" x14ac:dyDescent="0.25">
      <c r="A3349" s="11" t="s">
        <v>6463</v>
      </c>
      <c r="B3349" s="12" t="s">
        <v>6464</v>
      </c>
      <c r="C3349" s="13">
        <v>9</v>
      </c>
      <c r="D3349" s="12" t="s">
        <v>6102</v>
      </c>
      <c r="E3349" s="12" t="s">
        <v>6465</v>
      </c>
      <c r="F3349" s="12" t="s">
        <v>6474</v>
      </c>
      <c r="G3349" s="15" t="s">
        <v>16</v>
      </c>
      <c r="I3349" s="9">
        <v>15</v>
      </c>
    </row>
    <row r="3350" spans="1:27" hidden="1" x14ac:dyDescent="0.25">
      <c r="A3350" s="11" t="s">
        <v>6491</v>
      </c>
      <c r="B3350" s="12" t="s">
        <v>6492</v>
      </c>
      <c r="C3350" s="13">
        <v>9</v>
      </c>
      <c r="D3350" s="12" t="s">
        <v>6102</v>
      </c>
      <c r="E3350" s="12" t="s">
        <v>6493</v>
      </c>
      <c r="F3350" s="12" t="s">
        <v>6502</v>
      </c>
      <c r="G3350" s="15" t="s">
        <v>16</v>
      </c>
      <c r="I3350" s="9">
        <v>15</v>
      </c>
    </row>
    <row r="3351" spans="1:27" hidden="1" x14ac:dyDescent="0.2">
      <c r="A3351" s="11" t="s">
        <v>6811</v>
      </c>
      <c r="B3351" s="12" t="s">
        <v>6812</v>
      </c>
      <c r="C3351" s="13">
        <v>9</v>
      </c>
      <c r="D3351" s="14" t="s">
        <v>6824</v>
      </c>
      <c r="E3351" s="12" t="s">
        <v>6813</v>
      </c>
      <c r="F3351" s="12" t="s">
        <v>6825</v>
      </c>
      <c r="G3351" s="15" t="s">
        <v>16</v>
      </c>
    </row>
    <row r="3352" spans="1:27" hidden="1" x14ac:dyDescent="0.2">
      <c r="A3352" s="11" t="s">
        <v>93</v>
      </c>
      <c r="B3352" s="12" t="s">
        <v>94</v>
      </c>
      <c r="C3352" s="13">
        <v>64</v>
      </c>
      <c r="D3352" s="14" t="s">
        <v>226</v>
      </c>
      <c r="E3352" s="12" t="s">
        <v>96</v>
      </c>
      <c r="F3352" s="12" t="s">
        <v>227</v>
      </c>
      <c r="G3352" s="15" t="s">
        <v>16</v>
      </c>
    </row>
    <row r="3353" spans="1:27" hidden="1" x14ac:dyDescent="0.25">
      <c r="A3353" s="11" t="s">
        <v>1260</v>
      </c>
      <c r="B3353" s="12" t="s">
        <v>1261</v>
      </c>
      <c r="C3353" s="13">
        <v>17</v>
      </c>
      <c r="D3353" s="12" t="s">
        <v>1290</v>
      </c>
      <c r="E3353" s="12" t="s">
        <v>1262</v>
      </c>
      <c r="F3353" s="12" t="s">
        <v>1291</v>
      </c>
      <c r="G3353" s="15" t="s">
        <v>16</v>
      </c>
    </row>
    <row r="3354" spans="1:27" hidden="1" x14ac:dyDescent="0.25">
      <c r="A3354" s="11" t="s">
        <v>2130</v>
      </c>
      <c r="B3354" s="8" t="s">
        <v>2131</v>
      </c>
      <c r="C3354" s="13">
        <v>6</v>
      </c>
      <c r="D3354" s="12" t="s">
        <v>2139</v>
      </c>
      <c r="E3354" s="12" t="s">
        <v>2132</v>
      </c>
      <c r="F3354" s="12" t="s">
        <v>2140</v>
      </c>
      <c r="G3354" s="15" t="s">
        <v>16</v>
      </c>
    </row>
    <row r="3355" spans="1:27" hidden="1" x14ac:dyDescent="0.25">
      <c r="A3355" s="11" t="s">
        <v>6325</v>
      </c>
      <c r="B3355" s="12" t="s">
        <v>6326</v>
      </c>
      <c r="C3355" s="13">
        <f>C3354+1</f>
        <v>7</v>
      </c>
      <c r="D3355" s="12" t="s">
        <v>2139</v>
      </c>
      <c r="E3355" s="12" t="s">
        <v>6327</v>
      </c>
      <c r="F3355" s="12" t="s">
        <v>6346</v>
      </c>
      <c r="G3355" s="15" t="s">
        <v>16</v>
      </c>
      <c r="I3355" s="90">
        <v>12</v>
      </c>
    </row>
    <row r="3356" spans="1:27" ht="12.75" hidden="1" thickBot="1" x14ac:dyDescent="0.3">
      <c r="A3356" s="36" t="s">
        <v>6787</v>
      </c>
      <c r="B3356" s="30" t="s">
        <v>6788</v>
      </c>
      <c r="C3356" s="31">
        <v>11</v>
      </c>
      <c r="D3356" s="30" t="s">
        <v>2139</v>
      </c>
      <c r="E3356" s="30" t="s">
        <v>6789</v>
      </c>
      <c r="F3356" s="30" t="s">
        <v>6800</v>
      </c>
      <c r="G3356" s="33" t="s">
        <v>16</v>
      </c>
    </row>
    <row r="3357" spans="1:27" s="10" customFormat="1" hidden="1" x14ac:dyDescent="0.2">
      <c r="A3357" s="46" t="s">
        <v>585</v>
      </c>
      <c r="B3357" s="12" t="s">
        <v>586</v>
      </c>
      <c r="C3357" s="13">
        <v>16</v>
      </c>
      <c r="D3357" s="14" t="s">
        <v>616</v>
      </c>
      <c r="E3357" s="12" t="s">
        <v>587</v>
      </c>
      <c r="F3357" s="12" t="s">
        <v>617</v>
      </c>
      <c r="G3357" s="15" t="s">
        <v>16</v>
      </c>
      <c r="H3357" s="8"/>
      <c r="I3357" s="99">
        <v>13</v>
      </c>
      <c r="J3357" s="8"/>
      <c r="K3357" s="8"/>
      <c r="L3357" s="8"/>
      <c r="M3357" s="8"/>
      <c r="N3357" s="8"/>
      <c r="O3357" s="8"/>
      <c r="P3357" s="8"/>
      <c r="Q3357" s="8"/>
      <c r="R3357" s="8"/>
      <c r="S3357" s="8"/>
      <c r="T3357" s="8"/>
      <c r="U3357" s="8"/>
      <c r="V3357" s="8"/>
      <c r="W3357" s="8"/>
      <c r="X3357" s="8"/>
      <c r="Y3357" s="8"/>
      <c r="Z3357" s="8"/>
      <c r="AA3357" s="8"/>
    </row>
    <row r="3358" spans="1:27" s="10" customFormat="1" hidden="1" x14ac:dyDescent="0.2">
      <c r="A3358" s="46" t="s">
        <v>93</v>
      </c>
      <c r="B3358" s="12" t="s">
        <v>94</v>
      </c>
      <c r="C3358" s="13">
        <v>89</v>
      </c>
      <c r="D3358" s="14" t="s">
        <v>280</v>
      </c>
      <c r="E3358" s="12" t="s">
        <v>96</v>
      </c>
      <c r="F3358" s="12" t="s">
        <v>281</v>
      </c>
      <c r="G3358" s="15" t="s">
        <v>282</v>
      </c>
      <c r="H3358" s="8"/>
      <c r="I3358" s="94">
        <v>14</v>
      </c>
      <c r="J3358" s="8"/>
      <c r="K3358" s="8"/>
      <c r="L3358" s="8"/>
      <c r="M3358" s="8"/>
      <c r="N3358" s="8"/>
      <c r="O3358" s="8"/>
      <c r="P3358" s="8"/>
      <c r="Q3358" s="8"/>
      <c r="R3358" s="8"/>
      <c r="S3358" s="8"/>
      <c r="T3358" s="8"/>
      <c r="U3358" s="8"/>
      <c r="V3358" s="8"/>
      <c r="W3358" s="8"/>
      <c r="X3358" s="8"/>
      <c r="Y3358" s="8"/>
      <c r="Z3358" s="8"/>
      <c r="AA3358" s="8"/>
    </row>
    <row r="3359" spans="1:27" s="10" customFormat="1" hidden="1" x14ac:dyDescent="0.25">
      <c r="A3359" s="46" t="s">
        <v>5379</v>
      </c>
      <c r="B3359" s="12" t="s">
        <v>5380</v>
      </c>
      <c r="C3359" s="13">
        <v>1</v>
      </c>
      <c r="D3359" s="22" t="s">
        <v>5381</v>
      </c>
      <c r="E3359" s="12" t="s">
        <v>5382</v>
      </c>
      <c r="F3359" s="22" t="s">
        <v>5383</v>
      </c>
      <c r="G3359" s="15" t="s">
        <v>16</v>
      </c>
      <c r="H3359" s="8"/>
      <c r="I3359" s="90"/>
      <c r="J3359" s="8"/>
      <c r="K3359" s="8"/>
      <c r="L3359" s="8"/>
      <c r="M3359" s="8"/>
      <c r="N3359" s="8"/>
      <c r="O3359" s="8"/>
      <c r="P3359" s="8"/>
      <c r="Q3359" s="8"/>
      <c r="R3359" s="8"/>
      <c r="S3359" s="8"/>
      <c r="T3359" s="8"/>
      <c r="U3359" s="8"/>
      <c r="V3359" s="8"/>
      <c r="W3359" s="8"/>
      <c r="X3359" s="8"/>
      <c r="Y3359" s="8"/>
      <c r="Z3359" s="8"/>
      <c r="AA3359" s="8"/>
    </row>
    <row r="3360" spans="1:27" s="10" customFormat="1" hidden="1" x14ac:dyDescent="0.25">
      <c r="A3360" s="97" t="s">
        <v>6252</v>
      </c>
      <c r="B3360" s="82" t="s">
        <v>6253</v>
      </c>
      <c r="C3360" s="83">
        <f>C3359+1</f>
        <v>2</v>
      </c>
      <c r="D3360" s="82" t="s">
        <v>6273</v>
      </c>
      <c r="E3360" s="82" t="s">
        <v>6254</v>
      </c>
      <c r="F3360" s="82" t="s">
        <v>6274</v>
      </c>
      <c r="G3360" s="84" t="s">
        <v>16</v>
      </c>
      <c r="H3360" s="8"/>
      <c r="I3360" s="79" t="s">
        <v>6268</v>
      </c>
      <c r="J3360" s="8"/>
      <c r="K3360" s="8"/>
      <c r="L3360" s="8"/>
      <c r="M3360" s="8"/>
      <c r="N3360" s="8"/>
      <c r="O3360" s="8"/>
      <c r="P3360" s="8"/>
      <c r="Q3360" s="8"/>
      <c r="R3360" s="8"/>
      <c r="S3360" s="8"/>
      <c r="T3360" s="8"/>
      <c r="U3360" s="8"/>
      <c r="V3360" s="8"/>
      <c r="W3360" s="8"/>
      <c r="X3360" s="8"/>
      <c r="Y3360" s="8"/>
      <c r="Z3360" s="8"/>
      <c r="AA3360" s="8"/>
    </row>
    <row r="3361" spans="1:27" s="10" customFormat="1" hidden="1" x14ac:dyDescent="0.25">
      <c r="A3361" s="97" t="s">
        <v>6768</v>
      </c>
      <c r="B3361" s="82" t="s">
        <v>6769</v>
      </c>
      <c r="C3361" s="83">
        <v>15</v>
      </c>
      <c r="D3361" s="82" t="s">
        <v>6273</v>
      </c>
      <c r="E3361" s="82" t="s">
        <v>6770</v>
      </c>
      <c r="F3361" s="82" t="s">
        <v>6785</v>
      </c>
      <c r="G3361" s="84" t="s">
        <v>16</v>
      </c>
      <c r="H3361" s="87"/>
      <c r="I3361" s="54">
        <v>15</v>
      </c>
      <c r="J3361" s="87"/>
      <c r="K3361" s="87"/>
      <c r="L3361" s="87"/>
      <c r="M3361" s="87"/>
      <c r="N3361" s="87"/>
      <c r="O3361" s="87"/>
      <c r="P3361" s="87"/>
      <c r="Q3361" s="87"/>
      <c r="R3361" s="87"/>
      <c r="S3361" s="87"/>
      <c r="T3361" s="87"/>
      <c r="U3361" s="87"/>
      <c r="V3361" s="87"/>
      <c r="W3361" s="87"/>
      <c r="X3361" s="87"/>
      <c r="Y3361" s="87"/>
      <c r="Z3361" s="87"/>
      <c r="AA3361" s="87"/>
    </row>
    <row r="3362" spans="1:27" s="10" customFormat="1" hidden="1" x14ac:dyDescent="0.25">
      <c r="A3362" s="46" t="s">
        <v>1534</v>
      </c>
      <c r="B3362" s="12" t="s">
        <v>1535</v>
      </c>
      <c r="C3362" s="13">
        <v>1</v>
      </c>
      <c r="D3362" s="22" t="s">
        <v>1536</v>
      </c>
      <c r="E3362" s="12" t="s">
        <v>1537</v>
      </c>
      <c r="F3362" s="22" t="s">
        <v>1538</v>
      </c>
      <c r="G3362" s="15" t="s">
        <v>16</v>
      </c>
      <c r="H3362" s="8"/>
      <c r="I3362" s="90"/>
      <c r="J3362" s="8"/>
      <c r="K3362" s="8"/>
      <c r="L3362" s="8"/>
      <c r="M3362" s="8"/>
      <c r="N3362" s="8"/>
      <c r="O3362" s="8"/>
      <c r="P3362" s="8"/>
      <c r="Q3362" s="8"/>
      <c r="R3362" s="8"/>
      <c r="S3362" s="8"/>
      <c r="T3362" s="8"/>
      <c r="U3362" s="8"/>
      <c r="V3362" s="8"/>
      <c r="W3362" s="8"/>
      <c r="X3362" s="8"/>
      <c r="Y3362" s="8"/>
      <c r="Z3362" s="8"/>
      <c r="AA3362" s="8"/>
    </row>
    <row r="3363" spans="1:27" s="10" customFormat="1" hidden="1" x14ac:dyDescent="0.2">
      <c r="A3363" s="46" t="s">
        <v>3400</v>
      </c>
      <c r="B3363" s="12" t="s">
        <v>3401</v>
      </c>
      <c r="C3363" s="13">
        <v>1</v>
      </c>
      <c r="D3363" s="22" t="s">
        <v>1536</v>
      </c>
      <c r="E3363" s="65" t="s">
        <v>3402</v>
      </c>
      <c r="F3363" s="75" t="s">
        <v>3403</v>
      </c>
      <c r="G3363" s="66" t="s">
        <v>16</v>
      </c>
      <c r="H3363" s="8"/>
      <c r="I3363" s="90"/>
      <c r="J3363" s="8"/>
      <c r="K3363" s="8"/>
      <c r="L3363" s="8"/>
      <c r="M3363" s="8"/>
      <c r="N3363" s="8"/>
      <c r="O3363" s="8"/>
      <c r="P3363" s="8"/>
      <c r="Q3363" s="8"/>
      <c r="R3363" s="8"/>
      <c r="S3363" s="8"/>
      <c r="T3363" s="8"/>
      <c r="U3363" s="8"/>
      <c r="V3363" s="8"/>
      <c r="W3363" s="8"/>
      <c r="X3363" s="8"/>
      <c r="Y3363" s="8"/>
      <c r="Z3363" s="8"/>
      <c r="AA3363" s="8"/>
    </row>
    <row r="3364" spans="1:27" s="10" customFormat="1" hidden="1" x14ac:dyDescent="0.2">
      <c r="A3364" s="46" t="s">
        <v>3428</v>
      </c>
      <c r="B3364" s="12" t="s">
        <v>3429</v>
      </c>
      <c r="C3364" s="13">
        <v>1</v>
      </c>
      <c r="D3364" s="22" t="s">
        <v>1536</v>
      </c>
      <c r="E3364" s="65" t="s">
        <v>3430</v>
      </c>
      <c r="F3364" s="75" t="s">
        <v>3431</v>
      </c>
      <c r="G3364" s="66" t="s">
        <v>16</v>
      </c>
      <c r="H3364" s="8"/>
      <c r="I3364" s="90"/>
      <c r="J3364" s="8"/>
      <c r="K3364" s="8"/>
      <c r="L3364" s="8"/>
      <c r="M3364" s="8"/>
      <c r="N3364" s="8"/>
      <c r="O3364" s="8"/>
      <c r="P3364" s="8"/>
      <c r="Q3364" s="8"/>
      <c r="R3364" s="8"/>
      <c r="S3364" s="8"/>
      <c r="T3364" s="8"/>
      <c r="U3364" s="8"/>
      <c r="V3364" s="8"/>
      <c r="W3364" s="8"/>
      <c r="X3364" s="8"/>
      <c r="Y3364" s="8"/>
      <c r="Z3364" s="8"/>
      <c r="AA3364" s="8"/>
    </row>
    <row r="3365" spans="1:27" s="10" customFormat="1" hidden="1" x14ac:dyDescent="0.2">
      <c r="A3365" s="46" t="s">
        <v>3458</v>
      </c>
      <c r="B3365" s="12" t="s">
        <v>3459</v>
      </c>
      <c r="C3365" s="13">
        <v>1</v>
      </c>
      <c r="D3365" s="22" t="s">
        <v>1536</v>
      </c>
      <c r="E3365" s="65" t="s">
        <v>3460</v>
      </c>
      <c r="F3365" s="75" t="s">
        <v>3461</v>
      </c>
      <c r="G3365" s="66" t="str">
        <f>[1]Motor!K128</f>
        <v>DATE</v>
      </c>
      <c r="H3365" s="8"/>
      <c r="I3365" s="90"/>
      <c r="J3365" s="8"/>
      <c r="K3365" s="8"/>
      <c r="L3365" s="8"/>
      <c r="M3365" s="8"/>
      <c r="N3365" s="8"/>
      <c r="O3365" s="8"/>
      <c r="P3365" s="8"/>
      <c r="Q3365" s="8"/>
      <c r="R3365" s="8"/>
      <c r="S3365" s="8"/>
      <c r="T3365" s="8"/>
      <c r="U3365" s="8"/>
      <c r="V3365" s="8"/>
      <c r="W3365" s="8"/>
      <c r="X3365" s="8"/>
      <c r="Y3365" s="8"/>
      <c r="Z3365" s="8"/>
      <c r="AA3365" s="8"/>
    </row>
    <row r="3366" spans="1:27" s="10" customFormat="1" hidden="1" x14ac:dyDescent="0.2">
      <c r="A3366" s="46" t="s">
        <v>3633</v>
      </c>
      <c r="B3366" s="12" t="s">
        <v>3634</v>
      </c>
      <c r="C3366" s="13">
        <v>1</v>
      </c>
      <c r="D3366" s="22" t="s">
        <v>1536</v>
      </c>
      <c r="E3366" s="65" t="s">
        <v>3635</v>
      </c>
      <c r="F3366" s="75" t="s">
        <v>3636</v>
      </c>
      <c r="G3366" s="66" t="s">
        <v>16</v>
      </c>
      <c r="H3366" s="8"/>
      <c r="I3366" s="90"/>
      <c r="J3366" s="8"/>
      <c r="K3366" s="8"/>
      <c r="L3366" s="8"/>
      <c r="M3366" s="8"/>
      <c r="N3366" s="8"/>
      <c r="O3366" s="8"/>
      <c r="P3366" s="8"/>
      <c r="Q3366" s="8"/>
      <c r="R3366" s="8"/>
      <c r="S3366" s="8"/>
      <c r="T3366" s="8"/>
      <c r="U3366" s="8"/>
      <c r="V3366" s="8"/>
      <c r="W3366" s="8"/>
      <c r="X3366" s="8"/>
      <c r="Y3366" s="8"/>
      <c r="Z3366" s="8"/>
      <c r="AA3366" s="8"/>
    </row>
    <row r="3367" spans="1:27" s="10" customFormat="1" hidden="1" x14ac:dyDescent="0.2">
      <c r="A3367" s="46" t="s">
        <v>3741</v>
      </c>
      <c r="B3367" s="12" t="s">
        <v>3742</v>
      </c>
      <c r="C3367" s="13">
        <v>1</v>
      </c>
      <c r="D3367" s="12" t="s">
        <v>1536</v>
      </c>
      <c r="E3367" s="65" t="s">
        <v>3743</v>
      </c>
      <c r="F3367" s="75" t="s">
        <v>3744</v>
      </c>
      <c r="G3367" s="66" t="s">
        <v>16</v>
      </c>
      <c r="H3367" s="8"/>
      <c r="I3367" s="90"/>
      <c r="J3367" s="8"/>
      <c r="K3367" s="8"/>
      <c r="L3367" s="8"/>
      <c r="M3367" s="8"/>
      <c r="N3367" s="8"/>
      <c r="O3367" s="8"/>
      <c r="P3367" s="8"/>
      <c r="Q3367" s="8"/>
      <c r="R3367" s="8"/>
      <c r="S3367" s="8"/>
      <c r="T3367" s="8"/>
      <c r="U3367" s="8"/>
      <c r="V3367" s="8"/>
      <c r="W3367" s="8"/>
      <c r="X3367" s="8"/>
      <c r="Y3367" s="8"/>
      <c r="Z3367" s="8"/>
      <c r="AA3367" s="8"/>
    </row>
    <row r="3368" spans="1:27" s="10" customFormat="1" hidden="1" x14ac:dyDescent="0.2">
      <c r="A3368" s="46" t="s">
        <v>3763</v>
      </c>
      <c r="B3368" s="12" t="s">
        <v>3764</v>
      </c>
      <c r="C3368" s="13">
        <v>1</v>
      </c>
      <c r="D3368" s="22" t="s">
        <v>1536</v>
      </c>
      <c r="E3368" s="12" t="s">
        <v>3765</v>
      </c>
      <c r="F3368" s="75" t="s">
        <v>3766</v>
      </c>
      <c r="G3368" s="66" t="s">
        <v>16</v>
      </c>
      <c r="H3368" s="8"/>
      <c r="I3368" s="90"/>
      <c r="J3368" s="8"/>
      <c r="K3368" s="8"/>
      <c r="L3368" s="8"/>
      <c r="M3368" s="8"/>
      <c r="N3368" s="8"/>
      <c r="O3368" s="8"/>
      <c r="P3368" s="8"/>
      <c r="Q3368" s="8"/>
      <c r="R3368" s="8"/>
      <c r="S3368" s="8"/>
      <c r="T3368" s="8"/>
      <c r="U3368" s="8"/>
      <c r="V3368" s="8"/>
      <c r="W3368" s="8"/>
      <c r="X3368" s="8"/>
      <c r="Y3368" s="8"/>
      <c r="Z3368" s="8"/>
      <c r="AA3368" s="8"/>
    </row>
    <row r="3369" spans="1:27" s="10" customFormat="1" hidden="1" x14ac:dyDescent="0.2">
      <c r="A3369" s="46" t="s">
        <v>3799</v>
      </c>
      <c r="B3369" s="12" t="s">
        <v>3800</v>
      </c>
      <c r="C3369" s="13">
        <v>1</v>
      </c>
      <c r="D3369" s="22" t="s">
        <v>1536</v>
      </c>
      <c r="E3369" s="12" t="s">
        <v>3801</v>
      </c>
      <c r="F3369" s="75" t="s">
        <v>3802</v>
      </c>
      <c r="G3369" s="66" t="s">
        <v>16</v>
      </c>
      <c r="H3369" s="8"/>
      <c r="I3369" s="90"/>
      <c r="J3369" s="8"/>
      <c r="K3369" s="8"/>
      <c r="L3369" s="8"/>
      <c r="M3369" s="8"/>
      <c r="N3369" s="8"/>
      <c r="O3369" s="8"/>
      <c r="P3369" s="8"/>
      <c r="Q3369" s="8"/>
      <c r="R3369" s="8"/>
      <c r="S3369" s="8"/>
      <c r="T3369" s="8"/>
      <c r="U3369" s="8"/>
      <c r="V3369" s="8"/>
      <c r="W3369" s="8"/>
      <c r="X3369" s="8"/>
      <c r="Y3369" s="8"/>
      <c r="Z3369" s="8"/>
      <c r="AA3369" s="8"/>
    </row>
    <row r="3370" spans="1:27" s="10" customFormat="1" hidden="1" x14ac:dyDescent="0.2">
      <c r="A3370" s="46" t="s">
        <v>3839</v>
      </c>
      <c r="B3370" s="12" t="s">
        <v>3840</v>
      </c>
      <c r="C3370" s="13">
        <v>1</v>
      </c>
      <c r="D3370" s="22" t="s">
        <v>1536</v>
      </c>
      <c r="E3370" s="12" t="s">
        <v>3841</v>
      </c>
      <c r="F3370" s="75" t="s">
        <v>3842</v>
      </c>
      <c r="G3370" s="66" t="s">
        <v>16</v>
      </c>
      <c r="H3370" s="8"/>
      <c r="I3370" s="90"/>
      <c r="J3370" s="8"/>
      <c r="K3370" s="8"/>
      <c r="L3370" s="8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  <c r="X3370" s="8"/>
      <c r="Y3370" s="8"/>
      <c r="Z3370" s="8"/>
      <c r="AA3370" s="8"/>
    </row>
    <row r="3371" spans="1:27" s="10" customFormat="1" hidden="1" x14ac:dyDescent="0.2">
      <c r="A3371" s="46" t="s">
        <v>3858</v>
      </c>
      <c r="B3371" s="12" t="s">
        <v>3859</v>
      </c>
      <c r="C3371" s="13">
        <v>1</v>
      </c>
      <c r="D3371" s="22" t="s">
        <v>1536</v>
      </c>
      <c r="E3371" s="12" t="s">
        <v>3860</v>
      </c>
      <c r="F3371" s="75" t="s">
        <v>3861</v>
      </c>
      <c r="G3371" s="66" t="s">
        <v>16</v>
      </c>
      <c r="H3371" s="8"/>
      <c r="I3371" s="90"/>
      <c r="J3371" s="8"/>
      <c r="K3371" s="8"/>
      <c r="L3371" s="8"/>
      <c r="M3371" s="8"/>
      <c r="N3371" s="8"/>
      <c r="O3371" s="8"/>
      <c r="P3371" s="8"/>
      <c r="Q3371" s="8"/>
      <c r="R3371" s="8"/>
      <c r="S3371" s="8"/>
      <c r="T3371" s="8"/>
      <c r="U3371" s="8"/>
      <c r="V3371" s="8"/>
      <c r="W3371" s="8"/>
      <c r="X3371" s="8"/>
      <c r="Y3371" s="8"/>
      <c r="Z3371" s="8"/>
      <c r="AA3371" s="8"/>
    </row>
    <row r="3372" spans="1:27" s="10" customFormat="1" hidden="1" x14ac:dyDescent="0.2">
      <c r="A3372" s="46" t="s">
        <v>3880</v>
      </c>
      <c r="B3372" s="12" t="s">
        <v>3881</v>
      </c>
      <c r="C3372" s="13">
        <v>1</v>
      </c>
      <c r="D3372" s="22" t="s">
        <v>1536</v>
      </c>
      <c r="E3372" s="12" t="s">
        <v>3882</v>
      </c>
      <c r="F3372" s="22" t="s">
        <v>3883</v>
      </c>
      <c r="G3372" s="66" t="s">
        <v>16</v>
      </c>
      <c r="H3372" s="8"/>
      <c r="I3372" s="90"/>
      <c r="J3372" s="8"/>
      <c r="K3372" s="8"/>
      <c r="L3372" s="8"/>
      <c r="M3372" s="8"/>
      <c r="N3372" s="8"/>
      <c r="O3372" s="8"/>
      <c r="P3372" s="8"/>
      <c r="Q3372" s="8"/>
      <c r="R3372" s="8"/>
      <c r="S3372" s="8"/>
      <c r="T3372" s="8"/>
      <c r="U3372" s="8"/>
      <c r="V3372" s="8"/>
      <c r="W3372" s="8"/>
      <c r="X3372" s="8"/>
      <c r="Y3372" s="8"/>
      <c r="Z3372" s="8"/>
      <c r="AA3372" s="8"/>
    </row>
    <row r="3373" spans="1:27" s="10" customFormat="1" hidden="1" x14ac:dyDescent="0.2">
      <c r="A3373" s="46" t="s">
        <v>3914</v>
      </c>
      <c r="B3373" s="12" t="s">
        <v>3915</v>
      </c>
      <c r="C3373" s="13">
        <v>1</v>
      </c>
      <c r="D3373" s="22" t="s">
        <v>1536</v>
      </c>
      <c r="E3373" s="12" t="s">
        <v>3916</v>
      </c>
      <c r="F3373" s="22" t="s">
        <v>3917</v>
      </c>
      <c r="G3373" s="66" t="s">
        <v>16</v>
      </c>
      <c r="H3373" s="8"/>
      <c r="I3373" s="90"/>
      <c r="J3373" s="8"/>
      <c r="K3373" s="8"/>
      <c r="L3373" s="8"/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  <c r="X3373" s="8"/>
      <c r="Y3373" s="8"/>
      <c r="Z3373" s="8"/>
      <c r="AA3373" s="8"/>
    </row>
    <row r="3374" spans="1:27" s="10" customFormat="1" hidden="1" x14ac:dyDescent="0.2">
      <c r="A3374" s="46" t="s">
        <v>3937</v>
      </c>
      <c r="B3374" s="12" t="s">
        <v>3938</v>
      </c>
      <c r="C3374" s="13">
        <v>1</v>
      </c>
      <c r="D3374" s="22" t="s">
        <v>1536</v>
      </c>
      <c r="E3374" s="12" t="s">
        <v>3939</v>
      </c>
      <c r="F3374" s="22" t="s">
        <v>3940</v>
      </c>
      <c r="G3374" s="66" t="s">
        <v>16</v>
      </c>
      <c r="H3374" s="8"/>
      <c r="I3374" s="90"/>
      <c r="J3374" s="8"/>
      <c r="K3374" s="8"/>
      <c r="L3374" s="8"/>
      <c r="M3374" s="8"/>
      <c r="N3374" s="8"/>
      <c r="O3374" s="8"/>
      <c r="P3374" s="8"/>
      <c r="Q3374" s="8"/>
      <c r="R3374" s="8"/>
      <c r="S3374" s="8"/>
      <c r="T3374" s="8"/>
      <c r="U3374" s="8"/>
      <c r="V3374" s="8"/>
      <c r="W3374" s="8"/>
      <c r="X3374" s="8"/>
      <c r="Y3374" s="8"/>
      <c r="Z3374" s="8"/>
      <c r="AA3374" s="8"/>
    </row>
    <row r="3375" spans="1:27" s="10" customFormat="1" ht="12.75" hidden="1" thickBot="1" x14ac:dyDescent="0.25">
      <c r="A3375" s="44" t="s">
        <v>3956</v>
      </c>
      <c r="B3375" s="12" t="s">
        <v>3957</v>
      </c>
      <c r="C3375" s="31">
        <v>1</v>
      </c>
      <c r="D3375" s="4" t="s">
        <v>1536</v>
      </c>
      <c r="E3375" s="12" t="s">
        <v>3958</v>
      </c>
      <c r="F3375" s="4" t="s">
        <v>3959</v>
      </c>
      <c r="G3375" s="68" t="s">
        <v>16</v>
      </c>
      <c r="H3375" s="8"/>
      <c r="I3375" s="90"/>
      <c r="J3375" s="8"/>
      <c r="K3375" s="8"/>
      <c r="L3375" s="8"/>
      <c r="M3375" s="8"/>
      <c r="N3375" s="8"/>
      <c r="O3375" s="8"/>
      <c r="P3375" s="8"/>
      <c r="Q3375" s="8"/>
      <c r="R3375" s="8"/>
      <c r="S3375" s="8"/>
      <c r="T3375" s="8"/>
      <c r="U3375" s="8"/>
      <c r="V3375" s="8"/>
      <c r="W3375" s="8"/>
      <c r="X3375" s="8"/>
      <c r="Y3375" s="8"/>
      <c r="Z3375" s="8"/>
      <c r="AA3375" s="8"/>
    </row>
    <row r="3376" spans="1:27" hidden="1" x14ac:dyDescent="0.2">
      <c r="A3376" s="139" t="s">
        <v>3993</v>
      </c>
      <c r="B3376" s="61" t="s">
        <v>3994</v>
      </c>
      <c r="C3376" s="58">
        <v>1</v>
      </c>
      <c r="D3376" s="17" t="s">
        <v>1536</v>
      </c>
      <c r="E3376" s="61" t="s">
        <v>3995</v>
      </c>
      <c r="F3376" s="17" t="s">
        <v>3996</v>
      </c>
      <c r="G3376" s="129" t="s">
        <v>16</v>
      </c>
    </row>
    <row r="3377" spans="1:27" hidden="1" x14ac:dyDescent="0.2">
      <c r="A3377" s="46" t="s">
        <v>4013</v>
      </c>
      <c r="B3377" s="12" t="s">
        <v>4014</v>
      </c>
      <c r="C3377" s="13">
        <v>1</v>
      </c>
      <c r="D3377" s="22" t="s">
        <v>1536</v>
      </c>
      <c r="E3377" s="12" t="s">
        <v>4015</v>
      </c>
      <c r="F3377" s="22" t="s">
        <v>4016</v>
      </c>
      <c r="G3377" s="66" t="s">
        <v>16</v>
      </c>
    </row>
    <row r="3378" spans="1:27" hidden="1" x14ac:dyDescent="0.2">
      <c r="A3378" s="46" t="s">
        <v>4049</v>
      </c>
      <c r="B3378" s="12" t="s">
        <v>4050</v>
      </c>
      <c r="C3378" s="13">
        <v>1</v>
      </c>
      <c r="D3378" s="22" t="s">
        <v>1536</v>
      </c>
      <c r="E3378" s="12" t="s">
        <v>4051</v>
      </c>
      <c r="F3378" s="22" t="s">
        <v>4052</v>
      </c>
      <c r="G3378" s="66" t="s">
        <v>16</v>
      </c>
    </row>
    <row r="3379" spans="1:27" hidden="1" x14ac:dyDescent="0.2">
      <c r="A3379" s="46" t="s">
        <v>4087</v>
      </c>
      <c r="B3379" s="12" t="s">
        <v>4088</v>
      </c>
      <c r="C3379" s="13">
        <v>1</v>
      </c>
      <c r="D3379" s="22" t="s">
        <v>1536</v>
      </c>
      <c r="E3379" s="12" t="s">
        <v>4089</v>
      </c>
      <c r="F3379" s="22" t="s">
        <v>4090</v>
      </c>
      <c r="G3379" s="66" t="s">
        <v>16</v>
      </c>
      <c r="I3379" s="90" t="s">
        <v>2426</v>
      </c>
    </row>
    <row r="3380" spans="1:27" hidden="1" x14ac:dyDescent="0.2">
      <c r="A3380" s="46" t="s">
        <v>4212</v>
      </c>
      <c r="B3380" s="12" t="s">
        <v>4213</v>
      </c>
      <c r="C3380" s="13">
        <v>1</v>
      </c>
      <c r="D3380" s="22" t="s">
        <v>1536</v>
      </c>
      <c r="E3380" s="12" t="s">
        <v>4214</v>
      </c>
      <c r="F3380" s="22" t="s">
        <v>4215</v>
      </c>
      <c r="G3380" s="66" t="s">
        <v>16</v>
      </c>
      <c r="I3380" s="90" t="s">
        <v>2426</v>
      </c>
    </row>
    <row r="3381" spans="1:27" hidden="1" x14ac:dyDescent="0.2">
      <c r="A3381" s="46" t="s">
        <v>4318</v>
      </c>
      <c r="B3381" s="12" t="s">
        <v>4319</v>
      </c>
      <c r="C3381" s="13">
        <v>1</v>
      </c>
      <c r="D3381" s="22" t="s">
        <v>1536</v>
      </c>
      <c r="E3381" s="12" t="s">
        <v>4320</v>
      </c>
      <c r="F3381" s="22" t="s">
        <v>4321</v>
      </c>
      <c r="G3381" s="66" t="s">
        <v>16</v>
      </c>
      <c r="I3381" s="90" t="s">
        <v>2426</v>
      </c>
    </row>
    <row r="3382" spans="1:27" hidden="1" x14ac:dyDescent="0.2">
      <c r="A3382" s="46" t="s">
        <v>4335</v>
      </c>
      <c r="B3382" s="12" t="s">
        <v>4336</v>
      </c>
      <c r="C3382" s="13">
        <v>1</v>
      </c>
      <c r="D3382" s="22" t="s">
        <v>1536</v>
      </c>
      <c r="E3382" s="12" t="s">
        <v>4337</v>
      </c>
      <c r="F3382" s="22" t="s">
        <v>4338</v>
      </c>
      <c r="G3382" s="66" t="s">
        <v>16</v>
      </c>
      <c r="I3382" s="90" t="s">
        <v>2426</v>
      </c>
    </row>
    <row r="3383" spans="1:27" ht="12.75" hidden="1" thickBot="1" x14ac:dyDescent="0.25">
      <c r="A3383" s="44" t="s">
        <v>4347</v>
      </c>
      <c r="B3383" s="30" t="s">
        <v>4348</v>
      </c>
      <c r="C3383" s="31">
        <v>1</v>
      </c>
      <c r="D3383" s="4" t="s">
        <v>1536</v>
      </c>
      <c r="E3383" s="30" t="s">
        <v>4349</v>
      </c>
      <c r="F3383" s="4" t="s">
        <v>4350</v>
      </c>
      <c r="G3383" s="68" t="s">
        <v>16</v>
      </c>
      <c r="I3383" s="90" t="s">
        <v>2426</v>
      </c>
    </row>
    <row r="3384" spans="1:27" hidden="1" x14ac:dyDescent="0.25">
      <c r="A3384" s="139" t="s">
        <v>5645</v>
      </c>
      <c r="B3384" s="61" t="s">
        <v>5646</v>
      </c>
      <c r="C3384" s="58">
        <v>1</v>
      </c>
      <c r="D3384" s="17" t="s">
        <v>1536</v>
      </c>
      <c r="E3384" s="61" t="s">
        <v>5647</v>
      </c>
      <c r="F3384" s="17" t="s">
        <v>5648</v>
      </c>
      <c r="G3384" s="149" t="s">
        <v>16</v>
      </c>
    </row>
    <row r="3385" spans="1:27" hidden="1" x14ac:dyDescent="0.25">
      <c r="A3385" s="46" t="s">
        <v>5676</v>
      </c>
      <c r="B3385" s="12" t="s">
        <v>5677</v>
      </c>
      <c r="C3385" s="13">
        <v>1</v>
      </c>
      <c r="D3385" s="22" t="s">
        <v>1536</v>
      </c>
      <c r="E3385" s="12" t="s">
        <v>5678</v>
      </c>
      <c r="F3385" s="22" t="s">
        <v>5679</v>
      </c>
      <c r="G3385" s="80" t="s">
        <v>16</v>
      </c>
    </row>
    <row r="3386" spans="1:27" hidden="1" x14ac:dyDescent="0.25">
      <c r="A3386" s="46" t="s">
        <v>5921</v>
      </c>
      <c r="B3386" s="12" t="s">
        <v>5922</v>
      </c>
      <c r="C3386" s="13">
        <v>1</v>
      </c>
      <c r="D3386" s="22" t="s">
        <v>1536</v>
      </c>
      <c r="E3386" s="12" t="s">
        <v>5923</v>
      </c>
      <c r="F3386" s="22" t="s">
        <v>5924</v>
      </c>
      <c r="G3386" s="15" t="s">
        <v>16</v>
      </c>
      <c r="I3386" s="101" t="s">
        <v>5818</v>
      </c>
    </row>
    <row r="3387" spans="1:27" hidden="1" x14ac:dyDescent="0.25">
      <c r="A3387" s="46" t="s">
        <v>5957</v>
      </c>
      <c r="B3387" s="12" t="s">
        <v>5958</v>
      </c>
      <c r="C3387" s="13">
        <v>1</v>
      </c>
      <c r="D3387" s="22" t="s">
        <v>1536</v>
      </c>
      <c r="E3387" s="12" t="s">
        <v>5959</v>
      </c>
      <c r="F3387" s="22" t="s">
        <v>5960</v>
      </c>
      <c r="G3387" s="80" t="s">
        <v>16</v>
      </c>
      <c r="I3387" s="9">
        <v>15</v>
      </c>
    </row>
    <row r="3388" spans="1:27" hidden="1" x14ac:dyDescent="0.25">
      <c r="A3388" s="46" t="s">
        <v>1313</v>
      </c>
      <c r="B3388" s="12" t="s">
        <v>1314</v>
      </c>
      <c r="C3388" s="13">
        <v>28</v>
      </c>
      <c r="D3388" s="12" t="s">
        <v>1367</v>
      </c>
      <c r="E3388" s="12" t="s">
        <v>1315</v>
      </c>
      <c r="F3388" s="12" t="s">
        <v>1368</v>
      </c>
      <c r="G3388" s="15" t="s">
        <v>16</v>
      </c>
    </row>
    <row r="3389" spans="1:27" hidden="1" x14ac:dyDescent="0.2">
      <c r="A3389" s="46" t="s">
        <v>93</v>
      </c>
      <c r="B3389" s="12" t="s">
        <v>94</v>
      </c>
      <c r="C3389" s="13">
        <v>76</v>
      </c>
      <c r="D3389" s="14" t="s">
        <v>250</v>
      </c>
      <c r="E3389" s="12" t="s">
        <v>96</v>
      </c>
      <c r="F3389" s="12" t="s">
        <v>251</v>
      </c>
      <c r="G3389" s="15" t="s">
        <v>16</v>
      </c>
      <c r="I3389" s="90">
        <v>12</v>
      </c>
    </row>
    <row r="3390" spans="1:27" hidden="1" x14ac:dyDescent="0.2">
      <c r="A3390" s="46" t="s">
        <v>470</v>
      </c>
      <c r="B3390" s="12" t="s">
        <v>471</v>
      </c>
      <c r="C3390" s="13">
        <v>5</v>
      </c>
      <c r="D3390" s="14" t="s">
        <v>479</v>
      </c>
      <c r="E3390" s="12" t="s">
        <v>472</v>
      </c>
      <c r="F3390" s="12" t="s">
        <v>480</v>
      </c>
      <c r="G3390" s="15" t="s">
        <v>16</v>
      </c>
    </row>
    <row r="3391" spans="1:27" hidden="1" x14ac:dyDescent="0.25">
      <c r="A3391" s="46" t="s">
        <v>5395</v>
      </c>
      <c r="B3391" s="12" t="s">
        <v>5396</v>
      </c>
      <c r="C3391" s="13">
        <v>8</v>
      </c>
      <c r="D3391" s="12" t="s">
        <v>5409</v>
      </c>
      <c r="E3391" s="12" t="s">
        <v>5397</v>
      </c>
      <c r="F3391" s="12" t="s">
        <v>5410</v>
      </c>
      <c r="G3391" s="15" t="s">
        <v>16</v>
      </c>
    </row>
    <row r="3392" spans="1:27" s="10" customFormat="1" ht="15" hidden="1" x14ac:dyDescent="0.25">
      <c r="A3392" s="46" t="s">
        <v>6252</v>
      </c>
      <c r="B3392" s="12" t="s">
        <v>6253</v>
      </c>
      <c r="C3392" s="13">
        <f>C3387+1</f>
        <v>2</v>
      </c>
      <c r="D3392" s="12" t="s">
        <v>479</v>
      </c>
      <c r="E3392" s="12" t="s">
        <v>6254</v>
      </c>
      <c r="F3392" s="12" t="s">
        <v>6277</v>
      </c>
      <c r="G3392" s="15" t="s">
        <v>16</v>
      </c>
      <c r="H3392" s="8"/>
      <c r="I3392" s="9">
        <v>15</v>
      </c>
      <c r="J3392" s="52"/>
      <c r="K3392" s="8"/>
      <c r="L3392" s="8"/>
      <c r="M3392" s="8"/>
      <c r="N3392" s="8"/>
      <c r="O3392" s="8"/>
      <c r="P3392" s="8"/>
      <c r="Q3392" s="8"/>
      <c r="R3392" s="8"/>
      <c r="S3392" s="8"/>
      <c r="T3392" s="8"/>
      <c r="U3392" s="8"/>
      <c r="V3392" s="8"/>
      <c r="W3392" s="8"/>
      <c r="X3392" s="8"/>
      <c r="Y3392" s="8"/>
      <c r="Z3392" s="8"/>
      <c r="AA3392" s="8"/>
    </row>
    <row r="3393" spans="1:10" ht="15" hidden="1" x14ac:dyDescent="0.25">
      <c r="A3393" s="56" t="s">
        <v>6768</v>
      </c>
      <c r="B3393" s="61" t="s">
        <v>6253</v>
      </c>
      <c r="C3393" s="58">
        <f>C3388+1</f>
        <v>29</v>
      </c>
      <c r="D3393" s="61" t="s">
        <v>479</v>
      </c>
      <c r="E3393" s="61" t="s">
        <v>6770</v>
      </c>
      <c r="F3393" s="61" t="s">
        <v>6786</v>
      </c>
      <c r="G3393" s="62" t="s">
        <v>16</v>
      </c>
      <c r="I3393" s="9">
        <v>15</v>
      </c>
      <c r="J3393" s="52"/>
    </row>
    <row r="3394" spans="1:10" hidden="1" x14ac:dyDescent="0.2">
      <c r="A3394" s="11" t="s">
        <v>943</v>
      </c>
      <c r="B3394" s="12" t="s">
        <v>944</v>
      </c>
      <c r="C3394" s="13">
        <v>21</v>
      </c>
      <c r="D3394" s="14" t="s">
        <v>984</v>
      </c>
      <c r="E3394" s="12" t="s">
        <v>945</v>
      </c>
      <c r="F3394" s="12" t="s">
        <v>985</v>
      </c>
      <c r="G3394" s="15" t="s">
        <v>16</v>
      </c>
      <c r="I3394" s="9">
        <v>15</v>
      </c>
    </row>
    <row r="3395" spans="1:10" hidden="1" x14ac:dyDescent="0.25">
      <c r="A3395" s="11" t="s">
        <v>6415</v>
      </c>
      <c r="B3395" s="12" t="s">
        <v>6416</v>
      </c>
      <c r="C3395" s="13">
        <v>3</v>
      </c>
      <c r="D3395" s="22" t="s">
        <v>6420</v>
      </c>
      <c r="E3395" s="12" t="s">
        <v>6417</v>
      </c>
      <c r="F3395" s="22" t="s">
        <v>6421</v>
      </c>
      <c r="G3395" s="15" t="s">
        <v>282</v>
      </c>
      <c r="I3395" s="101" t="s">
        <v>5818</v>
      </c>
    </row>
    <row r="3396" spans="1:10" hidden="1" x14ac:dyDescent="0.25">
      <c r="A3396" s="11" t="s">
        <v>6688</v>
      </c>
      <c r="B3396" s="12" t="s">
        <v>6689</v>
      </c>
      <c r="C3396" s="13">
        <v>14</v>
      </c>
      <c r="D3396" s="12" t="s">
        <v>6713</v>
      </c>
      <c r="E3396" s="12" t="s">
        <v>6690</v>
      </c>
      <c r="F3396" s="12" t="s">
        <v>6714</v>
      </c>
      <c r="G3396" s="15" t="s">
        <v>16</v>
      </c>
    </row>
    <row r="3397" spans="1:10" hidden="1" x14ac:dyDescent="0.25">
      <c r="A3397" s="11" t="s">
        <v>6086</v>
      </c>
      <c r="B3397" s="12" t="s">
        <v>6087</v>
      </c>
      <c r="C3397" s="13">
        <v>8</v>
      </c>
      <c r="D3397" s="12" t="s">
        <v>6100</v>
      </c>
      <c r="E3397" s="12" t="s">
        <v>6088</v>
      </c>
      <c r="F3397" s="12" t="s">
        <v>6101</v>
      </c>
      <c r="G3397" s="15" t="s">
        <v>16</v>
      </c>
    </row>
    <row r="3398" spans="1:10" hidden="1" x14ac:dyDescent="0.25">
      <c r="A3398" s="11" t="s">
        <v>6134</v>
      </c>
      <c r="B3398" s="12" t="s">
        <v>6135</v>
      </c>
      <c r="C3398" s="13">
        <v>8</v>
      </c>
      <c r="D3398" s="12" t="s">
        <v>6100</v>
      </c>
      <c r="E3398" s="12" t="s">
        <v>6136</v>
      </c>
      <c r="F3398" s="12" t="s">
        <v>6144</v>
      </c>
      <c r="G3398" s="15" t="s">
        <v>16</v>
      </c>
    </row>
    <row r="3399" spans="1:10" hidden="1" x14ac:dyDescent="0.25">
      <c r="A3399" s="11" t="s">
        <v>6463</v>
      </c>
      <c r="B3399" s="12" t="s">
        <v>6464</v>
      </c>
      <c r="C3399" s="13">
        <v>8</v>
      </c>
      <c r="D3399" s="12" t="s">
        <v>6100</v>
      </c>
      <c r="E3399" s="12" t="s">
        <v>6465</v>
      </c>
      <c r="F3399" s="12" t="s">
        <v>6473</v>
      </c>
      <c r="G3399" s="15" t="s">
        <v>16</v>
      </c>
      <c r="I3399" s="9">
        <v>15</v>
      </c>
    </row>
    <row r="3400" spans="1:10" hidden="1" x14ac:dyDescent="0.25">
      <c r="A3400" s="11" t="s">
        <v>6491</v>
      </c>
      <c r="B3400" s="12" t="s">
        <v>6492</v>
      </c>
      <c r="C3400" s="13">
        <v>8</v>
      </c>
      <c r="D3400" s="12" t="s">
        <v>6100</v>
      </c>
      <c r="E3400" s="12" t="s">
        <v>6493</v>
      </c>
      <c r="F3400" s="12" t="s">
        <v>6501</v>
      </c>
      <c r="G3400" s="15" t="s">
        <v>16</v>
      </c>
      <c r="I3400" s="9">
        <v>15</v>
      </c>
    </row>
    <row r="3401" spans="1:10" hidden="1" x14ac:dyDescent="0.2">
      <c r="A3401" s="11" t="s">
        <v>2024</v>
      </c>
      <c r="B3401" s="12" t="s">
        <v>2025</v>
      </c>
      <c r="C3401" s="13">
        <v>28</v>
      </c>
      <c r="D3401" s="14" t="s">
        <v>2072</v>
      </c>
      <c r="E3401" s="12" t="s">
        <v>2026</v>
      </c>
      <c r="F3401" s="12" t="s">
        <v>2073</v>
      </c>
      <c r="G3401" s="15" t="s">
        <v>13</v>
      </c>
    </row>
    <row r="3402" spans="1:10" hidden="1" x14ac:dyDescent="0.2">
      <c r="A3402" s="11" t="s">
        <v>319</v>
      </c>
      <c r="B3402" s="12" t="s">
        <v>320</v>
      </c>
      <c r="C3402" s="13">
        <f>C3401+1</f>
        <v>29</v>
      </c>
      <c r="D3402" s="14" t="s">
        <v>355</v>
      </c>
      <c r="E3402" s="12" t="s">
        <v>321</v>
      </c>
      <c r="F3402" s="12" t="s">
        <v>356</v>
      </c>
      <c r="G3402" s="15" t="s">
        <v>16</v>
      </c>
    </row>
    <row r="3403" spans="1:10" hidden="1" x14ac:dyDescent="0.25">
      <c r="A3403" s="11" t="s">
        <v>1260</v>
      </c>
      <c r="B3403" s="12" t="s">
        <v>1261</v>
      </c>
      <c r="C3403" s="13">
        <v>18</v>
      </c>
      <c r="D3403" s="12" t="s">
        <v>355</v>
      </c>
      <c r="E3403" s="12" t="s">
        <v>1262</v>
      </c>
      <c r="F3403" s="12" t="s">
        <v>1292</v>
      </c>
      <c r="G3403" s="15" t="s">
        <v>16</v>
      </c>
    </row>
    <row r="3404" spans="1:10" hidden="1" x14ac:dyDescent="0.25">
      <c r="A3404" s="146" t="s">
        <v>4926</v>
      </c>
      <c r="B3404" s="12" t="s">
        <v>4927</v>
      </c>
      <c r="C3404" s="13">
        <v>35</v>
      </c>
      <c r="D3404" s="12" t="s">
        <v>4994</v>
      </c>
      <c r="E3404" s="12" t="s">
        <v>4928</v>
      </c>
      <c r="F3404" s="8" t="s">
        <v>4995</v>
      </c>
      <c r="G3404" s="80" t="s">
        <v>16</v>
      </c>
    </row>
    <row r="3405" spans="1:10" hidden="1" x14ac:dyDescent="0.25">
      <c r="A3405" s="146" t="s">
        <v>4926</v>
      </c>
      <c r="B3405" s="12" t="s">
        <v>4927</v>
      </c>
      <c r="C3405" s="13">
        <v>34</v>
      </c>
      <c r="D3405" s="12" t="s">
        <v>4992</v>
      </c>
      <c r="E3405" s="12" t="s">
        <v>4928</v>
      </c>
      <c r="F3405" s="8" t="s">
        <v>4993</v>
      </c>
      <c r="G3405" s="80" t="s">
        <v>16</v>
      </c>
    </row>
    <row r="3406" spans="1:10" hidden="1" x14ac:dyDescent="0.25">
      <c r="A3406" s="11" t="s">
        <v>1534</v>
      </c>
      <c r="B3406" s="12" t="s">
        <v>1535</v>
      </c>
      <c r="C3406" s="13">
        <v>6</v>
      </c>
      <c r="D3406" s="12" t="s">
        <v>1545</v>
      </c>
      <c r="E3406" s="12" t="s">
        <v>1537</v>
      </c>
      <c r="F3406" s="12" t="s">
        <v>1546</v>
      </c>
      <c r="G3406" s="15" t="s">
        <v>16</v>
      </c>
    </row>
    <row r="3407" spans="1:10" hidden="1" x14ac:dyDescent="0.25">
      <c r="A3407" s="11" t="s">
        <v>5395</v>
      </c>
      <c r="B3407" s="12" t="s">
        <v>5396</v>
      </c>
      <c r="C3407" s="13">
        <v>7</v>
      </c>
      <c r="D3407" s="12" t="s">
        <v>5407</v>
      </c>
      <c r="E3407" s="12" t="s">
        <v>5397</v>
      </c>
      <c r="F3407" s="12" t="s">
        <v>5408</v>
      </c>
      <c r="G3407" s="15" t="s">
        <v>16</v>
      </c>
    </row>
    <row r="3408" spans="1:10" hidden="1" x14ac:dyDescent="0.2">
      <c r="A3408" s="11" t="s">
        <v>3108</v>
      </c>
      <c r="B3408" s="12" t="s">
        <v>3109</v>
      </c>
      <c r="C3408" s="13">
        <f>+C3407+1</f>
        <v>8</v>
      </c>
      <c r="D3408" s="12" t="s">
        <v>3116</v>
      </c>
      <c r="E3408" s="12" t="s">
        <v>3110</v>
      </c>
      <c r="F3408" s="12" t="s">
        <v>3117</v>
      </c>
      <c r="G3408" s="66" t="s">
        <v>16</v>
      </c>
    </row>
    <row r="3409" spans="1:9" hidden="1" x14ac:dyDescent="0.2">
      <c r="A3409" s="11" t="s">
        <v>3120</v>
      </c>
      <c r="B3409" s="12" t="s">
        <v>3121</v>
      </c>
      <c r="C3409" s="13">
        <f>+C3408+1</f>
        <v>9</v>
      </c>
      <c r="D3409" s="14" t="s">
        <v>3116</v>
      </c>
      <c r="E3409" s="12" t="s">
        <v>3122</v>
      </c>
      <c r="F3409" s="65" t="s">
        <v>3127</v>
      </c>
      <c r="G3409" s="66" t="s">
        <v>16</v>
      </c>
    </row>
    <row r="3410" spans="1:9" hidden="1" x14ac:dyDescent="0.25">
      <c r="A3410" s="56" t="s">
        <v>5686</v>
      </c>
      <c r="B3410" s="61" t="s">
        <v>5687</v>
      </c>
      <c r="C3410" s="58">
        <f>C3409+1</f>
        <v>10</v>
      </c>
      <c r="D3410" s="61" t="s">
        <v>5777</v>
      </c>
      <c r="E3410" s="61" t="s">
        <v>5688</v>
      </c>
      <c r="F3410" s="61" t="s">
        <v>5778</v>
      </c>
      <c r="G3410" s="149" t="s">
        <v>16</v>
      </c>
      <c r="I3410" s="90">
        <v>12</v>
      </c>
    </row>
    <row r="3411" spans="1:9" hidden="1" x14ac:dyDescent="0.25">
      <c r="A3411" s="11" t="s">
        <v>5866</v>
      </c>
      <c r="B3411" s="12" t="s">
        <v>5867</v>
      </c>
      <c r="C3411" s="13">
        <f>C3410+1</f>
        <v>11</v>
      </c>
      <c r="D3411" s="12" t="s">
        <v>5777</v>
      </c>
      <c r="E3411" s="12" t="s">
        <v>5868</v>
      </c>
      <c r="F3411" s="12" t="s">
        <v>5879</v>
      </c>
      <c r="G3411" s="80" t="s">
        <v>16</v>
      </c>
      <c r="I3411" s="90">
        <v>12</v>
      </c>
    </row>
    <row r="3412" spans="1:9" hidden="1" x14ac:dyDescent="0.25">
      <c r="A3412" s="11" t="s">
        <v>1534</v>
      </c>
      <c r="B3412" s="12" t="s">
        <v>1535</v>
      </c>
      <c r="C3412" s="13">
        <v>5</v>
      </c>
      <c r="D3412" s="12" t="s">
        <v>1543</v>
      </c>
      <c r="E3412" s="12" t="s">
        <v>1537</v>
      </c>
      <c r="F3412" s="12" t="s">
        <v>1544</v>
      </c>
      <c r="G3412" s="15" t="s">
        <v>16</v>
      </c>
    </row>
    <row r="3413" spans="1:9" hidden="1" x14ac:dyDescent="0.2">
      <c r="A3413" s="11" t="s">
        <v>93</v>
      </c>
      <c r="B3413" s="12" t="s">
        <v>94</v>
      </c>
      <c r="C3413" s="13">
        <v>83</v>
      </c>
      <c r="D3413" s="14" t="s">
        <v>265</v>
      </c>
      <c r="E3413" s="12" t="s">
        <v>96</v>
      </c>
      <c r="F3413" s="12" t="s">
        <v>266</v>
      </c>
      <c r="G3413" s="15" t="s">
        <v>16</v>
      </c>
      <c r="I3413" s="99">
        <v>13</v>
      </c>
    </row>
    <row r="3414" spans="1:9" hidden="1" x14ac:dyDescent="0.25">
      <c r="A3414" s="11" t="s">
        <v>6086</v>
      </c>
      <c r="B3414" s="12" t="s">
        <v>6087</v>
      </c>
      <c r="C3414" s="13">
        <v>7</v>
      </c>
      <c r="D3414" s="12" t="s">
        <v>6098</v>
      </c>
      <c r="E3414" s="12" t="s">
        <v>6088</v>
      </c>
      <c r="F3414" s="12" t="s">
        <v>6099</v>
      </c>
      <c r="G3414" s="15" t="s">
        <v>16</v>
      </c>
    </row>
    <row r="3415" spans="1:9" hidden="1" x14ac:dyDescent="0.25">
      <c r="A3415" s="11" t="s">
        <v>6134</v>
      </c>
      <c r="B3415" s="12" t="s">
        <v>6135</v>
      </c>
      <c r="C3415" s="13">
        <v>7</v>
      </c>
      <c r="D3415" s="12" t="s">
        <v>6098</v>
      </c>
      <c r="E3415" s="12" t="s">
        <v>6136</v>
      </c>
      <c r="F3415" s="12" t="s">
        <v>6143</v>
      </c>
      <c r="G3415" s="15" t="s">
        <v>16</v>
      </c>
    </row>
    <row r="3416" spans="1:9" hidden="1" x14ac:dyDescent="0.25">
      <c r="A3416" s="11" t="s">
        <v>6463</v>
      </c>
      <c r="B3416" s="12" t="s">
        <v>6464</v>
      </c>
      <c r="C3416" s="13">
        <v>7</v>
      </c>
      <c r="D3416" s="12" t="s">
        <v>6098</v>
      </c>
      <c r="E3416" s="12" t="s">
        <v>6465</v>
      </c>
      <c r="F3416" s="12" t="s">
        <v>6472</v>
      </c>
      <c r="G3416" s="15" t="s">
        <v>16</v>
      </c>
      <c r="I3416" s="9">
        <v>15</v>
      </c>
    </row>
    <row r="3417" spans="1:9" hidden="1" x14ac:dyDescent="0.25">
      <c r="A3417" s="11" t="s">
        <v>6491</v>
      </c>
      <c r="B3417" s="12" t="s">
        <v>6492</v>
      </c>
      <c r="C3417" s="13">
        <v>7</v>
      </c>
      <c r="D3417" s="12" t="s">
        <v>6098</v>
      </c>
      <c r="E3417" s="12" t="s">
        <v>6493</v>
      </c>
      <c r="F3417" s="12" t="s">
        <v>6500</v>
      </c>
      <c r="G3417" s="15" t="s">
        <v>16</v>
      </c>
      <c r="I3417" s="9">
        <v>15</v>
      </c>
    </row>
    <row r="3418" spans="1:9" hidden="1" x14ac:dyDescent="0.2">
      <c r="A3418" s="11" t="s">
        <v>453</v>
      </c>
      <c r="B3418" s="12" t="s">
        <v>454</v>
      </c>
      <c r="C3418" s="13">
        <v>3</v>
      </c>
      <c r="D3418" s="37" t="s">
        <v>458</v>
      </c>
      <c r="E3418" s="12" t="s">
        <v>455</v>
      </c>
      <c r="F3418" s="22" t="s">
        <v>459</v>
      </c>
      <c r="G3418" s="15" t="s">
        <v>16</v>
      </c>
    </row>
    <row r="3419" spans="1:9" hidden="1" x14ac:dyDescent="0.2">
      <c r="A3419" s="11" t="s">
        <v>5453</v>
      </c>
      <c r="B3419" s="12" t="s">
        <v>5454</v>
      </c>
      <c r="C3419" s="13">
        <v>1</v>
      </c>
      <c r="D3419" s="166" t="s">
        <v>5455</v>
      </c>
      <c r="E3419" s="12" t="s">
        <v>5456</v>
      </c>
      <c r="F3419" s="75" t="s">
        <v>5457</v>
      </c>
      <c r="G3419" s="15" t="s">
        <v>16</v>
      </c>
    </row>
    <row r="3420" spans="1:9" hidden="1" x14ac:dyDescent="0.25">
      <c r="A3420" s="11" t="s">
        <v>2130</v>
      </c>
      <c r="B3420" s="8" t="s">
        <v>2131</v>
      </c>
      <c r="C3420" s="13">
        <v>5</v>
      </c>
      <c r="D3420" s="12" t="s">
        <v>2137</v>
      </c>
      <c r="E3420" s="12" t="s">
        <v>2132</v>
      </c>
      <c r="F3420" s="12" t="s">
        <v>2138</v>
      </c>
      <c r="G3420" s="15" t="s">
        <v>16</v>
      </c>
    </row>
    <row r="3421" spans="1:9" hidden="1" x14ac:dyDescent="0.2">
      <c r="A3421" s="11" t="s">
        <v>4375</v>
      </c>
      <c r="B3421" s="12" t="s">
        <v>4376</v>
      </c>
      <c r="C3421" s="13">
        <f>C3420+1</f>
        <v>6</v>
      </c>
      <c r="D3421" s="12" t="s">
        <v>4389</v>
      </c>
      <c r="E3421" s="12" t="s">
        <v>4377</v>
      </c>
      <c r="F3421" s="12" t="s">
        <v>4390</v>
      </c>
      <c r="G3421" s="66" t="s">
        <v>16</v>
      </c>
      <c r="I3421" s="90" t="s">
        <v>2426</v>
      </c>
    </row>
    <row r="3422" spans="1:9" hidden="1" x14ac:dyDescent="0.2">
      <c r="A3422" s="11" t="s">
        <v>4391</v>
      </c>
      <c r="B3422" s="12" t="s">
        <v>4392</v>
      </c>
      <c r="C3422" s="13">
        <f>C3421+1</f>
        <v>7</v>
      </c>
      <c r="D3422" s="12" t="s">
        <v>4389</v>
      </c>
      <c r="E3422" s="12" t="s">
        <v>4393</v>
      </c>
      <c r="F3422" s="12" t="s">
        <v>4403</v>
      </c>
      <c r="G3422" s="66" t="s">
        <v>16</v>
      </c>
      <c r="I3422" s="90">
        <v>12</v>
      </c>
    </row>
    <row r="3423" spans="1:9" hidden="1" x14ac:dyDescent="0.25">
      <c r="A3423" s="146" t="s">
        <v>4800</v>
      </c>
      <c r="B3423" s="8" t="s">
        <v>4801</v>
      </c>
      <c r="C3423" s="150">
        <v>4</v>
      </c>
      <c r="D3423" s="38" t="s">
        <v>4806</v>
      </c>
      <c r="E3423" s="8" t="s">
        <v>4802</v>
      </c>
      <c r="F3423" s="38" t="s">
        <v>4807</v>
      </c>
      <c r="G3423" s="80" t="s">
        <v>16</v>
      </c>
    </row>
    <row r="3424" spans="1:9" hidden="1" x14ac:dyDescent="0.25">
      <c r="A3424" s="11" t="s">
        <v>1260</v>
      </c>
      <c r="B3424" s="12" t="s">
        <v>1261</v>
      </c>
      <c r="C3424" s="13">
        <v>4</v>
      </c>
      <c r="D3424" s="22" t="s">
        <v>1266</v>
      </c>
      <c r="E3424" s="12" t="s">
        <v>1262</v>
      </c>
      <c r="F3424" s="22" t="s">
        <v>1267</v>
      </c>
      <c r="G3424" s="15" t="s">
        <v>16</v>
      </c>
    </row>
    <row r="3425" spans="1:27" hidden="1" x14ac:dyDescent="0.2">
      <c r="A3425" s="146" t="s">
        <v>4771</v>
      </c>
      <c r="B3425" s="12" t="s">
        <v>4772</v>
      </c>
      <c r="C3425" s="13">
        <v>4</v>
      </c>
      <c r="D3425" s="22" t="s">
        <v>1266</v>
      </c>
      <c r="E3425" s="12" t="s">
        <v>4773</v>
      </c>
      <c r="F3425" s="22" t="s">
        <v>4777</v>
      </c>
      <c r="G3425" s="66" t="s">
        <v>16</v>
      </c>
    </row>
    <row r="3426" spans="1:27" hidden="1" x14ac:dyDescent="0.25">
      <c r="A3426" s="11" t="s">
        <v>1294</v>
      </c>
      <c r="B3426" s="12" t="s">
        <v>1295</v>
      </c>
      <c r="C3426" s="13">
        <v>4</v>
      </c>
      <c r="D3426" s="22" t="s">
        <v>1301</v>
      </c>
      <c r="E3426" s="12" t="s">
        <v>1296</v>
      </c>
      <c r="F3426" s="22" t="s">
        <v>1302</v>
      </c>
      <c r="G3426" s="15" t="s">
        <v>16</v>
      </c>
    </row>
    <row r="3427" spans="1:27" ht="12.75" hidden="1" thickBot="1" x14ac:dyDescent="0.25">
      <c r="A3427" s="36" t="s">
        <v>2267</v>
      </c>
      <c r="B3427" s="30" t="s">
        <v>2268</v>
      </c>
      <c r="C3427" s="31">
        <v>11</v>
      </c>
      <c r="D3427" s="69" t="s">
        <v>2287</v>
      </c>
      <c r="E3427" s="30" t="s">
        <v>2269</v>
      </c>
      <c r="F3427" s="30" t="s">
        <v>2288</v>
      </c>
      <c r="G3427" s="33" t="s">
        <v>16</v>
      </c>
    </row>
    <row r="3428" spans="1:27" hidden="1" x14ac:dyDescent="0.2">
      <c r="A3428" s="46" t="s">
        <v>2416</v>
      </c>
      <c r="B3428" s="12" t="s">
        <v>2417</v>
      </c>
      <c r="C3428" s="13">
        <v>6</v>
      </c>
      <c r="D3428" s="37" t="s">
        <v>1301</v>
      </c>
      <c r="E3428" s="8" t="s">
        <v>2419</v>
      </c>
      <c r="F3428" s="22" t="s">
        <v>2427</v>
      </c>
      <c r="G3428" s="15" t="s">
        <v>16</v>
      </c>
    </row>
    <row r="3429" spans="1:27" hidden="1" x14ac:dyDescent="0.2">
      <c r="A3429" s="46" t="s">
        <v>2429</v>
      </c>
      <c r="B3429" s="12" t="s">
        <v>2430</v>
      </c>
      <c r="C3429" s="13">
        <v>7</v>
      </c>
      <c r="D3429" s="37" t="s">
        <v>1301</v>
      </c>
      <c r="E3429" s="8" t="s">
        <v>2431</v>
      </c>
      <c r="F3429" s="22" t="s">
        <v>2438</v>
      </c>
      <c r="G3429" s="15" t="s">
        <v>16</v>
      </c>
    </row>
    <row r="3430" spans="1:27" hidden="1" x14ac:dyDescent="0.25">
      <c r="A3430" s="46" t="s">
        <v>5686</v>
      </c>
      <c r="B3430" s="12" t="s">
        <v>5687</v>
      </c>
      <c r="C3430" s="13">
        <f>C3429+1</f>
        <v>8</v>
      </c>
      <c r="D3430" s="12" t="s">
        <v>5740</v>
      </c>
      <c r="E3430" s="12" t="s">
        <v>5688</v>
      </c>
      <c r="F3430" s="12" t="s">
        <v>5741</v>
      </c>
      <c r="G3430" s="80" t="s">
        <v>16</v>
      </c>
      <c r="I3430" s="90">
        <v>12</v>
      </c>
    </row>
    <row r="3431" spans="1:27" hidden="1" x14ac:dyDescent="0.25">
      <c r="A3431" s="46" t="s">
        <v>1818</v>
      </c>
      <c r="B3431" s="12" t="s">
        <v>1819</v>
      </c>
      <c r="C3431" s="13">
        <v>29</v>
      </c>
      <c r="D3431" s="12" t="s">
        <v>1875</v>
      </c>
      <c r="E3431" s="12" t="s">
        <v>1820</v>
      </c>
      <c r="F3431" s="12" t="s">
        <v>1876</v>
      </c>
      <c r="G3431" s="15" t="s">
        <v>16</v>
      </c>
      <c r="I3431" s="9">
        <v>15</v>
      </c>
    </row>
    <row r="3432" spans="1:27" hidden="1" x14ac:dyDescent="0.2">
      <c r="A3432" s="46" t="s">
        <v>2024</v>
      </c>
      <c r="B3432" s="12" t="s">
        <v>2025</v>
      </c>
      <c r="C3432" s="13">
        <v>29</v>
      </c>
      <c r="D3432" s="14" t="s">
        <v>2074</v>
      </c>
      <c r="E3432" s="12" t="s">
        <v>2026</v>
      </c>
      <c r="F3432" s="12" t="s">
        <v>2075</v>
      </c>
      <c r="G3432" s="15" t="s">
        <v>78</v>
      </c>
    </row>
    <row r="3433" spans="1:27" hidden="1" x14ac:dyDescent="0.2">
      <c r="A3433" s="46" t="s">
        <v>5329</v>
      </c>
      <c r="B3433" s="12" t="s">
        <v>5330</v>
      </c>
      <c r="C3433" s="13">
        <v>11</v>
      </c>
      <c r="D3433" s="14" t="s">
        <v>5349</v>
      </c>
      <c r="E3433" s="12" t="s">
        <v>5331</v>
      </c>
      <c r="F3433" s="65" t="s">
        <v>5350</v>
      </c>
      <c r="G3433" s="15" t="s">
        <v>16</v>
      </c>
    </row>
    <row r="3434" spans="1:27" hidden="1" x14ac:dyDescent="0.25">
      <c r="A3434" s="46" t="s">
        <v>5363</v>
      </c>
      <c r="B3434" s="12" t="s">
        <v>5364</v>
      </c>
      <c r="C3434" s="13">
        <v>9</v>
      </c>
      <c r="D3434" s="12" t="s">
        <v>5349</v>
      </c>
      <c r="E3434" s="12" t="s">
        <v>5365</v>
      </c>
      <c r="F3434" s="12" t="s">
        <v>5378</v>
      </c>
      <c r="G3434" s="15" t="s">
        <v>16</v>
      </c>
    </row>
    <row r="3435" spans="1:27" hidden="1" x14ac:dyDescent="0.25">
      <c r="A3435" s="46" t="s">
        <v>5413</v>
      </c>
      <c r="B3435" s="12" t="s">
        <v>5414</v>
      </c>
      <c r="C3435" s="13">
        <v>9</v>
      </c>
      <c r="D3435" s="12" t="s">
        <v>5349</v>
      </c>
      <c r="E3435" s="12" t="s">
        <v>5415</v>
      </c>
      <c r="F3435" s="12" t="s">
        <v>5427</v>
      </c>
      <c r="G3435" s="15" t="s">
        <v>16</v>
      </c>
    </row>
    <row r="3436" spans="1:27" hidden="1" x14ac:dyDescent="0.2">
      <c r="A3436" s="45" t="s">
        <v>839</v>
      </c>
      <c r="B3436" s="22" t="s">
        <v>840</v>
      </c>
      <c r="C3436" s="23">
        <v>7</v>
      </c>
      <c r="D3436" s="37" t="s">
        <v>853</v>
      </c>
      <c r="E3436" s="22" t="s">
        <v>841</v>
      </c>
      <c r="F3436" s="22" t="s">
        <v>854</v>
      </c>
      <c r="G3436" s="26" t="s">
        <v>16</v>
      </c>
      <c r="H3436" s="38"/>
      <c r="I3436" s="39">
        <v>15</v>
      </c>
      <c r="J3436" s="38"/>
      <c r="K3436" s="38"/>
      <c r="L3436" s="38"/>
      <c r="M3436" s="38"/>
      <c r="N3436" s="38"/>
      <c r="O3436" s="38"/>
      <c r="P3436" s="38"/>
      <c r="Q3436" s="38"/>
      <c r="R3436" s="38"/>
      <c r="S3436" s="38"/>
      <c r="T3436" s="38"/>
      <c r="U3436" s="38"/>
      <c r="V3436" s="38"/>
      <c r="W3436" s="38"/>
      <c r="X3436" s="38"/>
      <c r="Y3436" s="38"/>
      <c r="Z3436" s="38"/>
      <c r="AA3436" s="38"/>
    </row>
    <row r="3437" spans="1:27" hidden="1" x14ac:dyDescent="0.25">
      <c r="A3437" s="46" t="s">
        <v>5686</v>
      </c>
      <c r="B3437" s="12" t="s">
        <v>5687</v>
      </c>
      <c r="C3437" s="13">
        <f>C3436+1</f>
        <v>8</v>
      </c>
      <c r="D3437" s="12" t="s">
        <v>5706</v>
      </c>
      <c r="E3437" s="12" t="s">
        <v>5688</v>
      </c>
      <c r="F3437" s="12" t="s">
        <v>5707</v>
      </c>
      <c r="G3437" s="80" t="s">
        <v>16</v>
      </c>
      <c r="I3437" s="90">
        <v>12</v>
      </c>
    </row>
    <row r="3438" spans="1:27" hidden="1" x14ac:dyDescent="0.25">
      <c r="A3438" s="181" t="s">
        <v>729</v>
      </c>
      <c r="B3438" s="12" t="s">
        <v>730</v>
      </c>
      <c r="C3438" s="13">
        <v>7</v>
      </c>
      <c r="D3438" s="22" t="s">
        <v>740</v>
      </c>
      <c r="E3438" s="12" t="s">
        <v>731</v>
      </c>
      <c r="F3438" s="22" t="s">
        <v>741</v>
      </c>
      <c r="G3438" s="15" t="s">
        <v>16</v>
      </c>
      <c r="I3438" s="102" t="s">
        <v>59</v>
      </c>
    </row>
    <row r="3439" spans="1:27" hidden="1" x14ac:dyDescent="0.2">
      <c r="A3439" s="11" t="s">
        <v>69</v>
      </c>
      <c r="B3439" s="12" t="s">
        <v>70</v>
      </c>
      <c r="C3439" s="13">
        <v>1</v>
      </c>
      <c r="D3439" s="37" t="s">
        <v>71</v>
      </c>
      <c r="E3439" s="12" t="s">
        <v>72</v>
      </c>
      <c r="F3439" s="22" t="s">
        <v>73</v>
      </c>
      <c r="G3439" s="15" t="s">
        <v>16</v>
      </c>
    </row>
    <row r="3440" spans="1:27" hidden="1" x14ac:dyDescent="0.2">
      <c r="A3440" s="11" t="s">
        <v>93</v>
      </c>
      <c r="B3440" s="12" t="s">
        <v>94</v>
      </c>
      <c r="C3440" s="13">
        <v>1</v>
      </c>
      <c r="D3440" s="37" t="s">
        <v>95</v>
      </c>
      <c r="E3440" s="12" t="s">
        <v>96</v>
      </c>
      <c r="F3440" s="22" t="s">
        <v>97</v>
      </c>
      <c r="G3440" s="15" t="s">
        <v>16</v>
      </c>
    </row>
    <row r="3441" spans="1:27" hidden="1" x14ac:dyDescent="0.2">
      <c r="A3441" s="11" t="s">
        <v>289</v>
      </c>
      <c r="B3441" s="12" t="s">
        <v>290</v>
      </c>
      <c r="C3441" s="13">
        <v>1</v>
      </c>
      <c r="D3441" s="37" t="s">
        <v>71</v>
      </c>
      <c r="E3441" s="12" t="s">
        <v>291</v>
      </c>
      <c r="F3441" s="22" t="s">
        <v>292</v>
      </c>
      <c r="G3441" s="15" t="s">
        <v>16</v>
      </c>
    </row>
    <row r="3442" spans="1:27" hidden="1" x14ac:dyDescent="0.2">
      <c r="A3442" s="11" t="s">
        <v>319</v>
      </c>
      <c r="B3442" s="12" t="s">
        <v>320</v>
      </c>
      <c r="C3442" s="13">
        <v>1</v>
      </c>
      <c r="D3442" s="37" t="s">
        <v>71</v>
      </c>
      <c r="E3442" s="12" t="s">
        <v>321</v>
      </c>
      <c r="F3442" s="22" t="s">
        <v>322</v>
      </c>
      <c r="G3442" s="15" t="s">
        <v>16</v>
      </c>
    </row>
    <row r="3443" spans="1:27" s="10" customFormat="1" hidden="1" x14ac:dyDescent="0.2">
      <c r="A3443" s="46" t="s">
        <v>362</v>
      </c>
      <c r="B3443" s="12" t="s">
        <v>363</v>
      </c>
      <c r="C3443" s="13">
        <v>1</v>
      </c>
      <c r="D3443" s="37" t="s">
        <v>71</v>
      </c>
      <c r="E3443" s="12" t="s">
        <v>364</v>
      </c>
      <c r="F3443" s="22" t="s">
        <v>365</v>
      </c>
      <c r="G3443" s="15" t="s">
        <v>16</v>
      </c>
      <c r="H3443" s="8"/>
      <c r="I3443" s="90"/>
      <c r="J3443" s="8"/>
      <c r="K3443" s="8"/>
      <c r="L3443" s="8"/>
      <c r="M3443" s="8"/>
      <c r="N3443" s="8"/>
      <c r="O3443" s="8"/>
      <c r="P3443" s="8"/>
      <c r="Q3443" s="8"/>
      <c r="R3443" s="8"/>
      <c r="S3443" s="8"/>
      <c r="T3443" s="8"/>
      <c r="U3443" s="8"/>
      <c r="V3443" s="8"/>
      <c r="W3443" s="8"/>
      <c r="X3443" s="8"/>
      <c r="Y3443" s="8"/>
      <c r="Z3443" s="8"/>
      <c r="AA3443" s="8"/>
    </row>
    <row r="3444" spans="1:27" s="10" customFormat="1" hidden="1" x14ac:dyDescent="0.2">
      <c r="A3444" s="46" t="s">
        <v>434</v>
      </c>
      <c r="B3444" s="12" t="s">
        <v>435</v>
      </c>
      <c r="C3444" s="13">
        <v>1</v>
      </c>
      <c r="D3444" s="37" t="s">
        <v>71</v>
      </c>
      <c r="E3444" s="12" t="s">
        <v>436</v>
      </c>
      <c r="F3444" s="22" t="s">
        <v>437</v>
      </c>
      <c r="G3444" s="15" t="s">
        <v>16</v>
      </c>
      <c r="H3444" s="8"/>
      <c r="I3444" s="90"/>
      <c r="J3444" s="8"/>
      <c r="K3444" s="8"/>
      <c r="L3444" s="8"/>
      <c r="M3444" s="8"/>
      <c r="N3444" s="8"/>
      <c r="O3444" s="8"/>
      <c r="P3444" s="8"/>
      <c r="Q3444" s="8"/>
      <c r="R3444" s="8"/>
      <c r="S3444" s="8"/>
      <c r="T3444" s="8"/>
      <c r="U3444" s="8"/>
      <c r="V3444" s="8"/>
      <c r="W3444" s="8"/>
      <c r="X3444" s="8"/>
      <c r="Y3444" s="8"/>
      <c r="Z3444" s="8"/>
      <c r="AA3444" s="8"/>
    </row>
    <row r="3445" spans="1:27" s="10" customFormat="1" hidden="1" x14ac:dyDescent="0.2">
      <c r="A3445" s="46" t="s">
        <v>470</v>
      </c>
      <c r="B3445" s="12" t="s">
        <v>471</v>
      </c>
      <c r="C3445" s="13">
        <v>1</v>
      </c>
      <c r="D3445" s="37" t="s">
        <v>71</v>
      </c>
      <c r="E3445" s="12" t="s">
        <v>472</v>
      </c>
      <c r="F3445" s="22" t="s">
        <v>473</v>
      </c>
      <c r="G3445" s="15" t="s">
        <v>16</v>
      </c>
      <c r="H3445" s="8"/>
      <c r="I3445" s="90"/>
      <c r="J3445" s="8"/>
      <c r="K3445" s="8"/>
      <c r="L3445" s="8"/>
      <c r="M3445" s="8"/>
      <c r="N3445" s="8"/>
      <c r="O3445" s="8"/>
      <c r="P3445" s="8"/>
      <c r="Q3445" s="8"/>
      <c r="R3445" s="8"/>
      <c r="S3445" s="8"/>
      <c r="T3445" s="8"/>
      <c r="U3445" s="8"/>
      <c r="V3445" s="8"/>
      <c r="W3445" s="8"/>
      <c r="X3445" s="8"/>
      <c r="Y3445" s="8"/>
      <c r="Z3445" s="8"/>
      <c r="AA3445" s="8"/>
    </row>
    <row r="3446" spans="1:27" s="10" customFormat="1" hidden="1" x14ac:dyDescent="0.2">
      <c r="A3446" s="46" t="s">
        <v>484</v>
      </c>
      <c r="B3446" s="12" t="s">
        <v>485</v>
      </c>
      <c r="C3446" s="13">
        <v>1</v>
      </c>
      <c r="D3446" s="37" t="s">
        <v>71</v>
      </c>
      <c r="E3446" s="12" t="s">
        <v>486</v>
      </c>
      <c r="F3446" s="22" t="s">
        <v>487</v>
      </c>
      <c r="G3446" s="15" t="s">
        <v>16</v>
      </c>
      <c r="H3446" s="8"/>
      <c r="I3446" s="90"/>
      <c r="J3446" s="8"/>
      <c r="K3446" s="8"/>
      <c r="L3446" s="8"/>
      <c r="M3446" s="8"/>
      <c r="N3446" s="8"/>
      <c r="O3446" s="8"/>
      <c r="P3446" s="8"/>
      <c r="Q3446" s="8"/>
      <c r="R3446" s="8"/>
      <c r="S3446" s="8"/>
      <c r="T3446" s="8"/>
      <c r="U3446" s="8"/>
      <c r="V3446" s="8"/>
      <c r="W3446" s="8"/>
      <c r="X3446" s="8"/>
      <c r="Y3446" s="8"/>
      <c r="Z3446" s="8"/>
      <c r="AA3446" s="8"/>
    </row>
    <row r="3447" spans="1:27" s="10" customFormat="1" hidden="1" x14ac:dyDescent="0.2">
      <c r="A3447" s="46" t="s">
        <v>520</v>
      </c>
      <c r="B3447" s="12" t="s">
        <v>521</v>
      </c>
      <c r="C3447" s="13">
        <v>1</v>
      </c>
      <c r="D3447" s="22" t="s">
        <v>71</v>
      </c>
      <c r="E3447" s="14" t="s">
        <v>522</v>
      </c>
      <c r="F3447" s="22" t="s">
        <v>523</v>
      </c>
      <c r="G3447" s="15" t="s">
        <v>16</v>
      </c>
      <c r="H3447" s="8"/>
      <c r="I3447" s="90"/>
      <c r="J3447" s="8"/>
      <c r="K3447" s="8"/>
      <c r="L3447" s="8"/>
      <c r="M3447" s="8"/>
      <c r="N3447" s="8"/>
      <c r="O3447" s="8"/>
      <c r="P3447" s="8"/>
      <c r="Q3447" s="8"/>
      <c r="R3447" s="8"/>
      <c r="S3447" s="8"/>
      <c r="T3447" s="8"/>
      <c r="U3447" s="8"/>
      <c r="V3447" s="8"/>
      <c r="W3447" s="8"/>
      <c r="X3447" s="8"/>
      <c r="Y3447" s="8"/>
      <c r="Z3447" s="8"/>
      <c r="AA3447" s="8"/>
    </row>
    <row r="3448" spans="1:27" s="10" customFormat="1" hidden="1" x14ac:dyDescent="0.2">
      <c r="A3448" s="46" t="s">
        <v>537</v>
      </c>
      <c r="B3448" s="12" t="s">
        <v>538</v>
      </c>
      <c r="C3448" s="13">
        <v>1</v>
      </c>
      <c r="D3448" s="22" t="s">
        <v>71</v>
      </c>
      <c r="E3448" s="14" t="s">
        <v>539</v>
      </c>
      <c r="F3448" s="22" t="s">
        <v>540</v>
      </c>
      <c r="G3448" s="15" t="s">
        <v>16</v>
      </c>
      <c r="H3448" s="8"/>
      <c r="I3448" s="90">
        <v>12</v>
      </c>
      <c r="J3448" s="8"/>
      <c r="K3448" s="8"/>
      <c r="L3448" s="8"/>
      <c r="M3448" s="8"/>
      <c r="N3448" s="8"/>
      <c r="O3448" s="8"/>
      <c r="P3448" s="8"/>
      <c r="Q3448" s="8"/>
      <c r="R3448" s="8"/>
      <c r="S3448" s="8"/>
      <c r="T3448" s="8"/>
      <c r="U3448" s="8"/>
      <c r="V3448" s="8"/>
      <c r="W3448" s="8"/>
      <c r="X3448" s="8"/>
      <c r="Y3448" s="8"/>
      <c r="Z3448" s="8"/>
      <c r="AA3448" s="8"/>
    </row>
    <row r="3449" spans="1:27" s="10" customFormat="1" hidden="1" x14ac:dyDescent="0.2">
      <c r="A3449" s="11" t="s">
        <v>552</v>
      </c>
      <c r="B3449" s="12" t="s">
        <v>553</v>
      </c>
      <c r="C3449" s="13">
        <v>1</v>
      </c>
      <c r="D3449" s="22" t="s">
        <v>71</v>
      </c>
      <c r="E3449" s="14" t="s">
        <v>554</v>
      </c>
      <c r="F3449" s="22" t="s">
        <v>555</v>
      </c>
      <c r="G3449" s="15" t="s">
        <v>16</v>
      </c>
      <c r="H3449" s="8"/>
      <c r="I3449" s="90">
        <v>12</v>
      </c>
      <c r="J3449" s="8"/>
      <c r="K3449" s="8"/>
      <c r="L3449" s="8"/>
      <c r="M3449" s="8"/>
      <c r="N3449" s="8"/>
      <c r="O3449" s="8"/>
      <c r="P3449" s="8"/>
      <c r="Q3449" s="8"/>
      <c r="R3449" s="8"/>
      <c r="S3449" s="8"/>
      <c r="T3449" s="8"/>
      <c r="U3449" s="8"/>
      <c r="V3449" s="8"/>
      <c r="W3449" s="8"/>
      <c r="X3449" s="8"/>
      <c r="Y3449" s="8"/>
      <c r="Z3449" s="8"/>
      <c r="AA3449" s="8"/>
    </row>
    <row r="3450" spans="1:27" s="10" customFormat="1" hidden="1" x14ac:dyDescent="0.2">
      <c r="A3450" s="11" t="s">
        <v>585</v>
      </c>
      <c r="B3450" s="12" t="s">
        <v>586</v>
      </c>
      <c r="C3450" s="13">
        <v>1</v>
      </c>
      <c r="D3450" s="37" t="s">
        <v>95</v>
      </c>
      <c r="E3450" s="12" t="s">
        <v>587</v>
      </c>
      <c r="F3450" s="22" t="s">
        <v>588</v>
      </c>
      <c r="G3450" s="15" t="s">
        <v>16</v>
      </c>
      <c r="H3450" s="8"/>
      <c r="I3450" s="99">
        <v>13</v>
      </c>
      <c r="J3450" s="8"/>
      <c r="K3450" s="8"/>
      <c r="L3450" s="8"/>
      <c r="M3450" s="8"/>
      <c r="N3450" s="8"/>
      <c r="O3450" s="8"/>
      <c r="P3450" s="8"/>
      <c r="Q3450" s="8"/>
      <c r="R3450" s="8"/>
      <c r="S3450" s="8"/>
      <c r="T3450" s="8"/>
      <c r="U3450" s="8"/>
      <c r="V3450" s="8"/>
      <c r="W3450" s="8"/>
      <c r="X3450" s="8"/>
      <c r="Y3450" s="8"/>
      <c r="Z3450" s="8"/>
      <c r="AA3450" s="8"/>
    </row>
    <row r="3451" spans="1:27" s="10" customFormat="1" hidden="1" x14ac:dyDescent="0.25">
      <c r="A3451" s="11" t="s">
        <v>641</v>
      </c>
      <c r="B3451" s="12" t="s">
        <v>642</v>
      </c>
      <c r="C3451" s="13">
        <v>1</v>
      </c>
      <c r="D3451" s="22" t="s">
        <v>95</v>
      </c>
      <c r="E3451" s="12" t="s">
        <v>643</v>
      </c>
      <c r="F3451" s="22" t="s">
        <v>644</v>
      </c>
      <c r="G3451" s="15" t="s">
        <v>16</v>
      </c>
      <c r="H3451" s="8"/>
      <c r="I3451" s="99">
        <v>13</v>
      </c>
      <c r="J3451" s="8"/>
      <c r="K3451" s="8"/>
      <c r="L3451" s="8"/>
      <c r="M3451" s="8"/>
      <c r="N3451" s="8"/>
      <c r="O3451" s="8"/>
      <c r="P3451" s="8"/>
      <c r="Q3451" s="8"/>
      <c r="R3451" s="8"/>
      <c r="S3451" s="8"/>
      <c r="T3451" s="8"/>
      <c r="U3451" s="8"/>
      <c r="V3451" s="8"/>
      <c r="W3451" s="8"/>
      <c r="X3451" s="8"/>
      <c r="Y3451" s="8"/>
      <c r="Z3451" s="8"/>
      <c r="AA3451" s="8"/>
    </row>
    <row r="3452" spans="1:27" s="10" customFormat="1" ht="12.75" hidden="1" thickBot="1" x14ac:dyDescent="0.3">
      <c r="A3452" s="36" t="s">
        <v>659</v>
      </c>
      <c r="B3452" s="12" t="s">
        <v>660</v>
      </c>
      <c r="C3452" s="13">
        <v>1</v>
      </c>
      <c r="D3452" s="22" t="s">
        <v>95</v>
      </c>
      <c r="E3452" s="12" t="s">
        <v>661</v>
      </c>
      <c r="F3452" s="22" t="s">
        <v>662</v>
      </c>
      <c r="G3452" s="33" t="s">
        <v>16</v>
      </c>
      <c r="H3452" s="8"/>
      <c r="I3452" s="99">
        <v>13</v>
      </c>
      <c r="J3452" s="8"/>
      <c r="K3452" s="8"/>
      <c r="L3452" s="8"/>
      <c r="M3452" s="8"/>
      <c r="N3452" s="8"/>
      <c r="O3452" s="8"/>
      <c r="P3452" s="8"/>
      <c r="Q3452" s="8"/>
      <c r="R3452" s="8"/>
      <c r="S3452" s="8"/>
      <c r="T3452" s="8"/>
      <c r="U3452" s="8"/>
      <c r="V3452" s="8"/>
      <c r="W3452" s="8"/>
      <c r="X3452" s="8"/>
      <c r="Y3452" s="8"/>
      <c r="Z3452" s="8"/>
      <c r="AA3452" s="8"/>
    </row>
    <row r="3453" spans="1:27" hidden="1" x14ac:dyDescent="0.25">
      <c r="A3453" s="185" t="s">
        <v>671</v>
      </c>
      <c r="B3453" s="61" t="s">
        <v>672</v>
      </c>
      <c r="C3453" s="58">
        <v>1</v>
      </c>
      <c r="D3453" s="17" t="s">
        <v>95</v>
      </c>
      <c r="E3453" s="61" t="s">
        <v>673</v>
      </c>
      <c r="F3453" s="17" t="s">
        <v>674</v>
      </c>
      <c r="G3453" s="15" t="s">
        <v>16</v>
      </c>
      <c r="I3453" s="94">
        <v>14</v>
      </c>
    </row>
    <row r="3454" spans="1:27" hidden="1" x14ac:dyDescent="0.25">
      <c r="A3454" s="181" t="s">
        <v>690</v>
      </c>
      <c r="B3454" s="12" t="s">
        <v>691</v>
      </c>
      <c r="C3454" s="13">
        <v>1</v>
      </c>
      <c r="D3454" s="22" t="s">
        <v>71</v>
      </c>
      <c r="E3454" s="12" t="s">
        <v>692</v>
      </c>
      <c r="F3454" s="22" t="s">
        <v>693</v>
      </c>
      <c r="G3454" s="15" t="s">
        <v>16</v>
      </c>
      <c r="I3454" s="102" t="s">
        <v>59</v>
      </c>
    </row>
    <row r="3455" spans="1:27" hidden="1" x14ac:dyDescent="0.25">
      <c r="A3455" s="181" t="s">
        <v>708</v>
      </c>
      <c r="B3455" s="12" t="s">
        <v>709</v>
      </c>
      <c r="C3455" s="13">
        <v>1</v>
      </c>
      <c r="D3455" s="22" t="s">
        <v>71</v>
      </c>
      <c r="E3455" s="12" t="s">
        <v>710</v>
      </c>
      <c r="F3455" s="22" t="s">
        <v>711</v>
      </c>
      <c r="G3455" s="15" t="s">
        <v>16</v>
      </c>
      <c r="I3455" s="102" t="s">
        <v>59</v>
      </c>
    </row>
    <row r="3456" spans="1:27" hidden="1" x14ac:dyDescent="0.25">
      <c r="A3456" s="181" t="s">
        <v>729</v>
      </c>
      <c r="B3456" s="12" t="s">
        <v>730</v>
      </c>
      <c r="C3456" s="13">
        <v>1</v>
      </c>
      <c r="D3456" s="22" t="s">
        <v>71</v>
      </c>
      <c r="E3456" s="12" t="s">
        <v>731</v>
      </c>
      <c r="F3456" s="22" t="s">
        <v>732</v>
      </c>
      <c r="G3456" s="15" t="s">
        <v>16</v>
      </c>
      <c r="I3456" s="102" t="s">
        <v>59</v>
      </c>
    </row>
    <row r="3457" spans="1:27" hidden="1" x14ac:dyDescent="0.2">
      <c r="A3457" s="45" t="s">
        <v>757</v>
      </c>
      <c r="B3457" s="22" t="s">
        <v>758</v>
      </c>
      <c r="C3457" s="23">
        <v>1</v>
      </c>
      <c r="D3457" s="37" t="s">
        <v>71</v>
      </c>
      <c r="E3457" s="22" t="s">
        <v>759</v>
      </c>
      <c r="F3457" s="22" t="s">
        <v>760</v>
      </c>
      <c r="G3457" s="26" t="s">
        <v>16</v>
      </c>
      <c r="I3457" s="9">
        <v>15</v>
      </c>
    </row>
    <row r="3458" spans="1:27" hidden="1" x14ac:dyDescent="0.2">
      <c r="A3458" s="45" t="s">
        <v>791</v>
      </c>
      <c r="B3458" s="22" t="s">
        <v>792</v>
      </c>
      <c r="C3458" s="23">
        <v>1</v>
      </c>
      <c r="D3458" s="37" t="s">
        <v>95</v>
      </c>
      <c r="E3458" s="22" t="s">
        <v>793</v>
      </c>
      <c r="F3458" s="22" t="s">
        <v>794</v>
      </c>
      <c r="G3458" s="26" t="s">
        <v>16</v>
      </c>
      <c r="I3458" s="9">
        <v>15</v>
      </c>
    </row>
    <row r="3459" spans="1:27" hidden="1" x14ac:dyDescent="0.2">
      <c r="A3459" s="45" t="s">
        <v>839</v>
      </c>
      <c r="B3459" s="22" t="s">
        <v>840</v>
      </c>
      <c r="C3459" s="23">
        <v>1</v>
      </c>
      <c r="D3459" s="37" t="s">
        <v>71</v>
      </c>
      <c r="E3459" s="22" t="s">
        <v>841</v>
      </c>
      <c r="F3459" s="22" t="s">
        <v>842</v>
      </c>
      <c r="G3459" s="26" t="s">
        <v>16</v>
      </c>
      <c r="H3459" s="38"/>
      <c r="I3459" s="39">
        <v>15</v>
      </c>
      <c r="J3459" s="38"/>
      <c r="K3459" s="38"/>
      <c r="L3459" s="38"/>
      <c r="M3459" s="38"/>
      <c r="N3459" s="38"/>
      <c r="O3459" s="38"/>
      <c r="P3459" s="38"/>
      <c r="Q3459" s="38"/>
      <c r="R3459" s="38"/>
      <c r="S3459" s="38"/>
      <c r="T3459" s="38"/>
      <c r="U3459" s="38"/>
      <c r="V3459" s="38"/>
      <c r="W3459" s="38"/>
      <c r="X3459" s="38"/>
      <c r="Y3459" s="38"/>
      <c r="Z3459" s="38"/>
      <c r="AA3459" s="38"/>
    </row>
    <row r="3460" spans="1:27" ht="24" hidden="1" x14ac:dyDescent="0.2">
      <c r="A3460" s="45" t="s">
        <v>871</v>
      </c>
      <c r="B3460" s="22" t="s">
        <v>872</v>
      </c>
      <c r="C3460" s="23">
        <v>1</v>
      </c>
      <c r="D3460" s="37" t="s">
        <v>71</v>
      </c>
      <c r="E3460" s="22" t="s">
        <v>873</v>
      </c>
      <c r="F3460" s="22" t="s">
        <v>874</v>
      </c>
      <c r="G3460" s="26" t="s">
        <v>16</v>
      </c>
      <c r="H3460" s="38"/>
      <c r="I3460" s="39">
        <v>15</v>
      </c>
      <c r="J3460" s="38"/>
      <c r="K3460" s="38"/>
      <c r="L3460" s="38"/>
      <c r="M3460" s="38"/>
      <c r="N3460" s="38"/>
      <c r="O3460" s="38"/>
      <c r="P3460" s="38"/>
      <c r="Q3460" s="38"/>
      <c r="R3460" s="38"/>
      <c r="S3460" s="38"/>
      <c r="T3460" s="38"/>
      <c r="U3460" s="38"/>
      <c r="V3460" s="38"/>
      <c r="W3460" s="38"/>
      <c r="X3460" s="38"/>
      <c r="Y3460" s="38"/>
      <c r="Z3460" s="38"/>
      <c r="AA3460" s="38"/>
    </row>
    <row r="3461" spans="1:27" ht="24" hidden="1" x14ac:dyDescent="0.2">
      <c r="A3461" s="45" t="s">
        <v>882</v>
      </c>
      <c r="B3461" s="22" t="s">
        <v>883</v>
      </c>
      <c r="C3461" s="23">
        <v>1</v>
      </c>
      <c r="D3461" s="37" t="s">
        <v>71</v>
      </c>
      <c r="E3461" s="22" t="s">
        <v>884</v>
      </c>
      <c r="F3461" s="22" t="s">
        <v>885</v>
      </c>
      <c r="G3461" s="26" t="s">
        <v>16</v>
      </c>
      <c r="H3461" s="38"/>
      <c r="I3461" s="39">
        <v>15</v>
      </c>
      <c r="J3461" s="38"/>
      <c r="K3461" s="38"/>
      <c r="L3461" s="38"/>
      <c r="M3461" s="38"/>
      <c r="N3461" s="38"/>
      <c r="O3461" s="38"/>
      <c r="P3461" s="38"/>
      <c r="Q3461" s="38"/>
      <c r="R3461" s="38"/>
      <c r="S3461" s="38"/>
      <c r="T3461" s="38"/>
      <c r="U3461" s="38"/>
      <c r="V3461" s="38"/>
      <c r="W3461" s="38"/>
      <c r="X3461" s="38"/>
      <c r="Y3461" s="38"/>
      <c r="Z3461" s="38"/>
      <c r="AA3461" s="38"/>
    </row>
    <row r="3462" spans="1:27" hidden="1" x14ac:dyDescent="0.2">
      <c r="A3462" s="45" t="s">
        <v>890</v>
      </c>
      <c r="B3462" s="22" t="s">
        <v>891</v>
      </c>
      <c r="C3462" s="23">
        <v>1</v>
      </c>
      <c r="D3462" s="37" t="s">
        <v>71</v>
      </c>
      <c r="E3462" s="22" t="s">
        <v>892</v>
      </c>
      <c r="F3462" s="22" t="s">
        <v>893</v>
      </c>
      <c r="G3462" s="26" t="s">
        <v>16</v>
      </c>
      <c r="H3462" s="38"/>
      <c r="I3462" s="39">
        <v>15</v>
      </c>
      <c r="J3462" s="38"/>
      <c r="K3462" s="38"/>
      <c r="L3462" s="38"/>
      <c r="M3462" s="38"/>
      <c r="N3462" s="38"/>
      <c r="O3462" s="38"/>
      <c r="P3462" s="38"/>
      <c r="Q3462" s="38"/>
      <c r="R3462" s="38"/>
      <c r="S3462" s="38"/>
      <c r="T3462" s="38"/>
      <c r="U3462" s="38"/>
      <c r="V3462" s="38"/>
      <c r="W3462" s="38"/>
      <c r="X3462" s="38"/>
      <c r="Y3462" s="38"/>
      <c r="Z3462" s="38"/>
      <c r="AA3462" s="38"/>
    </row>
    <row r="3463" spans="1:27" hidden="1" x14ac:dyDescent="0.2">
      <c r="A3463" s="45" t="s">
        <v>916</v>
      </c>
      <c r="B3463" s="22" t="s">
        <v>917</v>
      </c>
      <c r="C3463" s="23">
        <v>1</v>
      </c>
      <c r="D3463" s="37" t="s">
        <v>71</v>
      </c>
      <c r="E3463" s="22" t="s">
        <v>918</v>
      </c>
      <c r="F3463" s="22" t="s">
        <v>919</v>
      </c>
      <c r="G3463" s="26" t="s">
        <v>16</v>
      </c>
      <c r="H3463" s="38"/>
      <c r="I3463" s="39">
        <v>15</v>
      </c>
      <c r="J3463" s="38"/>
      <c r="K3463" s="38"/>
      <c r="L3463" s="38"/>
      <c r="M3463" s="38"/>
      <c r="N3463" s="38"/>
      <c r="O3463" s="38"/>
      <c r="P3463" s="38"/>
      <c r="Q3463" s="38"/>
      <c r="R3463" s="38"/>
      <c r="S3463" s="38"/>
      <c r="T3463" s="38"/>
      <c r="U3463" s="38"/>
      <c r="V3463" s="38"/>
      <c r="W3463" s="38"/>
      <c r="X3463" s="38"/>
      <c r="Y3463" s="38"/>
      <c r="Z3463" s="38"/>
      <c r="AA3463" s="38"/>
    </row>
    <row r="3464" spans="1:27" hidden="1" x14ac:dyDescent="0.2">
      <c r="A3464" s="21" t="s">
        <v>926</v>
      </c>
      <c r="B3464" s="22" t="s">
        <v>927</v>
      </c>
      <c r="C3464" s="23">
        <v>1</v>
      </c>
      <c r="D3464" s="37" t="s">
        <v>71</v>
      </c>
      <c r="E3464" s="22" t="s">
        <v>928</v>
      </c>
      <c r="F3464" s="22" t="s">
        <v>929</v>
      </c>
      <c r="G3464" s="26" t="s">
        <v>16</v>
      </c>
      <c r="H3464" s="38"/>
      <c r="I3464" s="39">
        <v>15</v>
      </c>
      <c r="J3464" s="38"/>
      <c r="K3464" s="38"/>
      <c r="L3464" s="38"/>
      <c r="M3464" s="38"/>
      <c r="N3464" s="38"/>
      <c r="O3464" s="38"/>
      <c r="P3464" s="38"/>
      <c r="Q3464" s="38"/>
      <c r="R3464" s="38"/>
      <c r="S3464" s="38"/>
      <c r="T3464" s="38"/>
      <c r="U3464" s="38"/>
      <c r="V3464" s="38"/>
      <c r="W3464" s="38"/>
      <c r="X3464" s="38"/>
      <c r="Y3464" s="38"/>
      <c r="Z3464" s="38"/>
      <c r="AA3464" s="38"/>
    </row>
    <row r="3465" spans="1:27" hidden="1" x14ac:dyDescent="0.2">
      <c r="A3465" s="21" t="s">
        <v>943</v>
      </c>
      <c r="B3465" s="22" t="s">
        <v>944</v>
      </c>
      <c r="C3465" s="23">
        <v>1</v>
      </c>
      <c r="D3465" s="37" t="s">
        <v>71</v>
      </c>
      <c r="E3465" s="22" t="s">
        <v>945</v>
      </c>
      <c r="F3465" s="22" t="s">
        <v>946</v>
      </c>
      <c r="G3465" s="26" t="s">
        <v>16</v>
      </c>
      <c r="H3465" s="38"/>
      <c r="I3465" s="39">
        <v>15</v>
      </c>
      <c r="J3465" s="38"/>
      <c r="K3465" s="38"/>
      <c r="L3465" s="38"/>
      <c r="M3465" s="38"/>
      <c r="N3465" s="38"/>
      <c r="O3465" s="38"/>
      <c r="P3465" s="38"/>
      <c r="Q3465" s="38"/>
      <c r="R3465" s="38"/>
      <c r="S3465" s="38"/>
      <c r="T3465" s="38"/>
      <c r="U3465" s="38"/>
      <c r="V3465" s="38"/>
      <c r="W3465" s="38"/>
      <c r="X3465" s="38"/>
      <c r="Y3465" s="38"/>
      <c r="Z3465" s="38"/>
      <c r="AA3465" s="38"/>
    </row>
    <row r="3466" spans="1:27" hidden="1" x14ac:dyDescent="0.2">
      <c r="A3466" s="21" t="s">
        <v>1000</v>
      </c>
      <c r="B3466" s="22" t="s">
        <v>1001</v>
      </c>
      <c r="C3466" s="23">
        <v>1</v>
      </c>
      <c r="D3466" s="37" t="s">
        <v>71</v>
      </c>
      <c r="E3466" s="22" t="s">
        <v>1002</v>
      </c>
      <c r="F3466" s="22" t="s">
        <v>1003</v>
      </c>
      <c r="G3466" s="26" t="s">
        <v>16</v>
      </c>
      <c r="H3466" s="38"/>
      <c r="I3466" s="39">
        <v>15</v>
      </c>
      <c r="J3466" s="38"/>
      <c r="K3466" s="38"/>
      <c r="L3466" s="38"/>
      <c r="M3466" s="38"/>
      <c r="N3466" s="38"/>
      <c r="O3466" s="38"/>
      <c r="P3466" s="38"/>
      <c r="Q3466" s="38"/>
      <c r="R3466" s="38"/>
      <c r="S3466" s="38"/>
      <c r="T3466" s="38"/>
      <c r="U3466" s="38"/>
      <c r="V3466" s="38"/>
      <c r="W3466" s="38"/>
      <c r="X3466" s="38"/>
      <c r="Y3466" s="38"/>
      <c r="Z3466" s="38"/>
      <c r="AA3466" s="38"/>
    </row>
    <row r="3467" spans="1:27" hidden="1" x14ac:dyDescent="0.2">
      <c r="A3467" s="21" t="s">
        <v>1017</v>
      </c>
      <c r="B3467" s="22" t="s">
        <v>1018</v>
      </c>
      <c r="C3467" s="23">
        <v>1</v>
      </c>
      <c r="D3467" s="37" t="s">
        <v>71</v>
      </c>
      <c r="E3467" s="22" t="s">
        <v>1019</v>
      </c>
      <c r="F3467" s="22" t="s">
        <v>1020</v>
      </c>
      <c r="G3467" s="26" t="s">
        <v>16</v>
      </c>
      <c r="H3467" s="38"/>
      <c r="I3467" s="39">
        <v>15</v>
      </c>
      <c r="J3467" s="38"/>
      <c r="K3467" s="38"/>
      <c r="L3467" s="38"/>
      <c r="M3467" s="38"/>
      <c r="N3467" s="38"/>
      <c r="O3467" s="38"/>
      <c r="P3467" s="38"/>
      <c r="Q3467" s="38"/>
      <c r="R3467" s="38"/>
      <c r="S3467" s="38"/>
      <c r="T3467" s="38"/>
      <c r="U3467" s="38"/>
      <c r="V3467" s="38"/>
      <c r="W3467" s="38"/>
      <c r="X3467" s="38"/>
      <c r="Y3467" s="38"/>
      <c r="Z3467" s="38"/>
      <c r="AA3467" s="38"/>
    </row>
    <row r="3468" spans="1:27" s="10" customFormat="1" hidden="1" x14ac:dyDescent="0.25">
      <c r="A3468" s="45" t="s">
        <v>1031</v>
      </c>
      <c r="B3468" s="22" t="s">
        <v>1032</v>
      </c>
      <c r="C3468" s="23">
        <v>1</v>
      </c>
      <c r="D3468" s="42" t="s">
        <v>71</v>
      </c>
      <c r="E3468" s="22" t="s">
        <v>1033</v>
      </c>
      <c r="F3468" s="22" t="s">
        <v>1034</v>
      </c>
      <c r="G3468" s="26" t="s">
        <v>16</v>
      </c>
      <c r="H3468" s="38"/>
      <c r="I3468" s="39">
        <v>15</v>
      </c>
      <c r="J3468" s="38"/>
      <c r="K3468" s="38"/>
      <c r="L3468" s="38"/>
      <c r="M3468" s="38"/>
      <c r="N3468" s="38"/>
      <c r="O3468" s="38"/>
      <c r="P3468" s="38"/>
      <c r="Q3468" s="38"/>
      <c r="R3468" s="38"/>
      <c r="S3468" s="38"/>
      <c r="T3468" s="38"/>
      <c r="U3468" s="38"/>
      <c r="V3468" s="38"/>
      <c r="W3468" s="38"/>
      <c r="X3468" s="38"/>
      <c r="Y3468" s="38"/>
      <c r="Z3468" s="38"/>
      <c r="AA3468" s="38"/>
    </row>
    <row r="3469" spans="1:27" s="10" customFormat="1" hidden="1" x14ac:dyDescent="0.2">
      <c r="A3469" s="45" t="s">
        <v>1082</v>
      </c>
      <c r="B3469" s="22" t="s">
        <v>1083</v>
      </c>
      <c r="C3469" s="23">
        <v>1</v>
      </c>
      <c r="D3469" s="37" t="s">
        <v>95</v>
      </c>
      <c r="E3469" s="22" t="s">
        <v>1084</v>
      </c>
      <c r="F3469" s="22" t="s">
        <v>1085</v>
      </c>
      <c r="G3469" s="26" t="s">
        <v>16</v>
      </c>
      <c r="H3469" s="38"/>
      <c r="I3469" s="39">
        <v>15</v>
      </c>
      <c r="J3469" s="38"/>
      <c r="K3469" s="38"/>
      <c r="L3469" s="38"/>
      <c r="M3469" s="38"/>
      <c r="N3469" s="38"/>
      <c r="O3469" s="38"/>
      <c r="P3469" s="38"/>
      <c r="Q3469" s="38"/>
      <c r="R3469" s="38"/>
      <c r="S3469" s="38"/>
      <c r="T3469" s="38"/>
      <c r="U3469" s="38"/>
      <c r="V3469" s="38"/>
      <c r="W3469" s="38"/>
      <c r="X3469" s="38"/>
      <c r="Y3469" s="38"/>
      <c r="Z3469" s="38"/>
      <c r="AA3469" s="38"/>
    </row>
    <row r="3470" spans="1:27" s="10" customFormat="1" hidden="1" x14ac:dyDescent="0.2">
      <c r="A3470" s="46" t="s">
        <v>1142</v>
      </c>
      <c r="B3470" s="12" t="s">
        <v>1143</v>
      </c>
      <c r="C3470" s="13">
        <v>1</v>
      </c>
      <c r="D3470" s="37" t="s">
        <v>71</v>
      </c>
      <c r="E3470" s="12" t="s">
        <v>1144</v>
      </c>
      <c r="F3470" s="22" t="s">
        <v>1145</v>
      </c>
      <c r="G3470" s="15" t="s">
        <v>16</v>
      </c>
      <c r="H3470" s="8"/>
      <c r="I3470" s="90"/>
      <c r="J3470" s="8"/>
      <c r="K3470" s="8"/>
      <c r="L3470" s="8"/>
      <c r="M3470" s="8"/>
      <c r="N3470" s="8"/>
      <c r="O3470" s="8"/>
      <c r="P3470" s="8"/>
      <c r="Q3470" s="8"/>
      <c r="R3470" s="8"/>
      <c r="S3470" s="8"/>
      <c r="T3470" s="8"/>
      <c r="U3470" s="8"/>
      <c r="V3470" s="8"/>
      <c r="W3470" s="8"/>
      <c r="X3470" s="8"/>
      <c r="Y3470" s="8"/>
      <c r="Z3470" s="8"/>
      <c r="AA3470" s="8"/>
    </row>
    <row r="3471" spans="1:27" s="10" customFormat="1" hidden="1" x14ac:dyDescent="0.2">
      <c r="A3471" s="46" t="s">
        <v>1194</v>
      </c>
      <c r="B3471" s="12" t="s">
        <v>1195</v>
      </c>
      <c r="C3471" s="13">
        <v>1</v>
      </c>
      <c r="D3471" s="37" t="s">
        <v>71</v>
      </c>
      <c r="E3471" s="12" t="s">
        <v>1196</v>
      </c>
      <c r="F3471" s="22" t="s">
        <v>1197</v>
      </c>
      <c r="G3471" s="15" t="s">
        <v>16</v>
      </c>
      <c r="H3471" s="8"/>
      <c r="I3471" s="90"/>
      <c r="J3471" s="8"/>
      <c r="K3471" s="8"/>
      <c r="L3471" s="8"/>
      <c r="M3471" s="8"/>
      <c r="N3471" s="8"/>
      <c r="O3471" s="8"/>
      <c r="P3471" s="8"/>
      <c r="Q3471" s="8"/>
      <c r="R3471" s="8"/>
      <c r="S3471" s="8"/>
      <c r="T3471" s="8"/>
      <c r="U3471" s="8"/>
      <c r="V3471" s="8"/>
      <c r="W3471" s="8"/>
      <c r="X3471" s="8"/>
      <c r="Y3471" s="8"/>
      <c r="Z3471" s="8"/>
      <c r="AA3471" s="8"/>
    </row>
    <row r="3472" spans="1:27" s="10" customFormat="1" hidden="1" x14ac:dyDescent="0.2">
      <c r="A3472" s="46" t="s">
        <v>1206</v>
      </c>
      <c r="B3472" s="12" t="s">
        <v>1207</v>
      </c>
      <c r="C3472" s="13">
        <v>1</v>
      </c>
      <c r="D3472" s="37" t="s">
        <v>71</v>
      </c>
      <c r="E3472" s="12" t="s">
        <v>1208</v>
      </c>
      <c r="F3472" s="22" t="s">
        <v>1209</v>
      </c>
      <c r="G3472" s="15" t="s">
        <v>16</v>
      </c>
      <c r="H3472" s="8"/>
      <c r="I3472" s="99">
        <v>13</v>
      </c>
      <c r="J3472" s="8"/>
      <c r="K3472" s="8"/>
      <c r="L3472" s="8"/>
      <c r="M3472" s="8"/>
      <c r="N3472" s="8"/>
      <c r="O3472" s="8"/>
      <c r="P3472" s="8"/>
      <c r="Q3472" s="8"/>
      <c r="R3472" s="8"/>
      <c r="S3472" s="8"/>
      <c r="T3472" s="8"/>
      <c r="U3472" s="8"/>
      <c r="V3472" s="8"/>
      <c r="W3472" s="8"/>
      <c r="X3472" s="8"/>
      <c r="Y3472" s="8"/>
      <c r="Z3472" s="8"/>
      <c r="AA3472" s="8"/>
    </row>
    <row r="3473" spans="1:27" s="10" customFormat="1" hidden="1" x14ac:dyDescent="0.2">
      <c r="A3473" s="21" t="s">
        <v>1229</v>
      </c>
      <c r="B3473" s="22" t="s">
        <v>1230</v>
      </c>
      <c r="C3473" s="23">
        <v>1</v>
      </c>
      <c r="D3473" s="37" t="s">
        <v>71</v>
      </c>
      <c r="E3473" s="22" t="s">
        <v>1231</v>
      </c>
      <c r="F3473" s="22" t="s">
        <v>1232</v>
      </c>
      <c r="G3473" s="26" t="s">
        <v>16</v>
      </c>
      <c r="H3473" s="38"/>
      <c r="I3473" s="39">
        <v>15</v>
      </c>
      <c r="J3473" s="38"/>
      <c r="K3473" s="38"/>
      <c r="L3473" s="38"/>
      <c r="M3473" s="38"/>
      <c r="N3473" s="38"/>
      <c r="O3473" s="38"/>
      <c r="P3473" s="38"/>
      <c r="Q3473" s="38"/>
      <c r="R3473" s="38"/>
      <c r="S3473" s="38"/>
      <c r="T3473" s="38"/>
      <c r="U3473" s="38"/>
      <c r="V3473" s="38"/>
      <c r="W3473" s="38"/>
      <c r="X3473" s="38"/>
      <c r="Y3473" s="38"/>
      <c r="Z3473" s="38"/>
      <c r="AA3473" s="38"/>
    </row>
    <row r="3474" spans="1:27" s="10" customFormat="1" hidden="1" x14ac:dyDescent="0.25">
      <c r="A3474" s="11" t="s">
        <v>1260</v>
      </c>
      <c r="B3474" s="12" t="s">
        <v>1261</v>
      </c>
      <c r="C3474" s="13">
        <v>1</v>
      </c>
      <c r="D3474" s="22" t="s">
        <v>71</v>
      </c>
      <c r="E3474" s="12" t="s">
        <v>1262</v>
      </c>
      <c r="F3474" s="22" t="s">
        <v>1263</v>
      </c>
      <c r="G3474" s="15" t="s">
        <v>16</v>
      </c>
      <c r="H3474" s="8"/>
      <c r="I3474" s="90"/>
      <c r="J3474" s="8"/>
      <c r="K3474" s="8"/>
      <c r="L3474" s="8"/>
      <c r="M3474" s="8"/>
      <c r="N3474" s="8"/>
      <c r="O3474" s="8"/>
      <c r="P3474" s="8"/>
      <c r="Q3474" s="8"/>
      <c r="R3474" s="8"/>
      <c r="S3474" s="8"/>
      <c r="T3474" s="8"/>
      <c r="U3474" s="8"/>
      <c r="V3474" s="8"/>
      <c r="W3474" s="8"/>
      <c r="X3474" s="8"/>
      <c r="Y3474" s="8"/>
      <c r="Z3474" s="8"/>
      <c r="AA3474" s="8"/>
    </row>
    <row r="3475" spans="1:27" s="10" customFormat="1" hidden="1" x14ac:dyDescent="0.25">
      <c r="A3475" s="11" t="s">
        <v>1294</v>
      </c>
      <c r="B3475" s="12" t="s">
        <v>1295</v>
      </c>
      <c r="C3475" s="13">
        <v>1</v>
      </c>
      <c r="D3475" s="22" t="s">
        <v>71</v>
      </c>
      <c r="E3475" s="12" t="s">
        <v>1296</v>
      </c>
      <c r="F3475" s="22" t="s">
        <v>1297</v>
      </c>
      <c r="G3475" s="15" t="s">
        <v>16</v>
      </c>
      <c r="H3475" s="8"/>
      <c r="I3475" s="90"/>
      <c r="J3475" s="8"/>
      <c r="K3475" s="8"/>
      <c r="L3475" s="8"/>
      <c r="M3475" s="8"/>
      <c r="N3475" s="8"/>
      <c r="O3475" s="8"/>
      <c r="P3475" s="8"/>
      <c r="Q3475" s="8"/>
      <c r="R3475" s="8"/>
      <c r="S3475" s="8"/>
      <c r="T3475" s="8"/>
      <c r="U3475" s="8"/>
      <c r="V3475" s="8"/>
      <c r="W3475" s="8"/>
      <c r="X3475" s="8"/>
      <c r="Y3475" s="8"/>
      <c r="Z3475" s="8"/>
      <c r="AA3475" s="8"/>
    </row>
    <row r="3476" spans="1:27" s="10" customFormat="1" ht="12.75" hidden="1" thickBot="1" x14ac:dyDescent="0.3">
      <c r="A3476" s="36" t="s">
        <v>1313</v>
      </c>
      <c r="B3476" s="12" t="s">
        <v>1314</v>
      </c>
      <c r="C3476" s="13">
        <v>1</v>
      </c>
      <c r="D3476" s="22" t="s">
        <v>71</v>
      </c>
      <c r="E3476" s="12" t="s">
        <v>1315</v>
      </c>
      <c r="F3476" s="22" t="s">
        <v>1316</v>
      </c>
      <c r="G3476" s="33" t="s">
        <v>16</v>
      </c>
      <c r="H3476" s="8"/>
      <c r="I3476" s="90"/>
      <c r="J3476" s="8"/>
      <c r="K3476" s="8"/>
      <c r="L3476" s="8"/>
      <c r="M3476" s="8"/>
      <c r="N3476" s="8"/>
      <c r="O3476" s="8"/>
      <c r="P3476" s="8"/>
      <c r="Q3476" s="8"/>
      <c r="R3476" s="8"/>
      <c r="S3476" s="8"/>
      <c r="T3476" s="8"/>
      <c r="U3476" s="8"/>
      <c r="V3476" s="8"/>
      <c r="W3476" s="8"/>
      <c r="X3476" s="8"/>
      <c r="Y3476" s="8"/>
      <c r="Z3476" s="8"/>
      <c r="AA3476" s="8"/>
    </row>
    <row r="3477" spans="1:27" hidden="1" x14ac:dyDescent="0.25">
      <c r="A3477" s="139" t="s">
        <v>1383</v>
      </c>
      <c r="B3477" s="61" t="s">
        <v>1384</v>
      </c>
      <c r="C3477" s="58">
        <v>1</v>
      </c>
      <c r="D3477" s="17" t="s">
        <v>71</v>
      </c>
      <c r="E3477" s="61" t="s">
        <v>1385</v>
      </c>
      <c r="F3477" s="17" t="s">
        <v>1386</v>
      </c>
      <c r="G3477" s="62" t="s">
        <v>16</v>
      </c>
    </row>
    <row r="3478" spans="1:27" hidden="1" x14ac:dyDescent="0.25">
      <c r="A3478" s="46" t="s">
        <v>1421</v>
      </c>
      <c r="B3478" s="12" t="s">
        <v>1422</v>
      </c>
      <c r="C3478" s="13">
        <v>1</v>
      </c>
      <c r="D3478" s="22" t="s">
        <v>71</v>
      </c>
      <c r="E3478" s="12" t="s">
        <v>1423</v>
      </c>
      <c r="F3478" s="22" t="s">
        <v>1424</v>
      </c>
      <c r="G3478" s="15" t="s">
        <v>16</v>
      </c>
    </row>
    <row r="3479" spans="1:27" hidden="1" x14ac:dyDescent="0.25">
      <c r="A3479" s="46" t="s">
        <v>1454</v>
      </c>
      <c r="B3479" s="12" t="s">
        <v>1455</v>
      </c>
      <c r="C3479" s="13">
        <v>1</v>
      </c>
      <c r="D3479" s="22" t="s">
        <v>71</v>
      </c>
      <c r="E3479" s="12" t="s">
        <v>1456</v>
      </c>
      <c r="F3479" s="22" t="s">
        <v>1457</v>
      </c>
      <c r="G3479" s="15" t="s">
        <v>16</v>
      </c>
    </row>
    <row r="3480" spans="1:27" hidden="1" x14ac:dyDescent="0.25">
      <c r="A3480" s="46" t="s">
        <v>1505</v>
      </c>
      <c r="B3480" s="12" t="s">
        <v>1506</v>
      </c>
      <c r="C3480" s="13">
        <v>1</v>
      </c>
      <c r="D3480" s="22" t="s">
        <v>71</v>
      </c>
      <c r="E3480" s="12" t="s">
        <v>1507</v>
      </c>
      <c r="F3480" s="22" t="s">
        <v>1508</v>
      </c>
      <c r="G3480" s="15" t="s">
        <v>16</v>
      </c>
    </row>
    <row r="3481" spans="1:27" hidden="1" x14ac:dyDescent="0.25">
      <c r="A3481" s="46" t="s">
        <v>1519</v>
      </c>
      <c r="B3481" s="12" t="s">
        <v>1520</v>
      </c>
      <c r="C3481" s="13">
        <v>1</v>
      </c>
      <c r="D3481" s="22" t="s">
        <v>71</v>
      </c>
      <c r="E3481" s="12" t="s">
        <v>1521</v>
      </c>
      <c r="F3481" s="22" t="s">
        <v>1522</v>
      </c>
      <c r="G3481" s="15" t="s">
        <v>16</v>
      </c>
    </row>
    <row r="3482" spans="1:27" hidden="1" x14ac:dyDescent="0.25">
      <c r="A3482" s="46" t="s">
        <v>1568</v>
      </c>
      <c r="B3482" s="12" t="s">
        <v>1569</v>
      </c>
      <c r="C3482" s="13">
        <v>1</v>
      </c>
      <c r="D3482" s="22" t="s">
        <v>71</v>
      </c>
      <c r="E3482" s="12" t="s">
        <v>1570</v>
      </c>
      <c r="F3482" s="22" t="s">
        <v>1571</v>
      </c>
      <c r="G3482" s="15" t="s">
        <v>282</v>
      </c>
      <c r="I3482" s="94">
        <v>14</v>
      </c>
    </row>
    <row r="3483" spans="1:27" hidden="1" x14ac:dyDescent="0.25">
      <c r="A3483" s="46" t="s">
        <v>1656</v>
      </c>
      <c r="B3483" s="12" t="s">
        <v>1657</v>
      </c>
      <c r="C3483" s="13">
        <v>1</v>
      </c>
      <c r="D3483" s="22" t="s">
        <v>71</v>
      </c>
      <c r="E3483" s="12" t="s">
        <v>1658</v>
      </c>
      <c r="F3483" s="22" t="s">
        <v>1659</v>
      </c>
      <c r="G3483" s="15" t="s">
        <v>282</v>
      </c>
      <c r="I3483" s="94">
        <v>14</v>
      </c>
    </row>
    <row r="3484" spans="1:27" hidden="1" x14ac:dyDescent="0.25">
      <c r="A3484" s="46" t="s">
        <v>1768</v>
      </c>
      <c r="B3484" s="12" t="s">
        <v>1769</v>
      </c>
      <c r="C3484" s="13">
        <v>1</v>
      </c>
      <c r="D3484" s="22" t="s">
        <v>71</v>
      </c>
      <c r="E3484" s="12" t="s">
        <v>1770</v>
      </c>
      <c r="F3484" s="22" t="s">
        <v>1771</v>
      </c>
      <c r="G3484" s="15" t="s">
        <v>282</v>
      </c>
      <c r="I3484" s="94">
        <v>14</v>
      </c>
    </row>
    <row r="3485" spans="1:27" hidden="1" x14ac:dyDescent="0.25">
      <c r="A3485" s="45" t="s">
        <v>1794</v>
      </c>
      <c r="B3485" s="22" t="s">
        <v>1795</v>
      </c>
      <c r="C3485" s="23">
        <v>1</v>
      </c>
      <c r="D3485" s="22" t="s">
        <v>71</v>
      </c>
      <c r="E3485" s="22" t="s">
        <v>1796</v>
      </c>
      <c r="F3485" s="22" t="s">
        <v>1797</v>
      </c>
      <c r="G3485" s="26" t="s">
        <v>16</v>
      </c>
      <c r="H3485" s="38"/>
      <c r="I3485" s="39">
        <v>15</v>
      </c>
      <c r="J3485" s="38"/>
      <c r="K3485" s="38"/>
      <c r="L3485" s="38"/>
      <c r="M3485" s="38"/>
      <c r="N3485" s="38"/>
      <c r="O3485" s="38"/>
      <c r="P3485" s="38"/>
      <c r="Q3485" s="38"/>
      <c r="R3485" s="38"/>
      <c r="S3485" s="38"/>
      <c r="T3485" s="38"/>
      <c r="U3485" s="38"/>
      <c r="V3485" s="38"/>
      <c r="W3485" s="38"/>
      <c r="X3485" s="38"/>
      <c r="Y3485" s="38"/>
      <c r="Z3485" s="38"/>
      <c r="AA3485" s="38"/>
    </row>
    <row r="3486" spans="1:27" ht="12.75" hidden="1" thickBot="1" x14ac:dyDescent="0.3">
      <c r="A3486" s="184" t="s">
        <v>1818</v>
      </c>
      <c r="B3486" s="4" t="s">
        <v>1819</v>
      </c>
      <c r="C3486" s="5">
        <v>1</v>
      </c>
      <c r="D3486" s="4" t="s">
        <v>71</v>
      </c>
      <c r="E3486" s="4" t="s">
        <v>1820</v>
      </c>
      <c r="F3486" s="4" t="s">
        <v>1821</v>
      </c>
      <c r="G3486" s="7" t="s">
        <v>16</v>
      </c>
      <c r="H3486" s="38"/>
      <c r="I3486" s="39">
        <v>15</v>
      </c>
      <c r="J3486" s="38"/>
      <c r="K3486" s="38"/>
      <c r="L3486" s="38"/>
      <c r="M3486" s="38"/>
      <c r="N3486" s="38"/>
      <c r="O3486" s="38"/>
      <c r="P3486" s="38"/>
      <c r="Q3486" s="38"/>
      <c r="R3486" s="38"/>
      <c r="S3486" s="38"/>
      <c r="T3486" s="38"/>
      <c r="U3486" s="38"/>
      <c r="V3486" s="38"/>
      <c r="W3486" s="38"/>
      <c r="X3486" s="38"/>
      <c r="Y3486" s="38"/>
      <c r="Z3486" s="38"/>
      <c r="AA3486" s="38"/>
    </row>
    <row r="3487" spans="1:27" hidden="1" x14ac:dyDescent="0.25">
      <c r="A3487" s="16" t="s">
        <v>1882</v>
      </c>
      <c r="B3487" s="17" t="s">
        <v>1883</v>
      </c>
      <c r="C3487" s="18">
        <v>1</v>
      </c>
      <c r="D3487" s="230" t="s">
        <v>71</v>
      </c>
      <c r="E3487" s="17" t="s">
        <v>1884</v>
      </c>
      <c r="F3487" s="17" t="s">
        <v>1885</v>
      </c>
      <c r="G3487" s="26" t="s">
        <v>16</v>
      </c>
      <c r="H3487" s="38"/>
      <c r="I3487" s="39">
        <v>15</v>
      </c>
      <c r="K3487" s="38"/>
      <c r="L3487" s="38"/>
      <c r="M3487" s="38"/>
      <c r="N3487" s="38"/>
      <c r="O3487" s="38"/>
      <c r="P3487" s="38"/>
      <c r="Q3487" s="38"/>
      <c r="R3487" s="38"/>
      <c r="S3487" s="38"/>
      <c r="T3487" s="38"/>
      <c r="U3487" s="38"/>
      <c r="V3487" s="38"/>
      <c r="W3487" s="38"/>
      <c r="X3487" s="38"/>
      <c r="Y3487" s="38"/>
      <c r="Z3487" s="38"/>
      <c r="AA3487" s="38"/>
    </row>
    <row r="3488" spans="1:27" ht="15" hidden="1" x14ac:dyDescent="0.25">
      <c r="A3488" s="21" t="s">
        <v>1922</v>
      </c>
      <c r="B3488" s="22" t="s">
        <v>1923</v>
      </c>
      <c r="C3488" s="23">
        <v>1</v>
      </c>
      <c r="D3488" s="50" t="s">
        <v>71</v>
      </c>
      <c r="E3488" s="22" t="s">
        <v>1924</v>
      </c>
      <c r="F3488" s="22" t="s">
        <v>1925</v>
      </c>
      <c r="G3488" s="26" t="s">
        <v>16</v>
      </c>
      <c r="H3488" s="38"/>
      <c r="I3488" s="39">
        <v>15</v>
      </c>
      <c r="J3488" s="52"/>
      <c r="K3488" s="38"/>
      <c r="L3488" s="38"/>
      <c r="M3488" s="38"/>
      <c r="N3488" s="38"/>
      <c r="O3488" s="38"/>
      <c r="P3488" s="38"/>
      <c r="Q3488" s="38"/>
      <c r="R3488" s="38"/>
      <c r="S3488" s="38"/>
      <c r="T3488" s="38"/>
      <c r="U3488" s="38"/>
      <c r="V3488" s="38"/>
      <c r="W3488" s="38"/>
      <c r="X3488" s="38"/>
      <c r="Y3488" s="38"/>
      <c r="Z3488" s="38"/>
      <c r="AA3488" s="38"/>
    </row>
    <row r="3489" spans="1:10" hidden="1" x14ac:dyDescent="0.2">
      <c r="A3489" s="11" t="s">
        <v>2024</v>
      </c>
      <c r="B3489" s="12" t="s">
        <v>2025</v>
      </c>
      <c r="C3489" s="13">
        <v>30</v>
      </c>
      <c r="D3489" s="14" t="s">
        <v>2076</v>
      </c>
      <c r="E3489" s="12" t="s">
        <v>2026</v>
      </c>
      <c r="F3489" s="12" t="s">
        <v>2077</v>
      </c>
      <c r="G3489" s="15" t="s">
        <v>126</v>
      </c>
    </row>
    <row r="3490" spans="1:10" hidden="1" x14ac:dyDescent="0.2">
      <c r="A3490" s="11" t="s">
        <v>2024</v>
      </c>
      <c r="B3490" s="12" t="s">
        <v>2025</v>
      </c>
      <c r="C3490" s="13">
        <v>31</v>
      </c>
      <c r="D3490" s="14" t="s">
        <v>2078</v>
      </c>
      <c r="E3490" s="12" t="s">
        <v>2026</v>
      </c>
      <c r="F3490" s="12" t="s">
        <v>2079</v>
      </c>
      <c r="G3490" s="15" t="s">
        <v>78</v>
      </c>
    </row>
    <row r="3491" spans="1:10" hidden="1" x14ac:dyDescent="0.2">
      <c r="A3491" s="11" t="s">
        <v>2024</v>
      </c>
      <c r="B3491" s="12" t="s">
        <v>2025</v>
      </c>
      <c r="C3491" s="13">
        <v>32</v>
      </c>
      <c r="D3491" s="14" t="s">
        <v>2080</v>
      </c>
      <c r="E3491" s="12" t="s">
        <v>2026</v>
      </c>
      <c r="F3491" s="12" t="s">
        <v>2081</v>
      </c>
      <c r="G3491" s="15" t="s">
        <v>156</v>
      </c>
    </row>
    <row r="3492" spans="1:10" hidden="1" x14ac:dyDescent="0.25">
      <c r="A3492" s="11" t="s">
        <v>2114</v>
      </c>
      <c r="B3492" s="12" t="s">
        <v>2115</v>
      </c>
      <c r="C3492" s="13">
        <v>1</v>
      </c>
      <c r="D3492" s="42" t="s">
        <v>71</v>
      </c>
      <c r="E3492" s="12" t="s">
        <v>2116</v>
      </c>
      <c r="F3492" s="22" t="s">
        <v>2117</v>
      </c>
      <c r="G3492" s="15" t="s">
        <v>16</v>
      </c>
    </row>
    <row r="3493" spans="1:10" ht="12.75" hidden="1" thickBot="1" x14ac:dyDescent="0.3">
      <c r="A3493" s="36" t="s">
        <v>2130</v>
      </c>
      <c r="B3493" s="55" t="s">
        <v>2131</v>
      </c>
      <c r="C3493" s="31">
        <v>1</v>
      </c>
      <c r="D3493" s="4" t="s">
        <v>71</v>
      </c>
      <c r="E3493" s="30" t="s">
        <v>2132</v>
      </c>
      <c r="F3493" s="4" t="s">
        <v>2133</v>
      </c>
      <c r="G3493" s="33" t="s">
        <v>16</v>
      </c>
    </row>
    <row r="3494" spans="1:10" hidden="1" x14ac:dyDescent="0.25">
      <c r="A3494" s="56" t="s">
        <v>2171</v>
      </c>
      <c r="B3494" s="57" t="s">
        <v>2172</v>
      </c>
      <c r="C3494" s="58">
        <v>1</v>
      </c>
      <c r="D3494" s="17" t="s">
        <v>71</v>
      </c>
      <c r="E3494" s="61" t="s">
        <v>2173</v>
      </c>
      <c r="F3494" s="17" t="s">
        <v>2174</v>
      </c>
      <c r="G3494" s="62" t="s">
        <v>16</v>
      </c>
    </row>
    <row r="3495" spans="1:10" ht="15" hidden="1" x14ac:dyDescent="0.25">
      <c r="A3495" s="21" t="s">
        <v>2179</v>
      </c>
      <c r="B3495" s="38" t="s">
        <v>2180</v>
      </c>
      <c r="C3495" s="23">
        <v>1</v>
      </c>
      <c r="D3495" s="22" t="s">
        <v>71</v>
      </c>
      <c r="E3495" s="22" t="s">
        <v>2181</v>
      </c>
      <c r="F3495" s="22" t="s">
        <v>2182</v>
      </c>
      <c r="G3495" s="26" t="s">
        <v>16</v>
      </c>
      <c r="I3495" s="9">
        <v>15</v>
      </c>
      <c r="J3495" s="52"/>
    </row>
    <row r="3496" spans="1:10" ht="15" hidden="1" x14ac:dyDescent="0.25">
      <c r="A3496" s="11" t="s">
        <v>2194</v>
      </c>
      <c r="B3496" s="8" t="s">
        <v>2195</v>
      </c>
      <c r="C3496" s="13">
        <v>1</v>
      </c>
      <c r="D3496" s="22" t="s">
        <v>71</v>
      </c>
      <c r="E3496" s="22" t="s">
        <v>2196</v>
      </c>
      <c r="F3496" s="22" t="s">
        <v>2197</v>
      </c>
      <c r="G3496" s="26" t="s">
        <v>16</v>
      </c>
      <c r="I3496" s="59">
        <v>15</v>
      </c>
      <c r="J3496" s="60"/>
    </row>
    <row r="3497" spans="1:10" ht="15" hidden="1" x14ac:dyDescent="0.25">
      <c r="A3497" s="21" t="s">
        <v>2215</v>
      </c>
      <c r="B3497" s="38" t="s">
        <v>2216</v>
      </c>
      <c r="C3497" s="23">
        <v>1</v>
      </c>
      <c r="D3497" s="22" t="s">
        <v>71</v>
      </c>
      <c r="E3497" s="22" t="s">
        <v>2217</v>
      </c>
      <c r="F3497" s="22" t="s">
        <v>2218</v>
      </c>
      <c r="G3497" s="26" t="s">
        <v>16</v>
      </c>
      <c r="I3497" s="54">
        <v>15</v>
      </c>
      <c r="J3497" s="60"/>
    </row>
    <row r="3498" spans="1:10" ht="15" hidden="1" x14ac:dyDescent="0.25">
      <c r="A3498" s="21" t="s">
        <v>2237</v>
      </c>
      <c r="B3498" s="38" t="s">
        <v>2238</v>
      </c>
      <c r="C3498" s="23">
        <v>1</v>
      </c>
      <c r="D3498" s="22" t="s">
        <v>71</v>
      </c>
      <c r="E3498" s="22" t="s">
        <v>2239</v>
      </c>
      <c r="F3498" s="22" t="s">
        <v>2240</v>
      </c>
      <c r="G3498" s="26" t="s">
        <v>16</v>
      </c>
      <c r="I3498" s="54">
        <v>15</v>
      </c>
      <c r="J3498" s="52"/>
    </row>
    <row r="3499" spans="1:10" hidden="1" x14ac:dyDescent="0.2">
      <c r="A3499" s="11" t="s">
        <v>2500</v>
      </c>
      <c r="B3499" s="12" t="s">
        <v>2501</v>
      </c>
      <c r="C3499" s="13">
        <v>1</v>
      </c>
      <c r="D3499" s="37" t="s">
        <v>71</v>
      </c>
      <c r="E3499" s="12" t="s">
        <v>2502</v>
      </c>
      <c r="F3499" s="22" t="s">
        <v>2503</v>
      </c>
      <c r="G3499" s="15" t="s">
        <v>16</v>
      </c>
    </row>
    <row r="3500" spans="1:10" hidden="1" x14ac:dyDescent="0.2">
      <c r="A3500" s="11" t="s">
        <v>2516</v>
      </c>
      <c r="B3500" s="12" t="s">
        <v>2517</v>
      </c>
      <c r="C3500" s="13">
        <v>1</v>
      </c>
      <c r="D3500" s="37" t="s">
        <v>71</v>
      </c>
      <c r="E3500" s="12" t="s">
        <v>2518</v>
      </c>
      <c r="F3500" s="22" t="s">
        <v>2519</v>
      </c>
      <c r="G3500" s="15" t="s">
        <v>16</v>
      </c>
    </row>
    <row r="3501" spans="1:10" hidden="1" x14ac:dyDescent="0.2">
      <c r="A3501" s="46" t="s">
        <v>2529</v>
      </c>
      <c r="B3501" s="12" t="s">
        <v>2530</v>
      </c>
      <c r="C3501" s="13">
        <v>1</v>
      </c>
      <c r="D3501" s="37" t="s">
        <v>71</v>
      </c>
      <c r="E3501" s="12" t="s">
        <v>2531</v>
      </c>
      <c r="F3501" s="22" t="s">
        <v>2532</v>
      </c>
      <c r="G3501" s="15" t="s">
        <v>16</v>
      </c>
    </row>
    <row r="3502" spans="1:10" hidden="1" x14ac:dyDescent="0.2">
      <c r="A3502" s="46" t="s">
        <v>2541</v>
      </c>
      <c r="B3502" s="12" t="s">
        <v>2542</v>
      </c>
      <c r="C3502" s="13">
        <v>1</v>
      </c>
      <c r="D3502" s="37" t="s">
        <v>71</v>
      </c>
      <c r="E3502" s="12" t="s">
        <v>2543</v>
      </c>
      <c r="F3502" s="22" t="s">
        <v>2544</v>
      </c>
      <c r="G3502" s="15" t="s">
        <v>16</v>
      </c>
    </row>
    <row r="3503" spans="1:10" hidden="1" x14ac:dyDescent="0.2">
      <c r="A3503" s="46" t="s">
        <v>2555</v>
      </c>
      <c r="B3503" s="12" t="s">
        <v>2556</v>
      </c>
      <c r="C3503" s="13">
        <v>1</v>
      </c>
      <c r="D3503" s="37" t="s">
        <v>71</v>
      </c>
      <c r="E3503" s="12" t="s">
        <v>2557</v>
      </c>
      <c r="F3503" s="22" t="s">
        <v>2558</v>
      </c>
      <c r="G3503" s="15" t="s">
        <v>16</v>
      </c>
    </row>
    <row r="3504" spans="1:10" hidden="1" x14ac:dyDescent="0.2">
      <c r="A3504" s="11" t="s">
        <v>2566</v>
      </c>
      <c r="B3504" s="12" t="s">
        <v>2567</v>
      </c>
      <c r="C3504" s="13">
        <v>1</v>
      </c>
      <c r="D3504" s="37" t="s">
        <v>71</v>
      </c>
      <c r="E3504" s="12" t="s">
        <v>2568</v>
      </c>
      <c r="F3504" s="75" t="s">
        <v>2569</v>
      </c>
      <c r="G3504" s="66" t="s">
        <v>16</v>
      </c>
    </row>
    <row r="3505" spans="1:27" hidden="1" x14ac:dyDescent="0.2">
      <c r="A3505" s="11" t="s">
        <v>2608</v>
      </c>
      <c r="B3505" s="12" t="s">
        <v>2609</v>
      </c>
      <c r="C3505" s="13">
        <v>1</v>
      </c>
      <c r="D3505" s="37" t="s">
        <v>71</v>
      </c>
      <c r="E3505" s="12" t="s">
        <v>2610</v>
      </c>
      <c r="F3505" s="75" t="s">
        <v>2611</v>
      </c>
      <c r="G3505" s="66" t="s">
        <v>16</v>
      </c>
    </row>
    <row r="3506" spans="1:27" hidden="1" x14ac:dyDescent="0.2">
      <c r="A3506" s="11" t="s">
        <v>2988</v>
      </c>
      <c r="B3506" s="12" t="s">
        <v>2989</v>
      </c>
      <c r="C3506" s="13">
        <v>1</v>
      </c>
      <c r="D3506" s="22" t="s">
        <v>71</v>
      </c>
      <c r="E3506" s="12" t="s">
        <v>2990</v>
      </c>
      <c r="F3506" s="75" t="s">
        <v>2991</v>
      </c>
      <c r="G3506" s="66" t="s">
        <v>16</v>
      </c>
    </row>
    <row r="3507" spans="1:27" hidden="1" x14ac:dyDescent="0.2">
      <c r="A3507" s="11" t="s">
        <v>3034</v>
      </c>
      <c r="B3507" s="12" t="s">
        <v>3035</v>
      </c>
      <c r="C3507" s="13">
        <v>1</v>
      </c>
      <c r="D3507" s="38" t="s">
        <v>71</v>
      </c>
      <c r="E3507" s="12" t="s">
        <v>3036</v>
      </c>
      <c r="F3507" s="38" t="s">
        <v>3037</v>
      </c>
      <c r="G3507" s="66" t="s">
        <v>16</v>
      </c>
    </row>
    <row r="3508" spans="1:27" hidden="1" x14ac:dyDescent="0.2">
      <c r="A3508" s="11" t="s">
        <v>3108</v>
      </c>
      <c r="B3508" s="12" t="s">
        <v>3109</v>
      </c>
      <c r="C3508" s="13">
        <v>1</v>
      </c>
      <c r="D3508" s="22" t="s">
        <v>71</v>
      </c>
      <c r="E3508" s="12" t="s">
        <v>3110</v>
      </c>
      <c r="F3508" s="75" t="s">
        <v>3111</v>
      </c>
      <c r="G3508" s="66" t="s">
        <v>16</v>
      </c>
    </row>
    <row r="3509" spans="1:27" hidden="1" x14ac:dyDescent="0.2">
      <c r="A3509" s="11" t="s">
        <v>3120</v>
      </c>
      <c r="B3509" s="12" t="s">
        <v>3121</v>
      </c>
      <c r="C3509" s="13">
        <v>1</v>
      </c>
      <c r="D3509" s="22" t="s">
        <v>71</v>
      </c>
      <c r="E3509" s="12" t="s">
        <v>3122</v>
      </c>
      <c r="F3509" s="75" t="s">
        <v>3123</v>
      </c>
      <c r="G3509" s="66" t="s">
        <v>16</v>
      </c>
    </row>
    <row r="3510" spans="1:27" hidden="1" x14ac:dyDescent="0.2">
      <c r="A3510" s="11" t="s">
        <v>3130</v>
      </c>
      <c r="B3510" s="12" t="s">
        <v>3131</v>
      </c>
      <c r="C3510" s="13">
        <v>1</v>
      </c>
      <c r="D3510" s="22" t="s">
        <v>71</v>
      </c>
      <c r="E3510" s="12" t="s">
        <v>3132</v>
      </c>
      <c r="F3510" s="75" t="s">
        <v>3133</v>
      </c>
      <c r="G3510" s="66" t="s">
        <v>16</v>
      </c>
    </row>
    <row r="3511" spans="1:27" hidden="1" x14ac:dyDescent="0.2">
      <c r="A3511" s="11" t="s">
        <v>4404</v>
      </c>
      <c r="B3511" s="12" t="s">
        <v>4405</v>
      </c>
      <c r="C3511" s="13">
        <v>1</v>
      </c>
      <c r="D3511" s="12" t="s">
        <v>71</v>
      </c>
      <c r="E3511" s="12" t="s">
        <v>4406</v>
      </c>
      <c r="F3511" s="12" t="s">
        <v>4407</v>
      </c>
      <c r="G3511" s="66" t="s">
        <v>16</v>
      </c>
      <c r="I3511" s="94">
        <v>14</v>
      </c>
    </row>
    <row r="3512" spans="1:27" ht="15" hidden="1" x14ac:dyDescent="0.25">
      <c r="A3512" s="21" t="s">
        <v>4421</v>
      </c>
      <c r="B3512" s="22" t="s">
        <v>4422</v>
      </c>
      <c r="C3512" s="23">
        <v>1</v>
      </c>
      <c r="D3512" s="22" t="s">
        <v>71</v>
      </c>
      <c r="E3512" s="22" t="s">
        <v>4423</v>
      </c>
      <c r="F3512" s="22" t="s">
        <v>4424</v>
      </c>
      <c r="G3512" s="71" t="s">
        <v>16</v>
      </c>
      <c r="H3512" s="38"/>
      <c r="I3512" s="39">
        <v>15</v>
      </c>
      <c r="J3512" s="52"/>
      <c r="K3512" s="38"/>
      <c r="L3512" s="38"/>
      <c r="M3512" s="38"/>
      <c r="N3512" s="38"/>
      <c r="O3512" s="38"/>
      <c r="P3512" s="38"/>
      <c r="Q3512" s="38"/>
      <c r="R3512" s="38"/>
      <c r="S3512" s="38"/>
      <c r="T3512" s="38"/>
      <c r="U3512" s="38"/>
      <c r="V3512" s="38"/>
      <c r="W3512" s="38"/>
      <c r="X3512" s="38"/>
      <c r="Y3512" s="38"/>
      <c r="Z3512" s="38"/>
      <c r="AA3512" s="38"/>
    </row>
    <row r="3513" spans="1:27" ht="15" hidden="1" x14ac:dyDescent="0.25">
      <c r="A3513" s="21" t="s">
        <v>4465</v>
      </c>
      <c r="B3513" s="22" t="s">
        <v>4466</v>
      </c>
      <c r="C3513" s="23">
        <v>1</v>
      </c>
      <c r="D3513" s="22" t="s">
        <v>95</v>
      </c>
      <c r="E3513" s="22" t="s">
        <v>4467</v>
      </c>
      <c r="F3513" s="22" t="s">
        <v>4468</v>
      </c>
      <c r="G3513" s="71" t="s">
        <v>16</v>
      </c>
      <c r="H3513" s="38"/>
      <c r="I3513" s="39">
        <v>15</v>
      </c>
      <c r="J3513" s="52"/>
      <c r="K3513" s="38"/>
      <c r="L3513" s="38"/>
      <c r="M3513" s="38"/>
      <c r="N3513" s="38"/>
      <c r="O3513" s="38"/>
      <c r="P3513" s="38"/>
      <c r="Q3513" s="38"/>
      <c r="R3513" s="38"/>
      <c r="S3513" s="38"/>
      <c r="T3513" s="38"/>
      <c r="U3513" s="38"/>
      <c r="V3513" s="38"/>
      <c r="W3513" s="38"/>
      <c r="X3513" s="38"/>
      <c r="Y3513" s="38"/>
      <c r="Z3513" s="38"/>
      <c r="AA3513" s="38"/>
    </row>
    <row r="3514" spans="1:27" hidden="1" x14ac:dyDescent="0.2">
      <c r="A3514" s="21" t="s">
        <v>4513</v>
      </c>
      <c r="B3514" s="22" t="s">
        <v>4514</v>
      </c>
      <c r="C3514" s="23">
        <v>1</v>
      </c>
      <c r="D3514" s="22" t="s">
        <v>95</v>
      </c>
      <c r="E3514" s="22" t="s">
        <v>4515</v>
      </c>
      <c r="F3514" s="22" t="s">
        <v>4516</v>
      </c>
      <c r="G3514" s="71" t="s">
        <v>16</v>
      </c>
      <c r="H3514" s="38"/>
      <c r="I3514" s="39">
        <v>15</v>
      </c>
      <c r="J3514" s="38"/>
      <c r="K3514" s="38"/>
      <c r="L3514" s="38"/>
      <c r="M3514" s="38"/>
      <c r="N3514" s="38"/>
      <c r="O3514" s="38"/>
      <c r="P3514" s="38"/>
      <c r="Q3514" s="38"/>
      <c r="R3514" s="38"/>
      <c r="S3514" s="38"/>
      <c r="T3514" s="38"/>
      <c r="U3514" s="38"/>
      <c r="V3514" s="38"/>
      <c r="W3514" s="38"/>
      <c r="X3514" s="38"/>
      <c r="Y3514" s="38"/>
      <c r="Z3514" s="38"/>
      <c r="AA3514" s="38"/>
    </row>
    <row r="3515" spans="1:27" hidden="1" x14ac:dyDescent="0.2">
      <c r="A3515" s="21" t="s">
        <v>4540</v>
      </c>
      <c r="B3515" s="22" t="s">
        <v>4541</v>
      </c>
      <c r="C3515" s="23">
        <v>1</v>
      </c>
      <c r="D3515" s="22" t="s">
        <v>71</v>
      </c>
      <c r="E3515" s="22" t="s">
        <v>4542</v>
      </c>
      <c r="F3515" s="22" t="s">
        <v>4543</v>
      </c>
      <c r="G3515" s="71" t="s">
        <v>16</v>
      </c>
      <c r="H3515" s="38"/>
      <c r="I3515" s="39">
        <v>15</v>
      </c>
      <c r="J3515" s="38"/>
      <c r="K3515" s="38"/>
      <c r="L3515" s="38"/>
      <c r="M3515" s="38"/>
      <c r="N3515" s="38"/>
      <c r="O3515" s="38"/>
      <c r="P3515" s="38"/>
      <c r="Q3515" s="38"/>
      <c r="R3515" s="38"/>
      <c r="S3515" s="38"/>
      <c r="T3515" s="38"/>
      <c r="U3515" s="38"/>
      <c r="V3515" s="38"/>
      <c r="W3515" s="38"/>
      <c r="X3515" s="38"/>
      <c r="Y3515" s="38"/>
      <c r="Z3515" s="38"/>
      <c r="AA3515" s="38"/>
    </row>
    <row r="3516" spans="1:27" hidden="1" x14ac:dyDescent="0.2">
      <c r="A3516" s="21" t="s">
        <v>4564</v>
      </c>
      <c r="B3516" s="22" t="s">
        <v>4565</v>
      </c>
      <c r="C3516" s="23">
        <v>1</v>
      </c>
      <c r="D3516" s="22" t="s">
        <v>71</v>
      </c>
      <c r="E3516" s="22" t="s">
        <v>4566</v>
      </c>
      <c r="F3516" s="22" t="s">
        <v>4567</v>
      </c>
      <c r="G3516" s="71" t="s">
        <v>16</v>
      </c>
      <c r="H3516" s="38"/>
      <c r="I3516" s="39">
        <v>15</v>
      </c>
      <c r="J3516" s="38"/>
      <c r="K3516" s="38"/>
      <c r="L3516" s="38"/>
      <c r="M3516" s="38"/>
      <c r="N3516" s="38"/>
      <c r="O3516" s="38"/>
      <c r="P3516" s="38"/>
      <c r="Q3516" s="38"/>
      <c r="R3516" s="38"/>
      <c r="S3516" s="38"/>
      <c r="T3516" s="38"/>
      <c r="U3516" s="38"/>
      <c r="V3516" s="38"/>
      <c r="W3516" s="38"/>
      <c r="X3516" s="38"/>
      <c r="Y3516" s="38"/>
      <c r="Z3516" s="38"/>
      <c r="AA3516" s="38"/>
    </row>
    <row r="3517" spans="1:27" ht="15" hidden="1" x14ac:dyDescent="0.25">
      <c r="A3517" s="21" t="s">
        <v>4583</v>
      </c>
      <c r="B3517" s="22" t="s">
        <v>4584</v>
      </c>
      <c r="C3517" s="23">
        <v>1</v>
      </c>
      <c r="D3517" s="22" t="s">
        <v>95</v>
      </c>
      <c r="E3517" s="22" t="s">
        <v>4585</v>
      </c>
      <c r="F3517" s="22" t="s">
        <v>4586</v>
      </c>
      <c r="G3517" s="71" t="s">
        <v>16</v>
      </c>
      <c r="H3517" s="38"/>
      <c r="I3517" s="39">
        <v>15</v>
      </c>
      <c r="J3517" s="52"/>
      <c r="K3517" s="38"/>
      <c r="L3517" s="38"/>
      <c r="M3517" s="38"/>
      <c r="N3517" s="38"/>
      <c r="O3517" s="38"/>
      <c r="P3517" s="38"/>
      <c r="Q3517" s="38"/>
      <c r="R3517" s="38"/>
      <c r="S3517" s="38"/>
      <c r="T3517" s="38"/>
      <c r="U3517" s="38"/>
      <c r="V3517" s="38"/>
      <c r="W3517" s="38"/>
      <c r="X3517" s="38"/>
      <c r="Y3517" s="38"/>
      <c r="Z3517" s="38"/>
      <c r="AA3517" s="38"/>
    </row>
    <row r="3518" spans="1:27" hidden="1" x14ac:dyDescent="0.2">
      <c r="A3518" s="146" t="s">
        <v>4742</v>
      </c>
      <c r="B3518" s="12" t="s">
        <v>4743</v>
      </c>
      <c r="C3518" s="13">
        <v>1</v>
      </c>
      <c r="D3518" s="22" t="s">
        <v>71</v>
      </c>
      <c r="E3518" s="12" t="s">
        <v>4744</v>
      </c>
      <c r="F3518" s="22" t="s">
        <v>4745</v>
      </c>
      <c r="G3518" s="66" t="s">
        <v>16</v>
      </c>
    </row>
    <row r="3519" spans="1:27" hidden="1" x14ac:dyDescent="0.2">
      <c r="A3519" s="146" t="s">
        <v>4759</v>
      </c>
      <c r="B3519" s="12" t="s">
        <v>4760</v>
      </c>
      <c r="C3519" s="13">
        <v>1</v>
      </c>
      <c r="D3519" s="22" t="s">
        <v>71</v>
      </c>
      <c r="E3519" s="12" t="s">
        <v>4761</v>
      </c>
      <c r="F3519" s="22" t="s">
        <v>4762</v>
      </c>
      <c r="G3519" s="66" t="s">
        <v>16</v>
      </c>
    </row>
    <row r="3520" spans="1:27" hidden="1" x14ac:dyDescent="0.2">
      <c r="A3520" s="146" t="s">
        <v>4771</v>
      </c>
      <c r="B3520" s="12" t="s">
        <v>4772</v>
      </c>
      <c r="C3520" s="13">
        <v>1</v>
      </c>
      <c r="D3520" s="22" t="s">
        <v>71</v>
      </c>
      <c r="E3520" s="12" t="s">
        <v>4773</v>
      </c>
      <c r="F3520" s="22" t="s">
        <v>4774</v>
      </c>
      <c r="G3520" s="66" t="s">
        <v>16</v>
      </c>
    </row>
    <row r="3521" spans="1:27" hidden="1" x14ac:dyDescent="0.25">
      <c r="A3521" s="146" t="s">
        <v>4800</v>
      </c>
      <c r="B3521" s="8" t="s">
        <v>4801</v>
      </c>
      <c r="C3521" s="150">
        <v>1</v>
      </c>
      <c r="D3521" s="38" t="s">
        <v>71</v>
      </c>
      <c r="E3521" s="8" t="s">
        <v>4802</v>
      </c>
      <c r="F3521" s="38" t="s">
        <v>4803</v>
      </c>
      <c r="G3521" s="80" t="s">
        <v>16</v>
      </c>
    </row>
    <row r="3522" spans="1:27" hidden="1" x14ac:dyDescent="0.25">
      <c r="A3522" s="146" t="s">
        <v>4817</v>
      </c>
      <c r="B3522" s="12" t="s">
        <v>4818</v>
      </c>
      <c r="C3522" s="13">
        <v>1</v>
      </c>
      <c r="D3522" s="22" t="s">
        <v>71</v>
      </c>
      <c r="E3522" s="12" t="s">
        <v>4819</v>
      </c>
      <c r="F3522" s="38" t="s">
        <v>4820</v>
      </c>
      <c r="G3522" s="80" t="s">
        <v>16</v>
      </c>
    </row>
    <row r="3523" spans="1:27" hidden="1" x14ac:dyDescent="0.25">
      <c r="A3523" s="146" t="s">
        <v>4830</v>
      </c>
      <c r="B3523" s="12" t="s">
        <v>4831</v>
      </c>
      <c r="C3523" s="13">
        <v>1</v>
      </c>
      <c r="D3523" s="22" t="s">
        <v>71</v>
      </c>
      <c r="E3523" s="12" t="s">
        <v>4832</v>
      </c>
      <c r="F3523" s="38" t="s">
        <v>4833</v>
      </c>
      <c r="G3523" s="80" t="s">
        <v>16</v>
      </c>
    </row>
    <row r="3524" spans="1:27" hidden="1" x14ac:dyDescent="0.25">
      <c r="A3524" s="146" t="s">
        <v>4870</v>
      </c>
      <c r="B3524" s="12" t="s">
        <v>4871</v>
      </c>
      <c r="C3524" s="13">
        <v>1</v>
      </c>
      <c r="D3524" s="22" t="s">
        <v>71</v>
      </c>
      <c r="E3524" s="12" t="s">
        <v>4872</v>
      </c>
      <c r="F3524" s="38" t="s">
        <v>4873</v>
      </c>
      <c r="G3524" s="80" t="s">
        <v>16</v>
      </c>
    </row>
    <row r="3525" spans="1:27" hidden="1" x14ac:dyDescent="0.25">
      <c r="A3525" s="146" t="s">
        <v>4881</v>
      </c>
      <c r="B3525" s="12" t="s">
        <v>4882</v>
      </c>
      <c r="C3525" s="13">
        <v>1</v>
      </c>
      <c r="D3525" s="22" t="s">
        <v>71</v>
      </c>
      <c r="E3525" s="12" t="s">
        <v>4883</v>
      </c>
      <c r="F3525" s="38" t="s">
        <v>4884</v>
      </c>
      <c r="G3525" s="80" t="s">
        <v>16</v>
      </c>
    </row>
    <row r="3526" spans="1:27" hidden="1" x14ac:dyDescent="0.25">
      <c r="A3526" s="146" t="s">
        <v>4895</v>
      </c>
      <c r="B3526" s="12" t="s">
        <v>4896</v>
      </c>
      <c r="C3526" s="13">
        <v>1</v>
      </c>
      <c r="D3526" s="22" t="s">
        <v>71</v>
      </c>
      <c r="E3526" s="12" t="s">
        <v>4897</v>
      </c>
      <c r="F3526" s="38" t="s">
        <v>4898</v>
      </c>
      <c r="G3526" s="80" t="s">
        <v>16</v>
      </c>
    </row>
    <row r="3527" spans="1:27" s="10" customFormat="1" hidden="1" x14ac:dyDescent="0.25">
      <c r="A3527" s="146" t="s">
        <v>4926</v>
      </c>
      <c r="B3527" s="12" t="s">
        <v>4927</v>
      </c>
      <c r="C3527" s="13">
        <v>1</v>
      </c>
      <c r="D3527" s="22" t="s">
        <v>71</v>
      </c>
      <c r="E3527" s="12" t="s">
        <v>4928</v>
      </c>
      <c r="F3527" s="38" t="s">
        <v>4929</v>
      </c>
      <c r="G3527" s="80" t="s">
        <v>16</v>
      </c>
      <c r="H3527" s="8"/>
      <c r="I3527" s="90"/>
      <c r="J3527" s="8"/>
      <c r="K3527" s="8"/>
      <c r="L3527" s="8"/>
      <c r="M3527" s="8"/>
      <c r="N3527" s="8"/>
      <c r="O3527" s="8"/>
      <c r="P3527" s="8"/>
      <c r="Q3527" s="8"/>
      <c r="R3527" s="8"/>
      <c r="S3527" s="8"/>
      <c r="T3527" s="8"/>
      <c r="U3527" s="8"/>
      <c r="V3527" s="8"/>
      <c r="W3527" s="8"/>
      <c r="X3527" s="8"/>
      <c r="Y3527" s="8"/>
      <c r="Z3527" s="8"/>
      <c r="AA3527" s="8"/>
    </row>
    <row r="3528" spans="1:27" s="10" customFormat="1" ht="12.75" hidden="1" thickBot="1" x14ac:dyDescent="0.3">
      <c r="A3528" s="147" t="s">
        <v>5004</v>
      </c>
      <c r="B3528" s="30" t="s">
        <v>5005</v>
      </c>
      <c r="C3528" s="31">
        <v>1</v>
      </c>
      <c r="D3528" s="4" t="s">
        <v>71</v>
      </c>
      <c r="E3528" s="30" t="s">
        <v>5006</v>
      </c>
      <c r="F3528" s="246" t="s">
        <v>5007</v>
      </c>
      <c r="G3528" s="152" t="s">
        <v>16</v>
      </c>
      <c r="H3528" s="8"/>
      <c r="I3528" s="90"/>
      <c r="J3528" s="8"/>
      <c r="K3528" s="8"/>
      <c r="L3528" s="8"/>
      <c r="M3528" s="8"/>
      <c r="N3528" s="8"/>
      <c r="O3528" s="8"/>
      <c r="P3528" s="8"/>
      <c r="Q3528" s="8"/>
      <c r="R3528" s="8"/>
      <c r="S3528" s="8"/>
      <c r="T3528" s="8"/>
      <c r="U3528" s="8"/>
      <c r="V3528" s="8"/>
      <c r="W3528" s="8"/>
      <c r="X3528" s="8"/>
      <c r="Y3528" s="8"/>
      <c r="Z3528" s="8"/>
      <c r="AA3528" s="8"/>
    </row>
    <row r="3529" spans="1:27" hidden="1" x14ac:dyDescent="0.25">
      <c r="A3529" s="145" t="s">
        <v>5015</v>
      </c>
      <c r="B3529" s="61" t="s">
        <v>5016</v>
      </c>
      <c r="C3529" s="58">
        <v>1</v>
      </c>
      <c r="D3529" s="17" t="s">
        <v>71</v>
      </c>
      <c r="E3529" s="61" t="s">
        <v>5017</v>
      </c>
      <c r="F3529" s="53" t="s">
        <v>5018</v>
      </c>
      <c r="G3529" s="149" t="s">
        <v>16</v>
      </c>
    </row>
    <row r="3530" spans="1:27" hidden="1" x14ac:dyDescent="0.25">
      <c r="A3530" s="146" t="s">
        <v>5029</v>
      </c>
      <c r="B3530" s="12" t="s">
        <v>5030</v>
      </c>
      <c r="C3530" s="13">
        <v>1</v>
      </c>
      <c r="D3530" s="22" t="s">
        <v>71</v>
      </c>
      <c r="E3530" s="12" t="s">
        <v>5031</v>
      </c>
      <c r="F3530" s="22" t="s">
        <v>5032</v>
      </c>
      <c r="G3530" s="80" t="s">
        <v>16</v>
      </c>
    </row>
    <row r="3531" spans="1:27" hidden="1" x14ac:dyDescent="0.25">
      <c r="A3531" s="146" t="s">
        <v>5042</v>
      </c>
      <c r="B3531" s="12" t="s">
        <v>5043</v>
      </c>
      <c r="C3531" s="13">
        <v>1</v>
      </c>
      <c r="D3531" s="22" t="s">
        <v>71</v>
      </c>
      <c r="E3531" s="12" t="s">
        <v>5044</v>
      </c>
      <c r="F3531" s="22" t="s">
        <v>5045</v>
      </c>
      <c r="G3531" s="80" t="s">
        <v>16</v>
      </c>
    </row>
    <row r="3532" spans="1:27" hidden="1" x14ac:dyDescent="0.25">
      <c r="A3532" s="156" t="s">
        <v>5060</v>
      </c>
      <c r="B3532" s="22" t="s">
        <v>5061</v>
      </c>
      <c r="C3532" s="23">
        <v>1</v>
      </c>
      <c r="D3532" s="22" t="s">
        <v>71</v>
      </c>
      <c r="E3532" s="22" t="s">
        <v>5062</v>
      </c>
      <c r="F3532" s="22" t="s">
        <v>5063</v>
      </c>
      <c r="G3532" s="157" t="s">
        <v>16</v>
      </c>
    </row>
    <row r="3533" spans="1:27" hidden="1" x14ac:dyDescent="0.2">
      <c r="A3533" s="11" t="s">
        <v>5244</v>
      </c>
      <c r="B3533" s="12" t="s">
        <v>5245</v>
      </c>
      <c r="C3533" s="13">
        <v>1</v>
      </c>
      <c r="D3533" s="22" t="s">
        <v>71</v>
      </c>
      <c r="E3533" s="12" t="s">
        <v>5246</v>
      </c>
      <c r="F3533" s="75" t="s">
        <v>5247</v>
      </c>
      <c r="G3533" s="15" t="s">
        <v>16</v>
      </c>
    </row>
    <row r="3534" spans="1:27" hidden="1" x14ac:dyDescent="0.25">
      <c r="A3534" s="11" t="s">
        <v>5428</v>
      </c>
      <c r="B3534" s="12" t="s">
        <v>5429</v>
      </c>
      <c r="C3534" s="13">
        <v>1</v>
      </c>
      <c r="D3534" s="22" t="s">
        <v>71</v>
      </c>
      <c r="E3534" s="12" t="s">
        <v>5430</v>
      </c>
      <c r="F3534" s="22" t="s">
        <v>5431</v>
      </c>
      <c r="G3534" s="15" t="s">
        <v>16</v>
      </c>
    </row>
    <row r="3535" spans="1:27" hidden="1" x14ac:dyDescent="0.2">
      <c r="A3535" s="11" t="s">
        <v>5501</v>
      </c>
      <c r="B3535" s="12" t="s">
        <v>5502</v>
      </c>
      <c r="C3535" s="13">
        <v>1</v>
      </c>
      <c r="D3535" s="166" t="s">
        <v>5503</v>
      </c>
      <c r="E3535" s="12" t="s">
        <v>5504</v>
      </c>
      <c r="F3535" s="75" t="s">
        <v>5505</v>
      </c>
      <c r="G3535" s="15" t="s">
        <v>16</v>
      </c>
      <c r="I3535" s="90">
        <v>12</v>
      </c>
    </row>
    <row r="3536" spans="1:27" hidden="1" x14ac:dyDescent="0.25">
      <c r="A3536" s="11" t="s">
        <v>5559</v>
      </c>
      <c r="B3536" s="12" t="s">
        <v>5560</v>
      </c>
      <c r="C3536" s="13">
        <v>1</v>
      </c>
      <c r="D3536" s="22" t="s">
        <v>71</v>
      </c>
      <c r="E3536" s="22" t="s">
        <v>5561</v>
      </c>
      <c r="F3536" s="22" t="s">
        <v>5562</v>
      </c>
      <c r="G3536" s="157" t="s">
        <v>16</v>
      </c>
    </row>
    <row r="3537" spans="1:27" hidden="1" x14ac:dyDescent="0.25">
      <c r="A3537" s="11" t="s">
        <v>5627</v>
      </c>
      <c r="B3537" s="12" t="s">
        <v>5628</v>
      </c>
      <c r="C3537" s="13">
        <v>1</v>
      </c>
      <c r="D3537" s="22" t="s">
        <v>71</v>
      </c>
      <c r="E3537" s="22" t="s">
        <v>5629</v>
      </c>
      <c r="F3537" s="22" t="s">
        <v>5630</v>
      </c>
      <c r="G3537" s="157" t="s">
        <v>16</v>
      </c>
    </row>
    <row r="3538" spans="1:27" hidden="1" x14ac:dyDescent="0.25">
      <c r="A3538" s="11" t="s">
        <v>5886</v>
      </c>
      <c r="B3538" s="12" t="s">
        <v>5887</v>
      </c>
      <c r="C3538" s="13">
        <v>1</v>
      </c>
      <c r="D3538" s="22" t="s">
        <v>95</v>
      </c>
      <c r="E3538" s="12" t="s">
        <v>5888</v>
      </c>
      <c r="F3538" s="22" t="s">
        <v>5889</v>
      </c>
      <c r="G3538" s="15" t="s">
        <v>16</v>
      </c>
      <c r="I3538" s="99">
        <v>13</v>
      </c>
    </row>
    <row r="3539" spans="1:27" s="10" customFormat="1" hidden="1" x14ac:dyDescent="0.25">
      <c r="A3539" s="11" t="s">
        <v>5985</v>
      </c>
      <c r="B3539" s="12" t="s">
        <v>5986</v>
      </c>
      <c r="C3539" s="13">
        <v>1</v>
      </c>
      <c r="D3539" s="22" t="s">
        <v>71</v>
      </c>
      <c r="E3539" s="12" t="s">
        <v>5987</v>
      </c>
      <c r="F3539" s="22" t="s">
        <v>5988</v>
      </c>
      <c r="G3539" s="80" t="s">
        <v>16</v>
      </c>
      <c r="H3539" s="8"/>
      <c r="I3539" s="90"/>
      <c r="J3539" s="8"/>
      <c r="K3539" s="8"/>
      <c r="L3539" s="8"/>
      <c r="M3539" s="8"/>
      <c r="N3539" s="8"/>
      <c r="O3539" s="8"/>
      <c r="P3539" s="8"/>
      <c r="Q3539" s="8"/>
      <c r="R3539" s="8"/>
      <c r="S3539" s="8"/>
      <c r="T3539" s="8"/>
      <c r="U3539" s="8"/>
      <c r="V3539" s="8"/>
      <c r="W3539" s="8"/>
      <c r="X3539" s="8"/>
      <c r="Y3539" s="8"/>
      <c r="Z3539" s="8"/>
      <c r="AA3539" s="8"/>
    </row>
    <row r="3540" spans="1:27" s="10" customFormat="1" hidden="1" x14ac:dyDescent="0.25">
      <c r="A3540" s="11" t="s">
        <v>6000</v>
      </c>
      <c r="B3540" s="12" t="s">
        <v>6001</v>
      </c>
      <c r="C3540" s="13">
        <v>1</v>
      </c>
      <c r="D3540" s="22" t="s">
        <v>71</v>
      </c>
      <c r="E3540" s="22" t="s">
        <v>6002</v>
      </c>
      <c r="F3540" s="22" t="s">
        <v>6003</v>
      </c>
      <c r="G3540" s="15" t="s">
        <v>16</v>
      </c>
      <c r="H3540" s="8"/>
      <c r="I3540" s="90"/>
      <c r="J3540" s="8"/>
      <c r="K3540" s="8"/>
      <c r="L3540" s="8"/>
      <c r="M3540" s="8"/>
      <c r="N3540" s="8"/>
      <c r="O3540" s="8"/>
      <c r="P3540" s="8"/>
      <c r="Q3540" s="8"/>
      <c r="R3540" s="8"/>
      <c r="S3540" s="8"/>
      <c r="T3540" s="8"/>
      <c r="U3540" s="8"/>
      <c r="V3540" s="8"/>
      <c r="W3540" s="8"/>
      <c r="X3540" s="8"/>
      <c r="Y3540" s="8"/>
      <c r="Z3540" s="8"/>
      <c r="AA3540" s="8"/>
    </row>
    <row r="3541" spans="1:27" s="10" customFormat="1" hidden="1" x14ac:dyDescent="0.25">
      <c r="A3541" s="11" t="s">
        <v>6017</v>
      </c>
      <c r="B3541" s="12" t="s">
        <v>6018</v>
      </c>
      <c r="C3541" s="13">
        <v>1</v>
      </c>
      <c r="D3541" s="22" t="s">
        <v>71</v>
      </c>
      <c r="E3541" s="12" t="s">
        <v>6019</v>
      </c>
      <c r="F3541" s="22" t="s">
        <v>6020</v>
      </c>
      <c r="G3541" s="15" t="s">
        <v>16</v>
      </c>
      <c r="H3541" s="8"/>
      <c r="I3541" s="90"/>
      <c r="J3541" s="8"/>
      <c r="K3541" s="8"/>
      <c r="L3541" s="8"/>
      <c r="M3541" s="8"/>
      <c r="N3541" s="8"/>
      <c r="O3541" s="8"/>
      <c r="P3541" s="8"/>
      <c r="Q3541" s="8"/>
      <c r="R3541" s="8"/>
      <c r="S3541" s="8"/>
      <c r="T3541" s="8"/>
      <c r="U3541" s="8"/>
      <c r="V3541" s="8"/>
      <c r="W3541" s="8"/>
      <c r="X3541" s="8"/>
      <c r="Y3541" s="8"/>
      <c r="Z3541" s="8"/>
      <c r="AA3541" s="8"/>
    </row>
    <row r="3542" spans="1:27" s="10" customFormat="1" hidden="1" x14ac:dyDescent="0.25">
      <c r="A3542" s="11" t="s">
        <v>6050</v>
      </c>
      <c r="B3542" s="12" t="s">
        <v>6051</v>
      </c>
      <c r="C3542" s="13">
        <v>1</v>
      </c>
      <c r="D3542" s="22" t="s">
        <v>71</v>
      </c>
      <c r="E3542" s="12" t="s">
        <v>6052</v>
      </c>
      <c r="F3542" s="22" t="s">
        <v>6053</v>
      </c>
      <c r="G3542" s="15" t="s">
        <v>16</v>
      </c>
      <c r="H3542" s="8"/>
      <c r="I3542" s="90"/>
      <c r="J3542" s="8"/>
      <c r="K3542" s="8"/>
      <c r="L3542" s="8"/>
      <c r="M3542" s="8"/>
      <c r="N3542" s="8"/>
      <c r="O3542" s="8"/>
      <c r="P3542" s="8"/>
      <c r="Q3542" s="8"/>
      <c r="R3542" s="8"/>
      <c r="S3542" s="8"/>
      <c r="T3542" s="8"/>
      <c r="U3542" s="8"/>
      <c r="V3542" s="8"/>
      <c r="W3542" s="8"/>
      <c r="X3542" s="8"/>
      <c r="Y3542" s="8"/>
      <c r="Z3542" s="8"/>
      <c r="AA3542" s="8"/>
    </row>
    <row r="3543" spans="1:27" hidden="1" x14ac:dyDescent="0.25">
      <c r="A3543" s="11" t="s">
        <v>6086</v>
      </c>
      <c r="B3543" s="12" t="s">
        <v>6087</v>
      </c>
      <c r="C3543" s="13">
        <v>1</v>
      </c>
      <c r="D3543" s="22" t="s">
        <v>71</v>
      </c>
      <c r="E3543" s="12" t="s">
        <v>6088</v>
      </c>
      <c r="F3543" s="22" t="s">
        <v>6089</v>
      </c>
      <c r="G3543" s="15" t="s">
        <v>16</v>
      </c>
    </row>
    <row r="3544" spans="1:27" hidden="1" x14ac:dyDescent="0.25">
      <c r="A3544" s="11" t="s">
        <v>6134</v>
      </c>
      <c r="B3544" s="12" t="s">
        <v>6135</v>
      </c>
      <c r="C3544" s="13">
        <v>1</v>
      </c>
      <c r="D3544" s="22" t="s">
        <v>71</v>
      </c>
      <c r="E3544" s="12" t="s">
        <v>6136</v>
      </c>
      <c r="F3544" s="22" t="s">
        <v>6137</v>
      </c>
      <c r="G3544" s="15" t="s">
        <v>16</v>
      </c>
    </row>
    <row r="3545" spans="1:27" s="10" customFormat="1" hidden="1" x14ac:dyDescent="0.25">
      <c r="A3545" s="11" t="s">
        <v>6163</v>
      </c>
      <c r="B3545" s="12" t="s">
        <v>6164</v>
      </c>
      <c r="C3545" s="13">
        <v>1</v>
      </c>
      <c r="D3545" s="22" t="s">
        <v>71</v>
      </c>
      <c r="E3545" s="12" t="s">
        <v>6165</v>
      </c>
      <c r="F3545" s="22" t="s">
        <v>6166</v>
      </c>
      <c r="G3545" s="15" t="s">
        <v>16</v>
      </c>
      <c r="H3545" s="8"/>
      <c r="I3545" s="90"/>
      <c r="J3545" s="8"/>
      <c r="K3545" s="8"/>
      <c r="L3545" s="8"/>
      <c r="M3545" s="8"/>
      <c r="N3545" s="8"/>
      <c r="O3545" s="8"/>
      <c r="P3545" s="8"/>
      <c r="Q3545" s="8"/>
      <c r="R3545" s="8"/>
      <c r="S3545" s="8"/>
      <c r="T3545" s="8"/>
      <c r="U3545" s="8"/>
      <c r="V3545" s="8"/>
      <c r="W3545" s="8"/>
      <c r="X3545" s="8"/>
      <c r="Y3545" s="8"/>
      <c r="Z3545" s="8"/>
      <c r="AA3545" s="8"/>
    </row>
    <row r="3546" spans="1:27" s="10" customFormat="1" hidden="1" x14ac:dyDescent="0.25">
      <c r="A3546" s="11" t="s">
        <v>6252</v>
      </c>
      <c r="B3546" s="12" t="s">
        <v>6253</v>
      </c>
      <c r="C3546" s="13">
        <v>1</v>
      </c>
      <c r="D3546" s="22" t="s">
        <v>71</v>
      </c>
      <c r="E3546" s="12" t="s">
        <v>6254</v>
      </c>
      <c r="F3546" s="22" t="s">
        <v>6255</v>
      </c>
      <c r="G3546" s="15" t="s">
        <v>16</v>
      </c>
      <c r="H3546" s="8"/>
      <c r="I3546" s="90">
        <v>12</v>
      </c>
      <c r="J3546" s="8"/>
      <c r="K3546" s="8"/>
      <c r="L3546" s="8"/>
      <c r="M3546" s="8"/>
      <c r="N3546" s="8"/>
      <c r="O3546" s="8"/>
      <c r="P3546" s="8"/>
      <c r="Q3546" s="8"/>
      <c r="R3546" s="8"/>
      <c r="S3546" s="8"/>
      <c r="T3546" s="8"/>
      <c r="U3546" s="8"/>
      <c r="V3546" s="8"/>
      <c r="W3546" s="8"/>
      <c r="X3546" s="8"/>
      <c r="Y3546" s="8"/>
      <c r="Z3546" s="8"/>
      <c r="AA3546" s="8"/>
    </row>
    <row r="3547" spans="1:27" s="10" customFormat="1" hidden="1" x14ac:dyDescent="0.25">
      <c r="A3547" s="11" t="s">
        <v>6347</v>
      </c>
      <c r="B3547" s="12" t="s">
        <v>6348</v>
      </c>
      <c r="C3547" s="13">
        <v>1</v>
      </c>
      <c r="D3547" s="22" t="s">
        <v>71</v>
      </c>
      <c r="E3547" s="12" t="s">
        <v>6349</v>
      </c>
      <c r="F3547" s="22" t="s">
        <v>6350</v>
      </c>
      <c r="G3547" s="15" t="s">
        <v>16</v>
      </c>
      <c r="H3547" s="8"/>
      <c r="I3547" s="90">
        <v>12</v>
      </c>
      <c r="J3547" s="8"/>
      <c r="K3547" s="8"/>
      <c r="L3547" s="8"/>
      <c r="M3547" s="8"/>
      <c r="N3547" s="8"/>
      <c r="O3547" s="8"/>
      <c r="P3547" s="8"/>
      <c r="Q3547" s="8"/>
      <c r="R3547" s="8"/>
      <c r="S3547" s="8"/>
      <c r="T3547" s="8"/>
      <c r="U3547" s="8"/>
      <c r="V3547" s="8"/>
      <c r="W3547" s="8"/>
      <c r="X3547" s="8"/>
      <c r="Y3547" s="8"/>
      <c r="Z3547" s="8"/>
      <c r="AA3547" s="8"/>
    </row>
    <row r="3548" spans="1:27" s="10" customFormat="1" hidden="1" x14ac:dyDescent="0.25">
      <c r="A3548" s="11" t="s">
        <v>6425</v>
      </c>
      <c r="B3548" s="12" t="s">
        <v>6426</v>
      </c>
      <c r="C3548" s="13">
        <v>1</v>
      </c>
      <c r="D3548" s="22" t="s">
        <v>71</v>
      </c>
      <c r="E3548" s="12" t="s">
        <v>6427</v>
      </c>
      <c r="F3548" s="22" t="s">
        <v>6428</v>
      </c>
      <c r="G3548" s="15" t="s">
        <v>282</v>
      </c>
      <c r="H3548" s="8"/>
      <c r="I3548" s="101" t="s">
        <v>5818</v>
      </c>
      <c r="J3548" s="8"/>
      <c r="K3548" s="8"/>
      <c r="L3548" s="8"/>
      <c r="M3548" s="8"/>
      <c r="N3548" s="8"/>
      <c r="O3548" s="8"/>
      <c r="P3548" s="8"/>
      <c r="Q3548" s="8"/>
      <c r="R3548" s="8"/>
      <c r="S3548" s="8"/>
      <c r="T3548" s="8"/>
      <c r="U3548" s="8"/>
      <c r="V3548" s="8"/>
      <c r="W3548" s="8"/>
      <c r="X3548" s="8"/>
      <c r="Y3548" s="8"/>
      <c r="Z3548" s="8"/>
      <c r="AA3548" s="8"/>
    </row>
    <row r="3549" spans="1:27" s="10" customFormat="1" hidden="1" x14ac:dyDescent="0.25">
      <c r="A3549" s="11" t="s">
        <v>6434</v>
      </c>
      <c r="B3549" s="12" t="s">
        <v>6435</v>
      </c>
      <c r="C3549" s="13">
        <v>1</v>
      </c>
      <c r="D3549" s="22" t="s">
        <v>71</v>
      </c>
      <c r="E3549" s="12" t="s">
        <v>6436</v>
      </c>
      <c r="F3549" s="22" t="s">
        <v>6437</v>
      </c>
      <c r="G3549" s="15" t="s">
        <v>282</v>
      </c>
      <c r="H3549" s="8"/>
      <c r="I3549" s="101" t="s">
        <v>5818</v>
      </c>
      <c r="J3549" s="8"/>
      <c r="K3549" s="8"/>
      <c r="L3549" s="8"/>
      <c r="M3549" s="8"/>
      <c r="N3549" s="8"/>
      <c r="O3549" s="8"/>
      <c r="P3549" s="8"/>
      <c r="Q3549" s="8"/>
      <c r="R3549" s="8"/>
      <c r="S3549" s="8"/>
      <c r="T3549" s="8"/>
      <c r="U3549" s="8"/>
      <c r="V3549" s="8"/>
      <c r="W3549" s="8"/>
      <c r="X3549" s="8"/>
      <c r="Y3549" s="8"/>
      <c r="Z3549" s="8"/>
      <c r="AA3549" s="8"/>
    </row>
    <row r="3550" spans="1:27" s="10" customFormat="1" ht="12.75" hidden="1" thickBot="1" x14ac:dyDescent="0.3">
      <c r="A3550" s="3" t="s">
        <v>6442</v>
      </c>
      <c r="B3550" s="4" t="s">
        <v>6443</v>
      </c>
      <c r="C3550" s="5">
        <v>1</v>
      </c>
      <c r="D3550" s="4" t="s">
        <v>71</v>
      </c>
      <c r="E3550" s="4" t="s">
        <v>6444</v>
      </c>
      <c r="F3550" s="4" t="s">
        <v>6445</v>
      </c>
      <c r="G3550" s="7" t="s">
        <v>16</v>
      </c>
      <c r="H3550" s="38"/>
      <c r="I3550" s="39">
        <v>15</v>
      </c>
      <c r="J3550" s="38"/>
      <c r="K3550" s="38"/>
      <c r="L3550" s="38"/>
      <c r="M3550" s="38"/>
      <c r="N3550" s="38"/>
      <c r="O3550" s="38"/>
      <c r="P3550" s="38"/>
      <c r="Q3550" s="38"/>
      <c r="R3550" s="38"/>
      <c r="S3550" s="38"/>
      <c r="T3550" s="38"/>
      <c r="U3550" s="38"/>
      <c r="V3550" s="38"/>
      <c r="W3550" s="38"/>
      <c r="X3550" s="38"/>
      <c r="Y3550" s="38"/>
      <c r="Z3550" s="38"/>
      <c r="AA3550" s="38"/>
    </row>
    <row r="3551" spans="1:27" ht="24" hidden="1" x14ac:dyDescent="0.25">
      <c r="A3551" s="16" t="s">
        <v>6463</v>
      </c>
      <c r="B3551" s="17" t="s">
        <v>6464</v>
      </c>
      <c r="C3551" s="18">
        <v>1</v>
      </c>
      <c r="D3551" s="17" t="s">
        <v>71</v>
      </c>
      <c r="E3551" s="17" t="s">
        <v>6465</v>
      </c>
      <c r="F3551" s="17" t="s">
        <v>6466</v>
      </c>
      <c r="G3551" s="20" t="s">
        <v>16</v>
      </c>
      <c r="H3551" s="38"/>
      <c r="I3551" s="39">
        <v>15</v>
      </c>
      <c r="J3551" s="38"/>
      <c r="K3551" s="38"/>
      <c r="L3551" s="38"/>
      <c r="M3551" s="38"/>
      <c r="N3551" s="38"/>
      <c r="O3551" s="38"/>
      <c r="P3551" s="38"/>
      <c r="Q3551" s="38"/>
      <c r="R3551" s="38"/>
      <c r="S3551" s="38"/>
      <c r="T3551" s="38"/>
      <c r="U3551" s="38"/>
      <c r="V3551" s="38"/>
      <c r="W3551" s="38"/>
      <c r="X3551" s="38"/>
      <c r="Y3551" s="38"/>
      <c r="Z3551" s="38"/>
      <c r="AA3551" s="38"/>
    </row>
    <row r="3552" spans="1:27" ht="24" hidden="1" x14ac:dyDescent="0.25">
      <c r="A3552" s="21" t="s">
        <v>6491</v>
      </c>
      <c r="B3552" s="22" t="s">
        <v>6492</v>
      </c>
      <c r="C3552" s="23">
        <v>1</v>
      </c>
      <c r="D3552" s="22" t="s">
        <v>71</v>
      </c>
      <c r="E3552" s="22" t="s">
        <v>6493</v>
      </c>
      <c r="F3552" s="22" t="s">
        <v>6494</v>
      </c>
      <c r="G3552" s="26" t="s">
        <v>16</v>
      </c>
      <c r="H3552" s="38"/>
      <c r="I3552" s="39">
        <v>15</v>
      </c>
      <c r="J3552" s="38"/>
      <c r="K3552" s="38"/>
      <c r="L3552" s="38"/>
      <c r="M3552" s="38"/>
      <c r="N3552" s="38"/>
      <c r="O3552" s="38"/>
      <c r="P3552" s="38"/>
      <c r="Q3552" s="38"/>
      <c r="R3552" s="38"/>
      <c r="S3552" s="38"/>
      <c r="T3552" s="38"/>
      <c r="U3552" s="38"/>
      <c r="V3552" s="38"/>
      <c r="W3552" s="38"/>
      <c r="X3552" s="38"/>
      <c r="Y3552" s="38"/>
      <c r="Z3552" s="38"/>
      <c r="AA3552" s="38"/>
    </row>
    <row r="3553" spans="1:27" hidden="1" x14ac:dyDescent="0.25">
      <c r="A3553" s="21" t="s">
        <v>6518</v>
      </c>
      <c r="B3553" s="22" t="s">
        <v>6519</v>
      </c>
      <c r="C3553" s="23">
        <v>1</v>
      </c>
      <c r="D3553" s="22" t="s">
        <v>71</v>
      </c>
      <c r="E3553" s="22" t="s">
        <v>6520</v>
      </c>
      <c r="F3553" s="22" t="s">
        <v>6521</v>
      </c>
      <c r="G3553" s="26" t="s">
        <v>16</v>
      </c>
      <c r="H3553" s="38"/>
      <c r="I3553" s="39">
        <v>15</v>
      </c>
      <c r="J3553" s="38"/>
      <c r="K3553" s="38"/>
      <c r="L3553" s="38"/>
      <c r="M3553" s="38"/>
      <c r="N3553" s="38"/>
      <c r="O3553" s="38"/>
      <c r="P3553" s="38"/>
      <c r="Q3553" s="38"/>
      <c r="R3553" s="38"/>
      <c r="S3553" s="38"/>
      <c r="T3553" s="38"/>
      <c r="U3553" s="38"/>
      <c r="V3553" s="38"/>
      <c r="W3553" s="38"/>
      <c r="X3553" s="38"/>
      <c r="Y3553" s="38"/>
      <c r="Z3553" s="38"/>
      <c r="AA3553" s="38"/>
    </row>
    <row r="3554" spans="1:27" ht="24" hidden="1" x14ac:dyDescent="0.25">
      <c r="A3554" s="21" t="s">
        <v>6531</v>
      </c>
      <c r="B3554" s="22" t="s">
        <v>6532</v>
      </c>
      <c r="C3554" s="23">
        <v>1</v>
      </c>
      <c r="D3554" s="22" t="s">
        <v>71</v>
      </c>
      <c r="E3554" s="22" t="s">
        <v>6533</v>
      </c>
      <c r="F3554" s="22" t="s">
        <v>6534</v>
      </c>
      <c r="G3554" s="26" t="s">
        <v>16</v>
      </c>
      <c r="H3554" s="38"/>
      <c r="I3554" s="39">
        <v>15</v>
      </c>
      <c r="J3554" s="38"/>
      <c r="K3554" s="38"/>
      <c r="L3554" s="38"/>
      <c r="M3554" s="38"/>
      <c r="N3554" s="38"/>
      <c r="O3554" s="38"/>
      <c r="P3554" s="38"/>
      <c r="Q3554" s="38"/>
      <c r="R3554" s="38"/>
      <c r="S3554" s="38"/>
      <c r="T3554" s="38"/>
      <c r="U3554" s="38"/>
      <c r="V3554" s="38"/>
      <c r="W3554" s="38"/>
      <c r="X3554" s="38"/>
      <c r="Y3554" s="38"/>
      <c r="Z3554" s="38"/>
      <c r="AA3554" s="38"/>
    </row>
    <row r="3555" spans="1:27" hidden="1" x14ac:dyDescent="0.25">
      <c r="A3555" s="11" t="s">
        <v>6664</v>
      </c>
      <c r="B3555" s="12" t="s">
        <v>6665</v>
      </c>
      <c r="C3555" s="13">
        <v>1</v>
      </c>
      <c r="D3555" s="22" t="s">
        <v>71</v>
      </c>
      <c r="E3555" s="12" t="s">
        <v>6666</v>
      </c>
      <c r="F3555" s="22" t="s">
        <v>6667</v>
      </c>
      <c r="G3555" s="15" t="s">
        <v>16</v>
      </c>
    </row>
    <row r="3556" spans="1:27" hidden="1" x14ac:dyDescent="0.25">
      <c r="A3556" s="11" t="s">
        <v>6678</v>
      </c>
      <c r="B3556" s="12" t="s">
        <v>6679</v>
      </c>
      <c r="C3556" s="13">
        <v>1</v>
      </c>
      <c r="D3556" s="22" t="s">
        <v>71</v>
      </c>
      <c r="E3556" s="12" t="s">
        <v>6680</v>
      </c>
      <c r="F3556" s="22" t="s">
        <v>6681</v>
      </c>
      <c r="G3556" s="15" t="s">
        <v>16</v>
      </c>
    </row>
    <row r="3557" spans="1:27" hidden="1" x14ac:dyDescent="0.25">
      <c r="A3557" s="11" t="s">
        <v>6688</v>
      </c>
      <c r="B3557" s="12" t="s">
        <v>6689</v>
      </c>
      <c r="C3557" s="13">
        <v>1</v>
      </c>
      <c r="D3557" s="22" t="s">
        <v>71</v>
      </c>
      <c r="E3557" s="12" t="s">
        <v>6690</v>
      </c>
      <c r="F3557" s="22" t="s">
        <v>6691</v>
      </c>
      <c r="G3557" s="15" t="s">
        <v>16</v>
      </c>
    </row>
    <row r="3558" spans="1:27" hidden="1" x14ac:dyDescent="0.25">
      <c r="A3558" s="11" t="s">
        <v>6768</v>
      </c>
      <c r="B3558" s="12" t="s">
        <v>6769</v>
      </c>
      <c r="C3558" s="13">
        <v>1</v>
      </c>
      <c r="D3558" s="22" t="s">
        <v>71</v>
      </c>
      <c r="E3558" s="12" t="s">
        <v>6770</v>
      </c>
      <c r="F3558" s="22" t="s">
        <v>6771</v>
      </c>
      <c r="G3558" s="15" t="s">
        <v>16</v>
      </c>
    </row>
    <row r="3559" spans="1:27" hidden="1" x14ac:dyDescent="0.2">
      <c r="A3559" s="11" t="s">
        <v>570</v>
      </c>
      <c r="B3559" s="12" t="s">
        <v>571</v>
      </c>
      <c r="C3559" s="13">
        <v>1</v>
      </c>
      <c r="D3559" s="22" t="s">
        <v>572</v>
      </c>
      <c r="E3559" s="14" t="s">
        <v>573</v>
      </c>
      <c r="F3559" s="22" t="s">
        <v>574</v>
      </c>
      <c r="G3559" s="15" t="s">
        <v>16</v>
      </c>
      <c r="I3559" s="90">
        <v>12</v>
      </c>
    </row>
    <row r="3560" spans="1:27" hidden="1" x14ac:dyDescent="0.25">
      <c r="A3560" s="11" t="s">
        <v>1556</v>
      </c>
      <c r="B3560" s="12" t="s">
        <v>1557</v>
      </c>
      <c r="C3560" s="13">
        <v>1</v>
      </c>
      <c r="D3560" s="22" t="s">
        <v>572</v>
      </c>
      <c r="E3560" s="12" t="s">
        <v>1558</v>
      </c>
      <c r="F3560" s="22" t="s">
        <v>1559</v>
      </c>
      <c r="G3560" s="15" t="s">
        <v>16</v>
      </c>
      <c r="I3560" s="90">
        <v>12</v>
      </c>
    </row>
    <row r="3561" spans="1:27" hidden="1" x14ac:dyDescent="0.25">
      <c r="A3561" s="11" t="s">
        <v>659</v>
      </c>
      <c r="B3561" s="12" t="s">
        <v>660</v>
      </c>
      <c r="C3561" s="13">
        <v>4</v>
      </c>
      <c r="D3561" s="22" t="s">
        <v>665</v>
      </c>
      <c r="E3561" s="12" t="s">
        <v>661</v>
      </c>
      <c r="F3561" s="22" t="s">
        <v>666</v>
      </c>
      <c r="G3561" s="15" t="s">
        <v>16</v>
      </c>
      <c r="I3561" s="99">
        <v>13</v>
      </c>
    </row>
    <row r="3562" spans="1:27" hidden="1" x14ac:dyDescent="0.25">
      <c r="A3562" s="11" t="s">
        <v>1464</v>
      </c>
      <c r="B3562" s="12" t="s">
        <v>1465</v>
      </c>
      <c r="C3562" s="13">
        <v>20</v>
      </c>
      <c r="D3562" s="12" t="s">
        <v>1500</v>
      </c>
      <c r="E3562" s="12" t="s">
        <v>1466</v>
      </c>
      <c r="F3562" s="12" t="s">
        <v>1501</v>
      </c>
      <c r="G3562" s="15" t="s">
        <v>16</v>
      </c>
      <c r="I3562" s="94">
        <v>14</v>
      </c>
    </row>
    <row r="3563" spans="1:27" ht="15" hidden="1" x14ac:dyDescent="0.25">
      <c r="A3563" s="11" t="s">
        <v>2215</v>
      </c>
      <c r="B3563" s="8" t="s">
        <v>2216</v>
      </c>
      <c r="C3563" s="13">
        <v>7</v>
      </c>
      <c r="D3563" s="12" t="s">
        <v>2229</v>
      </c>
      <c r="E3563" s="12" t="s">
        <v>2217</v>
      </c>
      <c r="F3563" s="12" t="s">
        <v>2230</v>
      </c>
      <c r="G3563" s="15" t="s">
        <v>16</v>
      </c>
      <c r="I3563" s="54">
        <v>15</v>
      </c>
      <c r="J3563" s="60"/>
    </row>
    <row r="3564" spans="1:27" hidden="1" x14ac:dyDescent="0.2">
      <c r="A3564" s="146" t="s">
        <v>5060</v>
      </c>
      <c r="B3564" s="12" t="s">
        <v>5061</v>
      </c>
      <c r="C3564" s="13">
        <v>17</v>
      </c>
      <c r="D3564" s="14" t="s">
        <v>5089</v>
      </c>
      <c r="E3564" s="12" t="s">
        <v>5062</v>
      </c>
      <c r="F3564" s="12" t="s">
        <v>5090</v>
      </c>
      <c r="G3564" s="80" t="s">
        <v>16</v>
      </c>
    </row>
    <row r="3565" spans="1:27" hidden="1" x14ac:dyDescent="0.2">
      <c r="A3565" s="146" t="s">
        <v>5060</v>
      </c>
      <c r="B3565" s="12" t="s">
        <v>5061</v>
      </c>
      <c r="C3565" s="13">
        <v>16</v>
      </c>
      <c r="D3565" s="14" t="s">
        <v>5087</v>
      </c>
      <c r="E3565" s="12" t="s">
        <v>5062</v>
      </c>
      <c r="F3565" s="12" t="s">
        <v>5088</v>
      </c>
      <c r="G3565" s="80" t="s">
        <v>16</v>
      </c>
    </row>
    <row r="3566" spans="1:27" s="10" customFormat="1" hidden="1" x14ac:dyDescent="0.2">
      <c r="A3566" s="11" t="s">
        <v>362</v>
      </c>
      <c r="B3566" s="12" t="s">
        <v>363</v>
      </c>
      <c r="C3566" s="13">
        <v>11</v>
      </c>
      <c r="D3566" s="14" t="s">
        <v>382</v>
      </c>
      <c r="E3566" s="12" t="s">
        <v>364</v>
      </c>
      <c r="F3566" s="12" t="s">
        <v>383</v>
      </c>
      <c r="G3566" s="15" t="s">
        <v>16</v>
      </c>
      <c r="H3566" s="8"/>
      <c r="I3566" s="90"/>
      <c r="J3566" s="8"/>
      <c r="K3566" s="8"/>
      <c r="L3566" s="8"/>
      <c r="M3566" s="8"/>
      <c r="N3566" s="8"/>
      <c r="O3566" s="8"/>
      <c r="P3566" s="8"/>
      <c r="Q3566" s="8"/>
      <c r="R3566" s="8"/>
      <c r="S3566" s="8"/>
      <c r="T3566" s="8"/>
      <c r="U3566" s="8"/>
      <c r="V3566" s="8"/>
      <c r="W3566" s="8"/>
      <c r="X3566" s="8"/>
      <c r="Y3566" s="8"/>
      <c r="Z3566" s="8"/>
      <c r="AA3566" s="8"/>
    </row>
    <row r="3567" spans="1:27" s="10" customFormat="1" hidden="1" x14ac:dyDescent="0.25">
      <c r="A3567" s="11" t="s">
        <v>641</v>
      </c>
      <c r="B3567" s="12" t="s">
        <v>642</v>
      </c>
      <c r="C3567" s="13">
        <v>8</v>
      </c>
      <c r="D3567" s="12" t="s">
        <v>655</v>
      </c>
      <c r="E3567" s="12" t="s">
        <v>643</v>
      </c>
      <c r="F3567" s="12" t="s">
        <v>656</v>
      </c>
      <c r="G3567" s="15" t="s">
        <v>16</v>
      </c>
      <c r="H3567" s="8"/>
      <c r="I3567" s="99">
        <v>13</v>
      </c>
      <c r="J3567" s="8"/>
      <c r="K3567" s="8"/>
      <c r="L3567" s="8"/>
      <c r="M3567" s="8"/>
      <c r="N3567" s="8"/>
      <c r="O3567" s="8"/>
      <c r="P3567" s="8"/>
      <c r="Q3567" s="8"/>
      <c r="R3567" s="8"/>
      <c r="S3567" s="8"/>
      <c r="T3567" s="8"/>
      <c r="U3567" s="8"/>
      <c r="V3567" s="8"/>
      <c r="W3567" s="8"/>
      <c r="X3567" s="8"/>
      <c r="Y3567" s="8"/>
      <c r="Z3567" s="8"/>
      <c r="AA3567" s="8"/>
    </row>
    <row r="3568" spans="1:27" s="10" customFormat="1" hidden="1" x14ac:dyDescent="0.25">
      <c r="A3568" s="11" t="s">
        <v>6189</v>
      </c>
      <c r="B3568" s="12" t="s">
        <v>6190</v>
      </c>
      <c r="C3568" s="13">
        <f>C3567+1</f>
        <v>9</v>
      </c>
      <c r="D3568" s="22" t="s">
        <v>6197</v>
      </c>
      <c r="E3568" s="12" t="s">
        <v>6191</v>
      </c>
      <c r="F3568" s="22" t="s">
        <v>6198</v>
      </c>
      <c r="G3568" s="15" t="s">
        <v>16</v>
      </c>
      <c r="H3568" s="8"/>
      <c r="I3568" s="90">
        <v>12</v>
      </c>
      <c r="J3568" s="8"/>
      <c r="K3568" s="8"/>
      <c r="L3568" s="8"/>
      <c r="M3568" s="8"/>
      <c r="N3568" s="8"/>
      <c r="O3568" s="8"/>
      <c r="P3568" s="8"/>
      <c r="Q3568" s="8"/>
      <c r="R3568" s="8"/>
      <c r="S3568" s="8"/>
      <c r="T3568" s="8"/>
      <c r="U3568" s="8"/>
      <c r="V3568" s="8"/>
      <c r="W3568" s="8"/>
      <c r="X3568" s="8"/>
      <c r="Y3568" s="8"/>
      <c r="Z3568" s="8"/>
      <c r="AA3568" s="8"/>
    </row>
    <row r="3569" spans="1:27" s="10" customFormat="1" hidden="1" x14ac:dyDescent="0.25">
      <c r="A3569" s="11" t="s">
        <v>6371</v>
      </c>
      <c r="B3569" s="12" t="s">
        <v>6372</v>
      </c>
      <c r="C3569" s="13">
        <v>4</v>
      </c>
      <c r="D3569" s="22" t="s">
        <v>6377</v>
      </c>
      <c r="E3569" s="12" t="s">
        <v>6373</v>
      </c>
      <c r="F3569" s="22" t="s">
        <v>6378</v>
      </c>
      <c r="G3569" s="15" t="s">
        <v>16</v>
      </c>
      <c r="H3569" s="8"/>
      <c r="I3569" s="99">
        <v>13</v>
      </c>
      <c r="J3569" s="8"/>
      <c r="K3569" s="8"/>
      <c r="L3569" s="8"/>
      <c r="M3569" s="8"/>
      <c r="N3569" s="8"/>
      <c r="O3569" s="8"/>
      <c r="P3569" s="8"/>
      <c r="Q3569" s="8"/>
      <c r="R3569" s="8"/>
      <c r="S3569" s="8"/>
      <c r="T3569" s="8"/>
      <c r="U3569" s="8"/>
      <c r="V3569" s="8"/>
      <c r="W3569" s="8"/>
      <c r="X3569" s="8"/>
      <c r="Y3569" s="8"/>
      <c r="Z3569" s="8"/>
      <c r="AA3569" s="8"/>
    </row>
    <row r="3570" spans="1:27" s="10" customFormat="1" hidden="1" x14ac:dyDescent="0.2">
      <c r="A3570" s="11" t="s">
        <v>6614</v>
      </c>
      <c r="B3570" s="12" t="s">
        <v>6615</v>
      </c>
      <c r="C3570" s="13">
        <v>4</v>
      </c>
      <c r="D3570" s="37" t="s">
        <v>6197</v>
      </c>
      <c r="E3570" s="12" t="s">
        <v>6616</v>
      </c>
      <c r="F3570" s="22" t="s">
        <v>6620</v>
      </c>
      <c r="G3570" s="15" t="s">
        <v>16</v>
      </c>
      <c r="H3570" s="8"/>
      <c r="I3570" s="90"/>
      <c r="J3570" s="8"/>
      <c r="K3570" s="8"/>
      <c r="L3570" s="8"/>
      <c r="M3570" s="8"/>
      <c r="N3570" s="8"/>
      <c r="O3570" s="8"/>
      <c r="P3570" s="8"/>
      <c r="Q3570" s="8"/>
      <c r="R3570" s="8"/>
      <c r="S3570" s="8"/>
      <c r="T3570" s="8"/>
      <c r="U3570" s="8"/>
      <c r="V3570" s="8"/>
      <c r="W3570" s="8"/>
      <c r="X3570" s="8"/>
      <c r="Y3570" s="8"/>
      <c r="Z3570" s="8"/>
      <c r="AA3570" s="8"/>
    </row>
    <row r="3571" spans="1:27" s="10" customFormat="1" hidden="1" x14ac:dyDescent="0.2">
      <c r="A3571" s="11" t="s">
        <v>319</v>
      </c>
      <c r="B3571" s="12" t="s">
        <v>320</v>
      </c>
      <c r="C3571" s="13">
        <v>4</v>
      </c>
      <c r="D3571" s="37" t="s">
        <v>325</v>
      </c>
      <c r="E3571" s="12" t="s">
        <v>321</v>
      </c>
      <c r="F3571" s="22" t="s">
        <v>326</v>
      </c>
      <c r="G3571" s="15" t="s">
        <v>16</v>
      </c>
      <c r="H3571" s="8"/>
      <c r="I3571" s="90"/>
      <c r="J3571" s="8"/>
      <c r="K3571" s="8"/>
      <c r="L3571" s="8"/>
      <c r="M3571" s="8"/>
      <c r="N3571" s="8"/>
      <c r="O3571" s="8"/>
      <c r="P3571" s="8"/>
      <c r="Q3571" s="8"/>
      <c r="R3571" s="8"/>
      <c r="S3571" s="8"/>
      <c r="T3571" s="8"/>
      <c r="U3571" s="8"/>
      <c r="V3571" s="8"/>
      <c r="W3571" s="8"/>
      <c r="X3571" s="8"/>
      <c r="Y3571" s="8"/>
      <c r="Z3571" s="8"/>
      <c r="AA3571" s="8"/>
    </row>
    <row r="3572" spans="1:27" s="10" customFormat="1" hidden="1" x14ac:dyDescent="0.2">
      <c r="A3572" s="11" t="s">
        <v>2369</v>
      </c>
      <c r="B3572" s="12" t="s">
        <v>2370</v>
      </c>
      <c r="C3572" s="13">
        <v>5</v>
      </c>
      <c r="D3572" s="37" t="s">
        <v>2376</v>
      </c>
      <c r="E3572" s="12" t="s">
        <v>2371</v>
      </c>
      <c r="F3572" s="22" t="s">
        <v>2377</v>
      </c>
      <c r="G3572" s="15" t="s">
        <v>16</v>
      </c>
      <c r="H3572" s="8"/>
      <c r="I3572" s="90"/>
      <c r="J3572" s="8"/>
      <c r="K3572" s="8"/>
      <c r="L3572" s="8"/>
      <c r="M3572" s="8"/>
      <c r="N3572" s="8"/>
      <c r="O3572" s="8"/>
      <c r="P3572" s="8"/>
      <c r="Q3572" s="8"/>
      <c r="R3572" s="8"/>
      <c r="S3572" s="8"/>
      <c r="T3572" s="8"/>
      <c r="U3572" s="8"/>
      <c r="V3572" s="8"/>
      <c r="W3572" s="8"/>
      <c r="X3572" s="8"/>
      <c r="Y3572" s="8"/>
      <c r="Z3572" s="8"/>
      <c r="AA3572" s="8"/>
    </row>
    <row r="3573" spans="1:27" s="10" customFormat="1" ht="12.75" hidden="1" thickBot="1" x14ac:dyDescent="0.25">
      <c r="A3573" s="36" t="s">
        <v>484</v>
      </c>
      <c r="B3573" s="30" t="s">
        <v>485</v>
      </c>
      <c r="C3573" s="31">
        <v>8</v>
      </c>
      <c r="D3573" s="69" t="s">
        <v>498</v>
      </c>
      <c r="E3573" s="30" t="s">
        <v>486</v>
      </c>
      <c r="F3573" s="30" t="s">
        <v>499</v>
      </c>
      <c r="G3573" s="33" t="s">
        <v>16</v>
      </c>
      <c r="H3573" s="8"/>
      <c r="I3573" s="90"/>
      <c r="J3573" s="8"/>
      <c r="K3573" s="8"/>
      <c r="L3573" s="8"/>
      <c r="M3573" s="8"/>
      <c r="N3573" s="8"/>
      <c r="O3573" s="8"/>
      <c r="P3573" s="8"/>
      <c r="Q3573" s="8"/>
      <c r="R3573" s="8"/>
      <c r="S3573" s="8"/>
      <c r="T3573" s="8"/>
      <c r="U3573" s="8"/>
      <c r="V3573" s="8"/>
      <c r="W3573" s="8"/>
      <c r="X3573" s="8"/>
      <c r="Y3573" s="8"/>
      <c r="Z3573" s="8"/>
      <c r="AA3573" s="8"/>
    </row>
    <row r="3574" spans="1:27" hidden="1" x14ac:dyDescent="0.25">
      <c r="A3574" s="56" t="s">
        <v>1505</v>
      </c>
      <c r="B3574" s="61" t="s">
        <v>1506</v>
      </c>
      <c r="C3574" s="58">
        <v>8</v>
      </c>
      <c r="D3574" s="61" t="s">
        <v>498</v>
      </c>
      <c r="E3574" s="61" t="s">
        <v>1507</v>
      </c>
      <c r="F3574" s="61" t="s">
        <v>1515</v>
      </c>
      <c r="G3574" s="62" t="s">
        <v>16</v>
      </c>
    </row>
    <row r="3575" spans="1:27" hidden="1" x14ac:dyDescent="0.25">
      <c r="A3575" s="11" t="s">
        <v>1519</v>
      </c>
      <c r="B3575" s="12" t="s">
        <v>1520</v>
      </c>
      <c r="C3575" s="13">
        <v>8</v>
      </c>
      <c r="D3575" s="12" t="s">
        <v>498</v>
      </c>
      <c r="E3575" s="12" t="s">
        <v>1521</v>
      </c>
      <c r="F3575" s="12" t="s">
        <v>1530</v>
      </c>
      <c r="G3575" s="15" t="s">
        <v>16</v>
      </c>
    </row>
    <row r="3576" spans="1:27" hidden="1" x14ac:dyDescent="0.25">
      <c r="A3576" s="11" t="s">
        <v>2114</v>
      </c>
      <c r="B3576" s="12" t="s">
        <v>2115</v>
      </c>
      <c r="C3576" s="13">
        <v>9</v>
      </c>
      <c r="D3576" s="41" t="s">
        <v>498</v>
      </c>
      <c r="E3576" s="12" t="s">
        <v>2116</v>
      </c>
      <c r="F3576" s="12" t="s">
        <v>2126</v>
      </c>
      <c r="G3576" s="15" t="s">
        <v>16</v>
      </c>
    </row>
    <row r="3577" spans="1:27" hidden="1" x14ac:dyDescent="0.2">
      <c r="A3577" s="146" t="s">
        <v>4771</v>
      </c>
      <c r="B3577" s="12" t="s">
        <v>4772</v>
      </c>
      <c r="C3577" s="13">
        <v>12</v>
      </c>
      <c r="D3577" s="12" t="s">
        <v>4790</v>
      </c>
      <c r="E3577" s="12" t="s">
        <v>4773</v>
      </c>
      <c r="F3577" s="12" t="s">
        <v>4791</v>
      </c>
      <c r="G3577" s="66" t="s">
        <v>16</v>
      </c>
    </row>
    <row r="3578" spans="1:27" hidden="1" x14ac:dyDescent="0.25">
      <c r="A3578" s="146" t="s">
        <v>4800</v>
      </c>
      <c r="B3578" s="8" t="s">
        <v>4801</v>
      </c>
      <c r="C3578" s="150">
        <v>12</v>
      </c>
      <c r="D3578" s="8" t="s">
        <v>4790</v>
      </c>
      <c r="E3578" s="8" t="s">
        <v>4802</v>
      </c>
      <c r="F3578" s="8" t="s">
        <v>4816</v>
      </c>
      <c r="G3578" s="80" t="s">
        <v>16</v>
      </c>
    </row>
    <row r="3579" spans="1:27" hidden="1" x14ac:dyDescent="0.2">
      <c r="A3579" s="146" t="s">
        <v>4771</v>
      </c>
      <c r="B3579" s="12" t="s">
        <v>4772</v>
      </c>
      <c r="C3579" s="13">
        <v>11</v>
      </c>
      <c r="D3579" s="12" t="s">
        <v>4788</v>
      </c>
      <c r="E3579" s="12" t="s">
        <v>4773</v>
      </c>
      <c r="F3579" s="12" t="s">
        <v>4789</v>
      </c>
      <c r="G3579" s="66" t="s">
        <v>16</v>
      </c>
    </row>
    <row r="3580" spans="1:27" hidden="1" x14ac:dyDescent="0.25">
      <c r="A3580" s="146" t="s">
        <v>4800</v>
      </c>
      <c r="B3580" s="8" t="s">
        <v>4801</v>
      </c>
      <c r="C3580" s="150">
        <v>11</v>
      </c>
      <c r="D3580" s="8" t="s">
        <v>4788</v>
      </c>
      <c r="E3580" s="8" t="s">
        <v>4802</v>
      </c>
      <c r="F3580" s="8" t="s">
        <v>4815</v>
      </c>
      <c r="G3580" s="80" t="s">
        <v>16</v>
      </c>
    </row>
    <row r="3581" spans="1:27" hidden="1" x14ac:dyDescent="0.2">
      <c r="A3581" s="11" t="s">
        <v>319</v>
      </c>
      <c r="B3581" s="12" t="s">
        <v>320</v>
      </c>
      <c r="C3581" s="13">
        <v>10</v>
      </c>
      <c r="D3581" s="14" t="s">
        <v>338</v>
      </c>
      <c r="E3581" s="12" t="s">
        <v>321</v>
      </c>
      <c r="F3581" s="12" t="s">
        <v>339</v>
      </c>
      <c r="G3581" s="15" t="s">
        <v>16</v>
      </c>
    </row>
    <row r="3582" spans="1:27" hidden="1" x14ac:dyDescent="0.25">
      <c r="A3582" s="11" t="s">
        <v>1260</v>
      </c>
      <c r="B3582" s="12" t="s">
        <v>1261</v>
      </c>
      <c r="C3582" s="13">
        <v>10</v>
      </c>
      <c r="D3582" s="12" t="s">
        <v>338</v>
      </c>
      <c r="E3582" s="12" t="s">
        <v>1262</v>
      </c>
      <c r="F3582" s="12" t="s">
        <v>1278</v>
      </c>
      <c r="G3582" s="15" t="s">
        <v>16</v>
      </c>
    </row>
    <row r="3583" spans="1:27" hidden="1" x14ac:dyDescent="0.25">
      <c r="A3583" s="11" t="s">
        <v>1294</v>
      </c>
      <c r="B3583" s="12" t="s">
        <v>1295</v>
      </c>
      <c r="C3583" s="13">
        <v>10</v>
      </c>
      <c r="D3583" s="12" t="s">
        <v>338</v>
      </c>
      <c r="E3583" s="12" t="s">
        <v>1296</v>
      </c>
      <c r="F3583" s="12" t="s">
        <v>1309</v>
      </c>
      <c r="G3583" s="15" t="s">
        <v>16</v>
      </c>
    </row>
    <row r="3584" spans="1:27" ht="12.75" hidden="1" thickBot="1" x14ac:dyDescent="0.25">
      <c r="A3584" s="36" t="s">
        <v>1242</v>
      </c>
      <c r="B3584" s="30" t="s">
        <v>1243</v>
      </c>
      <c r="C3584" s="31">
        <v>7</v>
      </c>
      <c r="D3584" s="69" t="s">
        <v>1255</v>
      </c>
      <c r="E3584" s="30" t="s">
        <v>1244</v>
      </c>
      <c r="F3584" s="30" t="s">
        <v>1256</v>
      </c>
      <c r="G3584" s="33" t="s">
        <v>16</v>
      </c>
    </row>
    <row r="3585" spans="1:27" hidden="1" x14ac:dyDescent="0.2">
      <c r="A3585" s="16" t="s">
        <v>890</v>
      </c>
      <c r="B3585" s="17" t="s">
        <v>891</v>
      </c>
      <c r="C3585" s="18">
        <v>4</v>
      </c>
      <c r="D3585" s="103" t="s">
        <v>896</v>
      </c>
      <c r="E3585" s="17" t="s">
        <v>892</v>
      </c>
      <c r="F3585" s="17" t="s">
        <v>897</v>
      </c>
      <c r="G3585" s="20" t="s">
        <v>16</v>
      </c>
      <c r="H3585" s="38"/>
      <c r="I3585" s="39">
        <v>15</v>
      </c>
      <c r="J3585" s="38"/>
      <c r="K3585" s="38"/>
      <c r="L3585" s="38"/>
      <c r="M3585" s="38"/>
      <c r="N3585" s="38"/>
      <c r="O3585" s="38"/>
      <c r="P3585" s="38"/>
      <c r="Q3585" s="38"/>
      <c r="R3585" s="38"/>
      <c r="S3585" s="38"/>
      <c r="T3585" s="38"/>
      <c r="U3585" s="38"/>
      <c r="V3585" s="38"/>
      <c r="W3585" s="38"/>
      <c r="X3585" s="38"/>
      <c r="Y3585" s="38"/>
      <c r="Z3585" s="38"/>
      <c r="AA3585" s="38"/>
    </row>
    <row r="3586" spans="1:27" hidden="1" x14ac:dyDescent="0.2">
      <c r="A3586" s="146" t="s">
        <v>5060</v>
      </c>
      <c r="B3586" s="12" t="s">
        <v>5061</v>
      </c>
      <c r="C3586" s="13">
        <v>15</v>
      </c>
      <c r="D3586" s="14" t="s">
        <v>5085</v>
      </c>
      <c r="E3586" s="12" t="s">
        <v>5062</v>
      </c>
      <c r="F3586" s="12" t="s">
        <v>5086</v>
      </c>
      <c r="G3586" s="80" t="s">
        <v>16</v>
      </c>
    </row>
    <row r="3587" spans="1:27" hidden="1" x14ac:dyDescent="0.2">
      <c r="A3587" s="146" t="s">
        <v>5060</v>
      </c>
      <c r="B3587" s="12" t="s">
        <v>5061</v>
      </c>
      <c r="C3587" s="13">
        <v>14</v>
      </c>
      <c r="D3587" s="14" t="s">
        <v>5083</v>
      </c>
      <c r="E3587" s="12" t="s">
        <v>5062</v>
      </c>
      <c r="F3587" s="12" t="s">
        <v>5084</v>
      </c>
      <c r="G3587" s="80" t="s">
        <v>16</v>
      </c>
    </row>
    <row r="3588" spans="1:27" hidden="1" x14ac:dyDescent="0.2">
      <c r="A3588" s="11" t="s">
        <v>362</v>
      </c>
      <c r="B3588" s="12" t="s">
        <v>363</v>
      </c>
      <c r="C3588" s="13">
        <v>10</v>
      </c>
      <c r="D3588" s="14" t="s">
        <v>380</v>
      </c>
      <c r="E3588" s="12" t="s">
        <v>364</v>
      </c>
      <c r="F3588" s="12" t="s">
        <v>381</v>
      </c>
      <c r="G3588" s="15" t="s">
        <v>16</v>
      </c>
    </row>
    <row r="3589" spans="1:27" ht="24.75" hidden="1" thickBot="1" x14ac:dyDescent="0.25">
      <c r="A3589" s="3" t="s">
        <v>871</v>
      </c>
      <c r="B3589" s="4" t="s">
        <v>872</v>
      </c>
      <c r="C3589" s="5">
        <v>4</v>
      </c>
      <c r="D3589" s="6" t="s">
        <v>877</v>
      </c>
      <c r="E3589" s="4" t="s">
        <v>873</v>
      </c>
      <c r="F3589" s="4" t="s">
        <v>878</v>
      </c>
      <c r="G3589" s="7" t="s">
        <v>16</v>
      </c>
      <c r="H3589" s="38"/>
      <c r="I3589" s="39">
        <v>15</v>
      </c>
      <c r="J3589" s="38"/>
      <c r="K3589" s="38"/>
      <c r="L3589" s="38"/>
      <c r="M3589" s="38"/>
      <c r="N3589" s="38"/>
      <c r="O3589" s="38"/>
      <c r="P3589" s="38"/>
      <c r="Q3589" s="38"/>
      <c r="R3589" s="38"/>
      <c r="S3589" s="38"/>
      <c r="T3589" s="38"/>
      <c r="U3589" s="38"/>
      <c r="V3589" s="38"/>
      <c r="W3589" s="38"/>
      <c r="X3589" s="38"/>
      <c r="Y3589" s="38"/>
      <c r="Z3589" s="38"/>
      <c r="AA3589" s="38"/>
    </row>
    <row r="3590" spans="1:27" ht="24" hidden="1" x14ac:dyDescent="0.2">
      <c r="A3590" s="16" t="s">
        <v>882</v>
      </c>
      <c r="B3590" s="22" t="s">
        <v>883</v>
      </c>
      <c r="C3590" s="23">
        <v>4</v>
      </c>
      <c r="D3590" s="37" t="s">
        <v>877</v>
      </c>
      <c r="E3590" s="22" t="s">
        <v>884</v>
      </c>
      <c r="F3590" s="22" t="s">
        <v>888</v>
      </c>
      <c r="G3590" s="26" t="s">
        <v>16</v>
      </c>
      <c r="H3590" s="38"/>
      <c r="I3590" s="39">
        <v>15</v>
      </c>
      <c r="J3590" s="38"/>
      <c r="K3590" s="38"/>
      <c r="L3590" s="38"/>
      <c r="M3590" s="38"/>
      <c r="N3590" s="38"/>
      <c r="O3590" s="38"/>
      <c r="P3590" s="38"/>
      <c r="Q3590" s="38"/>
      <c r="R3590" s="38"/>
      <c r="S3590" s="38"/>
      <c r="T3590" s="38"/>
      <c r="U3590" s="38"/>
      <c r="V3590" s="38"/>
      <c r="W3590" s="38"/>
      <c r="X3590" s="38"/>
      <c r="Y3590" s="38"/>
      <c r="Z3590" s="38"/>
      <c r="AA3590" s="38"/>
    </row>
    <row r="3591" spans="1:27" hidden="1" x14ac:dyDescent="0.2">
      <c r="A3591" s="11" t="s">
        <v>1242</v>
      </c>
      <c r="B3591" s="12" t="s">
        <v>1243</v>
      </c>
      <c r="C3591" s="13">
        <v>6</v>
      </c>
      <c r="D3591" s="37" t="s">
        <v>1253</v>
      </c>
      <c r="E3591" s="12" t="s">
        <v>1244</v>
      </c>
      <c r="F3591" s="22" t="s">
        <v>1254</v>
      </c>
      <c r="G3591" s="15" t="s">
        <v>16</v>
      </c>
    </row>
    <row r="3592" spans="1:27" ht="15" hidden="1" x14ac:dyDescent="0.25">
      <c r="A3592" s="11" t="s">
        <v>6286</v>
      </c>
      <c r="B3592" s="12" t="s">
        <v>6287</v>
      </c>
      <c r="C3592" s="13">
        <f>C3591+1</f>
        <v>7</v>
      </c>
      <c r="D3592" s="12" t="s">
        <v>6309</v>
      </c>
      <c r="E3592" s="12" t="s">
        <v>6288</v>
      </c>
      <c r="F3592" s="12" t="s">
        <v>6310</v>
      </c>
      <c r="G3592" s="15" t="s">
        <v>16</v>
      </c>
      <c r="I3592" s="9">
        <v>15</v>
      </c>
      <c r="J3592" s="52"/>
    </row>
    <row r="3593" spans="1:27" hidden="1" x14ac:dyDescent="0.25">
      <c r="A3593" s="11" t="s">
        <v>1464</v>
      </c>
      <c r="B3593" s="12" t="s">
        <v>1465</v>
      </c>
      <c r="C3593" s="13">
        <v>8</v>
      </c>
      <c r="D3593" s="12" t="s">
        <v>1478</v>
      </c>
      <c r="E3593" s="12" t="s">
        <v>1466</v>
      </c>
      <c r="F3593" s="12" t="s">
        <v>1479</v>
      </c>
      <c r="G3593" s="15" t="s">
        <v>16</v>
      </c>
    </row>
    <row r="3594" spans="1:27" hidden="1" x14ac:dyDescent="0.2">
      <c r="A3594" s="11" t="s">
        <v>362</v>
      </c>
      <c r="B3594" s="12" t="s">
        <v>363</v>
      </c>
      <c r="C3594" s="13">
        <v>9</v>
      </c>
      <c r="D3594" s="14" t="s">
        <v>378</v>
      </c>
      <c r="E3594" s="12" t="s">
        <v>364</v>
      </c>
      <c r="F3594" s="12" t="s">
        <v>379</v>
      </c>
      <c r="G3594" s="15" t="s">
        <v>16</v>
      </c>
    </row>
    <row r="3595" spans="1:27" hidden="1" x14ac:dyDescent="0.2">
      <c r="A3595" s="11" t="s">
        <v>520</v>
      </c>
      <c r="B3595" s="12" t="s">
        <v>521</v>
      </c>
      <c r="C3595" s="13">
        <v>6</v>
      </c>
      <c r="D3595" s="12" t="s">
        <v>530</v>
      </c>
      <c r="E3595" s="14" t="s">
        <v>522</v>
      </c>
      <c r="F3595" s="12" t="s">
        <v>531</v>
      </c>
      <c r="G3595" s="15" t="s">
        <v>16</v>
      </c>
    </row>
    <row r="3596" spans="1:27" hidden="1" x14ac:dyDescent="0.2">
      <c r="A3596" s="46" t="s">
        <v>3034</v>
      </c>
      <c r="B3596" s="12" t="s">
        <v>3035</v>
      </c>
      <c r="C3596" s="13">
        <f>+C3595+1</f>
        <v>7</v>
      </c>
      <c r="D3596" s="14" t="s">
        <v>3093</v>
      </c>
      <c r="E3596" s="12" t="s">
        <v>3036</v>
      </c>
      <c r="F3596" s="65" t="s">
        <v>3094</v>
      </c>
      <c r="G3596" s="66" t="s">
        <v>16</v>
      </c>
    </row>
    <row r="3597" spans="1:27" s="10" customFormat="1" ht="15" hidden="1" x14ac:dyDescent="0.25">
      <c r="A3597" s="46" t="s">
        <v>5523</v>
      </c>
      <c r="B3597" s="12" t="s">
        <v>5524</v>
      </c>
      <c r="C3597" s="13">
        <v>12</v>
      </c>
      <c r="D3597" s="14" t="s">
        <v>5548</v>
      </c>
      <c r="E3597" s="12" t="s">
        <v>5526</v>
      </c>
      <c r="F3597" s="65" t="s">
        <v>5549</v>
      </c>
      <c r="G3597" s="77" t="s">
        <v>1323</v>
      </c>
      <c r="H3597" s="8"/>
      <c r="I3597" s="9">
        <v>15</v>
      </c>
      <c r="J3597" s="52"/>
      <c r="K3597" s="8"/>
      <c r="L3597" s="8"/>
      <c r="M3597" s="8"/>
      <c r="N3597" s="8"/>
      <c r="O3597" s="8"/>
      <c r="P3597" s="8"/>
      <c r="Q3597" s="8"/>
      <c r="R3597" s="8"/>
      <c r="S3597" s="8"/>
      <c r="T3597" s="8"/>
      <c r="U3597" s="8"/>
      <c r="V3597" s="8"/>
      <c r="W3597" s="8"/>
      <c r="X3597" s="8"/>
      <c r="Y3597" s="8"/>
      <c r="Z3597" s="8"/>
      <c r="AA3597" s="8"/>
    </row>
    <row r="3598" spans="1:27" hidden="1" x14ac:dyDescent="0.25">
      <c r="A3598" s="58" t="s">
        <v>4817</v>
      </c>
      <c r="B3598" s="61" t="s">
        <v>4818</v>
      </c>
      <c r="C3598" s="58">
        <v>5</v>
      </c>
      <c r="D3598" s="17" t="s">
        <v>4824</v>
      </c>
      <c r="E3598" s="61" t="s">
        <v>4819</v>
      </c>
      <c r="F3598" s="53" t="s">
        <v>4825</v>
      </c>
      <c r="G3598" s="149" t="s">
        <v>13</v>
      </c>
    </row>
    <row r="3599" spans="1:27" hidden="1" x14ac:dyDescent="0.2">
      <c r="A3599" s="46" t="s">
        <v>6979</v>
      </c>
      <c r="B3599" s="12" t="s">
        <v>6980</v>
      </c>
      <c r="C3599" s="13">
        <v>4</v>
      </c>
      <c r="D3599" s="75" t="s">
        <v>6986</v>
      </c>
      <c r="E3599" s="12" t="s">
        <v>6981</v>
      </c>
      <c r="F3599" s="22" t="s">
        <v>6987</v>
      </c>
      <c r="G3599" s="15" t="s">
        <v>13</v>
      </c>
    </row>
    <row r="3600" spans="1:27" hidden="1" x14ac:dyDescent="0.2">
      <c r="A3600" s="46" t="s">
        <v>6992</v>
      </c>
      <c r="B3600" s="12" t="s">
        <v>6993</v>
      </c>
      <c r="C3600" s="13">
        <v>4</v>
      </c>
      <c r="D3600" s="75" t="s">
        <v>6986</v>
      </c>
      <c r="E3600" s="12" t="s">
        <v>6994</v>
      </c>
      <c r="F3600" s="22" t="s">
        <v>6998</v>
      </c>
      <c r="G3600" s="15" t="s">
        <v>13</v>
      </c>
    </row>
    <row r="3601" spans="1:9" hidden="1" x14ac:dyDescent="0.2">
      <c r="A3601" s="46" t="s">
        <v>7002</v>
      </c>
      <c r="B3601" s="12" t="s">
        <v>7003</v>
      </c>
      <c r="C3601" s="13">
        <v>5</v>
      </c>
      <c r="D3601" s="75" t="s">
        <v>6986</v>
      </c>
      <c r="E3601" s="12" t="s">
        <v>7004</v>
      </c>
      <c r="F3601" s="22" t="s">
        <v>7009</v>
      </c>
      <c r="G3601" s="15" t="s">
        <v>13</v>
      </c>
    </row>
    <row r="3602" spans="1:9" hidden="1" x14ac:dyDescent="0.2">
      <c r="A3602" s="46" t="s">
        <v>5329</v>
      </c>
      <c r="B3602" s="12" t="s">
        <v>5330</v>
      </c>
      <c r="C3602" s="13">
        <v>12</v>
      </c>
      <c r="D3602" s="14" t="s">
        <v>5351</v>
      </c>
      <c r="E3602" s="12" t="s">
        <v>5331</v>
      </c>
      <c r="F3602" s="65" t="s">
        <v>5352</v>
      </c>
      <c r="G3602" s="15" t="s">
        <v>829</v>
      </c>
      <c r="I3602" s="94">
        <v>14</v>
      </c>
    </row>
    <row r="3603" spans="1:9" hidden="1" x14ac:dyDescent="0.2">
      <c r="A3603" s="46" t="s">
        <v>1383</v>
      </c>
      <c r="B3603" s="12" t="s">
        <v>1384</v>
      </c>
      <c r="C3603" s="13">
        <v>19</v>
      </c>
      <c r="D3603" s="14" t="s">
        <v>1419</v>
      </c>
      <c r="E3603" s="12" t="s">
        <v>1385</v>
      </c>
      <c r="F3603" s="12" t="s">
        <v>1420</v>
      </c>
      <c r="G3603" s="15" t="s">
        <v>881</v>
      </c>
      <c r="I3603" s="94">
        <v>14</v>
      </c>
    </row>
    <row r="3604" spans="1:9" hidden="1" x14ac:dyDescent="0.25">
      <c r="A3604" s="146" t="s">
        <v>4895</v>
      </c>
      <c r="B3604" s="12" t="s">
        <v>4896</v>
      </c>
      <c r="C3604" s="13">
        <v>11</v>
      </c>
      <c r="D3604" s="12" t="s">
        <v>4916</v>
      </c>
      <c r="E3604" s="12" t="s">
        <v>4897</v>
      </c>
      <c r="F3604" s="8" t="s">
        <v>4917</v>
      </c>
      <c r="G3604" s="80" t="s">
        <v>1393</v>
      </c>
      <c r="I3604" s="90">
        <v>12</v>
      </c>
    </row>
    <row r="3605" spans="1:9" hidden="1" x14ac:dyDescent="0.25">
      <c r="A3605" s="13" t="s">
        <v>4895</v>
      </c>
      <c r="B3605" s="12" t="s">
        <v>4896</v>
      </c>
      <c r="C3605" s="13">
        <v>10</v>
      </c>
      <c r="D3605" s="12" t="s">
        <v>4914</v>
      </c>
      <c r="E3605" s="12" t="s">
        <v>4897</v>
      </c>
      <c r="F3605" s="8" t="s">
        <v>4915</v>
      </c>
      <c r="G3605" s="80" t="s">
        <v>1393</v>
      </c>
      <c r="I3605" s="90">
        <v>12</v>
      </c>
    </row>
    <row r="3606" spans="1:9" hidden="1" x14ac:dyDescent="0.25">
      <c r="A3606" s="46" t="s">
        <v>1421</v>
      </c>
      <c r="B3606" s="12" t="s">
        <v>1422</v>
      </c>
      <c r="C3606" s="13">
        <v>8</v>
      </c>
      <c r="D3606" s="12" t="s">
        <v>1433</v>
      </c>
      <c r="E3606" s="12" t="s">
        <v>1423</v>
      </c>
      <c r="F3606" s="12" t="s">
        <v>1434</v>
      </c>
      <c r="G3606" s="119" t="s">
        <v>1393</v>
      </c>
      <c r="I3606" s="90">
        <v>12</v>
      </c>
    </row>
    <row r="3607" spans="1:9" hidden="1" x14ac:dyDescent="0.2">
      <c r="A3607" s="46" t="s">
        <v>3956</v>
      </c>
      <c r="B3607" s="12" t="s">
        <v>3957</v>
      </c>
      <c r="C3607" s="13">
        <v>8</v>
      </c>
      <c r="D3607" s="12" t="s">
        <v>1433</v>
      </c>
      <c r="E3607" s="12" t="s">
        <v>3958</v>
      </c>
      <c r="F3607" s="12" t="s">
        <v>3970</v>
      </c>
      <c r="G3607" s="143" t="s">
        <v>1393</v>
      </c>
      <c r="I3607" s="90">
        <v>12</v>
      </c>
    </row>
    <row r="3608" spans="1:9" hidden="1" x14ac:dyDescent="0.2">
      <c r="A3608" s="11" t="s">
        <v>3165</v>
      </c>
      <c r="B3608" s="12" t="s">
        <v>3166</v>
      </c>
      <c r="C3608" s="13">
        <f>C3607+1</f>
        <v>9</v>
      </c>
      <c r="D3608" s="12" t="s">
        <v>3278</v>
      </c>
      <c r="E3608" s="12" t="s">
        <v>3167</v>
      </c>
      <c r="F3608" s="65" t="s">
        <v>3279</v>
      </c>
      <c r="G3608" s="66" t="s">
        <v>1239</v>
      </c>
      <c r="I3608" s="99">
        <v>13</v>
      </c>
    </row>
    <row r="3609" spans="1:9" hidden="1" x14ac:dyDescent="0.2">
      <c r="A3609" s="11" t="s">
        <v>3956</v>
      </c>
      <c r="B3609" s="12" t="s">
        <v>3957</v>
      </c>
      <c r="C3609" s="13">
        <v>9</v>
      </c>
      <c r="D3609" s="12" t="s">
        <v>3971</v>
      </c>
      <c r="E3609" s="12" t="s">
        <v>3958</v>
      </c>
      <c r="F3609" s="12" t="s">
        <v>3972</v>
      </c>
      <c r="G3609" s="143" t="s">
        <v>1393</v>
      </c>
      <c r="I3609" s="90">
        <v>12</v>
      </c>
    </row>
    <row r="3610" spans="1:9" hidden="1" x14ac:dyDescent="0.25">
      <c r="A3610" s="11" t="s">
        <v>5686</v>
      </c>
      <c r="B3610" s="12" t="s">
        <v>5687</v>
      </c>
      <c r="C3610" s="13">
        <f>C3609+1</f>
        <v>10</v>
      </c>
      <c r="D3610" s="12" t="s">
        <v>5751</v>
      </c>
      <c r="E3610" s="12" t="s">
        <v>5688</v>
      </c>
      <c r="F3610" s="12" t="s">
        <v>5752</v>
      </c>
      <c r="G3610" s="15" t="s">
        <v>19</v>
      </c>
      <c r="I3610" s="90">
        <v>12</v>
      </c>
    </row>
    <row r="3611" spans="1:9" hidden="1" x14ac:dyDescent="0.25">
      <c r="A3611" s="11" t="s">
        <v>5686</v>
      </c>
      <c r="B3611" s="12" t="s">
        <v>5687</v>
      </c>
      <c r="C3611" s="13">
        <f>C3610+1</f>
        <v>11</v>
      </c>
      <c r="D3611" s="12" t="s">
        <v>5733</v>
      </c>
      <c r="E3611" s="12" t="s">
        <v>5688</v>
      </c>
      <c r="F3611" s="12" t="s">
        <v>5734</v>
      </c>
      <c r="G3611" s="15" t="s">
        <v>19</v>
      </c>
      <c r="I3611" s="90">
        <v>12</v>
      </c>
    </row>
    <row r="3612" spans="1:9" hidden="1" x14ac:dyDescent="0.2">
      <c r="A3612" s="11" t="s">
        <v>2631</v>
      </c>
      <c r="B3612" s="12" t="s">
        <v>2632</v>
      </c>
      <c r="C3612" s="13">
        <v>51</v>
      </c>
      <c r="D3612" s="14" t="s">
        <v>2729</v>
      </c>
      <c r="E3612" s="12" t="s">
        <v>2634</v>
      </c>
      <c r="F3612" s="65" t="s">
        <v>2730</v>
      </c>
      <c r="G3612" s="66" t="s">
        <v>1239</v>
      </c>
      <c r="I3612" s="99">
        <v>13</v>
      </c>
    </row>
    <row r="3613" spans="1:9" hidden="1" x14ac:dyDescent="0.2">
      <c r="A3613" s="11" t="s">
        <v>2631</v>
      </c>
      <c r="B3613" s="12" t="s">
        <v>2632</v>
      </c>
      <c r="C3613" s="13">
        <v>27</v>
      </c>
      <c r="D3613" s="14" t="s">
        <v>2681</v>
      </c>
      <c r="E3613" s="12" t="s">
        <v>2634</v>
      </c>
      <c r="F3613" s="65" t="s">
        <v>2682</v>
      </c>
      <c r="G3613" s="66" t="s">
        <v>1239</v>
      </c>
      <c r="I3613" s="99">
        <v>13</v>
      </c>
    </row>
    <row r="3614" spans="1:9" hidden="1" x14ac:dyDescent="0.2">
      <c r="A3614" s="11" t="s">
        <v>3956</v>
      </c>
      <c r="B3614" s="12" t="s">
        <v>3957</v>
      </c>
      <c r="C3614" s="13">
        <v>7</v>
      </c>
      <c r="D3614" s="12" t="s">
        <v>3968</v>
      </c>
      <c r="E3614" s="12" t="s">
        <v>3958</v>
      </c>
      <c r="F3614" s="12" t="s">
        <v>3969</v>
      </c>
      <c r="G3614" s="143" t="s">
        <v>1393</v>
      </c>
      <c r="I3614" s="90">
        <v>12</v>
      </c>
    </row>
    <row r="3615" spans="1:9" hidden="1" x14ac:dyDescent="0.25">
      <c r="A3615" s="11" t="s">
        <v>1818</v>
      </c>
      <c r="B3615" s="12" t="s">
        <v>1819</v>
      </c>
      <c r="C3615" s="13">
        <v>8</v>
      </c>
      <c r="D3615" s="12" t="s">
        <v>1833</v>
      </c>
      <c r="E3615" s="12" t="s">
        <v>1820</v>
      </c>
      <c r="F3615" s="12" t="s">
        <v>1834</v>
      </c>
      <c r="G3615" s="15" t="s">
        <v>19</v>
      </c>
      <c r="I3615" s="9">
        <v>15</v>
      </c>
    </row>
    <row r="3616" spans="1:9" hidden="1" x14ac:dyDescent="0.25">
      <c r="A3616" s="11" t="s">
        <v>1818</v>
      </c>
      <c r="B3616" s="12" t="s">
        <v>1819</v>
      </c>
      <c r="C3616" s="13">
        <v>7</v>
      </c>
      <c r="D3616" s="12" t="s">
        <v>1831</v>
      </c>
      <c r="E3616" s="12" t="s">
        <v>1820</v>
      </c>
      <c r="F3616" s="12" t="s">
        <v>1832</v>
      </c>
      <c r="G3616" s="15" t="s">
        <v>19</v>
      </c>
      <c r="I3616" s="9">
        <v>15</v>
      </c>
    </row>
    <row r="3617" spans="1:27" hidden="1" x14ac:dyDescent="0.25">
      <c r="A3617" s="11" t="s">
        <v>1383</v>
      </c>
      <c r="B3617" s="12" t="s">
        <v>1384</v>
      </c>
      <c r="C3617" s="13">
        <v>5</v>
      </c>
      <c r="D3617" s="12" t="s">
        <v>1391</v>
      </c>
      <c r="E3617" s="12" t="s">
        <v>1385</v>
      </c>
      <c r="F3617" s="12" t="s">
        <v>1392</v>
      </c>
      <c r="G3617" s="119" t="s">
        <v>1393</v>
      </c>
      <c r="I3617" s="90">
        <v>12</v>
      </c>
    </row>
    <row r="3618" spans="1:27" hidden="1" x14ac:dyDescent="0.25">
      <c r="A3618" s="11" t="s">
        <v>1568</v>
      </c>
      <c r="B3618" s="12" t="s">
        <v>1569</v>
      </c>
      <c r="C3618" s="13">
        <v>14</v>
      </c>
      <c r="D3618" s="12" t="s">
        <v>1391</v>
      </c>
      <c r="E3618" s="12" t="s">
        <v>1570</v>
      </c>
      <c r="F3618" s="12" t="s">
        <v>1600</v>
      </c>
      <c r="G3618" s="15" t="s">
        <v>684</v>
      </c>
      <c r="I3618" s="94">
        <v>14</v>
      </c>
    </row>
    <row r="3619" spans="1:27" hidden="1" x14ac:dyDescent="0.25">
      <c r="A3619" s="11" t="s">
        <v>1768</v>
      </c>
      <c r="B3619" s="12" t="s">
        <v>1769</v>
      </c>
      <c r="C3619" s="13">
        <v>5</v>
      </c>
      <c r="D3619" s="12" t="s">
        <v>1391</v>
      </c>
      <c r="E3619" s="12" t="s">
        <v>1770</v>
      </c>
      <c r="F3619" s="12" t="s">
        <v>1776</v>
      </c>
      <c r="G3619" s="15" t="s">
        <v>684</v>
      </c>
      <c r="I3619" s="94">
        <v>14</v>
      </c>
    </row>
    <row r="3620" spans="1:27" hidden="1" x14ac:dyDescent="0.2">
      <c r="A3620" s="11" t="s">
        <v>3034</v>
      </c>
      <c r="B3620" s="12" t="s">
        <v>3035</v>
      </c>
      <c r="C3620" s="13">
        <f>+C3619+1</f>
        <v>6</v>
      </c>
      <c r="D3620" s="14" t="s">
        <v>3085</v>
      </c>
      <c r="E3620" s="12" t="s">
        <v>3036</v>
      </c>
      <c r="F3620" s="65" t="s">
        <v>3086</v>
      </c>
      <c r="G3620" s="66" t="s">
        <v>19</v>
      </c>
    </row>
    <row r="3621" spans="1:27" hidden="1" x14ac:dyDescent="0.25">
      <c r="A3621" s="11" t="s">
        <v>5428</v>
      </c>
      <c r="B3621" s="12" t="s">
        <v>5429</v>
      </c>
      <c r="C3621" s="13">
        <v>5</v>
      </c>
      <c r="D3621" s="12" t="s">
        <v>5437</v>
      </c>
      <c r="E3621" s="12" t="s">
        <v>5430</v>
      </c>
      <c r="F3621" s="12" t="s">
        <v>5438</v>
      </c>
      <c r="G3621" s="15" t="s">
        <v>156</v>
      </c>
      <c r="I3621" s="99">
        <v>13</v>
      </c>
    </row>
    <row r="3622" spans="1:27" ht="15" hidden="1" x14ac:dyDescent="0.25">
      <c r="A3622" s="11" t="s">
        <v>4421</v>
      </c>
      <c r="B3622" s="12" t="s">
        <v>4422</v>
      </c>
      <c r="C3622" s="13">
        <v>13</v>
      </c>
      <c r="D3622" s="12" t="s">
        <v>4445</v>
      </c>
      <c r="E3622" s="12" t="s">
        <v>4423</v>
      </c>
      <c r="F3622" s="12" t="s">
        <v>4446</v>
      </c>
      <c r="G3622" s="66" t="s">
        <v>881</v>
      </c>
      <c r="I3622" s="9">
        <v>15</v>
      </c>
      <c r="J3622" s="52"/>
    </row>
    <row r="3623" spans="1:27" ht="15" hidden="1" x14ac:dyDescent="0.25">
      <c r="A3623" s="11" t="s">
        <v>4465</v>
      </c>
      <c r="B3623" s="12" t="s">
        <v>4466</v>
      </c>
      <c r="C3623" s="13">
        <v>10</v>
      </c>
      <c r="D3623" s="12" t="s">
        <v>4445</v>
      </c>
      <c r="E3623" s="12" t="s">
        <v>4467</v>
      </c>
      <c r="F3623" s="12" t="s">
        <v>4479</v>
      </c>
      <c r="G3623" s="66" t="s">
        <v>881</v>
      </c>
      <c r="I3623" s="9">
        <v>15</v>
      </c>
      <c r="J3623" s="52"/>
    </row>
    <row r="3624" spans="1:27" hidden="1" x14ac:dyDescent="0.2">
      <c r="A3624" s="46" t="s">
        <v>4513</v>
      </c>
      <c r="B3624" s="12" t="s">
        <v>4514</v>
      </c>
      <c r="C3624" s="13">
        <v>13</v>
      </c>
      <c r="D3624" s="12" t="s">
        <v>4445</v>
      </c>
      <c r="E3624" s="12" t="s">
        <v>4515</v>
      </c>
      <c r="F3624" s="12" t="s">
        <v>4530</v>
      </c>
      <c r="G3624" s="66" t="s">
        <v>881</v>
      </c>
      <c r="I3624" s="9">
        <v>15</v>
      </c>
    </row>
    <row r="3625" spans="1:27" hidden="1" x14ac:dyDescent="0.2">
      <c r="A3625" s="11" t="s">
        <v>4540</v>
      </c>
      <c r="B3625" s="12" t="s">
        <v>4541</v>
      </c>
      <c r="C3625" s="13">
        <v>11</v>
      </c>
      <c r="D3625" s="12" t="s">
        <v>4445</v>
      </c>
      <c r="E3625" s="12" t="s">
        <v>4542</v>
      </c>
      <c r="F3625" s="12" t="s">
        <v>4553</v>
      </c>
      <c r="G3625" s="66" t="s">
        <v>881</v>
      </c>
      <c r="I3625" s="9">
        <v>15</v>
      </c>
    </row>
    <row r="3626" spans="1:27" hidden="1" x14ac:dyDescent="0.2">
      <c r="A3626" s="11" t="s">
        <v>2867</v>
      </c>
      <c r="B3626" s="12" t="s">
        <v>2868</v>
      </c>
      <c r="C3626" s="13">
        <v>56</v>
      </c>
      <c r="D3626" s="14" t="s">
        <v>2970</v>
      </c>
      <c r="E3626" s="12" t="s">
        <v>2869</v>
      </c>
      <c r="F3626" s="65" t="s">
        <v>2971</v>
      </c>
      <c r="G3626" s="66" t="s">
        <v>32</v>
      </c>
    </row>
    <row r="3627" spans="1:27" hidden="1" x14ac:dyDescent="0.2">
      <c r="A3627" s="46" t="s">
        <v>2867</v>
      </c>
      <c r="B3627" s="12" t="s">
        <v>2868</v>
      </c>
      <c r="C3627" s="13">
        <v>55</v>
      </c>
      <c r="D3627" s="14" t="s">
        <v>2968</v>
      </c>
      <c r="E3627" s="12" t="s">
        <v>2869</v>
      </c>
      <c r="F3627" s="65" t="s">
        <v>2969</v>
      </c>
      <c r="G3627" s="66" t="s">
        <v>32</v>
      </c>
    </row>
    <row r="3628" spans="1:27" s="10" customFormat="1" ht="24" hidden="1" x14ac:dyDescent="0.2">
      <c r="A3628" s="11" t="s">
        <v>4540</v>
      </c>
      <c r="B3628" s="12" t="s">
        <v>4541</v>
      </c>
      <c r="C3628" s="13">
        <v>17</v>
      </c>
      <c r="D3628" s="12" t="s">
        <v>4561</v>
      </c>
      <c r="E3628" s="12" t="s">
        <v>4542</v>
      </c>
      <c r="F3628" s="12" t="s">
        <v>4562</v>
      </c>
      <c r="G3628" s="66" t="s">
        <v>881</v>
      </c>
      <c r="H3628" s="8"/>
      <c r="I3628" s="9">
        <v>15</v>
      </c>
      <c r="J3628" s="8"/>
      <c r="K3628" s="8"/>
      <c r="L3628" s="8"/>
      <c r="M3628" s="8"/>
      <c r="N3628" s="8"/>
      <c r="O3628" s="8"/>
      <c r="P3628" s="8"/>
      <c r="Q3628" s="8"/>
      <c r="R3628" s="8"/>
      <c r="S3628" s="8"/>
      <c r="T3628" s="8"/>
      <c r="U3628" s="8"/>
      <c r="V3628" s="8"/>
      <c r="W3628" s="8"/>
      <c r="X3628" s="8"/>
      <c r="Y3628" s="8"/>
      <c r="Z3628" s="8"/>
      <c r="AA3628" s="8"/>
    </row>
    <row r="3629" spans="1:27" s="10" customFormat="1" ht="24.75" hidden="1" thickBot="1" x14ac:dyDescent="0.3">
      <c r="A3629" s="36" t="s">
        <v>4465</v>
      </c>
      <c r="B3629" s="30" t="s">
        <v>4466</v>
      </c>
      <c r="C3629" s="31">
        <v>19</v>
      </c>
      <c r="D3629" s="30" t="s">
        <v>4496</v>
      </c>
      <c r="E3629" s="30" t="s">
        <v>4467</v>
      </c>
      <c r="F3629" s="30" t="s">
        <v>4497</v>
      </c>
      <c r="G3629" s="68" t="s">
        <v>881</v>
      </c>
      <c r="H3629" s="8"/>
      <c r="I3629" s="9">
        <v>15</v>
      </c>
      <c r="J3629" s="52"/>
      <c r="K3629" s="8"/>
      <c r="L3629" s="8"/>
      <c r="M3629" s="8"/>
      <c r="N3629" s="8"/>
      <c r="O3629" s="8"/>
      <c r="P3629" s="8"/>
      <c r="Q3629" s="8"/>
      <c r="R3629" s="8"/>
      <c r="S3629" s="8"/>
      <c r="T3629" s="8"/>
      <c r="U3629" s="8"/>
      <c r="V3629" s="8"/>
      <c r="W3629" s="8"/>
      <c r="X3629" s="8"/>
      <c r="Y3629" s="8"/>
      <c r="Z3629" s="8"/>
      <c r="AA3629" s="8"/>
    </row>
    <row r="3630" spans="1:27" ht="15" hidden="1" x14ac:dyDescent="0.25">
      <c r="A3630" s="56" t="s">
        <v>4465</v>
      </c>
      <c r="B3630" s="61" t="s">
        <v>4466</v>
      </c>
      <c r="C3630" s="58">
        <v>16</v>
      </c>
      <c r="D3630" s="61" t="s">
        <v>4490</v>
      </c>
      <c r="E3630" s="61" t="s">
        <v>4467</v>
      </c>
      <c r="F3630" s="61" t="s">
        <v>4491</v>
      </c>
      <c r="G3630" s="129" t="s">
        <v>881</v>
      </c>
      <c r="I3630" s="9">
        <v>15</v>
      </c>
      <c r="J3630" s="52"/>
    </row>
    <row r="3631" spans="1:27" hidden="1" x14ac:dyDescent="0.2">
      <c r="A3631" s="11" t="s">
        <v>4540</v>
      </c>
      <c r="B3631" s="12" t="s">
        <v>4541</v>
      </c>
      <c r="C3631" s="13">
        <v>15</v>
      </c>
      <c r="D3631" s="12" t="s">
        <v>4490</v>
      </c>
      <c r="E3631" s="12" t="s">
        <v>4542</v>
      </c>
      <c r="F3631" s="12" t="s">
        <v>4558</v>
      </c>
      <c r="G3631" s="66" t="s">
        <v>881</v>
      </c>
      <c r="I3631" s="9">
        <v>15</v>
      </c>
    </row>
    <row r="3632" spans="1:27" hidden="1" x14ac:dyDescent="0.2">
      <c r="A3632" s="11" t="s">
        <v>4564</v>
      </c>
      <c r="B3632" s="12" t="s">
        <v>4565</v>
      </c>
      <c r="C3632" s="13">
        <v>15</v>
      </c>
      <c r="D3632" s="12" t="s">
        <v>4490</v>
      </c>
      <c r="E3632" s="12" t="s">
        <v>4566</v>
      </c>
      <c r="F3632" s="12" t="s">
        <v>4581</v>
      </c>
      <c r="G3632" s="66" t="s">
        <v>881</v>
      </c>
      <c r="I3632" s="9">
        <v>15</v>
      </c>
    </row>
    <row r="3633" spans="1:10" ht="15.75" hidden="1" thickBot="1" x14ac:dyDescent="0.3">
      <c r="A3633" s="36" t="s">
        <v>4465</v>
      </c>
      <c r="B3633" s="30" t="s">
        <v>4466</v>
      </c>
      <c r="C3633" s="31">
        <v>13</v>
      </c>
      <c r="D3633" s="30" t="s">
        <v>4484</v>
      </c>
      <c r="E3633" s="30" t="s">
        <v>4467</v>
      </c>
      <c r="F3633" s="30" t="s">
        <v>4485</v>
      </c>
      <c r="G3633" s="68" t="s">
        <v>881</v>
      </c>
      <c r="I3633" s="9">
        <v>15</v>
      </c>
      <c r="J3633" s="52"/>
    </row>
    <row r="3634" spans="1:10" hidden="1" x14ac:dyDescent="0.2">
      <c r="A3634" s="56" t="s">
        <v>4540</v>
      </c>
      <c r="B3634" s="61" t="s">
        <v>4541</v>
      </c>
      <c r="C3634" s="58">
        <v>13</v>
      </c>
      <c r="D3634" s="61" t="s">
        <v>4484</v>
      </c>
      <c r="E3634" s="61" t="s">
        <v>4542</v>
      </c>
      <c r="F3634" s="61" t="s">
        <v>4555</v>
      </c>
      <c r="G3634" s="129" t="s">
        <v>881</v>
      </c>
      <c r="I3634" s="9">
        <v>15</v>
      </c>
    </row>
    <row r="3635" spans="1:10" hidden="1" x14ac:dyDescent="0.2">
      <c r="A3635" s="11" t="s">
        <v>4564</v>
      </c>
      <c r="B3635" s="12" t="s">
        <v>4565</v>
      </c>
      <c r="C3635" s="13">
        <v>13</v>
      </c>
      <c r="D3635" s="12" t="s">
        <v>4484</v>
      </c>
      <c r="E3635" s="12" t="s">
        <v>4566</v>
      </c>
      <c r="F3635" s="12" t="s">
        <v>4579</v>
      </c>
      <c r="G3635" s="66" t="s">
        <v>881</v>
      </c>
      <c r="I3635" s="9">
        <v>15</v>
      </c>
    </row>
    <row r="3636" spans="1:10" ht="15" hidden="1" x14ac:dyDescent="0.25">
      <c r="A3636" s="11" t="s">
        <v>4421</v>
      </c>
      <c r="B3636" s="12" t="s">
        <v>4422</v>
      </c>
      <c r="C3636" s="13">
        <v>12</v>
      </c>
      <c r="D3636" s="12" t="s">
        <v>4443</v>
      </c>
      <c r="E3636" s="12" t="s">
        <v>4423</v>
      </c>
      <c r="F3636" s="12" t="s">
        <v>4444</v>
      </c>
      <c r="G3636" s="66" t="s">
        <v>881</v>
      </c>
      <c r="I3636" s="9">
        <v>15</v>
      </c>
      <c r="J3636" s="52"/>
    </row>
    <row r="3637" spans="1:10" hidden="1" x14ac:dyDescent="0.2">
      <c r="A3637" s="11" t="s">
        <v>4513</v>
      </c>
      <c r="B3637" s="12" t="s">
        <v>4514</v>
      </c>
      <c r="C3637" s="13">
        <v>12</v>
      </c>
      <c r="D3637" s="12" t="s">
        <v>4443</v>
      </c>
      <c r="E3637" s="12" t="s">
        <v>4515</v>
      </c>
      <c r="F3637" s="12" t="s">
        <v>4529</v>
      </c>
      <c r="G3637" s="66" t="s">
        <v>881</v>
      </c>
      <c r="I3637" s="9">
        <v>15</v>
      </c>
    </row>
    <row r="3638" spans="1:10" ht="12.75" hidden="1" thickBot="1" x14ac:dyDescent="0.25">
      <c r="A3638" s="36" t="s">
        <v>791</v>
      </c>
      <c r="B3638" s="30" t="s">
        <v>792</v>
      </c>
      <c r="C3638" s="31">
        <v>17</v>
      </c>
      <c r="D3638" s="69" t="s">
        <v>823</v>
      </c>
      <c r="E3638" s="30" t="s">
        <v>793</v>
      </c>
      <c r="F3638" s="30" t="s">
        <v>824</v>
      </c>
      <c r="G3638" s="33" t="s">
        <v>800</v>
      </c>
      <c r="I3638" s="9">
        <v>15</v>
      </c>
    </row>
    <row r="3639" spans="1:10" hidden="1" x14ac:dyDescent="0.2">
      <c r="A3639" s="56" t="s">
        <v>791</v>
      </c>
      <c r="B3639" s="61" t="s">
        <v>792</v>
      </c>
      <c r="C3639" s="58">
        <v>16</v>
      </c>
      <c r="D3639" s="107" t="s">
        <v>821</v>
      </c>
      <c r="E3639" s="61" t="s">
        <v>793</v>
      </c>
      <c r="F3639" s="61" t="s">
        <v>822</v>
      </c>
      <c r="G3639" s="62" t="s">
        <v>800</v>
      </c>
      <c r="I3639" s="9">
        <v>15</v>
      </c>
    </row>
    <row r="3640" spans="1:10" hidden="1" x14ac:dyDescent="0.2">
      <c r="A3640" s="11" t="s">
        <v>3034</v>
      </c>
      <c r="B3640" s="12" t="s">
        <v>3035</v>
      </c>
      <c r="C3640" s="13">
        <f>+C3639+1</f>
        <v>17</v>
      </c>
      <c r="D3640" s="8" t="s">
        <v>3056</v>
      </c>
      <c r="E3640" s="12" t="s">
        <v>3036</v>
      </c>
      <c r="F3640" s="8" t="s">
        <v>3057</v>
      </c>
      <c r="G3640" s="66" t="s">
        <v>3022</v>
      </c>
    </row>
    <row r="3641" spans="1:10" ht="15" hidden="1" x14ac:dyDescent="0.25">
      <c r="A3641" s="11" t="s">
        <v>4421</v>
      </c>
      <c r="B3641" s="12" t="s">
        <v>4422</v>
      </c>
      <c r="C3641" s="13">
        <v>11</v>
      </c>
      <c r="D3641" s="12" t="s">
        <v>4441</v>
      </c>
      <c r="E3641" s="12" t="s">
        <v>4423</v>
      </c>
      <c r="F3641" s="12" t="s">
        <v>4442</v>
      </c>
      <c r="G3641" s="66" t="s">
        <v>881</v>
      </c>
      <c r="I3641" s="9">
        <v>15</v>
      </c>
      <c r="J3641" s="52"/>
    </row>
    <row r="3642" spans="1:10" ht="15" hidden="1" x14ac:dyDescent="0.25">
      <c r="A3642" s="11" t="s">
        <v>4465</v>
      </c>
      <c r="B3642" s="12" t="s">
        <v>4466</v>
      </c>
      <c r="C3642" s="13">
        <v>9</v>
      </c>
      <c r="D3642" s="12" t="s">
        <v>4441</v>
      </c>
      <c r="E3642" s="12" t="s">
        <v>4467</v>
      </c>
      <c r="F3642" s="12" t="s">
        <v>4478</v>
      </c>
      <c r="G3642" s="66" t="s">
        <v>881</v>
      </c>
      <c r="I3642" s="9">
        <v>15</v>
      </c>
      <c r="J3642" s="52"/>
    </row>
    <row r="3643" spans="1:10" ht="12.75" hidden="1" thickBot="1" x14ac:dyDescent="0.25">
      <c r="A3643" s="36" t="s">
        <v>4540</v>
      </c>
      <c r="B3643" s="30" t="s">
        <v>4541</v>
      </c>
      <c r="C3643" s="31">
        <v>14</v>
      </c>
      <c r="D3643" s="30" t="s">
        <v>4556</v>
      </c>
      <c r="E3643" s="30" t="s">
        <v>4542</v>
      </c>
      <c r="F3643" s="30" t="s">
        <v>4557</v>
      </c>
      <c r="G3643" s="68" t="s">
        <v>881</v>
      </c>
      <c r="I3643" s="9">
        <v>15</v>
      </c>
    </row>
    <row r="3644" spans="1:10" hidden="1" x14ac:dyDescent="0.2">
      <c r="A3644" s="46" t="s">
        <v>4564</v>
      </c>
      <c r="B3644" s="12" t="s">
        <v>4565</v>
      </c>
      <c r="C3644" s="13">
        <v>14</v>
      </c>
      <c r="D3644" s="12" t="s">
        <v>4556</v>
      </c>
      <c r="E3644" s="12" t="s">
        <v>4566</v>
      </c>
      <c r="F3644" s="12" t="s">
        <v>4580</v>
      </c>
      <c r="G3644" s="66" t="s">
        <v>881</v>
      </c>
      <c r="I3644" s="9">
        <v>15</v>
      </c>
    </row>
    <row r="3645" spans="1:10" hidden="1" x14ac:dyDescent="0.2">
      <c r="A3645" s="46" t="s">
        <v>3165</v>
      </c>
      <c r="B3645" s="12" t="s">
        <v>3166</v>
      </c>
      <c r="C3645" s="13">
        <v>44</v>
      </c>
      <c r="D3645" s="12" t="s">
        <v>3227</v>
      </c>
      <c r="E3645" s="12" t="s">
        <v>3167</v>
      </c>
      <c r="F3645" s="65" t="s">
        <v>3228</v>
      </c>
      <c r="G3645" s="66" t="s">
        <v>1239</v>
      </c>
      <c r="I3645" s="99">
        <v>13</v>
      </c>
    </row>
    <row r="3646" spans="1:10" hidden="1" x14ac:dyDescent="0.2">
      <c r="A3646" s="46" t="s">
        <v>4513</v>
      </c>
      <c r="B3646" s="12" t="s">
        <v>4514</v>
      </c>
      <c r="C3646" s="13">
        <v>11</v>
      </c>
      <c r="D3646" s="12" t="s">
        <v>4527</v>
      </c>
      <c r="E3646" s="12" t="s">
        <v>4515</v>
      </c>
      <c r="F3646" s="12" t="s">
        <v>4528</v>
      </c>
      <c r="G3646" s="66" t="s">
        <v>881</v>
      </c>
      <c r="I3646" s="9">
        <v>15</v>
      </c>
      <c r="J3646" s="8" t="s">
        <v>4526</v>
      </c>
    </row>
    <row r="3647" spans="1:10" hidden="1" x14ac:dyDescent="0.2">
      <c r="A3647" s="46" t="s">
        <v>4540</v>
      </c>
      <c r="B3647" s="12" t="s">
        <v>4541</v>
      </c>
      <c r="C3647" s="13">
        <v>10</v>
      </c>
      <c r="D3647" s="12" t="s">
        <v>4527</v>
      </c>
      <c r="E3647" s="12" t="s">
        <v>4542</v>
      </c>
      <c r="F3647" s="12" t="s">
        <v>4552</v>
      </c>
      <c r="G3647" s="66" t="s">
        <v>881</v>
      </c>
      <c r="I3647" s="9">
        <v>15</v>
      </c>
    </row>
    <row r="3648" spans="1:10" hidden="1" x14ac:dyDescent="0.2">
      <c r="A3648" s="46" t="s">
        <v>4564</v>
      </c>
      <c r="B3648" s="12" t="s">
        <v>4565</v>
      </c>
      <c r="C3648" s="13">
        <v>10</v>
      </c>
      <c r="D3648" s="12" t="s">
        <v>4527</v>
      </c>
      <c r="E3648" s="12" t="s">
        <v>4566</v>
      </c>
      <c r="F3648" s="12" t="s">
        <v>4576</v>
      </c>
      <c r="G3648" s="66" t="s">
        <v>881</v>
      </c>
      <c r="I3648" s="9">
        <v>15</v>
      </c>
    </row>
    <row r="3649" spans="1:27" s="40" customFormat="1" ht="24" hidden="1" x14ac:dyDescent="0.2">
      <c r="A3649" s="56" t="s">
        <v>4540</v>
      </c>
      <c r="B3649" s="61" t="s">
        <v>4541</v>
      </c>
      <c r="C3649" s="58">
        <v>16</v>
      </c>
      <c r="D3649" s="61" t="s">
        <v>4559</v>
      </c>
      <c r="E3649" s="61" t="s">
        <v>4542</v>
      </c>
      <c r="F3649" s="61" t="s">
        <v>4560</v>
      </c>
      <c r="G3649" s="129" t="s">
        <v>881</v>
      </c>
      <c r="H3649" s="8"/>
      <c r="I3649" s="9">
        <v>15</v>
      </c>
      <c r="J3649" s="8"/>
      <c r="K3649" s="8"/>
      <c r="L3649" s="8"/>
      <c r="M3649" s="8"/>
      <c r="N3649" s="8"/>
      <c r="O3649" s="8"/>
      <c r="P3649" s="8"/>
      <c r="Q3649" s="8"/>
      <c r="R3649" s="8"/>
      <c r="S3649" s="8"/>
      <c r="T3649" s="8"/>
      <c r="U3649" s="8"/>
      <c r="V3649" s="8"/>
      <c r="W3649" s="8"/>
      <c r="X3649" s="8"/>
      <c r="Y3649" s="8"/>
      <c r="Z3649" s="8"/>
      <c r="AA3649" s="8"/>
    </row>
    <row r="3650" spans="1:27" s="40" customFormat="1" ht="24" hidden="1" x14ac:dyDescent="0.25">
      <c r="A3650" s="11" t="s">
        <v>4465</v>
      </c>
      <c r="B3650" s="12" t="s">
        <v>4466</v>
      </c>
      <c r="C3650" s="13">
        <v>18</v>
      </c>
      <c r="D3650" s="12" t="s">
        <v>4494</v>
      </c>
      <c r="E3650" s="12" t="s">
        <v>4467</v>
      </c>
      <c r="F3650" s="12" t="s">
        <v>4495</v>
      </c>
      <c r="G3650" s="66" t="s">
        <v>881</v>
      </c>
      <c r="H3650" s="8"/>
      <c r="I3650" s="9">
        <v>15</v>
      </c>
      <c r="J3650" s="52"/>
      <c r="K3650" s="8"/>
      <c r="L3650" s="8"/>
      <c r="M3650" s="8"/>
      <c r="N3650" s="8"/>
      <c r="O3650" s="8"/>
      <c r="P3650" s="8"/>
      <c r="Q3650" s="8"/>
      <c r="R3650" s="8"/>
      <c r="S3650" s="8"/>
      <c r="T3650" s="8"/>
      <c r="U3650" s="8"/>
      <c r="V3650" s="8"/>
      <c r="W3650" s="8"/>
      <c r="X3650" s="8"/>
      <c r="Y3650" s="8"/>
      <c r="Z3650" s="8"/>
      <c r="AA3650" s="8"/>
    </row>
    <row r="3651" spans="1:27" s="40" customFormat="1" ht="15" hidden="1" x14ac:dyDescent="0.25">
      <c r="A3651" s="11" t="s">
        <v>4465</v>
      </c>
      <c r="B3651" s="12" t="s">
        <v>4466</v>
      </c>
      <c r="C3651" s="13">
        <v>15</v>
      </c>
      <c r="D3651" s="12" t="s">
        <v>4488</v>
      </c>
      <c r="E3651" s="12" t="s">
        <v>4467</v>
      </c>
      <c r="F3651" s="12" t="s">
        <v>4489</v>
      </c>
      <c r="G3651" s="66" t="s">
        <v>881</v>
      </c>
      <c r="H3651" s="8"/>
      <c r="I3651" s="9">
        <v>15</v>
      </c>
      <c r="J3651" s="52"/>
      <c r="K3651" s="8"/>
      <c r="L3651" s="8"/>
      <c r="M3651" s="8"/>
      <c r="N3651" s="8"/>
      <c r="O3651" s="8"/>
      <c r="P3651" s="8"/>
      <c r="Q3651" s="8"/>
      <c r="R3651" s="8"/>
      <c r="S3651" s="8"/>
      <c r="T3651" s="8"/>
      <c r="U3651" s="8"/>
      <c r="V3651" s="8"/>
      <c r="W3651" s="8"/>
      <c r="X3651" s="8"/>
      <c r="Y3651" s="8"/>
      <c r="Z3651" s="8"/>
      <c r="AA3651" s="8"/>
    </row>
    <row r="3652" spans="1:27" s="10" customFormat="1" ht="15" hidden="1" x14ac:dyDescent="0.25">
      <c r="A3652" s="11" t="s">
        <v>4465</v>
      </c>
      <c r="B3652" s="12" t="s">
        <v>4466</v>
      </c>
      <c r="C3652" s="13">
        <v>12</v>
      </c>
      <c r="D3652" s="12" t="s">
        <v>4482</v>
      </c>
      <c r="E3652" s="12" t="s">
        <v>4467</v>
      </c>
      <c r="F3652" s="12" t="s">
        <v>4483</v>
      </c>
      <c r="G3652" s="66" t="s">
        <v>881</v>
      </c>
      <c r="H3652" s="8"/>
      <c r="I3652" s="9">
        <v>15</v>
      </c>
      <c r="J3652" s="52"/>
      <c r="K3652" s="8"/>
      <c r="L3652" s="8"/>
      <c r="M3652" s="8"/>
      <c r="N3652" s="8"/>
      <c r="O3652" s="8"/>
      <c r="P3652" s="8"/>
      <c r="Q3652" s="8"/>
      <c r="R3652" s="8"/>
      <c r="S3652" s="8"/>
      <c r="T3652" s="8"/>
      <c r="U3652" s="8"/>
      <c r="V3652" s="8"/>
      <c r="W3652" s="8"/>
      <c r="X3652" s="8"/>
      <c r="Y3652" s="8"/>
      <c r="Z3652" s="8"/>
      <c r="AA3652" s="8"/>
    </row>
    <row r="3653" spans="1:27" s="10" customFormat="1" hidden="1" x14ac:dyDescent="0.2">
      <c r="A3653" s="11" t="s">
        <v>4540</v>
      </c>
      <c r="B3653" s="12" t="s">
        <v>4541</v>
      </c>
      <c r="C3653" s="13">
        <v>12</v>
      </c>
      <c r="D3653" s="12" t="s">
        <v>4482</v>
      </c>
      <c r="E3653" s="12" t="s">
        <v>4542</v>
      </c>
      <c r="F3653" s="12" t="s">
        <v>4554</v>
      </c>
      <c r="G3653" s="66" t="s">
        <v>881</v>
      </c>
      <c r="H3653" s="8"/>
      <c r="I3653" s="9">
        <v>15</v>
      </c>
      <c r="J3653" s="8"/>
      <c r="K3653" s="8"/>
      <c r="L3653" s="8"/>
      <c r="M3653" s="8"/>
      <c r="N3653" s="8"/>
      <c r="O3653" s="8"/>
      <c r="P3653" s="8"/>
      <c r="Q3653" s="8"/>
      <c r="R3653" s="8"/>
      <c r="S3653" s="8"/>
      <c r="T3653" s="8"/>
      <c r="U3653" s="8"/>
      <c r="V3653" s="8"/>
      <c r="W3653" s="8"/>
      <c r="X3653" s="8"/>
      <c r="Y3653" s="8"/>
      <c r="Z3653" s="8"/>
      <c r="AA3653" s="8"/>
    </row>
    <row r="3654" spans="1:27" s="10" customFormat="1" hidden="1" x14ac:dyDescent="0.2">
      <c r="A3654" s="11" t="s">
        <v>4564</v>
      </c>
      <c r="B3654" s="12" t="s">
        <v>4565</v>
      </c>
      <c r="C3654" s="13">
        <v>12</v>
      </c>
      <c r="D3654" s="12" t="s">
        <v>4482</v>
      </c>
      <c r="E3654" s="12" t="s">
        <v>4566</v>
      </c>
      <c r="F3654" s="12" t="s">
        <v>4578</v>
      </c>
      <c r="G3654" s="66" t="s">
        <v>881</v>
      </c>
      <c r="H3654" s="8"/>
      <c r="I3654" s="9">
        <v>15</v>
      </c>
      <c r="J3654" s="8"/>
      <c r="K3654" s="8"/>
      <c r="L3654" s="8"/>
      <c r="M3654" s="8"/>
      <c r="N3654" s="8"/>
      <c r="O3654" s="8"/>
      <c r="P3654" s="8"/>
      <c r="Q3654" s="8"/>
      <c r="R3654" s="8"/>
      <c r="S3654" s="8"/>
      <c r="T3654" s="8"/>
      <c r="U3654" s="8"/>
      <c r="V3654" s="8"/>
      <c r="W3654" s="8"/>
      <c r="X3654" s="8"/>
      <c r="Y3654" s="8"/>
      <c r="Z3654" s="8"/>
      <c r="AA3654" s="8"/>
    </row>
    <row r="3655" spans="1:27" s="10" customFormat="1" ht="15" hidden="1" x14ac:dyDescent="0.25">
      <c r="A3655" s="11" t="s">
        <v>4421</v>
      </c>
      <c r="B3655" s="12" t="s">
        <v>4422</v>
      </c>
      <c r="C3655" s="13">
        <v>10</v>
      </c>
      <c r="D3655" s="12" t="s">
        <v>4439</v>
      </c>
      <c r="E3655" s="12" t="s">
        <v>4423</v>
      </c>
      <c r="F3655" s="12" t="s">
        <v>4440</v>
      </c>
      <c r="G3655" s="66" t="s">
        <v>881</v>
      </c>
      <c r="H3655" s="8"/>
      <c r="I3655" s="9">
        <v>15</v>
      </c>
      <c r="J3655" s="52"/>
      <c r="K3655" s="8"/>
      <c r="L3655" s="8"/>
      <c r="M3655" s="8"/>
      <c r="N3655" s="8"/>
      <c r="O3655" s="8"/>
      <c r="P3655" s="8"/>
      <c r="Q3655" s="8"/>
      <c r="R3655" s="8"/>
      <c r="S3655" s="8"/>
      <c r="T3655" s="8"/>
      <c r="U3655" s="8"/>
      <c r="V3655" s="8"/>
      <c r="W3655" s="8"/>
      <c r="X3655" s="8"/>
      <c r="Y3655" s="8"/>
      <c r="Z3655" s="8"/>
      <c r="AA3655" s="8"/>
    </row>
    <row r="3656" spans="1:27" s="10" customFormat="1" hidden="1" x14ac:dyDescent="0.2">
      <c r="A3656" s="11" t="s">
        <v>5244</v>
      </c>
      <c r="B3656" s="12" t="s">
        <v>5245</v>
      </c>
      <c r="C3656" s="13">
        <v>13</v>
      </c>
      <c r="D3656" s="12" t="s">
        <v>5265</v>
      </c>
      <c r="E3656" s="12" t="s">
        <v>5246</v>
      </c>
      <c r="F3656" s="65" t="s">
        <v>5266</v>
      </c>
      <c r="G3656" s="15" t="s">
        <v>19</v>
      </c>
      <c r="H3656" s="8"/>
      <c r="I3656" s="90"/>
      <c r="J3656" s="8"/>
      <c r="K3656" s="8"/>
      <c r="L3656" s="8"/>
      <c r="M3656" s="8"/>
      <c r="N3656" s="8"/>
      <c r="O3656" s="8"/>
      <c r="P3656" s="8"/>
      <c r="Q3656" s="8"/>
      <c r="R3656" s="8"/>
      <c r="S3656" s="8"/>
      <c r="T3656" s="8"/>
      <c r="U3656" s="8"/>
      <c r="V3656" s="8"/>
      <c r="W3656" s="8"/>
      <c r="X3656" s="8"/>
      <c r="Y3656" s="8"/>
      <c r="Z3656" s="8"/>
      <c r="AA3656" s="8"/>
    </row>
    <row r="3657" spans="1:27" s="10" customFormat="1" hidden="1" x14ac:dyDescent="0.2">
      <c r="A3657" s="11" t="s">
        <v>5244</v>
      </c>
      <c r="B3657" s="12" t="s">
        <v>5245</v>
      </c>
      <c r="C3657" s="13">
        <v>12</v>
      </c>
      <c r="D3657" s="12" t="s">
        <v>5263</v>
      </c>
      <c r="E3657" s="12" t="s">
        <v>5246</v>
      </c>
      <c r="F3657" s="65" t="s">
        <v>5264</v>
      </c>
      <c r="G3657" s="15" t="s">
        <v>19</v>
      </c>
      <c r="H3657" s="8"/>
      <c r="I3657" s="90"/>
      <c r="J3657" s="8"/>
      <c r="K3657" s="8"/>
      <c r="L3657" s="8"/>
      <c r="M3657" s="8"/>
      <c r="N3657" s="8"/>
      <c r="O3657" s="8"/>
      <c r="P3657" s="8"/>
      <c r="Q3657" s="8"/>
      <c r="R3657" s="8"/>
      <c r="S3657" s="8"/>
      <c r="T3657" s="8"/>
      <c r="U3657" s="8"/>
      <c r="V3657" s="8"/>
      <c r="W3657" s="8"/>
      <c r="X3657" s="8"/>
      <c r="Y3657" s="8"/>
      <c r="Z3657" s="8"/>
      <c r="AA3657" s="8"/>
    </row>
    <row r="3658" spans="1:27" s="10" customFormat="1" hidden="1" x14ac:dyDescent="0.2">
      <c r="A3658" s="11" t="s">
        <v>5244</v>
      </c>
      <c r="B3658" s="12" t="s">
        <v>5245</v>
      </c>
      <c r="C3658" s="13">
        <v>14</v>
      </c>
      <c r="D3658" s="12" t="s">
        <v>5267</v>
      </c>
      <c r="E3658" s="12" t="s">
        <v>5246</v>
      </c>
      <c r="F3658" s="65" t="s">
        <v>5268</v>
      </c>
      <c r="G3658" s="15" t="s">
        <v>19</v>
      </c>
      <c r="H3658" s="8"/>
      <c r="I3658" s="90"/>
      <c r="J3658" s="8"/>
      <c r="K3658" s="8"/>
      <c r="L3658" s="8"/>
      <c r="M3658" s="8"/>
      <c r="N3658" s="8"/>
      <c r="O3658" s="8"/>
      <c r="P3658" s="8"/>
      <c r="Q3658" s="8"/>
      <c r="R3658" s="8"/>
      <c r="S3658" s="8"/>
      <c r="T3658" s="8"/>
      <c r="U3658" s="8"/>
      <c r="V3658" s="8"/>
      <c r="W3658" s="8"/>
      <c r="X3658" s="8"/>
      <c r="Y3658" s="8"/>
      <c r="Z3658" s="8"/>
      <c r="AA3658" s="8"/>
    </row>
    <row r="3659" spans="1:27" s="10" customFormat="1" ht="15" hidden="1" x14ac:dyDescent="0.25">
      <c r="A3659" s="11" t="s">
        <v>4583</v>
      </c>
      <c r="B3659" s="12" t="s">
        <v>4584</v>
      </c>
      <c r="C3659" s="13">
        <v>12</v>
      </c>
      <c r="D3659" s="12" t="s">
        <v>4603</v>
      </c>
      <c r="E3659" s="12" t="s">
        <v>4585</v>
      </c>
      <c r="F3659" s="12" t="s">
        <v>4604</v>
      </c>
      <c r="G3659" s="66" t="s">
        <v>258</v>
      </c>
      <c r="H3659" s="8"/>
      <c r="I3659" s="9">
        <v>15</v>
      </c>
      <c r="J3659" s="52"/>
      <c r="K3659" s="8"/>
      <c r="L3659" s="8"/>
      <c r="M3659" s="8"/>
      <c r="N3659" s="8"/>
      <c r="O3659" s="8"/>
      <c r="P3659" s="8"/>
      <c r="Q3659" s="8"/>
      <c r="R3659" s="8"/>
      <c r="S3659" s="8"/>
      <c r="T3659" s="8"/>
      <c r="U3659" s="8"/>
      <c r="V3659" s="8"/>
      <c r="W3659" s="8"/>
      <c r="X3659" s="8"/>
      <c r="Y3659" s="8"/>
      <c r="Z3659" s="8"/>
      <c r="AA3659" s="8"/>
    </row>
    <row r="3660" spans="1:27" s="10" customFormat="1" ht="15" hidden="1" x14ac:dyDescent="0.25">
      <c r="A3660" s="11" t="s">
        <v>4583</v>
      </c>
      <c r="B3660" s="12" t="s">
        <v>4584</v>
      </c>
      <c r="C3660" s="13">
        <v>14</v>
      </c>
      <c r="D3660" s="12" t="s">
        <v>4607</v>
      </c>
      <c r="E3660" s="12" t="s">
        <v>4585</v>
      </c>
      <c r="F3660" s="12" t="s">
        <v>4608</v>
      </c>
      <c r="G3660" s="66" t="s">
        <v>881</v>
      </c>
      <c r="H3660" s="8"/>
      <c r="I3660" s="9">
        <v>15</v>
      </c>
      <c r="J3660" s="52"/>
      <c r="K3660" s="8"/>
      <c r="L3660" s="8"/>
      <c r="M3660" s="8"/>
      <c r="N3660" s="8"/>
      <c r="O3660" s="8"/>
      <c r="P3660" s="8"/>
      <c r="Q3660" s="8"/>
      <c r="R3660" s="8"/>
      <c r="S3660" s="8"/>
      <c r="T3660" s="8"/>
      <c r="U3660" s="8"/>
      <c r="V3660" s="8"/>
      <c r="W3660" s="8"/>
      <c r="X3660" s="8"/>
      <c r="Y3660" s="8"/>
      <c r="Z3660" s="8"/>
      <c r="AA3660" s="8"/>
    </row>
    <row r="3661" spans="1:27" s="10" customFormat="1" hidden="1" x14ac:dyDescent="0.25">
      <c r="A3661" s="11" t="s">
        <v>5686</v>
      </c>
      <c r="B3661" s="12" t="s">
        <v>5687</v>
      </c>
      <c r="C3661" s="13">
        <f>C3660+1</f>
        <v>15</v>
      </c>
      <c r="D3661" s="12" t="s">
        <v>4607</v>
      </c>
      <c r="E3661" s="12" t="s">
        <v>5688</v>
      </c>
      <c r="F3661" s="12" t="s">
        <v>5760</v>
      </c>
      <c r="G3661" s="15" t="s">
        <v>19</v>
      </c>
      <c r="H3661" s="8"/>
      <c r="I3661" s="90">
        <v>12</v>
      </c>
      <c r="J3661" s="8"/>
      <c r="K3661" s="8"/>
      <c r="L3661" s="8"/>
      <c r="M3661" s="8"/>
      <c r="N3661" s="8"/>
      <c r="O3661" s="8"/>
      <c r="P3661" s="8"/>
      <c r="Q3661" s="8"/>
      <c r="R3661" s="8"/>
      <c r="S3661" s="8"/>
      <c r="T3661" s="8"/>
      <c r="U3661" s="8"/>
      <c r="V3661" s="8"/>
      <c r="W3661" s="8"/>
      <c r="X3661" s="8"/>
      <c r="Y3661" s="8"/>
      <c r="Z3661" s="8"/>
      <c r="AA3661" s="8"/>
    </row>
    <row r="3662" spans="1:27" s="10" customFormat="1" hidden="1" x14ac:dyDescent="0.2">
      <c r="A3662" s="11" t="s">
        <v>93</v>
      </c>
      <c r="B3662" s="12" t="s">
        <v>94</v>
      </c>
      <c r="C3662" s="13">
        <v>45</v>
      </c>
      <c r="D3662" s="14" t="s">
        <v>187</v>
      </c>
      <c r="E3662" s="12" t="s">
        <v>96</v>
      </c>
      <c r="F3662" s="12" t="s">
        <v>188</v>
      </c>
      <c r="G3662" s="15" t="s">
        <v>13</v>
      </c>
      <c r="H3662" s="8"/>
      <c r="I3662" s="90"/>
      <c r="J3662" s="8"/>
      <c r="K3662" s="8"/>
      <c r="L3662" s="8"/>
      <c r="M3662" s="8"/>
      <c r="N3662" s="8"/>
      <c r="O3662" s="8"/>
      <c r="P3662" s="8"/>
      <c r="Q3662" s="8"/>
      <c r="R3662" s="8"/>
      <c r="S3662" s="8"/>
      <c r="T3662" s="8"/>
      <c r="U3662" s="8"/>
      <c r="V3662" s="8"/>
      <c r="W3662" s="8"/>
      <c r="X3662" s="8"/>
      <c r="Y3662" s="8"/>
      <c r="Z3662" s="8"/>
      <c r="AA3662" s="8"/>
    </row>
    <row r="3663" spans="1:27" s="10" customFormat="1" hidden="1" x14ac:dyDescent="0.25">
      <c r="A3663" s="11" t="s">
        <v>1313</v>
      </c>
      <c r="B3663" s="12" t="s">
        <v>1314</v>
      </c>
      <c r="C3663" s="13">
        <v>26</v>
      </c>
      <c r="D3663" s="12" t="s">
        <v>1362</v>
      </c>
      <c r="E3663" s="12" t="s">
        <v>1315</v>
      </c>
      <c r="F3663" s="12" t="s">
        <v>1363</v>
      </c>
      <c r="G3663" s="15" t="s">
        <v>13</v>
      </c>
      <c r="H3663" s="8"/>
      <c r="I3663" s="90"/>
      <c r="J3663" s="8"/>
      <c r="K3663" s="8"/>
      <c r="L3663" s="8"/>
      <c r="M3663" s="8"/>
      <c r="N3663" s="8"/>
      <c r="O3663" s="8"/>
      <c r="P3663" s="8"/>
      <c r="Q3663" s="8"/>
      <c r="R3663" s="8"/>
      <c r="S3663" s="8"/>
      <c r="T3663" s="8"/>
      <c r="U3663" s="8"/>
      <c r="V3663" s="8"/>
      <c r="W3663" s="8"/>
      <c r="X3663" s="8"/>
      <c r="Y3663" s="8"/>
      <c r="Z3663" s="8"/>
      <c r="AA3663" s="8"/>
    </row>
    <row r="3664" spans="1:27" s="10" customFormat="1" hidden="1" x14ac:dyDescent="0.2">
      <c r="A3664" s="11" t="s">
        <v>6811</v>
      </c>
      <c r="B3664" s="12" t="s">
        <v>6812</v>
      </c>
      <c r="C3664" s="13">
        <v>7</v>
      </c>
      <c r="D3664" s="14" t="s">
        <v>6821</v>
      </c>
      <c r="E3664" s="12" t="s">
        <v>6813</v>
      </c>
      <c r="F3664" s="12" t="s">
        <v>6822</v>
      </c>
      <c r="G3664" s="15" t="s">
        <v>156</v>
      </c>
      <c r="H3664" s="8"/>
      <c r="I3664" s="90"/>
      <c r="J3664" s="8"/>
      <c r="K3664" s="8"/>
      <c r="L3664" s="8"/>
      <c r="M3664" s="8"/>
      <c r="N3664" s="8"/>
      <c r="O3664" s="8"/>
      <c r="P3664" s="8"/>
      <c r="Q3664" s="8"/>
      <c r="R3664" s="8"/>
      <c r="S3664" s="8"/>
      <c r="T3664" s="8"/>
      <c r="U3664" s="8"/>
      <c r="V3664" s="8"/>
      <c r="W3664" s="8"/>
      <c r="X3664" s="8"/>
      <c r="Y3664" s="8"/>
      <c r="Z3664" s="8"/>
      <c r="AA3664" s="8"/>
    </row>
    <row r="3665" spans="1:27" s="10" customFormat="1" ht="15" hidden="1" x14ac:dyDescent="0.25">
      <c r="A3665" s="11" t="s">
        <v>2179</v>
      </c>
      <c r="B3665" s="8" t="s">
        <v>2180</v>
      </c>
      <c r="C3665" s="13">
        <v>7</v>
      </c>
      <c r="D3665" s="12" t="s">
        <v>2190</v>
      </c>
      <c r="E3665" s="12" t="s">
        <v>2181</v>
      </c>
      <c r="F3665" s="12" t="s">
        <v>2191</v>
      </c>
      <c r="G3665" s="15" t="s">
        <v>13</v>
      </c>
      <c r="H3665" s="8"/>
      <c r="I3665" s="54">
        <v>15</v>
      </c>
      <c r="J3665" s="52"/>
      <c r="K3665" s="8"/>
      <c r="L3665" s="8"/>
      <c r="M3665" s="8"/>
      <c r="N3665" s="8"/>
      <c r="O3665" s="8"/>
      <c r="P3665" s="8"/>
      <c r="Q3665" s="8"/>
      <c r="R3665" s="8"/>
      <c r="S3665" s="8"/>
      <c r="T3665" s="8"/>
      <c r="U3665" s="8"/>
      <c r="V3665" s="8"/>
      <c r="W3665" s="8"/>
      <c r="X3665" s="8"/>
      <c r="Y3665" s="8"/>
      <c r="Z3665" s="8"/>
      <c r="AA3665" s="8"/>
    </row>
    <row r="3666" spans="1:27" s="10" customFormat="1" ht="15.75" hidden="1" thickBot="1" x14ac:dyDescent="0.3">
      <c r="A3666" s="36" t="s">
        <v>2179</v>
      </c>
      <c r="B3666" s="55" t="s">
        <v>2180</v>
      </c>
      <c r="C3666" s="31">
        <v>5</v>
      </c>
      <c r="D3666" s="30" t="s">
        <v>2186</v>
      </c>
      <c r="E3666" s="30" t="s">
        <v>2181</v>
      </c>
      <c r="F3666" s="30" t="s">
        <v>2187</v>
      </c>
      <c r="G3666" s="33" t="s">
        <v>13</v>
      </c>
      <c r="H3666" s="8"/>
      <c r="I3666" s="54">
        <v>15</v>
      </c>
      <c r="J3666" s="52"/>
      <c r="K3666" s="8"/>
      <c r="L3666" s="8"/>
      <c r="M3666" s="8"/>
      <c r="N3666" s="8"/>
      <c r="O3666" s="8"/>
      <c r="P3666" s="8"/>
      <c r="Q3666" s="8"/>
      <c r="R3666" s="8"/>
      <c r="S3666" s="8"/>
      <c r="T3666" s="8"/>
      <c r="U3666" s="8"/>
      <c r="V3666" s="8"/>
      <c r="W3666" s="8"/>
      <c r="X3666" s="8"/>
      <c r="Y3666" s="8"/>
      <c r="Z3666" s="8"/>
      <c r="AA3666" s="8"/>
    </row>
    <row r="3667" spans="1:27" s="40" customFormat="1" hidden="1" x14ac:dyDescent="0.25">
      <c r="A3667" s="46" t="s">
        <v>6688</v>
      </c>
      <c r="B3667" s="12" t="s">
        <v>6689</v>
      </c>
      <c r="C3667" s="13">
        <f>C3666+1</f>
        <v>6</v>
      </c>
      <c r="D3667" s="12" t="s">
        <v>6748</v>
      </c>
      <c r="E3667" s="12" t="s">
        <v>6690</v>
      </c>
      <c r="F3667" s="12" t="s">
        <v>6749</v>
      </c>
      <c r="G3667" s="15" t="s">
        <v>13</v>
      </c>
      <c r="H3667" s="8"/>
      <c r="I3667" s="90">
        <v>12</v>
      </c>
      <c r="J3667" s="8"/>
      <c r="K3667" s="8"/>
      <c r="L3667" s="8"/>
      <c r="M3667" s="8"/>
      <c r="N3667" s="8"/>
      <c r="O3667" s="8"/>
      <c r="P3667" s="8"/>
      <c r="Q3667" s="8"/>
      <c r="R3667" s="8"/>
      <c r="S3667" s="8"/>
      <c r="T3667" s="8"/>
      <c r="U3667" s="8"/>
      <c r="V3667" s="8"/>
      <c r="W3667" s="8"/>
      <c r="X3667" s="8"/>
      <c r="Y3667" s="8"/>
      <c r="Z3667" s="8"/>
      <c r="AA3667" s="8"/>
    </row>
    <row r="3668" spans="1:27" s="40" customFormat="1" hidden="1" x14ac:dyDescent="0.2">
      <c r="A3668" s="46" t="s">
        <v>93</v>
      </c>
      <c r="B3668" s="12" t="s">
        <v>94</v>
      </c>
      <c r="C3668" s="13">
        <v>90</v>
      </c>
      <c r="D3668" s="14" t="s">
        <v>283</v>
      </c>
      <c r="E3668" s="12" t="s">
        <v>96</v>
      </c>
      <c r="F3668" s="12" t="s">
        <v>284</v>
      </c>
      <c r="G3668" s="15" t="s">
        <v>285</v>
      </c>
      <c r="H3668" s="8"/>
      <c r="I3668" s="94">
        <v>14</v>
      </c>
      <c r="J3668" s="8"/>
      <c r="K3668" s="8"/>
      <c r="L3668" s="8"/>
      <c r="M3668" s="8"/>
      <c r="N3668" s="8"/>
      <c r="O3668" s="8"/>
      <c r="P3668" s="8"/>
      <c r="Q3668" s="8"/>
      <c r="R3668" s="8"/>
      <c r="S3668" s="8"/>
      <c r="T3668" s="8"/>
      <c r="U3668" s="8"/>
      <c r="V3668" s="8"/>
      <c r="W3668" s="8"/>
      <c r="X3668" s="8"/>
      <c r="Y3668" s="8"/>
      <c r="Z3668" s="8"/>
      <c r="AA3668" s="8"/>
    </row>
    <row r="3669" spans="1:27" s="40" customFormat="1" hidden="1" x14ac:dyDescent="0.2">
      <c r="A3669" s="46" t="s">
        <v>93</v>
      </c>
      <c r="B3669" s="12" t="s">
        <v>94</v>
      </c>
      <c r="C3669" s="13">
        <v>44</v>
      </c>
      <c r="D3669" s="14" t="s">
        <v>185</v>
      </c>
      <c r="E3669" s="12" t="s">
        <v>96</v>
      </c>
      <c r="F3669" s="12" t="s">
        <v>186</v>
      </c>
      <c r="G3669" s="15" t="s">
        <v>13</v>
      </c>
      <c r="H3669" s="8"/>
      <c r="I3669" s="90"/>
      <c r="J3669" s="8"/>
      <c r="K3669" s="8"/>
      <c r="L3669" s="8"/>
      <c r="M3669" s="8"/>
      <c r="N3669" s="8"/>
      <c r="O3669" s="8"/>
      <c r="P3669" s="8"/>
      <c r="Q3669" s="8"/>
      <c r="R3669" s="8"/>
      <c r="S3669" s="8"/>
      <c r="T3669" s="8"/>
      <c r="U3669" s="8"/>
      <c r="V3669" s="8"/>
      <c r="W3669" s="8"/>
      <c r="X3669" s="8"/>
      <c r="Y3669" s="8"/>
      <c r="Z3669" s="8"/>
      <c r="AA3669" s="8"/>
    </row>
    <row r="3670" spans="1:27" s="10" customFormat="1" hidden="1" x14ac:dyDescent="0.2">
      <c r="A3670" s="46" t="s">
        <v>2024</v>
      </c>
      <c r="B3670" s="12" t="s">
        <v>2025</v>
      </c>
      <c r="C3670" s="13">
        <v>33</v>
      </c>
      <c r="D3670" s="14" t="s">
        <v>2082</v>
      </c>
      <c r="E3670" s="12" t="s">
        <v>2026</v>
      </c>
      <c r="F3670" s="12" t="s">
        <v>2083</v>
      </c>
      <c r="G3670" s="15" t="s">
        <v>156</v>
      </c>
      <c r="H3670" s="8"/>
      <c r="I3670" s="90"/>
      <c r="J3670" s="8"/>
      <c r="K3670" s="8"/>
      <c r="L3670" s="8"/>
      <c r="M3670" s="8"/>
      <c r="N3670" s="8"/>
      <c r="O3670" s="8"/>
      <c r="P3670" s="8"/>
      <c r="Q3670" s="8"/>
      <c r="R3670" s="8"/>
      <c r="S3670" s="8"/>
      <c r="T3670" s="8"/>
      <c r="U3670" s="8"/>
      <c r="V3670" s="8"/>
      <c r="W3670" s="8"/>
      <c r="X3670" s="8"/>
      <c r="Y3670" s="8"/>
      <c r="Z3670" s="8"/>
      <c r="AA3670" s="8"/>
    </row>
    <row r="3671" spans="1:27" s="10" customFormat="1" hidden="1" x14ac:dyDescent="0.25">
      <c r="A3671" s="46" t="s">
        <v>1568</v>
      </c>
      <c r="B3671" s="12" t="s">
        <v>1569</v>
      </c>
      <c r="C3671" s="13">
        <v>28</v>
      </c>
      <c r="D3671" s="12" t="s">
        <v>1627</v>
      </c>
      <c r="E3671" s="12" t="s">
        <v>1570</v>
      </c>
      <c r="F3671" s="12" t="s">
        <v>1628</v>
      </c>
      <c r="G3671" s="15" t="s">
        <v>1574</v>
      </c>
      <c r="H3671" s="8"/>
      <c r="I3671" s="94">
        <v>14</v>
      </c>
      <c r="J3671" s="8"/>
      <c r="K3671" s="8"/>
      <c r="L3671" s="8"/>
      <c r="M3671" s="8"/>
      <c r="N3671" s="8"/>
      <c r="O3671" s="8"/>
      <c r="P3671" s="8"/>
      <c r="Q3671" s="8"/>
      <c r="R3671" s="8"/>
      <c r="S3671" s="8"/>
      <c r="T3671" s="8"/>
      <c r="U3671" s="8"/>
      <c r="V3671" s="8"/>
      <c r="W3671" s="8"/>
      <c r="X3671" s="8"/>
      <c r="Y3671" s="8"/>
      <c r="Z3671" s="8"/>
      <c r="AA3671" s="8"/>
    </row>
    <row r="3672" spans="1:27" s="10" customFormat="1" hidden="1" x14ac:dyDescent="0.2">
      <c r="A3672" s="46" t="s">
        <v>926</v>
      </c>
      <c r="B3672" s="12" t="s">
        <v>927</v>
      </c>
      <c r="C3672" s="13">
        <v>7</v>
      </c>
      <c r="D3672" s="14" t="s">
        <v>939</v>
      </c>
      <c r="E3672" s="12" t="s">
        <v>928</v>
      </c>
      <c r="F3672" s="12" t="s">
        <v>940</v>
      </c>
      <c r="G3672" s="15" t="s">
        <v>829</v>
      </c>
      <c r="H3672" s="8"/>
      <c r="I3672" s="9">
        <v>15</v>
      </c>
      <c r="J3672" s="8"/>
      <c r="K3672" s="8"/>
      <c r="L3672" s="8"/>
      <c r="M3672" s="8"/>
      <c r="N3672" s="8"/>
      <c r="O3672" s="8"/>
      <c r="P3672" s="8"/>
      <c r="Q3672" s="8"/>
      <c r="R3672" s="8"/>
      <c r="S3672" s="8"/>
      <c r="T3672" s="8"/>
      <c r="U3672" s="8"/>
      <c r="V3672" s="8"/>
      <c r="W3672" s="8"/>
      <c r="X3672" s="8"/>
      <c r="Y3672" s="8"/>
      <c r="Z3672" s="8"/>
      <c r="AA3672" s="8"/>
    </row>
    <row r="3673" spans="1:27" s="10" customFormat="1" hidden="1" x14ac:dyDescent="0.2">
      <c r="A3673" s="46" t="s">
        <v>943</v>
      </c>
      <c r="B3673" s="12" t="s">
        <v>944</v>
      </c>
      <c r="C3673" s="13">
        <v>6</v>
      </c>
      <c r="D3673" s="14" t="s">
        <v>953</v>
      </c>
      <c r="E3673" s="12" t="s">
        <v>945</v>
      </c>
      <c r="F3673" s="12" t="s">
        <v>954</v>
      </c>
      <c r="G3673" s="15" t="s">
        <v>829</v>
      </c>
      <c r="H3673" s="8"/>
      <c r="I3673" s="9">
        <v>15</v>
      </c>
      <c r="J3673" s="8"/>
      <c r="K3673" s="8"/>
      <c r="L3673" s="8"/>
      <c r="M3673" s="8"/>
      <c r="N3673" s="8"/>
      <c r="O3673" s="8"/>
      <c r="P3673" s="8"/>
      <c r="Q3673" s="8"/>
      <c r="R3673" s="8"/>
      <c r="S3673" s="8"/>
      <c r="T3673" s="8"/>
      <c r="U3673" s="8"/>
      <c r="V3673" s="8"/>
      <c r="W3673" s="8"/>
      <c r="X3673" s="8"/>
      <c r="Y3673" s="8"/>
      <c r="Z3673" s="8"/>
      <c r="AA3673" s="8"/>
    </row>
    <row r="3674" spans="1:27" s="10" customFormat="1" ht="15" hidden="1" x14ac:dyDescent="0.25">
      <c r="A3674" s="46" t="s">
        <v>5523</v>
      </c>
      <c r="B3674" s="12" t="s">
        <v>5524</v>
      </c>
      <c r="C3674" s="13">
        <v>13</v>
      </c>
      <c r="D3674" s="14" t="s">
        <v>5550</v>
      </c>
      <c r="E3674" s="12" t="s">
        <v>5526</v>
      </c>
      <c r="F3674" s="65" t="s">
        <v>5551</v>
      </c>
      <c r="G3674" s="77" t="s">
        <v>1323</v>
      </c>
      <c r="H3674" s="8"/>
      <c r="I3674" s="9">
        <v>15</v>
      </c>
      <c r="J3674" s="52"/>
      <c r="K3674" s="8"/>
      <c r="L3674" s="8"/>
      <c r="M3674" s="8"/>
      <c r="N3674" s="8"/>
      <c r="O3674" s="8"/>
      <c r="P3674" s="8"/>
      <c r="Q3674" s="8"/>
      <c r="R3674" s="8"/>
      <c r="S3674" s="8"/>
      <c r="T3674" s="8"/>
      <c r="U3674" s="8"/>
      <c r="V3674" s="8"/>
      <c r="W3674" s="8"/>
      <c r="X3674" s="8"/>
      <c r="Y3674" s="8"/>
      <c r="Z3674" s="8"/>
      <c r="AA3674" s="8"/>
    </row>
    <row r="3675" spans="1:27" s="10" customFormat="1" hidden="1" x14ac:dyDescent="0.2">
      <c r="A3675" s="46" t="s">
        <v>943</v>
      </c>
      <c r="B3675" s="12" t="s">
        <v>944</v>
      </c>
      <c r="C3675" s="13">
        <v>11</v>
      </c>
      <c r="D3675" s="14" t="s">
        <v>963</v>
      </c>
      <c r="E3675" s="12" t="s">
        <v>945</v>
      </c>
      <c r="F3675" s="12" t="s">
        <v>964</v>
      </c>
      <c r="G3675" s="15" t="s">
        <v>829</v>
      </c>
      <c r="H3675" s="8"/>
      <c r="I3675" s="9">
        <v>15</v>
      </c>
      <c r="J3675" s="8"/>
      <c r="K3675" s="8"/>
      <c r="L3675" s="8"/>
      <c r="M3675" s="8"/>
      <c r="N3675" s="8"/>
      <c r="O3675" s="8"/>
      <c r="P3675" s="8"/>
      <c r="Q3675" s="8"/>
      <c r="R3675" s="8"/>
      <c r="S3675" s="8"/>
      <c r="T3675" s="8"/>
      <c r="U3675" s="8"/>
      <c r="V3675" s="8"/>
      <c r="W3675" s="8"/>
      <c r="X3675" s="8"/>
      <c r="Y3675" s="8"/>
      <c r="Z3675" s="8"/>
      <c r="AA3675" s="8"/>
    </row>
    <row r="3676" spans="1:27" s="10" customFormat="1" hidden="1" x14ac:dyDescent="0.2">
      <c r="A3676" s="46" t="s">
        <v>93</v>
      </c>
      <c r="B3676" s="12" t="s">
        <v>94</v>
      </c>
      <c r="C3676" s="13">
        <v>25</v>
      </c>
      <c r="D3676" s="14" t="s">
        <v>142</v>
      </c>
      <c r="E3676" s="12" t="s">
        <v>96</v>
      </c>
      <c r="F3676" s="12" t="s">
        <v>143</v>
      </c>
      <c r="G3676" s="15" t="s">
        <v>13</v>
      </c>
      <c r="H3676" s="8"/>
      <c r="I3676" s="90"/>
      <c r="J3676" s="8"/>
      <c r="K3676" s="8"/>
      <c r="L3676" s="8"/>
      <c r="M3676" s="8"/>
      <c r="N3676" s="8"/>
      <c r="O3676" s="8"/>
      <c r="P3676" s="8"/>
      <c r="Q3676" s="8"/>
      <c r="R3676" s="8"/>
      <c r="S3676" s="8"/>
      <c r="T3676" s="8"/>
      <c r="U3676" s="8"/>
      <c r="V3676" s="8"/>
      <c r="W3676" s="8"/>
      <c r="X3676" s="8"/>
      <c r="Y3676" s="8"/>
      <c r="Z3676" s="8"/>
      <c r="AA3676" s="8"/>
    </row>
    <row r="3677" spans="1:27" s="10" customFormat="1" ht="24" hidden="1" x14ac:dyDescent="0.25">
      <c r="A3677" s="46" t="s">
        <v>1882</v>
      </c>
      <c r="B3677" s="12" t="s">
        <v>1883</v>
      </c>
      <c r="C3677" s="13">
        <v>8</v>
      </c>
      <c r="D3677" s="51" t="s">
        <v>1896</v>
      </c>
      <c r="E3677" s="12" t="s">
        <v>1884</v>
      </c>
      <c r="F3677" s="12" t="s">
        <v>1897</v>
      </c>
      <c r="G3677" s="15" t="s">
        <v>13</v>
      </c>
      <c r="H3677" s="8"/>
      <c r="I3677" s="9">
        <v>15</v>
      </c>
      <c r="J3677" s="8"/>
      <c r="K3677" s="8"/>
      <c r="L3677" s="8"/>
      <c r="M3677" s="8"/>
      <c r="N3677" s="8"/>
      <c r="O3677" s="8"/>
      <c r="P3677" s="8"/>
      <c r="Q3677" s="8"/>
      <c r="R3677" s="8"/>
      <c r="S3677" s="8"/>
      <c r="T3677" s="8"/>
      <c r="U3677" s="8"/>
      <c r="V3677" s="8"/>
      <c r="W3677" s="8"/>
      <c r="X3677" s="8"/>
      <c r="Y3677" s="8"/>
      <c r="Z3677" s="8"/>
      <c r="AA3677" s="8"/>
    </row>
    <row r="3678" spans="1:27" s="10" customFormat="1" ht="15" hidden="1" x14ac:dyDescent="0.25">
      <c r="A3678" s="11" t="s">
        <v>2237</v>
      </c>
      <c r="B3678" s="8" t="s">
        <v>2238</v>
      </c>
      <c r="C3678" s="13">
        <v>10</v>
      </c>
      <c r="D3678" s="12" t="s">
        <v>2255</v>
      </c>
      <c r="E3678" s="12" t="s">
        <v>2239</v>
      </c>
      <c r="F3678" s="12" t="s">
        <v>2256</v>
      </c>
      <c r="G3678" s="15" t="s">
        <v>276</v>
      </c>
      <c r="H3678" s="8"/>
      <c r="I3678" s="54">
        <v>15</v>
      </c>
      <c r="J3678" s="52"/>
      <c r="K3678" s="8"/>
      <c r="L3678" s="8"/>
      <c r="M3678" s="8"/>
      <c r="N3678" s="8"/>
      <c r="O3678" s="8"/>
      <c r="P3678" s="8"/>
      <c r="Q3678" s="8"/>
      <c r="R3678" s="8"/>
      <c r="S3678" s="8"/>
      <c r="T3678" s="8"/>
      <c r="U3678" s="8"/>
      <c r="V3678" s="8"/>
      <c r="W3678" s="8"/>
      <c r="X3678" s="8"/>
      <c r="Y3678" s="8"/>
      <c r="Z3678" s="8"/>
      <c r="AA3678" s="8"/>
    </row>
    <row r="3679" spans="1:27" s="40" customFormat="1" ht="15" hidden="1" x14ac:dyDescent="0.25">
      <c r="A3679" s="11" t="s">
        <v>2237</v>
      </c>
      <c r="B3679" s="8" t="s">
        <v>2238</v>
      </c>
      <c r="C3679" s="13">
        <v>13</v>
      </c>
      <c r="D3679" s="12" t="s">
        <v>2261</v>
      </c>
      <c r="E3679" s="12" t="s">
        <v>2239</v>
      </c>
      <c r="F3679" s="12" t="s">
        <v>2262</v>
      </c>
      <c r="G3679" s="15" t="s">
        <v>276</v>
      </c>
      <c r="H3679" s="8"/>
      <c r="I3679" s="54">
        <v>15</v>
      </c>
      <c r="J3679" s="52"/>
      <c r="K3679" s="8"/>
      <c r="L3679" s="8"/>
      <c r="M3679" s="8"/>
      <c r="N3679" s="8"/>
      <c r="O3679" s="8"/>
      <c r="P3679" s="8"/>
      <c r="Q3679" s="8"/>
      <c r="R3679" s="8"/>
      <c r="S3679" s="8"/>
      <c r="T3679" s="8"/>
      <c r="U3679" s="8"/>
      <c r="V3679" s="8"/>
      <c r="W3679" s="8"/>
      <c r="X3679" s="8"/>
      <c r="Y3679" s="8"/>
      <c r="Z3679" s="8"/>
      <c r="AA3679" s="8"/>
    </row>
    <row r="3680" spans="1:27" s="10" customFormat="1" hidden="1" x14ac:dyDescent="0.25">
      <c r="A3680" s="11" t="s">
        <v>1768</v>
      </c>
      <c r="B3680" s="12" t="s">
        <v>1769</v>
      </c>
      <c r="C3680" s="13">
        <v>19</v>
      </c>
      <c r="D3680" s="12" t="s">
        <v>1792</v>
      </c>
      <c r="E3680" s="12" t="s">
        <v>1770</v>
      </c>
      <c r="F3680" s="12" t="s">
        <v>1793</v>
      </c>
      <c r="G3680" s="15" t="s">
        <v>1574</v>
      </c>
      <c r="H3680" s="8"/>
      <c r="I3680" s="94">
        <v>14</v>
      </c>
      <c r="J3680" s="8"/>
      <c r="K3680" s="8"/>
      <c r="L3680" s="8"/>
      <c r="M3680" s="8"/>
      <c r="N3680" s="8"/>
      <c r="O3680" s="8"/>
      <c r="P3680" s="8"/>
      <c r="Q3680" s="8"/>
      <c r="R3680" s="8"/>
      <c r="S3680" s="8"/>
      <c r="T3680" s="8"/>
      <c r="U3680" s="8"/>
      <c r="V3680" s="8"/>
      <c r="W3680" s="8"/>
      <c r="X3680" s="8"/>
      <c r="Y3680" s="8"/>
      <c r="Z3680" s="8"/>
      <c r="AA3680" s="8"/>
    </row>
    <row r="3681" spans="1:27" s="10" customFormat="1" hidden="1" x14ac:dyDescent="0.2">
      <c r="A3681" s="11" t="s">
        <v>3355</v>
      </c>
      <c r="B3681" s="12" t="s">
        <v>3356</v>
      </c>
      <c r="C3681" s="13">
        <v>15</v>
      </c>
      <c r="D3681" s="12" t="s">
        <v>3376</v>
      </c>
      <c r="E3681" s="12" t="s">
        <v>3357</v>
      </c>
      <c r="F3681" s="65" t="s">
        <v>3377</v>
      </c>
      <c r="G3681" s="66" t="s">
        <v>13</v>
      </c>
      <c r="H3681" s="8"/>
      <c r="I3681" s="90"/>
      <c r="J3681" s="8"/>
      <c r="K3681" s="8"/>
      <c r="L3681" s="8"/>
      <c r="M3681" s="8"/>
      <c r="N3681" s="8"/>
      <c r="O3681" s="8"/>
      <c r="P3681" s="8"/>
      <c r="Q3681" s="8"/>
      <c r="R3681" s="8"/>
      <c r="S3681" s="8"/>
      <c r="T3681" s="8"/>
      <c r="U3681" s="8"/>
      <c r="V3681" s="8"/>
      <c r="W3681" s="8"/>
      <c r="X3681" s="8"/>
      <c r="Y3681" s="8"/>
      <c r="Z3681" s="8"/>
      <c r="AA3681" s="8"/>
    </row>
    <row r="3682" spans="1:27" s="10" customFormat="1" hidden="1" x14ac:dyDescent="0.2">
      <c r="A3682" s="46" t="s">
        <v>4087</v>
      </c>
      <c r="B3682" s="12" t="s">
        <v>4088</v>
      </c>
      <c r="C3682" s="13">
        <f>C3681+1</f>
        <v>16</v>
      </c>
      <c r="D3682" s="12" t="s">
        <v>3376</v>
      </c>
      <c r="E3682" s="12" t="s">
        <v>4089</v>
      </c>
      <c r="F3682" s="12" t="s">
        <v>4178</v>
      </c>
      <c r="G3682" s="66" t="s">
        <v>13</v>
      </c>
      <c r="H3682" s="8"/>
      <c r="I3682" s="90" t="s">
        <v>2426</v>
      </c>
      <c r="J3682" s="8"/>
      <c r="K3682" s="8"/>
      <c r="L3682" s="8"/>
      <c r="M3682" s="8"/>
      <c r="N3682" s="8"/>
      <c r="O3682" s="8"/>
      <c r="P3682" s="8"/>
      <c r="Q3682" s="8"/>
      <c r="R3682" s="8"/>
      <c r="S3682" s="8"/>
      <c r="T3682" s="8"/>
      <c r="U3682" s="8"/>
      <c r="V3682" s="8"/>
      <c r="W3682" s="8"/>
      <c r="X3682" s="8"/>
      <c r="Y3682" s="8"/>
      <c r="Z3682" s="8"/>
      <c r="AA3682" s="8"/>
    </row>
    <row r="3683" spans="1:27" s="10" customFormat="1" hidden="1" x14ac:dyDescent="0.2">
      <c r="A3683" s="46" t="s">
        <v>4212</v>
      </c>
      <c r="B3683" s="12" t="s">
        <v>4213</v>
      </c>
      <c r="C3683" s="13">
        <f>C3682+1</f>
        <v>17</v>
      </c>
      <c r="D3683" s="12" t="s">
        <v>3376</v>
      </c>
      <c r="E3683" s="12" t="s">
        <v>4214</v>
      </c>
      <c r="F3683" s="12" t="s">
        <v>4292</v>
      </c>
      <c r="G3683" s="66" t="s">
        <v>13</v>
      </c>
      <c r="H3683" s="8"/>
      <c r="I3683" s="90" t="s">
        <v>2426</v>
      </c>
      <c r="J3683" s="8"/>
      <c r="K3683" s="8"/>
      <c r="L3683" s="8"/>
      <c r="M3683" s="8"/>
      <c r="N3683" s="8"/>
      <c r="O3683" s="8"/>
      <c r="P3683" s="8"/>
      <c r="Q3683" s="8"/>
      <c r="R3683" s="8"/>
      <c r="S3683" s="8"/>
      <c r="T3683" s="8"/>
      <c r="U3683" s="8"/>
      <c r="V3683" s="8"/>
      <c r="W3683" s="8"/>
      <c r="X3683" s="8"/>
      <c r="Y3683" s="8"/>
      <c r="Z3683" s="8"/>
      <c r="AA3683" s="8"/>
    </row>
    <row r="3684" spans="1:27" s="10" customFormat="1" hidden="1" x14ac:dyDescent="0.2">
      <c r="A3684" s="46" t="s">
        <v>4318</v>
      </c>
      <c r="B3684" s="12" t="s">
        <v>4319</v>
      </c>
      <c r="C3684" s="13">
        <f>C3683+1</f>
        <v>18</v>
      </c>
      <c r="D3684" s="22" t="s">
        <v>3376</v>
      </c>
      <c r="E3684" s="12" t="s">
        <v>4320</v>
      </c>
      <c r="F3684" s="22" t="s">
        <v>4322</v>
      </c>
      <c r="G3684" s="66" t="s">
        <v>13</v>
      </c>
      <c r="H3684" s="8"/>
      <c r="I3684" s="90" t="s">
        <v>2426</v>
      </c>
      <c r="J3684" s="8"/>
      <c r="K3684" s="8"/>
      <c r="L3684" s="8"/>
      <c r="M3684" s="8"/>
      <c r="N3684" s="8"/>
      <c r="O3684" s="8"/>
      <c r="P3684" s="8"/>
      <c r="Q3684" s="8"/>
      <c r="R3684" s="8"/>
      <c r="S3684" s="8"/>
      <c r="T3684" s="8"/>
      <c r="U3684" s="8"/>
      <c r="V3684" s="8"/>
      <c r="W3684" s="8"/>
      <c r="X3684" s="8"/>
      <c r="Y3684" s="8"/>
      <c r="Z3684" s="8"/>
      <c r="AA3684" s="8"/>
    </row>
    <row r="3685" spans="1:27" s="10" customFormat="1" hidden="1" x14ac:dyDescent="0.2">
      <c r="A3685" s="46" t="s">
        <v>4335</v>
      </c>
      <c r="B3685" s="12" t="s">
        <v>4336</v>
      </c>
      <c r="C3685" s="13">
        <f>C3684+1</f>
        <v>19</v>
      </c>
      <c r="D3685" s="22" t="s">
        <v>3376</v>
      </c>
      <c r="E3685" s="12" t="s">
        <v>4337</v>
      </c>
      <c r="F3685" s="22" t="s">
        <v>4339</v>
      </c>
      <c r="G3685" s="66" t="s">
        <v>13</v>
      </c>
      <c r="H3685" s="8"/>
      <c r="I3685" s="90" t="s">
        <v>2426</v>
      </c>
      <c r="J3685" s="8"/>
      <c r="K3685" s="8"/>
      <c r="L3685" s="8"/>
      <c r="M3685" s="8"/>
      <c r="N3685" s="8"/>
      <c r="O3685" s="8"/>
      <c r="P3685" s="8"/>
      <c r="Q3685" s="8"/>
      <c r="R3685" s="8"/>
      <c r="S3685" s="8"/>
      <c r="T3685" s="8"/>
      <c r="U3685" s="8"/>
      <c r="V3685" s="8"/>
      <c r="W3685" s="8"/>
      <c r="X3685" s="8"/>
      <c r="Y3685" s="8"/>
      <c r="Z3685" s="8"/>
      <c r="AA3685" s="8"/>
    </row>
    <row r="3686" spans="1:27" s="10" customFormat="1" hidden="1" x14ac:dyDescent="0.2">
      <c r="A3686" s="46" t="s">
        <v>4375</v>
      </c>
      <c r="B3686" s="12" t="s">
        <v>4376</v>
      </c>
      <c r="C3686" s="13">
        <f>C3685+1</f>
        <v>20</v>
      </c>
      <c r="D3686" s="22" t="s">
        <v>3376</v>
      </c>
      <c r="E3686" s="12" t="s">
        <v>4377</v>
      </c>
      <c r="F3686" s="22" t="s">
        <v>4379</v>
      </c>
      <c r="G3686" s="66" t="s">
        <v>13</v>
      </c>
      <c r="H3686" s="8"/>
      <c r="I3686" s="90" t="s">
        <v>2426</v>
      </c>
      <c r="J3686" s="8"/>
      <c r="K3686" s="8"/>
      <c r="L3686" s="8"/>
      <c r="M3686" s="8"/>
      <c r="N3686" s="8"/>
      <c r="O3686" s="8"/>
      <c r="P3686" s="8"/>
      <c r="Q3686" s="8"/>
      <c r="R3686" s="8"/>
      <c r="S3686" s="8"/>
      <c r="T3686" s="8"/>
      <c r="U3686" s="8"/>
      <c r="V3686" s="8"/>
      <c r="W3686" s="8"/>
      <c r="X3686" s="8"/>
      <c r="Y3686" s="8"/>
      <c r="Z3686" s="8"/>
      <c r="AA3686" s="8"/>
    </row>
    <row r="3687" spans="1:27" s="10" customFormat="1" hidden="1" x14ac:dyDescent="0.2">
      <c r="A3687" s="46" t="s">
        <v>2024</v>
      </c>
      <c r="B3687" s="12" t="s">
        <v>2025</v>
      </c>
      <c r="C3687" s="13">
        <v>34</v>
      </c>
      <c r="D3687" s="14" t="s">
        <v>2084</v>
      </c>
      <c r="E3687" s="12" t="s">
        <v>2026</v>
      </c>
      <c r="F3687" s="12" t="s">
        <v>2085</v>
      </c>
      <c r="G3687" s="15" t="s">
        <v>156</v>
      </c>
      <c r="H3687" s="8"/>
      <c r="I3687" s="90"/>
      <c r="J3687" s="8"/>
      <c r="K3687" s="8"/>
      <c r="L3687" s="8"/>
      <c r="M3687" s="8"/>
      <c r="N3687" s="8"/>
      <c r="O3687" s="8"/>
      <c r="P3687" s="8"/>
      <c r="Q3687" s="8"/>
      <c r="R3687" s="8"/>
      <c r="S3687" s="8"/>
      <c r="T3687" s="8"/>
      <c r="U3687" s="8"/>
      <c r="V3687" s="8"/>
      <c r="W3687" s="8"/>
      <c r="X3687" s="8"/>
      <c r="Y3687" s="8"/>
      <c r="Z3687" s="8"/>
      <c r="AA3687" s="8"/>
    </row>
    <row r="3688" spans="1:27" s="10" customFormat="1" hidden="1" x14ac:dyDescent="0.2">
      <c r="A3688" s="11" t="s">
        <v>5627</v>
      </c>
      <c r="B3688" s="12" t="s">
        <v>5628</v>
      </c>
      <c r="C3688" s="13">
        <f>C3687+1</f>
        <v>35</v>
      </c>
      <c r="D3688" s="12" t="s">
        <v>2105</v>
      </c>
      <c r="E3688" s="12" t="s">
        <v>5629</v>
      </c>
      <c r="F3688" s="12" t="s">
        <v>5640</v>
      </c>
      <c r="G3688" s="66" t="s">
        <v>42</v>
      </c>
      <c r="H3688" s="8"/>
      <c r="I3688" s="90">
        <v>12</v>
      </c>
      <c r="J3688" s="8"/>
      <c r="K3688" s="8"/>
      <c r="L3688" s="8"/>
      <c r="M3688" s="8"/>
      <c r="N3688" s="8"/>
      <c r="O3688" s="8"/>
      <c r="P3688" s="8"/>
      <c r="Q3688" s="8"/>
      <c r="R3688" s="8"/>
      <c r="S3688" s="8"/>
      <c r="T3688" s="8"/>
      <c r="U3688" s="8"/>
      <c r="V3688" s="8"/>
      <c r="W3688" s="8"/>
      <c r="X3688" s="8"/>
      <c r="Y3688" s="8"/>
      <c r="Z3688" s="8"/>
      <c r="AA3688" s="8"/>
    </row>
    <row r="3689" spans="1:27" s="10" customFormat="1" hidden="1" x14ac:dyDescent="0.25">
      <c r="A3689" s="11" t="s">
        <v>6286</v>
      </c>
      <c r="B3689" s="12" t="s">
        <v>6287</v>
      </c>
      <c r="C3689" s="13">
        <f>C3688+1</f>
        <v>36</v>
      </c>
      <c r="D3689" s="12" t="s">
        <v>2105</v>
      </c>
      <c r="E3689" s="12" t="s">
        <v>6288</v>
      </c>
      <c r="F3689" s="12" t="s">
        <v>6304</v>
      </c>
      <c r="G3689" s="15" t="s">
        <v>78</v>
      </c>
      <c r="H3689" s="8"/>
      <c r="I3689" s="90">
        <v>12</v>
      </c>
      <c r="J3689" s="8"/>
      <c r="K3689" s="8"/>
      <c r="L3689" s="8"/>
      <c r="M3689" s="8"/>
      <c r="N3689" s="8"/>
      <c r="O3689" s="8"/>
      <c r="P3689" s="8"/>
      <c r="Q3689" s="8"/>
      <c r="R3689" s="8"/>
      <c r="S3689" s="8"/>
      <c r="T3689" s="8"/>
      <c r="U3689" s="8"/>
      <c r="V3689" s="8"/>
      <c r="W3689" s="8"/>
      <c r="X3689" s="8"/>
      <c r="Y3689" s="8"/>
      <c r="Z3689" s="8"/>
      <c r="AA3689" s="8"/>
    </row>
    <row r="3690" spans="1:27" s="10" customFormat="1" hidden="1" x14ac:dyDescent="0.2">
      <c r="A3690" s="11" t="s">
        <v>6645</v>
      </c>
      <c r="B3690" s="12" t="s">
        <v>6646</v>
      </c>
      <c r="C3690" s="13">
        <f>+C3689+1</f>
        <v>37</v>
      </c>
      <c r="D3690" s="14" t="s">
        <v>2105</v>
      </c>
      <c r="E3690" s="12" t="s">
        <v>6647</v>
      </c>
      <c r="F3690" s="12" t="s">
        <v>6660</v>
      </c>
      <c r="G3690" s="15" t="s">
        <v>78</v>
      </c>
      <c r="H3690" s="8"/>
      <c r="I3690" s="90"/>
      <c r="J3690" s="8"/>
      <c r="K3690" s="8"/>
      <c r="L3690" s="8"/>
      <c r="M3690" s="8"/>
      <c r="N3690" s="8"/>
      <c r="O3690" s="8"/>
      <c r="P3690" s="8"/>
      <c r="Q3690" s="8"/>
      <c r="R3690" s="8"/>
      <c r="S3690" s="8"/>
      <c r="T3690" s="8"/>
      <c r="U3690" s="8"/>
      <c r="V3690" s="8"/>
      <c r="W3690" s="8"/>
      <c r="X3690" s="8"/>
      <c r="Y3690" s="8"/>
      <c r="Z3690" s="8"/>
      <c r="AA3690" s="8"/>
    </row>
    <row r="3691" spans="1:27" s="10" customFormat="1" ht="12.75" hidden="1" thickBot="1" x14ac:dyDescent="0.3">
      <c r="A3691" s="36" t="s">
        <v>6688</v>
      </c>
      <c r="B3691" s="12" t="s">
        <v>6689</v>
      </c>
      <c r="C3691" s="13">
        <v>29</v>
      </c>
      <c r="D3691" s="12" t="s">
        <v>2105</v>
      </c>
      <c r="E3691" s="12" t="s">
        <v>6690</v>
      </c>
      <c r="F3691" s="12" t="s">
        <v>6742</v>
      </c>
      <c r="G3691" s="33" t="s">
        <v>78</v>
      </c>
      <c r="H3691" s="8"/>
      <c r="I3691" s="90"/>
      <c r="J3691" s="8"/>
      <c r="K3691" s="8"/>
      <c r="L3691" s="8"/>
      <c r="M3691" s="8"/>
      <c r="N3691" s="8"/>
      <c r="O3691" s="8"/>
      <c r="P3691" s="8"/>
      <c r="Q3691" s="8"/>
      <c r="R3691" s="8"/>
      <c r="S3691" s="8"/>
      <c r="T3691" s="8"/>
      <c r="U3691" s="8"/>
      <c r="V3691" s="8"/>
      <c r="W3691" s="8"/>
      <c r="X3691" s="8"/>
      <c r="Y3691" s="8"/>
      <c r="Z3691" s="8"/>
      <c r="AA3691" s="8"/>
    </row>
    <row r="3692" spans="1:27" s="40" customFormat="1" hidden="1" x14ac:dyDescent="0.25">
      <c r="A3692" s="139" t="s">
        <v>6347</v>
      </c>
      <c r="B3692" s="61" t="s">
        <v>6348</v>
      </c>
      <c r="C3692" s="58">
        <f>C3691+1</f>
        <v>30</v>
      </c>
      <c r="D3692" s="17" t="s">
        <v>6353</v>
      </c>
      <c r="E3692" s="61" t="s">
        <v>6349</v>
      </c>
      <c r="F3692" s="17" t="s">
        <v>6354</v>
      </c>
      <c r="G3692" s="15" t="s">
        <v>13</v>
      </c>
      <c r="H3692" s="8"/>
      <c r="I3692" s="90">
        <v>12</v>
      </c>
      <c r="J3692" s="8"/>
      <c r="K3692" s="8"/>
      <c r="L3692" s="8"/>
      <c r="M3692" s="8"/>
      <c r="N3692" s="8"/>
      <c r="O3692" s="8"/>
      <c r="P3692" s="8"/>
      <c r="Q3692" s="8"/>
      <c r="R3692" s="8"/>
      <c r="S3692" s="8"/>
      <c r="T3692" s="8"/>
      <c r="U3692" s="8"/>
      <c r="V3692" s="8"/>
      <c r="W3692" s="8"/>
      <c r="X3692" s="8"/>
      <c r="Y3692" s="8"/>
      <c r="Z3692" s="8"/>
      <c r="AA3692" s="8"/>
    </row>
    <row r="3693" spans="1:27" s="40" customFormat="1" hidden="1" x14ac:dyDescent="0.25">
      <c r="A3693" s="46" t="s">
        <v>6678</v>
      </c>
      <c r="B3693" s="12" t="s">
        <v>6679</v>
      </c>
      <c r="C3693" s="13">
        <f>+C3692+1</f>
        <v>31</v>
      </c>
      <c r="D3693" s="22" t="s">
        <v>6353</v>
      </c>
      <c r="E3693" s="12" t="s">
        <v>6680</v>
      </c>
      <c r="F3693" s="22" t="s">
        <v>6685</v>
      </c>
      <c r="G3693" s="15" t="s">
        <v>13</v>
      </c>
      <c r="H3693" s="8"/>
      <c r="I3693" s="90"/>
      <c r="J3693" s="8"/>
      <c r="K3693" s="8"/>
      <c r="L3693" s="8"/>
      <c r="M3693" s="8"/>
      <c r="N3693" s="8"/>
      <c r="O3693" s="8"/>
      <c r="P3693" s="8"/>
      <c r="Q3693" s="8"/>
      <c r="R3693" s="8"/>
      <c r="S3693" s="8"/>
      <c r="T3693" s="8"/>
      <c r="U3693" s="8"/>
      <c r="V3693" s="8"/>
      <c r="W3693" s="8"/>
      <c r="X3693" s="8"/>
      <c r="Y3693" s="8"/>
      <c r="Z3693" s="8"/>
      <c r="AA3693" s="8"/>
    </row>
    <row r="3694" spans="1:27" s="40" customFormat="1" hidden="1" x14ac:dyDescent="0.25">
      <c r="A3694" s="46" t="s">
        <v>1568</v>
      </c>
      <c r="B3694" s="12" t="s">
        <v>1569</v>
      </c>
      <c r="C3694" s="13">
        <v>5</v>
      </c>
      <c r="D3694" s="12" t="s">
        <v>1580</v>
      </c>
      <c r="E3694" s="12" t="s">
        <v>1570</v>
      </c>
      <c r="F3694" s="12" t="s">
        <v>1581</v>
      </c>
      <c r="G3694" s="15" t="s">
        <v>1574</v>
      </c>
      <c r="H3694" s="8"/>
      <c r="I3694" s="94">
        <v>14</v>
      </c>
      <c r="J3694" s="8"/>
      <c r="K3694" s="8"/>
      <c r="L3694" s="8"/>
      <c r="M3694" s="8"/>
      <c r="N3694" s="8"/>
      <c r="O3694" s="8"/>
      <c r="P3694" s="8"/>
      <c r="Q3694" s="8"/>
      <c r="R3694" s="8"/>
      <c r="S3694" s="8"/>
      <c r="T3694" s="8"/>
      <c r="U3694" s="8"/>
      <c r="V3694" s="8"/>
      <c r="W3694" s="8"/>
      <c r="X3694" s="8"/>
      <c r="Y3694" s="8"/>
      <c r="Z3694" s="8"/>
      <c r="AA3694" s="8"/>
    </row>
    <row r="3695" spans="1:27" s="10" customFormat="1" hidden="1" x14ac:dyDescent="0.25">
      <c r="A3695" s="46" t="s">
        <v>1768</v>
      </c>
      <c r="B3695" s="12" t="s">
        <v>1769</v>
      </c>
      <c r="C3695" s="13">
        <v>2</v>
      </c>
      <c r="D3695" s="22" t="s">
        <v>1580</v>
      </c>
      <c r="E3695" s="12" t="s">
        <v>1770</v>
      </c>
      <c r="F3695" s="22" t="s">
        <v>1772</v>
      </c>
      <c r="G3695" s="15" t="s">
        <v>1574</v>
      </c>
      <c r="H3695" s="8"/>
      <c r="I3695" s="94">
        <v>14</v>
      </c>
      <c r="J3695" s="8"/>
      <c r="K3695" s="8"/>
      <c r="L3695" s="8"/>
      <c r="M3695" s="8"/>
      <c r="N3695" s="8"/>
      <c r="O3695" s="8"/>
      <c r="P3695" s="8"/>
      <c r="Q3695" s="8"/>
      <c r="R3695" s="8"/>
      <c r="S3695" s="8"/>
      <c r="T3695" s="8"/>
      <c r="U3695" s="8"/>
      <c r="V3695" s="8"/>
      <c r="W3695" s="8"/>
      <c r="X3695" s="8"/>
      <c r="Y3695" s="8"/>
      <c r="Z3695" s="8"/>
      <c r="AA3695" s="8"/>
    </row>
    <row r="3696" spans="1:27" s="10" customFormat="1" ht="15" hidden="1" x14ac:dyDescent="0.25">
      <c r="A3696" s="46" t="s">
        <v>5523</v>
      </c>
      <c r="B3696" s="12" t="s">
        <v>5524</v>
      </c>
      <c r="C3696" s="13">
        <v>1</v>
      </c>
      <c r="D3696" s="14" t="s">
        <v>5525</v>
      </c>
      <c r="E3696" s="12" t="s">
        <v>5526</v>
      </c>
      <c r="F3696" s="65" t="s">
        <v>5527</v>
      </c>
      <c r="G3696" s="15" t="s">
        <v>1323</v>
      </c>
      <c r="H3696" s="8"/>
      <c r="I3696" s="9">
        <v>15</v>
      </c>
      <c r="J3696" s="52"/>
      <c r="K3696" s="8"/>
      <c r="L3696" s="8"/>
      <c r="M3696" s="8"/>
      <c r="N3696" s="8"/>
      <c r="O3696" s="8"/>
      <c r="P3696" s="8"/>
      <c r="Q3696" s="8"/>
      <c r="R3696" s="8"/>
      <c r="S3696" s="8"/>
      <c r="T3696" s="8"/>
      <c r="U3696" s="8"/>
      <c r="V3696" s="8"/>
      <c r="W3696" s="8"/>
      <c r="X3696" s="8"/>
      <c r="Y3696" s="8"/>
      <c r="Z3696" s="8"/>
      <c r="AA3696" s="8"/>
    </row>
    <row r="3697" spans="1:27" s="10" customFormat="1" hidden="1" x14ac:dyDescent="0.2">
      <c r="A3697" s="46" t="s">
        <v>3165</v>
      </c>
      <c r="B3697" s="12" t="s">
        <v>3166</v>
      </c>
      <c r="C3697" s="13">
        <v>56</v>
      </c>
      <c r="D3697" s="12" t="s">
        <v>3252</v>
      </c>
      <c r="E3697" s="12" t="s">
        <v>3167</v>
      </c>
      <c r="F3697" s="65" t="s">
        <v>3253</v>
      </c>
      <c r="G3697" s="66" t="s">
        <v>13</v>
      </c>
      <c r="H3697" s="8"/>
      <c r="I3697" s="90"/>
      <c r="J3697" s="8"/>
      <c r="K3697" s="8"/>
      <c r="L3697" s="8"/>
      <c r="M3697" s="8"/>
      <c r="N3697" s="8"/>
      <c r="O3697" s="8"/>
      <c r="P3697" s="8"/>
      <c r="Q3697" s="8"/>
      <c r="R3697" s="8"/>
      <c r="S3697" s="8"/>
      <c r="T3697" s="8"/>
      <c r="U3697" s="8"/>
      <c r="V3697" s="8"/>
      <c r="W3697" s="8"/>
      <c r="X3697" s="8"/>
      <c r="Y3697" s="8"/>
      <c r="Z3697" s="8"/>
      <c r="AA3697" s="8"/>
    </row>
    <row r="3698" spans="1:27" s="10" customFormat="1" hidden="1" x14ac:dyDescent="0.2">
      <c r="A3698" s="46" t="s">
        <v>2631</v>
      </c>
      <c r="B3698" s="12" t="s">
        <v>2632</v>
      </c>
      <c r="C3698" s="13">
        <v>34</v>
      </c>
      <c r="D3698" s="14" t="s">
        <v>2695</v>
      </c>
      <c r="E3698" s="12" t="s">
        <v>2634</v>
      </c>
      <c r="F3698" s="65" t="s">
        <v>2696</v>
      </c>
      <c r="G3698" s="66" t="s">
        <v>13</v>
      </c>
      <c r="H3698" s="8"/>
      <c r="I3698" s="90"/>
      <c r="J3698" s="8"/>
      <c r="K3698" s="8"/>
      <c r="L3698" s="8"/>
      <c r="M3698" s="8"/>
      <c r="N3698" s="8"/>
      <c r="O3698" s="8"/>
      <c r="P3698" s="8"/>
      <c r="Q3698" s="8"/>
      <c r="R3698" s="8"/>
      <c r="S3698" s="8"/>
      <c r="T3698" s="8"/>
      <c r="U3698" s="8"/>
      <c r="V3698" s="8"/>
      <c r="W3698" s="8"/>
      <c r="X3698" s="8"/>
      <c r="Y3698" s="8"/>
      <c r="Z3698" s="8"/>
      <c r="AA3698" s="8"/>
    </row>
    <row r="3699" spans="1:27" s="10" customFormat="1" hidden="1" x14ac:dyDescent="0.2">
      <c r="A3699" s="46" t="s">
        <v>3165</v>
      </c>
      <c r="B3699" s="12" t="s">
        <v>3166</v>
      </c>
      <c r="C3699" s="13">
        <v>24</v>
      </c>
      <c r="D3699" s="12" t="s">
        <v>2695</v>
      </c>
      <c r="E3699" s="12" t="s">
        <v>3167</v>
      </c>
      <c r="F3699" s="65" t="s">
        <v>3197</v>
      </c>
      <c r="G3699" s="66" t="s">
        <v>13</v>
      </c>
      <c r="H3699" s="8"/>
      <c r="I3699" s="90"/>
      <c r="J3699" s="8"/>
      <c r="K3699" s="8"/>
      <c r="L3699" s="8"/>
      <c r="M3699" s="8"/>
      <c r="N3699" s="8"/>
      <c r="O3699" s="8"/>
      <c r="P3699" s="8"/>
      <c r="Q3699" s="8"/>
      <c r="R3699" s="8"/>
      <c r="S3699" s="8"/>
      <c r="T3699" s="8"/>
      <c r="U3699" s="8"/>
      <c r="V3699" s="8"/>
      <c r="W3699" s="8"/>
      <c r="X3699" s="8"/>
      <c r="Y3699" s="8"/>
      <c r="Z3699" s="8"/>
      <c r="AA3699" s="8"/>
    </row>
    <row r="3700" spans="1:27" s="10" customFormat="1" hidden="1" x14ac:dyDescent="0.2">
      <c r="A3700" s="46" t="s">
        <v>3458</v>
      </c>
      <c r="B3700" s="12" t="s">
        <v>3459</v>
      </c>
      <c r="C3700" s="13">
        <f>C3699+1</f>
        <v>25</v>
      </c>
      <c r="D3700" s="12" t="s">
        <v>2695</v>
      </c>
      <c r="E3700" s="65" t="s">
        <v>3460</v>
      </c>
      <c r="F3700" s="65" t="s">
        <v>3581</v>
      </c>
      <c r="G3700" s="66" t="s">
        <v>13</v>
      </c>
      <c r="H3700" s="8"/>
      <c r="I3700" s="90" t="s">
        <v>2426</v>
      </c>
      <c r="J3700" s="8"/>
      <c r="K3700" s="8"/>
      <c r="L3700" s="8"/>
      <c r="M3700" s="8"/>
      <c r="N3700" s="8"/>
      <c r="O3700" s="8"/>
      <c r="P3700" s="8"/>
      <c r="Q3700" s="8"/>
      <c r="R3700" s="8"/>
      <c r="S3700" s="8"/>
      <c r="T3700" s="8"/>
      <c r="U3700" s="8"/>
      <c r="V3700" s="8"/>
      <c r="W3700" s="8"/>
      <c r="X3700" s="8"/>
      <c r="Y3700" s="8"/>
      <c r="Z3700" s="8"/>
      <c r="AA3700" s="8"/>
    </row>
    <row r="3701" spans="1:27" s="10" customFormat="1" hidden="1" x14ac:dyDescent="0.2">
      <c r="A3701" s="46" t="s">
        <v>3633</v>
      </c>
      <c r="B3701" s="12" t="s">
        <v>3634</v>
      </c>
      <c r="C3701" s="13">
        <v>60</v>
      </c>
      <c r="D3701" s="12" t="s">
        <v>2695</v>
      </c>
      <c r="E3701" s="65" t="s">
        <v>3635</v>
      </c>
      <c r="F3701" s="65" t="s">
        <v>3713</v>
      </c>
      <c r="G3701" s="66" t="s">
        <v>13</v>
      </c>
      <c r="H3701" s="8"/>
      <c r="I3701" s="90" t="s">
        <v>2426</v>
      </c>
      <c r="J3701" s="8"/>
      <c r="K3701" s="8"/>
      <c r="L3701" s="8"/>
      <c r="M3701" s="8"/>
      <c r="N3701" s="8"/>
      <c r="O3701" s="8"/>
      <c r="P3701" s="8"/>
      <c r="Q3701" s="8"/>
      <c r="R3701" s="8"/>
      <c r="S3701" s="8"/>
      <c r="T3701" s="8"/>
      <c r="U3701" s="8"/>
      <c r="V3701" s="8"/>
      <c r="W3701" s="8"/>
      <c r="X3701" s="8"/>
      <c r="Y3701" s="8"/>
      <c r="Z3701" s="8"/>
      <c r="AA3701" s="8"/>
    </row>
    <row r="3702" spans="1:27" s="10" customFormat="1" hidden="1" x14ac:dyDescent="0.2">
      <c r="A3702" s="46" t="s">
        <v>4087</v>
      </c>
      <c r="B3702" s="12" t="s">
        <v>4088</v>
      </c>
      <c r="C3702" s="13">
        <f>C3701+1</f>
        <v>61</v>
      </c>
      <c r="D3702" s="12" t="s">
        <v>2695</v>
      </c>
      <c r="E3702" s="12" t="s">
        <v>4089</v>
      </c>
      <c r="F3702" s="12" t="s">
        <v>4146</v>
      </c>
      <c r="G3702" s="66" t="s">
        <v>13</v>
      </c>
      <c r="H3702" s="8"/>
      <c r="I3702" s="90" t="s">
        <v>2426</v>
      </c>
      <c r="J3702" s="8"/>
      <c r="K3702" s="8"/>
      <c r="L3702" s="8"/>
      <c r="M3702" s="8"/>
      <c r="N3702" s="8"/>
      <c r="O3702" s="8"/>
      <c r="P3702" s="8"/>
      <c r="Q3702" s="8"/>
      <c r="R3702" s="8"/>
      <c r="S3702" s="8"/>
      <c r="T3702" s="8"/>
      <c r="U3702" s="8"/>
      <c r="V3702" s="8"/>
      <c r="W3702" s="8"/>
      <c r="X3702" s="8"/>
      <c r="Y3702" s="8"/>
      <c r="Z3702" s="8"/>
      <c r="AA3702" s="8"/>
    </row>
    <row r="3703" spans="1:27" s="10" customFormat="1" hidden="1" x14ac:dyDescent="0.2">
      <c r="A3703" s="11" t="s">
        <v>4212</v>
      </c>
      <c r="B3703" s="12" t="s">
        <v>4213</v>
      </c>
      <c r="C3703" s="13">
        <f>C3702+1</f>
        <v>62</v>
      </c>
      <c r="D3703" s="12" t="s">
        <v>2695</v>
      </c>
      <c r="E3703" s="12" t="s">
        <v>4214</v>
      </c>
      <c r="F3703" s="12" t="s">
        <v>4274</v>
      </c>
      <c r="G3703" s="66" t="s">
        <v>13</v>
      </c>
      <c r="H3703" s="8"/>
      <c r="I3703" s="90" t="s">
        <v>2426</v>
      </c>
      <c r="J3703" s="8"/>
      <c r="K3703" s="8"/>
      <c r="L3703" s="8"/>
      <c r="M3703" s="8"/>
      <c r="N3703" s="8"/>
      <c r="O3703" s="8"/>
      <c r="P3703" s="8"/>
      <c r="Q3703" s="8"/>
      <c r="R3703" s="8"/>
      <c r="S3703" s="8"/>
      <c r="T3703" s="8"/>
      <c r="U3703" s="8"/>
      <c r="V3703" s="8"/>
      <c r="W3703" s="8"/>
      <c r="X3703" s="8"/>
      <c r="Y3703" s="8"/>
      <c r="Z3703" s="8"/>
      <c r="AA3703" s="8"/>
    </row>
    <row r="3704" spans="1:27" s="10" customFormat="1" hidden="1" x14ac:dyDescent="0.2">
      <c r="A3704" s="11" t="s">
        <v>4318</v>
      </c>
      <c r="B3704" s="12" t="s">
        <v>4319</v>
      </c>
      <c r="C3704" s="13">
        <f>C3703+1</f>
        <v>63</v>
      </c>
      <c r="D3704" s="22" t="s">
        <v>2695</v>
      </c>
      <c r="E3704" s="12" t="s">
        <v>4320</v>
      </c>
      <c r="F3704" s="22" t="s">
        <v>4326</v>
      </c>
      <c r="G3704" s="66" t="s">
        <v>13</v>
      </c>
      <c r="H3704" s="8"/>
      <c r="I3704" s="90" t="s">
        <v>2426</v>
      </c>
      <c r="J3704" s="8"/>
      <c r="K3704" s="8"/>
      <c r="L3704" s="8"/>
      <c r="M3704" s="8"/>
      <c r="N3704" s="8"/>
      <c r="O3704" s="8"/>
      <c r="P3704" s="8"/>
      <c r="Q3704" s="8"/>
      <c r="R3704" s="8"/>
      <c r="S3704" s="8"/>
      <c r="T3704" s="8"/>
      <c r="U3704" s="8"/>
      <c r="V3704" s="8"/>
      <c r="W3704" s="8"/>
      <c r="X3704" s="8"/>
      <c r="Y3704" s="8"/>
      <c r="Z3704" s="8"/>
      <c r="AA3704" s="8"/>
    </row>
    <row r="3705" spans="1:27" s="10" customFormat="1" hidden="1" x14ac:dyDescent="0.2">
      <c r="A3705" s="11" t="s">
        <v>4335</v>
      </c>
      <c r="B3705" s="12" t="s">
        <v>4336</v>
      </c>
      <c r="C3705" s="13">
        <f>C3704+1</f>
        <v>64</v>
      </c>
      <c r="D3705" s="22" t="s">
        <v>2695</v>
      </c>
      <c r="E3705" s="12" t="s">
        <v>4337</v>
      </c>
      <c r="F3705" s="22" t="s">
        <v>4342</v>
      </c>
      <c r="G3705" s="66" t="s">
        <v>13</v>
      </c>
      <c r="H3705" s="8"/>
      <c r="I3705" s="90" t="s">
        <v>2426</v>
      </c>
      <c r="J3705" s="8"/>
      <c r="K3705" s="8"/>
      <c r="L3705" s="8"/>
      <c r="M3705" s="8"/>
      <c r="N3705" s="8"/>
      <c r="O3705" s="8"/>
      <c r="P3705" s="8"/>
      <c r="Q3705" s="8"/>
      <c r="R3705" s="8"/>
      <c r="S3705" s="8"/>
      <c r="T3705" s="8"/>
      <c r="U3705" s="8"/>
      <c r="V3705" s="8"/>
      <c r="W3705" s="8"/>
      <c r="X3705" s="8"/>
      <c r="Y3705" s="8"/>
      <c r="Z3705" s="8"/>
      <c r="AA3705" s="8"/>
    </row>
    <row r="3706" spans="1:27" s="10" customFormat="1" hidden="1" x14ac:dyDescent="0.2">
      <c r="A3706" s="11" t="s">
        <v>4375</v>
      </c>
      <c r="B3706" s="12" t="s">
        <v>4376</v>
      </c>
      <c r="C3706" s="13">
        <f>C3705+1</f>
        <v>65</v>
      </c>
      <c r="D3706" s="22" t="s">
        <v>2695</v>
      </c>
      <c r="E3706" s="12" t="s">
        <v>4377</v>
      </c>
      <c r="F3706" s="22" t="s">
        <v>4381</v>
      </c>
      <c r="G3706" s="66" t="s">
        <v>13</v>
      </c>
      <c r="H3706" s="8"/>
      <c r="I3706" s="90" t="s">
        <v>2426</v>
      </c>
      <c r="J3706" s="8"/>
      <c r="K3706" s="8"/>
      <c r="L3706" s="8"/>
      <c r="M3706" s="8"/>
      <c r="N3706" s="8"/>
      <c r="O3706" s="8"/>
      <c r="P3706" s="8"/>
      <c r="Q3706" s="8"/>
      <c r="R3706" s="8"/>
      <c r="S3706" s="8"/>
      <c r="T3706" s="8"/>
      <c r="U3706" s="8"/>
      <c r="V3706" s="8"/>
      <c r="W3706" s="8"/>
      <c r="X3706" s="8"/>
      <c r="Y3706" s="8"/>
      <c r="Z3706" s="8"/>
      <c r="AA3706" s="8"/>
    </row>
    <row r="3707" spans="1:27" s="10" customFormat="1" hidden="1" x14ac:dyDescent="0.25">
      <c r="A3707" s="46" t="s">
        <v>1568</v>
      </c>
      <c r="B3707" s="12" t="s">
        <v>1569</v>
      </c>
      <c r="C3707" s="13">
        <v>36</v>
      </c>
      <c r="D3707" s="12" t="s">
        <v>1647</v>
      </c>
      <c r="E3707" s="12" t="s">
        <v>1570</v>
      </c>
      <c r="F3707" s="12" t="s">
        <v>1648</v>
      </c>
      <c r="G3707" s="15" t="s">
        <v>1641</v>
      </c>
      <c r="H3707" s="8"/>
      <c r="I3707" s="94">
        <v>14</v>
      </c>
      <c r="J3707" s="8"/>
      <c r="K3707" s="8"/>
      <c r="L3707" s="8"/>
      <c r="M3707" s="8"/>
      <c r="N3707" s="8"/>
      <c r="O3707" s="8"/>
      <c r="P3707" s="8"/>
      <c r="Q3707" s="8"/>
      <c r="R3707" s="8"/>
      <c r="S3707" s="8"/>
      <c r="T3707" s="8"/>
      <c r="U3707" s="8"/>
      <c r="V3707" s="8"/>
      <c r="W3707" s="8"/>
      <c r="X3707" s="8"/>
      <c r="Y3707" s="8"/>
      <c r="Z3707" s="8"/>
      <c r="AA3707" s="8"/>
    </row>
    <row r="3708" spans="1:27" s="10" customFormat="1" hidden="1" x14ac:dyDescent="0.25">
      <c r="A3708" s="46" t="s">
        <v>1768</v>
      </c>
      <c r="B3708" s="12" t="s">
        <v>1769</v>
      </c>
      <c r="C3708" s="13">
        <v>17</v>
      </c>
      <c r="D3708" s="12" t="s">
        <v>1647</v>
      </c>
      <c r="E3708" s="12" t="s">
        <v>1770</v>
      </c>
      <c r="F3708" s="12" t="s">
        <v>1788</v>
      </c>
      <c r="G3708" s="15" t="s">
        <v>1641</v>
      </c>
      <c r="H3708" s="8"/>
      <c r="I3708" s="94">
        <v>14</v>
      </c>
      <c r="J3708" s="8"/>
      <c r="K3708" s="8"/>
      <c r="L3708" s="8"/>
      <c r="M3708" s="8"/>
      <c r="N3708" s="8"/>
      <c r="O3708" s="8"/>
      <c r="P3708" s="8"/>
      <c r="Q3708" s="8"/>
      <c r="R3708" s="8"/>
      <c r="S3708" s="8"/>
      <c r="T3708" s="8"/>
      <c r="U3708" s="8"/>
      <c r="V3708" s="8"/>
      <c r="W3708" s="8"/>
      <c r="X3708" s="8"/>
      <c r="Y3708" s="8"/>
      <c r="Z3708" s="8"/>
      <c r="AA3708" s="8"/>
    </row>
    <row r="3709" spans="1:27" s="10" customFormat="1" hidden="1" x14ac:dyDescent="0.25">
      <c r="A3709" s="46" t="s">
        <v>6688</v>
      </c>
      <c r="B3709" s="12" t="s">
        <v>6689</v>
      </c>
      <c r="C3709" s="13">
        <v>31</v>
      </c>
      <c r="D3709" s="12" t="s">
        <v>6744</v>
      </c>
      <c r="E3709" s="12" t="s">
        <v>6690</v>
      </c>
      <c r="F3709" s="12" t="s">
        <v>6745</v>
      </c>
      <c r="G3709" s="15" t="s">
        <v>13</v>
      </c>
      <c r="H3709" s="8"/>
      <c r="I3709" s="90"/>
      <c r="J3709" s="8"/>
      <c r="K3709" s="8"/>
      <c r="L3709" s="8"/>
      <c r="M3709" s="8"/>
      <c r="N3709" s="8"/>
      <c r="O3709" s="8"/>
      <c r="P3709" s="8"/>
      <c r="Q3709" s="8"/>
      <c r="R3709" s="8"/>
      <c r="S3709" s="8"/>
      <c r="T3709" s="8"/>
      <c r="U3709" s="8"/>
      <c r="V3709" s="8"/>
      <c r="W3709" s="8"/>
      <c r="X3709" s="8"/>
      <c r="Y3709" s="8"/>
      <c r="Z3709" s="8"/>
      <c r="AA3709" s="8"/>
    </row>
    <row r="3710" spans="1:27" s="10" customFormat="1" hidden="1" x14ac:dyDescent="0.25">
      <c r="A3710" s="46" t="s">
        <v>1031</v>
      </c>
      <c r="B3710" s="12" t="s">
        <v>1032</v>
      </c>
      <c r="C3710" s="13">
        <v>23</v>
      </c>
      <c r="D3710" s="41" t="s">
        <v>1076</v>
      </c>
      <c r="E3710" s="12" t="s">
        <v>1033</v>
      </c>
      <c r="F3710" s="12" t="s">
        <v>1077</v>
      </c>
      <c r="G3710" s="15" t="s">
        <v>1047</v>
      </c>
      <c r="H3710" s="8"/>
      <c r="I3710" s="9">
        <v>15</v>
      </c>
      <c r="J3710" s="8"/>
      <c r="K3710" s="8"/>
      <c r="L3710" s="8"/>
      <c r="M3710" s="8"/>
      <c r="N3710" s="8"/>
      <c r="O3710" s="8"/>
      <c r="P3710" s="8"/>
      <c r="Q3710" s="8"/>
      <c r="R3710" s="8"/>
      <c r="S3710" s="8"/>
      <c r="T3710" s="8"/>
      <c r="U3710" s="8"/>
      <c r="V3710" s="8"/>
      <c r="W3710" s="8"/>
      <c r="X3710" s="8"/>
      <c r="Y3710" s="8"/>
      <c r="Z3710" s="8"/>
      <c r="AA3710" s="8"/>
    </row>
    <row r="3711" spans="1:27" s="10" customFormat="1" hidden="1" x14ac:dyDescent="0.2">
      <c r="A3711" s="46" t="s">
        <v>4404</v>
      </c>
      <c r="B3711" s="12" t="s">
        <v>4405</v>
      </c>
      <c r="C3711" s="13">
        <v>2</v>
      </c>
      <c r="D3711" s="12" t="s">
        <v>4408</v>
      </c>
      <c r="E3711" s="12" t="s">
        <v>4406</v>
      </c>
      <c r="F3711" s="12" t="s">
        <v>4409</v>
      </c>
      <c r="G3711" s="66" t="s">
        <v>676</v>
      </c>
      <c r="H3711" s="8"/>
      <c r="I3711" s="94">
        <v>14</v>
      </c>
      <c r="J3711" s="8"/>
      <c r="K3711" s="8"/>
      <c r="L3711" s="8"/>
      <c r="M3711" s="8"/>
      <c r="N3711" s="8"/>
      <c r="O3711" s="8"/>
      <c r="P3711" s="8"/>
      <c r="Q3711" s="8"/>
      <c r="R3711" s="8"/>
      <c r="S3711" s="8"/>
      <c r="T3711" s="8"/>
      <c r="U3711" s="8"/>
      <c r="V3711" s="8"/>
      <c r="W3711" s="8"/>
      <c r="X3711" s="8"/>
      <c r="Y3711" s="8"/>
      <c r="Z3711" s="8"/>
      <c r="AA3711" s="8"/>
    </row>
    <row r="3712" spans="1:27" s="10" customFormat="1" hidden="1" x14ac:dyDescent="0.25">
      <c r="A3712" s="11" t="s">
        <v>6408</v>
      </c>
      <c r="B3712" s="12" t="s">
        <v>6409</v>
      </c>
      <c r="C3712" s="13">
        <v>1</v>
      </c>
      <c r="D3712" s="22" t="s">
        <v>4408</v>
      </c>
      <c r="E3712" s="12" t="s">
        <v>6410</v>
      </c>
      <c r="F3712" s="22" t="s">
        <v>6411</v>
      </c>
      <c r="G3712" s="15" t="s">
        <v>829</v>
      </c>
      <c r="H3712" s="8"/>
      <c r="I3712" s="101" t="s">
        <v>5818</v>
      </c>
      <c r="J3712" s="8"/>
      <c r="K3712" s="8"/>
      <c r="L3712" s="8"/>
      <c r="M3712" s="8"/>
      <c r="N3712" s="8"/>
      <c r="O3712" s="8"/>
      <c r="P3712" s="8"/>
      <c r="Q3712" s="8"/>
      <c r="R3712" s="8"/>
      <c r="S3712" s="8"/>
      <c r="T3712" s="8"/>
      <c r="U3712" s="8"/>
      <c r="V3712" s="8"/>
      <c r="W3712" s="8"/>
      <c r="X3712" s="8"/>
      <c r="Y3712" s="8"/>
      <c r="Z3712" s="8"/>
      <c r="AA3712" s="8"/>
    </row>
    <row r="3713" spans="1:27" s="10" customFormat="1" hidden="1" x14ac:dyDescent="0.25">
      <c r="A3713" s="11" t="s">
        <v>6415</v>
      </c>
      <c r="B3713" s="12" t="s">
        <v>6416</v>
      </c>
      <c r="C3713" s="13">
        <v>1</v>
      </c>
      <c r="D3713" s="22" t="s">
        <v>4408</v>
      </c>
      <c r="E3713" s="12" t="s">
        <v>6417</v>
      </c>
      <c r="F3713" s="22" t="s">
        <v>6418</v>
      </c>
      <c r="G3713" s="15" t="s">
        <v>829</v>
      </c>
      <c r="H3713" s="8"/>
      <c r="I3713" s="101" t="s">
        <v>5818</v>
      </c>
      <c r="J3713" s="8"/>
      <c r="K3713" s="8"/>
      <c r="L3713" s="8"/>
      <c r="M3713" s="8"/>
      <c r="N3713" s="8"/>
      <c r="O3713" s="8"/>
      <c r="P3713" s="8"/>
      <c r="Q3713" s="8"/>
      <c r="R3713" s="8"/>
      <c r="S3713" s="8"/>
      <c r="T3713" s="8"/>
      <c r="U3713" s="8"/>
      <c r="V3713" s="8"/>
      <c r="W3713" s="8"/>
      <c r="X3713" s="8"/>
      <c r="Y3713" s="8"/>
      <c r="Z3713" s="8"/>
      <c r="AA3713" s="8"/>
    </row>
    <row r="3714" spans="1:27" s="10" customFormat="1" hidden="1" x14ac:dyDescent="0.25">
      <c r="A3714" s="11" t="s">
        <v>6425</v>
      </c>
      <c r="B3714" s="12" t="s">
        <v>6426</v>
      </c>
      <c r="C3714" s="13">
        <v>2</v>
      </c>
      <c r="D3714" s="22" t="s">
        <v>4408</v>
      </c>
      <c r="E3714" s="12" t="s">
        <v>6427</v>
      </c>
      <c r="F3714" s="22" t="s">
        <v>6429</v>
      </c>
      <c r="G3714" s="15" t="s">
        <v>829</v>
      </c>
      <c r="H3714" s="8"/>
      <c r="I3714" s="101" t="s">
        <v>5818</v>
      </c>
      <c r="J3714" s="8"/>
      <c r="K3714" s="8"/>
      <c r="L3714" s="8"/>
      <c r="M3714" s="8"/>
      <c r="N3714" s="8"/>
      <c r="O3714" s="8"/>
      <c r="P3714" s="8"/>
      <c r="Q3714" s="8"/>
      <c r="R3714" s="8"/>
      <c r="S3714" s="8"/>
      <c r="T3714" s="8"/>
      <c r="U3714" s="8"/>
      <c r="V3714" s="8"/>
      <c r="W3714" s="8"/>
      <c r="X3714" s="8"/>
      <c r="Y3714" s="8"/>
      <c r="Z3714" s="8"/>
      <c r="AA3714" s="8"/>
    </row>
    <row r="3715" spans="1:27" s="10" customFormat="1" ht="12.75" hidden="1" thickBot="1" x14ac:dyDescent="0.3">
      <c r="A3715" s="36" t="s">
        <v>6434</v>
      </c>
      <c r="B3715" s="12" t="s">
        <v>6435</v>
      </c>
      <c r="C3715" s="13">
        <v>2</v>
      </c>
      <c r="D3715" s="22" t="s">
        <v>4408</v>
      </c>
      <c r="E3715" s="12" t="s">
        <v>6436</v>
      </c>
      <c r="F3715" s="22" t="s">
        <v>6438</v>
      </c>
      <c r="G3715" s="33" t="s">
        <v>829</v>
      </c>
      <c r="H3715" s="8"/>
      <c r="I3715" s="101" t="s">
        <v>5818</v>
      </c>
      <c r="J3715" s="8"/>
      <c r="K3715" s="8"/>
      <c r="L3715" s="8"/>
      <c r="M3715" s="8"/>
      <c r="N3715" s="8"/>
      <c r="O3715" s="8"/>
      <c r="P3715" s="8"/>
      <c r="Q3715" s="8"/>
      <c r="R3715" s="8"/>
      <c r="S3715" s="8"/>
      <c r="T3715" s="8"/>
      <c r="U3715" s="8"/>
      <c r="V3715" s="8"/>
      <c r="W3715" s="8"/>
      <c r="X3715" s="8"/>
      <c r="Y3715" s="8"/>
      <c r="Z3715" s="8"/>
      <c r="AA3715" s="8"/>
    </row>
    <row r="3716" spans="1:27" s="40" customFormat="1" hidden="1" x14ac:dyDescent="0.25">
      <c r="A3716" s="139" t="s">
        <v>6543</v>
      </c>
      <c r="B3716" s="61" t="s">
        <v>6544</v>
      </c>
      <c r="C3716" s="58">
        <v>8</v>
      </c>
      <c r="D3716" s="61" t="s">
        <v>6557</v>
      </c>
      <c r="E3716" s="61" t="s">
        <v>6545</v>
      </c>
      <c r="F3716" s="61" t="s">
        <v>6558</v>
      </c>
      <c r="G3716" s="62" t="s">
        <v>42</v>
      </c>
      <c r="H3716" s="8"/>
      <c r="I3716" s="9">
        <v>15</v>
      </c>
      <c r="J3716" s="8"/>
      <c r="K3716" s="8"/>
      <c r="L3716" s="8"/>
      <c r="M3716" s="8"/>
      <c r="N3716" s="8"/>
      <c r="O3716" s="8"/>
      <c r="P3716" s="8"/>
      <c r="Q3716" s="8"/>
      <c r="R3716" s="8"/>
      <c r="S3716" s="8"/>
      <c r="T3716" s="8"/>
      <c r="U3716" s="8"/>
      <c r="V3716" s="8"/>
      <c r="W3716" s="8"/>
      <c r="X3716" s="8"/>
      <c r="Y3716" s="8"/>
      <c r="Z3716" s="8"/>
      <c r="AA3716" s="8"/>
    </row>
    <row r="3717" spans="1:27" s="40" customFormat="1" hidden="1" x14ac:dyDescent="0.2">
      <c r="A3717" s="46" t="s">
        <v>93</v>
      </c>
      <c r="B3717" s="12" t="s">
        <v>94</v>
      </c>
      <c r="C3717" s="13">
        <v>65</v>
      </c>
      <c r="D3717" s="14" t="s">
        <v>228</v>
      </c>
      <c r="E3717" s="12" t="s">
        <v>96</v>
      </c>
      <c r="F3717" s="12" t="s">
        <v>229</v>
      </c>
      <c r="G3717" s="15" t="s">
        <v>13</v>
      </c>
      <c r="H3717" s="8"/>
      <c r="I3717" s="90"/>
      <c r="J3717" s="8"/>
      <c r="K3717" s="8"/>
      <c r="L3717" s="8"/>
      <c r="M3717" s="8"/>
      <c r="N3717" s="8"/>
      <c r="O3717" s="8"/>
      <c r="P3717" s="8"/>
      <c r="Q3717" s="8"/>
      <c r="R3717" s="8"/>
      <c r="S3717" s="8"/>
      <c r="T3717" s="8"/>
      <c r="U3717" s="8"/>
      <c r="V3717" s="8"/>
      <c r="W3717" s="8"/>
      <c r="X3717" s="8"/>
      <c r="Y3717" s="8"/>
      <c r="Z3717" s="8"/>
      <c r="AA3717" s="8"/>
    </row>
    <row r="3718" spans="1:27" s="40" customFormat="1" hidden="1" x14ac:dyDescent="0.2">
      <c r="A3718" s="46" t="s">
        <v>289</v>
      </c>
      <c r="B3718" s="12" t="s">
        <v>290</v>
      </c>
      <c r="C3718" s="13">
        <v>16</v>
      </c>
      <c r="D3718" s="14" t="s">
        <v>228</v>
      </c>
      <c r="E3718" s="12" t="s">
        <v>291</v>
      </c>
      <c r="F3718" s="12" t="s">
        <v>314</v>
      </c>
      <c r="G3718" s="15" t="s">
        <v>13</v>
      </c>
      <c r="H3718" s="8"/>
      <c r="I3718" s="94">
        <v>14</v>
      </c>
      <c r="J3718" s="8"/>
      <c r="K3718" s="8"/>
      <c r="L3718" s="8"/>
      <c r="M3718" s="8"/>
      <c r="N3718" s="8"/>
      <c r="O3718" s="8"/>
      <c r="P3718" s="8"/>
      <c r="Q3718" s="8"/>
      <c r="R3718" s="8"/>
      <c r="S3718" s="8"/>
      <c r="T3718" s="8"/>
      <c r="U3718" s="8"/>
      <c r="V3718" s="8"/>
      <c r="W3718" s="8"/>
      <c r="X3718" s="8"/>
      <c r="Y3718" s="8"/>
      <c r="Z3718" s="8"/>
      <c r="AA3718" s="8"/>
    </row>
    <row r="3719" spans="1:27" s="40" customFormat="1" hidden="1" x14ac:dyDescent="0.25">
      <c r="A3719" s="181" t="s">
        <v>708</v>
      </c>
      <c r="B3719" s="12" t="s">
        <v>709</v>
      </c>
      <c r="C3719" s="13">
        <v>16</v>
      </c>
      <c r="D3719" s="12" t="s">
        <v>228</v>
      </c>
      <c r="E3719" s="12" t="s">
        <v>710</v>
      </c>
      <c r="F3719" s="12" t="s">
        <v>726</v>
      </c>
      <c r="G3719" s="15" t="s">
        <v>676</v>
      </c>
      <c r="H3719" s="8"/>
      <c r="I3719" s="102" t="s">
        <v>59</v>
      </c>
      <c r="J3719" s="8"/>
      <c r="K3719" s="8"/>
      <c r="L3719" s="8"/>
      <c r="M3719" s="8"/>
      <c r="N3719" s="8"/>
      <c r="O3719" s="8"/>
      <c r="P3719" s="8"/>
      <c r="Q3719" s="8"/>
      <c r="R3719" s="8"/>
      <c r="S3719" s="8"/>
      <c r="T3719" s="8"/>
      <c r="U3719" s="8"/>
      <c r="V3719" s="8"/>
      <c r="W3719" s="8"/>
      <c r="X3719" s="8"/>
      <c r="Y3719" s="8"/>
      <c r="Z3719" s="8"/>
      <c r="AA3719" s="8"/>
    </row>
    <row r="3720" spans="1:27" s="40" customFormat="1" hidden="1" x14ac:dyDescent="0.25">
      <c r="A3720" s="46" t="s">
        <v>5686</v>
      </c>
      <c r="B3720" s="12" t="s">
        <v>5687</v>
      </c>
      <c r="C3720" s="13">
        <f>C3719+1</f>
        <v>17</v>
      </c>
      <c r="D3720" s="12" t="s">
        <v>228</v>
      </c>
      <c r="E3720" s="12" t="s">
        <v>5688</v>
      </c>
      <c r="F3720" s="12" t="s">
        <v>5817</v>
      </c>
      <c r="G3720" s="15" t="s">
        <v>676</v>
      </c>
      <c r="H3720" s="8"/>
      <c r="I3720" s="101" t="s">
        <v>5818</v>
      </c>
      <c r="J3720" s="8"/>
      <c r="K3720" s="8"/>
      <c r="L3720" s="8"/>
      <c r="M3720" s="8"/>
      <c r="N3720" s="8"/>
      <c r="O3720" s="8"/>
      <c r="P3720" s="8"/>
      <c r="Q3720" s="8"/>
      <c r="R3720" s="8"/>
      <c r="S3720" s="8"/>
      <c r="T3720" s="8"/>
      <c r="U3720" s="8"/>
      <c r="V3720" s="8"/>
      <c r="W3720" s="8"/>
      <c r="X3720" s="8"/>
      <c r="Y3720" s="8"/>
      <c r="Z3720" s="8"/>
      <c r="AA3720" s="8"/>
    </row>
    <row r="3721" spans="1:27" s="40" customFormat="1" hidden="1" x14ac:dyDescent="0.2">
      <c r="A3721" s="46" t="s">
        <v>5363</v>
      </c>
      <c r="B3721" s="12" t="s">
        <v>5364</v>
      </c>
      <c r="C3721" s="13">
        <v>3</v>
      </c>
      <c r="D3721" s="22" t="s">
        <v>5369</v>
      </c>
      <c r="E3721" s="12" t="s">
        <v>5365</v>
      </c>
      <c r="F3721" s="22" t="s">
        <v>5370</v>
      </c>
      <c r="G3721" s="66" t="s">
        <v>13</v>
      </c>
      <c r="H3721" s="8"/>
      <c r="I3721" s="90"/>
      <c r="J3721" s="8"/>
      <c r="K3721" s="8"/>
      <c r="L3721" s="8"/>
      <c r="M3721" s="8"/>
      <c r="N3721" s="8"/>
      <c r="O3721" s="8"/>
      <c r="P3721" s="8"/>
      <c r="Q3721" s="8"/>
      <c r="R3721" s="8"/>
      <c r="S3721" s="8"/>
      <c r="T3721" s="8"/>
      <c r="U3721" s="8"/>
      <c r="V3721" s="8"/>
      <c r="W3721" s="8"/>
      <c r="X3721" s="8"/>
      <c r="Y3721" s="8"/>
      <c r="Z3721" s="8"/>
      <c r="AA3721" s="8"/>
    </row>
    <row r="3722" spans="1:27" s="40" customFormat="1" hidden="1" x14ac:dyDescent="0.2">
      <c r="A3722" s="46" t="s">
        <v>5329</v>
      </c>
      <c r="B3722" s="12" t="s">
        <v>5330</v>
      </c>
      <c r="C3722" s="13">
        <v>3</v>
      </c>
      <c r="D3722" s="37" t="s">
        <v>5334</v>
      </c>
      <c r="E3722" s="12" t="s">
        <v>5331</v>
      </c>
      <c r="F3722" s="75" t="s">
        <v>5335</v>
      </c>
      <c r="G3722" s="15" t="s">
        <v>13</v>
      </c>
      <c r="H3722" s="8"/>
      <c r="I3722" s="90"/>
      <c r="J3722" s="8"/>
      <c r="K3722" s="8"/>
      <c r="L3722" s="8"/>
      <c r="M3722" s="8"/>
      <c r="N3722" s="8"/>
      <c r="O3722" s="8"/>
      <c r="P3722" s="8"/>
      <c r="Q3722" s="8"/>
      <c r="R3722" s="8"/>
      <c r="S3722" s="8"/>
      <c r="T3722" s="8"/>
      <c r="U3722" s="8"/>
      <c r="V3722" s="8"/>
      <c r="W3722" s="8"/>
      <c r="X3722" s="8"/>
      <c r="Y3722" s="8"/>
      <c r="Z3722" s="8"/>
      <c r="AA3722" s="8"/>
    </row>
    <row r="3723" spans="1:27" s="40" customFormat="1" hidden="1" x14ac:dyDescent="0.25">
      <c r="A3723" s="46" t="s">
        <v>5413</v>
      </c>
      <c r="B3723" s="12" t="s">
        <v>5414</v>
      </c>
      <c r="C3723" s="13">
        <v>3</v>
      </c>
      <c r="D3723" s="22" t="s">
        <v>5334</v>
      </c>
      <c r="E3723" s="12" t="s">
        <v>5415</v>
      </c>
      <c r="F3723" s="22" t="s">
        <v>5419</v>
      </c>
      <c r="G3723" s="15" t="s">
        <v>13</v>
      </c>
      <c r="H3723" s="8"/>
      <c r="I3723" s="90"/>
      <c r="J3723" s="8"/>
      <c r="K3723" s="8"/>
      <c r="L3723" s="8"/>
      <c r="M3723" s="8"/>
      <c r="N3723" s="8"/>
      <c r="O3723" s="8"/>
      <c r="P3723" s="8"/>
      <c r="Q3723" s="8"/>
      <c r="R3723" s="8"/>
      <c r="S3723" s="8"/>
      <c r="T3723" s="8"/>
      <c r="U3723" s="8"/>
      <c r="V3723" s="8"/>
      <c r="W3723" s="8"/>
      <c r="X3723" s="8"/>
      <c r="Y3723" s="8"/>
      <c r="Z3723" s="8"/>
      <c r="AA3723" s="8"/>
    </row>
    <row r="3724" spans="1:27" s="10" customFormat="1" hidden="1" x14ac:dyDescent="0.2">
      <c r="A3724" s="45" t="s">
        <v>839</v>
      </c>
      <c r="B3724" s="22" t="s">
        <v>840</v>
      </c>
      <c r="C3724" s="23">
        <v>3</v>
      </c>
      <c r="D3724" s="37" t="s">
        <v>844</v>
      </c>
      <c r="E3724" s="22" t="s">
        <v>841</v>
      </c>
      <c r="F3724" s="22" t="s">
        <v>845</v>
      </c>
      <c r="G3724" s="26" t="s">
        <v>829</v>
      </c>
      <c r="H3724" s="38"/>
      <c r="I3724" s="39">
        <v>15</v>
      </c>
      <c r="J3724" s="38"/>
      <c r="K3724" s="38"/>
      <c r="L3724" s="38"/>
      <c r="M3724" s="38"/>
      <c r="N3724" s="38"/>
      <c r="O3724" s="38"/>
      <c r="P3724" s="38"/>
      <c r="Q3724" s="38"/>
      <c r="R3724" s="38"/>
      <c r="S3724" s="38"/>
      <c r="T3724" s="38"/>
      <c r="U3724" s="38"/>
      <c r="V3724" s="38"/>
      <c r="W3724" s="38"/>
      <c r="X3724" s="38"/>
      <c r="Y3724" s="38"/>
      <c r="Z3724" s="38"/>
      <c r="AA3724" s="38"/>
    </row>
    <row r="3725" spans="1:27" s="10" customFormat="1" ht="24.75" hidden="1" thickBot="1" x14ac:dyDescent="0.25">
      <c r="A3725" s="184" t="s">
        <v>871</v>
      </c>
      <c r="B3725" s="4" t="s">
        <v>872</v>
      </c>
      <c r="C3725" s="5">
        <v>2</v>
      </c>
      <c r="D3725" s="6" t="s">
        <v>844</v>
      </c>
      <c r="E3725" s="4" t="s">
        <v>873</v>
      </c>
      <c r="F3725" s="4" t="s">
        <v>875</v>
      </c>
      <c r="G3725" s="7" t="s">
        <v>829</v>
      </c>
      <c r="H3725" s="38"/>
      <c r="I3725" s="39">
        <v>15</v>
      </c>
      <c r="J3725" s="38"/>
      <c r="K3725" s="38"/>
      <c r="L3725" s="38"/>
      <c r="M3725" s="38"/>
      <c r="N3725" s="38"/>
      <c r="O3725" s="38"/>
      <c r="P3725" s="38"/>
      <c r="Q3725" s="38"/>
      <c r="R3725" s="38"/>
      <c r="S3725" s="38"/>
      <c r="T3725" s="38"/>
      <c r="U3725" s="38"/>
      <c r="V3725" s="38"/>
      <c r="W3725" s="38"/>
      <c r="X3725" s="38"/>
      <c r="Y3725" s="38"/>
      <c r="Z3725" s="38"/>
      <c r="AA3725" s="38"/>
    </row>
    <row r="3726" spans="1:27" s="40" customFormat="1" hidden="1" x14ac:dyDescent="0.2">
      <c r="A3726" s="85" t="s">
        <v>890</v>
      </c>
      <c r="B3726" s="17" t="s">
        <v>891</v>
      </c>
      <c r="C3726" s="18">
        <v>3</v>
      </c>
      <c r="D3726" s="103" t="s">
        <v>844</v>
      </c>
      <c r="E3726" s="17" t="s">
        <v>892</v>
      </c>
      <c r="F3726" s="17" t="s">
        <v>895</v>
      </c>
      <c r="G3726" s="20" t="s">
        <v>829</v>
      </c>
      <c r="H3726" s="38"/>
      <c r="I3726" s="39">
        <v>15</v>
      </c>
      <c r="J3726" s="38"/>
      <c r="K3726" s="38"/>
      <c r="L3726" s="38"/>
      <c r="M3726" s="38"/>
      <c r="N3726" s="38"/>
      <c r="O3726" s="38"/>
      <c r="P3726" s="38"/>
      <c r="Q3726" s="38"/>
      <c r="R3726" s="38"/>
      <c r="S3726" s="38"/>
      <c r="T3726" s="38"/>
      <c r="U3726" s="38"/>
      <c r="V3726" s="38"/>
      <c r="W3726" s="38"/>
      <c r="X3726" s="38"/>
      <c r="Y3726" s="38"/>
      <c r="Z3726" s="38"/>
      <c r="AA3726" s="38"/>
    </row>
    <row r="3727" spans="1:27" s="40" customFormat="1" hidden="1" x14ac:dyDescent="0.25">
      <c r="A3727" s="83" t="s">
        <v>5312</v>
      </c>
      <c r="B3727" s="82" t="s">
        <v>5313</v>
      </c>
      <c r="C3727" s="83">
        <v>1</v>
      </c>
      <c r="D3727" s="82" t="s">
        <v>5314</v>
      </c>
      <c r="E3727" s="82" t="s">
        <v>5315</v>
      </c>
      <c r="F3727" s="82" t="s">
        <v>5316</v>
      </c>
      <c r="G3727" s="84" t="s">
        <v>13</v>
      </c>
      <c r="H3727" s="8"/>
      <c r="I3727" s="99">
        <v>13</v>
      </c>
      <c r="J3727" s="8"/>
      <c r="K3727" s="8"/>
      <c r="L3727" s="8"/>
      <c r="M3727" s="8"/>
      <c r="N3727" s="8"/>
      <c r="O3727" s="8"/>
      <c r="P3727" s="8"/>
      <c r="Q3727" s="8"/>
      <c r="R3727" s="8"/>
      <c r="S3727" s="8"/>
      <c r="T3727" s="8"/>
      <c r="U3727" s="8"/>
      <c r="V3727" s="8"/>
      <c r="W3727" s="8"/>
      <c r="X3727" s="8"/>
      <c r="Y3727" s="8"/>
      <c r="Z3727" s="8"/>
      <c r="AA3727" s="8"/>
    </row>
    <row r="3728" spans="1:27" s="40" customFormat="1" hidden="1" x14ac:dyDescent="0.25">
      <c r="A3728" s="46" t="s">
        <v>1464</v>
      </c>
      <c r="B3728" s="12" t="s">
        <v>1465</v>
      </c>
      <c r="C3728" s="13">
        <v>2</v>
      </c>
      <c r="D3728" s="22" t="s">
        <v>1468</v>
      </c>
      <c r="E3728" s="12" t="s">
        <v>1466</v>
      </c>
      <c r="F3728" s="22" t="s">
        <v>1469</v>
      </c>
      <c r="G3728" s="15" t="s">
        <v>13</v>
      </c>
      <c r="H3728" s="8"/>
      <c r="I3728" s="90"/>
      <c r="J3728" s="8"/>
      <c r="K3728" s="8"/>
      <c r="L3728" s="8"/>
      <c r="M3728" s="8"/>
      <c r="N3728" s="8"/>
      <c r="O3728" s="8"/>
      <c r="P3728" s="8"/>
      <c r="Q3728" s="8"/>
      <c r="R3728" s="8"/>
      <c r="S3728" s="8"/>
      <c r="T3728" s="8"/>
      <c r="U3728" s="8"/>
      <c r="V3728" s="8"/>
      <c r="W3728" s="8"/>
      <c r="X3728" s="8"/>
      <c r="Y3728" s="8"/>
      <c r="Z3728" s="8"/>
      <c r="AA3728" s="8"/>
    </row>
    <row r="3729" spans="1:27" s="10" customFormat="1" hidden="1" x14ac:dyDescent="0.2">
      <c r="A3729" s="46" t="s">
        <v>3400</v>
      </c>
      <c r="B3729" s="12" t="s">
        <v>3401</v>
      </c>
      <c r="C3729" s="13">
        <v>2</v>
      </c>
      <c r="D3729" s="22" t="s">
        <v>1468</v>
      </c>
      <c r="E3729" s="65" t="s">
        <v>3402</v>
      </c>
      <c r="F3729" s="75" t="s">
        <v>3404</v>
      </c>
      <c r="G3729" s="66" t="s">
        <v>13</v>
      </c>
      <c r="H3729" s="8"/>
      <c r="I3729" s="90"/>
      <c r="J3729" s="8"/>
      <c r="K3729" s="8"/>
      <c r="L3729" s="8"/>
      <c r="M3729" s="8"/>
      <c r="N3729" s="8"/>
      <c r="O3729" s="8"/>
      <c r="P3729" s="8"/>
      <c r="Q3729" s="8"/>
      <c r="R3729" s="8"/>
      <c r="S3729" s="8"/>
      <c r="T3729" s="8"/>
      <c r="U3729" s="8"/>
      <c r="V3729" s="8"/>
      <c r="W3729" s="8"/>
      <c r="X3729" s="8"/>
      <c r="Y3729" s="8"/>
      <c r="Z3729" s="8"/>
      <c r="AA3729" s="8"/>
    </row>
    <row r="3730" spans="1:27" s="10" customFormat="1" hidden="1" x14ac:dyDescent="0.2">
      <c r="A3730" s="46" t="s">
        <v>3428</v>
      </c>
      <c r="B3730" s="12" t="s">
        <v>3429</v>
      </c>
      <c r="C3730" s="13">
        <v>2</v>
      </c>
      <c r="D3730" s="22" t="s">
        <v>1468</v>
      </c>
      <c r="E3730" s="65" t="s">
        <v>3430</v>
      </c>
      <c r="F3730" s="75" t="s">
        <v>3432</v>
      </c>
      <c r="G3730" s="66" t="s">
        <v>13</v>
      </c>
      <c r="H3730" s="8"/>
      <c r="I3730" s="90"/>
      <c r="J3730" s="8"/>
      <c r="K3730" s="8"/>
      <c r="L3730" s="8"/>
      <c r="M3730" s="8"/>
      <c r="N3730" s="8"/>
      <c r="O3730" s="8"/>
      <c r="P3730" s="8"/>
      <c r="Q3730" s="8"/>
      <c r="R3730" s="8"/>
      <c r="S3730" s="8"/>
      <c r="T3730" s="8"/>
      <c r="U3730" s="8"/>
      <c r="V3730" s="8"/>
      <c r="W3730" s="8"/>
      <c r="X3730" s="8"/>
      <c r="Y3730" s="8"/>
      <c r="Z3730" s="8"/>
      <c r="AA3730" s="8"/>
    </row>
    <row r="3731" spans="1:27" s="10" customFormat="1" hidden="1" x14ac:dyDescent="0.2">
      <c r="A3731" s="46" t="s">
        <v>3458</v>
      </c>
      <c r="B3731" s="12" t="s">
        <v>3459</v>
      </c>
      <c r="C3731" s="13">
        <v>2</v>
      </c>
      <c r="D3731" s="22" t="s">
        <v>1468</v>
      </c>
      <c r="E3731" s="65" t="s">
        <v>3460</v>
      </c>
      <c r="F3731" s="75" t="s">
        <v>3462</v>
      </c>
      <c r="G3731" s="66" t="s">
        <v>13</v>
      </c>
      <c r="H3731" s="8"/>
      <c r="I3731" s="90"/>
      <c r="J3731" s="8"/>
      <c r="K3731" s="8"/>
      <c r="L3731" s="8"/>
      <c r="M3731" s="8"/>
      <c r="N3731" s="8"/>
      <c r="O3731" s="8"/>
      <c r="P3731" s="8"/>
      <c r="Q3731" s="8"/>
      <c r="R3731" s="8"/>
      <c r="S3731" s="8"/>
      <c r="T3731" s="8"/>
      <c r="U3731" s="8"/>
      <c r="V3731" s="8"/>
      <c r="W3731" s="8"/>
      <c r="X3731" s="8"/>
      <c r="Y3731" s="8"/>
      <c r="Z3731" s="8"/>
      <c r="AA3731" s="8"/>
    </row>
    <row r="3732" spans="1:27" s="10" customFormat="1" hidden="1" x14ac:dyDescent="0.2">
      <c r="A3732" s="46" t="s">
        <v>3633</v>
      </c>
      <c r="B3732" s="12" t="s">
        <v>3634</v>
      </c>
      <c r="C3732" s="13">
        <v>2</v>
      </c>
      <c r="D3732" s="22" t="s">
        <v>1468</v>
      </c>
      <c r="E3732" s="65" t="s">
        <v>3635</v>
      </c>
      <c r="F3732" s="75" t="s">
        <v>3637</v>
      </c>
      <c r="G3732" s="66" t="s">
        <v>13</v>
      </c>
      <c r="H3732" s="8"/>
      <c r="I3732" s="90"/>
      <c r="J3732" s="8"/>
      <c r="K3732" s="8"/>
      <c r="L3732" s="8"/>
      <c r="M3732" s="8"/>
      <c r="N3732" s="8"/>
      <c r="O3732" s="8"/>
      <c r="P3732" s="8"/>
      <c r="Q3732" s="8"/>
      <c r="R3732" s="8"/>
      <c r="S3732" s="8"/>
      <c r="T3732" s="8"/>
      <c r="U3732" s="8"/>
      <c r="V3732" s="8"/>
      <c r="W3732" s="8"/>
      <c r="X3732" s="8"/>
      <c r="Y3732" s="8"/>
      <c r="Z3732" s="8"/>
      <c r="AA3732" s="8"/>
    </row>
    <row r="3733" spans="1:27" hidden="1" x14ac:dyDescent="0.2">
      <c r="A3733" s="56" t="s">
        <v>3741</v>
      </c>
      <c r="B3733" s="61" t="s">
        <v>3742</v>
      </c>
      <c r="C3733" s="58">
        <v>2</v>
      </c>
      <c r="D3733" s="61" t="s">
        <v>1468</v>
      </c>
      <c r="E3733" s="74" t="s">
        <v>3743</v>
      </c>
      <c r="F3733" s="128" t="s">
        <v>3745</v>
      </c>
      <c r="G3733" s="129" t="s">
        <v>13</v>
      </c>
    </row>
    <row r="3734" spans="1:27" hidden="1" x14ac:dyDescent="0.2">
      <c r="A3734" s="11" t="s">
        <v>3763</v>
      </c>
      <c r="B3734" s="12" t="s">
        <v>3764</v>
      </c>
      <c r="C3734" s="13">
        <v>2</v>
      </c>
      <c r="D3734" s="22" t="s">
        <v>1468</v>
      </c>
      <c r="E3734" s="12" t="s">
        <v>3765</v>
      </c>
      <c r="F3734" s="75" t="s">
        <v>3767</v>
      </c>
      <c r="G3734" s="66" t="s">
        <v>13</v>
      </c>
    </row>
    <row r="3735" spans="1:27" hidden="1" x14ac:dyDescent="0.2">
      <c r="A3735" s="11" t="s">
        <v>3799</v>
      </c>
      <c r="B3735" s="12" t="s">
        <v>3800</v>
      </c>
      <c r="C3735" s="13">
        <v>2</v>
      </c>
      <c r="D3735" s="22" t="s">
        <v>1468</v>
      </c>
      <c r="E3735" s="12" t="s">
        <v>3801</v>
      </c>
      <c r="F3735" s="75" t="s">
        <v>3803</v>
      </c>
      <c r="G3735" s="66" t="s">
        <v>13</v>
      </c>
    </row>
    <row r="3736" spans="1:27" hidden="1" x14ac:dyDescent="0.2">
      <c r="A3736" s="11" t="s">
        <v>3839</v>
      </c>
      <c r="B3736" s="12" t="s">
        <v>3840</v>
      </c>
      <c r="C3736" s="13">
        <v>2</v>
      </c>
      <c r="D3736" s="22" t="s">
        <v>1468</v>
      </c>
      <c r="E3736" s="12" t="s">
        <v>3841</v>
      </c>
      <c r="F3736" s="75" t="s">
        <v>3843</v>
      </c>
      <c r="G3736" s="66" t="s">
        <v>13</v>
      </c>
    </row>
    <row r="3737" spans="1:27" hidden="1" x14ac:dyDescent="0.2">
      <c r="A3737" s="11" t="s">
        <v>3858</v>
      </c>
      <c r="B3737" s="12" t="s">
        <v>3859</v>
      </c>
      <c r="C3737" s="13">
        <v>2</v>
      </c>
      <c r="D3737" s="22" t="s">
        <v>1468</v>
      </c>
      <c r="E3737" s="12" t="s">
        <v>3860</v>
      </c>
      <c r="F3737" s="75" t="s">
        <v>3862</v>
      </c>
      <c r="G3737" s="66" t="s">
        <v>13</v>
      </c>
    </row>
    <row r="3738" spans="1:27" hidden="1" x14ac:dyDescent="0.2">
      <c r="A3738" s="11" t="s">
        <v>3880</v>
      </c>
      <c r="B3738" s="12" t="s">
        <v>3881</v>
      </c>
      <c r="C3738" s="13">
        <v>2</v>
      </c>
      <c r="D3738" s="22" t="s">
        <v>1468</v>
      </c>
      <c r="E3738" s="12" t="s">
        <v>3882</v>
      </c>
      <c r="F3738" s="22" t="s">
        <v>3884</v>
      </c>
      <c r="G3738" s="66" t="s">
        <v>13</v>
      </c>
    </row>
    <row r="3739" spans="1:27" hidden="1" x14ac:dyDescent="0.2">
      <c r="A3739" s="11" t="s">
        <v>3914</v>
      </c>
      <c r="B3739" s="12" t="s">
        <v>3915</v>
      </c>
      <c r="C3739" s="13">
        <v>2</v>
      </c>
      <c r="D3739" s="22" t="s">
        <v>1468</v>
      </c>
      <c r="E3739" s="12" t="s">
        <v>3916</v>
      </c>
      <c r="F3739" s="22" t="s">
        <v>3918</v>
      </c>
      <c r="G3739" s="66" t="s">
        <v>13</v>
      </c>
    </row>
    <row r="3740" spans="1:27" s="10" customFormat="1" ht="12.75" hidden="1" thickBot="1" x14ac:dyDescent="0.25">
      <c r="A3740" s="36" t="s">
        <v>3937</v>
      </c>
      <c r="B3740" s="30" t="s">
        <v>3938</v>
      </c>
      <c r="C3740" s="31">
        <v>2</v>
      </c>
      <c r="D3740" s="4" t="s">
        <v>1468</v>
      </c>
      <c r="E3740" s="30" t="s">
        <v>3939</v>
      </c>
      <c r="F3740" s="4" t="s">
        <v>3941</v>
      </c>
      <c r="G3740" s="68" t="s">
        <v>13</v>
      </c>
      <c r="H3740" s="8"/>
      <c r="I3740" s="90"/>
      <c r="J3740" s="8"/>
      <c r="K3740" s="8"/>
      <c r="L3740" s="8"/>
      <c r="M3740" s="8"/>
      <c r="N3740" s="8"/>
      <c r="O3740" s="8"/>
      <c r="P3740" s="8"/>
      <c r="Q3740" s="8"/>
      <c r="R3740" s="8"/>
      <c r="S3740" s="8"/>
      <c r="T3740" s="8"/>
      <c r="U3740" s="8"/>
      <c r="V3740" s="8"/>
      <c r="W3740" s="8"/>
      <c r="X3740" s="8"/>
      <c r="Y3740" s="8"/>
      <c r="Z3740" s="8"/>
      <c r="AA3740" s="8"/>
    </row>
    <row r="3741" spans="1:27" hidden="1" x14ac:dyDescent="0.2">
      <c r="A3741" s="56" t="s">
        <v>3956</v>
      </c>
      <c r="B3741" s="61" t="s">
        <v>3957</v>
      </c>
      <c r="C3741" s="58">
        <v>2</v>
      </c>
      <c r="D3741" s="17" t="s">
        <v>1468</v>
      </c>
      <c r="E3741" s="61" t="s">
        <v>3958</v>
      </c>
      <c r="F3741" s="17" t="s">
        <v>3960</v>
      </c>
      <c r="G3741" s="129" t="s">
        <v>13</v>
      </c>
    </row>
    <row r="3742" spans="1:27" hidden="1" x14ac:dyDescent="0.2">
      <c r="A3742" s="11" t="s">
        <v>3993</v>
      </c>
      <c r="B3742" s="12" t="s">
        <v>3994</v>
      </c>
      <c r="C3742" s="13">
        <v>2</v>
      </c>
      <c r="D3742" s="22" t="s">
        <v>1468</v>
      </c>
      <c r="E3742" s="12" t="s">
        <v>3995</v>
      </c>
      <c r="F3742" s="22" t="s">
        <v>3997</v>
      </c>
      <c r="G3742" s="66" t="s">
        <v>13</v>
      </c>
    </row>
    <row r="3743" spans="1:27" hidden="1" x14ac:dyDescent="0.2">
      <c r="A3743" s="11" t="s">
        <v>4013</v>
      </c>
      <c r="B3743" s="12" t="s">
        <v>4014</v>
      </c>
      <c r="C3743" s="13">
        <v>2</v>
      </c>
      <c r="D3743" s="22" t="s">
        <v>1468</v>
      </c>
      <c r="E3743" s="12" t="s">
        <v>4015</v>
      </c>
      <c r="F3743" s="22" t="s">
        <v>4017</v>
      </c>
      <c r="G3743" s="66" t="s">
        <v>13</v>
      </c>
    </row>
    <row r="3744" spans="1:27" hidden="1" x14ac:dyDescent="0.2">
      <c r="A3744" s="11" t="s">
        <v>4049</v>
      </c>
      <c r="B3744" s="12" t="s">
        <v>4050</v>
      </c>
      <c r="C3744" s="13">
        <v>2</v>
      </c>
      <c r="D3744" s="22" t="s">
        <v>1468</v>
      </c>
      <c r="E3744" s="12" t="s">
        <v>4051</v>
      </c>
      <c r="F3744" s="22" t="s">
        <v>4053</v>
      </c>
      <c r="G3744" s="66" t="s">
        <v>13</v>
      </c>
    </row>
    <row r="3745" spans="1:27" hidden="1" x14ac:dyDescent="0.2">
      <c r="A3745" s="11" t="s">
        <v>4087</v>
      </c>
      <c r="B3745" s="12" t="s">
        <v>4088</v>
      </c>
      <c r="C3745" s="13">
        <f>C3744+1</f>
        <v>3</v>
      </c>
      <c r="D3745" s="22" t="s">
        <v>1468</v>
      </c>
      <c r="E3745" s="12" t="s">
        <v>4089</v>
      </c>
      <c r="F3745" s="22" t="s">
        <v>4091</v>
      </c>
      <c r="G3745" s="66" t="s">
        <v>13</v>
      </c>
      <c r="I3745" s="90" t="s">
        <v>2426</v>
      </c>
    </row>
    <row r="3746" spans="1:27" hidden="1" x14ac:dyDescent="0.2">
      <c r="A3746" s="11" t="s">
        <v>4212</v>
      </c>
      <c r="B3746" s="12" t="s">
        <v>4213</v>
      </c>
      <c r="C3746" s="13">
        <f>C3745+1</f>
        <v>4</v>
      </c>
      <c r="D3746" s="22" t="s">
        <v>1468</v>
      </c>
      <c r="E3746" s="12" t="s">
        <v>4214</v>
      </c>
      <c r="F3746" s="22" t="s">
        <v>4216</v>
      </c>
      <c r="G3746" s="66" t="s">
        <v>13</v>
      </c>
      <c r="I3746" s="90" t="s">
        <v>2426</v>
      </c>
    </row>
    <row r="3747" spans="1:27" ht="12.75" hidden="1" thickBot="1" x14ac:dyDescent="0.25">
      <c r="A3747" s="36" t="s">
        <v>5244</v>
      </c>
      <c r="B3747" s="30" t="s">
        <v>5245</v>
      </c>
      <c r="C3747" s="31">
        <v>2</v>
      </c>
      <c r="D3747" s="4" t="s">
        <v>1468</v>
      </c>
      <c r="E3747" s="30" t="s">
        <v>5246</v>
      </c>
      <c r="F3747" s="64" t="s">
        <v>5248</v>
      </c>
      <c r="G3747" s="33" t="s">
        <v>13</v>
      </c>
    </row>
    <row r="3748" spans="1:27" hidden="1" x14ac:dyDescent="0.2">
      <c r="A3748" s="56" t="s">
        <v>5301</v>
      </c>
      <c r="B3748" s="61" t="s">
        <v>5302</v>
      </c>
      <c r="C3748" s="58">
        <v>1</v>
      </c>
      <c r="D3748" s="17" t="s">
        <v>1468</v>
      </c>
      <c r="E3748" s="61" t="s">
        <v>5303</v>
      </c>
      <c r="F3748" s="128" t="s">
        <v>5304</v>
      </c>
      <c r="G3748" s="62" t="s">
        <v>13</v>
      </c>
      <c r="I3748" s="90">
        <v>12</v>
      </c>
    </row>
    <row r="3749" spans="1:27" hidden="1" x14ac:dyDescent="0.2">
      <c r="A3749" s="11" t="s">
        <v>5363</v>
      </c>
      <c r="B3749" s="12" t="s">
        <v>5364</v>
      </c>
      <c r="C3749" s="13">
        <v>1</v>
      </c>
      <c r="D3749" s="22" t="s">
        <v>1468</v>
      </c>
      <c r="E3749" s="12" t="s">
        <v>5365</v>
      </c>
      <c r="F3749" s="22" t="s">
        <v>5366</v>
      </c>
      <c r="G3749" s="66" t="s">
        <v>13</v>
      </c>
    </row>
    <row r="3750" spans="1:27" hidden="1" x14ac:dyDescent="0.25">
      <c r="A3750" s="11" t="s">
        <v>5645</v>
      </c>
      <c r="B3750" s="12" t="s">
        <v>5646</v>
      </c>
      <c r="C3750" s="13">
        <v>2</v>
      </c>
      <c r="D3750" s="22" t="s">
        <v>1468</v>
      </c>
      <c r="E3750" s="12" t="s">
        <v>5647</v>
      </c>
      <c r="F3750" s="22" t="s">
        <v>5649</v>
      </c>
      <c r="G3750" s="80" t="s">
        <v>13</v>
      </c>
    </row>
    <row r="3751" spans="1:27" hidden="1" x14ac:dyDescent="0.25">
      <c r="A3751" s="11" t="s">
        <v>5957</v>
      </c>
      <c r="B3751" s="12" t="s">
        <v>5958</v>
      </c>
      <c r="C3751" s="13">
        <v>2</v>
      </c>
      <c r="D3751" s="22" t="s">
        <v>1468</v>
      </c>
      <c r="E3751" s="12" t="s">
        <v>5959</v>
      </c>
      <c r="F3751" s="22" t="s">
        <v>5961</v>
      </c>
      <c r="G3751" s="80" t="s">
        <v>13</v>
      </c>
      <c r="I3751" s="9">
        <v>15</v>
      </c>
    </row>
    <row r="3752" spans="1:27" hidden="1" x14ac:dyDescent="0.2">
      <c r="A3752" s="11" t="s">
        <v>8</v>
      </c>
      <c r="B3752" s="12" t="s">
        <v>9</v>
      </c>
      <c r="C3752" s="13">
        <v>1</v>
      </c>
      <c r="D3752" s="37" t="s">
        <v>10</v>
      </c>
      <c r="E3752" s="12" t="s">
        <v>11</v>
      </c>
      <c r="F3752" s="22" t="s">
        <v>12</v>
      </c>
      <c r="G3752" s="15" t="s">
        <v>13</v>
      </c>
      <c r="H3752" s="1"/>
      <c r="I3752" s="93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</row>
    <row r="3753" spans="1:27" s="10" customFormat="1" hidden="1" x14ac:dyDescent="0.2">
      <c r="A3753" s="11" t="s">
        <v>24</v>
      </c>
      <c r="B3753" s="12" t="s">
        <v>25</v>
      </c>
      <c r="C3753" s="13">
        <v>2</v>
      </c>
      <c r="D3753" s="37" t="s">
        <v>10</v>
      </c>
      <c r="E3753" s="12" t="s">
        <v>26</v>
      </c>
      <c r="F3753" s="22" t="s">
        <v>29</v>
      </c>
      <c r="G3753" s="15" t="s">
        <v>13</v>
      </c>
      <c r="H3753" s="1"/>
      <c r="I3753" s="93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</row>
    <row r="3754" spans="1:27" s="10" customFormat="1" ht="12.75" hidden="1" thickBot="1" x14ac:dyDescent="0.25">
      <c r="A3754" s="36" t="s">
        <v>55</v>
      </c>
      <c r="B3754" s="30" t="s">
        <v>56</v>
      </c>
      <c r="C3754" s="31">
        <v>2</v>
      </c>
      <c r="D3754" s="6" t="s">
        <v>10</v>
      </c>
      <c r="E3754" s="30" t="s">
        <v>57</v>
      </c>
      <c r="F3754" s="4" t="s">
        <v>60</v>
      </c>
      <c r="G3754" s="33" t="s">
        <v>13</v>
      </c>
      <c r="H3754" s="8"/>
      <c r="I3754" s="102" t="s">
        <v>59</v>
      </c>
      <c r="J3754" s="8"/>
      <c r="K3754" s="8"/>
      <c r="L3754" s="8"/>
      <c r="M3754" s="8"/>
      <c r="N3754" s="8"/>
      <c r="O3754" s="8"/>
      <c r="P3754" s="8"/>
      <c r="Q3754" s="8"/>
      <c r="R3754" s="8"/>
      <c r="S3754" s="8"/>
      <c r="T3754" s="8"/>
      <c r="U3754" s="8"/>
      <c r="V3754" s="8"/>
      <c r="W3754" s="8"/>
      <c r="X3754" s="8"/>
      <c r="Y3754" s="8"/>
      <c r="Z3754" s="8"/>
      <c r="AA3754" s="8"/>
    </row>
    <row r="3755" spans="1:27" hidden="1" x14ac:dyDescent="0.2">
      <c r="A3755" s="35" t="s">
        <v>69</v>
      </c>
      <c r="B3755" s="12" t="s">
        <v>70</v>
      </c>
      <c r="C3755" s="13">
        <v>2</v>
      </c>
      <c r="D3755" s="24" t="s">
        <v>10</v>
      </c>
      <c r="E3755" s="12" t="s">
        <v>72</v>
      </c>
      <c r="F3755" s="22" t="s">
        <v>74</v>
      </c>
      <c r="G3755" s="15" t="s">
        <v>13</v>
      </c>
    </row>
    <row r="3756" spans="1:27" hidden="1" x14ac:dyDescent="0.2">
      <c r="A3756" s="35" t="s">
        <v>93</v>
      </c>
      <c r="B3756" s="12" t="s">
        <v>94</v>
      </c>
      <c r="C3756" s="13">
        <v>2</v>
      </c>
      <c r="D3756" s="24" t="s">
        <v>10</v>
      </c>
      <c r="E3756" s="12" t="s">
        <v>96</v>
      </c>
      <c r="F3756" s="22" t="s">
        <v>98</v>
      </c>
      <c r="G3756" s="15" t="s">
        <v>13</v>
      </c>
    </row>
    <row r="3757" spans="1:27" hidden="1" x14ac:dyDescent="0.2">
      <c r="A3757" s="35" t="s">
        <v>289</v>
      </c>
      <c r="B3757" s="12" t="s">
        <v>290</v>
      </c>
      <c r="C3757" s="13">
        <v>2</v>
      </c>
      <c r="D3757" s="24" t="s">
        <v>10</v>
      </c>
      <c r="E3757" s="12" t="s">
        <v>291</v>
      </c>
      <c r="F3757" s="22" t="s">
        <v>293</v>
      </c>
      <c r="G3757" s="15" t="s">
        <v>13</v>
      </c>
    </row>
    <row r="3758" spans="1:27" hidden="1" x14ac:dyDescent="0.2">
      <c r="A3758" s="35" t="s">
        <v>319</v>
      </c>
      <c r="B3758" s="12" t="s">
        <v>320</v>
      </c>
      <c r="C3758" s="13">
        <v>2</v>
      </c>
      <c r="D3758" s="24" t="s">
        <v>10</v>
      </c>
      <c r="E3758" s="12" t="s">
        <v>321</v>
      </c>
      <c r="F3758" s="22" t="s">
        <v>323</v>
      </c>
      <c r="G3758" s="15" t="s">
        <v>13</v>
      </c>
    </row>
    <row r="3759" spans="1:27" hidden="1" x14ac:dyDescent="0.2">
      <c r="A3759" s="35" t="s">
        <v>362</v>
      </c>
      <c r="B3759" s="12" t="s">
        <v>363</v>
      </c>
      <c r="C3759" s="13">
        <v>2</v>
      </c>
      <c r="D3759" s="24" t="s">
        <v>10</v>
      </c>
      <c r="E3759" s="28" t="s">
        <v>364</v>
      </c>
      <c r="F3759" s="22" t="s">
        <v>366</v>
      </c>
      <c r="G3759" s="15" t="s">
        <v>13</v>
      </c>
    </row>
    <row r="3760" spans="1:27" hidden="1" x14ac:dyDescent="0.2">
      <c r="A3760" s="35" t="s">
        <v>434</v>
      </c>
      <c r="B3760" s="12" t="s">
        <v>435</v>
      </c>
      <c r="C3760" s="13">
        <v>2</v>
      </c>
      <c r="D3760" s="24" t="s">
        <v>10</v>
      </c>
      <c r="E3760" s="28" t="s">
        <v>436</v>
      </c>
      <c r="F3760" s="22" t="s">
        <v>438</v>
      </c>
      <c r="G3760" s="15" t="s">
        <v>13</v>
      </c>
    </row>
    <row r="3761" spans="1:9" hidden="1" x14ac:dyDescent="0.2">
      <c r="A3761" s="35" t="s">
        <v>453</v>
      </c>
      <c r="B3761" s="12" t="s">
        <v>454</v>
      </c>
      <c r="C3761" s="13">
        <v>1</v>
      </c>
      <c r="D3761" s="24" t="s">
        <v>10</v>
      </c>
      <c r="E3761" s="28" t="s">
        <v>455</v>
      </c>
      <c r="F3761" s="22" t="s">
        <v>456</v>
      </c>
      <c r="G3761" s="15" t="s">
        <v>13</v>
      </c>
    </row>
    <row r="3762" spans="1:9" hidden="1" x14ac:dyDescent="0.2">
      <c r="A3762" s="35" t="s">
        <v>470</v>
      </c>
      <c r="B3762" s="12" t="s">
        <v>471</v>
      </c>
      <c r="C3762" s="13">
        <v>2</v>
      </c>
      <c r="D3762" s="24" t="s">
        <v>10</v>
      </c>
      <c r="E3762" s="28" t="s">
        <v>472</v>
      </c>
      <c r="F3762" s="22" t="s">
        <v>474</v>
      </c>
      <c r="G3762" s="15" t="s">
        <v>13</v>
      </c>
    </row>
    <row r="3763" spans="1:9" hidden="1" x14ac:dyDescent="0.2">
      <c r="A3763" s="35" t="s">
        <v>484</v>
      </c>
      <c r="B3763" s="12" t="s">
        <v>485</v>
      </c>
      <c r="C3763" s="13">
        <v>2</v>
      </c>
      <c r="D3763" s="24" t="s">
        <v>10</v>
      </c>
      <c r="E3763" s="28" t="s">
        <v>486</v>
      </c>
      <c r="F3763" s="22" t="s">
        <v>488</v>
      </c>
      <c r="G3763" s="15" t="s">
        <v>13</v>
      </c>
    </row>
    <row r="3764" spans="1:9" hidden="1" x14ac:dyDescent="0.25">
      <c r="A3764" s="35" t="s">
        <v>505</v>
      </c>
      <c r="B3764" s="12" t="s">
        <v>506</v>
      </c>
      <c r="C3764" s="13">
        <v>1</v>
      </c>
      <c r="D3764" s="117" t="s">
        <v>10</v>
      </c>
      <c r="E3764" s="28" t="s">
        <v>507</v>
      </c>
      <c r="F3764" s="22" t="s">
        <v>508</v>
      </c>
      <c r="G3764" s="15" t="s">
        <v>13</v>
      </c>
    </row>
    <row r="3765" spans="1:9" ht="12.75" hidden="1" thickBot="1" x14ac:dyDescent="0.25">
      <c r="A3765" s="47" t="s">
        <v>520</v>
      </c>
      <c r="B3765" s="30" t="s">
        <v>521</v>
      </c>
      <c r="C3765" s="31">
        <v>2</v>
      </c>
      <c r="D3765" s="207" t="s">
        <v>10</v>
      </c>
      <c r="E3765" s="106" t="s">
        <v>522</v>
      </c>
      <c r="F3765" s="4" t="s">
        <v>524</v>
      </c>
      <c r="G3765" s="33" t="s">
        <v>13</v>
      </c>
    </row>
    <row r="3766" spans="1:9" hidden="1" x14ac:dyDescent="0.2">
      <c r="A3766" s="35" t="s">
        <v>537</v>
      </c>
      <c r="B3766" s="12" t="s">
        <v>538</v>
      </c>
      <c r="C3766" s="13">
        <v>2</v>
      </c>
      <c r="D3766" s="117" t="s">
        <v>10</v>
      </c>
      <c r="E3766" s="105" t="s">
        <v>539</v>
      </c>
      <c r="F3766" s="22" t="s">
        <v>541</v>
      </c>
      <c r="G3766" s="15" t="s">
        <v>13</v>
      </c>
      <c r="I3766" s="90">
        <v>12</v>
      </c>
    </row>
    <row r="3767" spans="1:9" hidden="1" x14ac:dyDescent="0.2">
      <c r="A3767" s="35" t="s">
        <v>552</v>
      </c>
      <c r="B3767" s="12" t="s">
        <v>553</v>
      </c>
      <c r="C3767" s="13">
        <v>2</v>
      </c>
      <c r="D3767" s="117" t="s">
        <v>10</v>
      </c>
      <c r="E3767" s="105" t="s">
        <v>554</v>
      </c>
      <c r="F3767" s="22" t="s">
        <v>556</v>
      </c>
      <c r="G3767" s="15" t="s">
        <v>13</v>
      </c>
      <c r="I3767" s="90">
        <v>12</v>
      </c>
    </row>
    <row r="3768" spans="1:9" hidden="1" x14ac:dyDescent="0.2">
      <c r="A3768" s="35" t="s">
        <v>570</v>
      </c>
      <c r="B3768" s="12" t="s">
        <v>571</v>
      </c>
      <c r="C3768" s="13">
        <v>2</v>
      </c>
      <c r="D3768" s="117" t="s">
        <v>10</v>
      </c>
      <c r="E3768" s="105" t="s">
        <v>573</v>
      </c>
      <c r="F3768" s="22" t="s">
        <v>575</v>
      </c>
      <c r="G3768" s="15" t="s">
        <v>13</v>
      </c>
      <c r="I3768" s="90">
        <v>12</v>
      </c>
    </row>
    <row r="3769" spans="1:9" hidden="1" x14ac:dyDescent="0.2">
      <c r="A3769" s="35" t="s">
        <v>585</v>
      </c>
      <c r="B3769" s="12" t="s">
        <v>586</v>
      </c>
      <c r="C3769" s="13">
        <v>2</v>
      </c>
      <c r="D3769" s="24" t="s">
        <v>10</v>
      </c>
      <c r="E3769" s="28" t="s">
        <v>587</v>
      </c>
      <c r="F3769" s="22" t="s">
        <v>589</v>
      </c>
      <c r="G3769" s="15" t="s">
        <v>13</v>
      </c>
      <c r="I3769" s="99">
        <v>13</v>
      </c>
    </row>
    <row r="3770" spans="1:9" hidden="1" x14ac:dyDescent="0.25">
      <c r="A3770" s="35" t="s">
        <v>641</v>
      </c>
      <c r="B3770" s="12" t="s">
        <v>642</v>
      </c>
      <c r="C3770" s="13">
        <v>2</v>
      </c>
      <c r="D3770" s="117" t="s">
        <v>10</v>
      </c>
      <c r="E3770" s="28" t="s">
        <v>643</v>
      </c>
      <c r="F3770" s="22" t="s">
        <v>645</v>
      </c>
      <c r="G3770" s="15" t="s">
        <v>13</v>
      </c>
      <c r="I3770" s="99">
        <v>13</v>
      </c>
    </row>
    <row r="3771" spans="1:9" hidden="1" x14ac:dyDescent="0.25">
      <c r="A3771" s="35" t="s">
        <v>659</v>
      </c>
      <c r="B3771" s="12" t="s">
        <v>660</v>
      </c>
      <c r="C3771" s="13">
        <v>2</v>
      </c>
      <c r="D3771" s="117" t="s">
        <v>10</v>
      </c>
      <c r="E3771" s="28" t="s">
        <v>661</v>
      </c>
      <c r="F3771" s="22" t="s">
        <v>663</v>
      </c>
      <c r="G3771" s="15" t="s">
        <v>13</v>
      </c>
      <c r="I3771" s="99">
        <v>13</v>
      </c>
    </row>
    <row r="3772" spans="1:9" ht="12.75" hidden="1" thickBot="1" x14ac:dyDescent="0.3">
      <c r="A3772" s="189" t="s">
        <v>671</v>
      </c>
      <c r="B3772" s="30" t="s">
        <v>672</v>
      </c>
      <c r="C3772" s="31">
        <v>2</v>
      </c>
      <c r="D3772" s="207" t="s">
        <v>10</v>
      </c>
      <c r="E3772" s="32" t="s">
        <v>673</v>
      </c>
      <c r="F3772" s="4" t="s">
        <v>675</v>
      </c>
      <c r="G3772" s="33" t="s">
        <v>676</v>
      </c>
      <c r="I3772" s="94">
        <v>14</v>
      </c>
    </row>
    <row r="3773" spans="1:9" hidden="1" x14ac:dyDescent="0.25">
      <c r="A3773" s="186" t="s">
        <v>690</v>
      </c>
      <c r="B3773" s="12" t="s">
        <v>691</v>
      </c>
      <c r="C3773" s="13">
        <v>2</v>
      </c>
      <c r="D3773" s="117" t="s">
        <v>10</v>
      </c>
      <c r="E3773" s="28" t="s">
        <v>692</v>
      </c>
      <c r="F3773" s="22" t="s">
        <v>694</v>
      </c>
      <c r="G3773" s="15" t="s">
        <v>676</v>
      </c>
      <c r="I3773" s="102" t="s">
        <v>59</v>
      </c>
    </row>
    <row r="3774" spans="1:9" hidden="1" x14ac:dyDescent="0.25">
      <c r="A3774" s="186" t="s">
        <v>708</v>
      </c>
      <c r="B3774" s="12" t="s">
        <v>709</v>
      </c>
      <c r="C3774" s="13">
        <v>2</v>
      </c>
      <c r="D3774" s="117" t="s">
        <v>10</v>
      </c>
      <c r="E3774" s="28" t="s">
        <v>710</v>
      </c>
      <c r="F3774" s="22" t="s">
        <v>712</v>
      </c>
      <c r="G3774" s="15" t="s">
        <v>676</v>
      </c>
      <c r="I3774" s="102" t="s">
        <v>59</v>
      </c>
    </row>
    <row r="3775" spans="1:9" hidden="1" x14ac:dyDescent="0.25">
      <c r="A3775" s="186" t="s">
        <v>729</v>
      </c>
      <c r="B3775" s="12" t="s">
        <v>730</v>
      </c>
      <c r="C3775" s="13">
        <v>2</v>
      </c>
      <c r="D3775" s="117" t="s">
        <v>10</v>
      </c>
      <c r="E3775" s="28" t="s">
        <v>731</v>
      </c>
      <c r="F3775" s="22" t="s">
        <v>733</v>
      </c>
      <c r="G3775" s="15" t="s">
        <v>676</v>
      </c>
      <c r="I3775" s="102" t="s">
        <v>59</v>
      </c>
    </row>
    <row r="3776" spans="1:9" hidden="1" x14ac:dyDescent="0.2">
      <c r="A3776" s="34" t="s">
        <v>757</v>
      </c>
      <c r="B3776" s="22" t="s">
        <v>758</v>
      </c>
      <c r="C3776" s="23">
        <v>2</v>
      </c>
      <c r="D3776" s="24" t="s">
        <v>10</v>
      </c>
      <c r="E3776" s="25" t="s">
        <v>759</v>
      </c>
      <c r="F3776" s="22" t="s">
        <v>761</v>
      </c>
      <c r="G3776" s="26" t="s">
        <v>13</v>
      </c>
      <c r="I3776" s="9">
        <v>15</v>
      </c>
    </row>
    <row r="3777" spans="1:27" hidden="1" x14ac:dyDescent="0.2">
      <c r="A3777" s="34" t="s">
        <v>791</v>
      </c>
      <c r="B3777" s="22" t="s">
        <v>792</v>
      </c>
      <c r="C3777" s="23">
        <v>2</v>
      </c>
      <c r="D3777" s="24" t="s">
        <v>10</v>
      </c>
      <c r="E3777" s="25" t="s">
        <v>793</v>
      </c>
      <c r="F3777" s="22" t="s">
        <v>795</v>
      </c>
      <c r="G3777" s="26" t="s">
        <v>13</v>
      </c>
      <c r="I3777" s="9">
        <v>15</v>
      </c>
    </row>
    <row r="3778" spans="1:27" hidden="1" x14ac:dyDescent="0.2">
      <c r="A3778" s="34" t="s">
        <v>839</v>
      </c>
      <c r="B3778" s="22" t="s">
        <v>840</v>
      </c>
      <c r="C3778" s="23">
        <v>2</v>
      </c>
      <c r="D3778" s="24" t="s">
        <v>10</v>
      </c>
      <c r="E3778" s="25" t="s">
        <v>841</v>
      </c>
      <c r="F3778" s="22" t="s">
        <v>843</v>
      </c>
      <c r="G3778" s="26" t="s">
        <v>829</v>
      </c>
      <c r="H3778" s="38"/>
      <c r="I3778" s="39">
        <v>15</v>
      </c>
      <c r="J3778" s="38"/>
      <c r="K3778" s="38"/>
      <c r="L3778" s="38"/>
      <c r="M3778" s="38"/>
      <c r="N3778" s="38"/>
      <c r="O3778" s="38"/>
      <c r="P3778" s="38"/>
      <c r="Q3778" s="38"/>
      <c r="R3778" s="38"/>
      <c r="S3778" s="38"/>
      <c r="T3778" s="38"/>
      <c r="U3778" s="38"/>
      <c r="V3778" s="38"/>
      <c r="W3778" s="38"/>
      <c r="X3778" s="38"/>
      <c r="Y3778" s="38"/>
      <c r="Z3778" s="38"/>
      <c r="AA3778" s="38"/>
    </row>
    <row r="3779" spans="1:27" ht="24" hidden="1" x14ac:dyDescent="0.2">
      <c r="A3779" s="34" t="s">
        <v>882</v>
      </c>
      <c r="B3779" s="22" t="s">
        <v>883</v>
      </c>
      <c r="C3779" s="23">
        <v>2</v>
      </c>
      <c r="D3779" s="24" t="s">
        <v>10</v>
      </c>
      <c r="E3779" s="25" t="s">
        <v>884</v>
      </c>
      <c r="F3779" s="22" t="s">
        <v>886</v>
      </c>
      <c r="G3779" s="26" t="s">
        <v>829</v>
      </c>
      <c r="H3779" s="38"/>
      <c r="I3779" s="39">
        <v>15</v>
      </c>
      <c r="J3779" s="38"/>
      <c r="K3779" s="38"/>
      <c r="L3779" s="38"/>
      <c r="M3779" s="38"/>
      <c r="N3779" s="38"/>
      <c r="O3779" s="38"/>
      <c r="P3779" s="38"/>
      <c r="Q3779" s="38"/>
      <c r="R3779" s="38"/>
      <c r="S3779" s="38"/>
      <c r="T3779" s="38"/>
      <c r="U3779" s="38"/>
      <c r="V3779" s="38"/>
      <c r="W3779" s="38"/>
      <c r="X3779" s="38"/>
      <c r="Y3779" s="38"/>
      <c r="Z3779" s="38"/>
      <c r="AA3779" s="38"/>
    </row>
    <row r="3780" spans="1:27" hidden="1" x14ac:dyDescent="0.2">
      <c r="A3780" s="34" t="s">
        <v>890</v>
      </c>
      <c r="B3780" s="22" t="s">
        <v>891</v>
      </c>
      <c r="C3780" s="23">
        <v>2</v>
      </c>
      <c r="D3780" s="24" t="s">
        <v>10</v>
      </c>
      <c r="E3780" s="25" t="s">
        <v>892</v>
      </c>
      <c r="F3780" s="22" t="s">
        <v>894</v>
      </c>
      <c r="G3780" s="26" t="s">
        <v>829</v>
      </c>
      <c r="H3780" s="38"/>
      <c r="I3780" s="39">
        <v>15</v>
      </c>
      <c r="J3780" s="38"/>
      <c r="K3780" s="38"/>
      <c r="L3780" s="38"/>
      <c r="M3780" s="38"/>
      <c r="N3780" s="38"/>
      <c r="O3780" s="38"/>
      <c r="P3780" s="38"/>
      <c r="Q3780" s="38"/>
      <c r="R3780" s="38"/>
      <c r="S3780" s="38"/>
      <c r="T3780" s="38"/>
      <c r="U3780" s="38"/>
      <c r="V3780" s="38"/>
      <c r="W3780" s="38"/>
      <c r="X3780" s="38"/>
      <c r="Y3780" s="38"/>
      <c r="Z3780" s="38"/>
      <c r="AA3780" s="38"/>
    </row>
    <row r="3781" spans="1:27" hidden="1" x14ac:dyDescent="0.2">
      <c r="A3781" s="34" t="s">
        <v>916</v>
      </c>
      <c r="B3781" s="22" t="s">
        <v>917</v>
      </c>
      <c r="C3781" s="23">
        <v>2</v>
      </c>
      <c r="D3781" s="24" t="s">
        <v>10</v>
      </c>
      <c r="E3781" s="25" t="s">
        <v>918</v>
      </c>
      <c r="F3781" s="22" t="s">
        <v>920</v>
      </c>
      <c r="G3781" s="26" t="s">
        <v>829</v>
      </c>
      <c r="H3781" s="38"/>
      <c r="I3781" s="39">
        <v>15</v>
      </c>
      <c r="J3781" s="38"/>
      <c r="K3781" s="38"/>
      <c r="L3781" s="38"/>
      <c r="M3781" s="38"/>
      <c r="N3781" s="38"/>
      <c r="O3781" s="38"/>
      <c r="P3781" s="38"/>
      <c r="Q3781" s="38"/>
      <c r="R3781" s="38"/>
      <c r="S3781" s="38"/>
      <c r="T3781" s="38"/>
      <c r="U3781" s="38"/>
      <c r="V3781" s="38"/>
      <c r="W3781" s="38"/>
      <c r="X3781" s="38"/>
      <c r="Y3781" s="38"/>
      <c r="Z3781" s="38"/>
      <c r="AA3781" s="38"/>
    </row>
    <row r="3782" spans="1:27" hidden="1" x14ac:dyDescent="0.2">
      <c r="A3782" s="34" t="s">
        <v>926</v>
      </c>
      <c r="B3782" s="22" t="s">
        <v>927</v>
      </c>
      <c r="C3782" s="23">
        <v>2</v>
      </c>
      <c r="D3782" s="24" t="s">
        <v>10</v>
      </c>
      <c r="E3782" s="25" t="s">
        <v>928</v>
      </c>
      <c r="F3782" s="22" t="s">
        <v>930</v>
      </c>
      <c r="G3782" s="26" t="s">
        <v>829</v>
      </c>
      <c r="H3782" s="38"/>
      <c r="I3782" s="39">
        <v>15</v>
      </c>
      <c r="J3782" s="38"/>
      <c r="K3782" s="38"/>
      <c r="L3782" s="38"/>
      <c r="M3782" s="38"/>
      <c r="N3782" s="38"/>
      <c r="O3782" s="38"/>
      <c r="P3782" s="38"/>
      <c r="Q3782" s="38"/>
      <c r="R3782" s="38"/>
      <c r="S3782" s="38"/>
      <c r="T3782" s="38"/>
      <c r="U3782" s="38"/>
      <c r="V3782" s="38"/>
      <c r="W3782" s="38"/>
      <c r="X3782" s="38"/>
      <c r="Y3782" s="38"/>
      <c r="Z3782" s="38"/>
      <c r="AA3782" s="38"/>
    </row>
    <row r="3783" spans="1:27" hidden="1" x14ac:dyDescent="0.2">
      <c r="A3783" s="34" t="s">
        <v>943</v>
      </c>
      <c r="B3783" s="22" t="s">
        <v>944</v>
      </c>
      <c r="C3783" s="23">
        <v>2</v>
      </c>
      <c r="D3783" s="24" t="s">
        <v>10</v>
      </c>
      <c r="E3783" s="25" t="s">
        <v>945</v>
      </c>
      <c r="F3783" s="22" t="s">
        <v>947</v>
      </c>
      <c r="G3783" s="26" t="s">
        <v>829</v>
      </c>
      <c r="H3783" s="38"/>
      <c r="I3783" s="39">
        <v>15</v>
      </c>
      <c r="J3783" s="38"/>
      <c r="K3783" s="38"/>
      <c r="L3783" s="38"/>
      <c r="M3783" s="38"/>
      <c r="N3783" s="38"/>
      <c r="O3783" s="38"/>
      <c r="P3783" s="38"/>
      <c r="Q3783" s="38"/>
      <c r="R3783" s="38"/>
      <c r="S3783" s="38"/>
      <c r="T3783" s="38"/>
      <c r="U3783" s="38"/>
      <c r="V3783" s="38"/>
      <c r="W3783" s="38"/>
      <c r="X3783" s="38"/>
      <c r="Y3783" s="38"/>
      <c r="Z3783" s="38"/>
      <c r="AA3783" s="38"/>
    </row>
    <row r="3784" spans="1:27" hidden="1" x14ac:dyDescent="0.2">
      <c r="A3784" s="34" t="s">
        <v>1000</v>
      </c>
      <c r="B3784" s="22" t="s">
        <v>1001</v>
      </c>
      <c r="C3784" s="23">
        <v>2</v>
      </c>
      <c r="D3784" s="24" t="s">
        <v>10</v>
      </c>
      <c r="E3784" s="25" t="s">
        <v>1002</v>
      </c>
      <c r="F3784" s="22" t="s">
        <v>1004</v>
      </c>
      <c r="G3784" s="26" t="s">
        <v>829</v>
      </c>
      <c r="H3784" s="38"/>
      <c r="I3784" s="39">
        <v>15</v>
      </c>
      <c r="J3784" s="38"/>
      <c r="K3784" s="38"/>
      <c r="L3784" s="38"/>
      <c r="M3784" s="38"/>
      <c r="N3784" s="38"/>
      <c r="O3784" s="38"/>
      <c r="P3784" s="38"/>
      <c r="Q3784" s="38"/>
      <c r="R3784" s="38"/>
      <c r="S3784" s="38"/>
      <c r="T3784" s="38"/>
      <c r="U3784" s="38"/>
      <c r="V3784" s="38"/>
      <c r="W3784" s="38"/>
      <c r="X3784" s="38"/>
      <c r="Y3784" s="38"/>
      <c r="Z3784" s="38"/>
      <c r="AA3784" s="38"/>
    </row>
    <row r="3785" spans="1:27" hidden="1" x14ac:dyDescent="0.2">
      <c r="A3785" s="34" t="s">
        <v>1017</v>
      </c>
      <c r="B3785" s="22" t="s">
        <v>1018</v>
      </c>
      <c r="C3785" s="23">
        <v>2</v>
      </c>
      <c r="D3785" s="24" t="s">
        <v>10</v>
      </c>
      <c r="E3785" s="25" t="s">
        <v>1019</v>
      </c>
      <c r="F3785" s="22" t="s">
        <v>1021</v>
      </c>
      <c r="G3785" s="26" t="s">
        <v>829</v>
      </c>
      <c r="H3785" s="38"/>
      <c r="I3785" s="39">
        <v>15</v>
      </c>
      <c r="J3785" s="38"/>
      <c r="K3785" s="38"/>
      <c r="L3785" s="38"/>
      <c r="M3785" s="38"/>
      <c r="N3785" s="38"/>
      <c r="O3785" s="38"/>
      <c r="P3785" s="38"/>
      <c r="Q3785" s="38"/>
      <c r="R3785" s="38"/>
      <c r="S3785" s="38"/>
      <c r="T3785" s="38"/>
      <c r="U3785" s="38"/>
      <c r="V3785" s="38"/>
      <c r="W3785" s="38"/>
      <c r="X3785" s="38"/>
      <c r="Y3785" s="38"/>
      <c r="Z3785" s="38"/>
      <c r="AA3785" s="38"/>
    </row>
    <row r="3786" spans="1:27" hidden="1" x14ac:dyDescent="0.25">
      <c r="A3786" s="34" t="s">
        <v>1031</v>
      </c>
      <c r="B3786" s="22" t="s">
        <v>1032</v>
      </c>
      <c r="C3786" s="23">
        <v>2</v>
      </c>
      <c r="D3786" s="135" t="s">
        <v>10</v>
      </c>
      <c r="E3786" s="25" t="s">
        <v>1033</v>
      </c>
      <c r="F3786" s="22" t="s">
        <v>1035</v>
      </c>
      <c r="G3786" s="26" t="s">
        <v>829</v>
      </c>
      <c r="H3786" s="38"/>
      <c r="I3786" s="39">
        <v>15</v>
      </c>
      <c r="J3786" s="38"/>
      <c r="K3786" s="38"/>
      <c r="L3786" s="38"/>
      <c r="M3786" s="38"/>
      <c r="N3786" s="38"/>
      <c r="O3786" s="38"/>
      <c r="P3786" s="38"/>
      <c r="Q3786" s="38"/>
      <c r="R3786" s="38"/>
      <c r="S3786" s="38"/>
      <c r="T3786" s="38"/>
      <c r="U3786" s="38"/>
      <c r="V3786" s="38"/>
      <c r="W3786" s="38"/>
      <c r="X3786" s="38"/>
      <c r="Y3786" s="38"/>
      <c r="Z3786" s="38"/>
      <c r="AA3786" s="38"/>
    </row>
    <row r="3787" spans="1:27" hidden="1" x14ac:dyDescent="0.2">
      <c r="A3787" s="34" t="s">
        <v>1082</v>
      </c>
      <c r="B3787" s="22" t="s">
        <v>1083</v>
      </c>
      <c r="C3787" s="23">
        <v>2</v>
      </c>
      <c r="D3787" s="24" t="s">
        <v>10</v>
      </c>
      <c r="E3787" s="25" t="s">
        <v>1084</v>
      </c>
      <c r="F3787" s="22" t="s">
        <v>1086</v>
      </c>
      <c r="G3787" s="26" t="s">
        <v>829</v>
      </c>
      <c r="H3787" s="38"/>
      <c r="I3787" s="39">
        <v>15</v>
      </c>
      <c r="J3787" s="38"/>
      <c r="K3787" s="38"/>
      <c r="L3787" s="38"/>
      <c r="M3787" s="38"/>
      <c r="N3787" s="38"/>
      <c r="O3787" s="38"/>
      <c r="P3787" s="38"/>
      <c r="Q3787" s="38"/>
      <c r="R3787" s="38"/>
      <c r="S3787" s="38"/>
      <c r="T3787" s="38"/>
      <c r="U3787" s="38"/>
      <c r="V3787" s="38"/>
      <c r="W3787" s="38"/>
      <c r="X3787" s="38"/>
      <c r="Y3787" s="38"/>
      <c r="Z3787" s="38"/>
      <c r="AA3787" s="38"/>
    </row>
    <row r="3788" spans="1:27" hidden="1" x14ac:dyDescent="0.2">
      <c r="A3788" s="35" t="s">
        <v>1093</v>
      </c>
      <c r="B3788" s="12" t="s">
        <v>1094</v>
      </c>
      <c r="C3788" s="13">
        <v>1</v>
      </c>
      <c r="D3788" s="24" t="s">
        <v>10</v>
      </c>
      <c r="E3788" s="28" t="s">
        <v>1095</v>
      </c>
      <c r="F3788" s="22" t="s">
        <v>1096</v>
      </c>
      <c r="G3788" s="15" t="s">
        <v>13</v>
      </c>
    </row>
    <row r="3789" spans="1:27" hidden="1" x14ac:dyDescent="0.2">
      <c r="A3789" s="35" t="s">
        <v>1122</v>
      </c>
      <c r="B3789" s="12" t="s">
        <v>1123</v>
      </c>
      <c r="C3789" s="13">
        <v>1</v>
      </c>
      <c r="D3789" s="24" t="s">
        <v>10</v>
      </c>
      <c r="E3789" s="28" t="s">
        <v>1124</v>
      </c>
      <c r="F3789" s="22" t="s">
        <v>1125</v>
      </c>
      <c r="G3789" s="15" t="s">
        <v>13</v>
      </c>
    </row>
    <row r="3790" spans="1:27" hidden="1" x14ac:dyDescent="0.2">
      <c r="A3790" s="35" t="s">
        <v>1142</v>
      </c>
      <c r="B3790" s="12" t="s">
        <v>1143</v>
      </c>
      <c r="C3790" s="13">
        <v>2</v>
      </c>
      <c r="D3790" s="24" t="s">
        <v>10</v>
      </c>
      <c r="E3790" s="28" t="s">
        <v>1144</v>
      </c>
      <c r="F3790" s="22" t="s">
        <v>1146</v>
      </c>
      <c r="G3790" s="15" t="s">
        <v>13</v>
      </c>
    </row>
    <row r="3791" spans="1:27" hidden="1" x14ac:dyDescent="0.2">
      <c r="A3791" s="35" t="s">
        <v>1194</v>
      </c>
      <c r="B3791" s="12" t="s">
        <v>1195</v>
      </c>
      <c r="C3791" s="13">
        <v>2</v>
      </c>
      <c r="D3791" s="24" t="s">
        <v>10</v>
      </c>
      <c r="E3791" s="28" t="s">
        <v>1196</v>
      </c>
      <c r="F3791" s="22" t="s">
        <v>1198</v>
      </c>
      <c r="G3791" s="15" t="s">
        <v>13</v>
      </c>
    </row>
    <row r="3792" spans="1:27" hidden="1" x14ac:dyDescent="0.2">
      <c r="A3792" s="35" t="s">
        <v>1206</v>
      </c>
      <c r="B3792" s="12" t="s">
        <v>1207</v>
      </c>
      <c r="C3792" s="13">
        <v>2</v>
      </c>
      <c r="D3792" s="24" t="s">
        <v>10</v>
      </c>
      <c r="E3792" s="28" t="s">
        <v>1208</v>
      </c>
      <c r="F3792" s="22" t="s">
        <v>1210</v>
      </c>
      <c r="G3792" s="15" t="s">
        <v>13</v>
      </c>
      <c r="I3792" s="99">
        <v>13</v>
      </c>
    </row>
    <row r="3793" spans="1:27" hidden="1" x14ac:dyDescent="0.2">
      <c r="A3793" s="34" t="s">
        <v>1229</v>
      </c>
      <c r="B3793" s="22" t="s">
        <v>1230</v>
      </c>
      <c r="C3793" s="23">
        <v>2</v>
      </c>
      <c r="D3793" s="24" t="s">
        <v>10</v>
      </c>
      <c r="E3793" s="25" t="s">
        <v>1231</v>
      </c>
      <c r="F3793" s="22" t="s">
        <v>1233</v>
      </c>
      <c r="G3793" s="26" t="s">
        <v>13</v>
      </c>
      <c r="H3793" s="38"/>
      <c r="I3793" s="39">
        <v>15</v>
      </c>
      <c r="J3793" s="38"/>
      <c r="K3793" s="38"/>
      <c r="L3793" s="38"/>
      <c r="M3793" s="38"/>
      <c r="N3793" s="38"/>
      <c r="O3793" s="38"/>
      <c r="P3793" s="38"/>
      <c r="Q3793" s="38"/>
      <c r="R3793" s="38"/>
      <c r="S3793" s="38"/>
      <c r="T3793" s="38"/>
      <c r="U3793" s="38"/>
      <c r="V3793" s="38"/>
      <c r="W3793" s="38"/>
      <c r="X3793" s="38"/>
      <c r="Y3793" s="38"/>
      <c r="Z3793" s="38"/>
      <c r="AA3793" s="38"/>
    </row>
    <row r="3794" spans="1:27" hidden="1" x14ac:dyDescent="0.2">
      <c r="A3794" s="35" t="s">
        <v>1242</v>
      </c>
      <c r="B3794" s="12" t="s">
        <v>1243</v>
      </c>
      <c r="C3794" s="13">
        <v>1</v>
      </c>
      <c r="D3794" s="115" t="s">
        <v>10</v>
      </c>
      <c r="E3794" s="28" t="s">
        <v>1244</v>
      </c>
      <c r="F3794" s="22" t="s">
        <v>1245</v>
      </c>
      <c r="G3794" s="15" t="s">
        <v>13</v>
      </c>
    </row>
    <row r="3795" spans="1:27" hidden="1" x14ac:dyDescent="0.25">
      <c r="A3795" s="35" t="s">
        <v>1260</v>
      </c>
      <c r="B3795" s="12" t="s">
        <v>1261</v>
      </c>
      <c r="C3795" s="13">
        <v>2</v>
      </c>
      <c r="D3795" s="117" t="s">
        <v>10</v>
      </c>
      <c r="E3795" s="28" t="s">
        <v>1262</v>
      </c>
      <c r="F3795" s="22" t="s">
        <v>1264</v>
      </c>
      <c r="G3795" s="15" t="s">
        <v>13</v>
      </c>
    </row>
    <row r="3796" spans="1:27" ht="12.75" hidden="1" thickBot="1" x14ac:dyDescent="0.3">
      <c r="A3796" s="47" t="s">
        <v>1294</v>
      </c>
      <c r="B3796" s="30" t="s">
        <v>1295</v>
      </c>
      <c r="C3796" s="31">
        <v>2</v>
      </c>
      <c r="D3796" s="207" t="s">
        <v>10</v>
      </c>
      <c r="E3796" s="32" t="s">
        <v>1296</v>
      </c>
      <c r="F3796" s="4" t="s">
        <v>1298</v>
      </c>
      <c r="G3796" s="33" t="s">
        <v>13</v>
      </c>
    </row>
    <row r="3797" spans="1:27" hidden="1" x14ac:dyDescent="0.25">
      <c r="A3797" s="35" t="s">
        <v>1313</v>
      </c>
      <c r="B3797" s="12" t="s">
        <v>1314</v>
      </c>
      <c r="C3797" s="13">
        <v>2</v>
      </c>
      <c r="D3797" s="117" t="s">
        <v>10</v>
      </c>
      <c r="E3797" s="28" t="s">
        <v>1315</v>
      </c>
      <c r="F3797" s="22" t="s">
        <v>1317</v>
      </c>
      <c r="G3797" s="15" t="s">
        <v>13</v>
      </c>
    </row>
    <row r="3798" spans="1:27" hidden="1" x14ac:dyDescent="0.25">
      <c r="A3798" s="35" t="s">
        <v>1383</v>
      </c>
      <c r="B3798" s="12" t="s">
        <v>1384</v>
      </c>
      <c r="C3798" s="13">
        <v>2</v>
      </c>
      <c r="D3798" s="117" t="s">
        <v>10</v>
      </c>
      <c r="E3798" s="28" t="s">
        <v>1385</v>
      </c>
      <c r="F3798" s="22" t="s">
        <v>1387</v>
      </c>
      <c r="G3798" s="15" t="s">
        <v>13</v>
      </c>
    </row>
    <row r="3799" spans="1:27" hidden="1" x14ac:dyDescent="0.25">
      <c r="A3799" s="35" t="s">
        <v>1421</v>
      </c>
      <c r="B3799" s="12" t="s">
        <v>1422</v>
      </c>
      <c r="C3799" s="13">
        <v>2</v>
      </c>
      <c r="D3799" s="117" t="s">
        <v>10</v>
      </c>
      <c r="E3799" s="28" t="s">
        <v>1423</v>
      </c>
      <c r="F3799" s="22" t="s">
        <v>1425</v>
      </c>
      <c r="G3799" s="15" t="s">
        <v>13</v>
      </c>
    </row>
    <row r="3800" spans="1:27" hidden="1" x14ac:dyDescent="0.25">
      <c r="A3800" s="35" t="s">
        <v>1454</v>
      </c>
      <c r="B3800" s="12" t="s">
        <v>1455</v>
      </c>
      <c r="C3800" s="13">
        <v>2</v>
      </c>
      <c r="D3800" s="117" t="s">
        <v>10</v>
      </c>
      <c r="E3800" s="28" t="s">
        <v>1456</v>
      </c>
      <c r="F3800" s="22" t="s">
        <v>1458</v>
      </c>
      <c r="G3800" s="15" t="s">
        <v>13</v>
      </c>
    </row>
    <row r="3801" spans="1:27" hidden="1" x14ac:dyDescent="0.25">
      <c r="A3801" s="35" t="s">
        <v>1505</v>
      </c>
      <c r="B3801" s="12" t="s">
        <v>1506</v>
      </c>
      <c r="C3801" s="13">
        <v>2</v>
      </c>
      <c r="D3801" s="117" t="s">
        <v>10</v>
      </c>
      <c r="E3801" s="28" t="s">
        <v>1507</v>
      </c>
      <c r="F3801" s="22" t="s">
        <v>1509</v>
      </c>
      <c r="G3801" s="15" t="s">
        <v>13</v>
      </c>
    </row>
    <row r="3802" spans="1:27" hidden="1" x14ac:dyDescent="0.25">
      <c r="A3802" s="35" t="s">
        <v>1519</v>
      </c>
      <c r="B3802" s="12" t="s">
        <v>1520</v>
      </c>
      <c r="C3802" s="13">
        <v>2</v>
      </c>
      <c r="D3802" s="117" t="s">
        <v>10</v>
      </c>
      <c r="E3802" s="28" t="s">
        <v>1521</v>
      </c>
      <c r="F3802" s="22" t="s">
        <v>1523</v>
      </c>
      <c r="G3802" s="15" t="s">
        <v>13</v>
      </c>
    </row>
    <row r="3803" spans="1:27" hidden="1" x14ac:dyDescent="0.25">
      <c r="A3803" s="35" t="s">
        <v>1534</v>
      </c>
      <c r="B3803" s="12" t="s">
        <v>1535</v>
      </c>
      <c r="C3803" s="13">
        <v>2</v>
      </c>
      <c r="D3803" s="117" t="s">
        <v>10</v>
      </c>
      <c r="E3803" s="28" t="s">
        <v>1537</v>
      </c>
      <c r="F3803" s="22" t="s">
        <v>1539</v>
      </c>
      <c r="G3803" s="15" t="s">
        <v>13</v>
      </c>
    </row>
    <row r="3804" spans="1:27" hidden="1" x14ac:dyDescent="0.25">
      <c r="A3804" s="35" t="s">
        <v>1556</v>
      </c>
      <c r="B3804" s="12" t="s">
        <v>1557</v>
      </c>
      <c r="C3804" s="13">
        <v>2</v>
      </c>
      <c r="D3804" s="117" t="s">
        <v>10</v>
      </c>
      <c r="E3804" s="28" t="s">
        <v>1558</v>
      </c>
      <c r="F3804" s="22" t="s">
        <v>1560</v>
      </c>
      <c r="G3804" s="15" t="s">
        <v>13</v>
      </c>
      <c r="I3804" s="90">
        <v>12</v>
      </c>
    </row>
    <row r="3805" spans="1:27" hidden="1" x14ac:dyDescent="0.25">
      <c r="A3805" s="34" t="s">
        <v>1794</v>
      </c>
      <c r="B3805" s="22" t="s">
        <v>1795</v>
      </c>
      <c r="C3805" s="23">
        <v>2</v>
      </c>
      <c r="D3805" s="117" t="s">
        <v>10</v>
      </c>
      <c r="E3805" s="25" t="s">
        <v>1796</v>
      </c>
      <c r="F3805" s="22" t="s">
        <v>1798</v>
      </c>
      <c r="G3805" s="26" t="s">
        <v>13</v>
      </c>
      <c r="H3805" s="38"/>
      <c r="I3805" s="39">
        <v>15</v>
      </c>
      <c r="J3805" s="38"/>
      <c r="K3805" s="38"/>
      <c r="L3805" s="38"/>
      <c r="M3805" s="38"/>
      <c r="N3805" s="38"/>
      <c r="O3805" s="38"/>
      <c r="P3805" s="38"/>
      <c r="Q3805" s="38"/>
      <c r="R3805" s="38"/>
      <c r="S3805" s="38"/>
      <c r="T3805" s="38"/>
      <c r="U3805" s="38"/>
      <c r="V3805" s="38"/>
      <c r="W3805" s="38"/>
      <c r="X3805" s="38"/>
      <c r="Y3805" s="38"/>
      <c r="Z3805" s="38"/>
      <c r="AA3805" s="38"/>
    </row>
    <row r="3806" spans="1:27" hidden="1" x14ac:dyDescent="0.25">
      <c r="A3806" s="34" t="s">
        <v>1818</v>
      </c>
      <c r="B3806" s="22" t="s">
        <v>1819</v>
      </c>
      <c r="C3806" s="23">
        <v>2</v>
      </c>
      <c r="D3806" s="117" t="s">
        <v>10</v>
      </c>
      <c r="E3806" s="25" t="s">
        <v>1820</v>
      </c>
      <c r="F3806" s="22" t="s">
        <v>1822</v>
      </c>
      <c r="G3806" s="26" t="s">
        <v>13</v>
      </c>
      <c r="H3806" s="38"/>
      <c r="I3806" s="39">
        <v>15</v>
      </c>
      <c r="J3806" s="38"/>
      <c r="K3806" s="38"/>
      <c r="L3806" s="38"/>
      <c r="M3806" s="38"/>
      <c r="N3806" s="38"/>
      <c r="O3806" s="38"/>
      <c r="P3806" s="38"/>
      <c r="Q3806" s="38"/>
      <c r="R3806" s="38"/>
      <c r="S3806" s="38"/>
      <c r="T3806" s="38"/>
      <c r="U3806" s="38"/>
      <c r="V3806" s="38"/>
      <c r="W3806" s="38"/>
      <c r="X3806" s="38"/>
      <c r="Y3806" s="38"/>
      <c r="Z3806" s="38"/>
      <c r="AA3806" s="38"/>
    </row>
    <row r="3807" spans="1:27" hidden="1" x14ac:dyDescent="0.25">
      <c r="A3807" s="34" t="s">
        <v>1882</v>
      </c>
      <c r="B3807" s="22" t="s">
        <v>1883</v>
      </c>
      <c r="C3807" s="23">
        <v>2</v>
      </c>
      <c r="D3807" s="223" t="s">
        <v>10</v>
      </c>
      <c r="E3807" s="25" t="s">
        <v>1884</v>
      </c>
      <c r="F3807" s="22" t="s">
        <v>1886</v>
      </c>
      <c r="G3807" s="26" t="s">
        <v>13</v>
      </c>
      <c r="H3807" s="38"/>
      <c r="I3807" s="39">
        <v>15</v>
      </c>
      <c r="K3807" s="38"/>
      <c r="L3807" s="38"/>
      <c r="M3807" s="38"/>
      <c r="N3807" s="38"/>
      <c r="O3807" s="38"/>
      <c r="P3807" s="38"/>
      <c r="Q3807" s="38"/>
      <c r="R3807" s="38"/>
      <c r="S3807" s="38"/>
      <c r="T3807" s="38"/>
      <c r="U3807" s="38"/>
      <c r="V3807" s="38"/>
      <c r="W3807" s="38"/>
      <c r="X3807" s="38"/>
      <c r="Y3807" s="38"/>
      <c r="Z3807" s="38"/>
      <c r="AA3807" s="38"/>
    </row>
    <row r="3808" spans="1:27" ht="15" hidden="1" x14ac:dyDescent="0.25">
      <c r="A3808" s="34" t="s">
        <v>1922</v>
      </c>
      <c r="B3808" s="22" t="s">
        <v>1923</v>
      </c>
      <c r="C3808" s="23">
        <v>2</v>
      </c>
      <c r="D3808" s="223" t="s">
        <v>10</v>
      </c>
      <c r="E3808" s="25" t="s">
        <v>1924</v>
      </c>
      <c r="F3808" s="22" t="s">
        <v>1926</v>
      </c>
      <c r="G3808" s="26" t="s">
        <v>13</v>
      </c>
      <c r="H3808" s="38"/>
      <c r="I3808" s="39">
        <v>15</v>
      </c>
      <c r="J3808" s="52"/>
      <c r="K3808" s="38"/>
      <c r="L3808" s="38"/>
      <c r="M3808" s="38"/>
      <c r="N3808" s="38"/>
      <c r="O3808" s="38"/>
      <c r="P3808" s="38"/>
      <c r="Q3808" s="38"/>
      <c r="R3808" s="38"/>
      <c r="S3808" s="38"/>
      <c r="T3808" s="38"/>
      <c r="U3808" s="38"/>
      <c r="V3808" s="38"/>
      <c r="W3808" s="38"/>
      <c r="X3808" s="38"/>
      <c r="Y3808" s="38"/>
      <c r="Z3808" s="38"/>
      <c r="AA3808" s="38"/>
    </row>
    <row r="3809" spans="1:10" hidden="1" x14ac:dyDescent="0.2">
      <c r="A3809" s="35" t="s">
        <v>2024</v>
      </c>
      <c r="B3809" s="12" t="s">
        <v>2025</v>
      </c>
      <c r="C3809" s="13">
        <v>35</v>
      </c>
      <c r="D3809" s="27" t="s">
        <v>2086</v>
      </c>
      <c r="E3809" s="28" t="s">
        <v>2026</v>
      </c>
      <c r="F3809" s="12" t="s">
        <v>2087</v>
      </c>
      <c r="G3809" s="15" t="s">
        <v>19</v>
      </c>
    </row>
    <row r="3810" spans="1:10" hidden="1" x14ac:dyDescent="0.2">
      <c r="A3810" s="35" t="s">
        <v>2024</v>
      </c>
      <c r="B3810" s="12" t="s">
        <v>2025</v>
      </c>
      <c r="C3810" s="13">
        <v>36</v>
      </c>
      <c r="D3810" s="27" t="s">
        <v>22</v>
      </c>
      <c r="E3810" s="28" t="s">
        <v>2026</v>
      </c>
      <c r="F3810" s="12" t="s">
        <v>2088</v>
      </c>
      <c r="G3810" s="15" t="s">
        <v>16</v>
      </c>
    </row>
    <row r="3811" spans="1:10" hidden="1" x14ac:dyDescent="0.2">
      <c r="A3811" s="35" t="s">
        <v>2024</v>
      </c>
      <c r="B3811" s="12" t="s">
        <v>2025</v>
      </c>
      <c r="C3811" s="13">
        <v>37</v>
      </c>
      <c r="D3811" s="27" t="s">
        <v>2089</v>
      </c>
      <c r="E3811" s="28" t="s">
        <v>2026</v>
      </c>
      <c r="F3811" s="12" t="s">
        <v>2090</v>
      </c>
      <c r="G3811" s="15" t="s">
        <v>78</v>
      </c>
    </row>
    <row r="3812" spans="1:10" ht="12.75" hidden="1" thickBot="1" x14ac:dyDescent="0.3">
      <c r="A3812" s="47" t="s">
        <v>2114</v>
      </c>
      <c r="B3812" s="30" t="s">
        <v>2115</v>
      </c>
      <c r="C3812" s="31">
        <v>2</v>
      </c>
      <c r="D3812" s="215" t="s">
        <v>10</v>
      </c>
      <c r="E3812" s="32" t="s">
        <v>2116</v>
      </c>
      <c r="F3812" s="4" t="s">
        <v>2118</v>
      </c>
      <c r="G3812" s="33" t="s">
        <v>13</v>
      </c>
    </row>
    <row r="3813" spans="1:10" hidden="1" x14ac:dyDescent="0.25">
      <c r="A3813" s="56" t="s">
        <v>2130</v>
      </c>
      <c r="B3813" s="57" t="s">
        <v>2131</v>
      </c>
      <c r="C3813" s="58">
        <v>2</v>
      </c>
      <c r="D3813" s="17" t="s">
        <v>10</v>
      </c>
      <c r="E3813" s="89" t="s">
        <v>2132</v>
      </c>
      <c r="F3813" s="17" t="s">
        <v>2134</v>
      </c>
      <c r="G3813" s="62" t="s">
        <v>13</v>
      </c>
    </row>
    <row r="3814" spans="1:10" hidden="1" x14ac:dyDescent="0.25">
      <c r="A3814" s="11" t="s">
        <v>2171</v>
      </c>
      <c r="B3814" s="8" t="s">
        <v>2172</v>
      </c>
      <c r="C3814" s="13">
        <v>2</v>
      </c>
      <c r="D3814" s="22" t="s">
        <v>10</v>
      </c>
      <c r="E3814" s="28" t="s">
        <v>2173</v>
      </c>
      <c r="F3814" s="22" t="s">
        <v>2175</v>
      </c>
      <c r="G3814" s="15" t="s">
        <v>13</v>
      </c>
    </row>
    <row r="3815" spans="1:10" ht="15" hidden="1" x14ac:dyDescent="0.25">
      <c r="A3815" s="21" t="s">
        <v>2179</v>
      </c>
      <c r="B3815" s="38" t="s">
        <v>2180</v>
      </c>
      <c r="C3815" s="23">
        <v>2</v>
      </c>
      <c r="D3815" s="22" t="s">
        <v>10</v>
      </c>
      <c r="E3815" s="25" t="s">
        <v>2181</v>
      </c>
      <c r="F3815" s="22" t="s">
        <v>2183</v>
      </c>
      <c r="G3815" s="26" t="s">
        <v>13</v>
      </c>
      <c r="I3815" s="54">
        <v>15</v>
      </c>
      <c r="J3815" s="52"/>
    </row>
    <row r="3816" spans="1:10" ht="15" hidden="1" x14ac:dyDescent="0.25">
      <c r="A3816" s="11" t="s">
        <v>2194</v>
      </c>
      <c r="B3816" s="8" t="s">
        <v>2195</v>
      </c>
      <c r="C3816" s="13">
        <v>2</v>
      </c>
      <c r="D3816" s="22" t="s">
        <v>10</v>
      </c>
      <c r="E3816" s="25" t="s">
        <v>2196</v>
      </c>
      <c r="F3816" s="22" t="s">
        <v>2198</v>
      </c>
      <c r="G3816" s="26" t="s">
        <v>13</v>
      </c>
      <c r="I3816" s="59">
        <v>15</v>
      </c>
      <c r="J3816" s="60"/>
    </row>
    <row r="3817" spans="1:10" ht="15" hidden="1" x14ac:dyDescent="0.25">
      <c r="A3817" s="21" t="s">
        <v>2215</v>
      </c>
      <c r="B3817" s="38" t="s">
        <v>2216</v>
      </c>
      <c r="C3817" s="23">
        <v>2</v>
      </c>
      <c r="D3817" s="22" t="s">
        <v>10</v>
      </c>
      <c r="E3817" s="25" t="s">
        <v>2217</v>
      </c>
      <c r="F3817" s="22" t="s">
        <v>2219</v>
      </c>
      <c r="G3817" s="26" t="s">
        <v>13</v>
      </c>
      <c r="I3817" s="54">
        <v>15</v>
      </c>
      <c r="J3817" s="60"/>
    </row>
    <row r="3818" spans="1:10" ht="15" hidden="1" x14ac:dyDescent="0.25">
      <c r="A3818" s="21" t="s">
        <v>2237</v>
      </c>
      <c r="B3818" s="38" t="s">
        <v>2238</v>
      </c>
      <c r="C3818" s="23">
        <v>2</v>
      </c>
      <c r="D3818" s="22" t="s">
        <v>10</v>
      </c>
      <c r="E3818" s="25" t="s">
        <v>2239</v>
      </c>
      <c r="F3818" s="22" t="s">
        <v>2241</v>
      </c>
      <c r="G3818" s="26" t="s">
        <v>13</v>
      </c>
      <c r="I3818" s="54">
        <v>15</v>
      </c>
      <c r="J3818" s="52"/>
    </row>
    <row r="3819" spans="1:10" hidden="1" x14ac:dyDescent="0.2">
      <c r="A3819" s="11" t="s">
        <v>2267</v>
      </c>
      <c r="B3819" s="12" t="s">
        <v>2268</v>
      </c>
      <c r="C3819" s="13">
        <v>1</v>
      </c>
      <c r="D3819" s="37" t="s">
        <v>10</v>
      </c>
      <c r="E3819" s="28" t="s">
        <v>2269</v>
      </c>
      <c r="F3819" s="22" t="s">
        <v>2270</v>
      </c>
      <c r="G3819" s="15" t="s">
        <v>13</v>
      </c>
    </row>
    <row r="3820" spans="1:10" hidden="1" x14ac:dyDescent="0.2">
      <c r="A3820" s="11" t="s">
        <v>2291</v>
      </c>
      <c r="B3820" s="12" t="s">
        <v>2292</v>
      </c>
      <c r="C3820" s="13">
        <v>1</v>
      </c>
      <c r="D3820" s="75" t="s">
        <v>10</v>
      </c>
      <c r="E3820" s="28" t="s">
        <v>2293</v>
      </c>
      <c r="F3820" s="22" t="s">
        <v>2294</v>
      </c>
      <c r="G3820" s="15" t="s">
        <v>13</v>
      </c>
    </row>
    <row r="3821" spans="1:10" hidden="1" x14ac:dyDescent="0.2">
      <c r="A3821" s="11" t="s">
        <v>2301</v>
      </c>
      <c r="B3821" s="12" t="s">
        <v>2302</v>
      </c>
      <c r="C3821" s="13">
        <v>1</v>
      </c>
      <c r="D3821" s="37" t="s">
        <v>10</v>
      </c>
      <c r="E3821" s="28" t="s">
        <v>2303</v>
      </c>
      <c r="F3821" s="22" t="s">
        <v>2304</v>
      </c>
      <c r="G3821" s="15" t="s">
        <v>13</v>
      </c>
    </row>
    <row r="3822" spans="1:10" hidden="1" x14ac:dyDescent="0.2">
      <c r="A3822" s="11" t="s">
        <v>2337</v>
      </c>
      <c r="B3822" s="12" t="s">
        <v>2338</v>
      </c>
      <c r="C3822" s="13">
        <v>1</v>
      </c>
      <c r="D3822" s="37" t="s">
        <v>10</v>
      </c>
      <c r="E3822" s="28" t="s">
        <v>2339</v>
      </c>
      <c r="F3822" s="22" t="s">
        <v>2340</v>
      </c>
      <c r="G3822" s="15" t="s">
        <v>13</v>
      </c>
    </row>
    <row r="3823" spans="1:10" ht="12.75" hidden="1" thickBot="1" x14ac:dyDescent="0.25">
      <c r="A3823" s="36" t="s">
        <v>2369</v>
      </c>
      <c r="B3823" s="30" t="s">
        <v>2370</v>
      </c>
      <c r="C3823" s="31">
        <v>1</v>
      </c>
      <c r="D3823" s="6" t="s">
        <v>10</v>
      </c>
      <c r="E3823" s="32" t="s">
        <v>2371</v>
      </c>
      <c r="F3823" s="4" t="s">
        <v>2372</v>
      </c>
      <c r="G3823" s="33" t="s">
        <v>13</v>
      </c>
    </row>
    <row r="3824" spans="1:10" hidden="1" x14ac:dyDescent="0.2">
      <c r="A3824" s="56" t="s">
        <v>2429</v>
      </c>
      <c r="B3824" s="61" t="s">
        <v>2430</v>
      </c>
      <c r="C3824" s="58">
        <v>2</v>
      </c>
      <c r="D3824" s="103" t="s">
        <v>10</v>
      </c>
      <c r="E3824" s="148" t="s">
        <v>2431</v>
      </c>
      <c r="F3824" s="17" t="s">
        <v>2433</v>
      </c>
      <c r="G3824" s="62" t="s">
        <v>13</v>
      </c>
    </row>
    <row r="3825" spans="1:7" hidden="1" x14ac:dyDescent="0.2">
      <c r="A3825" s="11" t="s">
        <v>2440</v>
      </c>
      <c r="B3825" s="12" t="s">
        <v>2441</v>
      </c>
      <c r="C3825" s="13">
        <v>1</v>
      </c>
      <c r="D3825" s="75" t="s">
        <v>10</v>
      </c>
      <c r="E3825" s="28" t="s">
        <v>2442</v>
      </c>
      <c r="F3825" s="22" t="s">
        <v>2443</v>
      </c>
      <c r="G3825" s="15" t="s">
        <v>13</v>
      </c>
    </row>
    <row r="3826" spans="1:7" hidden="1" x14ac:dyDescent="0.2">
      <c r="A3826" s="11" t="s">
        <v>2500</v>
      </c>
      <c r="B3826" s="12" t="s">
        <v>2501</v>
      </c>
      <c r="C3826" s="13">
        <v>2</v>
      </c>
      <c r="D3826" s="37" t="s">
        <v>10</v>
      </c>
      <c r="E3826" s="28" t="s">
        <v>2502</v>
      </c>
      <c r="F3826" s="22" t="s">
        <v>2504</v>
      </c>
      <c r="G3826" s="15" t="s">
        <v>13</v>
      </c>
    </row>
    <row r="3827" spans="1:7" hidden="1" x14ac:dyDescent="0.2">
      <c r="A3827" s="11" t="s">
        <v>2516</v>
      </c>
      <c r="B3827" s="12" t="s">
        <v>2517</v>
      </c>
      <c r="C3827" s="13">
        <v>2</v>
      </c>
      <c r="D3827" s="37" t="s">
        <v>10</v>
      </c>
      <c r="E3827" s="28" t="s">
        <v>2518</v>
      </c>
      <c r="F3827" s="22" t="s">
        <v>2520</v>
      </c>
      <c r="G3827" s="15" t="s">
        <v>13</v>
      </c>
    </row>
    <row r="3828" spans="1:7" hidden="1" x14ac:dyDescent="0.2">
      <c r="A3828" s="11" t="s">
        <v>2529</v>
      </c>
      <c r="B3828" s="12" t="s">
        <v>2530</v>
      </c>
      <c r="C3828" s="13">
        <v>2</v>
      </c>
      <c r="D3828" s="37" t="s">
        <v>10</v>
      </c>
      <c r="E3828" s="28" t="s">
        <v>2531</v>
      </c>
      <c r="F3828" s="22" t="s">
        <v>2533</v>
      </c>
      <c r="G3828" s="15" t="s">
        <v>13</v>
      </c>
    </row>
    <row r="3829" spans="1:7" hidden="1" x14ac:dyDescent="0.2">
      <c r="A3829" s="11" t="s">
        <v>2541</v>
      </c>
      <c r="B3829" s="12" t="s">
        <v>2542</v>
      </c>
      <c r="C3829" s="13">
        <v>2</v>
      </c>
      <c r="D3829" s="37" t="s">
        <v>10</v>
      </c>
      <c r="E3829" s="28" t="s">
        <v>2543</v>
      </c>
      <c r="F3829" s="22" t="s">
        <v>2545</v>
      </c>
      <c r="G3829" s="15" t="s">
        <v>13</v>
      </c>
    </row>
    <row r="3830" spans="1:7" ht="12.75" hidden="1" thickBot="1" x14ac:dyDescent="0.25">
      <c r="A3830" s="36" t="s">
        <v>2555</v>
      </c>
      <c r="B3830" s="30" t="s">
        <v>2556</v>
      </c>
      <c r="C3830" s="31">
        <v>2</v>
      </c>
      <c r="D3830" s="6" t="s">
        <v>10</v>
      </c>
      <c r="E3830" s="32" t="s">
        <v>2557</v>
      </c>
      <c r="F3830" s="4" t="s">
        <v>2559</v>
      </c>
      <c r="G3830" s="33" t="s">
        <v>13</v>
      </c>
    </row>
    <row r="3831" spans="1:7" hidden="1" x14ac:dyDescent="0.2">
      <c r="A3831" s="56" t="s">
        <v>2566</v>
      </c>
      <c r="B3831" s="61" t="s">
        <v>2567</v>
      </c>
      <c r="C3831" s="58">
        <v>2</v>
      </c>
      <c r="D3831" s="103" t="s">
        <v>10</v>
      </c>
      <c r="E3831" s="89" t="s">
        <v>2568</v>
      </c>
      <c r="F3831" s="128" t="s">
        <v>2570</v>
      </c>
      <c r="G3831" s="129" t="s">
        <v>13</v>
      </c>
    </row>
    <row r="3832" spans="1:7" hidden="1" x14ac:dyDescent="0.2">
      <c r="A3832" s="11" t="s">
        <v>2608</v>
      </c>
      <c r="B3832" s="12" t="s">
        <v>2609</v>
      </c>
      <c r="C3832" s="13">
        <v>2</v>
      </c>
      <c r="D3832" s="37" t="s">
        <v>10</v>
      </c>
      <c r="E3832" s="28" t="s">
        <v>2610</v>
      </c>
      <c r="F3832" s="75" t="s">
        <v>2612</v>
      </c>
      <c r="G3832" s="66" t="s">
        <v>13</v>
      </c>
    </row>
    <row r="3833" spans="1:7" hidden="1" x14ac:dyDescent="0.2">
      <c r="A3833" s="11" t="s">
        <v>2631</v>
      </c>
      <c r="B3833" s="12" t="s">
        <v>2632</v>
      </c>
      <c r="C3833" s="13">
        <v>2</v>
      </c>
      <c r="D3833" s="37" t="s">
        <v>10</v>
      </c>
      <c r="E3833" s="28" t="s">
        <v>2634</v>
      </c>
      <c r="F3833" s="75" t="s">
        <v>2636</v>
      </c>
      <c r="G3833" s="66" t="s">
        <v>13</v>
      </c>
    </row>
    <row r="3834" spans="1:7" hidden="1" x14ac:dyDescent="0.2">
      <c r="A3834" s="11" t="s">
        <v>2867</v>
      </c>
      <c r="B3834" s="12" t="s">
        <v>2868</v>
      </c>
      <c r="C3834" s="13">
        <v>2</v>
      </c>
      <c r="D3834" s="37" t="s">
        <v>10</v>
      </c>
      <c r="E3834" s="28" t="s">
        <v>2869</v>
      </c>
      <c r="F3834" s="75" t="s">
        <v>2871</v>
      </c>
      <c r="G3834" s="66" t="s">
        <v>13</v>
      </c>
    </row>
    <row r="3835" spans="1:7" hidden="1" x14ac:dyDescent="0.2">
      <c r="A3835" s="11" t="s">
        <v>2988</v>
      </c>
      <c r="B3835" s="12" t="s">
        <v>2989</v>
      </c>
      <c r="C3835" s="13">
        <v>2</v>
      </c>
      <c r="D3835" s="22" t="s">
        <v>10</v>
      </c>
      <c r="E3835" s="28" t="s">
        <v>2990</v>
      </c>
      <c r="F3835" s="75" t="s">
        <v>2992</v>
      </c>
      <c r="G3835" s="66" t="s">
        <v>13</v>
      </c>
    </row>
    <row r="3836" spans="1:7" hidden="1" x14ac:dyDescent="0.2">
      <c r="A3836" s="11" t="s">
        <v>3034</v>
      </c>
      <c r="B3836" s="12" t="s">
        <v>3035</v>
      </c>
      <c r="C3836" s="13">
        <f>+C3835+1</f>
        <v>3</v>
      </c>
      <c r="D3836" s="38" t="s">
        <v>10</v>
      </c>
      <c r="E3836" s="28" t="s">
        <v>3036</v>
      </c>
      <c r="F3836" s="38" t="s">
        <v>3038</v>
      </c>
      <c r="G3836" s="66" t="s">
        <v>13</v>
      </c>
    </row>
    <row r="3837" spans="1:7" hidden="1" x14ac:dyDescent="0.2">
      <c r="A3837" s="11" t="s">
        <v>3108</v>
      </c>
      <c r="B3837" s="12" t="s">
        <v>3109</v>
      </c>
      <c r="C3837" s="13">
        <f>+C3836+1</f>
        <v>4</v>
      </c>
      <c r="D3837" s="22" t="s">
        <v>10</v>
      </c>
      <c r="E3837" s="28" t="s">
        <v>3110</v>
      </c>
      <c r="F3837" s="75" t="s">
        <v>3112</v>
      </c>
      <c r="G3837" s="66" t="s">
        <v>13</v>
      </c>
    </row>
    <row r="3838" spans="1:7" hidden="1" x14ac:dyDescent="0.2">
      <c r="A3838" s="11" t="s">
        <v>3120</v>
      </c>
      <c r="B3838" s="12" t="s">
        <v>3121</v>
      </c>
      <c r="C3838" s="13">
        <f>+C3837+1</f>
        <v>5</v>
      </c>
      <c r="D3838" s="22" t="s">
        <v>10</v>
      </c>
      <c r="E3838" s="28" t="s">
        <v>3122</v>
      </c>
      <c r="F3838" s="75" t="s">
        <v>3124</v>
      </c>
      <c r="G3838" s="66" t="s">
        <v>13</v>
      </c>
    </row>
    <row r="3839" spans="1:7" hidden="1" x14ac:dyDescent="0.2">
      <c r="A3839" s="11" t="s">
        <v>3130</v>
      </c>
      <c r="B3839" s="12" t="s">
        <v>3131</v>
      </c>
      <c r="C3839" s="13">
        <v>2</v>
      </c>
      <c r="D3839" s="22" t="s">
        <v>10</v>
      </c>
      <c r="E3839" s="28" t="s">
        <v>3132</v>
      </c>
      <c r="F3839" s="75" t="s">
        <v>3134</v>
      </c>
      <c r="G3839" s="66" t="s">
        <v>13</v>
      </c>
    </row>
    <row r="3840" spans="1:7" hidden="1" x14ac:dyDescent="0.2">
      <c r="A3840" s="11" t="s">
        <v>3165</v>
      </c>
      <c r="B3840" s="12" t="s">
        <v>3166</v>
      </c>
      <c r="C3840" s="13">
        <v>2</v>
      </c>
      <c r="D3840" s="22" t="s">
        <v>10</v>
      </c>
      <c r="E3840" s="25" t="s">
        <v>3167</v>
      </c>
      <c r="F3840" s="75" t="s">
        <v>3169</v>
      </c>
      <c r="G3840" s="71" t="s">
        <v>13</v>
      </c>
    </row>
    <row r="3841" spans="1:27" hidden="1" x14ac:dyDescent="0.2">
      <c r="A3841" s="11" t="s">
        <v>3355</v>
      </c>
      <c r="B3841" s="12" t="s">
        <v>3356</v>
      </c>
      <c r="C3841" s="13">
        <v>2</v>
      </c>
      <c r="D3841" s="22" t="s">
        <v>10</v>
      </c>
      <c r="E3841" s="25" t="s">
        <v>3357</v>
      </c>
      <c r="F3841" s="75" t="s">
        <v>3359</v>
      </c>
      <c r="G3841" s="71" t="s">
        <v>13</v>
      </c>
      <c r="H3841" s="38"/>
      <c r="I3841" s="93"/>
      <c r="J3841" s="38"/>
      <c r="K3841" s="38"/>
      <c r="L3841" s="38"/>
      <c r="M3841" s="38"/>
      <c r="N3841" s="38"/>
      <c r="O3841" s="38"/>
      <c r="P3841" s="38"/>
      <c r="Q3841" s="38"/>
      <c r="R3841" s="38"/>
      <c r="S3841" s="38"/>
      <c r="T3841" s="38"/>
      <c r="U3841" s="38"/>
      <c r="V3841" s="38"/>
      <c r="W3841" s="38"/>
      <c r="X3841" s="38"/>
      <c r="Y3841" s="38"/>
      <c r="Z3841" s="38"/>
      <c r="AA3841" s="38"/>
    </row>
    <row r="3842" spans="1:27" hidden="1" x14ac:dyDescent="0.2">
      <c r="A3842" s="11" t="s">
        <v>3384</v>
      </c>
      <c r="B3842" s="12" t="s">
        <v>3385</v>
      </c>
      <c r="C3842" s="13">
        <v>2</v>
      </c>
      <c r="D3842" s="42" t="s">
        <v>10</v>
      </c>
      <c r="E3842" s="138" t="s">
        <v>3386</v>
      </c>
      <c r="F3842" s="75" t="s">
        <v>3388</v>
      </c>
      <c r="G3842" s="66" t="s">
        <v>13</v>
      </c>
    </row>
    <row r="3843" spans="1:27" hidden="1" x14ac:dyDescent="0.2">
      <c r="A3843" s="11" t="s">
        <v>4364</v>
      </c>
      <c r="B3843" s="12" t="s">
        <v>4365</v>
      </c>
      <c r="C3843" s="13">
        <f>C3842+1</f>
        <v>3</v>
      </c>
      <c r="D3843" s="22" t="s">
        <v>10</v>
      </c>
      <c r="E3843" s="28" t="s">
        <v>4366</v>
      </c>
      <c r="F3843" s="22" t="s">
        <v>4368</v>
      </c>
      <c r="G3843" s="66" t="s">
        <v>13</v>
      </c>
      <c r="I3843" s="90" t="s">
        <v>2426</v>
      </c>
    </row>
    <row r="3844" spans="1:27" hidden="1" x14ac:dyDescent="0.2">
      <c r="A3844" s="11" t="s">
        <v>4391</v>
      </c>
      <c r="B3844" s="12" t="s">
        <v>4392</v>
      </c>
      <c r="C3844" s="13">
        <f>C3843+1</f>
        <v>4</v>
      </c>
      <c r="D3844" s="12" t="s">
        <v>10</v>
      </c>
      <c r="E3844" s="28" t="s">
        <v>4393</v>
      </c>
      <c r="F3844" s="12" t="s">
        <v>4395</v>
      </c>
      <c r="G3844" s="66" t="s">
        <v>13</v>
      </c>
      <c r="I3844" s="90">
        <v>12</v>
      </c>
    </row>
    <row r="3845" spans="1:27" ht="15" hidden="1" x14ac:dyDescent="0.25">
      <c r="A3845" s="21" t="s">
        <v>4421</v>
      </c>
      <c r="B3845" s="22" t="s">
        <v>4422</v>
      </c>
      <c r="C3845" s="23">
        <v>2</v>
      </c>
      <c r="D3845" s="22" t="s">
        <v>10</v>
      </c>
      <c r="E3845" s="25" t="s">
        <v>4423</v>
      </c>
      <c r="F3845" s="22" t="s">
        <v>4425</v>
      </c>
      <c r="G3845" s="71" t="s">
        <v>829</v>
      </c>
      <c r="H3845" s="38"/>
      <c r="I3845" s="39">
        <v>15</v>
      </c>
      <c r="J3845" s="52"/>
      <c r="K3845" s="38"/>
      <c r="L3845" s="38"/>
      <c r="M3845" s="38"/>
      <c r="N3845" s="38"/>
      <c r="O3845" s="38"/>
      <c r="P3845" s="38"/>
      <c r="Q3845" s="38"/>
      <c r="R3845" s="38"/>
      <c r="S3845" s="38"/>
      <c r="T3845" s="38"/>
      <c r="U3845" s="38"/>
      <c r="V3845" s="38"/>
      <c r="W3845" s="38"/>
      <c r="X3845" s="38"/>
      <c r="Y3845" s="38"/>
      <c r="Z3845" s="38"/>
      <c r="AA3845" s="38"/>
    </row>
    <row r="3846" spans="1:27" ht="15" hidden="1" x14ac:dyDescent="0.25">
      <c r="A3846" s="21" t="s">
        <v>4465</v>
      </c>
      <c r="B3846" s="22" t="s">
        <v>4466</v>
      </c>
      <c r="C3846" s="23">
        <v>2</v>
      </c>
      <c r="D3846" s="22" t="s">
        <v>10</v>
      </c>
      <c r="E3846" s="25" t="s">
        <v>4467</v>
      </c>
      <c r="F3846" s="22" t="s">
        <v>4469</v>
      </c>
      <c r="G3846" s="71" t="s">
        <v>829</v>
      </c>
      <c r="H3846" s="38"/>
      <c r="I3846" s="39">
        <v>15</v>
      </c>
      <c r="J3846" s="52"/>
      <c r="K3846" s="38"/>
      <c r="L3846" s="38"/>
      <c r="M3846" s="38"/>
      <c r="N3846" s="38"/>
      <c r="O3846" s="38"/>
      <c r="P3846" s="38"/>
      <c r="Q3846" s="38"/>
      <c r="R3846" s="38"/>
      <c r="S3846" s="38"/>
      <c r="T3846" s="38"/>
      <c r="U3846" s="38"/>
      <c r="V3846" s="38"/>
      <c r="W3846" s="38"/>
      <c r="X3846" s="38"/>
      <c r="Y3846" s="38"/>
      <c r="Z3846" s="38"/>
      <c r="AA3846" s="38"/>
    </row>
    <row r="3847" spans="1:27" hidden="1" x14ac:dyDescent="0.2">
      <c r="A3847" s="21" t="s">
        <v>4513</v>
      </c>
      <c r="B3847" s="22" t="s">
        <v>4514</v>
      </c>
      <c r="C3847" s="23">
        <v>2</v>
      </c>
      <c r="D3847" s="22" t="s">
        <v>10</v>
      </c>
      <c r="E3847" s="25" t="s">
        <v>4515</v>
      </c>
      <c r="F3847" s="22" t="s">
        <v>4517</v>
      </c>
      <c r="G3847" s="71" t="s">
        <v>829</v>
      </c>
      <c r="H3847" s="38"/>
      <c r="I3847" s="39">
        <v>15</v>
      </c>
      <c r="J3847" s="38"/>
      <c r="K3847" s="38"/>
      <c r="L3847" s="38"/>
      <c r="M3847" s="38"/>
      <c r="N3847" s="38"/>
      <c r="O3847" s="38"/>
      <c r="P3847" s="38"/>
      <c r="Q3847" s="38"/>
      <c r="R3847" s="38"/>
      <c r="S3847" s="38"/>
      <c r="T3847" s="38"/>
      <c r="U3847" s="38"/>
      <c r="V3847" s="38"/>
      <c r="W3847" s="38"/>
      <c r="X3847" s="38"/>
      <c r="Y3847" s="38"/>
      <c r="Z3847" s="38"/>
      <c r="AA3847" s="38"/>
    </row>
    <row r="3848" spans="1:27" hidden="1" x14ac:dyDescent="0.2">
      <c r="A3848" s="21" t="s">
        <v>4540</v>
      </c>
      <c r="B3848" s="22" t="s">
        <v>4541</v>
      </c>
      <c r="C3848" s="23">
        <v>2</v>
      </c>
      <c r="D3848" s="22" t="s">
        <v>10</v>
      </c>
      <c r="E3848" s="25" t="s">
        <v>4542</v>
      </c>
      <c r="F3848" s="22" t="s">
        <v>4544</v>
      </c>
      <c r="G3848" s="71" t="s">
        <v>829</v>
      </c>
      <c r="H3848" s="38"/>
      <c r="I3848" s="39">
        <v>15</v>
      </c>
      <c r="J3848" s="38"/>
      <c r="K3848" s="38"/>
      <c r="L3848" s="38"/>
      <c r="M3848" s="38"/>
      <c r="N3848" s="38"/>
      <c r="O3848" s="38"/>
      <c r="P3848" s="38"/>
      <c r="Q3848" s="38"/>
      <c r="R3848" s="38"/>
      <c r="S3848" s="38"/>
      <c r="T3848" s="38"/>
      <c r="U3848" s="38"/>
      <c r="V3848" s="38"/>
      <c r="W3848" s="38"/>
      <c r="X3848" s="38"/>
      <c r="Y3848" s="38"/>
      <c r="Z3848" s="38"/>
      <c r="AA3848" s="38"/>
    </row>
    <row r="3849" spans="1:27" hidden="1" x14ac:dyDescent="0.2">
      <c r="A3849" s="21" t="s">
        <v>4564</v>
      </c>
      <c r="B3849" s="22" t="s">
        <v>4565</v>
      </c>
      <c r="C3849" s="23">
        <v>2</v>
      </c>
      <c r="D3849" s="22" t="s">
        <v>10</v>
      </c>
      <c r="E3849" s="25" t="s">
        <v>4566</v>
      </c>
      <c r="F3849" s="22" t="s">
        <v>4568</v>
      </c>
      <c r="G3849" s="71" t="s">
        <v>829</v>
      </c>
      <c r="H3849" s="38"/>
      <c r="I3849" s="39">
        <v>15</v>
      </c>
      <c r="J3849" s="38"/>
      <c r="K3849" s="38"/>
      <c r="L3849" s="38"/>
      <c r="M3849" s="38"/>
      <c r="N3849" s="38"/>
      <c r="O3849" s="38"/>
      <c r="P3849" s="38"/>
      <c r="Q3849" s="38"/>
      <c r="R3849" s="38"/>
      <c r="S3849" s="38"/>
      <c r="T3849" s="38"/>
      <c r="U3849" s="38"/>
      <c r="V3849" s="38"/>
      <c r="W3849" s="38"/>
      <c r="X3849" s="38"/>
      <c r="Y3849" s="38"/>
      <c r="Z3849" s="38"/>
      <c r="AA3849" s="38"/>
    </row>
    <row r="3850" spans="1:27" ht="15" hidden="1" x14ac:dyDescent="0.25">
      <c r="A3850" s="21" t="s">
        <v>4583</v>
      </c>
      <c r="B3850" s="22" t="s">
        <v>4584</v>
      </c>
      <c r="C3850" s="23">
        <v>2</v>
      </c>
      <c r="D3850" s="22" t="s">
        <v>10</v>
      </c>
      <c r="E3850" s="25" t="s">
        <v>4585</v>
      </c>
      <c r="F3850" s="22" t="s">
        <v>4587</v>
      </c>
      <c r="G3850" s="71" t="s">
        <v>829</v>
      </c>
      <c r="H3850" s="38"/>
      <c r="I3850" s="39">
        <v>15</v>
      </c>
      <c r="J3850" s="52"/>
      <c r="K3850" s="38"/>
      <c r="L3850" s="38"/>
      <c r="M3850" s="38"/>
      <c r="N3850" s="38"/>
      <c r="O3850" s="38"/>
      <c r="P3850" s="38"/>
      <c r="Q3850" s="38"/>
      <c r="R3850" s="38"/>
      <c r="S3850" s="38"/>
      <c r="T3850" s="38"/>
      <c r="U3850" s="38"/>
      <c r="V3850" s="38"/>
      <c r="W3850" s="38"/>
      <c r="X3850" s="38"/>
      <c r="Y3850" s="38"/>
      <c r="Z3850" s="38"/>
      <c r="AA3850" s="38"/>
    </row>
    <row r="3851" spans="1:27" hidden="1" x14ac:dyDescent="0.2">
      <c r="A3851" s="11" t="s">
        <v>4634</v>
      </c>
      <c r="B3851" s="12" t="s">
        <v>4635</v>
      </c>
      <c r="C3851" s="13">
        <v>1</v>
      </c>
      <c r="D3851" s="42" t="s">
        <v>10</v>
      </c>
      <c r="E3851" s="138" t="s">
        <v>4636</v>
      </c>
      <c r="F3851" s="75" t="s">
        <v>4637</v>
      </c>
      <c r="G3851" s="66" t="s">
        <v>13</v>
      </c>
    </row>
    <row r="3852" spans="1:27" hidden="1" x14ac:dyDescent="0.2">
      <c r="A3852" s="11" t="s">
        <v>4657</v>
      </c>
      <c r="B3852" s="12" t="s">
        <v>4658</v>
      </c>
      <c r="C3852" s="13">
        <v>1</v>
      </c>
      <c r="D3852" s="42" t="s">
        <v>10</v>
      </c>
      <c r="E3852" s="138" t="s">
        <v>4659</v>
      </c>
      <c r="F3852" s="75" t="s">
        <v>4660</v>
      </c>
      <c r="G3852" s="66" t="s">
        <v>13</v>
      </c>
    </row>
    <row r="3853" spans="1:27" hidden="1" x14ac:dyDescent="0.2">
      <c r="A3853" s="11" t="s">
        <v>4680</v>
      </c>
      <c r="B3853" s="12" t="s">
        <v>4681</v>
      </c>
      <c r="C3853" s="13">
        <v>1</v>
      </c>
      <c r="D3853" s="42" t="s">
        <v>10</v>
      </c>
      <c r="E3853" s="138" t="s">
        <v>4682</v>
      </c>
      <c r="F3853" s="75" t="s">
        <v>4683</v>
      </c>
      <c r="G3853" s="66" t="s">
        <v>13</v>
      </c>
    </row>
    <row r="3854" spans="1:27" hidden="1" x14ac:dyDescent="0.2">
      <c r="A3854" s="11" t="s">
        <v>4701</v>
      </c>
      <c r="B3854" s="12" t="s">
        <v>2737</v>
      </c>
      <c r="C3854" s="13">
        <v>1</v>
      </c>
      <c r="D3854" s="42" t="s">
        <v>10</v>
      </c>
      <c r="E3854" s="138" t="s">
        <v>4702</v>
      </c>
      <c r="F3854" s="75" t="s">
        <v>4703</v>
      </c>
      <c r="G3854" s="66" t="s">
        <v>13</v>
      </c>
    </row>
    <row r="3855" spans="1:27" hidden="1" x14ac:dyDescent="0.2">
      <c r="A3855" s="11" t="s">
        <v>4711</v>
      </c>
      <c r="B3855" s="12" t="s">
        <v>2739</v>
      </c>
      <c r="C3855" s="13">
        <v>1</v>
      </c>
      <c r="D3855" s="42" t="s">
        <v>10</v>
      </c>
      <c r="E3855" s="138" t="s">
        <v>4712</v>
      </c>
      <c r="F3855" s="75" t="s">
        <v>4713</v>
      </c>
      <c r="G3855" s="66" t="s">
        <v>13</v>
      </c>
    </row>
    <row r="3856" spans="1:27" hidden="1" x14ac:dyDescent="0.2">
      <c r="A3856" s="11" t="s">
        <v>4721</v>
      </c>
      <c r="B3856" s="12" t="s">
        <v>2741</v>
      </c>
      <c r="C3856" s="13">
        <v>1</v>
      </c>
      <c r="D3856" s="42" t="s">
        <v>10</v>
      </c>
      <c r="E3856" s="138" t="s">
        <v>4722</v>
      </c>
      <c r="F3856" s="75" t="s">
        <v>4723</v>
      </c>
      <c r="G3856" s="66" t="s">
        <v>13</v>
      </c>
    </row>
    <row r="3857" spans="1:7" hidden="1" x14ac:dyDescent="0.2">
      <c r="A3857" s="11" t="s">
        <v>4731</v>
      </c>
      <c r="B3857" s="12" t="s">
        <v>4732</v>
      </c>
      <c r="C3857" s="13">
        <v>1</v>
      </c>
      <c r="D3857" s="42" t="s">
        <v>10</v>
      </c>
      <c r="E3857" s="138" t="s">
        <v>4733</v>
      </c>
      <c r="F3857" s="75" t="s">
        <v>4734</v>
      </c>
      <c r="G3857" s="66" t="s">
        <v>13</v>
      </c>
    </row>
    <row r="3858" spans="1:7" hidden="1" x14ac:dyDescent="0.2">
      <c r="A3858" s="146" t="s">
        <v>4742</v>
      </c>
      <c r="B3858" s="12" t="s">
        <v>4743</v>
      </c>
      <c r="C3858" s="13">
        <v>2</v>
      </c>
      <c r="D3858" s="22" t="s">
        <v>10</v>
      </c>
      <c r="E3858" s="28" t="s">
        <v>4744</v>
      </c>
      <c r="F3858" s="22" t="s">
        <v>4746</v>
      </c>
      <c r="G3858" s="66" t="s">
        <v>13</v>
      </c>
    </row>
    <row r="3859" spans="1:7" hidden="1" x14ac:dyDescent="0.2">
      <c r="A3859" s="146" t="s">
        <v>4759</v>
      </c>
      <c r="B3859" s="12" t="s">
        <v>4760</v>
      </c>
      <c r="C3859" s="13">
        <v>2</v>
      </c>
      <c r="D3859" s="22" t="s">
        <v>10</v>
      </c>
      <c r="E3859" s="28" t="s">
        <v>4761</v>
      </c>
      <c r="F3859" s="22" t="s">
        <v>4763</v>
      </c>
      <c r="G3859" s="66" t="s">
        <v>13</v>
      </c>
    </row>
    <row r="3860" spans="1:7" hidden="1" x14ac:dyDescent="0.2">
      <c r="A3860" s="146" t="s">
        <v>4771</v>
      </c>
      <c r="B3860" s="12" t="s">
        <v>4772</v>
      </c>
      <c r="C3860" s="13">
        <v>2</v>
      </c>
      <c r="D3860" s="22" t="s">
        <v>10</v>
      </c>
      <c r="E3860" s="28" t="s">
        <v>4773</v>
      </c>
      <c r="F3860" s="22" t="s">
        <v>4775</v>
      </c>
      <c r="G3860" s="66" t="s">
        <v>13</v>
      </c>
    </row>
    <row r="3861" spans="1:7" hidden="1" x14ac:dyDescent="0.25">
      <c r="A3861" s="146" t="s">
        <v>4800</v>
      </c>
      <c r="B3861" s="8" t="s">
        <v>4801</v>
      </c>
      <c r="C3861" s="150">
        <v>2</v>
      </c>
      <c r="D3861" s="38" t="s">
        <v>10</v>
      </c>
      <c r="E3861" s="151" t="s">
        <v>4802</v>
      </c>
      <c r="F3861" s="38" t="s">
        <v>4804</v>
      </c>
      <c r="G3861" s="80" t="s">
        <v>13</v>
      </c>
    </row>
    <row r="3862" spans="1:7" hidden="1" x14ac:dyDescent="0.25">
      <c r="A3862" s="146" t="s">
        <v>4817</v>
      </c>
      <c r="B3862" s="12" t="s">
        <v>4818</v>
      </c>
      <c r="C3862" s="13">
        <v>2</v>
      </c>
      <c r="D3862" s="22" t="s">
        <v>10</v>
      </c>
      <c r="E3862" s="28" t="s">
        <v>4819</v>
      </c>
      <c r="F3862" s="38" t="s">
        <v>4821</v>
      </c>
      <c r="G3862" s="80" t="s">
        <v>13</v>
      </c>
    </row>
    <row r="3863" spans="1:7" hidden="1" x14ac:dyDescent="0.25">
      <c r="A3863" s="146" t="s">
        <v>4830</v>
      </c>
      <c r="B3863" s="12" t="s">
        <v>4831</v>
      </c>
      <c r="C3863" s="13">
        <v>2</v>
      </c>
      <c r="D3863" s="22" t="s">
        <v>10</v>
      </c>
      <c r="E3863" s="28" t="s">
        <v>4832</v>
      </c>
      <c r="F3863" s="38" t="s">
        <v>4834</v>
      </c>
      <c r="G3863" s="80" t="s">
        <v>13</v>
      </c>
    </row>
    <row r="3864" spans="1:7" hidden="1" x14ac:dyDescent="0.25">
      <c r="A3864" s="146" t="s">
        <v>4870</v>
      </c>
      <c r="B3864" s="12" t="s">
        <v>4871</v>
      </c>
      <c r="C3864" s="13">
        <v>2</v>
      </c>
      <c r="D3864" s="22" t="s">
        <v>10</v>
      </c>
      <c r="E3864" s="28" t="s">
        <v>4872</v>
      </c>
      <c r="F3864" s="38" t="s">
        <v>4874</v>
      </c>
      <c r="G3864" s="80" t="s">
        <v>13</v>
      </c>
    </row>
    <row r="3865" spans="1:7" hidden="1" x14ac:dyDescent="0.25">
      <c r="A3865" s="146" t="s">
        <v>4881</v>
      </c>
      <c r="B3865" s="12" t="s">
        <v>4882</v>
      </c>
      <c r="C3865" s="13">
        <v>2</v>
      </c>
      <c r="D3865" s="22" t="s">
        <v>10</v>
      </c>
      <c r="E3865" s="28" t="s">
        <v>4883</v>
      </c>
      <c r="F3865" s="38" t="s">
        <v>4885</v>
      </c>
      <c r="G3865" s="80" t="s">
        <v>13</v>
      </c>
    </row>
    <row r="3866" spans="1:7" hidden="1" x14ac:dyDescent="0.25">
      <c r="A3866" s="146" t="s">
        <v>4895</v>
      </c>
      <c r="B3866" s="12" t="s">
        <v>4896</v>
      </c>
      <c r="C3866" s="13">
        <v>2</v>
      </c>
      <c r="D3866" s="22" t="s">
        <v>10</v>
      </c>
      <c r="E3866" s="28" t="s">
        <v>4897</v>
      </c>
      <c r="F3866" s="38" t="s">
        <v>4899</v>
      </c>
      <c r="G3866" s="80" t="s">
        <v>13</v>
      </c>
    </row>
    <row r="3867" spans="1:7" hidden="1" x14ac:dyDescent="0.25">
      <c r="A3867" s="146" t="s">
        <v>4926</v>
      </c>
      <c r="B3867" s="12" t="s">
        <v>4927</v>
      </c>
      <c r="C3867" s="13">
        <v>2</v>
      </c>
      <c r="D3867" s="22" t="s">
        <v>10</v>
      </c>
      <c r="E3867" s="28" t="s">
        <v>4928</v>
      </c>
      <c r="F3867" s="38" t="s">
        <v>4930</v>
      </c>
      <c r="G3867" s="80" t="s">
        <v>13</v>
      </c>
    </row>
    <row r="3868" spans="1:7" hidden="1" x14ac:dyDescent="0.25">
      <c r="A3868" s="146" t="s">
        <v>5004</v>
      </c>
      <c r="B3868" s="12" t="s">
        <v>5005</v>
      </c>
      <c r="C3868" s="13">
        <v>2</v>
      </c>
      <c r="D3868" s="22" t="s">
        <v>10</v>
      </c>
      <c r="E3868" s="28" t="s">
        <v>5006</v>
      </c>
      <c r="F3868" s="38" t="s">
        <v>5008</v>
      </c>
      <c r="G3868" s="80" t="s">
        <v>13</v>
      </c>
    </row>
    <row r="3869" spans="1:7" hidden="1" x14ac:dyDescent="0.25">
      <c r="A3869" s="146" t="s">
        <v>5015</v>
      </c>
      <c r="B3869" s="12" t="s">
        <v>5016</v>
      </c>
      <c r="C3869" s="13">
        <v>2</v>
      </c>
      <c r="D3869" s="22" t="s">
        <v>10</v>
      </c>
      <c r="E3869" s="28" t="s">
        <v>5017</v>
      </c>
      <c r="F3869" s="38" t="s">
        <v>5019</v>
      </c>
      <c r="G3869" s="80" t="s">
        <v>13</v>
      </c>
    </row>
    <row r="3870" spans="1:7" hidden="1" x14ac:dyDescent="0.25">
      <c r="A3870" s="146" t="s">
        <v>5029</v>
      </c>
      <c r="B3870" s="12" t="s">
        <v>5030</v>
      </c>
      <c r="C3870" s="13">
        <v>2</v>
      </c>
      <c r="D3870" s="22" t="s">
        <v>10</v>
      </c>
      <c r="E3870" s="28" t="s">
        <v>5031</v>
      </c>
      <c r="F3870" s="22" t="s">
        <v>5033</v>
      </c>
      <c r="G3870" s="80" t="s">
        <v>13</v>
      </c>
    </row>
    <row r="3871" spans="1:7" ht="12.75" hidden="1" thickBot="1" x14ac:dyDescent="0.3">
      <c r="A3871" s="147" t="s">
        <v>5042</v>
      </c>
      <c r="B3871" s="30" t="s">
        <v>5043</v>
      </c>
      <c r="C3871" s="31">
        <v>2</v>
      </c>
      <c r="D3871" s="207" t="s">
        <v>10</v>
      </c>
      <c r="E3871" s="32" t="s">
        <v>5044</v>
      </c>
      <c r="F3871" s="4" t="s">
        <v>5046</v>
      </c>
      <c r="G3871" s="152" t="s">
        <v>13</v>
      </c>
    </row>
    <row r="3872" spans="1:7" hidden="1" x14ac:dyDescent="0.25">
      <c r="A3872" s="156" t="s">
        <v>5060</v>
      </c>
      <c r="B3872" s="22" t="s">
        <v>5061</v>
      </c>
      <c r="C3872" s="23">
        <v>2</v>
      </c>
      <c r="D3872" s="22" t="s">
        <v>10</v>
      </c>
      <c r="E3872" s="25" t="s">
        <v>5062</v>
      </c>
      <c r="F3872" s="22" t="s">
        <v>5064</v>
      </c>
      <c r="G3872" s="157" t="s">
        <v>13</v>
      </c>
    </row>
    <row r="3873" spans="1:27" hidden="1" x14ac:dyDescent="0.2">
      <c r="A3873" s="146" t="s">
        <v>5159</v>
      </c>
      <c r="B3873" s="12" t="s">
        <v>5160</v>
      </c>
      <c r="C3873" s="13">
        <v>1</v>
      </c>
      <c r="D3873" s="42" t="s">
        <v>10</v>
      </c>
      <c r="E3873" s="28" t="s">
        <v>5161</v>
      </c>
      <c r="F3873" s="75" t="s">
        <v>5162</v>
      </c>
      <c r="G3873" s="66" t="s">
        <v>13</v>
      </c>
    </row>
    <row r="3874" spans="1:27" hidden="1" x14ac:dyDescent="0.2">
      <c r="A3874" s="11" t="s">
        <v>5174</v>
      </c>
      <c r="B3874" s="12" t="s">
        <v>5175</v>
      </c>
      <c r="C3874" s="13">
        <v>1</v>
      </c>
      <c r="D3874" s="42" t="s">
        <v>10</v>
      </c>
      <c r="E3874" s="28" t="s">
        <v>5176</v>
      </c>
      <c r="F3874" s="75" t="s">
        <v>5177</v>
      </c>
      <c r="G3874" s="15" t="s">
        <v>13</v>
      </c>
    </row>
    <row r="3875" spans="1:27" hidden="1" x14ac:dyDescent="0.2">
      <c r="A3875" s="11" t="s">
        <v>5190</v>
      </c>
      <c r="B3875" s="12" t="s">
        <v>5191</v>
      </c>
      <c r="C3875" s="13">
        <v>1</v>
      </c>
      <c r="D3875" s="42" t="s">
        <v>10</v>
      </c>
      <c r="E3875" s="28" t="s">
        <v>5192</v>
      </c>
      <c r="F3875" s="75" t="s">
        <v>5193</v>
      </c>
      <c r="G3875" s="15" t="s">
        <v>13</v>
      </c>
    </row>
    <row r="3876" spans="1:27" hidden="1" x14ac:dyDescent="0.2">
      <c r="A3876" s="11" t="s">
        <v>5202</v>
      </c>
      <c r="B3876" s="12" t="s">
        <v>5203</v>
      </c>
      <c r="C3876" s="13">
        <v>1</v>
      </c>
      <c r="D3876" s="42" t="s">
        <v>10</v>
      </c>
      <c r="E3876" s="28" t="s">
        <v>5204</v>
      </c>
      <c r="F3876" s="75" t="s">
        <v>5205</v>
      </c>
      <c r="G3876" s="15" t="s">
        <v>13</v>
      </c>
    </row>
    <row r="3877" spans="1:27" hidden="1" x14ac:dyDescent="0.2">
      <c r="A3877" s="11" t="s">
        <v>5214</v>
      </c>
      <c r="B3877" s="12" t="s">
        <v>5215</v>
      </c>
      <c r="C3877" s="13">
        <v>1</v>
      </c>
      <c r="D3877" s="42" t="s">
        <v>10</v>
      </c>
      <c r="E3877" s="28" t="s">
        <v>5216</v>
      </c>
      <c r="F3877" s="75" t="s">
        <v>5217</v>
      </c>
      <c r="G3877" s="15" t="s">
        <v>13</v>
      </c>
    </row>
    <row r="3878" spans="1:27" hidden="1" x14ac:dyDescent="0.2">
      <c r="A3878" s="11" t="s">
        <v>5226</v>
      </c>
      <c r="B3878" s="12" t="s">
        <v>5227</v>
      </c>
      <c r="C3878" s="13">
        <v>1</v>
      </c>
      <c r="D3878" s="42" t="s">
        <v>10</v>
      </c>
      <c r="E3878" s="28" t="s">
        <v>5228</v>
      </c>
      <c r="F3878" s="75" t="s">
        <v>5229</v>
      </c>
      <c r="G3878" s="15" t="s">
        <v>13</v>
      </c>
    </row>
    <row r="3879" spans="1:27" hidden="1" x14ac:dyDescent="0.2">
      <c r="A3879" s="11" t="s">
        <v>5236</v>
      </c>
      <c r="B3879" s="12" t="s">
        <v>5237</v>
      </c>
      <c r="C3879" s="13">
        <v>1</v>
      </c>
      <c r="D3879" s="42" t="s">
        <v>10</v>
      </c>
      <c r="E3879" s="28" t="s">
        <v>5238</v>
      </c>
      <c r="F3879" s="75" t="s">
        <v>5239</v>
      </c>
      <c r="G3879" s="15" t="s">
        <v>13</v>
      </c>
    </row>
    <row r="3880" spans="1:27" hidden="1" x14ac:dyDescent="0.2">
      <c r="A3880" s="11" t="s">
        <v>5277</v>
      </c>
      <c r="B3880" s="12" t="s">
        <v>5278</v>
      </c>
      <c r="C3880" s="13">
        <v>1</v>
      </c>
      <c r="D3880" s="22" t="s">
        <v>10</v>
      </c>
      <c r="E3880" s="28" t="s">
        <v>5279</v>
      </c>
      <c r="F3880" s="75" t="s">
        <v>5280</v>
      </c>
      <c r="G3880" s="15" t="s">
        <v>13</v>
      </c>
    </row>
    <row r="3881" spans="1:27" hidden="1" x14ac:dyDescent="0.2">
      <c r="A3881" s="11" t="s">
        <v>5290</v>
      </c>
      <c r="B3881" s="12" t="s">
        <v>5291</v>
      </c>
      <c r="C3881" s="13">
        <v>1</v>
      </c>
      <c r="D3881" s="22" t="s">
        <v>10</v>
      </c>
      <c r="E3881" s="28" t="s">
        <v>5292</v>
      </c>
      <c r="F3881" s="75" t="s">
        <v>5293</v>
      </c>
      <c r="G3881" s="15" t="s">
        <v>13</v>
      </c>
    </row>
    <row r="3882" spans="1:27" hidden="1" x14ac:dyDescent="0.2">
      <c r="A3882" s="11" t="s">
        <v>5329</v>
      </c>
      <c r="B3882" s="12" t="s">
        <v>5330</v>
      </c>
      <c r="C3882" s="13">
        <v>1</v>
      </c>
      <c r="D3882" s="37" t="s">
        <v>10</v>
      </c>
      <c r="E3882" s="28" t="s">
        <v>5331</v>
      </c>
      <c r="F3882" s="75" t="s">
        <v>5332</v>
      </c>
      <c r="G3882" s="15" t="s">
        <v>13</v>
      </c>
    </row>
    <row r="3883" spans="1:27" s="88" customFormat="1" hidden="1" x14ac:dyDescent="0.25">
      <c r="A3883" s="11" t="s">
        <v>5395</v>
      </c>
      <c r="B3883" s="12" t="s">
        <v>5396</v>
      </c>
      <c r="C3883" s="13">
        <v>1</v>
      </c>
      <c r="D3883" s="22" t="s">
        <v>10</v>
      </c>
      <c r="E3883" s="28" t="s">
        <v>5397</v>
      </c>
      <c r="F3883" s="22" t="s">
        <v>5398</v>
      </c>
      <c r="G3883" s="15" t="s">
        <v>13</v>
      </c>
      <c r="H3883" s="8"/>
      <c r="I3883" s="90"/>
      <c r="J3883" s="8"/>
      <c r="K3883" s="8"/>
      <c r="L3883" s="8"/>
      <c r="M3883" s="8"/>
      <c r="N3883" s="8"/>
      <c r="O3883" s="8"/>
      <c r="P3883" s="8"/>
      <c r="Q3883" s="8"/>
      <c r="R3883" s="8"/>
      <c r="S3883" s="8"/>
      <c r="T3883" s="8"/>
      <c r="U3883" s="8"/>
      <c r="V3883" s="8"/>
      <c r="W3883" s="8"/>
      <c r="X3883" s="8"/>
      <c r="Y3883" s="8"/>
      <c r="Z3883" s="8"/>
      <c r="AA3883" s="8"/>
    </row>
    <row r="3884" spans="1:27" s="88" customFormat="1" hidden="1" x14ac:dyDescent="0.25">
      <c r="A3884" s="11" t="s">
        <v>5413</v>
      </c>
      <c r="B3884" s="12" t="s">
        <v>5414</v>
      </c>
      <c r="C3884" s="13">
        <v>1</v>
      </c>
      <c r="D3884" s="22" t="s">
        <v>10</v>
      </c>
      <c r="E3884" s="28" t="s">
        <v>5415</v>
      </c>
      <c r="F3884" s="22" t="s">
        <v>5416</v>
      </c>
      <c r="G3884" s="15" t="s">
        <v>13</v>
      </c>
      <c r="H3884" s="8"/>
      <c r="I3884" s="90"/>
      <c r="J3884" s="8"/>
      <c r="K3884" s="8"/>
      <c r="L3884" s="8"/>
      <c r="M3884" s="8"/>
      <c r="N3884" s="8"/>
      <c r="O3884" s="8"/>
      <c r="P3884" s="8"/>
      <c r="Q3884" s="8"/>
      <c r="R3884" s="8"/>
      <c r="S3884" s="8"/>
      <c r="T3884" s="8"/>
      <c r="U3884" s="8"/>
      <c r="V3884" s="8"/>
      <c r="W3884" s="8"/>
      <c r="X3884" s="8"/>
      <c r="Y3884" s="8"/>
      <c r="Z3884" s="8"/>
      <c r="AA3884" s="8"/>
    </row>
    <row r="3885" spans="1:27" s="88" customFormat="1" hidden="1" x14ac:dyDescent="0.2">
      <c r="A3885" s="11" t="s">
        <v>5439</v>
      </c>
      <c r="B3885" s="12" t="s">
        <v>5440</v>
      </c>
      <c r="C3885" s="13">
        <v>1</v>
      </c>
      <c r="D3885" s="22" t="s">
        <v>10</v>
      </c>
      <c r="E3885" s="28" t="s">
        <v>5441</v>
      </c>
      <c r="F3885" s="75" t="s">
        <v>5442</v>
      </c>
      <c r="G3885" s="15" t="s">
        <v>13</v>
      </c>
      <c r="H3885" s="8"/>
      <c r="I3885" s="90"/>
      <c r="J3885" s="8"/>
      <c r="K3885" s="8"/>
      <c r="L3885" s="8"/>
      <c r="M3885" s="8"/>
      <c r="N3885" s="8"/>
      <c r="O3885" s="8"/>
      <c r="P3885" s="8"/>
      <c r="Q3885" s="8"/>
      <c r="R3885" s="8"/>
      <c r="S3885" s="8"/>
      <c r="T3885" s="8"/>
      <c r="U3885" s="8"/>
      <c r="V3885" s="8"/>
      <c r="W3885" s="8"/>
      <c r="X3885" s="8"/>
      <c r="Y3885" s="8"/>
      <c r="Z3885" s="8"/>
      <c r="AA3885" s="8"/>
    </row>
    <row r="3886" spans="1:27" s="88" customFormat="1" hidden="1" x14ac:dyDescent="0.2">
      <c r="A3886" s="11" t="s">
        <v>5469</v>
      </c>
      <c r="B3886" s="12" t="s">
        <v>5470</v>
      </c>
      <c r="C3886" s="13">
        <v>1</v>
      </c>
      <c r="D3886" s="166" t="s">
        <v>10</v>
      </c>
      <c r="E3886" s="25" t="s">
        <v>5471</v>
      </c>
      <c r="F3886" s="75" t="s">
        <v>5472</v>
      </c>
      <c r="G3886" s="26" t="s">
        <v>13</v>
      </c>
      <c r="H3886" s="8"/>
      <c r="I3886" s="90"/>
      <c r="J3886" s="8"/>
      <c r="K3886" s="8"/>
      <c r="L3886" s="8"/>
      <c r="M3886" s="8"/>
      <c r="N3886" s="8"/>
      <c r="O3886" s="8"/>
      <c r="P3886" s="8"/>
      <c r="Q3886" s="8"/>
      <c r="R3886" s="8"/>
      <c r="S3886" s="8"/>
      <c r="T3886" s="8"/>
      <c r="U3886" s="8"/>
      <c r="V3886" s="8"/>
      <c r="W3886" s="8"/>
      <c r="X3886" s="8"/>
      <c r="Y3886" s="8"/>
      <c r="Z3886" s="8"/>
      <c r="AA3886" s="8"/>
    </row>
    <row r="3887" spans="1:27" s="10" customFormat="1" ht="12.75" hidden="1" thickBot="1" x14ac:dyDescent="0.3">
      <c r="A3887" s="11" t="s">
        <v>5559</v>
      </c>
      <c r="B3887" s="12" t="s">
        <v>5560</v>
      </c>
      <c r="C3887" s="13">
        <v>2</v>
      </c>
      <c r="D3887" s="22" t="s">
        <v>10</v>
      </c>
      <c r="E3887" s="238" t="s">
        <v>5561</v>
      </c>
      <c r="F3887" s="22" t="s">
        <v>5563</v>
      </c>
      <c r="G3887" s="157" t="s">
        <v>13</v>
      </c>
      <c r="H3887" s="8"/>
      <c r="I3887" s="90"/>
      <c r="J3887" s="8"/>
      <c r="K3887" s="8"/>
      <c r="L3887" s="8"/>
      <c r="M3887" s="8"/>
      <c r="N3887" s="8"/>
      <c r="O3887" s="8"/>
      <c r="P3887" s="8"/>
      <c r="Q3887" s="8"/>
      <c r="R3887" s="8"/>
      <c r="S3887" s="8"/>
      <c r="T3887" s="8"/>
      <c r="U3887" s="8"/>
      <c r="V3887" s="8"/>
      <c r="W3887" s="8"/>
      <c r="X3887" s="8"/>
      <c r="Y3887" s="8"/>
      <c r="Z3887" s="8"/>
      <c r="AA3887" s="8"/>
    </row>
    <row r="3888" spans="1:27" hidden="1" x14ac:dyDescent="0.25">
      <c r="A3888" s="56" t="s">
        <v>5619</v>
      </c>
      <c r="B3888" s="61" t="s">
        <v>5620</v>
      </c>
      <c r="C3888" s="58">
        <v>1</v>
      </c>
      <c r="D3888" s="17" t="s">
        <v>10</v>
      </c>
      <c r="E3888" s="19" t="s">
        <v>5621</v>
      </c>
      <c r="F3888" s="17" t="s">
        <v>5622</v>
      </c>
      <c r="G3888" s="155" t="s">
        <v>13</v>
      </c>
    </row>
    <row r="3889" spans="1:9" hidden="1" x14ac:dyDescent="0.25">
      <c r="A3889" s="11" t="s">
        <v>5627</v>
      </c>
      <c r="B3889" s="12" t="s">
        <v>5628</v>
      </c>
      <c r="C3889" s="13">
        <v>2</v>
      </c>
      <c r="D3889" s="22" t="s">
        <v>10</v>
      </c>
      <c r="E3889" s="25" t="s">
        <v>5629</v>
      </c>
      <c r="F3889" s="22" t="s">
        <v>5631</v>
      </c>
      <c r="G3889" s="157" t="s">
        <v>13</v>
      </c>
    </row>
    <row r="3890" spans="1:9" hidden="1" x14ac:dyDescent="0.25">
      <c r="A3890" s="11" t="s">
        <v>5686</v>
      </c>
      <c r="B3890" s="12" t="s">
        <v>5687</v>
      </c>
      <c r="C3890" s="13">
        <f>C3889+1</f>
        <v>3</v>
      </c>
      <c r="D3890" s="22" t="s">
        <v>10</v>
      </c>
      <c r="E3890" s="28" t="s">
        <v>5688</v>
      </c>
      <c r="F3890" s="22" t="s">
        <v>5690</v>
      </c>
      <c r="G3890" s="80" t="s">
        <v>13</v>
      </c>
      <c r="I3890" s="90">
        <v>12</v>
      </c>
    </row>
    <row r="3891" spans="1:9" hidden="1" x14ac:dyDescent="0.25">
      <c r="A3891" s="11" t="s">
        <v>5866</v>
      </c>
      <c r="B3891" s="12" t="s">
        <v>5867</v>
      </c>
      <c r="C3891" s="13">
        <f>C3890+1</f>
        <v>4</v>
      </c>
      <c r="D3891" s="22" t="s">
        <v>10</v>
      </c>
      <c r="E3891" s="28" t="s">
        <v>5868</v>
      </c>
      <c r="F3891" s="22" t="s">
        <v>5870</v>
      </c>
      <c r="G3891" s="80" t="s">
        <v>13</v>
      </c>
      <c r="I3891" s="90">
        <v>12</v>
      </c>
    </row>
    <row r="3892" spans="1:9" hidden="1" x14ac:dyDescent="0.25">
      <c r="A3892" s="11" t="s">
        <v>5886</v>
      </c>
      <c r="B3892" s="12" t="s">
        <v>5887</v>
      </c>
      <c r="C3892" s="13">
        <v>2</v>
      </c>
      <c r="D3892" s="22" t="s">
        <v>10</v>
      </c>
      <c r="E3892" s="28" t="s">
        <v>5888</v>
      </c>
      <c r="F3892" s="22" t="s">
        <v>5890</v>
      </c>
      <c r="G3892" s="15" t="s">
        <v>13</v>
      </c>
      <c r="I3892" s="99">
        <v>13</v>
      </c>
    </row>
    <row r="3893" spans="1:9" hidden="1" x14ac:dyDescent="0.25">
      <c r="A3893" s="11" t="s">
        <v>5921</v>
      </c>
      <c r="B3893" s="12" t="s">
        <v>5922</v>
      </c>
      <c r="C3893" s="13">
        <v>2</v>
      </c>
      <c r="D3893" s="22" t="s">
        <v>10</v>
      </c>
      <c r="E3893" s="28" t="s">
        <v>5923</v>
      </c>
      <c r="F3893" s="22" t="s">
        <v>5925</v>
      </c>
      <c r="G3893" s="15" t="s">
        <v>676</v>
      </c>
      <c r="I3893" s="101" t="s">
        <v>5818</v>
      </c>
    </row>
    <row r="3894" spans="1:9" hidden="1" x14ac:dyDescent="0.25">
      <c r="A3894" s="11" t="s">
        <v>5985</v>
      </c>
      <c r="B3894" s="12" t="s">
        <v>5986</v>
      </c>
      <c r="C3894" s="13">
        <v>2</v>
      </c>
      <c r="D3894" s="22" t="s">
        <v>10</v>
      </c>
      <c r="E3894" s="28" t="s">
        <v>5987</v>
      </c>
      <c r="F3894" s="22" t="s">
        <v>5989</v>
      </c>
      <c r="G3894" s="80" t="s">
        <v>13</v>
      </c>
    </row>
    <row r="3895" spans="1:9" hidden="1" x14ac:dyDescent="0.25">
      <c r="A3895" s="11" t="s">
        <v>6000</v>
      </c>
      <c r="B3895" s="12" t="s">
        <v>6001</v>
      </c>
      <c r="C3895" s="13">
        <v>2</v>
      </c>
      <c r="D3895" s="22" t="s">
        <v>10</v>
      </c>
      <c r="E3895" s="25" t="s">
        <v>6002</v>
      </c>
      <c r="F3895" s="22" t="s">
        <v>6004</v>
      </c>
      <c r="G3895" s="15" t="s">
        <v>13</v>
      </c>
    </row>
    <row r="3896" spans="1:9" hidden="1" x14ac:dyDescent="0.25">
      <c r="A3896" s="11" t="s">
        <v>6017</v>
      </c>
      <c r="B3896" s="12" t="s">
        <v>6018</v>
      </c>
      <c r="C3896" s="13">
        <v>2</v>
      </c>
      <c r="D3896" s="22" t="s">
        <v>10</v>
      </c>
      <c r="E3896" s="28" t="s">
        <v>6019</v>
      </c>
      <c r="F3896" s="22" t="s">
        <v>6021</v>
      </c>
      <c r="G3896" s="15" t="s">
        <v>13</v>
      </c>
    </row>
    <row r="3897" spans="1:9" hidden="1" x14ac:dyDescent="0.25">
      <c r="A3897" s="11" t="s">
        <v>6050</v>
      </c>
      <c r="B3897" s="12" t="s">
        <v>6051</v>
      </c>
      <c r="C3897" s="13">
        <v>2</v>
      </c>
      <c r="D3897" s="22" t="s">
        <v>10</v>
      </c>
      <c r="E3897" s="28" t="s">
        <v>6052</v>
      </c>
      <c r="F3897" s="22" t="s">
        <v>6054</v>
      </c>
      <c r="G3897" s="15" t="s">
        <v>13</v>
      </c>
    </row>
    <row r="3898" spans="1:9" ht="12.75" hidden="1" thickBot="1" x14ac:dyDescent="0.3">
      <c r="A3898" s="36" t="s">
        <v>6086</v>
      </c>
      <c r="B3898" s="30" t="s">
        <v>6087</v>
      </c>
      <c r="C3898" s="31">
        <v>2</v>
      </c>
      <c r="D3898" s="4" t="s">
        <v>10</v>
      </c>
      <c r="E3898" s="32" t="s">
        <v>6088</v>
      </c>
      <c r="F3898" s="4" t="s">
        <v>6090</v>
      </c>
      <c r="G3898" s="33" t="s">
        <v>13</v>
      </c>
    </row>
    <row r="3899" spans="1:9" hidden="1" x14ac:dyDescent="0.25">
      <c r="A3899" s="35" t="s">
        <v>6134</v>
      </c>
      <c r="B3899" s="12" t="s">
        <v>6135</v>
      </c>
      <c r="C3899" s="13">
        <v>2</v>
      </c>
      <c r="D3899" s="117" t="s">
        <v>10</v>
      </c>
      <c r="E3899" s="28" t="s">
        <v>6136</v>
      </c>
      <c r="F3899" s="22" t="s">
        <v>6138</v>
      </c>
      <c r="G3899" s="118" t="s">
        <v>13</v>
      </c>
    </row>
    <row r="3900" spans="1:9" hidden="1" x14ac:dyDescent="0.25">
      <c r="A3900" s="35" t="s">
        <v>6163</v>
      </c>
      <c r="B3900" s="12" t="s">
        <v>6164</v>
      </c>
      <c r="C3900" s="13">
        <v>2</v>
      </c>
      <c r="D3900" s="117" t="s">
        <v>10</v>
      </c>
      <c r="E3900" s="28" t="s">
        <v>6165</v>
      </c>
      <c r="F3900" s="22" t="s">
        <v>6167</v>
      </c>
      <c r="G3900" s="118" t="s">
        <v>13</v>
      </c>
    </row>
    <row r="3901" spans="1:9" hidden="1" x14ac:dyDescent="0.25">
      <c r="A3901" s="35" t="s">
        <v>6176</v>
      </c>
      <c r="B3901" s="12" t="s">
        <v>6177</v>
      </c>
      <c r="C3901" s="13">
        <v>1</v>
      </c>
      <c r="D3901" s="117" t="s">
        <v>10</v>
      </c>
      <c r="E3901" s="28" t="s">
        <v>6178</v>
      </c>
      <c r="F3901" s="22" t="s">
        <v>6179</v>
      </c>
      <c r="G3901" s="118" t="s">
        <v>13</v>
      </c>
      <c r="I3901" s="90">
        <v>12</v>
      </c>
    </row>
    <row r="3902" spans="1:9" hidden="1" x14ac:dyDescent="0.25">
      <c r="A3902" s="35" t="s">
        <v>6189</v>
      </c>
      <c r="B3902" s="12" t="s">
        <v>6190</v>
      </c>
      <c r="C3902" s="13">
        <v>1</v>
      </c>
      <c r="D3902" s="117" t="s">
        <v>10</v>
      </c>
      <c r="E3902" s="28" t="s">
        <v>6191</v>
      </c>
      <c r="F3902" s="22" t="s">
        <v>6192</v>
      </c>
      <c r="G3902" s="118" t="s">
        <v>13</v>
      </c>
      <c r="I3902" s="90">
        <v>12</v>
      </c>
    </row>
    <row r="3903" spans="1:9" hidden="1" x14ac:dyDescent="0.25">
      <c r="A3903" s="35" t="s">
        <v>6252</v>
      </c>
      <c r="B3903" s="12" t="s">
        <v>6253</v>
      </c>
      <c r="C3903" s="13">
        <f>C3902+1</f>
        <v>2</v>
      </c>
      <c r="D3903" s="117" t="s">
        <v>10</v>
      </c>
      <c r="E3903" s="28" t="s">
        <v>6254</v>
      </c>
      <c r="F3903" s="22" t="s">
        <v>6256</v>
      </c>
      <c r="G3903" s="118" t="s">
        <v>13</v>
      </c>
      <c r="I3903" s="90">
        <v>12</v>
      </c>
    </row>
    <row r="3904" spans="1:9" ht="12.75" hidden="1" thickBot="1" x14ac:dyDescent="0.3">
      <c r="A3904" s="47" t="s">
        <v>6286</v>
      </c>
      <c r="B3904" s="30" t="s">
        <v>6287</v>
      </c>
      <c r="C3904" s="31">
        <v>1</v>
      </c>
      <c r="D3904" s="207" t="s">
        <v>10</v>
      </c>
      <c r="E3904" s="32" t="s">
        <v>6288</v>
      </c>
      <c r="F3904" s="4" t="s">
        <v>6289</v>
      </c>
      <c r="G3904" s="159" t="s">
        <v>13</v>
      </c>
      <c r="I3904" s="90">
        <v>12</v>
      </c>
    </row>
    <row r="3905" spans="1:27" hidden="1" x14ac:dyDescent="0.25">
      <c r="A3905" s="35" t="s">
        <v>6325</v>
      </c>
      <c r="B3905" s="12" t="s">
        <v>6326</v>
      </c>
      <c r="C3905" s="13">
        <f>C3904+1</f>
        <v>2</v>
      </c>
      <c r="D3905" s="117" t="s">
        <v>10</v>
      </c>
      <c r="E3905" s="28" t="s">
        <v>6327</v>
      </c>
      <c r="F3905" s="22" t="s">
        <v>6329</v>
      </c>
      <c r="G3905" s="118" t="s">
        <v>13</v>
      </c>
      <c r="I3905" s="90">
        <v>12</v>
      </c>
    </row>
    <row r="3906" spans="1:27" hidden="1" x14ac:dyDescent="0.25">
      <c r="A3906" s="35" t="s">
        <v>6347</v>
      </c>
      <c r="B3906" s="12" t="s">
        <v>6348</v>
      </c>
      <c r="C3906" s="13">
        <f>C3905+1</f>
        <v>3</v>
      </c>
      <c r="D3906" s="117" t="s">
        <v>10</v>
      </c>
      <c r="E3906" s="28" t="s">
        <v>6349</v>
      </c>
      <c r="F3906" s="22" t="s">
        <v>6351</v>
      </c>
      <c r="G3906" s="118" t="s">
        <v>13</v>
      </c>
      <c r="I3906" s="90">
        <v>12</v>
      </c>
    </row>
    <row r="3907" spans="1:27" hidden="1" x14ac:dyDescent="0.25">
      <c r="A3907" s="35" t="s">
        <v>6357</v>
      </c>
      <c r="B3907" s="12" t="s">
        <v>6358</v>
      </c>
      <c r="C3907" s="13">
        <v>1</v>
      </c>
      <c r="D3907" s="117" t="s">
        <v>10</v>
      </c>
      <c r="E3907" s="28" t="s">
        <v>6359</v>
      </c>
      <c r="F3907" s="22" t="s">
        <v>6360</v>
      </c>
      <c r="G3907" s="118" t="s">
        <v>483</v>
      </c>
      <c r="I3907" s="99">
        <v>13</v>
      </c>
    </row>
    <row r="3908" spans="1:27" hidden="1" x14ac:dyDescent="0.25">
      <c r="A3908" s="35" t="s">
        <v>6371</v>
      </c>
      <c r="B3908" s="12" t="s">
        <v>6372</v>
      </c>
      <c r="C3908" s="13">
        <v>1</v>
      </c>
      <c r="D3908" s="117" t="s">
        <v>10</v>
      </c>
      <c r="E3908" s="28" t="s">
        <v>6373</v>
      </c>
      <c r="F3908" s="22" t="s">
        <v>6374</v>
      </c>
      <c r="G3908" s="118" t="s">
        <v>483</v>
      </c>
      <c r="I3908" s="99">
        <v>13</v>
      </c>
    </row>
    <row r="3909" spans="1:27" hidden="1" x14ac:dyDescent="0.25">
      <c r="A3909" s="34" t="s">
        <v>6442</v>
      </c>
      <c r="B3909" s="22" t="s">
        <v>6443</v>
      </c>
      <c r="C3909" s="23">
        <v>2</v>
      </c>
      <c r="D3909" s="117" t="s">
        <v>10</v>
      </c>
      <c r="E3909" s="25" t="s">
        <v>6444</v>
      </c>
      <c r="F3909" s="22" t="s">
        <v>6446</v>
      </c>
      <c r="G3909" s="117" t="s">
        <v>13</v>
      </c>
      <c r="H3909" s="38"/>
      <c r="I3909" s="39">
        <v>15</v>
      </c>
      <c r="J3909" s="38"/>
      <c r="K3909" s="38"/>
      <c r="L3909" s="38"/>
      <c r="M3909" s="38"/>
      <c r="N3909" s="38"/>
      <c r="O3909" s="38"/>
      <c r="P3909" s="38"/>
      <c r="Q3909" s="38"/>
      <c r="R3909" s="38"/>
      <c r="S3909" s="38"/>
      <c r="T3909" s="38"/>
      <c r="U3909" s="38"/>
      <c r="V3909" s="38"/>
      <c r="W3909" s="38"/>
      <c r="X3909" s="38"/>
      <c r="Y3909" s="38"/>
      <c r="Z3909" s="38"/>
      <c r="AA3909" s="38"/>
    </row>
    <row r="3910" spans="1:27" ht="24" hidden="1" x14ac:dyDescent="0.25">
      <c r="A3910" s="34" t="s">
        <v>6463</v>
      </c>
      <c r="B3910" s="22" t="s">
        <v>6464</v>
      </c>
      <c r="C3910" s="23">
        <v>2</v>
      </c>
      <c r="D3910" s="117" t="s">
        <v>10</v>
      </c>
      <c r="E3910" s="25" t="s">
        <v>6465</v>
      </c>
      <c r="F3910" s="22" t="s">
        <v>6467</v>
      </c>
      <c r="G3910" s="117" t="s">
        <v>13</v>
      </c>
      <c r="H3910" s="38"/>
      <c r="I3910" s="39">
        <v>15</v>
      </c>
      <c r="J3910" s="38"/>
      <c r="K3910" s="38"/>
      <c r="L3910" s="38"/>
      <c r="M3910" s="38"/>
      <c r="N3910" s="38"/>
      <c r="O3910" s="38"/>
      <c r="P3910" s="38"/>
      <c r="Q3910" s="38"/>
      <c r="R3910" s="38"/>
      <c r="S3910" s="38"/>
      <c r="T3910" s="38"/>
      <c r="U3910" s="38"/>
      <c r="V3910" s="38"/>
      <c r="W3910" s="38"/>
      <c r="X3910" s="38"/>
      <c r="Y3910" s="38"/>
      <c r="Z3910" s="38"/>
      <c r="AA3910" s="38"/>
    </row>
    <row r="3911" spans="1:27" ht="24" hidden="1" x14ac:dyDescent="0.25">
      <c r="A3911" s="34" t="s">
        <v>6491</v>
      </c>
      <c r="B3911" s="22" t="s">
        <v>6492</v>
      </c>
      <c r="C3911" s="23">
        <v>2</v>
      </c>
      <c r="D3911" s="117" t="s">
        <v>10</v>
      </c>
      <c r="E3911" s="25" t="s">
        <v>6493</v>
      </c>
      <c r="F3911" s="22" t="s">
        <v>6495</v>
      </c>
      <c r="G3911" s="117" t="s">
        <v>13</v>
      </c>
      <c r="H3911" s="38"/>
      <c r="I3911" s="39">
        <v>15</v>
      </c>
      <c r="J3911" s="38"/>
      <c r="K3911" s="38"/>
      <c r="L3911" s="38"/>
      <c r="M3911" s="38"/>
      <c r="N3911" s="38"/>
      <c r="O3911" s="38"/>
      <c r="P3911" s="38"/>
      <c r="Q3911" s="38"/>
      <c r="R3911" s="38"/>
      <c r="S3911" s="38"/>
      <c r="T3911" s="38"/>
      <c r="U3911" s="38"/>
      <c r="V3911" s="38"/>
      <c r="W3911" s="38"/>
      <c r="X3911" s="38"/>
      <c r="Y3911" s="38"/>
      <c r="Z3911" s="38"/>
      <c r="AA3911" s="38"/>
    </row>
    <row r="3912" spans="1:27" hidden="1" x14ac:dyDescent="0.25">
      <c r="A3912" s="34" t="s">
        <v>6518</v>
      </c>
      <c r="B3912" s="22" t="s">
        <v>6519</v>
      </c>
      <c r="C3912" s="23">
        <v>2</v>
      </c>
      <c r="D3912" s="117" t="s">
        <v>10</v>
      </c>
      <c r="E3912" s="25" t="s">
        <v>6520</v>
      </c>
      <c r="F3912" s="22" t="s">
        <v>6522</v>
      </c>
      <c r="G3912" s="117" t="s">
        <v>13</v>
      </c>
      <c r="H3912" s="38"/>
      <c r="I3912" s="39">
        <v>15</v>
      </c>
      <c r="J3912" s="38"/>
      <c r="K3912" s="38"/>
      <c r="L3912" s="38"/>
      <c r="M3912" s="38"/>
      <c r="N3912" s="38"/>
      <c r="O3912" s="38"/>
      <c r="P3912" s="38"/>
      <c r="Q3912" s="38"/>
      <c r="R3912" s="38"/>
      <c r="S3912" s="38"/>
      <c r="T3912" s="38"/>
      <c r="U3912" s="38"/>
      <c r="V3912" s="38"/>
      <c r="W3912" s="38"/>
      <c r="X3912" s="38"/>
      <c r="Y3912" s="38"/>
      <c r="Z3912" s="38"/>
      <c r="AA3912" s="38"/>
    </row>
    <row r="3913" spans="1:27" ht="24.75" hidden="1" thickBot="1" x14ac:dyDescent="0.3">
      <c r="A3913" s="194" t="s">
        <v>6531</v>
      </c>
      <c r="B3913" s="4" t="s">
        <v>6532</v>
      </c>
      <c r="C3913" s="5">
        <v>2</v>
      </c>
      <c r="D3913" s="207" t="s">
        <v>10</v>
      </c>
      <c r="E3913" s="238" t="s">
        <v>6533</v>
      </c>
      <c r="F3913" s="4" t="s">
        <v>6535</v>
      </c>
      <c r="G3913" s="207" t="s">
        <v>13</v>
      </c>
      <c r="H3913" s="38"/>
      <c r="I3913" s="39">
        <v>15</v>
      </c>
      <c r="J3913" s="38"/>
      <c r="K3913" s="38"/>
      <c r="L3913" s="38"/>
      <c r="M3913" s="38"/>
      <c r="N3913" s="38"/>
      <c r="O3913" s="38"/>
      <c r="P3913" s="38"/>
      <c r="Q3913" s="38"/>
      <c r="R3913" s="38"/>
      <c r="S3913" s="38"/>
      <c r="T3913" s="38"/>
      <c r="U3913" s="38"/>
      <c r="V3913" s="38"/>
      <c r="W3913" s="38"/>
      <c r="X3913" s="38"/>
      <c r="Y3913" s="38"/>
      <c r="Z3913" s="38"/>
      <c r="AA3913" s="38"/>
    </row>
    <row r="3914" spans="1:27" hidden="1" x14ac:dyDescent="0.25">
      <c r="A3914" s="35" t="s">
        <v>6543</v>
      </c>
      <c r="B3914" s="12" t="s">
        <v>6544</v>
      </c>
      <c r="C3914" s="13">
        <f>C3913+1</f>
        <v>3</v>
      </c>
      <c r="D3914" s="117" t="s">
        <v>10</v>
      </c>
      <c r="E3914" s="28" t="s">
        <v>6545</v>
      </c>
      <c r="F3914" s="22" t="s">
        <v>6547</v>
      </c>
      <c r="G3914" s="118" t="s">
        <v>13</v>
      </c>
      <c r="I3914" s="90">
        <v>12</v>
      </c>
    </row>
    <row r="3915" spans="1:27" hidden="1" x14ac:dyDescent="0.25">
      <c r="A3915" s="35" t="s">
        <v>6559</v>
      </c>
      <c r="B3915" s="12" t="s">
        <v>6560</v>
      </c>
      <c r="C3915" s="13">
        <f>C3914+1</f>
        <v>4</v>
      </c>
      <c r="D3915" s="117" t="s">
        <v>10</v>
      </c>
      <c r="E3915" s="28" t="s">
        <v>6561</v>
      </c>
      <c r="F3915" s="22" t="s">
        <v>6563</v>
      </c>
      <c r="G3915" s="118" t="s">
        <v>13</v>
      </c>
      <c r="I3915" s="90">
        <v>12</v>
      </c>
    </row>
    <row r="3916" spans="1:27" hidden="1" x14ac:dyDescent="0.25">
      <c r="A3916" s="35" t="s">
        <v>6570</v>
      </c>
      <c r="B3916" s="12" t="s">
        <v>6571</v>
      </c>
      <c r="C3916" s="13">
        <f>C3915+1</f>
        <v>5</v>
      </c>
      <c r="D3916" s="117" t="s">
        <v>10</v>
      </c>
      <c r="E3916" s="28" t="s">
        <v>6572</v>
      </c>
      <c r="F3916" s="22" t="s">
        <v>6574</v>
      </c>
      <c r="G3916" s="118" t="s">
        <v>13</v>
      </c>
      <c r="I3916" s="90">
        <v>12</v>
      </c>
    </row>
    <row r="3917" spans="1:27" hidden="1" x14ac:dyDescent="0.2">
      <c r="A3917" s="35" t="s">
        <v>6584</v>
      </c>
      <c r="B3917" s="12" t="s">
        <v>6585</v>
      </c>
      <c r="C3917" s="13">
        <v>1</v>
      </c>
      <c r="D3917" s="24" t="s">
        <v>10</v>
      </c>
      <c r="E3917" s="28" t="s">
        <v>6586</v>
      </c>
      <c r="F3917" s="22" t="s">
        <v>6587</v>
      </c>
      <c r="G3917" s="118" t="s">
        <v>13</v>
      </c>
    </row>
    <row r="3918" spans="1:27" hidden="1" x14ac:dyDescent="0.2">
      <c r="A3918" s="35" t="s">
        <v>6601</v>
      </c>
      <c r="B3918" s="12" t="s">
        <v>6602</v>
      </c>
      <c r="C3918" s="13">
        <v>1</v>
      </c>
      <c r="D3918" s="24" t="s">
        <v>10</v>
      </c>
      <c r="E3918" s="28" t="s">
        <v>6603</v>
      </c>
      <c r="F3918" s="22" t="s">
        <v>6604</v>
      </c>
      <c r="G3918" s="118" t="s">
        <v>13</v>
      </c>
    </row>
    <row r="3919" spans="1:27" hidden="1" x14ac:dyDescent="0.2">
      <c r="A3919" s="35" t="s">
        <v>6614</v>
      </c>
      <c r="B3919" s="12" t="s">
        <v>6615</v>
      </c>
      <c r="C3919" s="13">
        <v>1</v>
      </c>
      <c r="D3919" s="24" t="s">
        <v>10</v>
      </c>
      <c r="E3919" s="28" t="s">
        <v>6616</v>
      </c>
      <c r="F3919" s="22" t="s">
        <v>6617</v>
      </c>
      <c r="G3919" s="118" t="s">
        <v>13</v>
      </c>
    </row>
    <row r="3920" spans="1:27" hidden="1" x14ac:dyDescent="0.2">
      <c r="A3920" s="35" t="s">
        <v>6645</v>
      </c>
      <c r="B3920" s="12" t="s">
        <v>6646</v>
      </c>
      <c r="C3920" s="13">
        <v>1</v>
      </c>
      <c r="D3920" s="24" t="s">
        <v>10</v>
      </c>
      <c r="E3920" s="28" t="s">
        <v>6647</v>
      </c>
      <c r="F3920" s="22" t="s">
        <v>6648</v>
      </c>
      <c r="G3920" s="118" t="s">
        <v>13</v>
      </c>
    </row>
    <row r="3921" spans="1:7" hidden="1" x14ac:dyDescent="0.25">
      <c r="A3921" s="35" t="s">
        <v>6664</v>
      </c>
      <c r="B3921" s="12" t="s">
        <v>6665</v>
      </c>
      <c r="C3921" s="13">
        <v>2</v>
      </c>
      <c r="D3921" s="117" t="s">
        <v>10</v>
      </c>
      <c r="E3921" s="28" t="s">
        <v>6666</v>
      </c>
      <c r="F3921" s="22" t="s">
        <v>6668</v>
      </c>
      <c r="G3921" s="118" t="s">
        <v>13</v>
      </c>
    </row>
    <row r="3922" spans="1:7" hidden="1" x14ac:dyDescent="0.25">
      <c r="A3922" s="35" t="s">
        <v>6678</v>
      </c>
      <c r="B3922" s="12" t="s">
        <v>6679</v>
      </c>
      <c r="C3922" s="13">
        <v>2</v>
      </c>
      <c r="D3922" s="117" t="s">
        <v>10</v>
      </c>
      <c r="E3922" s="28" t="s">
        <v>6680</v>
      </c>
      <c r="F3922" s="22" t="s">
        <v>6682</v>
      </c>
      <c r="G3922" s="118" t="s">
        <v>13</v>
      </c>
    </row>
    <row r="3923" spans="1:7" ht="12.75" hidden="1" thickBot="1" x14ac:dyDescent="0.3">
      <c r="A3923" s="47" t="s">
        <v>6688</v>
      </c>
      <c r="B3923" s="30" t="s">
        <v>6689</v>
      </c>
      <c r="C3923" s="31">
        <v>2</v>
      </c>
      <c r="D3923" s="207" t="s">
        <v>10</v>
      </c>
      <c r="E3923" s="32" t="s">
        <v>6690</v>
      </c>
      <c r="F3923" s="4" t="s">
        <v>6692</v>
      </c>
      <c r="G3923" s="159" t="s">
        <v>13</v>
      </c>
    </row>
    <row r="3924" spans="1:7" hidden="1" x14ac:dyDescent="0.25">
      <c r="A3924" s="35" t="s">
        <v>6768</v>
      </c>
      <c r="B3924" s="12" t="s">
        <v>6769</v>
      </c>
      <c r="C3924" s="13">
        <v>2</v>
      </c>
      <c r="D3924" s="117" t="s">
        <v>10</v>
      </c>
      <c r="E3924" s="28" t="s">
        <v>6770</v>
      </c>
      <c r="F3924" s="22" t="s">
        <v>6772</v>
      </c>
      <c r="G3924" s="118" t="s">
        <v>13</v>
      </c>
    </row>
    <row r="3925" spans="1:7" hidden="1" x14ac:dyDescent="0.25">
      <c r="A3925" s="35" t="s">
        <v>6787</v>
      </c>
      <c r="B3925" s="12" t="s">
        <v>6788</v>
      </c>
      <c r="C3925" s="13">
        <v>2</v>
      </c>
      <c r="D3925" s="117" t="s">
        <v>10</v>
      </c>
      <c r="E3925" s="28" t="s">
        <v>6789</v>
      </c>
      <c r="F3925" s="22" t="s">
        <v>6791</v>
      </c>
      <c r="G3925" s="118" t="s">
        <v>13</v>
      </c>
    </row>
    <row r="3926" spans="1:7" hidden="1" x14ac:dyDescent="0.2">
      <c r="A3926" s="35" t="s">
        <v>6801</v>
      </c>
      <c r="B3926" s="12" t="s">
        <v>6802</v>
      </c>
      <c r="C3926" s="13">
        <v>1</v>
      </c>
      <c r="D3926" s="115" t="s">
        <v>10</v>
      </c>
      <c r="E3926" s="28" t="s">
        <v>6803</v>
      </c>
      <c r="F3926" s="22" t="s">
        <v>6804</v>
      </c>
      <c r="G3926" s="118" t="s">
        <v>13</v>
      </c>
    </row>
    <row r="3927" spans="1:7" hidden="1" x14ac:dyDescent="0.2">
      <c r="A3927" s="35" t="s">
        <v>6811</v>
      </c>
      <c r="B3927" s="12" t="s">
        <v>6812</v>
      </c>
      <c r="C3927" s="13">
        <v>1</v>
      </c>
      <c r="D3927" s="115" t="s">
        <v>10</v>
      </c>
      <c r="E3927" s="28" t="s">
        <v>6813</v>
      </c>
      <c r="F3927" s="22" t="s">
        <v>6814</v>
      </c>
      <c r="G3927" s="118" t="s">
        <v>13</v>
      </c>
    </row>
    <row r="3928" spans="1:7" hidden="1" x14ac:dyDescent="0.2">
      <c r="A3928" s="35" t="s">
        <v>6826</v>
      </c>
      <c r="B3928" s="12" t="s">
        <v>6827</v>
      </c>
      <c r="C3928" s="13">
        <v>1</v>
      </c>
      <c r="D3928" s="127" t="s">
        <v>10</v>
      </c>
      <c r="E3928" s="28" t="s">
        <v>6828</v>
      </c>
      <c r="F3928" s="22" t="s">
        <v>6829</v>
      </c>
      <c r="G3928" s="118" t="s">
        <v>13</v>
      </c>
    </row>
    <row r="3929" spans="1:7" hidden="1" x14ac:dyDescent="0.2">
      <c r="A3929" s="35" t="s">
        <v>6843</v>
      </c>
      <c r="B3929" s="12" t="s">
        <v>6844</v>
      </c>
      <c r="C3929" s="13">
        <v>1</v>
      </c>
      <c r="D3929" s="115" t="s">
        <v>10</v>
      </c>
      <c r="E3929" s="28" t="s">
        <v>6845</v>
      </c>
      <c r="F3929" s="22" t="s">
        <v>6846</v>
      </c>
      <c r="G3929" s="118" t="s">
        <v>13</v>
      </c>
    </row>
    <row r="3930" spans="1:7" hidden="1" x14ac:dyDescent="0.2">
      <c r="A3930" s="35" t="s">
        <v>6862</v>
      </c>
      <c r="B3930" s="12" t="s">
        <v>6863</v>
      </c>
      <c r="C3930" s="13">
        <v>1</v>
      </c>
      <c r="D3930" s="24" t="s">
        <v>10</v>
      </c>
      <c r="E3930" s="28" t="s">
        <v>6864</v>
      </c>
      <c r="F3930" s="22" t="s">
        <v>6865</v>
      </c>
      <c r="G3930" s="118" t="s">
        <v>13</v>
      </c>
    </row>
    <row r="3931" spans="1:7" hidden="1" x14ac:dyDescent="0.2">
      <c r="A3931" s="35" t="s">
        <v>6880</v>
      </c>
      <c r="B3931" s="12" t="s">
        <v>6881</v>
      </c>
      <c r="C3931" s="13">
        <v>1</v>
      </c>
      <c r="D3931" s="115" t="s">
        <v>10</v>
      </c>
      <c r="E3931" s="28" t="s">
        <v>6882</v>
      </c>
      <c r="F3931" s="22" t="s">
        <v>6883</v>
      </c>
      <c r="G3931" s="118" t="s">
        <v>13</v>
      </c>
    </row>
    <row r="3932" spans="1:7" hidden="1" x14ac:dyDescent="0.2">
      <c r="A3932" s="35" t="s">
        <v>6912</v>
      </c>
      <c r="B3932" s="12" t="s">
        <v>6913</v>
      </c>
      <c r="C3932" s="13">
        <v>1</v>
      </c>
      <c r="D3932" s="115" t="s">
        <v>10</v>
      </c>
      <c r="E3932" s="28" t="s">
        <v>6914</v>
      </c>
      <c r="F3932" s="22" t="s">
        <v>6915</v>
      </c>
      <c r="G3932" s="118" t="s">
        <v>13</v>
      </c>
    </row>
    <row r="3933" spans="1:7" hidden="1" x14ac:dyDescent="0.2">
      <c r="A3933" s="35" t="s">
        <v>6921</v>
      </c>
      <c r="B3933" s="12" t="s">
        <v>6922</v>
      </c>
      <c r="C3933" s="13">
        <v>1</v>
      </c>
      <c r="D3933" s="24" t="s">
        <v>10</v>
      </c>
      <c r="E3933" s="28" t="s">
        <v>6923</v>
      </c>
      <c r="F3933" s="22" t="s">
        <v>6924</v>
      </c>
      <c r="G3933" s="118" t="s">
        <v>13</v>
      </c>
    </row>
    <row r="3934" spans="1:7" ht="12.75" hidden="1" thickBot="1" x14ac:dyDescent="0.25">
      <c r="A3934" s="47" t="s">
        <v>6936</v>
      </c>
      <c r="B3934" s="30" t="s">
        <v>6937</v>
      </c>
      <c r="C3934" s="31">
        <v>1</v>
      </c>
      <c r="D3934" s="227" t="s">
        <v>10</v>
      </c>
      <c r="E3934" s="32" t="s">
        <v>6938</v>
      </c>
      <c r="F3934" s="4" t="s">
        <v>6939</v>
      </c>
      <c r="G3934" s="159" t="s">
        <v>13</v>
      </c>
    </row>
    <row r="3935" spans="1:7" hidden="1" x14ac:dyDescent="0.2">
      <c r="A3935" s="56" t="s">
        <v>6946</v>
      </c>
      <c r="B3935" s="61" t="s">
        <v>6947</v>
      </c>
      <c r="C3935" s="58">
        <v>1</v>
      </c>
      <c r="D3935" s="103" t="s">
        <v>10</v>
      </c>
      <c r="E3935" s="89" t="s">
        <v>6948</v>
      </c>
      <c r="F3935" s="17" t="s">
        <v>6949</v>
      </c>
      <c r="G3935" s="62" t="s">
        <v>13</v>
      </c>
    </row>
    <row r="3936" spans="1:7" hidden="1" x14ac:dyDescent="0.2">
      <c r="A3936" s="11" t="s">
        <v>6958</v>
      </c>
      <c r="B3936" s="12" t="s">
        <v>6959</v>
      </c>
      <c r="C3936" s="13">
        <v>1</v>
      </c>
      <c r="D3936" s="37" t="s">
        <v>10</v>
      </c>
      <c r="E3936" s="28" t="s">
        <v>6960</v>
      </c>
      <c r="F3936" s="22" t="s">
        <v>6961</v>
      </c>
      <c r="G3936" s="15" t="s">
        <v>13</v>
      </c>
    </row>
    <row r="3937" spans="1:10" hidden="1" x14ac:dyDescent="0.2">
      <c r="A3937" s="11" t="s">
        <v>6967</v>
      </c>
      <c r="B3937" s="12" t="s">
        <v>6968</v>
      </c>
      <c r="C3937" s="13">
        <v>1</v>
      </c>
      <c r="D3937" s="75" t="s">
        <v>10</v>
      </c>
      <c r="E3937" s="28" t="s">
        <v>6969</v>
      </c>
      <c r="F3937" s="22" t="s">
        <v>6970</v>
      </c>
      <c r="G3937" s="15" t="s">
        <v>13</v>
      </c>
    </row>
    <row r="3938" spans="1:10" hidden="1" x14ac:dyDescent="0.2">
      <c r="A3938" s="11" t="s">
        <v>6979</v>
      </c>
      <c r="B3938" s="12" t="s">
        <v>6980</v>
      </c>
      <c r="C3938" s="13">
        <v>1</v>
      </c>
      <c r="D3938" s="75" t="s">
        <v>10</v>
      </c>
      <c r="E3938" s="28" t="s">
        <v>6981</v>
      </c>
      <c r="F3938" s="22" t="s">
        <v>6982</v>
      </c>
      <c r="G3938" s="15" t="s">
        <v>13</v>
      </c>
    </row>
    <row r="3939" spans="1:10" hidden="1" x14ac:dyDescent="0.2">
      <c r="A3939" s="11" t="s">
        <v>6992</v>
      </c>
      <c r="B3939" s="12" t="s">
        <v>6993</v>
      </c>
      <c r="C3939" s="13">
        <v>1</v>
      </c>
      <c r="D3939" s="75" t="s">
        <v>10</v>
      </c>
      <c r="E3939" s="28" t="s">
        <v>6994</v>
      </c>
      <c r="F3939" s="22" t="s">
        <v>6995</v>
      </c>
      <c r="G3939" s="15" t="s">
        <v>13</v>
      </c>
    </row>
    <row r="3940" spans="1:10" hidden="1" x14ac:dyDescent="0.2">
      <c r="A3940" s="11" t="s">
        <v>7002</v>
      </c>
      <c r="B3940" s="12" t="s">
        <v>7003</v>
      </c>
      <c r="C3940" s="13">
        <v>2</v>
      </c>
      <c r="D3940" s="75" t="s">
        <v>10</v>
      </c>
      <c r="E3940" s="28" t="s">
        <v>7004</v>
      </c>
      <c r="F3940" s="22" t="s">
        <v>7006</v>
      </c>
      <c r="G3940" s="15" t="s">
        <v>13</v>
      </c>
    </row>
    <row r="3941" spans="1:10" hidden="1" x14ac:dyDescent="0.2">
      <c r="A3941" s="11" t="s">
        <v>943</v>
      </c>
      <c r="B3941" s="12" t="s">
        <v>944</v>
      </c>
      <c r="C3941" s="13">
        <v>24</v>
      </c>
      <c r="D3941" s="14" t="s">
        <v>990</v>
      </c>
      <c r="E3941" s="28" t="s">
        <v>945</v>
      </c>
      <c r="F3941" s="12" t="s">
        <v>991</v>
      </c>
      <c r="G3941" s="15" t="s">
        <v>829</v>
      </c>
      <c r="I3941" s="9">
        <v>15</v>
      </c>
    </row>
    <row r="3942" spans="1:10" ht="15" hidden="1" x14ac:dyDescent="0.25">
      <c r="A3942" s="11" t="s">
        <v>2237</v>
      </c>
      <c r="B3942" s="8" t="s">
        <v>2238</v>
      </c>
      <c r="C3942" s="13">
        <v>9</v>
      </c>
      <c r="D3942" s="12" t="s">
        <v>2253</v>
      </c>
      <c r="E3942" s="28" t="s">
        <v>2239</v>
      </c>
      <c r="F3942" s="12" t="s">
        <v>2254</v>
      </c>
      <c r="G3942" s="15" t="s">
        <v>19</v>
      </c>
      <c r="I3942" s="54">
        <v>15</v>
      </c>
      <c r="J3942" s="52"/>
    </row>
    <row r="3943" spans="1:10" ht="15" hidden="1" x14ac:dyDescent="0.25">
      <c r="A3943" s="11" t="s">
        <v>4583</v>
      </c>
      <c r="B3943" s="12" t="s">
        <v>4584</v>
      </c>
      <c r="C3943" s="13">
        <v>7</v>
      </c>
      <c r="D3943" s="12" t="s">
        <v>4593</v>
      </c>
      <c r="E3943" s="28" t="s">
        <v>4585</v>
      </c>
      <c r="F3943" s="12" t="s">
        <v>4594</v>
      </c>
      <c r="G3943" s="66" t="s">
        <v>829</v>
      </c>
      <c r="I3943" s="9">
        <v>15</v>
      </c>
      <c r="J3943" s="52"/>
    </row>
    <row r="3944" spans="1:10" ht="12.75" hidden="1" thickBot="1" x14ac:dyDescent="0.25">
      <c r="A3944" s="36" t="s">
        <v>943</v>
      </c>
      <c r="B3944" s="30" t="s">
        <v>944</v>
      </c>
      <c r="C3944" s="31">
        <v>22</v>
      </c>
      <c r="D3944" s="69" t="s">
        <v>986</v>
      </c>
      <c r="E3944" s="32" t="s">
        <v>945</v>
      </c>
      <c r="F3944" s="30" t="s">
        <v>987</v>
      </c>
      <c r="G3944" s="33" t="s">
        <v>832</v>
      </c>
      <c r="I3944" s="9">
        <v>15</v>
      </c>
    </row>
    <row r="3945" spans="1:10" hidden="1" x14ac:dyDescent="0.25">
      <c r="A3945" s="56" t="s">
        <v>1031</v>
      </c>
      <c r="B3945" s="61" t="s">
        <v>1032</v>
      </c>
      <c r="C3945" s="58">
        <v>15</v>
      </c>
      <c r="D3945" s="218" t="s">
        <v>1060</v>
      </c>
      <c r="E3945" s="89" t="s">
        <v>1033</v>
      </c>
      <c r="F3945" s="61" t="s">
        <v>1061</v>
      </c>
      <c r="G3945" s="62" t="s">
        <v>881</v>
      </c>
      <c r="I3945" s="9">
        <v>15</v>
      </c>
    </row>
    <row r="3946" spans="1:10" hidden="1" x14ac:dyDescent="0.25">
      <c r="A3946" s="11" t="s">
        <v>1031</v>
      </c>
      <c r="B3946" s="12" t="s">
        <v>1032</v>
      </c>
      <c r="C3946" s="13">
        <v>16</v>
      </c>
      <c r="D3946" s="76" t="s">
        <v>1062</v>
      </c>
      <c r="E3946" s="28" t="s">
        <v>1033</v>
      </c>
      <c r="F3946" s="12" t="s">
        <v>1063</v>
      </c>
      <c r="G3946" s="15" t="s">
        <v>881</v>
      </c>
      <c r="I3946" s="9">
        <v>15</v>
      </c>
    </row>
    <row r="3947" spans="1:10" hidden="1" x14ac:dyDescent="0.25">
      <c r="A3947" s="11" t="s">
        <v>1031</v>
      </c>
      <c r="B3947" s="12" t="s">
        <v>1032</v>
      </c>
      <c r="C3947" s="13">
        <v>14</v>
      </c>
      <c r="D3947" s="76" t="s">
        <v>1058</v>
      </c>
      <c r="E3947" s="28" t="s">
        <v>1033</v>
      </c>
      <c r="F3947" s="12" t="s">
        <v>1059</v>
      </c>
      <c r="G3947" s="15" t="s">
        <v>881</v>
      </c>
      <c r="I3947" s="9">
        <v>15</v>
      </c>
    </row>
    <row r="3948" spans="1:10" hidden="1" x14ac:dyDescent="0.25">
      <c r="A3948" s="11" t="s">
        <v>5686</v>
      </c>
      <c r="B3948" s="12" t="s">
        <v>5687</v>
      </c>
      <c r="C3948" s="13">
        <v>84</v>
      </c>
      <c r="D3948" s="118" t="s">
        <v>5844</v>
      </c>
      <c r="E3948" s="28" t="s">
        <v>5688</v>
      </c>
      <c r="F3948" s="12" t="s">
        <v>5845</v>
      </c>
      <c r="G3948" s="15" t="s">
        <v>676</v>
      </c>
      <c r="I3948" s="101" t="s">
        <v>5818</v>
      </c>
    </row>
    <row r="3949" spans="1:10" hidden="1" x14ac:dyDescent="0.25">
      <c r="A3949" s="11" t="s">
        <v>5686</v>
      </c>
      <c r="B3949" s="12" t="s">
        <v>5687</v>
      </c>
      <c r="C3949" s="13">
        <f>C3948+1</f>
        <v>85</v>
      </c>
      <c r="D3949" s="118" t="s">
        <v>5842</v>
      </c>
      <c r="E3949" s="28" t="s">
        <v>5688</v>
      </c>
      <c r="F3949" s="12" t="s">
        <v>5843</v>
      </c>
      <c r="G3949" s="15" t="s">
        <v>676</v>
      </c>
      <c r="I3949" s="101" t="s">
        <v>5818</v>
      </c>
    </row>
    <row r="3950" spans="1:10" hidden="1" x14ac:dyDescent="0.25">
      <c r="A3950" s="11" t="s">
        <v>5686</v>
      </c>
      <c r="B3950" s="12" t="s">
        <v>5687</v>
      </c>
      <c r="C3950" s="13">
        <f>C3949+1</f>
        <v>86</v>
      </c>
      <c r="D3950" s="118" t="s">
        <v>5840</v>
      </c>
      <c r="E3950" s="28" t="s">
        <v>5688</v>
      </c>
      <c r="F3950" s="12" t="s">
        <v>5841</v>
      </c>
      <c r="G3950" s="15" t="s">
        <v>676</v>
      </c>
      <c r="I3950" s="101" t="s">
        <v>5818</v>
      </c>
    </row>
    <row r="3951" spans="1:10" hidden="1" x14ac:dyDescent="0.25">
      <c r="A3951" s="11" t="s">
        <v>5686</v>
      </c>
      <c r="B3951" s="12" t="s">
        <v>5687</v>
      </c>
      <c r="C3951" s="13">
        <f>C3950+1</f>
        <v>87</v>
      </c>
      <c r="D3951" s="118" t="s">
        <v>5838</v>
      </c>
      <c r="E3951" s="28" t="s">
        <v>5688</v>
      </c>
      <c r="F3951" s="12" t="s">
        <v>5839</v>
      </c>
      <c r="G3951" s="15" t="s">
        <v>676</v>
      </c>
      <c r="I3951" s="101" t="s">
        <v>5818</v>
      </c>
    </row>
    <row r="3952" spans="1:10" hidden="1" x14ac:dyDescent="0.25">
      <c r="A3952" s="11" t="s">
        <v>1818</v>
      </c>
      <c r="B3952" s="12" t="s">
        <v>1819</v>
      </c>
      <c r="C3952" s="13">
        <v>12</v>
      </c>
      <c r="D3952" s="118" t="s">
        <v>1841</v>
      </c>
      <c r="E3952" s="28" t="s">
        <v>1820</v>
      </c>
      <c r="F3952" s="12" t="s">
        <v>1842</v>
      </c>
      <c r="G3952" s="15" t="s">
        <v>19</v>
      </c>
      <c r="I3952" s="9">
        <v>15</v>
      </c>
    </row>
    <row r="3953" spans="1:9" hidden="1" x14ac:dyDescent="0.25">
      <c r="A3953" s="11" t="s">
        <v>1818</v>
      </c>
      <c r="B3953" s="12" t="s">
        <v>1819</v>
      </c>
      <c r="C3953" s="13">
        <v>13</v>
      </c>
      <c r="D3953" s="118" t="s">
        <v>1843</v>
      </c>
      <c r="E3953" s="28" t="s">
        <v>1820</v>
      </c>
      <c r="F3953" s="12" t="s">
        <v>1844</v>
      </c>
      <c r="G3953" s="15" t="s">
        <v>19</v>
      </c>
      <c r="I3953" s="9">
        <v>15</v>
      </c>
    </row>
    <row r="3954" spans="1:9" hidden="1" x14ac:dyDescent="0.2">
      <c r="A3954" s="11" t="s">
        <v>2631</v>
      </c>
      <c r="B3954" s="12" t="s">
        <v>2632</v>
      </c>
      <c r="C3954" s="13">
        <f>C3953+1</f>
        <v>14</v>
      </c>
      <c r="D3954" s="27" t="s">
        <v>2835</v>
      </c>
      <c r="E3954" s="28" t="s">
        <v>2634</v>
      </c>
      <c r="F3954" s="65" t="s">
        <v>2836</v>
      </c>
      <c r="G3954" s="66" t="s">
        <v>684</v>
      </c>
      <c r="I3954" s="94">
        <v>14</v>
      </c>
    </row>
    <row r="3955" spans="1:9" hidden="1" x14ac:dyDescent="0.2">
      <c r="A3955" s="11" t="s">
        <v>3165</v>
      </c>
      <c r="B3955" s="12" t="s">
        <v>3166</v>
      </c>
      <c r="C3955" s="13">
        <f>C3954+1</f>
        <v>15</v>
      </c>
      <c r="D3955" s="118" t="s">
        <v>2835</v>
      </c>
      <c r="E3955" s="28" t="s">
        <v>3167</v>
      </c>
      <c r="F3955" s="12" t="s">
        <v>3338</v>
      </c>
      <c r="G3955" s="66" t="s">
        <v>684</v>
      </c>
      <c r="I3955" s="94">
        <v>14</v>
      </c>
    </row>
    <row r="3956" spans="1:9" hidden="1" x14ac:dyDescent="0.2">
      <c r="A3956" s="11" t="s">
        <v>6826</v>
      </c>
      <c r="B3956" s="12" t="s">
        <v>6827</v>
      </c>
      <c r="C3956" s="13">
        <v>8</v>
      </c>
      <c r="D3956" s="174" t="s">
        <v>6838</v>
      </c>
      <c r="E3956" s="28" t="s">
        <v>6828</v>
      </c>
      <c r="F3956" s="12" t="s">
        <v>6839</v>
      </c>
      <c r="G3956" s="15" t="s">
        <v>19</v>
      </c>
    </row>
    <row r="3957" spans="1:9" hidden="1" x14ac:dyDescent="0.25">
      <c r="A3957" s="11" t="s">
        <v>1818</v>
      </c>
      <c r="B3957" s="12" t="s">
        <v>1819</v>
      </c>
      <c r="C3957" s="13">
        <v>14</v>
      </c>
      <c r="D3957" s="118" t="s">
        <v>1845</v>
      </c>
      <c r="E3957" s="28" t="s">
        <v>1820</v>
      </c>
      <c r="F3957" s="12" t="s">
        <v>1846</v>
      </c>
      <c r="G3957" s="15" t="s">
        <v>19</v>
      </c>
      <c r="I3957" s="9">
        <v>15</v>
      </c>
    </row>
    <row r="3958" spans="1:9" hidden="1" x14ac:dyDescent="0.25">
      <c r="A3958" s="11" t="s">
        <v>1818</v>
      </c>
      <c r="B3958" s="12" t="s">
        <v>1819</v>
      </c>
      <c r="C3958" s="13">
        <v>4</v>
      </c>
      <c r="D3958" s="118" t="s">
        <v>1825</v>
      </c>
      <c r="E3958" s="28" t="s">
        <v>1820</v>
      </c>
      <c r="F3958" s="12" t="s">
        <v>1826</v>
      </c>
      <c r="G3958" s="15" t="s">
        <v>19</v>
      </c>
      <c r="I3958" s="9">
        <v>15</v>
      </c>
    </row>
    <row r="3959" spans="1:9" hidden="1" x14ac:dyDescent="0.25">
      <c r="A3959" s="11" t="s">
        <v>5645</v>
      </c>
      <c r="B3959" s="12" t="s">
        <v>5646</v>
      </c>
      <c r="C3959" s="13">
        <v>6</v>
      </c>
      <c r="D3959" s="118" t="s">
        <v>5654</v>
      </c>
      <c r="E3959" s="28" t="s">
        <v>5647</v>
      </c>
      <c r="F3959" s="12" t="s">
        <v>5655</v>
      </c>
      <c r="G3959" s="15" t="s">
        <v>19</v>
      </c>
    </row>
    <row r="3960" spans="1:9" hidden="1" x14ac:dyDescent="0.25">
      <c r="A3960" s="11" t="s">
        <v>5886</v>
      </c>
      <c r="B3960" s="12" t="s">
        <v>5887</v>
      </c>
      <c r="C3960" s="13">
        <v>19</v>
      </c>
      <c r="D3960" s="118" t="s">
        <v>5913</v>
      </c>
      <c r="E3960" s="28" t="s">
        <v>5888</v>
      </c>
      <c r="F3960" s="12" t="s">
        <v>5914</v>
      </c>
      <c r="G3960" s="15" t="s">
        <v>1182</v>
      </c>
      <c r="I3960" s="99">
        <v>13</v>
      </c>
    </row>
    <row r="3961" spans="1:9" hidden="1" x14ac:dyDescent="0.2">
      <c r="A3961" s="11" t="s">
        <v>3165</v>
      </c>
      <c r="B3961" s="12" t="s">
        <v>3166</v>
      </c>
      <c r="C3961" s="13">
        <v>59</v>
      </c>
      <c r="D3961" s="118" t="s">
        <v>3258</v>
      </c>
      <c r="E3961" s="28" t="s">
        <v>3167</v>
      </c>
      <c r="F3961" s="65" t="s">
        <v>3259</v>
      </c>
      <c r="G3961" s="66" t="s">
        <v>1239</v>
      </c>
      <c r="I3961" s="99">
        <v>13</v>
      </c>
    </row>
    <row r="3962" spans="1:9" ht="12.75" hidden="1" thickBot="1" x14ac:dyDescent="0.25">
      <c r="A3962" s="36" t="s">
        <v>2631</v>
      </c>
      <c r="B3962" s="30" t="s">
        <v>2632</v>
      </c>
      <c r="C3962" s="31">
        <v>39</v>
      </c>
      <c r="D3962" s="48" t="s">
        <v>2705</v>
      </c>
      <c r="E3962" s="32" t="s">
        <v>2634</v>
      </c>
      <c r="F3962" s="67" t="s">
        <v>2706</v>
      </c>
      <c r="G3962" s="68" t="s">
        <v>1239</v>
      </c>
      <c r="I3962" s="99">
        <v>13</v>
      </c>
    </row>
    <row r="3963" spans="1:9" hidden="1" x14ac:dyDescent="0.2">
      <c r="A3963" s="35" t="s">
        <v>2988</v>
      </c>
      <c r="B3963" s="12" t="s">
        <v>2989</v>
      </c>
      <c r="C3963" s="13">
        <f>1+C3962</f>
        <v>40</v>
      </c>
      <c r="D3963" s="27" t="s">
        <v>3010</v>
      </c>
      <c r="E3963" s="28" t="s">
        <v>2990</v>
      </c>
      <c r="F3963" s="65" t="s">
        <v>3011</v>
      </c>
      <c r="G3963" s="127" t="s">
        <v>19</v>
      </c>
    </row>
    <row r="3964" spans="1:9" hidden="1" x14ac:dyDescent="0.2">
      <c r="A3964" s="35" t="s">
        <v>3165</v>
      </c>
      <c r="B3964" s="12" t="s">
        <v>3166</v>
      </c>
      <c r="C3964" s="13">
        <v>43</v>
      </c>
      <c r="D3964" s="118" t="s">
        <v>2705</v>
      </c>
      <c r="E3964" s="28" t="s">
        <v>3167</v>
      </c>
      <c r="F3964" s="65" t="s">
        <v>3226</v>
      </c>
      <c r="G3964" s="127" t="s">
        <v>1239</v>
      </c>
      <c r="I3964" s="99">
        <v>13</v>
      </c>
    </row>
    <row r="3965" spans="1:9" hidden="1" x14ac:dyDescent="0.2">
      <c r="A3965" s="35" t="s">
        <v>3458</v>
      </c>
      <c r="B3965" s="12" t="s">
        <v>3459</v>
      </c>
      <c r="C3965" s="13">
        <v>33</v>
      </c>
      <c r="D3965" s="118" t="s">
        <v>3518</v>
      </c>
      <c r="E3965" s="138" t="s">
        <v>3460</v>
      </c>
      <c r="F3965" s="65" t="s">
        <v>3519</v>
      </c>
      <c r="G3965" s="127" t="s">
        <v>1239</v>
      </c>
      <c r="I3965" s="99">
        <v>13</v>
      </c>
    </row>
    <row r="3966" spans="1:9" hidden="1" x14ac:dyDescent="0.2">
      <c r="A3966" s="35" t="s">
        <v>3633</v>
      </c>
      <c r="B3966" s="12" t="s">
        <v>3634</v>
      </c>
      <c r="C3966" s="13">
        <v>34</v>
      </c>
      <c r="D3966" s="118" t="s">
        <v>3518</v>
      </c>
      <c r="E3966" s="138" t="s">
        <v>3635</v>
      </c>
      <c r="F3966" s="65" t="s">
        <v>3677</v>
      </c>
      <c r="G3966" s="127" t="s">
        <v>1239</v>
      </c>
      <c r="I3966" s="99">
        <v>13</v>
      </c>
    </row>
    <row r="3967" spans="1:9" ht="12.75" hidden="1" thickBot="1" x14ac:dyDescent="0.25">
      <c r="A3967" s="47" t="s">
        <v>4087</v>
      </c>
      <c r="B3967" s="30" t="s">
        <v>4088</v>
      </c>
      <c r="C3967" s="31">
        <f>C3966+1</f>
        <v>35</v>
      </c>
      <c r="D3967" s="159" t="s">
        <v>3518</v>
      </c>
      <c r="E3967" s="32" t="s">
        <v>4089</v>
      </c>
      <c r="F3967" s="30" t="s">
        <v>4124</v>
      </c>
      <c r="G3967" s="116" t="s">
        <v>1239</v>
      </c>
      <c r="I3967" s="99">
        <v>13</v>
      </c>
    </row>
    <row r="3968" spans="1:9" hidden="1" x14ac:dyDescent="0.2">
      <c r="A3968" s="35" t="s">
        <v>4212</v>
      </c>
      <c r="B3968" s="12" t="s">
        <v>4213</v>
      </c>
      <c r="C3968" s="13">
        <f>C3967+1</f>
        <v>36</v>
      </c>
      <c r="D3968" s="118" t="s">
        <v>3518</v>
      </c>
      <c r="E3968" s="28" t="s">
        <v>4214</v>
      </c>
      <c r="F3968" s="12" t="s">
        <v>4249</v>
      </c>
      <c r="G3968" s="127" t="s">
        <v>1239</v>
      </c>
      <c r="I3968" s="99">
        <v>13</v>
      </c>
    </row>
    <row r="3969" spans="1:9" hidden="1" x14ac:dyDescent="0.25">
      <c r="A3969" s="35" t="s">
        <v>5957</v>
      </c>
      <c r="B3969" s="12" t="s">
        <v>5958</v>
      </c>
      <c r="C3969" s="13">
        <v>7</v>
      </c>
      <c r="D3969" s="118" t="s">
        <v>5967</v>
      </c>
      <c r="E3969" s="28" t="s">
        <v>5959</v>
      </c>
      <c r="F3969" s="12" t="s">
        <v>5968</v>
      </c>
      <c r="G3969" s="118" t="s">
        <v>780</v>
      </c>
      <c r="I3969" s="9">
        <v>15</v>
      </c>
    </row>
    <row r="3970" spans="1:9" hidden="1" x14ac:dyDescent="0.2">
      <c r="A3970" s="35" t="s">
        <v>3458</v>
      </c>
      <c r="B3970" s="12" t="s">
        <v>3459</v>
      </c>
      <c r="C3970" s="13">
        <v>34</v>
      </c>
      <c r="D3970" s="118" t="s">
        <v>3520</v>
      </c>
      <c r="E3970" s="138" t="s">
        <v>3460</v>
      </c>
      <c r="F3970" s="65" t="s">
        <v>3521</v>
      </c>
      <c r="G3970" s="127" t="s">
        <v>1239</v>
      </c>
      <c r="I3970" s="99">
        <v>13</v>
      </c>
    </row>
    <row r="3971" spans="1:9" hidden="1" x14ac:dyDescent="0.2">
      <c r="A3971" s="35" t="s">
        <v>3633</v>
      </c>
      <c r="B3971" s="12" t="s">
        <v>3634</v>
      </c>
      <c r="C3971" s="13">
        <v>35</v>
      </c>
      <c r="D3971" s="118" t="s">
        <v>3520</v>
      </c>
      <c r="E3971" s="138" t="s">
        <v>3635</v>
      </c>
      <c r="F3971" s="65" t="s">
        <v>3678</v>
      </c>
      <c r="G3971" s="127" t="s">
        <v>1239</v>
      </c>
      <c r="I3971" s="99">
        <v>13</v>
      </c>
    </row>
    <row r="3972" spans="1:9" hidden="1" x14ac:dyDescent="0.2">
      <c r="A3972" s="35" t="s">
        <v>3458</v>
      </c>
      <c r="B3972" s="12" t="s">
        <v>3459</v>
      </c>
      <c r="C3972" s="13">
        <f>C3971+1</f>
        <v>36</v>
      </c>
      <c r="D3972" s="118" t="s">
        <v>3552</v>
      </c>
      <c r="E3972" s="138" t="s">
        <v>3460</v>
      </c>
      <c r="F3972" s="65" t="s">
        <v>3553</v>
      </c>
      <c r="G3972" s="127" t="s">
        <v>1239</v>
      </c>
      <c r="I3972" s="99">
        <v>13</v>
      </c>
    </row>
    <row r="3973" spans="1:9" hidden="1" x14ac:dyDescent="0.2">
      <c r="A3973" s="35" t="s">
        <v>3633</v>
      </c>
      <c r="B3973" s="12" t="s">
        <v>3634</v>
      </c>
      <c r="C3973" s="13">
        <f>C3972+1</f>
        <v>37</v>
      </c>
      <c r="D3973" s="118" t="s">
        <v>3552</v>
      </c>
      <c r="E3973" s="138" t="s">
        <v>3635</v>
      </c>
      <c r="F3973" s="65" t="s">
        <v>3696</v>
      </c>
      <c r="G3973" s="127" t="s">
        <v>1239</v>
      </c>
      <c r="I3973" s="99">
        <v>13</v>
      </c>
    </row>
    <row r="3974" spans="1:9" hidden="1" x14ac:dyDescent="0.2">
      <c r="A3974" s="35" t="s">
        <v>3458</v>
      </c>
      <c r="B3974" s="12" t="s">
        <v>3459</v>
      </c>
      <c r="C3974" s="13">
        <v>35</v>
      </c>
      <c r="D3974" s="118" t="s">
        <v>3522</v>
      </c>
      <c r="E3974" s="138" t="s">
        <v>3460</v>
      </c>
      <c r="F3974" s="65" t="s">
        <v>3523</v>
      </c>
      <c r="G3974" s="127" t="s">
        <v>1239</v>
      </c>
      <c r="I3974" s="99">
        <v>13</v>
      </c>
    </row>
    <row r="3975" spans="1:9" hidden="1" x14ac:dyDescent="0.2">
      <c r="A3975" s="35" t="s">
        <v>3633</v>
      </c>
      <c r="B3975" s="12" t="s">
        <v>3634</v>
      </c>
      <c r="C3975" s="13">
        <v>36</v>
      </c>
      <c r="D3975" s="118" t="s">
        <v>3522</v>
      </c>
      <c r="E3975" s="138" t="s">
        <v>3635</v>
      </c>
      <c r="F3975" s="65" t="s">
        <v>3679</v>
      </c>
      <c r="G3975" s="127" t="s">
        <v>1239</v>
      </c>
      <c r="I3975" s="99">
        <v>13</v>
      </c>
    </row>
    <row r="3976" spans="1:9" ht="12.75" hidden="1" thickBot="1" x14ac:dyDescent="0.25">
      <c r="A3976" s="47" t="s">
        <v>4087</v>
      </c>
      <c r="B3976" s="30" t="s">
        <v>4088</v>
      </c>
      <c r="C3976" s="31">
        <f t="shared" ref="C3976:C3981" si="6">C3975+1</f>
        <v>37</v>
      </c>
      <c r="D3976" s="159" t="s">
        <v>3522</v>
      </c>
      <c r="E3976" s="32" t="s">
        <v>4089</v>
      </c>
      <c r="F3976" s="30" t="s">
        <v>4125</v>
      </c>
      <c r="G3976" s="116" t="s">
        <v>1239</v>
      </c>
      <c r="I3976" s="99">
        <v>13</v>
      </c>
    </row>
    <row r="3977" spans="1:9" hidden="1" x14ac:dyDescent="0.2">
      <c r="A3977" s="35" t="s">
        <v>4212</v>
      </c>
      <c r="B3977" s="12" t="s">
        <v>4213</v>
      </c>
      <c r="C3977" s="13">
        <f t="shared" si="6"/>
        <v>38</v>
      </c>
      <c r="D3977" s="118" t="s">
        <v>3522</v>
      </c>
      <c r="E3977" s="28" t="s">
        <v>4214</v>
      </c>
      <c r="F3977" s="12" t="s">
        <v>4250</v>
      </c>
      <c r="G3977" s="127" t="s">
        <v>1239</v>
      </c>
      <c r="I3977" s="99">
        <v>13</v>
      </c>
    </row>
    <row r="3978" spans="1:9" hidden="1" x14ac:dyDescent="0.2">
      <c r="A3978" s="35" t="s">
        <v>3458</v>
      </c>
      <c r="B3978" s="12" t="s">
        <v>3459</v>
      </c>
      <c r="C3978" s="13">
        <f t="shared" si="6"/>
        <v>39</v>
      </c>
      <c r="D3978" s="118" t="s">
        <v>3554</v>
      </c>
      <c r="E3978" s="138" t="s">
        <v>3460</v>
      </c>
      <c r="F3978" s="65" t="s">
        <v>3555</v>
      </c>
      <c r="G3978" s="127" t="s">
        <v>1239</v>
      </c>
      <c r="I3978" s="99">
        <v>13</v>
      </c>
    </row>
    <row r="3979" spans="1:9" hidden="1" x14ac:dyDescent="0.2">
      <c r="A3979" s="35" t="s">
        <v>3633</v>
      </c>
      <c r="B3979" s="12" t="s">
        <v>3634</v>
      </c>
      <c r="C3979" s="13">
        <f t="shared" si="6"/>
        <v>40</v>
      </c>
      <c r="D3979" s="118" t="s">
        <v>3554</v>
      </c>
      <c r="E3979" s="138" t="s">
        <v>3635</v>
      </c>
      <c r="F3979" s="65" t="s">
        <v>3697</v>
      </c>
      <c r="G3979" s="127" t="s">
        <v>1239</v>
      </c>
      <c r="I3979" s="99">
        <v>13</v>
      </c>
    </row>
    <row r="3980" spans="1:9" hidden="1" x14ac:dyDescent="0.2">
      <c r="A3980" s="35" t="s">
        <v>4087</v>
      </c>
      <c r="B3980" s="12" t="s">
        <v>4088</v>
      </c>
      <c r="C3980" s="13">
        <f t="shared" si="6"/>
        <v>41</v>
      </c>
      <c r="D3980" s="118" t="s">
        <v>3554</v>
      </c>
      <c r="E3980" s="28" t="s">
        <v>4089</v>
      </c>
      <c r="F3980" s="12" t="s">
        <v>4134</v>
      </c>
      <c r="G3980" s="127" t="s">
        <v>1239</v>
      </c>
      <c r="I3980" s="99">
        <v>13</v>
      </c>
    </row>
    <row r="3981" spans="1:9" hidden="1" x14ac:dyDescent="0.2">
      <c r="A3981" s="35" t="s">
        <v>4212</v>
      </c>
      <c r="B3981" s="12" t="s">
        <v>4213</v>
      </c>
      <c r="C3981" s="13">
        <f t="shared" si="6"/>
        <v>42</v>
      </c>
      <c r="D3981" s="118" t="s">
        <v>3554</v>
      </c>
      <c r="E3981" s="28" t="s">
        <v>4214</v>
      </c>
      <c r="F3981" s="12" t="s">
        <v>4259</v>
      </c>
      <c r="G3981" s="127" t="s">
        <v>1239</v>
      </c>
      <c r="I3981" s="99">
        <v>13</v>
      </c>
    </row>
    <row r="3982" spans="1:9" ht="12.75" hidden="1" thickBot="1" x14ac:dyDescent="0.25">
      <c r="A3982" s="47" t="s">
        <v>4634</v>
      </c>
      <c r="B3982" s="30" t="s">
        <v>4635</v>
      </c>
      <c r="C3982" s="31">
        <v>5</v>
      </c>
      <c r="D3982" s="136" t="s">
        <v>4641</v>
      </c>
      <c r="E3982" s="140" t="s">
        <v>4636</v>
      </c>
      <c r="F3982" s="67" t="s">
        <v>4642</v>
      </c>
      <c r="G3982" s="116" t="s">
        <v>19</v>
      </c>
    </row>
    <row r="3983" spans="1:9" hidden="1" x14ac:dyDescent="0.2">
      <c r="A3983" s="35" t="s">
        <v>3993</v>
      </c>
      <c r="B3983" s="12" t="s">
        <v>3994</v>
      </c>
      <c r="C3983" s="13">
        <v>4</v>
      </c>
      <c r="D3983" s="118" t="s">
        <v>3999</v>
      </c>
      <c r="E3983" s="28" t="s">
        <v>3995</v>
      </c>
      <c r="F3983" s="12" t="s">
        <v>4000</v>
      </c>
      <c r="G3983" s="127" t="s">
        <v>19</v>
      </c>
    </row>
    <row r="3984" spans="1:9" hidden="1" x14ac:dyDescent="0.2">
      <c r="A3984" s="35" t="s">
        <v>585</v>
      </c>
      <c r="B3984" s="12" t="s">
        <v>586</v>
      </c>
      <c r="C3984" s="13">
        <v>5</v>
      </c>
      <c r="D3984" s="27" t="s">
        <v>593</v>
      </c>
      <c r="E3984" s="28" t="s">
        <v>587</v>
      </c>
      <c r="F3984" s="12" t="s">
        <v>594</v>
      </c>
      <c r="G3984" s="118" t="s">
        <v>595</v>
      </c>
      <c r="I3984" s="99">
        <v>13</v>
      </c>
    </row>
    <row r="3985" spans="1:9" hidden="1" x14ac:dyDescent="0.2">
      <c r="A3985" s="35" t="s">
        <v>2631</v>
      </c>
      <c r="B3985" s="12" t="s">
        <v>2632</v>
      </c>
      <c r="C3985" s="13">
        <v>11</v>
      </c>
      <c r="D3985" s="27" t="s">
        <v>2649</v>
      </c>
      <c r="E3985" s="28" t="s">
        <v>2634</v>
      </c>
      <c r="F3985" s="65" t="s">
        <v>2650</v>
      </c>
      <c r="G3985" s="127" t="s">
        <v>1239</v>
      </c>
      <c r="I3985" s="99">
        <v>13</v>
      </c>
    </row>
    <row r="3986" spans="1:9" hidden="1" x14ac:dyDescent="0.2">
      <c r="A3986" s="35" t="s">
        <v>3165</v>
      </c>
      <c r="B3986" s="12" t="s">
        <v>3166</v>
      </c>
      <c r="C3986" s="13">
        <v>12</v>
      </c>
      <c r="D3986" s="118" t="s">
        <v>2649</v>
      </c>
      <c r="E3986" s="28" t="s">
        <v>3167</v>
      </c>
      <c r="F3986" s="65" t="s">
        <v>3184</v>
      </c>
      <c r="G3986" s="127" t="s">
        <v>1239</v>
      </c>
      <c r="I3986" s="99">
        <v>13</v>
      </c>
    </row>
    <row r="3987" spans="1:9" hidden="1" x14ac:dyDescent="0.2">
      <c r="A3987" s="35" t="s">
        <v>3355</v>
      </c>
      <c r="B3987" s="12" t="s">
        <v>3356</v>
      </c>
      <c r="C3987" s="13">
        <v>10</v>
      </c>
      <c r="D3987" s="118" t="s">
        <v>2649</v>
      </c>
      <c r="E3987" s="28" t="s">
        <v>3357</v>
      </c>
      <c r="F3987" s="65" t="s">
        <v>3370</v>
      </c>
      <c r="G3987" s="127" t="s">
        <v>19</v>
      </c>
    </row>
    <row r="3988" spans="1:9" hidden="1" x14ac:dyDescent="0.25">
      <c r="A3988" s="179" t="s">
        <v>4817</v>
      </c>
      <c r="B3988" s="12" t="s">
        <v>4818</v>
      </c>
      <c r="C3988" s="13">
        <v>7</v>
      </c>
      <c r="D3988" s="118" t="s">
        <v>4828</v>
      </c>
      <c r="E3988" s="28" t="s">
        <v>4819</v>
      </c>
      <c r="F3988" s="8" t="s">
        <v>4829</v>
      </c>
      <c r="G3988" s="134" t="s">
        <v>19</v>
      </c>
    </row>
    <row r="3989" spans="1:9" hidden="1" x14ac:dyDescent="0.2">
      <c r="A3989" s="35" t="s">
        <v>2867</v>
      </c>
      <c r="B3989" s="12" t="s">
        <v>2868</v>
      </c>
      <c r="C3989" s="13">
        <v>52</v>
      </c>
      <c r="D3989" s="27" t="s">
        <v>2962</v>
      </c>
      <c r="E3989" s="28" t="s">
        <v>2869</v>
      </c>
      <c r="F3989" s="65" t="s">
        <v>2963</v>
      </c>
      <c r="G3989" s="127" t="s">
        <v>19</v>
      </c>
    </row>
    <row r="3990" spans="1:9" hidden="1" x14ac:dyDescent="0.25">
      <c r="A3990" s="35" t="s">
        <v>5957</v>
      </c>
      <c r="B3990" s="12" t="s">
        <v>5958</v>
      </c>
      <c r="C3990" s="13">
        <v>6</v>
      </c>
      <c r="D3990" s="118" t="s">
        <v>5965</v>
      </c>
      <c r="E3990" s="28" t="s">
        <v>5959</v>
      </c>
      <c r="F3990" s="12" t="s">
        <v>5966</v>
      </c>
      <c r="G3990" s="118" t="s">
        <v>780</v>
      </c>
      <c r="I3990" s="9">
        <v>15</v>
      </c>
    </row>
    <row r="3991" spans="1:9" ht="12.75" hidden="1" thickBot="1" x14ac:dyDescent="0.3">
      <c r="A3991" s="192" t="s">
        <v>4817</v>
      </c>
      <c r="B3991" s="30" t="s">
        <v>4818</v>
      </c>
      <c r="C3991" s="31">
        <v>6</v>
      </c>
      <c r="D3991" s="159" t="s">
        <v>4826</v>
      </c>
      <c r="E3991" s="32" t="s">
        <v>4819</v>
      </c>
      <c r="F3991" s="55" t="s">
        <v>4827</v>
      </c>
      <c r="G3991" s="221" t="s">
        <v>19</v>
      </c>
    </row>
    <row r="3992" spans="1:9" hidden="1" x14ac:dyDescent="0.2">
      <c r="A3992" s="35" t="s">
        <v>6979</v>
      </c>
      <c r="B3992" s="12" t="s">
        <v>6980</v>
      </c>
      <c r="C3992" s="13">
        <v>6</v>
      </c>
      <c r="D3992" s="27" t="s">
        <v>6989</v>
      </c>
      <c r="E3992" s="28" t="s">
        <v>6981</v>
      </c>
      <c r="F3992" s="12" t="s">
        <v>6990</v>
      </c>
      <c r="G3992" s="118" t="s">
        <v>19</v>
      </c>
    </row>
    <row r="3993" spans="1:9" hidden="1" x14ac:dyDescent="0.2">
      <c r="A3993" s="35" t="s">
        <v>6992</v>
      </c>
      <c r="B3993" s="12" t="s">
        <v>6993</v>
      </c>
      <c r="C3993" s="13">
        <v>6</v>
      </c>
      <c r="D3993" s="27" t="s">
        <v>6989</v>
      </c>
      <c r="E3993" s="28" t="s">
        <v>6994</v>
      </c>
      <c r="F3993" s="12" t="s">
        <v>7000</v>
      </c>
      <c r="G3993" s="118" t="s">
        <v>19</v>
      </c>
    </row>
    <row r="3994" spans="1:9" hidden="1" x14ac:dyDescent="0.2">
      <c r="A3994" s="35" t="s">
        <v>7002</v>
      </c>
      <c r="B3994" s="12" t="s">
        <v>7003</v>
      </c>
      <c r="C3994" s="13">
        <v>7</v>
      </c>
      <c r="D3994" s="27" t="s">
        <v>6989</v>
      </c>
      <c r="E3994" s="28" t="s">
        <v>7004</v>
      </c>
      <c r="F3994" s="12" t="s">
        <v>7012</v>
      </c>
      <c r="G3994" s="118" t="s">
        <v>19</v>
      </c>
    </row>
    <row r="3995" spans="1:9" hidden="1" x14ac:dyDescent="0.2">
      <c r="A3995" s="35" t="s">
        <v>2867</v>
      </c>
      <c r="B3995" s="12" t="s">
        <v>2868</v>
      </c>
      <c r="C3995" s="13">
        <v>42</v>
      </c>
      <c r="D3995" s="27" t="s">
        <v>2943</v>
      </c>
      <c r="E3995" s="28" t="s">
        <v>2869</v>
      </c>
      <c r="F3995" s="65" t="s">
        <v>2944</v>
      </c>
      <c r="G3995" s="127" t="s">
        <v>19</v>
      </c>
    </row>
    <row r="3996" spans="1:9" hidden="1" x14ac:dyDescent="0.2">
      <c r="A3996" s="35" t="s">
        <v>3741</v>
      </c>
      <c r="B3996" s="12" t="s">
        <v>3742</v>
      </c>
      <c r="C3996" s="13">
        <v>13</v>
      </c>
      <c r="D3996" s="118" t="s">
        <v>2943</v>
      </c>
      <c r="E3996" s="138" t="s">
        <v>3743</v>
      </c>
      <c r="F3996" s="65" t="s">
        <v>3759</v>
      </c>
      <c r="G3996" s="127" t="s">
        <v>19</v>
      </c>
    </row>
    <row r="3997" spans="1:9" ht="12.75" hidden="1" thickBot="1" x14ac:dyDescent="0.25">
      <c r="A3997" s="47" t="s">
        <v>4634</v>
      </c>
      <c r="B3997" s="30" t="s">
        <v>4635</v>
      </c>
      <c r="C3997" s="31">
        <v>4</v>
      </c>
      <c r="D3997" s="136" t="s">
        <v>2943</v>
      </c>
      <c r="E3997" s="140" t="s">
        <v>4636</v>
      </c>
      <c r="F3997" s="67" t="s">
        <v>4640</v>
      </c>
      <c r="G3997" s="116" t="s">
        <v>19</v>
      </c>
    </row>
    <row r="3998" spans="1:9" hidden="1" x14ac:dyDescent="0.2">
      <c r="A3998" s="35" t="s">
        <v>4657</v>
      </c>
      <c r="B3998" s="12" t="s">
        <v>4658</v>
      </c>
      <c r="C3998" s="13">
        <v>8</v>
      </c>
      <c r="D3998" s="76" t="s">
        <v>2943</v>
      </c>
      <c r="E3998" s="138" t="s">
        <v>4659</v>
      </c>
      <c r="F3998" s="65" t="s">
        <v>4668</v>
      </c>
      <c r="G3998" s="127" t="s">
        <v>19</v>
      </c>
    </row>
    <row r="3999" spans="1:9" hidden="1" x14ac:dyDescent="0.2">
      <c r="A3999" s="35" t="s">
        <v>4680</v>
      </c>
      <c r="B3999" s="12" t="s">
        <v>4681</v>
      </c>
      <c r="C3999" s="13">
        <v>5</v>
      </c>
      <c r="D3999" s="76" t="s">
        <v>2943</v>
      </c>
      <c r="E3999" s="138" t="s">
        <v>4682</v>
      </c>
      <c r="F3999" s="65" t="s">
        <v>4688</v>
      </c>
      <c r="G3999" s="127" t="s">
        <v>19</v>
      </c>
    </row>
    <row r="4000" spans="1:9" hidden="1" x14ac:dyDescent="0.25">
      <c r="A4000" s="35" t="s">
        <v>5921</v>
      </c>
      <c r="B4000" s="12" t="s">
        <v>5922</v>
      </c>
      <c r="C4000" s="13">
        <v>16</v>
      </c>
      <c r="D4000" s="118" t="s">
        <v>2943</v>
      </c>
      <c r="E4000" s="28" t="s">
        <v>5923</v>
      </c>
      <c r="F4000" s="12" t="s">
        <v>5947</v>
      </c>
      <c r="G4000" s="118" t="s">
        <v>684</v>
      </c>
      <c r="I4000" s="101" t="s">
        <v>5818</v>
      </c>
    </row>
    <row r="4001" spans="1:9" hidden="1" x14ac:dyDescent="0.2">
      <c r="A4001" s="35" t="s">
        <v>3034</v>
      </c>
      <c r="B4001" s="12" t="s">
        <v>3035</v>
      </c>
      <c r="C4001" s="13">
        <f>+C4000+1</f>
        <v>17</v>
      </c>
      <c r="D4001" s="134" t="s">
        <v>3069</v>
      </c>
      <c r="E4001" s="28" t="s">
        <v>3036</v>
      </c>
      <c r="F4001" s="8" t="s">
        <v>3070</v>
      </c>
      <c r="G4001" s="127" t="s">
        <v>463</v>
      </c>
    </row>
    <row r="4002" spans="1:9" hidden="1" x14ac:dyDescent="0.2">
      <c r="A4002" s="35" t="s">
        <v>3034</v>
      </c>
      <c r="B4002" s="12" t="s">
        <v>3035</v>
      </c>
      <c r="C4002" s="13">
        <f>+C4001+1</f>
        <v>18</v>
      </c>
      <c r="D4002" s="134" t="s">
        <v>3067</v>
      </c>
      <c r="E4002" s="28" t="s">
        <v>3036</v>
      </c>
      <c r="F4002" s="8" t="s">
        <v>3068</v>
      </c>
      <c r="G4002" s="127" t="s">
        <v>463</v>
      </c>
    </row>
    <row r="4003" spans="1:9" hidden="1" x14ac:dyDescent="0.2">
      <c r="A4003" s="35" t="s">
        <v>3034</v>
      </c>
      <c r="B4003" s="12" t="s">
        <v>3035</v>
      </c>
      <c r="C4003" s="13">
        <f>+C4002+1</f>
        <v>19</v>
      </c>
      <c r="D4003" s="134" t="s">
        <v>3065</v>
      </c>
      <c r="E4003" s="28" t="s">
        <v>3036</v>
      </c>
      <c r="F4003" s="8" t="s">
        <v>3066</v>
      </c>
      <c r="G4003" s="127" t="s">
        <v>463</v>
      </c>
    </row>
    <row r="4004" spans="1:9" hidden="1" x14ac:dyDescent="0.25">
      <c r="A4004" s="35" t="s">
        <v>1421</v>
      </c>
      <c r="B4004" s="12" t="s">
        <v>1422</v>
      </c>
      <c r="C4004" s="13">
        <v>17</v>
      </c>
      <c r="D4004" s="118" t="s">
        <v>1447</v>
      </c>
      <c r="E4004" s="28" t="s">
        <v>1423</v>
      </c>
      <c r="F4004" s="12" t="s">
        <v>1448</v>
      </c>
      <c r="G4004" s="118" t="s">
        <v>87</v>
      </c>
    </row>
    <row r="4005" spans="1:9" hidden="1" x14ac:dyDescent="0.2">
      <c r="A4005" s="35" t="s">
        <v>2024</v>
      </c>
      <c r="B4005" s="12" t="s">
        <v>2025</v>
      </c>
      <c r="C4005" s="13">
        <v>38</v>
      </c>
      <c r="D4005" s="27" t="s">
        <v>2091</v>
      </c>
      <c r="E4005" s="28" t="s">
        <v>2026</v>
      </c>
      <c r="F4005" s="12" t="s">
        <v>2092</v>
      </c>
      <c r="G4005" s="118" t="s">
        <v>156</v>
      </c>
    </row>
    <row r="4006" spans="1:9" ht="12.75" hidden="1" thickBot="1" x14ac:dyDescent="0.25">
      <c r="A4006" s="47" t="s">
        <v>2024</v>
      </c>
      <c r="B4006" s="30" t="s">
        <v>2025</v>
      </c>
      <c r="C4006" s="31">
        <v>39</v>
      </c>
      <c r="D4006" s="48" t="s">
        <v>965</v>
      </c>
      <c r="E4006" s="32" t="s">
        <v>2026</v>
      </c>
      <c r="F4006" s="30" t="s">
        <v>2093</v>
      </c>
      <c r="G4006" s="159" t="s">
        <v>13</v>
      </c>
    </row>
    <row r="4007" spans="1:9" hidden="1" x14ac:dyDescent="0.25">
      <c r="A4007" s="35" t="s">
        <v>6017</v>
      </c>
      <c r="B4007" s="12" t="s">
        <v>6018</v>
      </c>
      <c r="C4007" s="13">
        <v>12</v>
      </c>
      <c r="D4007" s="118" t="s">
        <v>6037</v>
      </c>
      <c r="E4007" s="28" t="s">
        <v>6019</v>
      </c>
      <c r="F4007" s="12" t="s">
        <v>6038</v>
      </c>
      <c r="G4007" s="118" t="s">
        <v>39</v>
      </c>
      <c r="I4007" s="90">
        <v>12</v>
      </c>
    </row>
    <row r="4008" spans="1:9" hidden="1" x14ac:dyDescent="0.25">
      <c r="A4008" s="95" t="s">
        <v>6189</v>
      </c>
      <c r="B4008" s="82" t="s">
        <v>6190</v>
      </c>
      <c r="C4008" s="83">
        <v>32</v>
      </c>
      <c r="D4008" s="205" t="s">
        <v>6245</v>
      </c>
      <c r="E4008" s="86" t="s">
        <v>6191</v>
      </c>
      <c r="F4008" s="82" t="s">
        <v>6246</v>
      </c>
      <c r="G4008" s="205" t="s">
        <v>39</v>
      </c>
      <c r="I4008" s="101" t="s">
        <v>54</v>
      </c>
    </row>
    <row r="4009" spans="1:9" hidden="1" x14ac:dyDescent="0.25">
      <c r="A4009" s="35" t="s">
        <v>6252</v>
      </c>
      <c r="B4009" s="12" t="s">
        <v>6253</v>
      </c>
      <c r="C4009" s="13">
        <f>C4008+1</f>
        <v>33</v>
      </c>
      <c r="D4009" s="118" t="s">
        <v>6245</v>
      </c>
      <c r="E4009" s="28" t="s">
        <v>6254</v>
      </c>
      <c r="F4009" s="12" t="s">
        <v>6276</v>
      </c>
      <c r="G4009" s="118" t="s">
        <v>39</v>
      </c>
      <c r="I4009" s="90">
        <v>12</v>
      </c>
    </row>
    <row r="4010" spans="1:9" hidden="1" x14ac:dyDescent="0.25">
      <c r="A4010" s="95" t="s">
        <v>6371</v>
      </c>
      <c r="B4010" s="82" t="s">
        <v>6372</v>
      </c>
      <c r="C4010" s="83">
        <v>29</v>
      </c>
      <c r="D4010" s="205" t="s">
        <v>6245</v>
      </c>
      <c r="E4010" s="86" t="s">
        <v>6373</v>
      </c>
      <c r="F4010" s="82" t="s">
        <v>6403</v>
      </c>
      <c r="G4010" s="205" t="s">
        <v>87</v>
      </c>
      <c r="I4010" s="101" t="s">
        <v>2778</v>
      </c>
    </row>
    <row r="4011" spans="1:9" hidden="1" x14ac:dyDescent="0.25">
      <c r="A4011" s="35" t="s">
        <v>5686</v>
      </c>
      <c r="B4011" s="12" t="s">
        <v>5687</v>
      </c>
      <c r="C4011" s="13">
        <f>C4010+1</f>
        <v>30</v>
      </c>
      <c r="D4011" s="118" t="s">
        <v>5761</v>
      </c>
      <c r="E4011" s="28" t="s">
        <v>5688</v>
      </c>
      <c r="F4011" s="12" t="s">
        <v>5762</v>
      </c>
      <c r="G4011" s="118" t="s">
        <v>39</v>
      </c>
      <c r="I4011" s="90">
        <v>12</v>
      </c>
    </row>
    <row r="4012" spans="1:9" hidden="1" x14ac:dyDescent="0.2">
      <c r="A4012" s="179" t="s">
        <v>5060</v>
      </c>
      <c r="B4012" s="12" t="s">
        <v>5061</v>
      </c>
      <c r="C4012" s="13">
        <v>29</v>
      </c>
      <c r="D4012" s="27" t="s">
        <v>5113</v>
      </c>
      <c r="E4012" s="28" t="s">
        <v>5062</v>
      </c>
      <c r="F4012" s="12" t="s">
        <v>5114</v>
      </c>
      <c r="G4012" s="27" t="s">
        <v>39</v>
      </c>
    </row>
    <row r="4013" spans="1:9" ht="12.75" hidden="1" thickBot="1" x14ac:dyDescent="0.3">
      <c r="A4013" s="47" t="s">
        <v>5686</v>
      </c>
      <c r="B4013" s="30" t="s">
        <v>5687</v>
      </c>
      <c r="C4013" s="31">
        <f>C4012+1</f>
        <v>30</v>
      </c>
      <c r="D4013" s="159" t="s">
        <v>5697</v>
      </c>
      <c r="E4013" s="32" t="s">
        <v>5688</v>
      </c>
      <c r="F4013" s="30" t="s">
        <v>5698</v>
      </c>
      <c r="G4013" s="159" t="s">
        <v>39</v>
      </c>
      <c r="I4013" s="90">
        <v>12</v>
      </c>
    </row>
    <row r="4014" spans="1:9" hidden="1" x14ac:dyDescent="0.2">
      <c r="A4014" s="35" t="s">
        <v>5439</v>
      </c>
      <c r="B4014" s="12" t="s">
        <v>5440</v>
      </c>
      <c r="C4014" s="13">
        <v>7</v>
      </c>
      <c r="D4014" s="27" t="s">
        <v>5451</v>
      </c>
      <c r="E4014" s="28" t="s">
        <v>5441</v>
      </c>
      <c r="F4014" s="65" t="s">
        <v>5452</v>
      </c>
      <c r="G4014" s="27" t="s">
        <v>39</v>
      </c>
      <c r="I4014" s="94">
        <v>14</v>
      </c>
    </row>
    <row r="4015" spans="1:9" hidden="1" x14ac:dyDescent="0.2">
      <c r="A4015" s="35" t="s">
        <v>6862</v>
      </c>
      <c r="B4015" s="12" t="s">
        <v>6863</v>
      </c>
      <c r="C4015" s="13">
        <v>10</v>
      </c>
      <c r="D4015" s="127" t="s">
        <v>6878</v>
      </c>
      <c r="E4015" s="28" t="s">
        <v>6864</v>
      </c>
      <c r="F4015" s="12" t="s">
        <v>6879</v>
      </c>
      <c r="G4015" s="118" t="s">
        <v>87</v>
      </c>
      <c r="I4015" s="90">
        <v>12</v>
      </c>
    </row>
    <row r="4016" spans="1:9" hidden="1" x14ac:dyDescent="0.2">
      <c r="A4016" s="179" t="s">
        <v>5060</v>
      </c>
      <c r="B4016" s="12" t="s">
        <v>5061</v>
      </c>
      <c r="C4016" s="13">
        <v>28</v>
      </c>
      <c r="D4016" s="27" t="s">
        <v>5111</v>
      </c>
      <c r="E4016" s="28" t="s">
        <v>5062</v>
      </c>
      <c r="F4016" s="12" t="s">
        <v>5112</v>
      </c>
      <c r="G4016" s="27" t="s">
        <v>39</v>
      </c>
    </row>
    <row r="4017" spans="1:9" hidden="1" x14ac:dyDescent="0.25">
      <c r="A4017" s="35" t="s">
        <v>5686</v>
      </c>
      <c r="B4017" s="12" t="s">
        <v>5687</v>
      </c>
      <c r="C4017" s="13">
        <f>C4016+1</f>
        <v>29</v>
      </c>
      <c r="D4017" s="118" t="s">
        <v>5827</v>
      </c>
      <c r="E4017" s="28" t="s">
        <v>5688</v>
      </c>
      <c r="F4017" s="12" t="s">
        <v>5828</v>
      </c>
      <c r="G4017" s="118" t="s">
        <v>316</v>
      </c>
      <c r="I4017" s="101" t="s">
        <v>5818</v>
      </c>
    </row>
    <row r="4018" spans="1:9" hidden="1" x14ac:dyDescent="0.25">
      <c r="A4018" s="35" t="s">
        <v>5686</v>
      </c>
      <c r="B4018" s="12" t="s">
        <v>5687</v>
      </c>
      <c r="C4018" s="13">
        <f>C4017+1</f>
        <v>30</v>
      </c>
      <c r="D4018" s="118" t="s">
        <v>5825</v>
      </c>
      <c r="E4018" s="28" t="s">
        <v>5688</v>
      </c>
      <c r="F4018" s="12" t="s">
        <v>5826</v>
      </c>
      <c r="G4018" s="118" t="s">
        <v>316</v>
      </c>
      <c r="I4018" s="101" t="s">
        <v>5818</v>
      </c>
    </row>
    <row r="4019" spans="1:9" hidden="1" x14ac:dyDescent="0.25">
      <c r="A4019" s="35" t="s">
        <v>5686</v>
      </c>
      <c r="B4019" s="12" t="s">
        <v>5687</v>
      </c>
      <c r="C4019" s="13">
        <f>C4018+1</f>
        <v>31</v>
      </c>
      <c r="D4019" s="118" t="s">
        <v>5823</v>
      </c>
      <c r="E4019" s="28" t="s">
        <v>5688</v>
      </c>
      <c r="F4019" s="12" t="s">
        <v>5824</v>
      </c>
      <c r="G4019" s="118" t="s">
        <v>316</v>
      </c>
      <c r="I4019" s="101" t="s">
        <v>5818</v>
      </c>
    </row>
    <row r="4020" spans="1:9" hidden="1" x14ac:dyDescent="0.2">
      <c r="A4020" s="35" t="s">
        <v>24</v>
      </c>
      <c r="B4020" s="12" t="s">
        <v>25</v>
      </c>
      <c r="C4020" s="13">
        <v>6</v>
      </c>
      <c r="D4020" s="27" t="s">
        <v>37</v>
      </c>
      <c r="E4020" s="28" t="s">
        <v>26</v>
      </c>
      <c r="F4020" s="12" t="s">
        <v>38</v>
      </c>
      <c r="G4020" s="118" t="s">
        <v>39</v>
      </c>
    </row>
    <row r="4021" spans="1:9" hidden="1" x14ac:dyDescent="0.2">
      <c r="A4021" s="56" t="s">
        <v>55</v>
      </c>
      <c r="B4021" s="61" t="s">
        <v>56</v>
      </c>
      <c r="C4021" s="58">
        <v>6</v>
      </c>
      <c r="D4021" s="107" t="s">
        <v>37</v>
      </c>
      <c r="E4021" s="61" t="s">
        <v>57</v>
      </c>
      <c r="F4021" s="61" t="s">
        <v>64</v>
      </c>
      <c r="G4021" s="62" t="s">
        <v>39</v>
      </c>
      <c r="I4021" s="102" t="s">
        <v>59</v>
      </c>
    </row>
    <row r="4022" spans="1:9" hidden="1" x14ac:dyDescent="0.2">
      <c r="A4022" s="11" t="s">
        <v>69</v>
      </c>
      <c r="B4022" s="12" t="s">
        <v>70</v>
      </c>
      <c r="C4022" s="13">
        <v>9</v>
      </c>
      <c r="D4022" s="14" t="s">
        <v>37</v>
      </c>
      <c r="E4022" s="12" t="s">
        <v>72</v>
      </c>
      <c r="F4022" s="12" t="s">
        <v>86</v>
      </c>
      <c r="G4022" s="15" t="s">
        <v>87</v>
      </c>
    </row>
    <row r="4023" spans="1:9" hidden="1" x14ac:dyDescent="0.2">
      <c r="A4023" s="11" t="s">
        <v>289</v>
      </c>
      <c r="B4023" s="12" t="s">
        <v>290</v>
      </c>
      <c r="C4023" s="13">
        <v>17</v>
      </c>
      <c r="D4023" s="14" t="s">
        <v>37</v>
      </c>
      <c r="E4023" s="12" t="s">
        <v>291</v>
      </c>
      <c r="F4023" s="12" t="s">
        <v>315</v>
      </c>
      <c r="G4023" s="15" t="s">
        <v>316</v>
      </c>
      <c r="I4023" s="94">
        <v>14</v>
      </c>
    </row>
    <row r="4024" spans="1:9" hidden="1" x14ac:dyDescent="0.2">
      <c r="A4024" s="11" t="s">
        <v>362</v>
      </c>
      <c r="B4024" s="12" t="s">
        <v>363</v>
      </c>
      <c r="C4024" s="13">
        <v>18</v>
      </c>
      <c r="D4024" s="14" t="s">
        <v>37</v>
      </c>
      <c r="E4024" s="12" t="s">
        <v>364</v>
      </c>
      <c r="F4024" s="12" t="s">
        <v>396</v>
      </c>
      <c r="G4024" s="15" t="s">
        <v>87</v>
      </c>
    </row>
    <row r="4025" spans="1:9" hidden="1" x14ac:dyDescent="0.2">
      <c r="A4025" s="11" t="s">
        <v>453</v>
      </c>
      <c r="B4025" s="12" t="s">
        <v>454</v>
      </c>
      <c r="C4025" s="13">
        <v>5</v>
      </c>
      <c r="D4025" s="14" t="s">
        <v>37</v>
      </c>
      <c r="E4025" s="12" t="s">
        <v>455</v>
      </c>
      <c r="F4025" s="12" t="s">
        <v>462</v>
      </c>
      <c r="G4025" s="15" t="s">
        <v>463</v>
      </c>
    </row>
    <row r="4026" spans="1:9" hidden="1" x14ac:dyDescent="0.25">
      <c r="A4026" s="109" t="s">
        <v>690</v>
      </c>
      <c r="B4026" s="12" t="s">
        <v>691</v>
      </c>
      <c r="C4026" s="13">
        <v>9</v>
      </c>
      <c r="D4026" s="12" t="s">
        <v>37</v>
      </c>
      <c r="E4026" s="12" t="s">
        <v>692</v>
      </c>
      <c r="F4026" s="12" t="s">
        <v>701</v>
      </c>
      <c r="G4026" s="15" t="s">
        <v>316</v>
      </c>
      <c r="I4026" s="102" t="s">
        <v>59</v>
      </c>
    </row>
    <row r="4027" spans="1:9" hidden="1" x14ac:dyDescent="0.25">
      <c r="A4027" s="109" t="s">
        <v>708</v>
      </c>
      <c r="B4027" s="12" t="s">
        <v>709</v>
      </c>
      <c r="C4027" s="13">
        <v>17</v>
      </c>
      <c r="D4027" s="12" t="s">
        <v>37</v>
      </c>
      <c r="E4027" s="12" t="s">
        <v>710</v>
      </c>
      <c r="F4027" s="12" t="s">
        <v>727</v>
      </c>
      <c r="G4027" s="15" t="s">
        <v>316</v>
      </c>
      <c r="I4027" s="102" t="s">
        <v>59</v>
      </c>
    </row>
    <row r="4028" spans="1:9" hidden="1" x14ac:dyDescent="0.25">
      <c r="A4028" s="109" t="s">
        <v>729</v>
      </c>
      <c r="B4028" s="12" t="s">
        <v>730</v>
      </c>
      <c r="C4028" s="13">
        <v>5</v>
      </c>
      <c r="D4028" s="22" t="s">
        <v>37</v>
      </c>
      <c r="E4028" s="12" t="s">
        <v>731</v>
      </c>
      <c r="F4028" s="22" t="s">
        <v>737</v>
      </c>
      <c r="G4028" s="15" t="s">
        <v>316</v>
      </c>
      <c r="I4028" s="102" t="s">
        <v>59</v>
      </c>
    </row>
    <row r="4029" spans="1:9" hidden="1" x14ac:dyDescent="0.25">
      <c r="A4029" s="11" t="s">
        <v>1464</v>
      </c>
      <c r="B4029" s="12" t="s">
        <v>1465</v>
      </c>
      <c r="C4029" s="13">
        <v>7</v>
      </c>
      <c r="D4029" s="12" t="s">
        <v>37</v>
      </c>
      <c r="E4029" s="12" t="s">
        <v>1466</v>
      </c>
      <c r="F4029" s="12" t="s">
        <v>1477</v>
      </c>
      <c r="G4029" s="15" t="s">
        <v>87</v>
      </c>
    </row>
    <row r="4030" spans="1:9" hidden="1" x14ac:dyDescent="0.25">
      <c r="A4030" s="11" t="s">
        <v>1568</v>
      </c>
      <c r="B4030" s="12" t="s">
        <v>1569</v>
      </c>
      <c r="C4030" s="13">
        <v>21</v>
      </c>
      <c r="D4030" s="12" t="s">
        <v>37</v>
      </c>
      <c r="E4030" s="12" t="s">
        <v>1570</v>
      </c>
      <c r="F4030" s="12" t="s">
        <v>1613</v>
      </c>
      <c r="G4030" s="15" t="s">
        <v>316</v>
      </c>
      <c r="I4030" s="94">
        <v>14</v>
      </c>
    </row>
    <row r="4031" spans="1:9" hidden="1" x14ac:dyDescent="0.25">
      <c r="A4031" s="11" t="s">
        <v>1768</v>
      </c>
      <c r="B4031" s="12" t="s">
        <v>1769</v>
      </c>
      <c r="C4031" s="13">
        <v>12</v>
      </c>
      <c r="D4031" s="12" t="s">
        <v>37</v>
      </c>
      <c r="E4031" s="12" t="s">
        <v>1770</v>
      </c>
      <c r="F4031" s="12" t="s">
        <v>1783</v>
      </c>
      <c r="G4031" s="15" t="s">
        <v>316</v>
      </c>
      <c r="I4031" s="94">
        <v>14</v>
      </c>
    </row>
    <row r="4032" spans="1:9" hidden="1" x14ac:dyDescent="0.2">
      <c r="A4032" s="11" t="s">
        <v>2024</v>
      </c>
      <c r="B4032" s="12" t="s">
        <v>2025</v>
      </c>
      <c r="C4032" s="13">
        <v>40</v>
      </c>
      <c r="D4032" s="14" t="s">
        <v>2094</v>
      </c>
      <c r="E4032" s="12" t="s">
        <v>2026</v>
      </c>
      <c r="F4032" s="12" t="s">
        <v>2095</v>
      </c>
      <c r="G4032" s="15" t="s">
        <v>2096</v>
      </c>
      <c r="I4032" s="99">
        <v>13</v>
      </c>
    </row>
    <row r="4033" spans="1:9" hidden="1" x14ac:dyDescent="0.2">
      <c r="A4033" s="11" t="s">
        <v>2631</v>
      </c>
      <c r="B4033" s="12" t="s">
        <v>2632</v>
      </c>
      <c r="C4033" s="13">
        <v>66</v>
      </c>
      <c r="D4033" s="14" t="s">
        <v>37</v>
      </c>
      <c r="E4033" s="12" t="s">
        <v>2634</v>
      </c>
      <c r="F4033" s="65" t="s">
        <v>2759</v>
      </c>
      <c r="G4033" s="66" t="s">
        <v>463</v>
      </c>
    </row>
    <row r="4034" spans="1:9" hidden="1" x14ac:dyDescent="0.2">
      <c r="A4034" s="11" t="s">
        <v>3165</v>
      </c>
      <c r="B4034" s="12" t="s">
        <v>3166</v>
      </c>
      <c r="C4034" s="13">
        <f>C4033+1</f>
        <v>67</v>
      </c>
      <c r="D4034" s="12" t="s">
        <v>37</v>
      </c>
      <c r="E4034" s="12" t="s">
        <v>3167</v>
      </c>
      <c r="F4034" s="12" t="s">
        <v>3336</v>
      </c>
      <c r="G4034" s="66" t="s">
        <v>316</v>
      </c>
      <c r="I4034" s="94">
        <v>14</v>
      </c>
    </row>
    <row r="4035" spans="1:9" ht="12.75" hidden="1" thickBot="1" x14ac:dyDescent="0.25">
      <c r="A4035" s="36" t="s">
        <v>3458</v>
      </c>
      <c r="B4035" s="30" t="s">
        <v>3459</v>
      </c>
      <c r="C4035" s="31">
        <f>C4034+1</f>
        <v>68</v>
      </c>
      <c r="D4035" s="30" t="s">
        <v>37</v>
      </c>
      <c r="E4035" s="67" t="s">
        <v>3460</v>
      </c>
      <c r="F4035" s="67" t="s">
        <v>3616</v>
      </c>
      <c r="G4035" s="68" t="s">
        <v>316</v>
      </c>
      <c r="I4035" s="94">
        <v>14</v>
      </c>
    </row>
    <row r="4036" spans="1:9" hidden="1" x14ac:dyDescent="0.2">
      <c r="A4036" s="35" t="s">
        <v>3633</v>
      </c>
      <c r="B4036" s="12" t="s">
        <v>3634</v>
      </c>
      <c r="C4036" s="13">
        <v>78</v>
      </c>
      <c r="D4036" s="118" t="s">
        <v>37</v>
      </c>
      <c r="E4036" s="138" t="s">
        <v>3635</v>
      </c>
      <c r="F4036" s="65" t="s">
        <v>3732</v>
      </c>
      <c r="G4036" s="127" t="s">
        <v>3733</v>
      </c>
      <c r="I4036" s="94">
        <v>14</v>
      </c>
    </row>
    <row r="4037" spans="1:9" hidden="1" x14ac:dyDescent="0.25">
      <c r="A4037" s="35" t="s">
        <v>4087</v>
      </c>
      <c r="B4037" s="12" t="s">
        <v>4088</v>
      </c>
      <c r="C4037" s="13">
        <f>C4036+1</f>
        <v>79</v>
      </c>
      <c r="D4037" s="118" t="s">
        <v>37</v>
      </c>
      <c r="E4037" s="28" t="s">
        <v>4089</v>
      </c>
      <c r="F4037" s="12" t="s">
        <v>4202</v>
      </c>
      <c r="G4037" s="118" t="s">
        <v>316</v>
      </c>
      <c r="I4037" s="94">
        <v>14</v>
      </c>
    </row>
    <row r="4038" spans="1:9" hidden="1" x14ac:dyDescent="0.25">
      <c r="A4038" s="35" t="s">
        <v>4212</v>
      </c>
      <c r="B4038" s="12" t="s">
        <v>4213</v>
      </c>
      <c r="C4038" s="13">
        <f>C4037+1</f>
        <v>80</v>
      </c>
      <c r="D4038" s="118" t="s">
        <v>37</v>
      </c>
      <c r="E4038" s="28" t="s">
        <v>4214</v>
      </c>
      <c r="F4038" s="12" t="s">
        <v>4310</v>
      </c>
      <c r="G4038" s="118" t="s">
        <v>316</v>
      </c>
      <c r="I4038" s="94">
        <v>14</v>
      </c>
    </row>
    <row r="4039" spans="1:9" hidden="1" x14ac:dyDescent="0.2">
      <c r="A4039" s="35" t="s">
        <v>5329</v>
      </c>
      <c r="B4039" s="12" t="s">
        <v>5330</v>
      </c>
      <c r="C4039" s="13">
        <v>9</v>
      </c>
      <c r="D4039" s="27" t="s">
        <v>37</v>
      </c>
      <c r="E4039" s="28" t="s">
        <v>5331</v>
      </c>
      <c r="F4039" s="65" t="s">
        <v>5346</v>
      </c>
      <c r="G4039" s="27" t="s">
        <v>39</v>
      </c>
    </row>
    <row r="4040" spans="1:9" ht="12.75" hidden="1" thickBot="1" x14ac:dyDescent="0.25">
      <c r="A4040" s="47" t="s">
        <v>5355</v>
      </c>
      <c r="B4040" s="30" t="s">
        <v>5356</v>
      </c>
      <c r="C4040" s="31">
        <v>2</v>
      </c>
      <c r="D4040" s="215" t="s">
        <v>37</v>
      </c>
      <c r="E4040" s="242" t="s">
        <v>5357</v>
      </c>
      <c r="F4040" s="64" t="s">
        <v>5359</v>
      </c>
      <c r="G4040" s="159" t="s">
        <v>87</v>
      </c>
    </row>
    <row r="4041" spans="1:9" hidden="1" x14ac:dyDescent="0.2">
      <c r="A4041" s="35" t="s">
        <v>5439</v>
      </c>
      <c r="B4041" s="12" t="s">
        <v>5440</v>
      </c>
      <c r="C4041" s="13">
        <v>4</v>
      </c>
      <c r="D4041" s="118" t="s">
        <v>37</v>
      </c>
      <c r="E4041" s="28" t="s">
        <v>5441</v>
      </c>
      <c r="F4041" s="65" t="s">
        <v>5448</v>
      </c>
      <c r="G4041" s="118" t="s">
        <v>39</v>
      </c>
    </row>
    <row r="4042" spans="1:9" hidden="1" x14ac:dyDescent="0.2">
      <c r="A4042" s="35" t="s">
        <v>5627</v>
      </c>
      <c r="B4042" s="12" t="s">
        <v>5628</v>
      </c>
      <c r="C4042" s="13">
        <v>7</v>
      </c>
      <c r="D4042" s="118" t="s">
        <v>37</v>
      </c>
      <c r="E4042" s="28" t="s">
        <v>5629</v>
      </c>
      <c r="F4042" s="12" t="s">
        <v>5638</v>
      </c>
      <c r="G4042" s="127" t="s">
        <v>39</v>
      </c>
    </row>
    <row r="4043" spans="1:9" hidden="1" x14ac:dyDescent="0.25">
      <c r="A4043" s="35" t="s">
        <v>6286</v>
      </c>
      <c r="B4043" s="12" t="s">
        <v>6287</v>
      </c>
      <c r="C4043" s="13">
        <f>C4042+1</f>
        <v>8</v>
      </c>
      <c r="D4043" s="118" t="s">
        <v>37</v>
      </c>
      <c r="E4043" s="28" t="s">
        <v>6288</v>
      </c>
      <c r="F4043" s="12" t="s">
        <v>6307</v>
      </c>
      <c r="G4043" s="118" t="s">
        <v>39</v>
      </c>
      <c r="I4043" s="90">
        <v>12</v>
      </c>
    </row>
    <row r="4044" spans="1:9" hidden="1" x14ac:dyDescent="0.2">
      <c r="A4044" s="35" t="s">
        <v>6645</v>
      </c>
      <c r="B4044" s="12" t="s">
        <v>6646</v>
      </c>
      <c r="C4044" s="13">
        <f>+C4043+1</f>
        <v>9</v>
      </c>
      <c r="D4044" s="27" t="s">
        <v>37</v>
      </c>
      <c r="E4044" s="28" t="s">
        <v>6647</v>
      </c>
      <c r="F4044" s="12" t="s">
        <v>6662</v>
      </c>
      <c r="G4044" s="118" t="s">
        <v>87</v>
      </c>
    </row>
    <row r="4045" spans="1:9" ht="12.75" hidden="1" thickBot="1" x14ac:dyDescent="0.3">
      <c r="A4045" s="47" t="s">
        <v>6688</v>
      </c>
      <c r="B4045" s="30" t="s">
        <v>6689</v>
      </c>
      <c r="C4045" s="31">
        <v>30</v>
      </c>
      <c r="D4045" s="159" t="s">
        <v>37</v>
      </c>
      <c r="E4045" s="32" t="s">
        <v>6690</v>
      </c>
      <c r="F4045" s="30" t="s">
        <v>6743</v>
      </c>
      <c r="G4045" s="159" t="s">
        <v>87</v>
      </c>
    </row>
    <row r="4046" spans="1:9" hidden="1" x14ac:dyDescent="0.2">
      <c r="A4046" s="35" t="s">
        <v>6843</v>
      </c>
      <c r="B4046" s="12" t="s">
        <v>6844</v>
      </c>
      <c r="C4046" s="13">
        <v>7</v>
      </c>
      <c r="D4046" s="27" t="s">
        <v>37</v>
      </c>
      <c r="E4046" s="28" t="s">
        <v>6845</v>
      </c>
      <c r="F4046" s="12" t="s">
        <v>6854</v>
      </c>
      <c r="G4046" s="118" t="s">
        <v>87</v>
      </c>
    </row>
    <row r="4047" spans="1:9" hidden="1" x14ac:dyDescent="0.2">
      <c r="A4047" s="35" t="s">
        <v>6880</v>
      </c>
      <c r="B4047" s="12" t="s">
        <v>6881</v>
      </c>
      <c r="C4047" s="13">
        <v>8</v>
      </c>
      <c r="D4047" s="27" t="s">
        <v>37</v>
      </c>
      <c r="E4047" s="28" t="s">
        <v>6882</v>
      </c>
      <c r="F4047" s="12" t="s">
        <v>6892</v>
      </c>
      <c r="G4047" s="118" t="s">
        <v>87</v>
      </c>
    </row>
    <row r="4048" spans="1:9" hidden="1" x14ac:dyDescent="0.2">
      <c r="A4048" s="35" t="s">
        <v>93</v>
      </c>
      <c r="B4048" s="12" t="s">
        <v>94</v>
      </c>
      <c r="C4048" s="13">
        <v>6</v>
      </c>
      <c r="D4048" s="27" t="s">
        <v>104</v>
      </c>
      <c r="E4048" s="28" t="s">
        <v>96</v>
      </c>
      <c r="F4048" s="12" t="s">
        <v>105</v>
      </c>
      <c r="G4048" s="118" t="s">
        <v>103</v>
      </c>
    </row>
    <row r="4049" spans="1:10" hidden="1" x14ac:dyDescent="0.2">
      <c r="A4049" s="35" t="s">
        <v>93</v>
      </c>
      <c r="B4049" s="12" t="s">
        <v>94</v>
      </c>
      <c r="C4049" s="13">
        <v>5</v>
      </c>
      <c r="D4049" s="27" t="s">
        <v>101</v>
      </c>
      <c r="E4049" s="28" t="s">
        <v>96</v>
      </c>
      <c r="F4049" s="12" t="s">
        <v>102</v>
      </c>
      <c r="G4049" s="118" t="s">
        <v>103</v>
      </c>
    </row>
    <row r="4050" spans="1:10" ht="12.75" hidden="1" thickBot="1" x14ac:dyDescent="0.25">
      <c r="A4050" s="47" t="s">
        <v>3034</v>
      </c>
      <c r="B4050" s="30" t="s">
        <v>3035</v>
      </c>
      <c r="C4050" s="31">
        <f>+C4049+1</f>
        <v>6</v>
      </c>
      <c r="D4050" s="48" t="s">
        <v>3081</v>
      </c>
      <c r="E4050" s="32" t="s">
        <v>3036</v>
      </c>
      <c r="F4050" s="67" t="s">
        <v>3082</v>
      </c>
      <c r="G4050" s="116" t="s">
        <v>19</v>
      </c>
    </row>
    <row r="4051" spans="1:10" hidden="1" x14ac:dyDescent="0.25">
      <c r="A4051" s="186" t="s">
        <v>729</v>
      </c>
      <c r="B4051" s="12" t="s">
        <v>730</v>
      </c>
      <c r="C4051" s="13">
        <v>14</v>
      </c>
      <c r="D4051" s="118" t="s">
        <v>755</v>
      </c>
      <c r="E4051" s="28" t="s">
        <v>731</v>
      </c>
      <c r="F4051" s="12" t="s">
        <v>756</v>
      </c>
      <c r="G4051" s="118" t="s">
        <v>754</v>
      </c>
      <c r="I4051" s="102" t="s">
        <v>59</v>
      </c>
    </row>
    <row r="4052" spans="1:10" hidden="1" x14ac:dyDescent="0.25">
      <c r="A4052" s="95" t="s">
        <v>6189</v>
      </c>
      <c r="B4052" s="82" t="s">
        <v>6190</v>
      </c>
      <c r="C4052" s="83">
        <f>C4051+1</f>
        <v>15</v>
      </c>
      <c r="D4052" s="205" t="s">
        <v>6215</v>
      </c>
      <c r="E4052" s="86" t="s">
        <v>6191</v>
      </c>
      <c r="F4052" s="82" t="s">
        <v>6216</v>
      </c>
      <c r="G4052" s="205" t="s">
        <v>19</v>
      </c>
      <c r="I4052" s="101" t="s">
        <v>54</v>
      </c>
    </row>
    <row r="4053" spans="1:10" hidden="1" x14ac:dyDescent="0.25">
      <c r="A4053" s="95" t="s">
        <v>6371</v>
      </c>
      <c r="B4053" s="82" t="s">
        <v>6372</v>
      </c>
      <c r="C4053" s="83">
        <v>13</v>
      </c>
      <c r="D4053" s="205" t="s">
        <v>6215</v>
      </c>
      <c r="E4053" s="86" t="s">
        <v>6373</v>
      </c>
      <c r="F4053" s="82" t="s">
        <v>6387</v>
      </c>
      <c r="G4053" s="205" t="s">
        <v>6041</v>
      </c>
      <c r="I4053" s="101" t="s">
        <v>2778</v>
      </c>
    </row>
    <row r="4054" spans="1:10" hidden="1" x14ac:dyDescent="0.2">
      <c r="A4054" s="35" t="s">
        <v>6614</v>
      </c>
      <c r="B4054" s="12" t="s">
        <v>6615</v>
      </c>
      <c r="C4054" s="13">
        <v>14</v>
      </c>
      <c r="D4054" s="27" t="s">
        <v>6215</v>
      </c>
      <c r="E4054" s="28" t="s">
        <v>6616</v>
      </c>
      <c r="F4054" s="12" t="s">
        <v>6630</v>
      </c>
      <c r="G4054" s="118" t="s">
        <v>19</v>
      </c>
    </row>
    <row r="4055" spans="1:10" ht="12.75" hidden="1" thickBot="1" x14ac:dyDescent="0.3">
      <c r="A4055" s="189" t="s">
        <v>729</v>
      </c>
      <c r="B4055" s="30" t="s">
        <v>730</v>
      </c>
      <c r="C4055" s="31">
        <v>13</v>
      </c>
      <c r="D4055" s="159" t="s">
        <v>752</v>
      </c>
      <c r="E4055" s="32" t="s">
        <v>731</v>
      </c>
      <c r="F4055" s="30" t="s">
        <v>753</v>
      </c>
      <c r="G4055" s="159" t="s">
        <v>754</v>
      </c>
      <c r="I4055" s="102" t="s">
        <v>59</v>
      </c>
    </row>
    <row r="4056" spans="1:10" ht="15" hidden="1" x14ac:dyDescent="0.25">
      <c r="A4056" s="35" t="s">
        <v>2194</v>
      </c>
      <c r="B4056" s="8" t="s">
        <v>2195</v>
      </c>
      <c r="C4056" s="13">
        <v>4</v>
      </c>
      <c r="D4056" s="118" t="s">
        <v>2200</v>
      </c>
      <c r="E4056" s="28" t="s">
        <v>2196</v>
      </c>
      <c r="F4056" s="12" t="s">
        <v>2201</v>
      </c>
      <c r="G4056" s="118" t="s">
        <v>2202</v>
      </c>
      <c r="I4056" s="54">
        <v>15</v>
      </c>
      <c r="J4056" s="60"/>
    </row>
    <row r="4057" spans="1:10" hidden="1" x14ac:dyDescent="0.25">
      <c r="A4057" s="35" t="s">
        <v>6688</v>
      </c>
      <c r="B4057" s="12" t="s">
        <v>6689</v>
      </c>
      <c r="C4057" s="13">
        <v>6</v>
      </c>
      <c r="D4057" s="118" t="s">
        <v>6699</v>
      </c>
      <c r="E4057" s="28" t="s">
        <v>6690</v>
      </c>
      <c r="F4057" s="12" t="s">
        <v>6700</v>
      </c>
      <c r="G4057" s="118" t="s">
        <v>308</v>
      </c>
    </row>
    <row r="4058" spans="1:10" hidden="1" x14ac:dyDescent="0.2">
      <c r="A4058" s="35" t="s">
        <v>319</v>
      </c>
      <c r="B4058" s="12" t="s">
        <v>320</v>
      </c>
      <c r="C4058" s="13">
        <v>12</v>
      </c>
      <c r="D4058" s="27" t="s">
        <v>342</v>
      </c>
      <c r="E4058" s="28" t="s">
        <v>321</v>
      </c>
      <c r="F4058" s="12" t="s">
        <v>343</v>
      </c>
      <c r="G4058" s="118" t="s">
        <v>13</v>
      </c>
    </row>
    <row r="4059" spans="1:10" hidden="1" x14ac:dyDescent="0.2">
      <c r="A4059" s="35" t="s">
        <v>93</v>
      </c>
      <c r="B4059" s="12" t="s">
        <v>94</v>
      </c>
      <c r="C4059" s="13">
        <v>36</v>
      </c>
      <c r="D4059" s="27" t="s">
        <v>169</v>
      </c>
      <c r="E4059" s="28" t="s">
        <v>96</v>
      </c>
      <c r="F4059" s="12" t="s">
        <v>170</v>
      </c>
      <c r="G4059" s="118" t="s">
        <v>126</v>
      </c>
    </row>
    <row r="4060" spans="1:10" ht="15.75" hidden="1" thickBot="1" x14ac:dyDescent="0.3">
      <c r="A4060" s="47" t="s">
        <v>4421</v>
      </c>
      <c r="B4060" s="30" t="s">
        <v>4422</v>
      </c>
      <c r="C4060" s="31">
        <v>19</v>
      </c>
      <c r="D4060" s="159" t="s">
        <v>4455</v>
      </c>
      <c r="E4060" s="32" t="s">
        <v>4423</v>
      </c>
      <c r="F4060" s="30" t="s">
        <v>4456</v>
      </c>
      <c r="G4060" s="116" t="s">
        <v>881</v>
      </c>
      <c r="I4060" s="9">
        <v>15</v>
      </c>
      <c r="J4060" s="52"/>
    </row>
    <row r="4061" spans="1:10" ht="15" hidden="1" x14ac:dyDescent="0.25">
      <c r="A4061" s="35" t="s">
        <v>4465</v>
      </c>
      <c r="B4061" s="12" t="s">
        <v>4466</v>
      </c>
      <c r="C4061" s="13">
        <v>25</v>
      </c>
      <c r="D4061" s="118" t="s">
        <v>4455</v>
      </c>
      <c r="E4061" s="28" t="s">
        <v>4467</v>
      </c>
      <c r="F4061" s="12" t="s">
        <v>4503</v>
      </c>
      <c r="G4061" s="127" t="s">
        <v>881</v>
      </c>
      <c r="I4061" s="9">
        <v>15</v>
      </c>
      <c r="J4061" s="52"/>
    </row>
    <row r="4062" spans="1:10" hidden="1" x14ac:dyDescent="0.2">
      <c r="A4062" s="35" t="s">
        <v>4513</v>
      </c>
      <c r="B4062" s="12" t="s">
        <v>4514</v>
      </c>
      <c r="C4062" s="13">
        <v>19</v>
      </c>
      <c r="D4062" s="118" t="s">
        <v>4455</v>
      </c>
      <c r="E4062" s="28" t="s">
        <v>4515</v>
      </c>
      <c r="F4062" s="12" t="s">
        <v>4537</v>
      </c>
      <c r="G4062" s="127" t="s">
        <v>881</v>
      </c>
      <c r="I4062" s="9">
        <v>15</v>
      </c>
    </row>
    <row r="4063" spans="1:10" ht="15" hidden="1" x14ac:dyDescent="0.25">
      <c r="A4063" s="35" t="s">
        <v>6086</v>
      </c>
      <c r="B4063" s="12" t="s">
        <v>6087</v>
      </c>
      <c r="C4063" s="13">
        <v>17</v>
      </c>
      <c r="D4063" s="118" t="s">
        <v>6116</v>
      </c>
      <c r="E4063" s="28" t="s">
        <v>6088</v>
      </c>
      <c r="F4063" s="12" t="s">
        <v>6117</v>
      </c>
      <c r="G4063" s="118" t="s">
        <v>191</v>
      </c>
      <c r="I4063" s="9">
        <v>15</v>
      </c>
      <c r="J4063" s="52"/>
    </row>
    <row r="4064" spans="1:10" ht="15" hidden="1" x14ac:dyDescent="0.25">
      <c r="A4064" s="35" t="s">
        <v>6134</v>
      </c>
      <c r="B4064" s="12" t="s">
        <v>6135</v>
      </c>
      <c r="C4064" s="13">
        <v>16</v>
      </c>
      <c r="D4064" s="118" t="s">
        <v>6116</v>
      </c>
      <c r="E4064" s="28" t="s">
        <v>6136</v>
      </c>
      <c r="F4064" s="12" t="s">
        <v>6154</v>
      </c>
      <c r="G4064" s="118" t="s">
        <v>191</v>
      </c>
      <c r="I4064" s="9">
        <v>15</v>
      </c>
      <c r="J4064" s="52"/>
    </row>
    <row r="4065" spans="1:10" ht="15.75" hidden="1" thickBot="1" x14ac:dyDescent="0.3">
      <c r="A4065" s="47" t="s">
        <v>6463</v>
      </c>
      <c r="B4065" s="30" t="s">
        <v>6464</v>
      </c>
      <c r="C4065" s="31">
        <v>17</v>
      </c>
      <c r="D4065" s="159" t="s">
        <v>6116</v>
      </c>
      <c r="E4065" s="32" t="s">
        <v>6465</v>
      </c>
      <c r="F4065" s="30" t="s">
        <v>6482</v>
      </c>
      <c r="G4065" s="159" t="s">
        <v>191</v>
      </c>
      <c r="I4065" s="9">
        <v>15</v>
      </c>
      <c r="J4065" s="52"/>
    </row>
    <row r="4066" spans="1:10" ht="15" hidden="1" x14ac:dyDescent="0.25">
      <c r="A4066" s="35" t="s">
        <v>6491</v>
      </c>
      <c r="B4066" s="12" t="s">
        <v>6492</v>
      </c>
      <c r="C4066" s="13">
        <v>16</v>
      </c>
      <c r="D4066" s="118" t="s">
        <v>6116</v>
      </c>
      <c r="E4066" s="28" t="s">
        <v>6493</v>
      </c>
      <c r="F4066" s="12" t="s">
        <v>6509</v>
      </c>
      <c r="G4066" s="118" t="s">
        <v>191</v>
      </c>
      <c r="I4066" s="9">
        <v>15</v>
      </c>
      <c r="J4066" s="52"/>
    </row>
    <row r="4067" spans="1:10" ht="15" hidden="1" x14ac:dyDescent="0.25">
      <c r="A4067" s="35" t="s">
        <v>6086</v>
      </c>
      <c r="B4067" s="12" t="s">
        <v>6087</v>
      </c>
      <c r="C4067" s="13">
        <v>18</v>
      </c>
      <c r="D4067" s="118" t="s">
        <v>6118</v>
      </c>
      <c r="E4067" s="28" t="s">
        <v>6088</v>
      </c>
      <c r="F4067" s="12" t="s">
        <v>6119</v>
      </c>
      <c r="G4067" s="118" t="s">
        <v>191</v>
      </c>
      <c r="I4067" s="9">
        <v>15</v>
      </c>
      <c r="J4067" s="52"/>
    </row>
    <row r="4068" spans="1:10" ht="15" hidden="1" x14ac:dyDescent="0.25">
      <c r="A4068" s="35" t="s">
        <v>6134</v>
      </c>
      <c r="B4068" s="12" t="s">
        <v>6135</v>
      </c>
      <c r="C4068" s="13">
        <v>17</v>
      </c>
      <c r="D4068" s="118" t="s">
        <v>6118</v>
      </c>
      <c r="E4068" s="28" t="s">
        <v>6136</v>
      </c>
      <c r="F4068" s="12" t="s">
        <v>6155</v>
      </c>
      <c r="G4068" s="118" t="s">
        <v>191</v>
      </c>
      <c r="I4068" s="9">
        <v>15</v>
      </c>
      <c r="J4068" s="52"/>
    </row>
    <row r="4069" spans="1:10" ht="15" hidden="1" x14ac:dyDescent="0.25">
      <c r="A4069" s="35" t="s">
        <v>6463</v>
      </c>
      <c r="B4069" s="12" t="s">
        <v>6464</v>
      </c>
      <c r="C4069" s="13">
        <v>18</v>
      </c>
      <c r="D4069" s="118" t="s">
        <v>6118</v>
      </c>
      <c r="E4069" s="28" t="s">
        <v>6465</v>
      </c>
      <c r="F4069" s="12" t="s">
        <v>6483</v>
      </c>
      <c r="G4069" s="118" t="s">
        <v>191</v>
      </c>
      <c r="I4069" s="9">
        <v>15</v>
      </c>
      <c r="J4069" s="52"/>
    </row>
    <row r="4070" spans="1:10" ht="15.75" hidden="1" thickBot="1" x14ac:dyDescent="0.3">
      <c r="A4070" s="47" t="s">
        <v>6491</v>
      </c>
      <c r="B4070" s="30" t="s">
        <v>6492</v>
      </c>
      <c r="C4070" s="31">
        <v>17</v>
      </c>
      <c r="D4070" s="159" t="s">
        <v>6118</v>
      </c>
      <c r="E4070" s="32" t="s">
        <v>6493</v>
      </c>
      <c r="F4070" s="30" t="s">
        <v>6510</v>
      </c>
      <c r="G4070" s="159" t="s">
        <v>191</v>
      </c>
      <c r="I4070" s="9">
        <v>15</v>
      </c>
      <c r="J4070" s="52"/>
    </row>
    <row r="4071" spans="1:10" ht="15" hidden="1" x14ac:dyDescent="0.25">
      <c r="A4071" s="35" t="s">
        <v>6086</v>
      </c>
      <c r="B4071" s="12" t="s">
        <v>6087</v>
      </c>
      <c r="C4071" s="13">
        <v>19</v>
      </c>
      <c r="D4071" s="118" t="s">
        <v>6120</v>
      </c>
      <c r="E4071" s="28" t="s">
        <v>6088</v>
      </c>
      <c r="F4071" s="12" t="s">
        <v>6121</v>
      </c>
      <c r="G4071" s="118" t="s">
        <v>191</v>
      </c>
      <c r="I4071" s="9">
        <v>15</v>
      </c>
      <c r="J4071" s="52"/>
    </row>
    <row r="4072" spans="1:10" ht="15" hidden="1" x14ac:dyDescent="0.25">
      <c r="A4072" s="35" t="s">
        <v>6134</v>
      </c>
      <c r="B4072" s="12" t="s">
        <v>6135</v>
      </c>
      <c r="C4072" s="13">
        <v>18</v>
      </c>
      <c r="D4072" s="118" t="s">
        <v>6120</v>
      </c>
      <c r="E4072" s="28" t="s">
        <v>6136</v>
      </c>
      <c r="F4072" s="12" t="s">
        <v>6156</v>
      </c>
      <c r="G4072" s="118" t="s">
        <v>191</v>
      </c>
      <c r="I4072" s="9">
        <v>15</v>
      </c>
      <c r="J4072" s="52"/>
    </row>
    <row r="4073" spans="1:10" ht="15" hidden="1" x14ac:dyDescent="0.25">
      <c r="A4073" s="35" t="s">
        <v>6463</v>
      </c>
      <c r="B4073" s="12" t="s">
        <v>6464</v>
      </c>
      <c r="C4073" s="13">
        <v>19</v>
      </c>
      <c r="D4073" s="118" t="s">
        <v>6120</v>
      </c>
      <c r="E4073" s="28" t="s">
        <v>6465</v>
      </c>
      <c r="F4073" s="12" t="s">
        <v>6484</v>
      </c>
      <c r="G4073" s="118" t="s">
        <v>191</v>
      </c>
      <c r="I4073" s="9">
        <v>15</v>
      </c>
      <c r="J4073" s="52"/>
    </row>
    <row r="4074" spans="1:10" ht="15" hidden="1" x14ac:dyDescent="0.25">
      <c r="A4074" s="35" t="s">
        <v>6491</v>
      </c>
      <c r="B4074" s="12" t="s">
        <v>6492</v>
      </c>
      <c r="C4074" s="13">
        <v>18</v>
      </c>
      <c r="D4074" s="118" t="s">
        <v>6120</v>
      </c>
      <c r="E4074" s="28" t="s">
        <v>6493</v>
      </c>
      <c r="F4074" s="12" t="s">
        <v>6511</v>
      </c>
      <c r="G4074" s="118" t="s">
        <v>191</v>
      </c>
      <c r="I4074" s="9">
        <v>15</v>
      </c>
      <c r="J4074" s="52"/>
    </row>
    <row r="4075" spans="1:10" ht="12.75" hidden="1" thickBot="1" x14ac:dyDescent="0.3">
      <c r="A4075" s="47" t="s">
        <v>6050</v>
      </c>
      <c r="B4075" s="30" t="s">
        <v>6051</v>
      </c>
      <c r="C4075" s="31">
        <f>C4074+1</f>
        <v>19</v>
      </c>
      <c r="D4075" s="159" t="s">
        <v>6069</v>
      </c>
      <c r="E4075" s="32" t="s">
        <v>6052</v>
      </c>
      <c r="F4075" s="30" t="s">
        <v>6070</v>
      </c>
      <c r="G4075" s="159" t="s">
        <v>32</v>
      </c>
      <c r="I4075" s="90">
        <v>12</v>
      </c>
    </row>
    <row r="4076" spans="1:10" hidden="1" x14ac:dyDescent="0.25">
      <c r="A4076" s="35" t="s">
        <v>6442</v>
      </c>
      <c r="B4076" s="12" t="s">
        <v>6443</v>
      </c>
      <c r="C4076" s="13">
        <f>C4075+1</f>
        <v>20</v>
      </c>
      <c r="D4076" s="118" t="s">
        <v>6069</v>
      </c>
      <c r="E4076" s="28" t="s">
        <v>6444</v>
      </c>
      <c r="F4076" s="12" t="s">
        <v>6455</v>
      </c>
      <c r="G4076" s="118" t="s">
        <v>32</v>
      </c>
      <c r="I4076" s="9">
        <v>15</v>
      </c>
    </row>
    <row r="4077" spans="1:10" hidden="1" x14ac:dyDescent="0.25">
      <c r="A4077" s="35" t="s">
        <v>6086</v>
      </c>
      <c r="B4077" s="12" t="s">
        <v>6087</v>
      </c>
      <c r="C4077" s="13">
        <v>5</v>
      </c>
      <c r="D4077" s="118" t="s">
        <v>6094</v>
      </c>
      <c r="E4077" s="28" t="s">
        <v>6088</v>
      </c>
      <c r="F4077" s="12" t="s">
        <v>6095</v>
      </c>
      <c r="G4077" s="118" t="s">
        <v>32</v>
      </c>
    </row>
    <row r="4078" spans="1:10" hidden="1" x14ac:dyDescent="0.25">
      <c r="A4078" s="35" t="s">
        <v>6134</v>
      </c>
      <c r="B4078" s="12" t="s">
        <v>6135</v>
      </c>
      <c r="C4078" s="13">
        <v>5</v>
      </c>
      <c r="D4078" s="118" t="s">
        <v>6094</v>
      </c>
      <c r="E4078" s="28" t="s">
        <v>6136</v>
      </c>
      <c r="F4078" s="12" t="s">
        <v>6141</v>
      </c>
      <c r="G4078" s="118" t="s">
        <v>32</v>
      </c>
    </row>
    <row r="4079" spans="1:10" hidden="1" x14ac:dyDescent="0.25">
      <c r="A4079" s="35" t="s">
        <v>6463</v>
      </c>
      <c r="B4079" s="12" t="s">
        <v>6464</v>
      </c>
      <c r="C4079" s="13">
        <v>5</v>
      </c>
      <c r="D4079" s="118" t="s">
        <v>6094</v>
      </c>
      <c r="E4079" s="28" t="s">
        <v>6465</v>
      </c>
      <c r="F4079" s="12" t="s">
        <v>6470</v>
      </c>
      <c r="G4079" s="118" t="s">
        <v>32</v>
      </c>
      <c r="I4079" s="9">
        <v>15</v>
      </c>
    </row>
    <row r="4080" spans="1:10" ht="12.75" hidden="1" thickBot="1" x14ac:dyDescent="0.3">
      <c r="A4080" s="47" t="s">
        <v>6491</v>
      </c>
      <c r="B4080" s="30" t="s">
        <v>6492</v>
      </c>
      <c r="C4080" s="31">
        <v>5</v>
      </c>
      <c r="D4080" s="159" t="s">
        <v>6094</v>
      </c>
      <c r="E4080" s="32" t="s">
        <v>6493</v>
      </c>
      <c r="F4080" s="30" t="s">
        <v>6498</v>
      </c>
      <c r="G4080" s="159" t="s">
        <v>32</v>
      </c>
      <c r="I4080" s="9">
        <v>15</v>
      </c>
    </row>
    <row r="4081" spans="1:10" ht="15" hidden="1" x14ac:dyDescent="0.25">
      <c r="A4081" s="35" t="s">
        <v>4583</v>
      </c>
      <c r="B4081" s="12" t="s">
        <v>4584</v>
      </c>
      <c r="C4081" s="13">
        <v>25</v>
      </c>
      <c r="D4081" s="118" t="s">
        <v>4627</v>
      </c>
      <c r="E4081" s="28" t="s">
        <v>4585</v>
      </c>
      <c r="F4081" s="12" t="s">
        <v>4628</v>
      </c>
      <c r="G4081" s="127" t="s">
        <v>829</v>
      </c>
      <c r="I4081" s="9">
        <v>15</v>
      </c>
      <c r="J4081" s="52"/>
    </row>
    <row r="4082" spans="1:10" hidden="1" x14ac:dyDescent="0.25">
      <c r="A4082" s="35" t="s">
        <v>6086</v>
      </c>
      <c r="B4082" s="12" t="s">
        <v>6087</v>
      </c>
      <c r="C4082" s="13">
        <v>6</v>
      </c>
      <c r="D4082" s="118" t="s">
        <v>6096</v>
      </c>
      <c r="E4082" s="28" t="s">
        <v>6088</v>
      </c>
      <c r="F4082" s="12" t="s">
        <v>6097</v>
      </c>
      <c r="G4082" s="118" t="s">
        <v>32</v>
      </c>
    </row>
    <row r="4083" spans="1:10" hidden="1" x14ac:dyDescent="0.25">
      <c r="A4083" s="35" t="s">
        <v>6134</v>
      </c>
      <c r="B4083" s="12" t="s">
        <v>6135</v>
      </c>
      <c r="C4083" s="13">
        <v>6</v>
      </c>
      <c r="D4083" s="118" t="s">
        <v>6096</v>
      </c>
      <c r="E4083" s="28" t="s">
        <v>6136</v>
      </c>
      <c r="F4083" s="12" t="s">
        <v>6142</v>
      </c>
      <c r="G4083" s="118" t="s">
        <v>32</v>
      </c>
    </row>
    <row r="4084" spans="1:10" hidden="1" x14ac:dyDescent="0.25">
      <c r="A4084" s="35" t="s">
        <v>6463</v>
      </c>
      <c r="B4084" s="12" t="s">
        <v>6464</v>
      </c>
      <c r="C4084" s="13">
        <v>6</v>
      </c>
      <c r="D4084" s="118" t="s">
        <v>6096</v>
      </c>
      <c r="E4084" s="28" t="s">
        <v>6465</v>
      </c>
      <c r="F4084" s="12" t="s">
        <v>6471</v>
      </c>
      <c r="G4084" s="118" t="s">
        <v>32</v>
      </c>
      <c r="I4084" s="9">
        <v>15</v>
      </c>
    </row>
    <row r="4085" spans="1:10" ht="12.75" hidden="1" thickBot="1" x14ac:dyDescent="0.3">
      <c r="A4085" s="47" t="s">
        <v>6491</v>
      </c>
      <c r="B4085" s="30" t="s">
        <v>6492</v>
      </c>
      <c r="C4085" s="31">
        <v>6</v>
      </c>
      <c r="D4085" s="159" t="s">
        <v>6096</v>
      </c>
      <c r="E4085" s="32" t="s">
        <v>6493</v>
      </c>
      <c r="F4085" s="30" t="s">
        <v>6499</v>
      </c>
      <c r="G4085" s="159" t="s">
        <v>32</v>
      </c>
      <c r="I4085" s="9">
        <v>15</v>
      </c>
    </row>
    <row r="4086" spans="1:10" hidden="1" x14ac:dyDescent="0.2">
      <c r="A4086" s="35" t="s">
        <v>5329</v>
      </c>
      <c r="B4086" s="12" t="s">
        <v>5330</v>
      </c>
      <c r="C4086" s="13">
        <v>13</v>
      </c>
      <c r="D4086" s="27" t="s">
        <v>5353</v>
      </c>
      <c r="E4086" s="28" t="s">
        <v>5331</v>
      </c>
      <c r="F4086" s="65" t="s">
        <v>5354</v>
      </c>
      <c r="G4086" s="27" t="s">
        <v>848</v>
      </c>
      <c r="I4086" s="94">
        <v>14</v>
      </c>
    </row>
    <row r="4087" spans="1:10" hidden="1" x14ac:dyDescent="0.25">
      <c r="A4087" s="35" t="s">
        <v>6325</v>
      </c>
      <c r="B4087" s="12" t="s">
        <v>6326</v>
      </c>
      <c r="C4087" s="13">
        <f>C4086+1</f>
        <v>14</v>
      </c>
      <c r="D4087" s="118" t="s">
        <v>6344</v>
      </c>
      <c r="E4087" s="28" t="s">
        <v>6327</v>
      </c>
      <c r="F4087" s="12" t="s">
        <v>6345</v>
      </c>
      <c r="G4087" s="118" t="s">
        <v>16</v>
      </c>
      <c r="I4087" s="90">
        <v>12</v>
      </c>
    </row>
    <row r="4088" spans="1:10" hidden="1" x14ac:dyDescent="0.25">
      <c r="A4088" s="35" t="s">
        <v>6787</v>
      </c>
      <c r="B4088" s="12" t="s">
        <v>6788</v>
      </c>
      <c r="C4088" s="13">
        <v>10</v>
      </c>
      <c r="D4088" s="118" t="s">
        <v>6344</v>
      </c>
      <c r="E4088" s="28" t="s">
        <v>6789</v>
      </c>
      <c r="F4088" s="12" t="s">
        <v>6799</v>
      </c>
      <c r="G4088" s="118" t="s">
        <v>16</v>
      </c>
    </row>
    <row r="4089" spans="1:10" hidden="1" x14ac:dyDescent="0.25">
      <c r="A4089" s="35" t="s">
        <v>1818</v>
      </c>
      <c r="B4089" s="12" t="s">
        <v>1819</v>
      </c>
      <c r="C4089" s="13">
        <v>16</v>
      </c>
      <c r="D4089" s="118" t="s">
        <v>1849</v>
      </c>
      <c r="E4089" s="28" t="s">
        <v>1820</v>
      </c>
      <c r="F4089" s="12" t="s">
        <v>1850</v>
      </c>
      <c r="G4089" s="118" t="s">
        <v>19</v>
      </c>
      <c r="I4089" s="9">
        <v>15</v>
      </c>
    </row>
    <row r="4090" spans="1:10" ht="12.75" hidden="1" thickBot="1" x14ac:dyDescent="0.3">
      <c r="A4090" s="47" t="s">
        <v>1818</v>
      </c>
      <c r="B4090" s="30" t="s">
        <v>1819</v>
      </c>
      <c r="C4090" s="31">
        <v>26</v>
      </c>
      <c r="D4090" s="159" t="s">
        <v>1869</v>
      </c>
      <c r="E4090" s="32" t="s">
        <v>1820</v>
      </c>
      <c r="F4090" s="30" t="s">
        <v>1870</v>
      </c>
      <c r="G4090" s="159" t="s">
        <v>19</v>
      </c>
      <c r="I4090" s="9">
        <v>15</v>
      </c>
    </row>
    <row r="4091" spans="1:10" hidden="1" x14ac:dyDescent="0.25">
      <c r="A4091" s="35" t="s">
        <v>1818</v>
      </c>
      <c r="B4091" s="12" t="s">
        <v>1819</v>
      </c>
      <c r="C4091" s="13">
        <v>6</v>
      </c>
      <c r="D4091" s="118" t="s">
        <v>1829</v>
      </c>
      <c r="E4091" s="28" t="s">
        <v>1820</v>
      </c>
      <c r="F4091" s="12" t="s">
        <v>1830</v>
      </c>
      <c r="G4091" s="118" t="s">
        <v>19</v>
      </c>
      <c r="I4091" s="9">
        <v>15</v>
      </c>
    </row>
    <row r="4092" spans="1:10" hidden="1" x14ac:dyDescent="0.25">
      <c r="A4092" s="35" t="s">
        <v>6570</v>
      </c>
      <c r="B4092" s="12" t="s">
        <v>6571</v>
      </c>
      <c r="C4092" s="13">
        <f>C4091+1</f>
        <v>7</v>
      </c>
      <c r="D4092" s="118" t="s">
        <v>6580</v>
      </c>
      <c r="E4092" s="28" t="s">
        <v>6572</v>
      </c>
      <c r="F4092" s="12" t="s">
        <v>6581</v>
      </c>
      <c r="G4092" s="118" t="s">
        <v>6080</v>
      </c>
      <c r="I4092" s="9">
        <v>15</v>
      </c>
    </row>
    <row r="4093" spans="1:10" hidden="1" x14ac:dyDescent="0.25">
      <c r="A4093" s="35" t="s">
        <v>6688</v>
      </c>
      <c r="B4093" s="12" t="s">
        <v>6689</v>
      </c>
      <c r="C4093" s="13">
        <v>16</v>
      </c>
      <c r="D4093" s="118" t="s">
        <v>6580</v>
      </c>
      <c r="E4093" s="28" t="s">
        <v>6690</v>
      </c>
      <c r="F4093" s="12" t="s">
        <v>6717</v>
      </c>
      <c r="G4093" s="118" t="s">
        <v>19</v>
      </c>
    </row>
    <row r="4094" spans="1:10" hidden="1" x14ac:dyDescent="0.2">
      <c r="A4094" s="35" t="s">
        <v>3165</v>
      </c>
      <c r="B4094" s="12" t="s">
        <v>3166</v>
      </c>
      <c r="C4094" s="13">
        <f>C4093+1</f>
        <v>17</v>
      </c>
      <c r="D4094" s="118" t="s">
        <v>3334</v>
      </c>
      <c r="E4094" s="28" t="s">
        <v>3167</v>
      </c>
      <c r="F4094" s="12" t="s">
        <v>3335</v>
      </c>
      <c r="G4094" s="127" t="s">
        <v>681</v>
      </c>
      <c r="I4094" s="94">
        <v>14</v>
      </c>
    </row>
    <row r="4095" spans="1:10" ht="12.75" hidden="1" thickBot="1" x14ac:dyDescent="0.3">
      <c r="A4095" s="47" t="s">
        <v>4087</v>
      </c>
      <c r="B4095" s="30" t="s">
        <v>4088</v>
      </c>
      <c r="C4095" s="31">
        <f>C4094+1</f>
        <v>18</v>
      </c>
      <c r="D4095" s="159" t="s">
        <v>3334</v>
      </c>
      <c r="E4095" s="32" t="s">
        <v>4089</v>
      </c>
      <c r="F4095" s="30" t="s">
        <v>4201</v>
      </c>
      <c r="G4095" s="159" t="s">
        <v>681</v>
      </c>
      <c r="I4095" s="94">
        <v>14</v>
      </c>
    </row>
    <row r="4096" spans="1:10" hidden="1" x14ac:dyDescent="0.25">
      <c r="A4096" s="35" t="s">
        <v>4212</v>
      </c>
      <c r="B4096" s="12" t="s">
        <v>4213</v>
      </c>
      <c r="C4096" s="13">
        <f>C4095+1</f>
        <v>19</v>
      </c>
      <c r="D4096" s="118" t="s">
        <v>3334</v>
      </c>
      <c r="E4096" s="28" t="s">
        <v>4214</v>
      </c>
      <c r="F4096" s="12" t="s">
        <v>4309</v>
      </c>
      <c r="G4096" s="118" t="s">
        <v>681</v>
      </c>
      <c r="I4096" s="94">
        <v>14</v>
      </c>
    </row>
    <row r="4097" spans="1:27" hidden="1" x14ac:dyDescent="0.2">
      <c r="A4097" s="35" t="s">
        <v>1206</v>
      </c>
      <c r="B4097" s="12" t="s">
        <v>1207</v>
      </c>
      <c r="C4097" s="13">
        <v>8</v>
      </c>
      <c r="D4097" s="27" t="s">
        <v>1222</v>
      </c>
      <c r="E4097" s="28" t="s">
        <v>1208</v>
      </c>
      <c r="F4097" s="12" t="s">
        <v>1223</v>
      </c>
      <c r="G4097" s="118" t="s">
        <v>1221</v>
      </c>
      <c r="I4097" s="99">
        <v>13</v>
      </c>
    </row>
    <row r="4098" spans="1:27" hidden="1" x14ac:dyDescent="0.2">
      <c r="A4098" s="35" t="s">
        <v>757</v>
      </c>
      <c r="B4098" s="12" t="s">
        <v>758</v>
      </c>
      <c r="C4098" s="13">
        <v>7</v>
      </c>
      <c r="D4098" s="27" t="s">
        <v>770</v>
      </c>
      <c r="E4098" s="28" t="s">
        <v>759</v>
      </c>
      <c r="F4098" s="12" t="s">
        <v>771</v>
      </c>
      <c r="G4098" s="118" t="s">
        <v>13</v>
      </c>
      <c r="I4098" s="9">
        <v>15</v>
      </c>
    </row>
    <row r="4099" spans="1:27" hidden="1" x14ac:dyDescent="0.25">
      <c r="A4099" s="35" t="s">
        <v>1142</v>
      </c>
      <c r="B4099" s="110" t="s">
        <v>1143</v>
      </c>
      <c r="C4099" s="46">
        <v>23</v>
      </c>
      <c r="D4099" s="213" t="s">
        <v>1187</v>
      </c>
      <c r="E4099" s="111" t="s">
        <v>1144</v>
      </c>
      <c r="F4099" s="110" t="s">
        <v>1188</v>
      </c>
      <c r="G4099" s="251" t="s">
        <v>1182</v>
      </c>
      <c r="H4099" s="46"/>
      <c r="I4099" s="99">
        <v>13</v>
      </c>
      <c r="J4099" s="46"/>
      <c r="K4099" s="46"/>
      <c r="L4099" s="46"/>
      <c r="M4099" s="46"/>
      <c r="N4099" s="46"/>
      <c r="O4099" s="46"/>
      <c r="P4099" s="46"/>
      <c r="Q4099" s="46"/>
      <c r="R4099" s="46"/>
      <c r="S4099" s="46"/>
      <c r="T4099" s="46"/>
      <c r="U4099" s="46"/>
      <c r="V4099" s="46"/>
      <c r="W4099" s="46"/>
      <c r="X4099" s="46"/>
      <c r="Y4099" s="46"/>
      <c r="Z4099" s="46"/>
      <c r="AA4099" s="46"/>
    </row>
    <row r="4100" spans="1:27" ht="12.75" hidden="1" thickBot="1" x14ac:dyDescent="0.25">
      <c r="A4100" s="47" t="s">
        <v>757</v>
      </c>
      <c r="B4100" s="30" t="s">
        <v>758</v>
      </c>
      <c r="C4100" s="31">
        <v>15</v>
      </c>
      <c r="D4100" s="48" t="s">
        <v>787</v>
      </c>
      <c r="E4100" s="32" t="s">
        <v>759</v>
      </c>
      <c r="F4100" s="30" t="s">
        <v>788</v>
      </c>
      <c r="G4100" s="159" t="s">
        <v>780</v>
      </c>
      <c r="I4100" s="9">
        <v>15</v>
      </c>
    </row>
    <row r="4101" spans="1:27" hidden="1" x14ac:dyDescent="0.2">
      <c r="A4101" s="35" t="s">
        <v>4731</v>
      </c>
      <c r="B4101" s="12" t="s">
        <v>4732</v>
      </c>
      <c r="C4101" s="13">
        <v>4</v>
      </c>
      <c r="D4101" s="76" t="s">
        <v>4738</v>
      </c>
      <c r="E4101" s="138" t="s">
        <v>4733</v>
      </c>
      <c r="F4101" s="65" t="s">
        <v>4739</v>
      </c>
      <c r="G4101" s="127" t="s">
        <v>78</v>
      </c>
    </row>
    <row r="4102" spans="1:27" hidden="1" x14ac:dyDescent="0.2">
      <c r="A4102" s="35" t="s">
        <v>4711</v>
      </c>
      <c r="B4102" s="12" t="s">
        <v>2739</v>
      </c>
      <c r="C4102" s="13">
        <v>4</v>
      </c>
      <c r="D4102" s="76" t="s">
        <v>4717</v>
      </c>
      <c r="E4102" s="138" t="s">
        <v>4712</v>
      </c>
      <c r="F4102" s="65" t="s">
        <v>4718</v>
      </c>
      <c r="G4102" s="127" t="s">
        <v>78</v>
      </c>
    </row>
    <row r="4103" spans="1:27" hidden="1" x14ac:dyDescent="0.2">
      <c r="A4103" s="35" t="s">
        <v>4721</v>
      </c>
      <c r="B4103" s="12" t="s">
        <v>2741</v>
      </c>
      <c r="C4103" s="13">
        <v>4</v>
      </c>
      <c r="D4103" s="76" t="s">
        <v>4727</v>
      </c>
      <c r="E4103" s="138" t="s">
        <v>4722</v>
      </c>
      <c r="F4103" s="65" t="s">
        <v>4728</v>
      </c>
      <c r="G4103" s="127" t="s">
        <v>78</v>
      </c>
    </row>
    <row r="4104" spans="1:27" hidden="1" x14ac:dyDescent="0.2">
      <c r="A4104" s="35" t="s">
        <v>3130</v>
      </c>
      <c r="B4104" s="12" t="s">
        <v>3131</v>
      </c>
      <c r="C4104" s="13">
        <v>9</v>
      </c>
      <c r="D4104" s="118" t="s">
        <v>3143</v>
      </c>
      <c r="E4104" s="28" t="s">
        <v>3132</v>
      </c>
      <c r="F4104" s="65" t="s">
        <v>3144</v>
      </c>
      <c r="G4104" s="127" t="s">
        <v>308</v>
      </c>
      <c r="I4104" s="102" t="s">
        <v>59</v>
      </c>
    </row>
    <row r="4105" spans="1:27" ht="12.75" hidden="1" thickBot="1" x14ac:dyDescent="0.25">
      <c r="A4105" s="47" t="s">
        <v>3130</v>
      </c>
      <c r="B4105" s="30" t="s">
        <v>3131</v>
      </c>
      <c r="C4105" s="31">
        <v>13</v>
      </c>
      <c r="D4105" s="159" t="s">
        <v>3150</v>
      </c>
      <c r="E4105" s="32" t="s">
        <v>3132</v>
      </c>
      <c r="F4105" s="67" t="s">
        <v>3151</v>
      </c>
      <c r="G4105" s="116" t="s">
        <v>308</v>
      </c>
    </row>
    <row r="4106" spans="1:27" hidden="1" x14ac:dyDescent="0.2">
      <c r="A4106" s="35" t="s">
        <v>5439</v>
      </c>
      <c r="B4106" s="12" t="s">
        <v>5440</v>
      </c>
      <c r="C4106" s="13">
        <v>3</v>
      </c>
      <c r="D4106" s="118" t="s">
        <v>5445</v>
      </c>
      <c r="E4106" s="28" t="s">
        <v>5441</v>
      </c>
      <c r="F4106" s="65" t="s">
        <v>5446</v>
      </c>
      <c r="G4106" s="118" t="s">
        <v>5447</v>
      </c>
    </row>
    <row r="4107" spans="1:27" hidden="1" x14ac:dyDescent="0.2">
      <c r="A4107" s="35" t="s">
        <v>3130</v>
      </c>
      <c r="B4107" s="12" t="s">
        <v>3131</v>
      </c>
      <c r="C4107" s="13">
        <v>14</v>
      </c>
      <c r="D4107" s="118" t="s">
        <v>3152</v>
      </c>
      <c r="E4107" s="28" t="s">
        <v>3132</v>
      </c>
      <c r="F4107" s="65" t="s">
        <v>3153</v>
      </c>
      <c r="G4107" s="127" t="s">
        <v>308</v>
      </c>
    </row>
    <row r="4108" spans="1:27" hidden="1" x14ac:dyDescent="0.2">
      <c r="A4108" s="35" t="s">
        <v>2867</v>
      </c>
      <c r="B4108" s="12" t="s">
        <v>2868</v>
      </c>
      <c r="C4108" s="13">
        <v>8</v>
      </c>
      <c r="D4108" s="27" t="s">
        <v>2879</v>
      </c>
      <c r="E4108" s="28" t="s">
        <v>2869</v>
      </c>
      <c r="F4108" s="65" t="s">
        <v>2880</v>
      </c>
      <c r="G4108" s="127" t="s">
        <v>42</v>
      </c>
    </row>
    <row r="4109" spans="1:27" hidden="1" x14ac:dyDescent="0.2">
      <c r="A4109" s="35" t="s">
        <v>3130</v>
      </c>
      <c r="B4109" s="12" t="s">
        <v>3131</v>
      </c>
      <c r="C4109" s="13">
        <v>12</v>
      </c>
      <c r="D4109" s="118" t="s">
        <v>3148</v>
      </c>
      <c r="E4109" s="28" t="s">
        <v>3132</v>
      </c>
      <c r="F4109" s="65" t="s">
        <v>3149</v>
      </c>
      <c r="G4109" s="127" t="s">
        <v>308</v>
      </c>
    </row>
    <row r="4110" spans="1:27" ht="12.75" hidden="1" thickBot="1" x14ac:dyDescent="0.25">
      <c r="A4110" s="47" t="s">
        <v>3130</v>
      </c>
      <c r="B4110" s="30" t="s">
        <v>3131</v>
      </c>
      <c r="C4110" s="31">
        <v>8</v>
      </c>
      <c r="D4110" s="159" t="s">
        <v>3141</v>
      </c>
      <c r="E4110" s="32" t="s">
        <v>3132</v>
      </c>
      <c r="F4110" s="67" t="s">
        <v>3142</v>
      </c>
      <c r="G4110" s="116" t="s">
        <v>308</v>
      </c>
    </row>
    <row r="4111" spans="1:27" hidden="1" x14ac:dyDescent="0.2">
      <c r="A4111" s="35" t="s">
        <v>6936</v>
      </c>
      <c r="B4111" s="12" t="s">
        <v>6937</v>
      </c>
      <c r="C4111" s="13">
        <v>5</v>
      </c>
      <c r="D4111" s="27" t="s">
        <v>6943</v>
      </c>
      <c r="E4111" s="28" t="s">
        <v>6938</v>
      </c>
      <c r="F4111" s="12" t="s">
        <v>6944</v>
      </c>
      <c r="G4111" s="118" t="s">
        <v>78</v>
      </c>
    </row>
    <row r="4112" spans="1:27" hidden="1" x14ac:dyDescent="0.2">
      <c r="A4112" s="35" t="s">
        <v>4701</v>
      </c>
      <c r="B4112" s="12" t="s">
        <v>2737</v>
      </c>
      <c r="C4112" s="13">
        <v>4</v>
      </c>
      <c r="D4112" s="76" t="s">
        <v>4707</v>
      </c>
      <c r="E4112" s="138" t="s">
        <v>4702</v>
      </c>
      <c r="F4112" s="65" t="s">
        <v>4708</v>
      </c>
      <c r="G4112" s="127" t="s">
        <v>78</v>
      </c>
    </row>
    <row r="4113" spans="1:7" hidden="1" x14ac:dyDescent="0.2">
      <c r="A4113" s="35" t="s">
        <v>5469</v>
      </c>
      <c r="B4113" s="12" t="s">
        <v>5470</v>
      </c>
      <c r="C4113" s="13">
        <v>6</v>
      </c>
      <c r="D4113" s="212" t="s">
        <v>5479</v>
      </c>
      <c r="E4113" s="28" t="s">
        <v>5471</v>
      </c>
      <c r="F4113" s="65" t="s">
        <v>5480</v>
      </c>
      <c r="G4113" s="118" t="s">
        <v>42</v>
      </c>
    </row>
    <row r="4114" spans="1:7" hidden="1" x14ac:dyDescent="0.25">
      <c r="A4114" s="35" t="s">
        <v>7028</v>
      </c>
      <c r="B4114" s="12" t="s">
        <v>10</v>
      </c>
      <c r="C4114" s="13">
        <v>2</v>
      </c>
      <c r="D4114" s="118" t="s">
        <v>7032</v>
      </c>
      <c r="E4114" s="28" t="s">
        <v>7030</v>
      </c>
      <c r="F4114" s="12" t="s">
        <v>7033</v>
      </c>
      <c r="G4114" s="118" t="s">
        <v>78</v>
      </c>
    </row>
    <row r="4115" spans="1:7" ht="12.75" hidden="1" thickBot="1" x14ac:dyDescent="0.3">
      <c r="A4115" s="47" t="s">
        <v>7037</v>
      </c>
      <c r="B4115" s="30" t="s">
        <v>7038</v>
      </c>
      <c r="C4115" s="31">
        <v>2</v>
      </c>
      <c r="D4115" s="159" t="s">
        <v>7032</v>
      </c>
      <c r="E4115" s="32" t="s">
        <v>7039</v>
      </c>
      <c r="F4115" s="30" t="s">
        <v>7041</v>
      </c>
      <c r="G4115" s="159" t="s">
        <v>78</v>
      </c>
    </row>
    <row r="4116" spans="1:7" hidden="1" x14ac:dyDescent="0.25">
      <c r="A4116" s="35" t="s">
        <v>7045</v>
      </c>
      <c r="B4116" s="12" t="s">
        <v>372</v>
      </c>
      <c r="C4116" s="13">
        <v>2</v>
      </c>
      <c r="D4116" s="118" t="s">
        <v>7032</v>
      </c>
      <c r="E4116" s="28" t="s">
        <v>7046</v>
      </c>
      <c r="F4116" s="12" t="s">
        <v>7048</v>
      </c>
      <c r="G4116" s="118" t="s">
        <v>78</v>
      </c>
    </row>
    <row r="4117" spans="1:7" hidden="1" x14ac:dyDescent="0.25">
      <c r="A4117" s="35" t="s">
        <v>7052</v>
      </c>
      <c r="B4117" s="12" t="s">
        <v>390</v>
      </c>
      <c r="C4117" s="13">
        <v>2</v>
      </c>
      <c r="D4117" s="118" t="s">
        <v>7032</v>
      </c>
      <c r="E4117" s="28" t="s">
        <v>7053</v>
      </c>
      <c r="F4117" s="12" t="s">
        <v>7055</v>
      </c>
      <c r="G4117" s="118" t="s">
        <v>78</v>
      </c>
    </row>
    <row r="4118" spans="1:7" hidden="1" x14ac:dyDescent="0.25">
      <c r="A4118" s="35" t="s">
        <v>7059</v>
      </c>
      <c r="B4118" s="12" t="s">
        <v>7060</v>
      </c>
      <c r="C4118" s="13">
        <v>2</v>
      </c>
      <c r="D4118" s="118" t="s">
        <v>7032</v>
      </c>
      <c r="E4118" s="28" t="s">
        <v>7061</v>
      </c>
      <c r="F4118" s="12" t="s">
        <v>7063</v>
      </c>
      <c r="G4118" s="118" t="s">
        <v>78</v>
      </c>
    </row>
    <row r="4119" spans="1:7" hidden="1" x14ac:dyDescent="0.25">
      <c r="A4119" s="35" t="s">
        <v>7067</v>
      </c>
      <c r="B4119" s="12" t="s">
        <v>37</v>
      </c>
      <c r="C4119" s="13">
        <v>2</v>
      </c>
      <c r="D4119" s="118" t="s">
        <v>7032</v>
      </c>
      <c r="E4119" s="28" t="s">
        <v>7068</v>
      </c>
      <c r="F4119" s="12" t="s">
        <v>7070</v>
      </c>
      <c r="G4119" s="118" t="s">
        <v>78</v>
      </c>
    </row>
    <row r="4120" spans="1:7" ht="12.75" hidden="1" thickBot="1" x14ac:dyDescent="0.3">
      <c r="A4120" s="47" t="s">
        <v>7074</v>
      </c>
      <c r="B4120" s="30" t="s">
        <v>7075</v>
      </c>
      <c r="C4120" s="31">
        <v>2</v>
      </c>
      <c r="D4120" s="159" t="s">
        <v>7032</v>
      </c>
      <c r="E4120" s="32" t="s">
        <v>7076</v>
      </c>
      <c r="F4120" s="30" t="s">
        <v>7078</v>
      </c>
      <c r="G4120" s="159" t="s">
        <v>78</v>
      </c>
    </row>
    <row r="4121" spans="1:7" hidden="1" x14ac:dyDescent="0.25">
      <c r="A4121" s="35" t="s">
        <v>7082</v>
      </c>
      <c r="B4121" s="12" t="s">
        <v>7083</v>
      </c>
      <c r="C4121" s="13">
        <v>2</v>
      </c>
      <c r="D4121" s="118" t="s">
        <v>7032</v>
      </c>
      <c r="E4121" s="28" t="s">
        <v>7084</v>
      </c>
      <c r="F4121" s="12" t="s">
        <v>7086</v>
      </c>
      <c r="G4121" s="118" t="s">
        <v>78</v>
      </c>
    </row>
    <row r="4122" spans="1:7" hidden="1" x14ac:dyDescent="0.25">
      <c r="A4122" s="35" t="s">
        <v>7090</v>
      </c>
      <c r="B4122" s="12" t="s">
        <v>7091</v>
      </c>
      <c r="C4122" s="13">
        <v>2</v>
      </c>
      <c r="D4122" s="118" t="s">
        <v>7032</v>
      </c>
      <c r="E4122" s="28" t="s">
        <v>7092</v>
      </c>
      <c r="F4122" s="12" t="s">
        <v>7094</v>
      </c>
      <c r="G4122" s="118" t="s">
        <v>78</v>
      </c>
    </row>
    <row r="4123" spans="1:7" hidden="1" x14ac:dyDescent="0.25">
      <c r="A4123" s="35" t="s">
        <v>7098</v>
      </c>
      <c r="B4123" s="12" t="s">
        <v>440</v>
      </c>
      <c r="C4123" s="13">
        <v>2</v>
      </c>
      <c r="D4123" s="118" t="s">
        <v>7032</v>
      </c>
      <c r="E4123" s="28" t="s">
        <v>7099</v>
      </c>
      <c r="F4123" s="12" t="s">
        <v>7101</v>
      </c>
      <c r="G4123" s="118" t="s">
        <v>78</v>
      </c>
    </row>
    <row r="4124" spans="1:7" hidden="1" x14ac:dyDescent="0.25">
      <c r="A4124" s="35" t="s">
        <v>7105</v>
      </c>
      <c r="B4124" s="12" t="s">
        <v>7106</v>
      </c>
      <c r="C4124" s="13">
        <v>2</v>
      </c>
      <c r="D4124" s="118" t="s">
        <v>7032</v>
      </c>
      <c r="E4124" s="28" t="s">
        <v>7107</v>
      </c>
      <c r="F4124" s="12" t="s">
        <v>7109</v>
      </c>
      <c r="G4124" s="118" t="s">
        <v>78</v>
      </c>
    </row>
    <row r="4125" spans="1:7" ht="12.75" hidden="1" thickBot="1" x14ac:dyDescent="0.3">
      <c r="A4125" s="47" t="s">
        <v>7113</v>
      </c>
      <c r="B4125" s="30" t="s">
        <v>327</v>
      </c>
      <c r="C4125" s="31">
        <v>2</v>
      </c>
      <c r="D4125" s="159" t="s">
        <v>7032</v>
      </c>
      <c r="E4125" s="32" t="s">
        <v>7114</v>
      </c>
      <c r="F4125" s="30" t="s">
        <v>7116</v>
      </c>
      <c r="G4125" s="159" t="s">
        <v>78</v>
      </c>
    </row>
    <row r="4126" spans="1:7" hidden="1" x14ac:dyDescent="0.25">
      <c r="A4126" s="35" t="s">
        <v>7120</v>
      </c>
      <c r="B4126" s="12" t="s">
        <v>7121</v>
      </c>
      <c r="C4126" s="13">
        <v>2</v>
      </c>
      <c r="D4126" s="118" t="s">
        <v>7032</v>
      </c>
      <c r="E4126" s="28" t="s">
        <v>7122</v>
      </c>
      <c r="F4126" s="12" t="s">
        <v>7124</v>
      </c>
      <c r="G4126" s="118" t="s">
        <v>78</v>
      </c>
    </row>
    <row r="4127" spans="1:7" hidden="1" x14ac:dyDescent="0.25">
      <c r="A4127" s="35" t="s">
        <v>7128</v>
      </c>
      <c r="B4127" s="12" t="s">
        <v>7129</v>
      </c>
      <c r="C4127" s="13">
        <v>2</v>
      </c>
      <c r="D4127" s="118" t="s">
        <v>7032</v>
      </c>
      <c r="E4127" s="28" t="s">
        <v>7130</v>
      </c>
      <c r="F4127" s="12" t="s">
        <v>7132</v>
      </c>
      <c r="G4127" s="118" t="s">
        <v>78</v>
      </c>
    </row>
    <row r="4128" spans="1:7" hidden="1" x14ac:dyDescent="0.25">
      <c r="A4128" s="35" t="s">
        <v>7136</v>
      </c>
      <c r="B4128" s="12" t="s">
        <v>5771</v>
      </c>
      <c r="C4128" s="13">
        <v>2</v>
      </c>
      <c r="D4128" s="118" t="s">
        <v>7032</v>
      </c>
      <c r="E4128" s="28" t="s">
        <v>7137</v>
      </c>
      <c r="F4128" s="12" t="s">
        <v>7139</v>
      </c>
      <c r="G4128" s="118" t="s">
        <v>78</v>
      </c>
    </row>
    <row r="4129" spans="1:7" hidden="1" x14ac:dyDescent="0.25">
      <c r="A4129" s="35" t="s">
        <v>7143</v>
      </c>
      <c r="B4129" s="12" t="s">
        <v>120</v>
      </c>
      <c r="C4129" s="13">
        <v>2</v>
      </c>
      <c r="D4129" s="118" t="s">
        <v>7032</v>
      </c>
      <c r="E4129" s="28" t="s">
        <v>7144</v>
      </c>
      <c r="F4129" s="12" t="s">
        <v>7146</v>
      </c>
      <c r="G4129" s="118" t="s">
        <v>78</v>
      </c>
    </row>
    <row r="4130" spans="1:7" ht="12.75" hidden="1" thickBot="1" x14ac:dyDescent="0.3">
      <c r="A4130" s="47" t="s">
        <v>7150</v>
      </c>
      <c r="B4130" s="30" t="s">
        <v>7151</v>
      </c>
      <c r="C4130" s="31">
        <v>2</v>
      </c>
      <c r="D4130" s="159" t="s">
        <v>7032</v>
      </c>
      <c r="E4130" s="32" t="s">
        <v>7152</v>
      </c>
      <c r="F4130" s="30" t="s">
        <v>7154</v>
      </c>
      <c r="G4130" s="159" t="s">
        <v>78</v>
      </c>
    </row>
    <row r="4131" spans="1:7" hidden="1" x14ac:dyDescent="0.25">
      <c r="A4131" s="35" t="s">
        <v>7158</v>
      </c>
      <c r="B4131" s="12" t="s">
        <v>7159</v>
      </c>
      <c r="C4131" s="13">
        <v>2</v>
      </c>
      <c r="D4131" s="118" t="s">
        <v>7032</v>
      </c>
      <c r="E4131" s="28" t="s">
        <v>7160</v>
      </c>
      <c r="F4131" s="12" t="s">
        <v>7162</v>
      </c>
      <c r="G4131" s="118" t="s">
        <v>78</v>
      </c>
    </row>
    <row r="4132" spans="1:7" hidden="1" x14ac:dyDescent="0.25">
      <c r="A4132" s="35" t="s">
        <v>7166</v>
      </c>
      <c r="B4132" s="12" t="s">
        <v>7167</v>
      </c>
      <c r="C4132" s="13">
        <v>2</v>
      </c>
      <c r="D4132" s="118" t="s">
        <v>7032</v>
      </c>
      <c r="E4132" s="28" t="s">
        <v>7168</v>
      </c>
      <c r="F4132" s="12" t="s">
        <v>7170</v>
      </c>
      <c r="G4132" s="118" t="s">
        <v>78</v>
      </c>
    </row>
    <row r="4133" spans="1:7" hidden="1" x14ac:dyDescent="0.25">
      <c r="A4133" s="35" t="s">
        <v>7174</v>
      </c>
      <c r="B4133" s="12" t="s">
        <v>7175</v>
      </c>
      <c r="C4133" s="13">
        <v>2</v>
      </c>
      <c r="D4133" s="118" t="s">
        <v>7032</v>
      </c>
      <c r="E4133" s="28" t="s">
        <v>7176</v>
      </c>
      <c r="F4133" s="12" t="s">
        <v>7178</v>
      </c>
      <c r="G4133" s="118" t="s">
        <v>78</v>
      </c>
    </row>
    <row r="4134" spans="1:7" hidden="1" x14ac:dyDescent="0.25">
      <c r="A4134" s="35" t="s">
        <v>7182</v>
      </c>
      <c r="B4134" s="12" t="s">
        <v>1627</v>
      </c>
      <c r="C4134" s="13">
        <v>2</v>
      </c>
      <c r="D4134" s="118" t="s">
        <v>7032</v>
      </c>
      <c r="E4134" s="28" t="s">
        <v>7183</v>
      </c>
      <c r="F4134" s="12" t="s">
        <v>7185</v>
      </c>
      <c r="G4134" s="118" t="s">
        <v>78</v>
      </c>
    </row>
    <row r="4135" spans="1:7" ht="12.75" hidden="1" thickBot="1" x14ac:dyDescent="0.3">
      <c r="A4135" s="47" t="s">
        <v>7189</v>
      </c>
      <c r="B4135" s="30" t="s">
        <v>7190</v>
      </c>
      <c r="C4135" s="31">
        <v>2</v>
      </c>
      <c r="D4135" s="159" t="s">
        <v>7032</v>
      </c>
      <c r="E4135" s="32" t="s">
        <v>7191</v>
      </c>
      <c r="F4135" s="30" t="s">
        <v>7193</v>
      </c>
      <c r="G4135" s="159" t="s">
        <v>78</v>
      </c>
    </row>
    <row r="4136" spans="1:7" hidden="1" x14ac:dyDescent="0.25">
      <c r="A4136" s="35" t="s">
        <v>7197</v>
      </c>
      <c r="B4136" s="12" t="s">
        <v>7198</v>
      </c>
      <c r="C4136" s="13">
        <v>2</v>
      </c>
      <c r="D4136" s="118" t="s">
        <v>7032</v>
      </c>
      <c r="E4136" s="28" t="s">
        <v>7199</v>
      </c>
      <c r="F4136" s="12" t="s">
        <v>7201</v>
      </c>
      <c r="G4136" s="118" t="s">
        <v>78</v>
      </c>
    </row>
    <row r="4137" spans="1:7" hidden="1" x14ac:dyDescent="0.25">
      <c r="A4137" s="35" t="s">
        <v>7205</v>
      </c>
      <c r="B4137" s="12" t="s">
        <v>4595</v>
      </c>
      <c r="C4137" s="13">
        <v>2</v>
      </c>
      <c r="D4137" s="118" t="s">
        <v>7032</v>
      </c>
      <c r="E4137" s="28" t="s">
        <v>7206</v>
      </c>
      <c r="F4137" s="12" t="s">
        <v>7208</v>
      </c>
      <c r="G4137" s="118" t="s">
        <v>78</v>
      </c>
    </row>
    <row r="4138" spans="1:7" hidden="1" x14ac:dyDescent="0.25">
      <c r="A4138" s="35" t="s">
        <v>7212</v>
      </c>
      <c r="B4138" s="12" t="s">
        <v>3887</v>
      </c>
      <c r="C4138" s="13">
        <v>2</v>
      </c>
      <c r="D4138" s="118" t="s">
        <v>7032</v>
      </c>
      <c r="E4138" s="28" t="s">
        <v>7213</v>
      </c>
      <c r="F4138" s="12" t="s">
        <v>7215</v>
      </c>
      <c r="G4138" s="118" t="s">
        <v>78</v>
      </c>
    </row>
    <row r="4139" spans="1:7" hidden="1" x14ac:dyDescent="0.25">
      <c r="A4139" s="35" t="s">
        <v>7219</v>
      </c>
      <c r="B4139" s="12" t="s">
        <v>7220</v>
      </c>
      <c r="C4139" s="13">
        <v>2</v>
      </c>
      <c r="D4139" s="118" t="s">
        <v>7032</v>
      </c>
      <c r="E4139" s="28" t="s">
        <v>7221</v>
      </c>
      <c r="F4139" s="12" t="s">
        <v>7223</v>
      </c>
      <c r="G4139" s="118" t="s">
        <v>78</v>
      </c>
    </row>
    <row r="4140" spans="1:7" ht="12.75" hidden="1" thickBot="1" x14ac:dyDescent="0.3">
      <c r="A4140" s="47" t="s">
        <v>7227</v>
      </c>
      <c r="B4140" s="30" t="s">
        <v>7228</v>
      </c>
      <c r="C4140" s="31">
        <v>2</v>
      </c>
      <c r="D4140" s="159" t="s">
        <v>7032</v>
      </c>
      <c r="E4140" s="32" t="s">
        <v>7229</v>
      </c>
      <c r="F4140" s="30" t="s">
        <v>7231</v>
      </c>
      <c r="G4140" s="159" t="s">
        <v>78</v>
      </c>
    </row>
    <row r="4141" spans="1:7" hidden="1" x14ac:dyDescent="0.25">
      <c r="A4141" s="35" t="s">
        <v>7235</v>
      </c>
      <c r="B4141" s="12" t="s">
        <v>7236</v>
      </c>
      <c r="C4141" s="13">
        <v>2</v>
      </c>
      <c r="D4141" s="118" t="s">
        <v>7032</v>
      </c>
      <c r="E4141" s="28" t="s">
        <v>7237</v>
      </c>
      <c r="F4141" s="12" t="s">
        <v>7239</v>
      </c>
      <c r="G4141" s="118" t="s">
        <v>78</v>
      </c>
    </row>
    <row r="4142" spans="1:7" hidden="1" x14ac:dyDescent="0.25">
      <c r="A4142" s="35" t="s">
        <v>7243</v>
      </c>
      <c r="B4142" s="12" t="s">
        <v>7244</v>
      </c>
      <c r="C4142" s="13">
        <v>2</v>
      </c>
      <c r="D4142" s="118" t="s">
        <v>7032</v>
      </c>
      <c r="E4142" s="28" t="s">
        <v>7245</v>
      </c>
      <c r="F4142" s="12" t="s">
        <v>7247</v>
      </c>
      <c r="G4142" s="118" t="s">
        <v>78</v>
      </c>
    </row>
    <row r="4143" spans="1:7" hidden="1" x14ac:dyDescent="0.25">
      <c r="A4143" s="35" t="s">
        <v>7251</v>
      </c>
      <c r="B4143" s="12" t="s">
        <v>1998</v>
      </c>
      <c r="C4143" s="13">
        <v>2</v>
      </c>
      <c r="D4143" s="118" t="s">
        <v>7032</v>
      </c>
      <c r="E4143" s="28" t="s">
        <v>7252</v>
      </c>
      <c r="F4143" s="12" t="s">
        <v>7254</v>
      </c>
      <c r="G4143" s="118" t="s">
        <v>78</v>
      </c>
    </row>
    <row r="4144" spans="1:7" hidden="1" x14ac:dyDescent="0.25">
      <c r="A4144" s="35" t="s">
        <v>7258</v>
      </c>
      <c r="B4144" s="12" t="s">
        <v>6607</v>
      </c>
      <c r="C4144" s="13">
        <v>2</v>
      </c>
      <c r="D4144" s="118" t="s">
        <v>7032</v>
      </c>
      <c r="E4144" s="28" t="s">
        <v>7259</v>
      </c>
      <c r="F4144" s="12" t="s">
        <v>7261</v>
      </c>
      <c r="G4144" s="118" t="s">
        <v>78</v>
      </c>
    </row>
    <row r="4145" spans="1:7" ht="12.75" hidden="1" thickBot="1" x14ac:dyDescent="0.3">
      <c r="A4145" s="47" t="s">
        <v>7265</v>
      </c>
      <c r="B4145" s="30" t="s">
        <v>7266</v>
      </c>
      <c r="C4145" s="31">
        <v>2</v>
      </c>
      <c r="D4145" s="159" t="s">
        <v>7032</v>
      </c>
      <c r="E4145" s="32" t="s">
        <v>7267</v>
      </c>
      <c r="F4145" s="30" t="s">
        <v>7269</v>
      </c>
      <c r="G4145" s="159" t="s">
        <v>78</v>
      </c>
    </row>
    <row r="4146" spans="1:7" hidden="1" x14ac:dyDescent="0.25">
      <c r="A4146" s="35" t="s">
        <v>7273</v>
      </c>
      <c r="B4146" s="12" t="s">
        <v>7274</v>
      </c>
      <c r="C4146" s="13">
        <v>2</v>
      </c>
      <c r="D4146" s="118" t="s">
        <v>7032</v>
      </c>
      <c r="E4146" s="28" t="s">
        <v>7275</v>
      </c>
      <c r="F4146" s="12" t="s">
        <v>7277</v>
      </c>
      <c r="G4146" s="118" t="s">
        <v>78</v>
      </c>
    </row>
    <row r="4147" spans="1:7" hidden="1" x14ac:dyDescent="0.25">
      <c r="A4147" s="35" t="s">
        <v>7281</v>
      </c>
      <c r="B4147" s="12" t="s">
        <v>7282</v>
      </c>
      <c r="C4147" s="13">
        <v>2</v>
      </c>
      <c r="D4147" s="118" t="s">
        <v>7032</v>
      </c>
      <c r="E4147" s="28" t="s">
        <v>7283</v>
      </c>
      <c r="F4147" s="12" t="s">
        <v>7285</v>
      </c>
      <c r="G4147" s="118" t="s">
        <v>78</v>
      </c>
    </row>
    <row r="4148" spans="1:7" hidden="1" x14ac:dyDescent="0.25">
      <c r="A4148" s="35" t="s">
        <v>7289</v>
      </c>
      <c r="B4148" s="12" t="s">
        <v>6027</v>
      </c>
      <c r="C4148" s="13">
        <v>2</v>
      </c>
      <c r="D4148" s="118" t="s">
        <v>7032</v>
      </c>
      <c r="E4148" s="28" t="s">
        <v>7290</v>
      </c>
      <c r="F4148" s="12" t="s">
        <v>7292</v>
      </c>
      <c r="G4148" s="118" t="s">
        <v>78</v>
      </c>
    </row>
    <row r="4149" spans="1:7" hidden="1" x14ac:dyDescent="0.25">
      <c r="A4149" s="35" t="s">
        <v>7296</v>
      </c>
      <c r="B4149" s="12" t="s">
        <v>1101</v>
      </c>
      <c r="C4149" s="13">
        <v>2</v>
      </c>
      <c r="D4149" s="118" t="s">
        <v>7032</v>
      </c>
      <c r="E4149" s="28" t="s">
        <v>7297</v>
      </c>
      <c r="F4149" s="12" t="s">
        <v>7299</v>
      </c>
      <c r="G4149" s="118" t="s">
        <v>78</v>
      </c>
    </row>
    <row r="4150" spans="1:7" ht="12.75" hidden="1" thickBot="1" x14ac:dyDescent="0.3">
      <c r="A4150" s="47" t="s">
        <v>7303</v>
      </c>
      <c r="B4150" s="30" t="s">
        <v>7304</v>
      </c>
      <c r="C4150" s="31">
        <v>2</v>
      </c>
      <c r="D4150" s="159" t="s">
        <v>7032</v>
      </c>
      <c r="E4150" s="32" t="s">
        <v>7305</v>
      </c>
      <c r="F4150" s="30" t="s">
        <v>7307</v>
      </c>
      <c r="G4150" s="159" t="s">
        <v>78</v>
      </c>
    </row>
    <row r="4151" spans="1:7" hidden="1" x14ac:dyDescent="0.25">
      <c r="A4151" s="35" t="s">
        <v>7311</v>
      </c>
      <c r="B4151" s="12" t="s">
        <v>7312</v>
      </c>
      <c r="C4151" s="13">
        <v>2</v>
      </c>
      <c r="D4151" s="118" t="s">
        <v>7032</v>
      </c>
      <c r="E4151" s="28" t="s">
        <v>7313</v>
      </c>
      <c r="F4151" s="12" t="s">
        <v>7315</v>
      </c>
      <c r="G4151" s="118" t="s">
        <v>78</v>
      </c>
    </row>
    <row r="4152" spans="1:7" hidden="1" x14ac:dyDescent="0.25">
      <c r="A4152" s="35" t="s">
        <v>7319</v>
      </c>
      <c r="B4152" s="12" t="s">
        <v>7320</v>
      </c>
      <c r="C4152" s="13">
        <v>2</v>
      </c>
      <c r="D4152" s="118" t="s">
        <v>7032</v>
      </c>
      <c r="E4152" s="28" t="s">
        <v>7321</v>
      </c>
      <c r="F4152" s="12" t="s">
        <v>7323</v>
      </c>
      <c r="G4152" s="118" t="s">
        <v>78</v>
      </c>
    </row>
    <row r="4153" spans="1:7" hidden="1" x14ac:dyDescent="0.25">
      <c r="A4153" s="35" t="s">
        <v>7327</v>
      </c>
      <c r="B4153" s="12" t="s">
        <v>7328</v>
      </c>
      <c r="C4153" s="13">
        <v>2</v>
      </c>
      <c r="D4153" s="118" t="s">
        <v>7032</v>
      </c>
      <c r="E4153" s="28" t="s">
        <v>7329</v>
      </c>
      <c r="F4153" s="12" t="s">
        <v>7331</v>
      </c>
      <c r="G4153" s="118" t="s">
        <v>78</v>
      </c>
    </row>
    <row r="4154" spans="1:7" hidden="1" x14ac:dyDescent="0.25">
      <c r="A4154" s="35" t="s">
        <v>7335</v>
      </c>
      <c r="B4154" s="12" t="s">
        <v>7336</v>
      </c>
      <c r="C4154" s="13">
        <v>2</v>
      </c>
      <c r="D4154" s="118" t="s">
        <v>7032</v>
      </c>
      <c r="E4154" s="28" t="s">
        <v>7337</v>
      </c>
      <c r="F4154" s="12" t="s">
        <v>7339</v>
      </c>
      <c r="G4154" s="118" t="s">
        <v>78</v>
      </c>
    </row>
    <row r="4155" spans="1:7" ht="12.75" hidden="1" thickBot="1" x14ac:dyDescent="0.3">
      <c r="A4155" s="47" t="s">
        <v>7343</v>
      </c>
      <c r="B4155" s="30" t="s">
        <v>7344</v>
      </c>
      <c r="C4155" s="31">
        <v>2</v>
      </c>
      <c r="D4155" s="159" t="s">
        <v>7032</v>
      </c>
      <c r="E4155" s="32" t="s">
        <v>7345</v>
      </c>
      <c r="F4155" s="30" t="s">
        <v>7347</v>
      </c>
      <c r="G4155" s="159" t="s">
        <v>78</v>
      </c>
    </row>
    <row r="4156" spans="1:7" hidden="1" x14ac:dyDescent="0.25">
      <c r="A4156" s="35" t="s">
        <v>7351</v>
      </c>
      <c r="B4156" s="12" t="s">
        <v>7352</v>
      </c>
      <c r="C4156" s="13">
        <v>2</v>
      </c>
      <c r="D4156" s="118" t="s">
        <v>7032</v>
      </c>
      <c r="E4156" s="28" t="s">
        <v>7353</v>
      </c>
      <c r="F4156" s="12" t="s">
        <v>7355</v>
      </c>
      <c r="G4156" s="118" t="s">
        <v>78</v>
      </c>
    </row>
    <row r="4157" spans="1:7" hidden="1" x14ac:dyDescent="0.25">
      <c r="A4157" s="35" t="s">
        <v>7359</v>
      </c>
      <c r="B4157" s="12" t="s">
        <v>7360</v>
      </c>
      <c r="C4157" s="13">
        <v>2</v>
      </c>
      <c r="D4157" s="118" t="s">
        <v>7032</v>
      </c>
      <c r="E4157" s="28" t="s">
        <v>7361</v>
      </c>
      <c r="F4157" s="12" t="s">
        <v>7363</v>
      </c>
      <c r="G4157" s="118" t="s">
        <v>78</v>
      </c>
    </row>
    <row r="4158" spans="1:7" hidden="1" x14ac:dyDescent="0.25">
      <c r="A4158" s="35" t="s">
        <v>7367</v>
      </c>
      <c r="B4158" s="12" t="s">
        <v>403</v>
      </c>
      <c r="C4158" s="13">
        <v>2</v>
      </c>
      <c r="D4158" s="118" t="s">
        <v>7032</v>
      </c>
      <c r="E4158" s="28" t="s">
        <v>7368</v>
      </c>
      <c r="F4158" s="12" t="s">
        <v>7370</v>
      </c>
      <c r="G4158" s="118" t="s">
        <v>78</v>
      </c>
    </row>
    <row r="4159" spans="1:7" hidden="1" x14ac:dyDescent="0.25">
      <c r="A4159" s="35" t="s">
        <v>7374</v>
      </c>
      <c r="B4159" s="12" t="s">
        <v>7375</v>
      </c>
      <c r="C4159" s="13">
        <v>2</v>
      </c>
      <c r="D4159" s="118" t="s">
        <v>7032</v>
      </c>
      <c r="E4159" s="28" t="s">
        <v>7376</v>
      </c>
      <c r="F4159" s="12" t="s">
        <v>7378</v>
      </c>
      <c r="G4159" s="118" t="s">
        <v>78</v>
      </c>
    </row>
    <row r="4160" spans="1:7" ht="12.75" hidden="1" thickBot="1" x14ac:dyDescent="0.3">
      <c r="A4160" s="47" t="s">
        <v>7382</v>
      </c>
      <c r="B4160" s="30" t="s">
        <v>2324</v>
      </c>
      <c r="C4160" s="31">
        <v>2</v>
      </c>
      <c r="D4160" s="159" t="s">
        <v>7032</v>
      </c>
      <c r="E4160" s="32" t="s">
        <v>7383</v>
      </c>
      <c r="F4160" s="30" t="s">
        <v>7385</v>
      </c>
      <c r="G4160" s="159" t="s">
        <v>78</v>
      </c>
    </row>
    <row r="4161" spans="1:7" hidden="1" x14ac:dyDescent="0.25">
      <c r="A4161" s="35" t="s">
        <v>7389</v>
      </c>
      <c r="B4161" s="12" t="s">
        <v>7390</v>
      </c>
      <c r="C4161" s="13">
        <v>2</v>
      </c>
      <c r="D4161" s="118" t="s">
        <v>7032</v>
      </c>
      <c r="E4161" s="28" t="s">
        <v>7391</v>
      </c>
      <c r="F4161" s="12" t="s">
        <v>7393</v>
      </c>
      <c r="G4161" s="118" t="s">
        <v>78</v>
      </c>
    </row>
    <row r="4162" spans="1:7" hidden="1" x14ac:dyDescent="0.25">
      <c r="A4162" s="35" t="s">
        <v>7397</v>
      </c>
      <c r="B4162" s="12" t="s">
        <v>2066</v>
      </c>
      <c r="C4162" s="13">
        <v>2</v>
      </c>
      <c r="D4162" s="118" t="s">
        <v>7032</v>
      </c>
      <c r="E4162" s="28" t="s">
        <v>7398</v>
      </c>
      <c r="F4162" s="12" t="s">
        <v>7400</v>
      </c>
      <c r="G4162" s="118" t="s">
        <v>78</v>
      </c>
    </row>
    <row r="4163" spans="1:7" hidden="1" x14ac:dyDescent="0.25">
      <c r="A4163" s="35" t="s">
        <v>7404</v>
      </c>
      <c r="B4163" s="12" t="s">
        <v>7405</v>
      </c>
      <c r="C4163" s="13">
        <v>2</v>
      </c>
      <c r="D4163" s="118" t="s">
        <v>7032</v>
      </c>
      <c r="E4163" s="28" t="s">
        <v>7406</v>
      </c>
      <c r="F4163" s="12" t="s">
        <v>7408</v>
      </c>
      <c r="G4163" s="118" t="s">
        <v>78</v>
      </c>
    </row>
    <row r="4164" spans="1:7" hidden="1" x14ac:dyDescent="0.25">
      <c r="A4164" s="35" t="s">
        <v>7412</v>
      </c>
      <c r="B4164" s="12" t="s">
        <v>7413</v>
      </c>
      <c r="C4164" s="13">
        <v>2</v>
      </c>
      <c r="D4164" s="118" t="s">
        <v>7032</v>
      </c>
      <c r="E4164" s="28" t="s">
        <v>7414</v>
      </c>
      <c r="F4164" s="12" t="s">
        <v>7416</v>
      </c>
      <c r="G4164" s="118" t="s">
        <v>78</v>
      </c>
    </row>
    <row r="4165" spans="1:7" ht="12.75" hidden="1" thickBot="1" x14ac:dyDescent="0.3">
      <c r="A4165" s="47" t="s">
        <v>7420</v>
      </c>
      <c r="B4165" s="30" t="s">
        <v>2274</v>
      </c>
      <c r="C4165" s="31">
        <v>2</v>
      </c>
      <c r="D4165" s="159" t="s">
        <v>7032</v>
      </c>
      <c r="E4165" s="32" t="s">
        <v>7421</v>
      </c>
      <c r="F4165" s="30" t="s">
        <v>7423</v>
      </c>
      <c r="G4165" s="159" t="s">
        <v>78</v>
      </c>
    </row>
    <row r="4166" spans="1:7" hidden="1" x14ac:dyDescent="0.25">
      <c r="A4166" s="35" t="s">
        <v>7427</v>
      </c>
      <c r="B4166" s="12" t="s">
        <v>6857</v>
      </c>
      <c r="C4166" s="13">
        <v>2</v>
      </c>
      <c r="D4166" s="118" t="s">
        <v>7032</v>
      </c>
      <c r="E4166" s="28" t="s">
        <v>7428</v>
      </c>
      <c r="F4166" s="12" t="s">
        <v>7430</v>
      </c>
      <c r="G4166" s="118" t="s">
        <v>78</v>
      </c>
    </row>
    <row r="4167" spans="1:7" hidden="1" x14ac:dyDescent="0.25">
      <c r="A4167" s="35" t="s">
        <v>7434</v>
      </c>
      <c r="B4167" s="12" t="s">
        <v>7435</v>
      </c>
      <c r="C4167" s="13">
        <v>2</v>
      </c>
      <c r="D4167" s="118" t="s">
        <v>7032</v>
      </c>
      <c r="E4167" s="28" t="s">
        <v>7436</v>
      </c>
      <c r="F4167" s="12" t="s">
        <v>7438</v>
      </c>
      <c r="G4167" s="118" t="s">
        <v>78</v>
      </c>
    </row>
    <row r="4168" spans="1:7" hidden="1" x14ac:dyDescent="0.25">
      <c r="A4168" s="35" t="s">
        <v>7442</v>
      </c>
      <c r="B4168" s="12" t="s">
        <v>5773</v>
      </c>
      <c r="C4168" s="13">
        <v>2</v>
      </c>
      <c r="D4168" s="118" t="s">
        <v>7032</v>
      </c>
      <c r="E4168" s="28" t="s">
        <v>7443</v>
      </c>
      <c r="F4168" s="12" t="s">
        <v>7445</v>
      </c>
      <c r="G4168" s="118" t="s">
        <v>78</v>
      </c>
    </row>
    <row r="4169" spans="1:7" hidden="1" x14ac:dyDescent="0.25">
      <c r="A4169" s="35" t="s">
        <v>7449</v>
      </c>
      <c r="B4169" s="12" t="s">
        <v>7450</v>
      </c>
      <c r="C4169" s="13">
        <v>2</v>
      </c>
      <c r="D4169" s="118" t="s">
        <v>7032</v>
      </c>
      <c r="E4169" s="28" t="s">
        <v>7451</v>
      </c>
      <c r="F4169" s="12" t="s">
        <v>7453</v>
      </c>
      <c r="G4169" s="118" t="s">
        <v>78</v>
      </c>
    </row>
    <row r="4170" spans="1:7" ht="12.75" hidden="1" thickBot="1" x14ac:dyDescent="0.3">
      <c r="A4170" s="47" t="s">
        <v>7457</v>
      </c>
      <c r="B4170" s="30" t="s">
        <v>7458</v>
      </c>
      <c r="C4170" s="31">
        <v>2</v>
      </c>
      <c r="D4170" s="159" t="s">
        <v>7032</v>
      </c>
      <c r="E4170" s="32" t="s">
        <v>7459</v>
      </c>
      <c r="F4170" s="30" t="s">
        <v>7461</v>
      </c>
      <c r="G4170" s="159" t="s">
        <v>78</v>
      </c>
    </row>
    <row r="4171" spans="1:7" hidden="1" x14ac:dyDescent="0.25">
      <c r="A4171" s="35" t="s">
        <v>7465</v>
      </c>
      <c r="B4171" s="12" t="s">
        <v>1461</v>
      </c>
      <c r="C4171" s="13">
        <v>2</v>
      </c>
      <c r="D4171" s="118" t="s">
        <v>7032</v>
      </c>
      <c r="E4171" s="28" t="s">
        <v>7466</v>
      </c>
      <c r="F4171" s="12" t="s">
        <v>7468</v>
      </c>
      <c r="G4171" s="118" t="s">
        <v>78</v>
      </c>
    </row>
    <row r="4172" spans="1:7" hidden="1" x14ac:dyDescent="0.25">
      <c r="A4172" s="35" t="s">
        <v>7472</v>
      </c>
      <c r="B4172" s="12" t="s">
        <v>7473</v>
      </c>
      <c r="C4172" s="13">
        <v>2</v>
      </c>
      <c r="D4172" s="118" t="s">
        <v>7032</v>
      </c>
      <c r="E4172" s="28" t="s">
        <v>7474</v>
      </c>
      <c r="F4172" s="12" t="s">
        <v>7476</v>
      </c>
      <c r="G4172" s="118" t="s">
        <v>78</v>
      </c>
    </row>
    <row r="4173" spans="1:7" hidden="1" x14ac:dyDescent="0.25">
      <c r="A4173" s="35" t="s">
        <v>7480</v>
      </c>
      <c r="B4173" s="12" t="s">
        <v>4749</v>
      </c>
      <c r="C4173" s="13">
        <v>2</v>
      </c>
      <c r="D4173" s="118" t="s">
        <v>7032</v>
      </c>
      <c r="E4173" s="28" t="s">
        <v>7481</v>
      </c>
      <c r="F4173" s="12" t="s">
        <v>7483</v>
      </c>
      <c r="G4173" s="118" t="s">
        <v>78</v>
      </c>
    </row>
    <row r="4174" spans="1:7" hidden="1" x14ac:dyDescent="0.25">
      <c r="A4174" s="35" t="s">
        <v>7487</v>
      </c>
      <c r="B4174" s="12" t="s">
        <v>490</v>
      </c>
      <c r="C4174" s="13">
        <v>2</v>
      </c>
      <c r="D4174" s="118" t="s">
        <v>7032</v>
      </c>
      <c r="E4174" s="28" t="s">
        <v>7488</v>
      </c>
      <c r="F4174" s="12" t="s">
        <v>7490</v>
      </c>
      <c r="G4174" s="118" t="s">
        <v>78</v>
      </c>
    </row>
    <row r="4175" spans="1:7" ht="12.75" hidden="1" thickBot="1" x14ac:dyDescent="0.3">
      <c r="A4175" s="47" t="s">
        <v>7494</v>
      </c>
      <c r="B4175" s="30" t="s">
        <v>7495</v>
      </c>
      <c r="C4175" s="31">
        <v>2</v>
      </c>
      <c r="D4175" s="159" t="s">
        <v>7032</v>
      </c>
      <c r="E4175" s="32" t="s">
        <v>7496</v>
      </c>
      <c r="F4175" s="30" t="s">
        <v>7498</v>
      </c>
      <c r="G4175" s="159" t="s">
        <v>78</v>
      </c>
    </row>
    <row r="4176" spans="1:7" hidden="1" x14ac:dyDescent="0.25">
      <c r="A4176" s="35" t="s">
        <v>7502</v>
      </c>
      <c r="B4176" s="12" t="s">
        <v>7503</v>
      </c>
      <c r="C4176" s="13">
        <v>2</v>
      </c>
      <c r="D4176" s="118" t="s">
        <v>7032</v>
      </c>
      <c r="E4176" s="28" t="s">
        <v>7504</v>
      </c>
      <c r="F4176" s="12" t="s">
        <v>7506</v>
      </c>
      <c r="G4176" s="118" t="s">
        <v>78</v>
      </c>
    </row>
    <row r="4177" spans="1:8" hidden="1" x14ac:dyDescent="0.25">
      <c r="A4177" s="35" t="s">
        <v>7510</v>
      </c>
      <c r="B4177" s="12" t="s">
        <v>7511</v>
      </c>
      <c r="C4177" s="13">
        <v>2</v>
      </c>
      <c r="D4177" s="118" t="s">
        <v>7032</v>
      </c>
      <c r="E4177" s="28" t="s">
        <v>7512</v>
      </c>
      <c r="F4177" s="12" t="s">
        <v>7514</v>
      </c>
      <c r="G4177" s="118" t="s">
        <v>78</v>
      </c>
    </row>
    <row r="4178" spans="1:8" hidden="1" x14ac:dyDescent="0.25">
      <c r="A4178" s="35" t="s">
        <v>7518</v>
      </c>
      <c r="B4178" s="12" t="s">
        <v>7519</v>
      </c>
      <c r="C4178" s="13">
        <v>2</v>
      </c>
      <c r="D4178" s="118" t="s">
        <v>7032</v>
      </c>
      <c r="E4178" s="28" t="s">
        <v>7520</v>
      </c>
      <c r="F4178" s="12" t="s">
        <v>7522</v>
      </c>
      <c r="G4178" s="118" t="s">
        <v>78</v>
      </c>
    </row>
    <row r="4179" spans="1:8" hidden="1" x14ac:dyDescent="0.25">
      <c r="A4179" s="35" t="s">
        <v>7526</v>
      </c>
      <c r="B4179" s="12" t="s">
        <v>7527</v>
      </c>
      <c r="C4179" s="13">
        <v>2</v>
      </c>
      <c r="D4179" s="118" t="s">
        <v>7032</v>
      </c>
      <c r="E4179" s="28" t="s">
        <v>7528</v>
      </c>
      <c r="F4179" s="12" t="s">
        <v>7530</v>
      </c>
      <c r="G4179" s="118" t="s">
        <v>78</v>
      </c>
    </row>
    <row r="4180" spans="1:8" ht="12.75" hidden="1" thickBot="1" x14ac:dyDescent="0.3">
      <c r="A4180" s="47" t="s">
        <v>7534</v>
      </c>
      <c r="B4180" s="30" t="s">
        <v>7535</v>
      </c>
      <c r="C4180" s="31">
        <v>2</v>
      </c>
      <c r="D4180" s="159" t="s">
        <v>7032</v>
      </c>
      <c r="E4180" s="32" t="s">
        <v>7536</v>
      </c>
      <c r="F4180" s="30" t="s">
        <v>7538</v>
      </c>
      <c r="G4180" s="159" t="s">
        <v>78</v>
      </c>
      <c r="H4180" s="12"/>
    </row>
    <row r="4181" spans="1:8" hidden="1" x14ac:dyDescent="0.25">
      <c r="A4181" s="35" t="s">
        <v>7542</v>
      </c>
      <c r="B4181" s="12" t="s">
        <v>7543</v>
      </c>
      <c r="C4181" s="13">
        <v>2</v>
      </c>
      <c r="D4181" s="118" t="s">
        <v>7032</v>
      </c>
      <c r="E4181" s="28" t="s">
        <v>7544</v>
      </c>
      <c r="F4181" s="12" t="s">
        <v>7546</v>
      </c>
      <c r="G4181" s="118" t="s">
        <v>78</v>
      </c>
    </row>
    <row r="4182" spans="1:8" hidden="1" x14ac:dyDescent="0.25">
      <c r="A4182" s="35" t="s">
        <v>7550</v>
      </c>
      <c r="B4182" s="12" t="s">
        <v>7551</v>
      </c>
      <c r="C4182" s="13">
        <v>2</v>
      </c>
      <c r="D4182" s="118" t="s">
        <v>7032</v>
      </c>
      <c r="E4182" s="28" t="s">
        <v>7552</v>
      </c>
      <c r="F4182" s="12" t="s">
        <v>7554</v>
      </c>
      <c r="G4182" s="118" t="s">
        <v>78</v>
      </c>
    </row>
    <row r="4183" spans="1:8" hidden="1" x14ac:dyDescent="0.25">
      <c r="A4183" s="35" t="s">
        <v>7558</v>
      </c>
      <c r="B4183" s="12" t="s">
        <v>7559</v>
      </c>
      <c r="C4183" s="13">
        <v>2</v>
      </c>
      <c r="D4183" s="118" t="s">
        <v>7032</v>
      </c>
      <c r="E4183" s="28" t="s">
        <v>7560</v>
      </c>
      <c r="F4183" s="12" t="s">
        <v>7562</v>
      </c>
      <c r="G4183" s="118" t="s">
        <v>78</v>
      </c>
    </row>
    <row r="4184" spans="1:8" hidden="1" x14ac:dyDescent="0.25">
      <c r="A4184" s="35" t="s">
        <v>7566</v>
      </c>
      <c r="B4184" s="12" t="s">
        <v>7567</v>
      </c>
      <c r="C4184" s="13">
        <v>2</v>
      </c>
      <c r="D4184" s="118" t="s">
        <v>7032</v>
      </c>
      <c r="E4184" s="28" t="s">
        <v>7568</v>
      </c>
      <c r="F4184" s="12" t="s">
        <v>7570</v>
      </c>
      <c r="G4184" s="118" t="s">
        <v>78</v>
      </c>
    </row>
    <row r="4185" spans="1:8" ht="12.75" hidden="1" thickBot="1" x14ac:dyDescent="0.3">
      <c r="A4185" s="47" t="s">
        <v>7574</v>
      </c>
      <c r="B4185" s="30" t="s">
        <v>7575</v>
      </c>
      <c r="C4185" s="31">
        <v>2</v>
      </c>
      <c r="D4185" s="159" t="s">
        <v>7032</v>
      </c>
      <c r="E4185" s="32" t="s">
        <v>7576</v>
      </c>
      <c r="F4185" s="30" t="s">
        <v>7578</v>
      </c>
      <c r="G4185" s="159" t="s">
        <v>78</v>
      </c>
    </row>
    <row r="4186" spans="1:8" hidden="1" x14ac:dyDescent="0.25">
      <c r="A4186" s="35" t="s">
        <v>7582</v>
      </c>
      <c r="B4186" s="12" t="s">
        <v>1360</v>
      </c>
      <c r="C4186" s="13">
        <v>2</v>
      </c>
      <c r="D4186" s="118" t="s">
        <v>7032</v>
      </c>
      <c r="E4186" s="28" t="s">
        <v>7583</v>
      </c>
      <c r="F4186" s="12" t="s">
        <v>7585</v>
      </c>
      <c r="G4186" s="118" t="s">
        <v>78</v>
      </c>
    </row>
    <row r="4187" spans="1:8" hidden="1" x14ac:dyDescent="0.25">
      <c r="A4187" s="35" t="s">
        <v>7589</v>
      </c>
      <c r="B4187" s="12" t="s">
        <v>1445</v>
      </c>
      <c r="C4187" s="13">
        <v>2</v>
      </c>
      <c r="D4187" s="118" t="s">
        <v>7032</v>
      </c>
      <c r="E4187" s="28" t="s">
        <v>7590</v>
      </c>
      <c r="F4187" s="12" t="s">
        <v>7592</v>
      </c>
      <c r="G4187" s="118" t="s">
        <v>78</v>
      </c>
    </row>
    <row r="4188" spans="1:8" hidden="1" x14ac:dyDescent="0.25">
      <c r="A4188" s="35" t="s">
        <v>7596</v>
      </c>
      <c r="B4188" s="12" t="s">
        <v>7597</v>
      </c>
      <c r="C4188" s="13">
        <v>2</v>
      </c>
      <c r="D4188" s="118" t="s">
        <v>7032</v>
      </c>
      <c r="E4188" s="28" t="s">
        <v>7598</v>
      </c>
      <c r="F4188" s="12" t="s">
        <v>7600</v>
      </c>
      <c r="G4188" s="118" t="s">
        <v>78</v>
      </c>
    </row>
    <row r="4189" spans="1:8" hidden="1" x14ac:dyDescent="0.25">
      <c r="A4189" s="35" t="s">
        <v>7604</v>
      </c>
      <c r="B4189" s="12" t="s">
        <v>7605</v>
      </c>
      <c r="C4189" s="13">
        <v>2</v>
      </c>
      <c r="D4189" s="118" t="s">
        <v>7032</v>
      </c>
      <c r="E4189" s="28" t="s">
        <v>7606</v>
      </c>
      <c r="F4189" s="12" t="s">
        <v>7608</v>
      </c>
      <c r="G4189" s="118" t="s">
        <v>78</v>
      </c>
    </row>
    <row r="4190" spans="1:8" ht="12.75" hidden="1" thickBot="1" x14ac:dyDescent="0.3">
      <c r="A4190" s="47" t="s">
        <v>7612</v>
      </c>
      <c r="B4190" s="30" t="s">
        <v>7613</v>
      </c>
      <c r="C4190" s="31">
        <v>2</v>
      </c>
      <c r="D4190" s="159" t="s">
        <v>7032</v>
      </c>
      <c r="E4190" s="32" t="s">
        <v>7614</v>
      </c>
      <c r="F4190" s="30" t="s">
        <v>7616</v>
      </c>
      <c r="G4190" s="159" t="s">
        <v>78</v>
      </c>
    </row>
    <row r="4191" spans="1:8" hidden="1" x14ac:dyDescent="0.25">
      <c r="A4191" s="35" t="s">
        <v>7620</v>
      </c>
      <c r="B4191" s="12" t="s">
        <v>7621</v>
      </c>
      <c r="C4191" s="13">
        <v>2</v>
      </c>
      <c r="D4191" s="118" t="s">
        <v>7032</v>
      </c>
      <c r="E4191" s="28" t="s">
        <v>7622</v>
      </c>
      <c r="F4191" s="12" t="s">
        <v>7624</v>
      </c>
      <c r="G4191" s="118" t="s">
        <v>78</v>
      </c>
    </row>
    <row r="4192" spans="1:8" hidden="1" x14ac:dyDescent="0.25">
      <c r="A4192" s="35" t="s">
        <v>7628</v>
      </c>
      <c r="B4192" s="12" t="s">
        <v>7629</v>
      </c>
      <c r="C4192" s="13">
        <v>2</v>
      </c>
      <c r="D4192" s="118" t="s">
        <v>7032</v>
      </c>
      <c r="E4192" s="28" t="s">
        <v>7630</v>
      </c>
      <c r="F4192" s="12" t="s">
        <v>7632</v>
      </c>
      <c r="G4192" s="118" t="s">
        <v>78</v>
      </c>
    </row>
    <row r="4193" spans="1:7" hidden="1" x14ac:dyDescent="0.25">
      <c r="A4193" s="35" t="s">
        <v>7636</v>
      </c>
      <c r="B4193" s="12" t="s">
        <v>7637</v>
      </c>
      <c r="C4193" s="13">
        <v>2</v>
      </c>
      <c r="D4193" s="118" t="s">
        <v>7032</v>
      </c>
      <c r="E4193" s="28" t="s">
        <v>7638</v>
      </c>
      <c r="F4193" s="12" t="s">
        <v>7640</v>
      </c>
      <c r="G4193" s="118" t="s">
        <v>78</v>
      </c>
    </row>
    <row r="4194" spans="1:7" hidden="1" x14ac:dyDescent="0.25">
      <c r="A4194" s="35" t="s">
        <v>7644</v>
      </c>
      <c r="B4194" s="12" t="s">
        <v>7645</v>
      </c>
      <c r="C4194" s="13">
        <v>2</v>
      </c>
      <c r="D4194" s="118" t="s">
        <v>7032</v>
      </c>
      <c r="E4194" s="28" t="s">
        <v>7646</v>
      </c>
      <c r="F4194" s="12" t="s">
        <v>7648</v>
      </c>
      <c r="G4194" s="118" t="s">
        <v>78</v>
      </c>
    </row>
    <row r="4195" spans="1:7" ht="12.75" hidden="1" thickBot="1" x14ac:dyDescent="0.3">
      <c r="A4195" s="47" t="s">
        <v>7652</v>
      </c>
      <c r="B4195" s="30" t="s">
        <v>7653</v>
      </c>
      <c r="C4195" s="31">
        <v>2</v>
      </c>
      <c r="D4195" s="159" t="s">
        <v>7032</v>
      </c>
      <c r="E4195" s="32" t="s">
        <v>7654</v>
      </c>
      <c r="F4195" s="30" t="s">
        <v>7656</v>
      </c>
      <c r="G4195" s="159" t="s">
        <v>78</v>
      </c>
    </row>
    <row r="4196" spans="1:7" hidden="1" x14ac:dyDescent="0.25">
      <c r="A4196" s="35" t="s">
        <v>7660</v>
      </c>
      <c r="B4196" s="12" t="s">
        <v>7661</v>
      </c>
      <c r="C4196" s="13">
        <v>2</v>
      </c>
      <c r="D4196" s="118" t="s">
        <v>7032</v>
      </c>
      <c r="E4196" s="28" t="s">
        <v>7662</v>
      </c>
      <c r="F4196" s="12" t="s">
        <v>7664</v>
      </c>
      <c r="G4196" s="118" t="s">
        <v>78</v>
      </c>
    </row>
    <row r="4197" spans="1:7" hidden="1" x14ac:dyDescent="0.25">
      <c r="A4197" s="35" t="s">
        <v>7668</v>
      </c>
      <c r="B4197" s="12" t="s">
        <v>7669</v>
      </c>
      <c r="C4197" s="13">
        <v>2</v>
      </c>
      <c r="D4197" s="118" t="s">
        <v>7032</v>
      </c>
      <c r="E4197" s="28" t="s">
        <v>7670</v>
      </c>
      <c r="F4197" s="12" t="s">
        <v>7672</v>
      </c>
      <c r="G4197" s="118" t="s">
        <v>78</v>
      </c>
    </row>
    <row r="4198" spans="1:7" hidden="1" x14ac:dyDescent="0.25">
      <c r="A4198" s="35" t="s">
        <v>7676</v>
      </c>
      <c r="B4198" s="12" t="s">
        <v>1165</v>
      </c>
      <c r="C4198" s="13">
        <v>2</v>
      </c>
      <c r="D4198" s="118" t="s">
        <v>7032</v>
      </c>
      <c r="E4198" s="28" t="s">
        <v>7677</v>
      </c>
      <c r="F4198" s="12" t="s">
        <v>7679</v>
      </c>
      <c r="G4198" s="118" t="s">
        <v>78</v>
      </c>
    </row>
    <row r="4199" spans="1:7" hidden="1" x14ac:dyDescent="0.25">
      <c r="A4199" s="35" t="s">
        <v>7683</v>
      </c>
      <c r="B4199" s="12" t="s">
        <v>7684</v>
      </c>
      <c r="C4199" s="13">
        <v>2</v>
      </c>
      <c r="D4199" s="118" t="s">
        <v>7032</v>
      </c>
      <c r="E4199" s="28" t="s">
        <v>7685</v>
      </c>
      <c r="F4199" s="12" t="s">
        <v>7687</v>
      </c>
      <c r="G4199" s="118" t="s">
        <v>78</v>
      </c>
    </row>
    <row r="4200" spans="1:7" ht="12.75" hidden="1" thickBot="1" x14ac:dyDescent="0.3">
      <c r="A4200" s="47" t="s">
        <v>7691</v>
      </c>
      <c r="B4200" s="30" t="s">
        <v>5347</v>
      </c>
      <c r="C4200" s="31">
        <v>2</v>
      </c>
      <c r="D4200" s="159" t="s">
        <v>7032</v>
      </c>
      <c r="E4200" s="32" t="s">
        <v>7692</v>
      </c>
      <c r="F4200" s="30" t="s">
        <v>7694</v>
      </c>
      <c r="G4200" s="159" t="s">
        <v>78</v>
      </c>
    </row>
    <row r="4201" spans="1:7" hidden="1" x14ac:dyDescent="0.25">
      <c r="A4201" s="35" t="s">
        <v>7698</v>
      </c>
      <c r="B4201" s="12" t="s">
        <v>7699</v>
      </c>
      <c r="C4201" s="13">
        <v>2</v>
      </c>
      <c r="D4201" s="118" t="s">
        <v>7032</v>
      </c>
      <c r="E4201" s="28" t="s">
        <v>7700</v>
      </c>
      <c r="F4201" s="12" t="s">
        <v>7702</v>
      </c>
      <c r="G4201" s="118" t="s">
        <v>78</v>
      </c>
    </row>
    <row r="4202" spans="1:7" hidden="1" x14ac:dyDescent="0.25">
      <c r="A4202" s="35" t="s">
        <v>7706</v>
      </c>
      <c r="B4202" s="12" t="s">
        <v>2289</v>
      </c>
      <c r="C4202" s="13">
        <v>2</v>
      </c>
      <c r="D4202" s="118" t="s">
        <v>7032</v>
      </c>
      <c r="E4202" s="28" t="s">
        <v>7707</v>
      </c>
      <c r="F4202" s="12" t="s">
        <v>7709</v>
      </c>
      <c r="G4202" s="118" t="s">
        <v>78</v>
      </c>
    </row>
    <row r="4203" spans="1:7" hidden="1" x14ac:dyDescent="0.25">
      <c r="A4203" s="35" t="s">
        <v>7713</v>
      </c>
      <c r="B4203" s="12" t="s">
        <v>7714</v>
      </c>
      <c r="C4203" s="13">
        <v>2</v>
      </c>
      <c r="D4203" s="118" t="s">
        <v>7032</v>
      </c>
      <c r="E4203" s="28" t="s">
        <v>7715</v>
      </c>
      <c r="F4203" s="12" t="s">
        <v>7717</v>
      </c>
      <c r="G4203" s="118" t="s">
        <v>78</v>
      </c>
    </row>
    <row r="4204" spans="1:7" hidden="1" x14ac:dyDescent="0.25">
      <c r="A4204" s="35" t="s">
        <v>7721</v>
      </c>
      <c r="B4204" s="12" t="s">
        <v>5435</v>
      </c>
      <c r="C4204" s="13">
        <v>2</v>
      </c>
      <c r="D4204" s="118" t="s">
        <v>7032</v>
      </c>
      <c r="E4204" s="28" t="s">
        <v>7722</v>
      </c>
      <c r="F4204" s="12" t="s">
        <v>7724</v>
      </c>
      <c r="G4204" s="118" t="s">
        <v>78</v>
      </c>
    </row>
    <row r="4205" spans="1:7" ht="12.75" hidden="1" thickBot="1" x14ac:dyDescent="0.3">
      <c r="A4205" s="47" t="s">
        <v>7728</v>
      </c>
      <c r="B4205" s="30" t="s">
        <v>6703</v>
      </c>
      <c r="C4205" s="31">
        <v>2</v>
      </c>
      <c r="D4205" s="159" t="s">
        <v>7032</v>
      </c>
      <c r="E4205" s="32" t="s">
        <v>7729</v>
      </c>
      <c r="F4205" s="30" t="s">
        <v>7731</v>
      </c>
      <c r="G4205" s="159" t="s">
        <v>78</v>
      </c>
    </row>
    <row r="4206" spans="1:7" hidden="1" x14ac:dyDescent="0.25">
      <c r="A4206" s="35" t="s">
        <v>7735</v>
      </c>
      <c r="B4206" s="12" t="s">
        <v>6705</v>
      </c>
      <c r="C4206" s="13">
        <v>2</v>
      </c>
      <c r="D4206" s="118" t="s">
        <v>7032</v>
      </c>
      <c r="E4206" s="28" t="s">
        <v>7736</v>
      </c>
      <c r="F4206" s="12" t="s">
        <v>7738</v>
      </c>
      <c r="G4206" s="118" t="s">
        <v>78</v>
      </c>
    </row>
    <row r="4207" spans="1:7" hidden="1" x14ac:dyDescent="0.25">
      <c r="A4207" s="35" t="s">
        <v>7742</v>
      </c>
      <c r="B4207" s="12" t="s">
        <v>7743</v>
      </c>
      <c r="C4207" s="13">
        <v>2</v>
      </c>
      <c r="D4207" s="118" t="s">
        <v>7032</v>
      </c>
      <c r="E4207" s="28" t="s">
        <v>7744</v>
      </c>
      <c r="F4207" s="12" t="s">
        <v>7746</v>
      </c>
      <c r="G4207" s="118" t="s">
        <v>78</v>
      </c>
    </row>
    <row r="4208" spans="1:7" hidden="1" x14ac:dyDescent="0.25">
      <c r="A4208" s="35" t="s">
        <v>7750</v>
      </c>
      <c r="B4208" s="12" t="s">
        <v>6709</v>
      </c>
      <c r="C4208" s="13">
        <v>2</v>
      </c>
      <c r="D4208" s="118" t="s">
        <v>7032</v>
      </c>
      <c r="E4208" s="28" t="s">
        <v>7751</v>
      </c>
      <c r="F4208" s="12" t="s">
        <v>7753</v>
      </c>
      <c r="G4208" s="118" t="s">
        <v>78</v>
      </c>
    </row>
    <row r="4209" spans="1:7" hidden="1" x14ac:dyDescent="0.25">
      <c r="A4209" s="35" t="s">
        <v>7757</v>
      </c>
      <c r="B4209" s="12" t="s">
        <v>6715</v>
      </c>
      <c r="C4209" s="13">
        <v>2</v>
      </c>
      <c r="D4209" s="118" t="s">
        <v>7032</v>
      </c>
      <c r="E4209" s="28" t="s">
        <v>7758</v>
      </c>
      <c r="F4209" s="12" t="s">
        <v>7760</v>
      </c>
      <c r="G4209" s="118" t="s">
        <v>78</v>
      </c>
    </row>
    <row r="4210" spans="1:7" ht="12.75" hidden="1" thickBot="1" x14ac:dyDescent="0.3">
      <c r="A4210" s="47" t="s">
        <v>7764</v>
      </c>
      <c r="B4210" s="30" t="s">
        <v>7765</v>
      </c>
      <c r="C4210" s="31">
        <v>2</v>
      </c>
      <c r="D4210" s="159" t="s">
        <v>7032</v>
      </c>
      <c r="E4210" s="32" t="s">
        <v>7766</v>
      </c>
      <c r="F4210" s="30" t="s">
        <v>7768</v>
      </c>
      <c r="G4210" s="159" t="s">
        <v>78</v>
      </c>
    </row>
    <row r="4211" spans="1:7" hidden="1" x14ac:dyDescent="0.25">
      <c r="A4211" s="35" t="s">
        <v>7772</v>
      </c>
      <c r="B4211" s="12" t="s">
        <v>7773</v>
      </c>
      <c r="C4211" s="13">
        <v>2</v>
      </c>
      <c r="D4211" s="118" t="s">
        <v>7032</v>
      </c>
      <c r="E4211" s="28" t="s">
        <v>7774</v>
      </c>
      <c r="F4211" s="12" t="s">
        <v>7776</v>
      </c>
      <c r="G4211" s="118" t="s">
        <v>78</v>
      </c>
    </row>
    <row r="4212" spans="1:7" hidden="1" x14ac:dyDescent="0.25">
      <c r="A4212" s="35" t="s">
        <v>7780</v>
      </c>
      <c r="B4212" s="12" t="s">
        <v>7781</v>
      </c>
      <c r="C4212" s="13">
        <v>2</v>
      </c>
      <c r="D4212" s="118" t="s">
        <v>7032</v>
      </c>
      <c r="E4212" s="28" t="s">
        <v>7782</v>
      </c>
      <c r="F4212" s="12" t="s">
        <v>7784</v>
      </c>
      <c r="G4212" s="118" t="s">
        <v>78</v>
      </c>
    </row>
    <row r="4213" spans="1:7" hidden="1" x14ac:dyDescent="0.25">
      <c r="A4213" s="35" t="s">
        <v>7788</v>
      </c>
      <c r="B4213" s="12" t="s">
        <v>1490</v>
      </c>
      <c r="C4213" s="13">
        <v>2</v>
      </c>
      <c r="D4213" s="118" t="s">
        <v>7032</v>
      </c>
      <c r="E4213" s="28" t="s">
        <v>7789</v>
      </c>
      <c r="F4213" s="12" t="s">
        <v>7791</v>
      </c>
      <c r="G4213" s="118" t="s">
        <v>78</v>
      </c>
    </row>
    <row r="4214" spans="1:7" hidden="1" x14ac:dyDescent="0.25">
      <c r="A4214" s="35" t="s">
        <v>7795</v>
      </c>
      <c r="B4214" s="12" t="s">
        <v>7796</v>
      </c>
      <c r="C4214" s="13">
        <v>2</v>
      </c>
      <c r="D4214" s="118" t="s">
        <v>7032</v>
      </c>
      <c r="E4214" s="28" t="s">
        <v>7797</v>
      </c>
      <c r="F4214" s="12" t="s">
        <v>7799</v>
      </c>
      <c r="G4214" s="118" t="s">
        <v>78</v>
      </c>
    </row>
    <row r="4215" spans="1:7" ht="12.75" hidden="1" thickBot="1" x14ac:dyDescent="0.3">
      <c r="A4215" s="47" t="s">
        <v>7803</v>
      </c>
      <c r="B4215" s="30" t="s">
        <v>7804</v>
      </c>
      <c r="C4215" s="31">
        <v>2</v>
      </c>
      <c r="D4215" s="159" t="s">
        <v>7032</v>
      </c>
      <c r="E4215" s="32" t="s">
        <v>7805</v>
      </c>
      <c r="F4215" s="30" t="s">
        <v>7807</v>
      </c>
      <c r="G4215" s="159" t="s">
        <v>78</v>
      </c>
    </row>
    <row r="4216" spans="1:7" hidden="1" x14ac:dyDescent="0.25">
      <c r="A4216" s="35" t="s">
        <v>7811</v>
      </c>
      <c r="B4216" s="12" t="s">
        <v>7812</v>
      </c>
      <c r="C4216" s="13">
        <v>2</v>
      </c>
      <c r="D4216" s="118" t="s">
        <v>7032</v>
      </c>
      <c r="E4216" s="28" t="s">
        <v>7813</v>
      </c>
      <c r="F4216" s="12" t="s">
        <v>7815</v>
      </c>
      <c r="G4216" s="118" t="s">
        <v>78</v>
      </c>
    </row>
    <row r="4217" spans="1:7" hidden="1" x14ac:dyDescent="0.25">
      <c r="A4217" s="35" t="s">
        <v>7819</v>
      </c>
      <c r="B4217" s="12" t="s">
        <v>7820</v>
      </c>
      <c r="C4217" s="13">
        <v>2</v>
      </c>
      <c r="D4217" s="118" t="s">
        <v>7032</v>
      </c>
      <c r="E4217" s="28" t="s">
        <v>7821</v>
      </c>
      <c r="F4217" s="12" t="s">
        <v>7823</v>
      </c>
      <c r="G4217" s="118" t="s">
        <v>78</v>
      </c>
    </row>
    <row r="4218" spans="1:7" hidden="1" x14ac:dyDescent="0.25">
      <c r="A4218" s="35" t="s">
        <v>7827</v>
      </c>
      <c r="B4218" s="12" t="s">
        <v>7828</v>
      </c>
      <c r="C4218" s="13">
        <v>2</v>
      </c>
      <c r="D4218" s="118" t="s">
        <v>7032</v>
      </c>
      <c r="E4218" s="28" t="s">
        <v>7829</v>
      </c>
      <c r="F4218" s="12" t="s">
        <v>7831</v>
      </c>
      <c r="G4218" s="118" t="s">
        <v>78</v>
      </c>
    </row>
    <row r="4219" spans="1:7" hidden="1" x14ac:dyDescent="0.25">
      <c r="A4219" s="35" t="s">
        <v>7835</v>
      </c>
      <c r="B4219" s="12" t="s">
        <v>7836</v>
      </c>
      <c r="C4219" s="13">
        <v>2</v>
      </c>
      <c r="D4219" s="118" t="s">
        <v>7032</v>
      </c>
      <c r="E4219" s="28" t="s">
        <v>7837</v>
      </c>
      <c r="F4219" s="12" t="s">
        <v>7839</v>
      </c>
      <c r="G4219" s="118" t="s">
        <v>78</v>
      </c>
    </row>
    <row r="4220" spans="1:7" ht="12.75" hidden="1" thickBot="1" x14ac:dyDescent="0.3">
      <c r="A4220" s="47" t="s">
        <v>7843</v>
      </c>
      <c r="B4220" s="30" t="s">
        <v>7844</v>
      </c>
      <c r="C4220" s="31">
        <v>2</v>
      </c>
      <c r="D4220" s="159" t="s">
        <v>7032</v>
      </c>
      <c r="E4220" s="32" t="s">
        <v>7845</v>
      </c>
      <c r="F4220" s="30" t="s">
        <v>7847</v>
      </c>
      <c r="G4220" s="159" t="s">
        <v>78</v>
      </c>
    </row>
    <row r="4221" spans="1:7" hidden="1" x14ac:dyDescent="0.25">
      <c r="A4221" s="35" t="s">
        <v>7851</v>
      </c>
      <c r="B4221" s="12" t="s">
        <v>7852</v>
      </c>
      <c r="C4221" s="13">
        <v>2</v>
      </c>
      <c r="D4221" s="118" t="s">
        <v>7032</v>
      </c>
      <c r="E4221" s="28" t="s">
        <v>7853</v>
      </c>
      <c r="F4221" s="12" t="s">
        <v>7855</v>
      </c>
      <c r="G4221" s="118" t="s">
        <v>78</v>
      </c>
    </row>
    <row r="4222" spans="1:7" hidden="1" x14ac:dyDescent="0.25">
      <c r="A4222" s="35" t="s">
        <v>7859</v>
      </c>
      <c r="B4222" s="12" t="s">
        <v>7860</v>
      </c>
      <c r="C4222" s="13">
        <v>2</v>
      </c>
      <c r="D4222" s="118" t="s">
        <v>7032</v>
      </c>
      <c r="E4222" s="28" t="s">
        <v>7861</v>
      </c>
      <c r="F4222" s="12" t="s">
        <v>7863</v>
      </c>
      <c r="G4222" s="118" t="s">
        <v>78</v>
      </c>
    </row>
    <row r="4223" spans="1:7" hidden="1" x14ac:dyDescent="0.25">
      <c r="A4223" s="35" t="s">
        <v>7867</v>
      </c>
      <c r="B4223" s="12" t="s">
        <v>7868</v>
      </c>
      <c r="C4223" s="13">
        <v>2</v>
      </c>
      <c r="D4223" s="118" t="s">
        <v>7032</v>
      </c>
      <c r="E4223" s="28" t="s">
        <v>7869</v>
      </c>
      <c r="F4223" s="12" t="s">
        <v>7871</v>
      </c>
      <c r="G4223" s="118" t="s">
        <v>78</v>
      </c>
    </row>
    <row r="4224" spans="1:7" hidden="1" x14ac:dyDescent="0.25">
      <c r="A4224" s="35" t="s">
        <v>7875</v>
      </c>
      <c r="B4224" s="12" t="s">
        <v>7876</v>
      </c>
      <c r="C4224" s="13">
        <v>2</v>
      </c>
      <c r="D4224" s="118" t="s">
        <v>7032</v>
      </c>
      <c r="E4224" s="28" t="s">
        <v>7877</v>
      </c>
      <c r="F4224" s="12" t="s">
        <v>7879</v>
      </c>
      <c r="G4224" s="118" t="s">
        <v>78</v>
      </c>
    </row>
    <row r="4225" spans="1:9" ht="12.75" hidden="1" thickBot="1" x14ac:dyDescent="0.3">
      <c r="A4225" s="47" t="s">
        <v>7883</v>
      </c>
      <c r="B4225" s="30" t="s">
        <v>7884</v>
      </c>
      <c r="C4225" s="31">
        <v>2</v>
      </c>
      <c r="D4225" s="159" t="s">
        <v>7032</v>
      </c>
      <c r="E4225" s="32" t="s">
        <v>7885</v>
      </c>
      <c r="F4225" s="30" t="s">
        <v>7887</v>
      </c>
      <c r="G4225" s="159" t="s">
        <v>78</v>
      </c>
    </row>
    <row r="4226" spans="1:9" hidden="1" x14ac:dyDescent="0.25">
      <c r="A4226" s="35" t="s">
        <v>7891</v>
      </c>
      <c r="B4226" s="12" t="s">
        <v>7892</v>
      </c>
      <c r="C4226" s="13">
        <v>2</v>
      </c>
      <c r="D4226" s="118" t="s">
        <v>7032</v>
      </c>
      <c r="E4226" s="28" t="s">
        <v>7893</v>
      </c>
      <c r="F4226" s="12" t="s">
        <v>7895</v>
      </c>
      <c r="G4226" s="118" t="s">
        <v>78</v>
      </c>
    </row>
    <row r="4227" spans="1:9" hidden="1" x14ac:dyDescent="0.25">
      <c r="A4227" s="35" t="s">
        <v>7899</v>
      </c>
      <c r="B4227" s="12" t="s">
        <v>1373</v>
      </c>
      <c r="C4227" s="13">
        <v>2</v>
      </c>
      <c r="D4227" s="118" t="s">
        <v>7032</v>
      </c>
      <c r="E4227" s="28" t="s">
        <v>7900</v>
      </c>
      <c r="F4227" s="12" t="s">
        <v>7902</v>
      </c>
      <c r="G4227" s="118" t="s">
        <v>78</v>
      </c>
    </row>
    <row r="4228" spans="1:9" hidden="1" x14ac:dyDescent="0.25">
      <c r="A4228" s="35" t="s">
        <v>7906</v>
      </c>
      <c r="B4228" s="12" t="s">
        <v>1373</v>
      </c>
      <c r="C4228" s="13">
        <v>2</v>
      </c>
      <c r="D4228" s="118" t="s">
        <v>7032</v>
      </c>
      <c r="E4228" s="28" t="s">
        <v>7907</v>
      </c>
      <c r="F4228" s="12" t="s">
        <v>7909</v>
      </c>
      <c r="G4228" s="118" t="s">
        <v>78</v>
      </c>
    </row>
    <row r="4229" spans="1:9" hidden="1" x14ac:dyDescent="0.2">
      <c r="A4229" s="35" t="s">
        <v>2355</v>
      </c>
      <c r="B4229" s="12" t="s">
        <v>2356</v>
      </c>
      <c r="C4229" s="13">
        <v>7</v>
      </c>
      <c r="D4229" s="27" t="s">
        <v>2366</v>
      </c>
      <c r="E4229" s="28" t="s">
        <v>2357</v>
      </c>
      <c r="F4229" s="12" t="s">
        <v>2367</v>
      </c>
      <c r="G4229" s="118" t="s">
        <v>1323</v>
      </c>
    </row>
    <row r="4230" spans="1:9" ht="12.75" hidden="1" thickBot="1" x14ac:dyDescent="0.25">
      <c r="A4230" s="47" t="s">
        <v>5492</v>
      </c>
      <c r="B4230" s="30" t="s">
        <v>5493</v>
      </c>
      <c r="C4230" s="31">
        <v>2</v>
      </c>
      <c r="D4230" s="210" t="s">
        <v>2366</v>
      </c>
      <c r="E4230" s="32" t="s">
        <v>5494</v>
      </c>
      <c r="F4230" s="64" t="s">
        <v>5497</v>
      </c>
      <c r="G4230" s="159" t="s">
        <v>42</v>
      </c>
      <c r="I4230" s="90">
        <v>12</v>
      </c>
    </row>
    <row r="4231" spans="1:9" hidden="1" x14ac:dyDescent="0.25">
      <c r="A4231" s="35" t="s">
        <v>7913</v>
      </c>
      <c r="B4231" s="12" t="s">
        <v>4003</v>
      </c>
      <c r="C4231" s="13">
        <v>2</v>
      </c>
      <c r="D4231" s="118" t="s">
        <v>2366</v>
      </c>
      <c r="E4231" s="28" t="s">
        <v>7915</v>
      </c>
      <c r="F4231" s="12" t="s">
        <v>7917</v>
      </c>
      <c r="G4231" s="118" t="s">
        <v>78</v>
      </c>
    </row>
    <row r="4232" spans="1:9" hidden="1" x14ac:dyDescent="0.25">
      <c r="A4232" s="35" t="s">
        <v>7922</v>
      </c>
      <c r="B4232" s="12" t="s">
        <v>3445</v>
      </c>
      <c r="C4232" s="13">
        <v>2</v>
      </c>
      <c r="D4232" s="118" t="s">
        <v>2366</v>
      </c>
      <c r="E4232" s="28" t="s">
        <v>7923</v>
      </c>
      <c r="F4232" s="12" t="s">
        <v>7925</v>
      </c>
      <c r="G4232" s="118" t="s">
        <v>78</v>
      </c>
    </row>
    <row r="4233" spans="1:9" hidden="1" x14ac:dyDescent="0.25">
      <c r="A4233" s="35" t="s">
        <v>7929</v>
      </c>
      <c r="B4233" s="12" t="s">
        <v>4001</v>
      </c>
      <c r="C4233" s="13">
        <v>2</v>
      </c>
      <c r="D4233" s="118" t="s">
        <v>2366</v>
      </c>
      <c r="E4233" s="28" t="s">
        <v>7930</v>
      </c>
      <c r="F4233" s="12" t="s">
        <v>7932</v>
      </c>
      <c r="G4233" s="118" t="s">
        <v>78</v>
      </c>
    </row>
    <row r="4234" spans="1:9" hidden="1" x14ac:dyDescent="0.25">
      <c r="A4234" s="35" t="s">
        <v>7936</v>
      </c>
      <c r="B4234" s="12" t="s">
        <v>5488</v>
      </c>
      <c r="C4234" s="13">
        <v>2</v>
      </c>
      <c r="D4234" s="118" t="s">
        <v>2366</v>
      </c>
      <c r="E4234" s="28" t="s">
        <v>7937</v>
      </c>
      <c r="F4234" s="12" t="s">
        <v>7939</v>
      </c>
      <c r="G4234" s="118" t="s">
        <v>78</v>
      </c>
    </row>
    <row r="4235" spans="1:9" ht="12.75" hidden="1" thickBot="1" x14ac:dyDescent="0.3">
      <c r="A4235" s="47" t="s">
        <v>7943</v>
      </c>
      <c r="B4235" s="30" t="s">
        <v>7944</v>
      </c>
      <c r="C4235" s="31">
        <v>2</v>
      </c>
      <c r="D4235" s="159" t="s">
        <v>2366</v>
      </c>
      <c r="E4235" s="32" t="s">
        <v>7945</v>
      </c>
      <c r="F4235" s="30" t="s">
        <v>7947</v>
      </c>
      <c r="G4235" s="159" t="s">
        <v>78</v>
      </c>
    </row>
    <row r="4236" spans="1:9" hidden="1" x14ac:dyDescent="0.25">
      <c r="A4236" s="35" t="s">
        <v>7951</v>
      </c>
      <c r="B4236" s="12" t="s">
        <v>7952</v>
      </c>
      <c r="C4236" s="13">
        <v>2</v>
      </c>
      <c r="D4236" s="118" t="s">
        <v>2366</v>
      </c>
      <c r="E4236" s="28" t="s">
        <v>7953</v>
      </c>
      <c r="F4236" s="12" t="s">
        <v>7955</v>
      </c>
      <c r="G4236" s="118" t="s">
        <v>78</v>
      </c>
    </row>
    <row r="4237" spans="1:9" hidden="1" x14ac:dyDescent="0.25">
      <c r="A4237" s="35" t="s">
        <v>7959</v>
      </c>
      <c r="B4237" s="12" t="s">
        <v>7960</v>
      </c>
      <c r="C4237" s="13">
        <v>2</v>
      </c>
      <c r="D4237" s="118" t="s">
        <v>2366</v>
      </c>
      <c r="E4237" s="28" t="s">
        <v>7961</v>
      </c>
      <c r="F4237" s="12" t="s">
        <v>7963</v>
      </c>
      <c r="G4237" s="118" t="s">
        <v>78</v>
      </c>
    </row>
    <row r="4238" spans="1:9" hidden="1" x14ac:dyDescent="0.25">
      <c r="A4238" s="35" t="s">
        <v>7967</v>
      </c>
      <c r="B4238" s="12" t="s">
        <v>3405</v>
      </c>
      <c r="C4238" s="13">
        <v>2</v>
      </c>
      <c r="D4238" s="118" t="s">
        <v>2366</v>
      </c>
      <c r="E4238" s="28" t="s">
        <v>7968</v>
      </c>
      <c r="F4238" s="12" t="s">
        <v>7970</v>
      </c>
      <c r="G4238" s="118" t="s">
        <v>78</v>
      </c>
    </row>
    <row r="4239" spans="1:9" hidden="1" x14ac:dyDescent="0.25">
      <c r="A4239" s="35" t="s">
        <v>7974</v>
      </c>
      <c r="B4239" s="12" t="s">
        <v>7975</v>
      </c>
      <c r="C4239" s="13">
        <v>2</v>
      </c>
      <c r="D4239" s="118" t="s">
        <v>2366</v>
      </c>
      <c r="E4239" s="28" t="s">
        <v>7976</v>
      </c>
      <c r="F4239" s="12" t="s">
        <v>7978</v>
      </c>
      <c r="G4239" s="118" t="s">
        <v>78</v>
      </c>
    </row>
    <row r="4240" spans="1:9" ht="12.75" hidden="1" thickBot="1" x14ac:dyDescent="0.3">
      <c r="A4240" s="47" t="s">
        <v>7982</v>
      </c>
      <c r="B4240" s="30" t="s">
        <v>3416</v>
      </c>
      <c r="C4240" s="31">
        <v>2</v>
      </c>
      <c r="D4240" s="159" t="s">
        <v>2366</v>
      </c>
      <c r="E4240" s="32" t="s">
        <v>7983</v>
      </c>
      <c r="F4240" s="30" t="s">
        <v>7985</v>
      </c>
      <c r="G4240" s="159" t="s">
        <v>78</v>
      </c>
    </row>
    <row r="4241" spans="1:9" hidden="1" x14ac:dyDescent="0.25">
      <c r="A4241" s="35" t="s">
        <v>7989</v>
      </c>
      <c r="B4241" s="12" t="s">
        <v>1377</v>
      </c>
      <c r="C4241" s="13">
        <v>2</v>
      </c>
      <c r="D4241" s="118" t="s">
        <v>2366</v>
      </c>
      <c r="E4241" s="28" t="s">
        <v>7990</v>
      </c>
      <c r="F4241" s="12" t="s">
        <v>7992</v>
      </c>
      <c r="G4241" s="118" t="s">
        <v>78</v>
      </c>
    </row>
    <row r="4242" spans="1:9" hidden="1" x14ac:dyDescent="0.25">
      <c r="A4242" s="35" t="s">
        <v>7996</v>
      </c>
      <c r="B4242" s="12" t="s">
        <v>5993</v>
      </c>
      <c r="C4242" s="13">
        <v>2</v>
      </c>
      <c r="D4242" s="118" t="s">
        <v>2366</v>
      </c>
      <c r="E4242" s="28" t="s">
        <v>7997</v>
      </c>
      <c r="F4242" s="12" t="s">
        <v>7999</v>
      </c>
      <c r="G4242" s="118" t="s">
        <v>78</v>
      </c>
    </row>
    <row r="4243" spans="1:9" hidden="1" x14ac:dyDescent="0.25">
      <c r="A4243" s="35" t="s">
        <v>8003</v>
      </c>
      <c r="B4243" s="12" t="s">
        <v>8004</v>
      </c>
      <c r="C4243" s="13">
        <v>2</v>
      </c>
      <c r="D4243" s="118" t="s">
        <v>2366</v>
      </c>
      <c r="E4243" s="28" t="s">
        <v>8005</v>
      </c>
      <c r="F4243" s="12" t="s">
        <v>8007</v>
      </c>
      <c r="G4243" s="118" t="s">
        <v>78</v>
      </c>
    </row>
    <row r="4244" spans="1:9" hidden="1" x14ac:dyDescent="0.25">
      <c r="A4244" s="35" t="s">
        <v>8011</v>
      </c>
      <c r="B4244" s="12" t="s">
        <v>8012</v>
      </c>
      <c r="C4244" s="13">
        <v>2</v>
      </c>
      <c r="D4244" s="118" t="s">
        <v>2366</v>
      </c>
      <c r="E4244" s="28" t="s">
        <v>8013</v>
      </c>
      <c r="F4244" s="12" t="s">
        <v>8015</v>
      </c>
      <c r="G4244" s="118" t="s">
        <v>78</v>
      </c>
    </row>
    <row r="4245" spans="1:9" ht="12.75" hidden="1" thickBot="1" x14ac:dyDescent="0.3">
      <c r="A4245" s="47" t="s">
        <v>8019</v>
      </c>
      <c r="B4245" s="30" t="s">
        <v>4025</v>
      </c>
      <c r="C4245" s="31">
        <v>2</v>
      </c>
      <c r="D4245" s="159" t="s">
        <v>2366</v>
      </c>
      <c r="E4245" s="32" t="s">
        <v>8020</v>
      </c>
      <c r="F4245" s="30" t="s">
        <v>8022</v>
      </c>
      <c r="G4245" s="159" t="s">
        <v>78</v>
      </c>
      <c r="I4245" s="90" t="s">
        <v>2426</v>
      </c>
    </row>
    <row r="4246" spans="1:9" hidden="1" x14ac:dyDescent="0.25">
      <c r="A4246" s="35" t="s">
        <v>8026</v>
      </c>
      <c r="B4246" s="12" t="s">
        <v>8027</v>
      </c>
      <c r="C4246" s="13">
        <v>2</v>
      </c>
      <c r="D4246" s="118" t="s">
        <v>2366</v>
      </c>
      <c r="E4246" s="28" t="s">
        <v>8028</v>
      </c>
      <c r="F4246" s="12" t="s">
        <v>8030</v>
      </c>
      <c r="G4246" s="118" t="s">
        <v>78</v>
      </c>
      <c r="I4246" s="90" t="s">
        <v>2426</v>
      </c>
    </row>
    <row r="4247" spans="1:9" hidden="1" x14ac:dyDescent="0.25">
      <c r="A4247" s="35" t="s">
        <v>8034</v>
      </c>
      <c r="B4247" s="12" t="s">
        <v>8035</v>
      </c>
      <c r="C4247" s="13">
        <v>2</v>
      </c>
      <c r="D4247" s="118" t="s">
        <v>2366</v>
      </c>
      <c r="E4247" s="28" t="s">
        <v>8036</v>
      </c>
      <c r="F4247" s="12" t="s">
        <v>8038</v>
      </c>
      <c r="G4247" s="118" t="s">
        <v>78</v>
      </c>
      <c r="I4247" s="90" t="s">
        <v>2426</v>
      </c>
    </row>
    <row r="4248" spans="1:9" hidden="1" x14ac:dyDescent="0.25">
      <c r="A4248" s="35" t="s">
        <v>8042</v>
      </c>
      <c r="B4248" s="12" t="s">
        <v>8043</v>
      </c>
      <c r="C4248" s="13">
        <v>2</v>
      </c>
      <c r="D4248" s="118" t="s">
        <v>2366</v>
      </c>
      <c r="E4248" s="28" t="s">
        <v>8044</v>
      </c>
      <c r="F4248" s="12" t="s">
        <v>8046</v>
      </c>
      <c r="G4248" s="118" t="s">
        <v>78</v>
      </c>
      <c r="I4248" s="90" t="s">
        <v>2426</v>
      </c>
    </row>
    <row r="4249" spans="1:9" hidden="1" x14ac:dyDescent="0.25">
      <c r="A4249" s="35" t="s">
        <v>8050</v>
      </c>
      <c r="B4249" s="12" t="s">
        <v>8051</v>
      </c>
      <c r="C4249" s="13">
        <v>2</v>
      </c>
      <c r="D4249" s="118" t="s">
        <v>2366</v>
      </c>
      <c r="E4249" s="28" t="s">
        <v>8052</v>
      </c>
      <c r="F4249" s="12" t="s">
        <v>8054</v>
      </c>
      <c r="G4249" s="118" t="s">
        <v>78</v>
      </c>
      <c r="I4249" s="90" t="s">
        <v>2426</v>
      </c>
    </row>
    <row r="4250" spans="1:9" ht="12.75" hidden="1" thickBot="1" x14ac:dyDescent="0.3">
      <c r="A4250" s="47" t="s">
        <v>8058</v>
      </c>
      <c r="B4250" s="30" t="s">
        <v>8059</v>
      </c>
      <c r="C4250" s="31">
        <v>2</v>
      </c>
      <c r="D4250" s="159" t="s">
        <v>2366</v>
      </c>
      <c r="E4250" s="32" t="s">
        <v>8060</v>
      </c>
      <c r="F4250" s="30" t="s">
        <v>8062</v>
      </c>
      <c r="G4250" s="159" t="s">
        <v>78</v>
      </c>
      <c r="I4250" s="90" t="s">
        <v>2426</v>
      </c>
    </row>
    <row r="4251" spans="1:9" hidden="1" x14ac:dyDescent="0.25">
      <c r="A4251" s="35" t="s">
        <v>8066</v>
      </c>
      <c r="B4251" s="12" t="s">
        <v>8067</v>
      </c>
      <c r="C4251" s="13">
        <v>2</v>
      </c>
      <c r="D4251" s="118" t="s">
        <v>2366</v>
      </c>
      <c r="E4251" s="28" t="s">
        <v>8068</v>
      </c>
      <c r="F4251" s="12" t="s">
        <v>8070</v>
      </c>
      <c r="G4251" s="118" t="s">
        <v>78</v>
      </c>
      <c r="I4251" s="90" t="s">
        <v>2426</v>
      </c>
    </row>
    <row r="4252" spans="1:9" hidden="1" x14ac:dyDescent="0.25">
      <c r="A4252" s="35" t="s">
        <v>8074</v>
      </c>
      <c r="B4252" s="12" t="s">
        <v>8075</v>
      </c>
      <c r="C4252" s="13">
        <v>2</v>
      </c>
      <c r="D4252" s="118" t="s">
        <v>2366</v>
      </c>
      <c r="E4252" s="28" t="s">
        <v>8076</v>
      </c>
      <c r="F4252" s="12" t="s">
        <v>8078</v>
      </c>
      <c r="G4252" s="118" t="s">
        <v>78</v>
      </c>
      <c r="I4252" s="90" t="s">
        <v>2426</v>
      </c>
    </row>
    <row r="4253" spans="1:9" hidden="1" x14ac:dyDescent="0.25">
      <c r="A4253" s="35" t="s">
        <v>8082</v>
      </c>
      <c r="B4253" s="12" t="s">
        <v>4382</v>
      </c>
      <c r="C4253" s="13">
        <v>2</v>
      </c>
      <c r="D4253" s="118" t="s">
        <v>2366</v>
      </c>
      <c r="E4253" s="28" t="s">
        <v>8083</v>
      </c>
      <c r="F4253" s="12" t="s">
        <v>8085</v>
      </c>
      <c r="G4253" s="118" t="s">
        <v>78</v>
      </c>
      <c r="I4253" s="90" t="s">
        <v>2426</v>
      </c>
    </row>
    <row r="4254" spans="1:9" hidden="1" x14ac:dyDescent="0.25">
      <c r="A4254" s="35" t="s">
        <v>8089</v>
      </c>
      <c r="B4254" s="12" t="s">
        <v>8090</v>
      </c>
      <c r="C4254" s="13">
        <v>2</v>
      </c>
      <c r="D4254" s="118" t="s">
        <v>2366</v>
      </c>
      <c r="E4254" s="28" t="s">
        <v>8091</v>
      </c>
      <c r="F4254" s="12" t="s">
        <v>8093</v>
      </c>
      <c r="G4254" s="118" t="s">
        <v>78</v>
      </c>
      <c r="I4254" s="90" t="s">
        <v>5668</v>
      </c>
    </row>
    <row r="4255" spans="1:9" ht="12.75" hidden="1" thickBot="1" x14ac:dyDescent="0.3">
      <c r="A4255" s="47" t="s">
        <v>8097</v>
      </c>
      <c r="B4255" s="30" t="s">
        <v>8098</v>
      </c>
      <c r="C4255" s="31">
        <v>2</v>
      </c>
      <c r="D4255" s="159" t="s">
        <v>2366</v>
      </c>
      <c r="E4255" s="32" t="s">
        <v>8099</v>
      </c>
      <c r="F4255" s="30" t="s">
        <v>8101</v>
      </c>
      <c r="G4255" s="159" t="s">
        <v>78</v>
      </c>
      <c r="I4255" s="90">
        <v>12</v>
      </c>
    </row>
    <row r="4256" spans="1:9" hidden="1" x14ac:dyDescent="0.25">
      <c r="A4256" s="35" t="s">
        <v>8105</v>
      </c>
      <c r="B4256" s="12" t="s">
        <v>79</v>
      </c>
      <c r="C4256" s="13">
        <v>2</v>
      </c>
      <c r="D4256" s="118" t="s">
        <v>2366</v>
      </c>
      <c r="E4256" s="28" t="s">
        <v>8106</v>
      </c>
      <c r="F4256" s="12" t="s">
        <v>8108</v>
      </c>
      <c r="G4256" s="118" t="s">
        <v>78</v>
      </c>
      <c r="I4256" s="90">
        <v>12</v>
      </c>
    </row>
    <row r="4257" spans="1:9" hidden="1" x14ac:dyDescent="0.25">
      <c r="A4257" s="35" t="s">
        <v>8112</v>
      </c>
      <c r="B4257" s="12" t="s">
        <v>52</v>
      </c>
      <c r="C4257" s="13">
        <v>2</v>
      </c>
      <c r="D4257" s="118" t="s">
        <v>2366</v>
      </c>
      <c r="E4257" s="28" t="s">
        <v>8113</v>
      </c>
      <c r="F4257" s="12" t="s">
        <v>8115</v>
      </c>
      <c r="G4257" s="118" t="s">
        <v>78</v>
      </c>
      <c r="I4257" s="90">
        <v>12</v>
      </c>
    </row>
    <row r="4258" spans="1:9" hidden="1" x14ac:dyDescent="0.25">
      <c r="A4258" s="35" t="s">
        <v>8119</v>
      </c>
      <c r="B4258" s="12" t="s">
        <v>8120</v>
      </c>
      <c r="C4258" s="13">
        <v>2</v>
      </c>
      <c r="D4258" s="118" t="s">
        <v>2366</v>
      </c>
      <c r="E4258" s="28" t="s">
        <v>8121</v>
      </c>
      <c r="F4258" s="12" t="s">
        <v>8123</v>
      </c>
      <c r="G4258" s="118" t="s">
        <v>78</v>
      </c>
      <c r="I4258" s="90">
        <v>12</v>
      </c>
    </row>
    <row r="4259" spans="1:9" hidden="1" x14ac:dyDescent="0.25">
      <c r="A4259" s="35" t="s">
        <v>8127</v>
      </c>
      <c r="B4259" s="12" t="s">
        <v>8128</v>
      </c>
      <c r="C4259" s="13">
        <v>2</v>
      </c>
      <c r="D4259" s="118" t="s">
        <v>2366</v>
      </c>
      <c r="E4259" s="28" t="s">
        <v>8129</v>
      </c>
      <c r="F4259" s="12" t="s">
        <v>8131</v>
      </c>
      <c r="G4259" s="118" t="s">
        <v>78</v>
      </c>
      <c r="I4259" s="90">
        <v>12</v>
      </c>
    </row>
    <row r="4260" spans="1:9" ht="12.75" hidden="1" thickBot="1" x14ac:dyDescent="0.3">
      <c r="A4260" s="47" t="s">
        <v>8135</v>
      </c>
      <c r="B4260" s="30" t="s">
        <v>8136</v>
      </c>
      <c r="C4260" s="31">
        <v>2</v>
      </c>
      <c r="D4260" s="159" t="s">
        <v>2366</v>
      </c>
      <c r="E4260" s="32" t="s">
        <v>8137</v>
      </c>
      <c r="F4260" s="30" t="s">
        <v>8139</v>
      </c>
      <c r="G4260" s="159" t="s">
        <v>78</v>
      </c>
      <c r="I4260" s="90">
        <v>12</v>
      </c>
    </row>
    <row r="4261" spans="1:9" hidden="1" x14ac:dyDescent="0.25">
      <c r="A4261" s="35" t="s">
        <v>8143</v>
      </c>
      <c r="B4261" s="12" t="s">
        <v>8144</v>
      </c>
      <c r="C4261" s="13">
        <v>2</v>
      </c>
      <c r="D4261" s="118" t="s">
        <v>2366</v>
      </c>
      <c r="E4261" s="28" t="s">
        <v>8145</v>
      </c>
      <c r="F4261" s="12" t="s">
        <v>8147</v>
      </c>
      <c r="G4261" s="118" t="s">
        <v>78</v>
      </c>
      <c r="I4261" s="90">
        <v>12</v>
      </c>
    </row>
    <row r="4262" spans="1:9" hidden="1" x14ac:dyDescent="0.25">
      <c r="A4262" s="35" t="s">
        <v>8151</v>
      </c>
      <c r="B4262" s="12" t="s">
        <v>6748</v>
      </c>
      <c r="C4262" s="13">
        <v>2</v>
      </c>
      <c r="D4262" s="118" t="s">
        <v>2366</v>
      </c>
      <c r="E4262" s="28" t="s">
        <v>8152</v>
      </c>
      <c r="F4262" s="12" t="s">
        <v>8154</v>
      </c>
      <c r="G4262" s="118" t="s">
        <v>78</v>
      </c>
      <c r="I4262" s="90">
        <v>12</v>
      </c>
    </row>
    <row r="4263" spans="1:9" hidden="1" x14ac:dyDescent="0.25">
      <c r="A4263" s="35" t="s">
        <v>8158</v>
      </c>
      <c r="B4263" s="12" t="s">
        <v>8159</v>
      </c>
      <c r="C4263" s="13">
        <v>2</v>
      </c>
      <c r="D4263" s="118" t="s">
        <v>2366</v>
      </c>
      <c r="E4263" s="28" t="s">
        <v>8160</v>
      </c>
      <c r="F4263" s="12" t="s">
        <v>8162</v>
      </c>
      <c r="G4263" s="118" t="s">
        <v>78</v>
      </c>
      <c r="I4263" s="90">
        <v>12</v>
      </c>
    </row>
    <row r="4264" spans="1:9" hidden="1" x14ac:dyDescent="0.25">
      <c r="A4264" s="35" t="s">
        <v>8166</v>
      </c>
      <c r="B4264" s="12" t="s">
        <v>8167</v>
      </c>
      <c r="C4264" s="13">
        <v>2</v>
      </c>
      <c r="D4264" s="118" t="s">
        <v>2366</v>
      </c>
      <c r="E4264" s="28" t="s">
        <v>8168</v>
      </c>
      <c r="F4264" s="12" t="s">
        <v>8170</v>
      </c>
      <c r="G4264" s="118" t="s">
        <v>78</v>
      </c>
      <c r="I4264" s="90">
        <v>12</v>
      </c>
    </row>
    <row r="4265" spans="1:9" ht="12.75" hidden="1" thickBot="1" x14ac:dyDescent="0.3">
      <c r="A4265" s="47" t="s">
        <v>8174</v>
      </c>
      <c r="B4265" s="30" t="s">
        <v>8175</v>
      </c>
      <c r="C4265" s="31">
        <v>2</v>
      </c>
      <c r="D4265" s="159" t="s">
        <v>2366</v>
      </c>
      <c r="E4265" s="32" t="s">
        <v>8176</v>
      </c>
      <c r="F4265" s="30" t="s">
        <v>8178</v>
      </c>
      <c r="G4265" s="159" t="s">
        <v>78</v>
      </c>
      <c r="I4265" s="90">
        <v>12</v>
      </c>
    </row>
    <row r="4266" spans="1:9" hidden="1" x14ac:dyDescent="0.25">
      <c r="A4266" s="35" t="s">
        <v>8182</v>
      </c>
      <c r="B4266" s="12" t="s">
        <v>6549</v>
      </c>
      <c r="C4266" s="13">
        <v>2</v>
      </c>
      <c r="D4266" s="118" t="s">
        <v>2366</v>
      </c>
      <c r="E4266" s="28" t="s">
        <v>8183</v>
      </c>
      <c r="F4266" s="12" t="s">
        <v>8185</v>
      </c>
      <c r="G4266" s="118" t="s">
        <v>78</v>
      </c>
      <c r="I4266" s="90">
        <v>12</v>
      </c>
    </row>
    <row r="4267" spans="1:9" hidden="1" x14ac:dyDescent="0.25">
      <c r="A4267" s="35" t="s">
        <v>8189</v>
      </c>
      <c r="B4267" s="12" t="s">
        <v>6551</v>
      </c>
      <c r="C4267" s="13">
        <v>2</v>
      </c>
      <c r="D4267" s="118" t="s">
        <v>2366</v>
      </c>
      <c r="E4267" s="28" t="s">
        <v>8190</v>
      </c>
      <c r="F4267" s="12" t="s">
        <v>8192</v>
      </c>
      <c r="G4267" s="118" t="s">
        <v>78</v>
      </c>
      <c r="I4267" s="90">
        <v>12</v>
      </c>
    </row>
    <row r="4268" spans="1:9" hidden="1" x14ac:dyDescent="0.25">
      <c r="A4268" s="35" t="s">
        <v>8196</v>
      </c>
      <c r="B4268" s="12" t="s">
        <v>6553</v>
      </c>
      <c r="C4268" s="13">
        <v>2</v>
      </c>
      <c r="D4268" s="118" t="s">
        <v>2366</v>
      </c>
      <c r="E4268" s="28" t="s">
        <v>8197</v>
      </c>
      <c r="F4268" s="12" t="s">
        <v>8199</v>
      </c>
      <c r="G4268" s="118" t="s">
        <v>78</v>
      </c>
      <c r="I4268" s="90">
        <v>12</v>
      </c>
    </row>
    <row r="4269" spans="1:9" hidden="1" x14ac:dyDescent="0.25">
      <c r="A4269" s="35" t="s">
        <v>8203</v>
      </c>
      <c r="B4269" s="12" t="s">
        <v>8204</v>
      </c>
      <c r="C4269" s="13">
        <v>2</v>
      </c>
      <c r="D4269" s="118" t="s">
        <v>2366</v>
      </c>
      <c r="E4269" s="28" t="s">
        <v>8205</v>
      </c>
      <c r="F4269" s="12" t="s">
        <v>8207</v>
      </c>
      <c r="G4269" s="118" t="s">
        <v>78</v>
      </c>
      <c r="I4269" s="90">
        <v>12</v>
      </c>
    </row>
    <row r="4270" spans="1:9" ht="12.75" hidden="1" thickBot="1" x14ac:dyDescent="0.3">
      <c r="A4270" s="47" t="s">
        <v>8211</v>
      </c>
      <c r="B4270" s="30" t="s">
        <v>481</v>
      </c>
      <c r="C4270" s="31">
        <v>2</v>
      </c>
      <c r="D4270" s="159" t="s">
        <v>2366</v>
      </c>
      <c r="E4270" s="32" t="s">
        <v>8212</v>
      </c>
      <c r="F4270" s="30" t="s">
        <v>8214</v>
      </c>
      <c r="G4270" s="159" t="s">
        <v>78</v>
      </c>
      <c r="I4270" s="99">
        <v>13</v>
      </c>
    </row>
    <row r="4271" spans="1:9" hidden="1" x14ac:dyDescent="0.25">
      <c r="A4271" s="35" t="s">
        <v>8218</v>
      </c>
      <c r="B4271" s="12" t="s">
        <v>8219</v>
      </c>
      <c r="C4271" s="13">
        <v>2</v>
      </c>
      <c r="D4271" s="118" t="s">
        <v>2366</v>
      </c>
      <c r="E4271" s="28" t="s">
        <v>8220</v>
      </c>
      <c r="F4271" s="12" t="s">
        <v>8222</v>
      </c>
      <c r="G4271" s="118" t="s">
        <v>78</v>
      </c>
      <c r="I4271" s="99">
        <v>13</v>
      </c>
    </row>
    <row r="4272" spans="1:9" hidden="1" x14ac:dyDescent="0.25">
      <c r="A4272" s="35" t="s">
        <v>8226</v>
      </c>
      <c r="B4272" s="12" t="s">
        <v>8227</v>
      </c>
      <c r="C4272" s="13">
        <v>2</v>
      </c>
      <c r="D4272" s="118" t="s">
        <v>2366</v>
      </c>
      <c r="E4272" s="28" t="s">
        <v>8228</v>
      </c>
      <c r="F4272" s="12" t="s">
        <v>8230</v>
      </c>
      <c r="G4272" s="118" t="s">
        <v>78</v>
      </c>
      <c r="I4272" s="99">
        <v>13</v>
      </c>
    </row>
    <row r="4273" spans="1:9" hidden="1" x14ac:dyDescent="0.25">
      <c r="A4273" s="35" t="s">
        <v>8234</v>
      </c>
      <c r="B4273" s="12" t="s">
        <v>8235</v>
      </c>
      <c r="C4273" s="13">
        <v>2</v>
      </c>
      <c r="D4273" s="118" t="s">
        <v>2366</v>
      </c>
      <c r="E4273" s="28" t="s">
        <v>8236</v>
      </c>
      <c r="F4273" s="12" t="s">
        <v>8238</v>
      </c>
      <c r="G4273" s="118" t="s">
        <v>78</v>
      </c>
      <c r="I4273" s="99">
        <v>13</v>
      </c>
    </row>
    <row r="4274" spans="1:9" hidden="1" x14ac:dyDescent="0.25">
      <c r="A4274" s="35" t="s">
        <v>8242</v>
      </c>
      <c r="B4274" s="12" t="s">
        <v>6248</v>
      </c>
      <c r="C4274" s="13">
        <v>2</v>
      </c>
      <c r="D4274" s="118" t="s">
        <v>2366</v>
      </c>
      <c r="E4274" s="28" t="s">
        <v>8243</v>
      </c>
      <c r="F4274" s="12" t="s">
        <v>8245</v>
      </c>
      <c r="G4274" s="118" t="s">
        <v>78</v>
      </c>
      <c r="I4274" s="99">
        <v>13</v>
      </c>
    </row>
    <row r="4275" spans="1:9" ht="12.75" hidden="1" thickBot="1" x14ac:dyDescent="0.3">
      <c r="A4275" s="47" t="s">
        <v>8249</v>
      </c>
      <c r="B4275" s="30" t="s">
        <v>8250</v>
      </c>
      <c r="C4275" s="31">
        <v>2</v>
      </c>
      <c r="D4275" s="159" t="s">
        <v>2366</v>
      </c>
      <c r="E4275" s="32" t="s">
        <v>8251</v>
      </c>
      <c r="F4275" s="30" t="s">
        <v>8253</v>
      </c>
      <c r="G4275" s="159" t="s">
        <v>78</v>
      </c>
      <c r="I4275" s="99">
        <v>13</v>
      </c>
    </row>
    <row r="4276" spans="1:9" hidden="1" x14ac:dyDescent="0.25">
      <c r="A4276" s="35" t="s">
        <v>8257</v>
      </c>
      <c r="B4276" s="12" t="s">
        <v>8258</v>
      </c>
      <c r="C4276" s="13">
        <v>2</v>
      </c>
      <c r="D4276" s="118" t="s">
        <v>2366</v>
      </c>
      <c r="E4276" s="28" t="s">
        <v>8259</v>
      </c>
      <c r="F4276" s="12" t="s">
        <v>8261</v>
      </c>
      <c r="G4276" s="118" t="s">
        <v>78</v>
      </c>
      <c r="I4276" s="99">
        <v>13</v>
      </c>
    </row>
    <row r="4277" spans="1:9" hidden="1" x14ac:dyDescent="0.25">
      <c r="A4277" s="35" t="s">
        <v>8265</v>
      </c>
      <c r="B4277" s="12" t="s">
        <v>1417</v>
      </c>
      <c r="C4277" s="13">
        <v>2</v>
      </c>
      <c r="D4277" s="118" t="s">
        <v>2366</v>
      </c>
      <c r="E4277" s="28" t="s">
        <v>8266</v>
      </c>
      <c r="F4277" s="12" t="s">
        <v>8268</v>
      </c>
      <c r="G4277" s="118" t="s">
        <v>78</v>
      </c>
      <c r="I4277" s="99">
        <v>13</v>
      </c>
    </row>
    <row r="4278" spans="1:9" hidden="1" x14ac:dyDescent="0.25">
      <c r="A4278" s="35" t="s">
        <v>8272</v>
      </c>
      <c r="B4278" s="12" t="s">
        <v>8273</v>
      </c>
      <c r="C4278" s="13">
        <v>2</v>
      </c>
      <c r="D4278" s="118" t="s">
        <v>2366</v>
      </c>
      <c r="E4278" s="28" t="s">
        <v>8274</v>
      </c>
      <c r="F4278" s="12" t="s">
        <v>8276</v>
      </c>
      <c r="G4278" s="118" t="s">
        <v>78</v>
      </c>
      <c r="I4278" s="94">
        <v>14</v>
      </c>
    </row>
    <row r="4279" spans="1:9" hidden="1" x14ac:dyDescent="0.25">
      <c r="A4279" s="35" t="s">
        <v>8280</v>
      </c>
      <c r="B4279" s="12" t="s">
        <v>906</v>
      </c>
      <c r="C4279" s="13">
        <v>2</v>
      </c>
      <c r="D4279" s="118" t="s">
        <v>2366</v>
      </c>
      <c r="E4279" s="28" t="s">
        <v>8281</v>
      </c>
      <c r="F4279" s="12" t="s">
        <v>8283</v>
      </c>
      <c r="G4279" s="118" t="s">
        <v>78</v>
      </c>
      <c r="I4279" s="9">
        <v>15</v>
      </c>
    </row>
    <row r="4280" spans="1:9" ht="12.75" hidden="1" thickBot="1" x14ac:dyDescent="0.3">
      <c r="A4280" s="47" t="s">
        <v>8287</v>
      </c>
      <c r="B4280" s="30" t="s">
        <v>908</v>
      </c>
      <c r="C4280" s="31">
        <v>2</v>
      </c>
      <c r="D4280" s="159" t="s">
        <v>2366</v>
      </c>
      <c r="E4280" s="32" t="s">
        <v>8288</v>
      </c>
      <c r="F4280" s="30" t="s">
        <v>8290</v>
      </c>
      <c r="G4280" s="159" t="s">
        <v>78</v>
      </c>
      <c r="I4280" s="9">
        <v>15</v>
      </c>
    </row>
    <row r="4281" spans="1:9" hidden="1" x14ac:dyDescent="0.25">
      <c r="A4281" s="35" t="s">
        <v>8294</v>
      </c>
      <c r="B4281" s="12" t="s">
        <v>8295</v>
      </c>
      <c r="C4281" s="13">
        <v>2</v>
      </c>
      <c r="D4281" s="118" t="s">
        <v>2366</v>
      </c>
      <c r="E4281" s="28" t="s">
        <v>8296</v>
      </c>
      <c r="F4281" s="12" t="s">
        <v>8298</v>
      </c>
      <c r="G4281" s="118" t="s">
        <v>78</v>
      </c>
      <c r="I4281" s="9">
        <v>15</v>
      </c>
    </row>
    <row r="4282" spans="1:9" hidden="1" x14ac:dyDescent="0.25">
      <c r="A4282" s="35" t="s">
        <v>8302</v>
      </c>
      <c r="B4282" s="12" t="s">
        <v>8303</v>
      </c>
      <c r="C4282" s="13">
        <v>2</v>
      </c>
      <c r="D4282" s="118" t="s">
        <v>2366</v>
      </c>
      <c r="E4282" s="28" t="s">
        <v>8304</v>
      </c>
      <c r="F4282" s="12" t="s">
        <v>8306</v>
      </c>
      <c r="G4282" s="118" t="s">
        <v>78</v>
      </c>
      <c r="I4282" s="9">
        <v>15</v>
      </c>
    </row>
    <row r="4283" spans="1:9" hidden="1" x14ac:dyDescent="0.25">
      <c r="A4283" s="35" t="s">
        <v>8310</v>
      </c>
      <c r="B4283" s="12" t="s">
        <v>1808</v>
      </c>
      <c r="C4283" s="13">
        <v>2</v>
      </c>
      <c r="D4283" s="118" t="s">
        <v>2366</v>
      </c>
      <c r="E4283" s="28" t="s">
        <v>8311</v>
      </c>
      <c r="F4283" s="12" t="s">
        <v>8313</v>
      </c>
      <c r="G4283" s="118" t="s">
        <v>78</v>
      </c>
      <c r="I4283" s="9">
        <v>15</v>
      </c>
    </row>
    <row r="4284" spans="1:9" hidden="1" x14ac:dyDescent="0.25">
      <c r="A4284" s="35" t="s">
        <v>8317</v>
      </c>
      <c r="B4284" s="12" t="s">
        <v>8318</v>
      </c>
      <c r="C4284" s="13">
        <v>2</v>
      </c>
      <c r="D4284" s="118" t="s">
        <v>2366</v>
      </c>
      <c r="E4284" s="28" t="s">
        <v>8319</v>
      </c>
      <c r="F4284" s="12" t="s">
        <v>8321</v>
      </c>
      <c r="G4284" s="118" t="s">
        <v>78</v>
      </c>
      <c r="I4284" s="9">
        <v>15</v>
      </c>
    </row>
    <row r="4285" spans="1:9" ht="12.75" hidden="1" thickBot="1" x14ac:dyDescent="0.3">
      <c r="A4285" s="47" t="s">
        <v>8325</v>
      </c>
      <c r="B4285" s="30" t="s">
        <v>8326</v>
      </c>
      <c r="C4285" s="31">
        <v>2</v>
      </c>
      <c r="D4285" s="159" t="s">
        <v>2366</v>
      </c>
      <c r="E4285" s="32" t="s">
        <v>8327</v>
      </c>
      <c r="F4285" s="30" t="s">
        <v>8329</v>
      </c>
      <c r="G4285" s="159" t="s">
        <v>78</v>
      </c>
      <c r="I4285" s="9">
        <v>15</v>
      </c>
    </row>
    <row r="4286" spans="1:9" hidden="1" x14ac:dyDescent="0.25">
      <c r="A4286" s="35" t="s">
        <v>8333</v>
      </c>
      <c r="B4286" s="12" t="s">
        <v>5858</v>
      </c>
      <c r="C4286" s="13">
        <v>2</v>
      </c>
      <c r="D4286" s="118" t="s">
        <v>2366</v>
      </c>
      <c r="E4286" s="28" t="s">
        <v>8334</v>
      </c>
      <c r="F4286" s="12" t="s">
        <v>8336</v>
      </c>
      <c r="G4286" s="118" t="s">
        <v>78</v>
      </c>
      <c r="I4286" s="9">
        <v>15</v>
      </c>
    </row>
    <row r="4287" spans="1:9" hidden="1" x14ac:dyDescent="0.25">
      <c r="A4287" s="35" t="s">
        <v>8340</v>
      </c>
      <c r="B4287" s="12" t="s">
        <v>768</v>
      </c>
      <c r="C4287" s="13">
        <v>2</v>
      </c>
      <c r="D4287" s="118" t="s">
        <v>2366</v>
      </c>
      <c r="E4287" s="28" t="s">
        <v>8341</v>
      </c>
      <c r="F4287" s="12" t="s">
        <v>8343</v>
      </c>
      <c r="G4287" s="118" t="s">
        <v>78</v>
      </c>
      <c r="I4287" s="9">
        <v>15</v>
      </c>
    </row>
    <row r="4288" spans="1:9" hidden="1" x14ac:dyDescent="0.25">
      <c r="A4288" s="35" t="s">
        <v>8347</v>
      </c>
      <c r="B4288" s="12" t="s">
        <v>770</v>
      </c>
      <c r="C4288" s="13">
        <v>2</v>
      </c>
      <c r="D4288" s="118" t="s">
        <v>2366</v>
      </c>
      <c r="E4288" s="28" t="s">
        <v>8348</v>
      </c>
      <c r="F4288" s="12" t="s">
        <v>8350</v>
      </c>
      <c r="G4288" s="118" t="s">
        <v>78</v>
      </c>
      <c r="I4288" s="9">
        <v>15</v>
      </c>
    </row>
    <row r="4289" spans="1:9" hidden="1" x14ac:dyDescent="0.25">
      <c r="A4289" s="35" t="s">
        <v>8354</v>
      </c>
      <c r="B4289" s="12" t="s">
        <v>772</v>
      </c>
      <c r="C4289" s="13">
        <v>2</v>
      </c>
      <c r="D4289" s="118" t="s">
        <v>2366</v>
      </c>
      <c r="E4289" s="28" t="s">
        <v>8355</v>
      </c>
      <c r="F4289" s="12" t="s">
        <v>8357</v>
      </c>
      <c r="G4289" s="118" t="s">
        <v>78</v>
      </c>
      <c r="I4289" s="9">
        <v>15</v>
      </c>
    </row>
    <row r="4290" spans="1:9" ht="12.75" hidden="1" thickBot="1" x14ac:dyDescent="0.3">
      <c r="A4290" s="47" t="s">
        <v>8361</v>
      </c>
      <c r="B4290" s="30" t="s">
        <v>8362</v>
      </c>
      <c r="C4290" s="31">
        <v>2</v>
      </c>
      <c r="D4290" s="159" t="s">
        <v>2366</v>
      </c>
      <c r="E4290" s="32" t="s">
        <v>8363</v>
      </c>
      <c r="F4290" s="30" t="s">
        <v>8365</v>
      </c>
      <c r="G4290" s="159" t="s">
        <v>78</v>
      </c>
      <c r="I4290" s="9">
        <v>15</v>
      </c>
    </row>
    <row r="4291" spans="1:9" hidden="1" x14ac:dyDescent="0.25">
      <c r="A4291" s="35" t="s">
        <v>8369</v>
      </c>
      <c r="B4291" s="12" t="s">
        <v>8370</v>
      </c>
      <c r="C4291" s="13">
        <v>2</v>
      </c>
      <c r="D4291" s="118" t="s">
        <v>2366</v>
      </c>
      <c r="E4291" s="28" t="s">
        <v>8371</v>
      </c>
      <c r="F4291" s="12" t="s">
        <v>8373</v>
      </c>
      <c r="G4291" s="118" t="s">
        <v>78</v>
      </c>
      <c r="I4291" s="9">
        <v>15</v>
      </c>
    </row>
    <row r="4292" spans="1:9" hidden="1" x14ac:dyDescent="0.25">
      <c r="A4292" s="35" t="s">
        <v>8377</v>
      </c>
      <c r="B4292" s="12" t="s">
        <v>8378</v>
      </c>
      <c r="C4292" s="13">
        <v>2</v>
      </c>
      <c r="D4292" s="118" t="s">
        <v>2366</v>
      </c>
      <c r="E4292" s="28" t="s">
        <v>8379</v>
      </c>
      <c r="F4292" s="12" t="s">
        <v>8381</v>
      </c>
      <c r="G4292" s="118" t="s">
        <v>78</v>
      </c>
      <c r="I4292" s="9">
        <v>15</v>
      </c>
    </row>
    <row r="4293" spans="1:9" hidden="1" x14ac:dyDescent="0.25">
      <c r="A4293" s="35" t="s">
        <v>8385</v>
      </c>
      <c r="B4293" s="12" t="s">
        <v>8386</v>
      </c>
      <c r="C4293" s="13">
        <v>2</v>
      </c>
      <c r="D4293" s="118" t="s">
        <v>2366</v>
      </c>
      <c r="E4293" s="28" t="s">
        <v>8387</v>
      </c>
      <c r="F4293" s="12" t="s">
        <v>8389</v>
      </c>
      <c r="G4293" s="118" t="s">
        <v>78</v>
      </c>
      <c r="I4293" s="9">
        <v>15</v>
      </c>
    </row>
    <row r="4294" spans="1:9" hidden="1" x14ac:dyDescent="0.25">
      <c r="A4294" s="35" t="s">
        <v>8393</v>
      </c>
      <c r="B4294" s="12" t="s">
        <v>8394</v>
      </c>
      <c r="C4294" s="13">
        <v>2</v>
      </c>
      <c r="D4294" s="118" t="s">
        <v>2366</v>
      </c>
      <c r="E4294" s="28" t="s">
        <v>8395</v>
      </c>
      <c r="F4294" s="12" t="s">
        <v>8397</v>
      </c>
      <c r="G4294" s="118" t="s">
        <v>78</v>
      </c>
      <c r="I4294" s="9">
        <v>15</v>
      </c>
    </row>
    <row r="4295" spans="1:9" ht="12.75" hidden="1" thickBot="1" x14ac:dyDescent="0.3">
      <c r="A4295" s="47" t="s">
        <v>8401</v>
      </c>
      <c r="B4295" s="30" t="s">
        <v>941</v>
      </c>
      <c r="C4295" s="31">
        <v>2</v>
      </c>
      <c r="D4295" s="159" t="s">
        <v>2366</v>
      </c>
      <c r="E4295" s="32" t="s">
        <v>8402</v>
      </c>
      <c r="F4295" s="30" t="s">
        <v>8404</v>
      </c>
      <c r="G4295" s="159" t="s">
        <v>78</v>
      </c>
      <c r="I4295" s="9">
        <v>15</v>
      </c>
    </row>
    <row r="4296" spans="1:9" hidden="1" x14ac:dyDescent="0.25">
      <c r="A4296" s="35" t="s">
        <v>8408</v>
      </c>
      <c r="B4296" s="12" t="s">
        <v>8409</v>
      </c>
      <c r="C4296" s="13">
        <v>2</v>
      </c>
      <c r="D4296" s="118" t="s">
        <v>2366</v>
      </c>
      <c r="E4296" s="28" t="s">
        <v>8410</v>
      </c>
      <c r="F4296" s="12" t="s">
        <v>8412</v>
      </c>
      <c r="G4296" s="118" t="s">
        <v>78</v>
      </c>
      <c r="I4296" s="9">
        <v>15</v>
      </c>
    </row>
    <row r="4297" spans="1:9" hidden="1" x14ac:dyDescent="0.25">
      <c r="A4297" s="35" t="s">
        <v>8416</v>
      </c>
      <c r="B4297" s="12" t="s">
        <v>955</v>
      </c>
      <c r="C4297" s="13">
        <v>2</v>
      </c>
      <c r="D4297" s="118" t="s">
        <v>2366</v>
      </c>
      <c r="E4297" s="28" t="s">
        <v>8417</v>
      </c>
      <c r="F4297" s="12" t="s">
        <v>8419</v>
      </c>
      <c r="G4297" s="118" t="s">
        <v>78</v>
      </c>
      <c r="I4297" s="9">
        <v>15</v>
      </c>
    </row>
    <row r="4298" spans="1:9" hidden="1" x14ac:dyDescent="0.25">
      <c r="A4298" s="35" t="s">
        <v>8423</v>
      </c>
      <c r="B4298" s="12" t="s">
        <v>961</v>
      </c>
      <c r="C4298" s="13">
        <v>2</v>
      </c>
      <c r="D4298" s="118" t="s">
        <v>2366</v>
      </c>
      <c r="E4298" s="28" t="s">
        <v>8424</v>
      </c>
      <c r="F4298" s="12" t="s">
        <v>8426</v>
      </c>
      <c r="G4298" s="118" t="s">
        <v>78</v>
      </c>
      <c r="I4298" s="9">
        <v>15</v>
      </c>
    </row>
    <row r="4299" spans="1:9" hidden="1" x14ac:dyDescent="0.25">
      <c r="A4299" s="35" t="s">
        <v>8430</v>
      </c>
      <c r="B4299" s="12" t="s">
        <v>963</v>
      </c>
      <c r="C4299" s="13">
        <v>2</v>
      </c>
      <c r="D4299" s="118" t="s">
        <v>2366</v>
      </c>
      <c r="E4299" s="28" t="s">
        <v>8431</v>
      </c>
      <c r="F4299" s="12" t="s">
        <v>8433</v>
      </c>
      <c r="G4299" s="118" t="s">
        <v>78</v>
      </c>
      <c r="I4299" s="9">
        <v>15</v>
      </c>
    </row>
    <row r="4300" spans="1:9" ht="12.75" hidden="1" thickBot="1" x14ac:dyDescent="0.3">
      <c r="A4300" s="47" t="s">
        <v>8437</v>
      </c>
      <c r="B4300" s="30" t="s">
        <v>8438</v>
      </c>
      <c r="C4300" s="31">
        <v>2</v>
      </c>
      <c r="D4300" s="159" t="s">
        <v>2366</v>
      </c>
      <c r="E4300" s="32" t="s">
        <v>8439</v>
      </c>
      <c r="F4300" s="30" t="s">
        <v>8441</v>
      </c>
      <c r="G4300" s="159" t="s">
        <v>78</v>
      </c>
      <c r="I4300" s="9">
        <v>15</v>
      </c>
    </row>
    <row r="4301" spans="1:9" hidden="1" x14ac:dyDescent="0.25">
      <c r="A4301" s="35" t="s">
        <v>8445</v>
      </c>
      <c r="B4301" s="12" t="s">
        <v>967</v>
      </c>
      <c r="C4301" s="13">
        <v>2</v>
      </c>
      <c r="D4301" s="118" t="s">
        <v>2366</v>
      </c>
      <c r="E4301" s="28" t="s">
        <v>8446</v>
      </c>
      <c r="F4301" s="12" t="s">
        <v>8448</v>
      </c>
      <c r="G4301" s="118" t="s">
        <v>78</v>
      </c>
      <c r="I4301" s="9">
        <v>15</v>
      </c>
    </row>
    <row r="4302" spans="1:9" hidden="1" x14ac:dyDescent="0.25">
      <c r="A4302" s="35" t="s">
        <v>8452</v>
      </c>
      <c r="B4302" s="12" t="s">
        <v>982</v>
      </c>
      <c r="C4302" s="13">
        <v>2</v>
      </c>
      <c r="D4302" s="118" t="s">
        <v>2366</v>
      </c>
      <c r="E4302" s="28" t="s">
        <v>8453</v>
      </c>
      <c r="F4302" s="12" t="s">
        <v>8455</v>
      </c>
      <c r="G4302" s="118" t="s">
        <v>78</v>
      </c>
      <c r="I4302" s="9">
        <v>15</v>
      </c>
    </row>
    <row r="4303" spans="1:9" hidden="1" x14ac:dyDescent="0.25">
      <c r="A4303" s="35" t="s">
        <v>8459</v>
      </c>
      <c r="B4303" s="12" t="s">
        <v>990</v>
      </c>
      <c r="C4303" s="13">
        <v>2</v>
      </c>
      <c r="D4303" s="118" t="s">
        <v>2366</v>
      </c>
      <c r="E4303" s="28" t="s">
        <v>8460</v>
      </c>
      <c r="F4303" s="12" t="s">
        <v>8462</v>
      </c>
      <c r="G4303" s="118" t="s">
        <v>78</v>
      </c>
      <c r="I4303" s="9">
        <v>15</v>
      </c>
    </row>
    <row r="4304" spans="1:9" hidden="1" x14ac:dyDescent="0.25">
      <c r="A4304" s="35" t="s">
        <v>8466</v>
      </c>
      <c r="B4304" s="12" t="s">
        <v>8467</v>
      </c>
      <c r="C4304" s="13">
        <v>2</v>
      </c>
      <c r="D4304" s="118" t="s">
        <v>2366</v>
      </c>
      <c r="E4304" s="28" t="s">
        <v>8468</v>
      </c>
      <c r="F4304" s="12" t="s">
        <v>8470</v>
      </c>
      <c r="G4304" s="118" t="s">
        <v>78</v>
      </c>
      <c r="I4304" s="9">
        <v>15</v>
      </c>
    </row>
    <row r="4305" spans="1:9" ht="12.75" hidden="1" thickBot="1" x14ac:dyDescent="0.3">
      <c r="A4305" s="47" t="s">
        <v>8474</v>
      </c>
      <c r="B4305" s="30" t="s">
        <v>998</v>
      </c>
      <c r="C4305" s="31">
        <v>2</v>
      </c>
      <c r="D4305" s="159" t="s">
        <v>2366</v>
      </c>
      <c r="E4305" s="32" t="s">
        <v>8475</v>
      </c>
      <c r="F4305" s="30" t="s">
        <v>8477</v>
      </c>
      <c r="G4305" s="159" t="s">
        <v>78</v>
      </c>
      <c r="I4305" s="9">
        <v>15</v>
      </c>
    </row>
    <row r="4306" spans="1:9" hidden="1" x14ac:dyDescent="0.25">
      <c r="A4306" s="35" t="s">
        <v>8481</v>
      </c>
      <c r="B4306" s="12" t="s">
        <v>1006</v>
      </c>
      <c r="C4306" s="13">
        <v>2</v>
      </c>
      <c r="D4306" s="118" t="s">
        <v>2366</v>
      </c>
      <c r="E4306" s="28" t="s">
        <v>8482</v>
      </c>
      <c r="F4306" s="12" t="s">
        <v>8484</v>
      </c>
      <c r="G4306" s="118" t="s">
        <v>78</v>
      </c>
      <c r="I4306" s="9">
        <v>15</v>
      </c>
    </row>
    <row r="4307" spans="1:9" hidden="1" x14ac:dyDescent="0.25">
      <c r="A4307" s="35" t="s">
        <v>8488</v>
      </c>
      <c r="B4307" s="12" t="s">
        <v>8489</v>
      </c>
      <c r="C4307" s="13">
        <v>2</v>
      </c>
      <c r="D4307" s="118" t="s">
        <v>2366</v>
      </c>
      <c r="E4307" s="28" t="s">
        <v>8490</v>
      </c>
      <c r="F4307" s="12" t="s">
        <v>8492</v>
      </c>
      <c r="G4307" s="118" t="s">
        <v>78</v>
      </c>
      <c r="I4307" s="9">
        <v>15</v>
      </c>
    </row>
    <row r="4308" spans="1:9" hidden="1" x14ac:dyDescent="0.25">
      <c r="A4308" s="35" t="s">
        <v>8496</v>
      </c>
      <c r="B4308" s="12" t="s">
        <v>1037</v>
      </c>
      <c r="C4308" s="13">
        <v>2</v>
      </c>
      <c r="D4308" s="118" t="s">
        <v>2366</v>
      </c>
      <c r="E4308" s="28" t="s">
        <v>8497</v>
      </c>
      <c r="F4308" s="12" t="s">
        <v>8499</v>
      </c>
      <c r="G4308" s="118" t="s">
        <v>78</v>
      </c>
      <c r="I4308" s="9">
        <v>15</v>
      </c>
    </row>
    <row r="4309" spans="1:9" hidden="1" x14ac:dyDescent="0.25">
      <c r="A4309" s="35" t="s">
        <v>8503</v>
      </c>
      <c r="B4309" s="12" t="s">
        <v>8504</v>
      </c>
      <c r="C4309" s="13">
        <v>2</v>
      </c>
      <c r="D4309" s="118" t="s">
        <v>2366</v>
      </c>
      <c r="E4309" s="28" t="s">
        <v>8505</v>
      </c>
      <c r="F4309" s="12" t="s">
        <v>8507</v>
      </c>
      <c r="G4309" s="118" t="s">
        <v>78</v>
      </c>
      <c r="I4309" s="9">
        <v>15</v>
      </c>
    </row>
    <row r="4310" spans="1:9" ht="12.75" hidden="1" thickBot="1" x14ac:dyDescent="0.3">
      <c r="A4310" s="47" t="s">
        <v>8511</v>
      </c>
      <c r="B4310" s="30" t="s">
        <v>8512</v>
      </c>
      <c r="C4310" s="31">
        <v>2</v>
      </c>
      <c r="D4310" s="159" t="s">
        <v>2366</v>
      </c>
      <c r="E4310" s="32" t="s">
        <v>8513</v>
      </c>
      <c r="F4310" s="30" t="s">
        <v>8515</v>
      </c>
      <c r="G4310" s="159" t="s">
        <v>78</v>
      </c>
      <c r="I4310" s="9">
        <v>15</v>
      </c>
    </row>
    <row r="4311" spans="1:9" hidden="1" x14ac:dyDescent="0.25">
      <c r="A4311" s="35" t="s">
        <v>8519</v>
      </c>
      <c r="B4311" s="12" t="s">
        <v>8520</v>
      </c>
      <c r="C4311" s="13">
        <v>2</v>
      </c>
      <c r="D4311" s="118" t="s">
        <v>2366</v>
      </c>
      <c r="E4311" s="28" t="s">
        <v>8521</v>
      </c>
      <c r="F4311" s="12" t="s">
        <v>8523</v>
      </c>
      <c r="G4311" s="118" t="s">
        <v>78</v>
      </c>
      <c r="I4311" s="9">
        <v>15</v>
      </c>
    </row>
    <row r="4312" spans="1:9" hidden="1" x14ac:dyDescent="0.25">
      <c r="A4312" s="35" t="s">
        <v>8527</v>
      </c>
      <c r="B4312" s="12" t="s">
        <v>8528</v>
      </c>
      <c r="C4312" s="13">
        <v>2</v>
      </c>
      <c r="D4312" s="118" t="s">
        <v>2366</v>
      </c>
      <c r="E4312" s="28" t="s">
        <v>8529</v>
      </c>
      <c r="F4312" s="12" t="s">
        <v>8531</v>
      </c>
      <c r="G4312" s="118" t="s">
        <v>78</v>
      </c>
      <c r="I4312" s="9">
        <v>15</v>
      </c>
    </row>
    <row r="4313" spans="1:9" hidden="1" x14ac:dyDescent="0.25">
      <c r="A4313" s="35" t="s">
        <v>8535</v>
      </c>
      <c r="B4313" s="12" t="s">
        <v>2249</v>
      </c>
      <c r="C4313" s="13">
        <v>2</v>
      </c>
      <c r="D4313" s="118" t="s">
        <v>2366</v>
      </c>
      <c r="E4313" s="28" t="s">
        <v>8536</v>
      </c>
      <c r="F4313" s="12" t="s">
        <v>8538</v>
      </c>
      <c r="G4313" s="118" t="s">
        <v>78</v>
      </c>
      <c r="I4313" s="9">
        <v>15</v>
      </c>
    </row>
    <row r="4314" spans="1:9" hidden="1" x14ac:dyDescent="0.25">
      <c r="A4314" s="35" t="s">
        <v>8542</v>
      </c>
      <c r="B4314" s="12" t="s">
        <v>2161</v>
      </c>
      <c r="C4314" s="13">
        <v>2</v>
      </c>
      <c r="D4314" s="118" t="s">
        <v>2366</v>
      </c>
      <c r="E4314" s="28" t="s">
        <v>8543</v>
      </c>
      <c r="F4314" s="12" t="s">
        <v>8545</v>
      </c>
      <c r="G4314" s="118" t="s">
        <v>78</v>
      </c>
      <c r="I4314" s="9">
        <v>15</v>
      </c>
    </row>
    <row r="4315" spans="1:9" ht="12.75" hidden="1" thickBot="1" x14ac:dyDescent="0.3">
      <c r="A4315" s="47" t="s">
        <v>8549</v>
      </c>
      <c r="B4315" s="30" t="s">
        <v>1078</v>
      </c>
      <c r="C4315" s="31">
        <v>2</v>
      </c>
      <c r="D4315" s="159" t="s">
        <v>2366</v>
      </c>
      <c r="E4315" s="32" t="s">
        <v>8550</v>
      </c>
      <c r="F4315" s="30" t="s">
        <v>8552</v>
      </c>
      <c r="G4315" s="159" t="s">
        <v>78</v>
      </c>
      <c r="I4315" s="9">
        <v>15</v>
      </c>
    </row>
    <row r="4316" spans="1:9" hidden="1" x14ac:dyDescent="0.25">
      <c r="A4316" s="35" t="s">
        <v>8556</v>
      </c>
      <c r="B4316" s="12" t="s">
        <v>1074</v>
      </c>
      <c r="C4316" s="13">
        <v>2</v>
      </c>
      <c r="D4316" s="118" t="s">
        <v>2366</v>
      </c>
      <c r="E4316" s="28" t="s">
        <v>8557</v>
      </c>
      <c r="F4316" s="12" t="s">
        <v>8559</v>
      </c>
      <c r="G4316" s="118" t="s">
        <v>78</v>
      </c>
      <c r="I4316" s="9">
        <v>15</v>
      </c>
    </row>
    <row r="4317" spans="1:9" hidden="1" x14ac:dyDescent="0.25">
      <c r="A4317" s="35" t="s">
        <v>8563</v>
      </c>
      <c r="B4317" s="12" t="s">
        <v>8564</v>
      </c>
      <c r="C4317" s="13">
        <v>2</v>
      </c>
      <c r="D4317" s="118" t="s">
        <v>2366</v>
      </c>
      <c r="E4317" s="28" t="s">
        <v>8565</v>
      </c>
      <c r="F4317" s="12" t="s">
        <v>8567</v>
      </c>
      <c r="G4317" s="118" t="s">
        <v>78</v>
      </c>
      <c r="I4317" s="9">
        <v>15</v>
      </c>
    </row>
    <row r="4318" spans="1:9" hidden="1" x14ac:dyDescent="0.25">
      <c r="A4318" s="35" t="s">
        <v>8571</v>
      </c>
      <c r="B4318" s="12" t="s">
        <v>8572</v>
      </c>
      <c r="C4318" s="13">
        <v>2</v>
      </c>
      <c r="D4318" s="118" t="s">
        <v>2366</v>
      </c>
      <c r="E4318" s="28" t="s">
        <v>8573</v>
      </c>
      <c r="F4318" s="12" t="s">
        <v>8575</v>
      </c>
      <c r="G4318" s="118" t="s">
        <v>78</v>
      </c>
      <c r="I4318" s="9">
        <v>15</v>
      </c>
    </row>
    <row r="4319" spans="1:9" hidden="1" x14ac:dyDescent="0.25">
      <c r="A4319" s="35" t="s">
        <v>8579</v>
      </c>
      <c r="B4319" s="12" t="s">
        <v>975</v>
      </c>
      <c r="C4319" s="13">
        <v>2</v>
      </c>
      <c r="D4319" s="118" t="s">
        <v>2366</v>
      </c>
      <c r="E4319" s="28" t="s">
        <v>8580</v>
      </c>
      <c r="F4319" s="12" t="s">
        <v>8582</v>
      </c>
      <c r="G4319" s="118" t="s">
        <v>78</v>
      </c>
      <c r="I4319" s="9">
        <v>15</v>
      </c>
    </row>
    <row r="4320" spans="1:9" ht="12.75" hidden="1" thickBot="1" x14ac:dyDescent="0.3">
      <c r="A4320" s="47" t="s">
        <v>8586</v>
      </c>
      <c r="B4320" s="30" t="s">
        <v>8587</v>
      </c>
      <c r="C4320" s="31">
        <v>2</v>
      </c>
      <c r="D4320" s="159" t="s">
        <v>2366</v>
      </c>
      <c r="E4320" s="32" t="s">
        <v>8588</v>
      </c>
      <c r="F4320" s="30" t="s">
        <v>8590</v>
      </c>
      <c r="G4320" s="159" t="s">
        <v>78</v>
      </c>
      <c r="I4320" s="9">
        <v>15</v>
      </c>
    </row>
    <row r="4321" spans="1:27" hidden="1" x14ac:dyDescent="0.25">
      <c r="A4321" s="35" t="s">
        <v>8594</v>
      </c>
      <c r="B4321" s="12" t="s">
        <v>8595</v>
      </c>
      <c r="C4321" s="13">
        <v>2</v>
      </c>
      <c r="D4321" s="118" t="s">
        <v>2366</v>
      </c>
      <c r="E4321" s="28" t="s">
        <v>8596</v>
      </c>
      <c r="F4321" s="12" t="s">
        <v>8598</v>
      </c>
      <c r="G4321" s="118" t="s">
        <v>78</v>
      </c>
      <c r="I4321" s="9">
        <v>15</v>
      </c>
    </row>
    <row r="4322" spans="1:27" hidden="1" x14ac:dyDescent="0.25">
      <c r="A4322" s="35" t="s">
        <v>8602</v>
      </c>
      <c r="B4322" s="12" t="s">
        <v>1814</v>
      </c>
      <c r="C4322" s="13">
        <v>2</v>
      </c>
      <c r="D4322" s="118" t="s">
        <v>2366</v>
      </c>
      <c r="E4322" s="28" t="s">
        <v>8603</v>
      </c>
      <c r="F4322" s="12" t="s">
        <v>8605</v>
      </c>
      <c r="G4322" s="118" t="s">
        <v>78</v>
      </c>
      <c r="I4322" s="9">
        <v>15</v>
      </c>
    </row>
    <row r="4323" spans="1:27" hidden="1" x14ac:dyDescent="0.25">
      <c r="A4323" s="35" t="s">
        <v>8609</v>
      </c>
      <c r="B4323" s="12" t="s">
        <v>1023</v>
      </c>
      <c r="C4323" s="13">
        <v>2</v>
      </c>
      <c r="D4323" s="118" t="s">
        <v>2366</v>
      </c>
      <c r="E4323" s="28" t="s">
        <v>8610</v>
      </c>
      <c r="F4323" s="12" t="s">
        <v>8612</v>
      </c>
      <c r="G4323" s="118" t="s">
        <v>78</v>
      </c>
      <c r="I4323" s="9">
        <v>15</v>
      </c>
    </row>
    <row r="4324" spans="1:27" hidden="1" x14ac:dyDescent="0.25">
      <c r="A4324" s="35" t="s">
        <v>8616</v>
      </c>
      <c r="B4324" s="12" t="s">
        <v>8617</v>
      </c>
      <c r="C4324" s="13">
        <v>2</v>
      </c>
      <c r="D4324" s="118" t="s">
        <v>2366</v>
      </c>
      <c r="E4324" s="28" t="s">
        <v>8618</v>
      </c>
      <c r="F4324" s="12" t="s">
        <v>8620</v>
      </c>
      <c r="G4324" s="118" t="s">
        <v>78</v>
      </c>
      <c r="I4324" s="9">
        <v>15</v>
      </c>
    </row>
    <row r="4325" spans="1:27" ht="12.75" hidden="1" thickBot="1" x14ac:dyDescent="0.3">
      <c r="A4325" s="47" t="s">
        <v>8624</v>
      </c>
      <c r="B4325" s="30" t="s">
        <v>8625</v>
      </c>
      <c r="C4325" s="31">
        <v>2</v>
      </c>
      <c r="D4325" s="159" t="s">
        <v>2366</v>
      </c>
      <c r="E4325" s="32" t="s">
        <v>8626</v>
      </c>
      <c r="F4325" s="30" t="s">
        <v>8628</v>
      </c>
      <c r="G4325" s="159" t="s">
        <v>78</v>
      </c>
      <c r="I4325" s="9">
        <v>15</v>
      </c>
    </row>
    <row r="4326" spans="1:27" hidden="1" x14ac:dyDescent="0.25">
      <c r="A4326" s="35" t="s">
        <v>8632</v>
      </c>
      <c r="B4326" s="12" t="s">
        <v>5979</v>
      </c>
      <c r="C4326" s="13">
        <v>2</v>
      </c>
      <c r="D4326" s="118" t="s">
        <v>2366</v>
      </c>
      <c r="E4326" s="28" t="s">
        <v>8633</v>
      </c>
      <c r="F4326" s="12" t="s">
        <v>8635</v>
      </c>
      <c r="G4326" s="118" t="s">
        <v>78</v>
      </c>
      <c r="I4326" s="9">
        <v>15</v>
      </c>
    </row>
    <row r="4327" spans="1:27" hidden="1" x14ac:dyDescent="0.2">
      <c r="A4327" s="35" t="s">
        <v>943</v>
      </c>
      <c r="B4327" s="12" t="s">
        <v>944</v>
      </c>
      <c r="C4327" s="13">
        <v>8</v>
      </c>
      <c r="D4327" s="27" t="s">
        <v>957</v>
      </c>
      <c r="E4327" s="28" t="s">
        <v>945</v>
      </c>
      <c r="F4327" s="12" t="s">
        <v>958</v>
      </c>
      <c r="G4327" s="118" t="s">
        <v>832</v>
      </c>
      <c r="I4327" s="9">
        <v>15</v>
      </c>
    </row>
    <row r="4328" spans="1:27" hidden="1" x14ac:dyDescent="0.25">
      <c r="A4328" s="95" t="s">
        <v>6252</v>
      </c>
      <c r="B4328" s="82" t="s">
        <v>6253</v>
      </c>
      <c r="C4328" s="83">
        <f>C4327+1</f>
        <v>9</v>
      </c>
      <c r="D4328" s="205" t="s">
        <v>6271</v>
      </c>
      <c r="E4328" s="86" t="s">
        <v>6254</v>
      </c>
      <c r="F4328" s="82" t="s">
        <v>6272</v>
      </c>
      <c r="G4328" s="205" t="s">
        <v>13</v>
      </c>
      <c r="I4328" s="79" t="s">
        <v>6268</v>
      </c>
    </row>
    <row r="4329" spans="1:27" hidden="1" x14ac:dyDescent="0.25">
      <c r="A4329" s="95" t="s">
        <v>6768</v>
      </c>
      <c r="B4329" s="82" t="s">
        <v>6769</v>
      </c>
      <c r="C4329" s="83">
        <v>14</v>
      </c>
      <c r="D4329" s="205" t="s">
        <v>6271</v>
      </c>
      <c r="E4329" s="86" t="s">
        <v>6770</v>
      </c>
      <c r="F4329" s="82" t="s">
        <v>6784</v>
      </c>
      <c r="G4329" s="205" t="s">
        <v>13</v>
      </c>
      <c r="H4329" s="87"/>
      <c r="I4329" s="54">
        <v>15</v>
      </c>
      <c r="J4329" s="87"/>
      <c r="K4329" s="87"/>
      <c r="L4329" s="87"/>
      <c r="M4329" s="87"/>
      <c r="N4329" s="87"/>
      <c r="O4329" s="87"/>
      <c r="P4329" s="87"/>
      <c r="Q4329" s="87"/>
      <c r="R4329" s="87"/>
      <c r="S4329" s="87"/>
      <c r="T4329" s="87"/>
      <c r="U4329" s="87"/>
      <c r="V4329" s="87"/>
      <c r="W4329" s="87"/>
      <c r="X4329" s="87"/>
      <c r="Y4329" s="87"/>
      <c r="Z4329" s="87"/>
      <c r="AA4329" s="87"/>
    </row>
    <row r="4330" spans="1:27" ht="15.75" hidden="1" thickBot="1" x14ac:dyDescent="0.3">
      <c r="A4330" s="47" t="s">
        <v>4421</v>
      </c>
      <c r="B4330" s="30" t="s">
        <v>4422</v>
      </c>
      <c r="C4330" s="31">
        <v>18</v>
      </c>
      <c r="D4330" s="159" t="s">
        <v>4453</v>
      </c>
      <c r="E4330" s="32" t="s">
        <v>4423</v>
      </c>
      <c r="F4330" s="30" t="s">
        <v>4454</v>
      </c>
      <c r="G4330" s="116" t="s">
        <v>881</v>
      </c>
      <c r="I4330" s="9">
        <v>15</v>
      </c>
      <c r="J4330" s="52"/>
    </row>
    <row r="4331" spans="1:27" ht="15" hidden="1" x14ac:dyDescent="0.25">
      <c r="A4331" s="35" t="s">
        <v>4465</v>
      </c>
      <c r="B4331" s="12" t="s">
        <v>4466</v>
      </c>
      <c r="C4331" s="13">
        <v>24</v>
      </c>
      <c r="D4331" s="118" t="s">
        <v>4453</v>
      </c>
      <c r="E4331" s="28" t="s">
        <v>4467</v>
      </c>
      <c r="F4331" s="12" t="s">
        <v>4502</v>
      </c>
      <c r="G4331" s="127" t="s">
        <v>881</v>
      </c>
      <c r="I4331" s="9">
        <v>15</v>
      </c>
      <c r="J4331" s="52"/>
    </row>
    <row r="4332" spans="1:27" hidden="1" x14ac:dyDescent="0.2">
      <c r="A4332" s="35" t="s">
        <v>4513</v>
      </c>
      <c r="B4332" s="12" t="s">
        <v>4514</v>
      </c>
      <c r="C4332" s="13">
        <v>18</v>
      </c>
      <c r="D4332" s="118" t="s">
        <v>4453</v>
      </c>
      <c r="E4332" s="28" t="s">
        <v>4515</v>
      </c>
      <c r="F4332" s="12" t="s">
        <v>4536</v>
      </c>
      <c r="G4332" s="127" t="s">
        <v>881</v>
      </c>
      <c r="I4332" s="9">
        <v>15</v>
      </c>
    </row>
    <row r="4333" spans="1:27" ht="15" hidden="1" x14ac:dyDescent="0.25">
      <c r="A4333" s="35" t="s">
        <v>4421</v>
      </c>
      <c r="B4333" s="12" t="s">
        <v>4422</v>
      </c>
      <c r="C4333" s="13">
        <v>7</v>
      </c>
      <c r="D4333" s="118" t="s">
        <v>4433</v>
      </c>
      <c r="E4333" s="28" t="s">
        <v>4423</v>
      </c>
      <c r="F4333" s="12" t="s">
        <v>4434</v>
      </c>
      <c r="G4333" s="127" t="s">
        <v>881</v>
      </c>
      <c r="I4333" s="9">
        <v>15</v>
      </c>
      <c r="J4333" s="52"/>
    </row>
    <row r="4334" spans="1:27" ht="15" hidden="1" x14ac:dyDescent="0.25">
      <c r="A4334" s="35" t="s">
        <v>4465</v>
      </c>
      <c r="B4334" s="12" t="s">
        <v>4466</v>
      </c>
      <c r="C4334" s="13">
        <v>7</v>
      </c>
      <c r="D4334" s="118" t="s">
        <v>4433</v>
      </c>
      <c r="E4334" s="28" t="s">
        <v>4467</v>
      </c>
      <c r="F4334" s="12" t="s">
        <v>4475</v>
      </c>
      <c r="G4334" s="127" t="s">
        <v>881</v>
      </c>
      <c r="I4334" s="9">
        <v>15</v>
      </c>
      <c r="J4334" s="52"/>
    </row>
    <row r="4335" spans="1:27" ht="12.75" hidden="1" thickBot="1" x14ac:dyDescent="0.25">
      <c r="A4335" s="47" t="s">
        <v>4513</v>
      </c>
      <c r="B4335" s="30" t="s">
        <v>4514</v>
      </c>
      <c r="C4335" s="31">
        <v>7</v>
      </c>
      <c r="D4335" s="159" t="s">
        <v>4433</v>
      </c>
      <c r="E4335" s="32" t="s">
        <v>4515</v>
      </c>
      <c r="F4335" s="30" t="s">
        <v>4522</v>
      </c>
      <c r="G4335" s="116" t="s">
        <v>881</v>
      </c>
      <c r="I4335" s="9">
        <v>15</v>
      </c>
    </row>
    <row r="4336" spans="1:27" hidden="1" x14ac:dyDescent="0.2">
      <c r="A4336" s="35" t="s">
        <v>2631</v>
      </c>
      <c r="B4336" s="12" t="s">
        <v>2632</v>
      </c>
      <c r="C4336" s="13">
        <v>48</v>
      </c>
      <c r="D4336" s="27" t="s">
        <v>2723</v>
      </c>
      <c r="E4336" s="12" t="s">
        <v>2634</v>
      </c>
      <c r="F4336" s="65" t="s">
        <v>2724</v>
      </c>
      <c r="G4336" s="127" t="s">
        <v>13</v>
      </c>
    </row>
    <row r="4337" spans="1:10" hidden="1" x14ac:dyDescent="0.2">
      <c r="A4337" s="35" t="s">
        <v>2631</v>
      </c>
      <c r="B4337" s="12" t="s">
        <v>2632</v>
      </c>
      <c r="C4337" s="13">
        <v>20</v>
      </c>
      <c r="D4337" s="27" t="s">
        <v>2667</v>
      </c>
      <c r="E4337" s="12" t="s">
        <v>2634</v>
      </c>
      <c r="F4337" s="65" t="s">
        <v>2668</v>
      </c>
      <c r="G4337" s="127" t="s">
        <v>13</v>
      </c>
    </row>
    <row r="4338" spans="1:10" hidden="1" x14ac:dyDescent="0.2">
      <c r="A4338" s="35" t="s">
        <v>3165</v>
      </c>
      <c r="B4338" s="12" t="s">
        <v>3166</v>
      </c>
      <c r="C4338" s="13">
        <v>17</v>
      </c>
      <c r="D4338" s="118" t="s">
        <v>3189</v>
      </c>
      <c r="E4338" s="12" t="s">
        <v>3167</v>
      </c>
      <c r="F4338" s="65" t="s">
        <v>3190</v>
      </c>
      <c r="G4338" s="127" t="s">
        <v>13</v>
      </c>
    </row>
    <row r="4339" spans="1:10" hidden="1" x14ac:dyDescent="0.2">
      <c r="A4339" s="35" t="s">
        <v>2867</v>
      </c>
      <c r="B4339" s="12" t="s">
        <v>2868</v>
      </c>
      <c r="C4339" s="13">
        <v>7</v>
      </c>
      <c r="D4339" s="27" t="s">
        <v>2877</v>
      </c>
      <c r="E4339" s="12" t="s">
        <v>2869</v>
      </c>
      <c r="F4339" s="65" t="s">
        <v>2878</v>
      </c>
      <c r="G4339" s="127" t="s">
        <v>13</v>
      </c>
    </row>
    <row r="4340" spans="1:10" ht="12.75" hidden="1" thickBot="1" x14ac:dyDescent="0.25">
      <c r="A4340" s="47" t="s">
        <v>93</v>
      </c>
      <c r="B4340" s="30" t="s">
        <v>94</v>
      </c>
      <c r="C4340" s="31">
        <v>37</v>
      </c>
      <c r="D4340" s="48" t="s">
        <v>171</v>
      </c>
      <c r="E4340" s="30" t="s">
        <v>96</v>
      </c>
      <c r="F4340" s="30" t="s">
        <v>172</v>
      </c>
      <c r="G4340" s="159" t="s">
        <v>19</v>
      </c>
    </row>
    <row r="4341" spans="1:10" ht="15" hidden="1" x14ac:dyDescent="0.25">
      <c r="A4341" s="46" t="s">
        <v>1922</v>
      </c>
      <c r="B4341" s="12" t="s">
        <v>1923</v>
      </c>
      <c r="C4341" s="13">
        <v>18</v>
      </c>
      <c r="D4341" s="208" t="s">
        <v>1956</v>
      </c>
      <c r="E4341" s="12" t="s">
        <v>1924</v>
      </c>
      <c r="F4341" s="12" t="s">
        <v>1957</v>
      </c>
      <c r="G4341" s="118" t="s">
        <v>19</v>
      </c>
      <c r="I4341" s="9">
        <v>15</v>
      </c>
      <c r="J4341" s="52"/>
    </row>
    <row r="4342" spans="1:10" hidden="1" x14ac:dyDescent="0.2">
      <c r="A4342" s="46" t="s">
        <v>93</v>
      </c>
      <c r="B4342" s="12" t="s">
        <v>94</v>
      </c>
      <c r="C4342" s="13">
        <v>51</v>
      </c>
      <c r="D4342" s="27" t="s">
        <v>200</v>
      </c>
      <c r="E4342" s="12" t="s">
        <v>96</v>
      </c>
      <c r="F4342" s="12" t="s">
        <v>201</v>
      </c>
      <c r="G4342" s="118" t="s">
        <v>19</v>
      </c>
    </row>
    <row r="4343" spans="1:10" hidden="1" x14ac:dyDescent="0.25">
      <c r="A4343" s="46" t="s">
        <v>1464</v>
      </c>
      <c r="B4343" s="12" t="s">
        <v>1465</v>
      </c>
      <c r="C4343" s="13">
        <v>10</v>
      </c>
      <c r="D4343" s="118" t="s">
        <v>200</v>
      </c>
      <c r="E4343" s="12" t="s">
        <v>1466</v>
      </c>
      <c r="F4343" s="12" t="s">
        <v>1481</v>
      </c>
      <c r="G4343" s="118" t="s">
        <v>19</v>
      </c>
    </row>
    <row r="4344" spans="1:10" hidden="1" x14ac:dyDescent="0.2">
      <c r="A4344" s="46" t="s">
        <v>943</v>
      </c>
      <c r="B4344" s="12" t="s">
        <v>944</v>
      </c>
      <c r="C4344" s="13">
        <v>18</v>
      </c>
      <c r="D4344" s="27" t="s">
        <v>977</v>
      </c>
      <c r="E4344" s="12" t="s">
        <v>945</v>
      </c>
      <c r="F4344" s="12" t="s">
        <v>978</v>
      </c>
      <c r="G4344" s="118" t="s">
        <v>881</v>
      </c>
      <c r="I4344" s="9">
        <v>15</v>
      </c>
    </row>
    <row r="4345" spans="1:10" ht="12.75" hidden="1" thickBot="1" x14ac:dyDescent="0.3">
      <c r="A4345" s="44" t="s">
        <v>5921</v>
      </c>
      <c r="B4345" s="30" t="s">
        <v>5922</v>
      </c>
      <c r="C4345" s="31">
        <v>9</v>
      </c>
      <c r="D4345" s="159" t="s">
        <v>5935</v>
      </c>
      <c r="E4345" s="30" t="s">
        <v>5923</v>
      </c>
      <c r="F4345" s="30" t="s">
        <v>5936</v>
      </c>
      <c r="G4345" s="159" t="s">
        <v>706</v>
      </c>
      <c r="I4345" s="101" t="s">
        <v>5818</v>
      </c>
    </row>
    <row r="4346" spans="1:10" hidden="1" x14ac:dyDescent="0.2">
      <c r="A4346" s="46" t="s">
        <v>3741</v>
      </c>
      <c r="B4346" s="12" t="s">
        <v>3742</v>
      </c>
      <c r="C4346" s="13">
        <v>5</v>
      </c>
      <c r="D4346" s="118" t="s">
        <v>3748</v>
      </c>
      <c r="E4346" s="65" t="s">
        <v>3743</v>
      </c>
      <c r="F4346" s="65" t="s">
        <v>3749</v>
      </c>
      <c r="G4346" s="127" t="s">
        <v>42</v>
      </c>
    </row>
    <row r="4347" spans="1:10" hidden="1" x14ac:dyDescent="0.2">
      <c r="A4347" s="46" t="s">
        <v>4318</v>
      </c>
      <c r="B4347" s="12" t="s">
        <v>4319</v>
      </c>
      <c r="C4347" s="13">
        <f>C4346+1</f>
        <v>6</v>
      </c>
      <c r="D4347" s="118" t="s">
        <v>4329</v>
      </c>
      <c r="E4347" s="12" t="s">
        <v>4320</v>
      </c>
      <c r="F4347" s="12" t="s">
        <v>4330</v>
      </c>
      <c r="G4347" s="127" t="s">
        <v>4325</v>
      </c>
      <c r="I4347" s="94" t="s">
        <v>3570</v>
      </c>
    </row>
    <row r="4348" spans="1:10" hidden="1" x14ac:dyDescent="0.2">
      <c r="A4348" s="46" t="s">
        <v>4335</v>
      </c>
      <c r="B4348" s="12" t="s">
        <v>4336</v>
      </c>
      <c r="C4348" s="13">
        <f>C4347+1</f>
        <v>7</v>
      </c>
      <c r="D4348" s="118" t="s">
        <v>4329</v>
      </c>
      <c r="E4348" s="12" t="s">
        <v>4337</v>
      </c>
      <c r="F4348" s="12" t="s">
        <v>4343</v>
      </c>
      <c r="G4348" s="127" t="s">
        <v>4325</v>
      </c>
      <c r="I4348" s="94" t="s">
        <v>3570</v>
      </c>
    </row>
    <row r="4349" spans="1:10" hidden="1" x14ac:dyDescent="0.2">
      <c r="A4349" s="46" t="s">
        <v>4375</v>
      </c>
      <c r="B4349" s="12" t="s">
        <v>4376</v>
      </c>
      <c r="C4349" s="13">
        <f>C4348+1</f>
        <v>8</v>
      </c>
      <c r="D4349" s="118" t="s">
        <v>4329</v>
      </c>
      <c r="E4349" s="12" t="s">
        <v>4377</v>
      </c>
      <c r="F4349" s="12" t="s">
        <v>4386</v>
      </c>
      <c r="G4349" s="127" t="s">
        <v>4325</v>
      </c>
      <c r="I4349" s="94" t="s">
        <v>3570</v>
      </c>
    </row>
    <row r="4350" spans="1:10" ht="12.75" hidden="1" thickBot="1" x14ac:dyDescent="0.25">
      <c r="A4350" s="44" t="s">
        <v>3400</v>
      </c>
      <c r="B4350" s="30" t="s">
        <v>3401</v>
      </c>
      <c r="C4350" s="31">
        <v>11</v>
      </c>
      <c r="D4350" s="159" t="s">
        <v>3420</v>
      </c>
      <c r="E4350" s="67" t="s">
        <v>3402</v>
      </c>
      <c r="F4350" s="67" t="s">
        <v>3421</v>
      </c>
      <c r="G4350" s="116" t="s">
        <v>42</v>
      </c>
      <c r="I4350" s="90" t="s">
        <v>2426</v>
      </c>
    </row>
    <row r="4351" spans="1:10" hidden="1" x14ac:dyDescent="0.2">
      <c r="A4351" s="46" t="s">
        <v>2867</v>
      </c>
      <c r="B4351" s="12" t="s">
        <v>2868</v>
      </c>
      <c r="C4351" s="13">
        <v>59</v>
      </c>
      <c r="D4351" s="27" t="s">
        <v>2975</v>
      </c>
      <c r="E4351" s="12" t="s">
        <v>2869</v>
      </c>
      <c r="F4351" s="65" t="s">
        <v>2976</v>
      </c>
      <c r="G4351" s="127" t="s">
        <v>42</v>
      </c>
    </row>
    <row r="4352" spans="1:10" hidden="1" x14ac:dyDescent="0.2">
      <c r="A4352" s="46" t="s">
        <v>1142</v>
      </c>
      <c r="B4352" s="12" t="s">
        <v>1143</v>
      </c>
      <c r="C4352" s="13">
        <v>17</v>
      </c>
      <c r="D4352" s="27" t="s">
        <v>1171</v>
      </c>
      <c r="E4352" s="12" t="s">
        <v>1144</v>
      </c>
      <c r="F4352" s="12" t="s">
        <v>1172</v>
      </c>
      <c r="G4352" s="118" t="s">
        <v>42</v>
      </c>
    </row>
    <row r="4353" spans="1:27" hidden="1" x14ac:dyDescent="0.2">
      <c r="A4353" s="46" t="s">
        <v>1142</v>
      </c>
      <c r="B4353" s="12" t="s">
        <v>1143</v>
      </c>
      <c r="C4353" s="13">
        <v>19</v>
      </c>
      <c r="D4353" s="27" t="s">
        <v>1175</v>
      </c>
      <c r="E4353" s="12" t="s">
        <v>1144</v>
      </c>
      <c r="F4353" s="12" t="s">
        <v>1176</v>
      </c>
      <c r="G4353" s="118" t="s">
        <v>42</v>
      </c>
    </row>
    <row r="4354" spans="1:27" hidden="1" x14ac:dyDescent="0.2">
      <c r="A4354" s="46" t="s">
        <v>24</v>
      </c>
      <c r="B4354" s="12" t="s">
        <v>25</v>
      </c>
      <c r="C4354" s="13">
        <v>7</v>
      </c>
      <c r="D4354" s="24" t="s">
        <v>40</v>
      </c>
      <c r="E4354" s="12" t="s">
        <v>26</v>
      </c>
      <c r="F4354" s="22" t="s">
        <v>41</v>
      </c>
      <c r="G4354" s="118" t="s">
        <v>42</v>
      </c>
    </row>
    <row r="4355" spans="1:27" ht="12.75" hidden="1" thickBot="1" x14ac:dyDescent="0.25">
      <c r="A4355" s="44" t="s">
        <v>55</v>
      </c>
      <c r="B4355" s="30" t="s">
        <v>56</v>
      </c>
      <c r="C4355" s="31">
        <v>7</v>
      </c>
      <c r="D4355" s="63" t="s">
        <v>40</v>
      </c>
      <c r="E4355" s="30" t="s">
        <v>57</v>
      </c>
      <c r="F4355" s="4" t="s">
        <v>65</v>
      </c>
      <c r="G4355" s="159" t="s">
        <v>42</v>
      </c>
      <c r="I4355" s="102" t="s">
        <v>59</v>
      </c>
    </row>
    <row r="4356" spans="1:27" hidden="1" x14ac:dyDescent="0.2">
      <c r="A4356" s="46" t="s">
        <v>289</v>
      </c>
      <c r="B4356" s="12" t="s">
        <v>290</v>
      </c>
      <c r="C4356" s="13">
        <v>5</v>
      </c>
      <c r="D4356" s="24" t="s">
        <v>296</v>
      </c>
      <c r="E4356" s="12" t="s">
        <v>291</v>
      </c>
      <c r="F4356" s="22" t="s">
        <v>297</v>
      </c>
      <c r="G4356" s="118" t="s">
        <v>78</v>
      </c>
    </row>
    <row r="4357" spans="1:27" hidden="1" x14ac:dyDescent="0.25">
      <c r="A4357" s="181" t="s">
        <v>708</v>
      </c>
      <c r="B4357" s="12" t="s">
        <v>709</v>
      </c>
      <c r="C4357" s="13">
        <v>5</v>
      </c>
      <c r="D4357" s="117" t="s">
        <v>296</v>
      </c>
      <c r="E4357" s="12" t="s">
        <v>710</v>
      </c>
      <c r="F4357" s="22" t="s">
        <v>715</v>
      </c>
      <c r="G4357" s="118" t="s">
        <v>285</v>
      </c>
      <c r="I4357" s="102" t="s">
        <v>59</v>
      </c>
    </row>
    <row r="4358" spans="1:27" hidden="1" x14ac:dyDescent="0.2">
      <c r="A4358" s="46" t="s">
        <v>2608</v>
      </c>
      <c r="B4358" s="12" t="s">
        <v>2609</v>
      </c>
      <c r="C4358" s="13">
        <v>4</v>
      </c>
      <c r="D4358" s="24" t="s">
        <v>40</v>
      </c>
      <c r="E4358" s="12" t="s">
        <v>2610</v>
      </c>
      <c r="F4358" s="75" t="s">
        <v>2614</v>
      </c>
      <c r="G4358" s="127" t="s">
        <v>78</v>
      </c>
    </row>
    <row r="4359" spans="1:27" hidden="1" x14ac:dyDescent="0.2">
      <c r="A4359" s="46" t="s">
        <v>6163</v>
      </c>
      <c r="B4359" s="12" t="s">
        <v>6164</v>
      </c>
      <c r="C4359" s="13">
        <v>4</v>
      </c>
      <c r="D4359" s="117" t="s">
        <v>40</v>
      </c>
      <c r="E4359" s="12" t="s">
        <v>6165</v>
      </c>
      <c r="F4359" s="22" t="s">
        <v>6169</v>
      </c>
      <c r="G4359" s="127" t="s">
        <v>42</v>
      </c>
    </row>
    <row r="4360" spans="1:27" ht="12.75" hidden="1" thickBot="1" x14ac:dyDescent="0.25">
      <c r="A4360" s="184" t="s">
        <v>6518</v>
      </c>
      <c r="B4360" s="4" t="s">
        <v>6519</v>
      </c>
      <c r="C4360" s="5">
        <v>4</v>
      </c>
      <c r="D4360" s="207" t="s">
        <v>40</v>
      </c>
      <c r="E4360" s="4" t="s">
        <v>6520</v>
      </c>
      <c r="F4360" s="4" t="s">
        <v>6524</v>
      </c>
      <c r="G4360" s="227" t="s">
        <v>42</v>
      </c>
      <c r="H4360" s="38"/>
      <c r="I4360" s="39">
        <v>15</v>
      </c>
      <c r="J4360" s="38"/>
      <c r="K4360" s="38"/>
      <c r="L4360" s="38"/>
      <c r="M4360" s="38"/>
      <c r="N4360" s="38"/>
      <c r="O4360" s="38"/>
      <c r="P4360" s="38"/>
      <c r="Q4360" s="38"/>
      <c r="R4360" s="38"/>
      <c r="S4360" s="38"/>
      <c r="T4360" s="38"/>
      <c r="U4360" s="38"/>
      <c r="V4360" s="38"/>
      <c r="W4360" s="38"/>
      <c r="X4360" s="38"/>
      <c r="Y4360" s="38"/>
      <c r="Z4360" s="38"/>
      <c r="AA4360" s="38"/>
    </row>
    <row r="4361" spans="1:27" hidden="1" x14ac:dyDescent="0.2">
      <c r="A4361" s="46" t="s">
        <v>24</v>
      </c>
      <c r="B4361" s="12" t="s">
        <v>25</v>
      </c>
      <c r="C4361" s="13">
        <v>10</v>
      </c>
      <c r="D4361" s="24" t="s">
        <v>47</v>
      </c>
      <c r="E4361" s="12" t="s">
        <v>26</v>
      </c>
      <c r="F4361" s="22" t="s">
        <v>48</v>
      </c>
      <c r="G4361" s="118" t="s">
        <v>49</v>
      </c>
      <c r="I4361" s="94">
        <v>14</v>
      </c>
    </row>
    <row r="4362" spans="1:27" hidden="1" x14ac:dyDescent="0.2">
      <c r="A4362" s="46" t="s">
        <v>55</v>
      </c>
      <c r="B4362" s="12" t="s">
        <v>56</v>
      </c>
      <c r="C4362" s="13">
        <v>10</v>
      </c>
      <c r="D4362" s="24" t="s">
        <v>47</v>
      </c>
      <c r="E4362" s="12" t="s">
        <v>57</v>
      </c>
      <c r="F4362" s="22" t="s">
        <v>68</v>
      </c>
      <c r="G4362" s="118" t="s">
        <v>49</v>
      </c>
      <c r="I4362" s="102" t="s">
        <v>59</v>
      </c>
    </row>
    <row r="4363" spans="1:27" hidden="1" x14ac:dyDescent="0.2">
      <c r="A4363" s="46" t="s">
        <v>69</v>
      </c>
      <c r="B4363" s="12" t="s">
        <v>70</v>
      </c>
      <c r="C4363" s="13">
        <v>12</v>
      </c>
      <c r="D4363" s="24" t="s">
        <v>47</v>
      </c>
      <c r="E4363" s="12" t="s">
        <v>72</v>
      </c>
      <c r="F4363" s="22" t="s">
        <v>90</v>
      </c>
      <c r="G4363" s="118" t="s">
        <v>49</v>
      </c>
      <c r="I4363" s="94">
        <v>14</v>
      </c>
    </row>
    <row r="4364" spans="1:27" hidden="1" x14ac:dyDescent="0.2">
      <c r="A4364" s="46" t="s">
        <v>289</v>
      </c>
      <c r="B4364" s="12" t="s">
        <v>290</v>
      </c>
      <c r="C4364" s="13">
        <v>12</v>
      </c>
      <c r="D4364" s="24" t="s">
        <v>47</v>
      </c>
      <c r="E4364" s="12" t="s">
        <v>291</v>
      </c>
      <c r="F4364" s="22" t="s">
        <v>307</v>
      </c>
      <c r="G4364" s="118" t="s">
        <v>308</v>
      </c>
      <c r="I4364" s="94">
        <v>14</v>
      </c>
    </row>
    <row r="4365" spans="1:27" ht="12.75" hidden="1" thickBot="1" x14ac:dyDescent="0.25">
      <c r="A4365" s="44" t="s">
        <v>2608</v>
      </c>
      <c r="B4365" s="30" t="s">
        <v>2609</v>
      </c>
      <c r="C4365" s="31">
        <v>15</v>
      </c>
      <c r="D4365" s="63" t="s">
        <v>47</v>
      </c>
      <c r="E4365" s="30" t="s">
        <v>2610</v>
      </c>
      <c r="F4365" s="64" t="s">
        <v>2630</v>
      </c>
      <c r="G4365" s="116" t="s">
        <v>706</v>
      </c>
      <c r="I4365" s="94">
        <v>14</v>
      </c>
    </row>
    <row r="4366" spans="1:27" hidden="1" x14ac:dyDescent="0.2">
      <c r="A4366" s="46" t="s">
        <v>3937</v>
      </c>
      <c r="B4366" s="12" t="s">
        <v>3938</v>
      </c>
      <c r="C4366" s="13">
        <v>8</v>
      </c>
      <c r="D4366" s="117" t="s">
        <v>47</v>
      </c>
      <c r="E4366" s="12" t="s">
        <v>3939</v>
      </c>
      <c r="F4366" s="22" t="s">
        <v>3948</v>
      </c>
      <c r="G4366" s="127" t="s">
        <v>3949</v>
      </c>
      <c r="I4366" s="94">
        <v>14</v>
      </c>
    </row>
    <row r="4367" spans="1:27" hidden="1" x14ac:dyDescent="0.2">
      <c r="A4367" s="46" t="s">
        <v>4318</v>
      </c>
      <c r="B4367" s="12" t="s">
        <v>4319</v>
      </c>
      <c r="C4367" s="13">
        <f>C4366+1</f>
        <v>9</v>
      </c>
      <c r="D4367" s="117" t="s">
        <v>47</v>
      </c>
      <c r="E4367" s="12" t="s">
        <v>4320</v>
      </c>
      <c r="F4367" s="22" t="s">
        <v>4324</v>
      </c>
      <c r="G4367" s="127" t="s">
        <v>4325</v>
      </c>
      <c r="I4367" s="94" t="s">
        <v>3570</v>
      </c>
    </row>
    <row r="4368" spans="1:27" hidden="1" x14ac:dyDescent="0.2">
      <c r="A4368" s="46" t="s">
        <v>4335</v>
      </c>
      <c r="B4368" s="12" t="s">
        <v>4336</v>
      </c>
      <c r="C4368" s="13">
        <f>C4367+1</f>
        <v>10</v>
      </c>
      <c r="D4368" s="117" t="s">
        <v>47</v>
      </c>
      <c r="E4368" s="12" t="s">
        <v>4337</v>
      </c>
      <c r="F4368" s="22" t="s">
        <v>4341</v>
      </c>
      <c r="G4368" s="127" t="s">
        <v>4325</v>
      </c>
      <c r="I4368" s="94" t="s">
        <v>3570</v>
      </c>
    </row>
    <row r="4369" spans="1:27" hidden="1" x14ac:dyDescent="0.2">
      <c r="A4369" s="46" t="s">
        <v>4347</v>
      </c>
      <c r="B4369" s="12" t="s">
        <v>4348</v>
      </c>
      <c r="C4369" s="13">
        <f>C4368+1</f>
        <v>11</v>
      </c>
      <c r="D4369" s="117" t="s">
        <v>47</v>
      </c>
      <c r="E4369" s="12" t="s">
        <v>4349</v>
      </c>
      <c r="F4369" s="22" t="s">
        <v>4351</v>
      </c>
      <c r="G4369" s="127" t="s">
        <v>4325</v>
      </c>
      <c r="I4369" s="94" t="s">
        <v>3570</v>
      </c>
    </row>
    <row r="4370" spans="1:27" ht="12.75" hidden="1" thickBot="1" x14ac:dyDescent="0.25">
      <c r="A4370" s="44" t="s">
        <v>4375</v>
      </c>
      <c r="B4370" s="30" t="s">
        <v>4376</v>
      </c>
      <c r="C4370" s="31">
        <f>C4369+1</f>
        <v>12</v>
      </c>
      <c r="D4370" s="207" t="s">
        <v>47</v>
      </c>
      <c r="E4370" s="30" t="s">
        <v>4377</v>
      </c>
      <c r="F4370" s="4" t="s">
        <v>4380</v>
      </c>
      <c r="G4370" s="116" t="s">
        <v>4325</v>
      </c>
      <c r="I4370" s="94" t="s">
        <v>3570</v>
      </c>
    </row>
    <row r="4371" spans="1:27" hidden="1" x14ac:dyDescent="0.25">
      <c r="A4371" s="46" t="s">
        <v>5921</v>
      </c>
      <c r="B4371" s="12" t="s">
        <v>5922</v>
      </c>
      <c r="C4371" s="13">
        <v>5</v>
      </c>
      <c r="D4371" s="117" t="s">
        <v>47</v>
      </c>
      <c r="E4371" s="12" t="s">
        <v>5923</v>
      </c>
      <c r="F4371" s="22" t="s">
        <v>5929</v>
      </c>
      <c r="G4371" s="118" t="s">
        <v>706</v>
      </c>
      <c r="I4371" s="101" t="s">
        <v>5818</v>
      </c>
    </row>
    <row r="4372" spans="1:27" hidden="1" x14ac:dyDescent="0.2">
      <c r="A4372" s="46" t="s">
        <v>6163</v>
      </c>
      <c r="B4372" s="12" t="s">
        <v>6164</v>
      </c>
      <c r="C4372" s="13">
        <v>8</v>
      </c>
      <c r="D4372" s="117" t="s">
        <v>47</v>
      </c>
      <c r="E4372" s="12" t="s">
        <v>6165</v>
      </c>
      <c r="F4372" s="22" t="s">
        <v>6173</v>
      </c>
      <c r="G4372" s="127" t="s">
        <v>49</v>
      </c>
      <c r="I4372" s="101" t="s">
        <v>5818</v>
      </c>
    </row>
    <row r="4373" spans="1:27" hidden="1" x14ac:dyDescent="0.2">
      <c r="A4373" s="45" t="s">
        <v>6518</v>
      </c>
      <c r="B4373" s="22" t="s">
        <v>6519</v>
      </c>
      <c r="C4373" s="23">
        <v>8</v>
      </c>
      <c r="D4373" s="117" t="s">
        <v>47</v>
      </c>
      <c r="E4373" s="22" t="s">
        <v>6520</v>
      </c>
      <c r="F4373" s="22" t="s">
        <v>6528</v>
      </c>
      <c r="G4373" s="115" t="s">
        <v>49</v>
      </c>
      <c r="H4373" s="38"/>
      <c r="I4373" s="39">
        <v>15</v>
      </c>
      <c r="J4373" s="38"/>
      <c r="K4373" s="38"/>
      <c r="L4373" s="38"/>
      <c r="M4373" s="38"/>
      <c r="N4373" s="38"/>
      <c r="O4373" s="38"/>
      <c r="P4373" s="38"/>
      <c r="Q4373" s="38"/>
      <c r="R4373" s="38"/>
      <c r="S4373" s="38"/>
      <c r="T4373" s="38"/>
      <c r="U4373" s="38"/>
      <c r="V4373" s="38"/>
      <c r="W4373" s="38"/>
      <c r="X4373" s="38"/>
      <c r="Y4373" s="38"/>
      <c r="Z4373" s="38"/>
      <c r="AA4373" s="38"/>
    </row>
    <row r="4374" spans="1:27" hidden="1" x14ac:dyDescent="0.2">
      <c r="A4374" s="46" t="s">
        <v>3400</v>
      </c>
      <c r="B4374" s="12" t="s">
        <v>3401</v>
      </c>
      <c r="C4374" s="13">
        <v>4</v>
      </c>
      <c r="D4374" s="117" t="s">
        <v>3407</v>
      </c>
      <c r="E4374" s="65" t="s">
        <v>3402</v>
      </c>
      <c r="F4374" s="75" t="s">
        <v>3408</v>
      </c>
      <c r="G4374" s="127" t="s">
        <v>42</v>
      </c>
    </row>
    <row r="4375" spans="1:27" ht="12.75" hidden="1" thickBot="1" x14ac:dyDescent="0.25">
      <c r="A4375" s="44" t="s">
        <v>3741</v>
      </c>
      <c r="B4375" s="30" t="s">
        <v>3742</v>
      </c>
      <c r="C4375" s="31">
        <v>4</v>
      </c>
      <c r="D4375" s="159" t="s">
        <v>3407</v>
      </c>
      <c r="E4375" s="67" t="s">
        <v>3743</v>
      </c>
      <c r="F4375" s="64" t="s">
        <v>3747</v>
      </c>
      <c r="G4375" s="116" t="s">
        <v>42</v>
      </c>
    </row>
    <row r="4376" spans="1:27" hidden="1" x14ac:dyDescent="0.2">
      <c r="A4376" s="46" t="s">
        <v>4391</v>
      </c>
      <c r="B4376" s="12" t="s">
        <v>4392</v>
      </c>
      <c r="C4376" s="13">
        <f>C4375+1</f>
        <v>5</v>
      </c>
      <c r="D4376" s="118" t="s">
        <v>4397</v>
      </c>
      <c r="E4376" s="12" t="s">
        <v>4393</v>
      </c>
      <c r="F4376" s="12" t="s">
        <v>4398</v>
      </c>
      <c r="G4376" s="127" t="s">
        <v>49</v>
      </c>
      <c r="I4376" s="144" t="s">
        <v>4399</v>
      </c>
    </row>
    <row r="4377" spans="1:27" ht="15" hidden="1" x14ac:dyDescent="0.25">
      <c r="A4377" s="46" t="s">
        <v>4583</v>
      </c>
      <c r="B4377" s="12" t="s">
        <v>4584</v>
      </c>
      <c r="C4377" s="13">
        <v>26</v>
      </c>
      <c r="D4377" s="118" t="s">
        <v>4629</v>
      </c>
      <c r="E4377" s="12" t="s">
        <v>4585</v>
      </c>
      <c r="F4377" s="12" t="s">
        <v>4630</v>
      </c>
      <c r="G4377" s="127" t="s">
        <v>881</v>
      </c>
      <c r="I4377" s="9">
        <v>15</v>
      </c>
      <c r="J4377" s="52"/>
    </row>
    <row r="4378" spans="1:27" hidden="1" x14ac:dyDescent="0.25">
      <c r="A4378" s="46" t="s">
        <v>1768</v>
      </c>
      <c r="B4378" s="12" t="s">
        <v>1769</v>
      </c>
      <c r="C4378" s="13">
        <v>18</v>
      </c>
      <c r="D4378" s="118" t="s">
        <v>1789</v>
      </c>
      <c r="E4378" s="12" t="s">
        <v>1770</v>
      </c>
      <c r="F4378" s="12" t="s">
        <v>1790</v>
      </c>
      <c r="G4378" s="118" t="s">
        <v>1791</v>
      </c>
      <c r="I4378" s="94">
        <v>14</v>
      </c>
    </row>
    <row r="4379" spans="1:27" hidden="1" x14ac:dyDescent="0.2">
      <c r="A4379" s="46" t="s">
        <v>69</v>
      </c>
      <c r="B4379" s="12" t="s">
        <v>70</v>
      </c>
      <c r="C4379" s="13">
        <v>4</v>
      </c>
      <c r="D4379" s="24" t="s">
        <v>76</v>
      </c>
      <c r="E4379" s="12" t="s">
        <v>72</v>
      </c>
      <c r="F4379" s="22" t="s">
        <v>77</v>
      </c>
      <c r="G4379" s="118" t="s">
        <v>78</v>
      </c>
    </row>
    <row r="4380" spans="1:27" ht="12.75" hidden="1" thickBot="1" x14ac:dyDescent="0.3">
      <c r="A4380" s="182" t="s">
        <v>690</v>
      </c>
      <c r="B4380" s="30" t="s">
        <v>691</v>
      </c>
      <c r="C4380" s="31">
        <v>4</v>
      </c>
      <c r="D4380" s="207" t="s">
        <v>76</v>
      </c>
      <c r="E4380" s="30" t="s">
        <v>692</v>
      </c>
      <c r="F4380" s="4" t="s">
        <v>696</v>
      </c>
      <c r="G4380" s="159" t="s">
        <v>285</v>
      </c>
      <c r="I4380" s="102" t="s">
        <v>59</v>
      </c>
    </row>
    <row r="4381" spans="1:27" hidden="1" x14ac:dyDescent="0.2">
      <c r="A4381" s="46" t="s">
        <v>3937</v>
      </c>
      <c r="B4381" s="12" t="s">
        <v>3938</v>
      </c>
      <c r="C4381" s="13">
        <v>4</v>
      </c>
      <c r="D4381" s="22" t="s">
        <v>3943</v>
      </c>
      <c r="E4381" s="28" t="s">
        <v>3939</v>
      </c>
      <c r="F4381" s="22" t="s">
        <v>3944</v>
      </c>
      <c r="G4381" s="127" t="s">
        <v>42</v>
      </c>
    </row>
    <row r="4382" spans="1:27" hidden="1" x14ac:dyDescent="0.25">
      <c r="A4382" s="13" t="s">
        <v>5029</v>
      </c>
      <c r="B4382" s="12" t="s">
        <v>5030</v>
      </c>
      <c r="C4382" s="13">
        <v>4</v>
      </c>
      <c r="D4382" s="22" t="s">
        <v>76</v>
      </c>
      <c r="E4382" s="28" t="s">
        <v>5031</v>
      </c>
      <c r="F4382" s="22" t="s">
        <v>5035</v>
      </c>
      <c r="G4382" s="134" t="s">
        <v>42</v>
      </c>
    </row>
    <row r="4383" spans="1:27" hidden="1" x14ac:dyDescent="0.25">
      <c r="A4383" s="13" t="s">
        <v>5042</v>
      </c>
      <c r="B4383" s="12" t="s">
        <v>5043</v>
      </c>
      <c r="C4383" s="13">
        <v>4</v>
      </c>
      <c r="D4383" s="22" t="s">
        <v>76</v>
      </c>
      <c r="E4383" s="28" t="s">
        <v>5044</v>
      </c>
      <c r="F4383" s="22" t="s">
        <v>5048</v>
      </c>
      <c r="G4383" s="134" t="s">
        <v>42</v>
      </c>
    </row>
    <row r="4384" spans="1:27" hidden="1" x14ac:dyDescent="0.2">
      <c r="A4384" s="46" t="s">
        <v>6862</v>
      </c>
      <c r="B4384" s="12" t="s">
        <v>6863</v>
      </c>
      <c r="C4384" s="13">
        <v>9</v>
      </c>
      <c r="D4384" s="65" t="s">
        <v>6876</v>
      </c>
      <c r="E4384" s="28" t="s">
        <v>6864</v>
      </c>
      <c r="F4384" s="12" t="s">
        <v>6877</v>
      </c>
      <c r="G4384" s="118" t="s">
        <v>156</v>
      </c>
      <c r="I4384" s="90">
        <v>12</v>
      </c>
    </row>
    <row r="4385" spans="1:9" ht="12.75" hidden="1" thickBot="1" x14ac:dyDescent="0.25">
      <c r="A4385" s="44" t="s">
        <v>484</v>
      </c>
      <c r="B4385" s="30" t="s">
        <v>485</v>
      </c>
      <c r="C4385" s="31">
        <v>5</v>
      </c>
      <c r="D4385" s="6" t="s">
        <v>492</v>
      </c>
      <c r="E4385" s="32" t="s">
        <v>486</v>
      </c>
      <c r="F4385" s="4" t="s">
        <v>493</v>
      </c>
      <c r="G4385" s="159" t="s">
        <v>13</v>
      </c>
    </row>
    <row r="4386" spans="1:9" hidden="1" x14ac:dyDescent="0.25">
      <c r="A4386" s="46" t="s">
        <v>1505</v>
      </c>
      <c r="B4386" s="12" t="s">
        <v>1506</v>
      </c>
      <c r="C4386" s="13">
        <v>5</v>
      </c>
      <c r="D4386" s="22" t="s">
        <v>492</v>
      </c>
      <c r="E4386" s="28" t="s">
        <v>1507</v>
      </c>
      <c r="F4386" s="22" t="s">
        <v>1512</v>
      </c>
      <c r="G4386" s="118" t="s">
        <v>13</v>
      </c>
    </row>
    <row r="4387" spans="1:9" hidden="1" x14ac:dyDescent="0.25">
      <c r="A4387" s="46" t="s">
        <v>1519</v>
      </c>
      <c r="B4387" s="12" t="s">
        <v>1520</v>
      </c>
      <c r="C4387" s="13">
        <v>5</v>
      </c>
      <c r="D4387" s="22" t="s">
        <v>492</v>
      </c>
      <c r="E4387" s="28" t="s">
        <v>1521</v>
      </c>
      <c r="F4387" s="22" t="s">
        <v>1527</v>
      </c>
      <c r="G4387" s="118" t="s">
        <v>13</v>
      </c>
    </row>
    <row r="4388" spans="1:9" hidden="1" x14ac:dyDescent="0.25">
      <c r="A4388" s="46" t="s">
        <v>2114</v>
      </c>
      <c r="B4388" s="12" t="s">
        <v>2115</v>
      </c>
      <c r="C4388" s="13">
        <v>6</v>
      </c>
      <c r="D4388" s="42" t="s">
        <v>492</v>
      </c>
      <c r="E4388" s="28" t="s">
        <v>2116</v>
      </c>
      <c r="F4388" s="22" t="s">
        <v>2123</v>
      </c>
      <c r="G4388" s="118" t="s">
        <v>13</v>
      </c>
    </row>
    <row r="4389" spans="1:9" hidden="1" x14ac:dyDescent="0.25">
      <c r="A4389" s="46" t="s">
        <v>1818</v>
      </c>
      <c r="B4389" s="12" t="s">
        <v>1819</v>
      </c>
      <c r="C4389" s="13">
        <v>17</v>
      </c>
      <c r="D4389" s="12" t="s">
        <v>1851</v>
      </c>
      <c r="E4389" s="28" t="s">
        <v>1820</v>
      </c>
      <c r="F4389" s="12" t="s">
        <v>1852</v>
      </c>
      <c r="G4389" s="118" t="s">
        <v>19</v>
      </c>
      <c r="I4389" s="9">
        <v>15</v>
      </c>
    </row>
    <row r="4390" spans="1:9" ht="12.75" hidden="1" thickBot="1" x14ac:dyDescent="0.3">
      <c r="A4390" s="44" t="s">
        <v>1818</v>
      </c>
      <c r="B4390" s="30" t="s">
        <v>1819</v>
      </c>
      <c r="C4390" s="31">
        <v>18</v>
      </c>
      <c r="D4390" s="30" t="s">
        <v>1853</v>
      </c>
      <c r="E4390" s="32" t="s">
        <v>1820</v>
      </c>
      <c r="F4390" s="30" t="s">
        <v>1854</v>
      </c>
      <c r="G4390" s="159" t="s">
        <v>19</v>
      </c>
      <c r="I4390" s="9">
        <v>15</v>
      </c>
    </row>
    <row r="4391" spans="1:9" hidden="1" x14ac:dyDescent="0.2">
      <c r="A4391" s="46" t="s">
        <v>2631</v>
      </c>
      <c r="B4391" s="12" t="s">
        <v>2632</v>
      </c>
      <c r="C4391" s="13">
        <v>46</v>
      </c>
      <c r="D4391" s="14" t="s">
        <v>2719</v>
      </c>
      <c r="E4391" s="28" t="s">
        <v>2634</v>
      </c>
      <c r="F4391" s="65" t="s">
        <v>2720</v>
      </c>
      <c r="G4391" s="127" t="s">
        <v>1239</v>
      </c>
      <c r="I4391" s="99">
        <v>13</v>
      </c>
    </row>
    <row r="4392" spans="1:9" hidden="1" x14ac:dyDescent="0.2">
      <c r="A4392" s="46" t="s">
        <v>2440</v>
      </c>
      <c r="B4392" s="12" t="s">
        <v>2441</v>
      </c>
      <c r="C4392" s="13">
        <v>17</v>
      </c>
      <c r="D4392" s="14" t="s">
        <v>2472</v>
      </c>
      <c r="E4392" s="28" t="s">
        <v>2442</v>
      </c>
      <c r="F4392" s="12" t="s">
        <v>2473</v>
      </c>
      <c r="G4392" s="118" t="s">
        <v>19</v>
      </c>
    </row>
    <row r="4393" spans="1:9" hidden="1" x14ac:dyDescent="0.2">
      <c r="A4393" s="46" t="s">
        <v>2440</v>
      </c>
      <c r="B4393" s="12" t="s">
        <v>2441</v>
      </c>
      <c r="C4393" s="13">
        <v>18</v>
      </c>
      <c r="D4393" s="14" t="s">
        <v>2474</v>
      </c>
      <c r="E4393" s="28" t="s">
        <v>2442</v>
      </c>
      <c r="F4393" s="12" t="s">
        <v>2475</v>
      </c>
      <c r="G4393" s="118" t="s">
        <v>19</v>
      </c>
    </row>
    <row r="4394" spans="1:9" hidden="1" x14ac:dyDescent="0.2">
      <c r="A4394" s="46" t="s">
        <v>2440</v>
      </c>
      <c r="B4394" s="12" t="s">
        <v>2441</v>
      </c>
      <c r="C4394" s="13">
        <v>19</v>
      </c>
      <c r="D4394" s="14" t="s">
        <v>2476</v>
      </c>
      <c r="E4394" s="28" t="s">
        <v>2442</v>
      </c>
      <c r="F4394" s="12" t="s">
        <v>2477</v>
      </c>
      <c r="G4394" s="118" t="s">
        <v>19</v>
      </c>
    </row>
    <row r="4395" spans="1:9" ht="12.75" hidden="1" thickBot="1" x14ac:dyDescent="0.25">
      <c r="A4395" s="44" t="s">
        <v>2440</v>
      </c>
      <c r="B4395" s="30" t="s">
        <v>2441</v>
      </c>
      <c r="C4395" s="31">
        <v>20</v>
      </c>
      <c r="D4395" s="69" t="s">
        <v>2478</v>
      </c>
      <c r="E4395" s="32" t="s">
        <v>2442</v>
      </c>
      <c r="F4395" s="30" t="s">
        <v>2479</v>
      </c>
      <c r="G4395" s="159" t="s">
        <v>19</v>
      </c>
    </row>
    <row r="4396" spans="1:9" hidden="1" x14ac:dyDescent="0.2">
      <c r="A4396" s="46" t="s">
        <v>2440</v>
      </c>
      <c r="B4396" s="12" t="s">
        <v>2441</v>
      </c>
      <c r="C4396" s="13">
        <v>26</v>
      </c>
      <c r="D4396" s="14" t="s">
        <v>2490</v>
      </c>
      <c r="E4396" s="28" t="s">
        <v>2442</v>
      </c>
      <c r="F4396" s="12" t="s">
        <v>2491</v>
      </c>
      <c r="G4396" s="118" t="s">
        <v>19</v>
      </c>
    </row>
    <row r="4397" spans="1:9" hidden="1" x14ac:dyDescent="0.2">
      <c r="A4397" s="46" t="s">
        <v>2440</v>
      </c>
      <c r="B4397" s="12" t="s">
        <v>2441</v>
      </c>
      <c r="C4397" s="13">
        <v>25</v>
      </c>
      <c r="D4397" s="14" t="s">
        <v>2488</v>
      </c>
      <c r="E4397" s="28" t="s">
        <v>2442</v>
      </c>
      <c r="F4397" s="12" t="s">
        <v>2489</v>
      </c>
      <c r="G4397" s="118" t="s">
        <v>19</v>
      </c>
    </row>
    <row r="4398" spans="1:9" hidden="1" x14ac:dyDescent="0.2">
      <c r="A4398" s="46" t="s">
        <v>2631</v>
      </c>
      <c r="B4398" s="12" t="s">
        <v>2632</v>
      </c>
      <c r="C4398" s="13">
        <v>45</v>
      </c>
      <c r="D4398" s="14" t="s">
        <v>2717</v>
      </c>
      <c r="E4398" s="28" t="s">
        <v>2634</v>
      </c>
      <c r="F4398" s="65" t="s">
        <v>2718</v>
      </c>
      <c r="G4398" s="127" t="s">
        <v>1239</v>
      </c>
      <c r="I4398" s="99">
        <v>13</v>
      </c>
    </row>
    <row r="4399" spans="1:9" hidden="1" x14ac:dyDescent="0.25">
      <c r="A4399" s="46" t="s">
        <v>6688</v>
      </c>
      <c r="B4399" s="12" t="s">
        <v>6689</v>
      </c>
      <c r="C4399" s="13">
        <v>28</v>
      </c>
      <c r="D4399" s="12" t="s">
        <v>6740</v>
      </c>
      <c r="E4399" s="28" t="s">
        <v>6690</v>
      </c>
      <c r="F4399" s="12" t="s">
        <v>6741</v>
      </c>
      <c r="G4399" s="118" t="s">
        <v>19</v>
      </c>
    </row>
    <row r="4400" spans="1:9" ht="12.75" hidden="1" thickBot="1" x14ac:dyDescent="0.3">
      <c r="A4400" s="44" t="s">
        <v>5645</v>
      </c>
      <c r="B4400" s="30" t="s">
        <v>5646</v>
      </c>
      <c r="C4400" s="31">
        <v>11</v>
      </c>
      <c r="D4400" s="30" t="s">
        <v>5663</v>
      </c>
      <c r="E4400" s="32" t="s">
        <v>5647</v>
      </c>
      <c r="F4400" s="30" t="s">
        <v>5664</v>
      </c>
      <c r="G4400" s="159" t="s">
        <v>5665</v>
      </c>
    </row>
    <row r="4401" spans="1:27" hidden="1" x14ac:dyDescent="0.25">
      <c r="A4401" s="46" t="s">
        <v>5957</v>
      </c>
      <c r="B4401" s="12" t="s">
        <v>5958</v>
      </c>
      <c r="C4401" s="13">
        <v>13</v>
      </c>
      <c r="D4401" s="12" t="s">
        <v>5663</v>
      </c>
      <c r="E4401" s="28" t="s">
        <v>5959</v>
      </c>
      <c r="F4401" s="12" t="s">
        <v>5976</v>
      </c>
      <c r="G4401" s="118" t="s">
        <v>5665</v>
      </c>
      <c r="I4401" s="9">
        <v>15</v>
      </c>
    </row>
    <row r="4402" spans="1:27" hidden="1" x14ac:dyDescent="0.2">
      <c r="A4402" s="46" t="s">
        <v>926</v>
      </c>
      <c r="B4402" s="12" t="s">
        <v>927</v>
      </c>
      <c r="C4402" s="13">
        <v>6</v>
      </c>
      <c r="D4402" s="14" t="s">
        <v>937</v>
      </c>
      <c r="E4402" s="28" t="s">
        <v>928</v>
      </c>
      <c r="F4402" s="12" t="s">
        <v>938</v>
      </c>
      <c r="G4402" s="118" t="s">
        <v>276</v>
      </c>
      <c r="I4402" s="9">
        <v>15</v>
      </c>
    </row>
    <row r="4403" spans="1:27" hidden="1" x14ac:dyDescent="0.25">
      <c r="A4403" s="46" t="s">
        <v>6570</v>
      </c>
      <c r="B4403" s="12" t="s">
        <v>6571</v>
      </c>
      <c r="C4403" s="13">
        <f>C4402+1</f>
        <v>7</v>
      </c>
      <c r="D4403" s="22" t="s">
        <v>6575</v>
      </c>
      <c r="E4403" s="28" t="s">
        <v>6572</v>
      </c>
      <c r="F4403" s="22" t="s">
        <v>6576</v>
      </c>
      <c r="G4403" s="118" t="s">
        <v>32</v>
      </c>
      <c r="I4403" s="90">
        <v>12</v>
      </c>
    </row>
    <row r="4404" spans="1:27" hidden="1" x14ac:dyDescent="0.2">
      <c r="A4404" s="45" t="s">
        <v>839</v>
      </c>
      <c r="B4404" s="22" t="s">
        <v>840</v>
      </c>
      <c r="C4404" s="23">
        <v>5</v>
      </c>
      <c r="D4404" s="37" t="s">
        <v>849</v>
      </c>
      <c r="E4404" s="25" t="s">
        <v>841</v>
      </c>
      <c r="F4404" s="22" t="s">
        <v>850</v>
      </c>
      <c r="G4404" s="117" t="s">
        <v>848</v>
      </c>
      <c r="H4404" s="38"/>
      <c r="I4404" s="39">
        <v>15</v>
      </c>
      <c r="J4404" s="38"/>
      <c r="K4404" s="38"/>
      <c r="L4404" s="38"/>
      <c r="M4404" s="38"/>
      <c r="N4404" s="38"/>
      <c r="O4404" s="38"/>
      <c r="P4404" s="38"/>
      <c r="Q4404" s="38"/>
      <c r="R4404" s="38"/>
      <c r="S4404" s="38"/>
      <c r="T4404" s="38"/>
      <c r="U4404" s="38"/>
      <c r="V4404" s="38"/>
      <c r="W4404" s="38"/>
      <c r="X4404" s="38"/>
      <c r="Y4404" s="38"/>
      <c r="Z4404" s="38"/>
      <c r="AA4404" s="38"/>
    </row>
    <row r="4405" spans="1:27" ht="12.75" hidden="1" thickBot="1" x14ac:dyDescent="0.25">
      <c r="A4405" s="184" t="s">
        <v>890</v>
      </c>
      <c r="B4405" s="4" t="s">
        <v>891</v>
      </c>
      <c r="C4405" s="5">
        <v>6</v>
      </c>
      <c r="D4405" s="6" t="s">
        <v>849</v>
      </c>
      <c r="E4405" s="238" t="s">
        <v>892</v>
      </c>
      <c r="F4405" s="4" t="s">
        <v>899</v>
      </c>
      <c r="G4405" s="207" t="s">
        <v>848</v>
      </c>
      <c r="H4405" s="38"/>
      <c r="I4405" s="39">
        <v>15</v>
      </c>
      <c r="J4405" s="38"/>
      <c r="K4405" s="38"/>
      <c r="L4405" s="38"/>
      <c r="M4405" s="38"/>
      <c r="N4405" s="38"/>
      <c r="O4405" s="38"/>
      <c r="P4405" s="38"/>
      <c r="Q4405" s="38"/>
      <c r="R4405" s="38"/>
      <c r="S4405" s="38"/>
      <c r="T4405" s="38"/>
      <c r="U4405" s="38"/>
      <c r="V4405" s="38"/>
      <c r="W4405" s="38"/>
      <c r="X4405" s="38"/>
      <c r="Y4405" s="38"/>
      <c r="Z4405" s="38"/>
      <c r="AA4405" s="38"/>
    </row>
    <row r="4406" spans="1:27" hidden="1" x14ac:dyDescent="0.2">
      <c r="A4406" s="45" t="s">
        <v>839</v>
      </c>
      <c r="B4406" s="22" t="s">
        <v>840</v>
      </c>
      <c r="C4406" s="23">
        <v>4</v>
      </c>
      <c r="D4406" s="37" t="s">
        <v>846</v>
      </c>
      <c r="E4406" s="25" t="s">
        <v>841</v>
      </c>
      <c r="F4406" s="22" t="s">
        <v>847</v>
      </c>
      <c r="G4406" s="117" t="s">
        <v>848</v>
      </c>
      <c r="H4406" s="38"/>
      <c r="I4406" s="39">
        <v>15</v>
      </c>
      <c r="J4406" s="38"/>
      <c r="K4406" s="38"/>
      <c r="L4406" s="38"/>
      <c r="M4406" s="38"/>
      <c r="N4406" s="38"/>
      <c r="O4406" s="38"/>
      <c r="P4406" s="38"/>
      <c r="Q4406" s="38"/>
      <c r="R4406" s="38"/>
      <c r="S4406" s="38"/>
      <c r="T4406" s="38"/>
      <c r="U4406" s="38"/>
      <c r="V4406" s="38"/>
      <c r="W4406" s="38"/>
      <c r="X4406" s="38"/>
      <c r="Y4406" s="38"/>
      <c r="Z4406" s="38"/>
      <c r="AA4406" s="38"/>
    </row>
    <row r="4407" spans="1:27" ht="24" hidden="1" x14ac:dyDescent="0.2">
      <c r="A4407" s="45" t="s">
        <v>871</v>
      </c>
      <c r="B4407" s="22" t="s">
        <v>872</v>
      </c>
      <c r="C4407" s="23">
        <v>3</v>
      </c>
      <c r="D4407" s="37" t="s">
        <v>846</v>
      </c>
      <c r="E4407" s="25" t="s">
        <v>873</v>
      </c>
      <c r="F4407" s="22" t="s">
        <v>876</v>
      </c>
      <c r="G4407" s="117" t="s">
        <v>848</v>
      </c>
      <c r="H4407" s="38"/>
      <c r="I4407" s="39">
        <v>15</v>
      </c>
      <c r="J4407" s="38"/>
      <c r="K4407" s="38"/>
      <c r="L4407" s="38"/>
      <c r="M4407" s="38"/>
      <c r="N4407" s="38"/>
      <c r="O4407" s="38"/>
      <c r="P4407" s="38"/>
      <c r="Q4407" s="38"/>
      <c r="R4407" s="38"/>
      <c r="S4407" s="38"/>
      <c r="T4407" s="38"/>
      <c r="U4407" s="38"/>
      <c r="V4407" s="38"/>
      <c r="W4407" s="38"/>
      <c r="X4407" s="38"/>
      <c r="Y4407" s="38"/>
      <c r="Z4407" s="38"/>
      <c r="AA4407" s="38"/>
    </row>
    <row r="4408" spans="1:27" hidden="1" x14ac:dyDescent="0.2">
      <c r="A4408" s="45" t="s">
        <v>890</v>
      </c>
      <c r="B4408" s="22" t="s">
        <v>891</v>
      </c>
      <c r="C4408" s="23">
        <v>5</v>
      </c>
      <c r="D4408" s="37" t="s">
        <v>846</v>
      </c>
      <c r="E4408" s="25" t="s">
        <v>892</v>
      </c>
      <c r="F4408" s="22" t="s">
        <v>898</v>
      </c>
      <c r="G4408" s="117" t="s">
        <v>848</v>
      </c>
      <c r="H4408" s="38"/>
      <c r="I4408" s="39">
        <v>15</v>
      </c>
      <c r="J4408" s="38"/>
      <c r="K4408" s="38"/>
      <c r="L4408" s="38"/>
      <c r="M4408" s="38"/>
      <c r="N4408" s="38"/>
      <c r="O4408" s="38"/>
      <c r="P4408" s="38"/>
      <c r="Q4408" s="38"/>
      <c r="R4408" s="38"/>
      <c r="S4408" s="38"/>
      <c r="T4408" s="38"/>
      <c r="U4408" s="38"/>
      <c r="V4408" s="38"/>
      <c r="W4408" s="38"/>
      <c r="X4408" s="38"/>
      <c r="Y4408" s="38"/>
      <c r="Z4408" s="38"/>
      <c r="AA4408" s="38"/>
    </row>
    <row r="4409" spans="1:27" hidden="1" x14ac:dyDescent="0.2">
      <c r="A4409" s="45" t="s">
        <v>1082</v>
      </c>
      <c r="B4409" s="22" t="s">
        <v>1083</v>
      </c>
      <c r="C4409" s="23">
        <v>3</v>
      </c>
      <c r="D4409" s="37" t="s">
        <v>1087</v>
      </c>
      <c r="E4409" s="25" t="s">
        <v>1084</v>
      </c>
      <c r="F4409" s="22" t="s">
        <v>1088</v>
      </c>
      <c r="G4409" s="117" t="s">
        <v>848</v>
      </c>
      <c r="H4409" s="38"/>
      <c r="I4409" s="39">
        <v>15</v>
      </c>
      <c r="J4409" s="38"/>
      <c r="K4409" s="38"/>
      <c r="L4409" s="38"/>
      <c r="M4409" s="38"/>
      <c r="N4409" s="38"/>
      <c r="O4409" s="38"/>
      <c r="P4409" s="38"/>
      <c r="Q4409" s="38"/>
      <c r="R4409" s="38"/>
      <c r="S4409" s="38"/>
      <c r="T4409" s="38"/>
      <c r="U4409" s="38"/>
      <c r="V4409" s="38"/>
      <c r="W4409" s="38"/>
      <c r="X4409" s="38"/>
      <c r="Y4409" s="38"/>
      <c r="Z4409" s="38"/>
      <c r="AA4409" s="38"/>
    </row>
    <row r="4410" spans="1:27" ht="12.75" hidden="1" thickBot="1" x14ac:dyDescent="0.25">
      <c r="A4410" s="184" t="s">
        <v>757</v>
      </c>
      <c r="B4410" s="4" t="s">
        <v>758</v>
      </c>
      <c r="C4410" s="5">
        <v>3</v>
      </c>
      <c r="D4410" s="6" t="s">
        <v>762</v>
      </c>
      <c r="E4410" s="238" t="s">
        <v>759</v>
      </c>
      <c r="F4410" s="4" t="s">
        <v>763</v>
      </c>
      <c r="G4410" s="207" t="s">
        <v>32</v>
      </c>
      <c r="I4410" s="9">
        <v>15</v>
      </c>
    </row>
    <row r="4411" spans="1:27" ht="24" hidden="1" x14ac:dyDescent="0.2">
      <c r="A4411" s="45" t="s">
        <v>882</v>
      </c>
      <c r="B4411" s="22" t="s">
        <v>883</v>
      </c>
      <c r="C4411" s="23">
        <v>3</v>
      </c>
      <c r="D4411" s="37" t="s">
        <v>762</v>
      </c>
      <c r="E4411" s="25" t="s">
        <v>884</v>
      </c>
      <c r="F4411" s="22" t="s">
        <v>887</v>
      </c>
      <c r="G4411" s="117" t="s">
        <v>848</v>
      </c>
      <c r="H4411" s="38"/>
      <c r="I4411" s="39">
        <v>15</v>
      </c>
      <c r="J4411" s="38"/>
      <c r="K4411" s="38"/>
      <c r="L4411" s="38"/>
      <c r="M4411" s="38"/>
      <c r="N4411" s="38"/>
      <c r="O4411" s="38"/>
      <c r="P4411" s="38"/>
      <c r="Q4411" s="38"/>
      <c r="R4411" s="38"/>
      <c r="S4411" s="38"/>
      <c r="T4411" s="38"/>
      <c r="U4411" s="38"/>
      <c r="V4411" s="38"/>
      <c r="W4411" s="38"/>
      <c r="X4411" s="38"/>
      <c r="Y4411" s="38"/>
      <c r="Z4411" s="38"/>
      <c r="AA4411" s="38"/>
    </row>
    <row r="4412" spans="1:27" hidden="1" x14ac:dyDescent="0.2">
      <c r="A4412" s="46" t="s">
        <v>4391</v>
      </c>
      <c r="B4412" s="12" t="s">
        <v>4392</v>
      </c>
      <c r="C4412" s="13">
        <f>C4411+1</f>
        <v>4</v>
      </c>
      <c r="D4412" s="12" t="s">
        <v>762</v>
      </c>
      <c r="E4412" s="28" t="s">
        <v>4393</v>
      </c>
      <c r="F4412" s="12" t="s">
        <v>4400</v>
      </c>
      <c r="G4412" s="127" t="s">
        <v>32</v>
      </c>
      <c r="I4412" s="90">
        <v>12</v>
      </c>
    </row>
    <row r="4413" spans="1:27" ht="15" hidden="1" x14ac:dyDescent="0.25">
      <c r="A4413" s="45" t="s">
        <v>4421</v>
      </c>
      <c r="B4413" s="22" t="s">
        <v>4422</v>
      </c>
      <c r="C4413" s="23">
        <v>3</v>
      </c>
      <c r="D4413" s="22" t="s">
        <v>762</v>
      </c>
      <c r="E4413" s="25" t="s">
        <v>4423</v>
      </c>
      <c r="F4413" s="22" t="s">
        <v>4426</v>
      </c>
      <c r="G4413" s="115" t="s">
        <v>848</v>
      </c>
      <c r="H4413" s="38"/>
      <c r="I4413" s="39">
        <v>15</v>
      </c>
      <c r="J4413" s="52"/>
      <c r="K4413" s="38"/>
      <c r="L4413" s="38"/>
      <c r="M4413" s="38"/>
      <c r="N4413" s="38"/>
      <c r="O4413" s="38"/>
      <c r="P4413" s="38"/>
      <c r="Q4413" s="38"/>
      <c r="R4413" s="38"/>
      <c r="S4413" s="38"/>
      <c r="T4413" s="38"/>
      <c r="U4413" s="38"/>
      <c r="V4413" s="38"/>
      <c r="W4413" s="38"/>
      <c r="X4413" s="38"/>
      <c r="Y4413" s="38"/>
      <c r="Z4413" s="38"/>
      <c r="AA4413" s="38"/>
    </row>
    <row r="4414" spans="1:27" ht="15" hidden="1" x14ac:dyDescent="0.25">
      <c r="A4414" s="45" t="s">
        <v>4465</v>
      </c>
      <c r="B4414" s="22" t="s">
        <v>4466</v>
      </c>
      <c r="C4414" s="23">
        <v>3</v>
      </c>
      <c r="D4414" s="22" t="s">
        <v>762</v>
      </c>
      <c r="E4414" s="25" t="s">
        <v>4467</v>
      </c>
      <c r="F4414" s="22" t="s">
        <v>4470</v>
      </c>
      <c r="G4414" s="115" t="s">
        <v>848</v>
      </c>
      <c r="H4414" s="38"/>
      <c r="I4414" s="39">
        <v>15</v>
      </c>
      <c r="J4414" s="52"/>
      <c r="K4414" s="38"/>
      <c r="L4414" s="38"/>
      <c r="M4414" s="38"/>
      <c r="N4414" s="38"/>
      <c r="O4414" s="38"/>
      <c r="P4414" s="38"/>
      <c r="Q4414" s="38"/>
      <c r="R4414" s="38"/>
      <c r="S4414" s="38"/>
      <c r="T4414" s="38"/>
      <c r="U4414" s="38"/>
      <c r="V4414" s="38"/>
      <c r="W4414" s="38"/>
      <c r="X4414" s="38"/>
      <c r="Y4414" s="38"/>
      <c r="Z4414" s="38"/>
      <c r="AA4414" s="38"/>
    </row>
    <row r="4415" spans="1:27" ht="12.75" hidden="1" thickBot="1" x14ac:dyDescent="0.25">
      <c r="A4415" s="184" t="s">
        <v>4513</v>
      </c>
      <c r="B4415" s="4" t="s">
        <v>4514</v>
      </c>
      <c r="C4415" s="5">
        <v>3</v>
      </c>
      <c r="D4415" s="4" t="s">
        <v>762</v>
      </c>
      <c r="E4415" s="238" t="s">
        <v>4515</v>
      </c>
      <c r="F4415" s="4" t="s">
        <v>4518</v>
      </c>
      <c r="G4415" s="227" t="s">
        <v>848</v>
      </c>
      <c r="H4415" s="38"/>
      <c r="I4415" s="39">
        <v>15</v>
      </c>
      <c r="J4415" s="38"/>
      <c r="K4415" s="38"/>
      <c r="L4415" s="38"/>
      <c r="M4415" s="38"/>
      <c r="N4415" s="38"/>
      <c r="O4415" s="38"/>
      <c r="P4415" s="38"/>
      <c r="Q4415" s="38"/>
      <c r="R4415" s="38"/>
      <c r="S4415" s="38"/>
      <c r="T4415" s="38"/>
      <c r="U4415" s="38"/>
      <c r="V4415" s="38"/>
      <c r="W4415" s="38"/>
      <c r="X4415" s="38"/>
      <c r="Y4415" s="38"/>
      <c r="Z4415" s="38"/>
      <c r="AA4415" s="38"/>
    </row>
    <row r="4416" spans="1:27" hidden="1" x14ac:dyDescent="0.2">
      <c r="A4416" s="45" t="s">
        <v>4540</v>
      </c>
      <c r="B4416" s="22" t="s">
        <v>4541</v>
      </c>
      <c r="C4416" s="23">
        <v>3</v>
      </c>
      <c r="D4416" s="22" t="s">
        <v>762</v>
      </c>
      <c r="E4416" s="25" t="s">
        <v>4542</v>
      </c>
      <c r="F4416" s="22" t="s">
        <v>4545</v>
      </c>
      <c r="G4416" s="115" t="s">
        <v>848</v>
      </c>
      <c r="H4416" s="38"/>
      <c r="I4416" s="39">
        <v>15</v>
      </c>
      <c r="J4416" s="38"/>
      <c r="K4416" s="38"/>
      <c r="L4416" s="38"/>
      <c r="M4416" s="38"/>
      <c r="N4416" s="38"/>
      <c r="O4416" s="38"/>
      <c r="P4416" s="38"/>
      <c r="Q4416" s="38"/>
      <c r="R4416" s="38"/>
      <c r="S4416" s="38"/>
      <c r="T4416" s="38"/>
      <c r="U4416" s="38"/>
      <c r="V4416" s="38"/>
      <c r="W4416" s="38"/>
      <c r="X4416" s="38"/>
      <c r="Y4416" s="38"/>
      <c r="Z4416" s="38"/>
      <c r="AA4416" s="38"/>
    </row>
    <row r="4417" spans="1:27" hidden="1" x14ac:dyDescent="0.2">
      <c r="A4417" s="45" t="s">
        <v>4564</v>
      </c>
      <c r="B4417" s="22" t="s">
        <v>4565</v>
      </c>
      <c r="C4417" s="23">
        <v>3</v>
      </c>
      <c r="D4417" s="22" t="s">
        <v>762</v>
      </c>
      <c r="E4417" s="25" t="s">
        <v>4566</v>
      </c>
      <c r="F4417" s="22" t="s">
        <v>4569</v>
      </c>
      <c r="G4417" s="115" t="s">
        <v>848</v>
      </c>
      <c r="H4417" s="38"/>
      <c r="I4417" s="39">
        <v>15</v>
      </c>
      <c r="J4417" s="38"/>
      <c r="K4417" s="38"/>
      <c r="L4417" s="38"/>
      <c r="M4417" s="38"/>
      <c r="N4417" s="38"/>
      <c r="O4417" s="38"/>
      <c r="P4417" s="38"/>
      <c r="Q4417" s="38"/>
      <c r="R4417" s="38"/>
      <c r="S4417" s="38"/>
      <c r="T4417" s="38"/>
      <c r="U4417" s="38"/>
      <c r="V4417" s="38"/>
      <c r="W4417" s="38"/>
      <c r="X4417" s="38"/>
      <c r="Y4417" s="38"/>
      <c r="Z4417" s="38"/>
      <c r="AA4417" s="38"/>
    </row>
    <row r="4418" spans="1:27" ht="15" hidden="1" x14ac:dyDescent="0.25">
      <c r="A4418" s="45" t="s">
        <v>4583</v>
      </c>
      <c r="B4418" s="22" t="s">
        <v>4584</v>
      </c>
      <c r="C4418" s="23">
        <v>3</v>
      </c>
      <c r="D4418" s="22" t="s">
        <v>762</v>
      </c>
      <c r="E4418" s="25" t="s">
        <v>4585</v>
      </c>
      <c r="F4418" s="22" t="s">
        <v>4588</v>
      </c>
      <c r="G4418" s="115" t="s">
        <v>848</v>
      </c>
      <c r="H4418" s="38"/>
      <c r="I4418" s="39">
        <v>15</v>
      </c>
      <c r="J4418" s="52"/>
      <c r="K4418" s="38"/>
      <c r="L4418" s="38"/>
      <c r="M4418" s="38"/>
      <c r="N4418" s="38"/>
      <c r="O4418" s="38"/>
      <c r="P4418" s="38"/>
      <c r="Q4418" s="38"/>
      <c r="R4418" s="38"/>
      <c r="S4418" s="38"/>
      <c r="T4418" s="38"/>
      <c r="U4418" s="38"/>
      <c r="V4418" s="38"/>
      <c r="W4418" s="38"/>
      <c r="X4418" s="38"/>
      <c r="Y4418" s="38"/>
      <c r="Z4418" s="38"/>
      <c r="AA4418" s="38"/>
    </row>
    <row r="4419" spans="1:27" hidden="1" x14ac:dyDescent="0.25">
      <c r="A4419" s="46" t="s">
        <v>5921</v>
      </c>
      <c r="B4419" s="12" t="s">
        <v>5922</v>
      </c>
      <c r="C4419" s="13">
        <v>3</v>
      </c>
      <c r="D4419" s="22" t="s">
        <v>762</v>
      </c>
      <c r="E4419" s="28" t="s">
        <v>5923</v>
      </c>
      <c r="F4419" s="22" t="s">
        <v>5926</v>
      </c>
      <c r="G4419" s="118" t="s">
        <v>678</v>
      </c>
      <c r="I4419" s="101" t="s">
        <v>5818</v>
      </c>
    </row>
    <row r="4420" spans="1:27" ht="24.75" hidden="1" thickBot="1" x14ac:dyDescent="0.3">
      <c r="A4420" s="184" t="s">
        <v>6531</v>
      </c>
      <c r="B4420" s="4" t="s">
        <v>6532</v>
      </c>
      <c r="C4420" s="5">
        <v>3</v>
      </c>
      <c r="D4420" s="4" t="s">
        <v>762</v>
      </c>
      <c r="E4420" s="238" t="s">
        <v>6533</v>
      </c>
      <c r="F4420" s="4" t="s">
        <v>6536</v>
      </c>
      <c r="G4420" s="207" t="s">
        <v>32</v>
      </c>
      <c r="H4420" s="38"/>
      <c r="I4420" s="39">
        <v>15</v>
      </c>
      <c r="J4420" s="38"/>
      <c r="K4420" s="38"/>
      <c r="L4420" s="38"/>
      <c r="M4420" s="38"/>
      <c r="N4420" s="38"/>
      <c r="O4420" s="38"/>
      <c r="P4420" s="38"/>
      <c r="Q4420" s="38"/>
      <c r="R4420" s="38"/>
      <c r="S4420" s="38"/>
      <c r="T4420" s="38"/>
      <c r="U4420" s="38"/>
      <c r="V4420" s="38"/>
      <c r="W4420" s="38"/>
      <c r="X4420" s="38"/>
      <c r="Y4420" s="38"/>
      <c r="Z4420" s="38"/>
      <c r="AA4420" s="38"/>
    </row>
    <row r="4421" spans="1:27" hidden="1" x14ac:dyDescent="0.25">
      <c r="A4421" s="46" t="s">
        <v>6543</v>
      </c>
      <c r="B4421" s="12" t="s">
        <v>6544</v>
      </c>
      <c r="C4421" s="13">
        <f>C4420+1</f>
        <v>4</v>
      </c>
      <c r="D4421" s="22" t="s">
        <v>762</v>
      </c>
      <c r="E4421" s="28" t="s">
        <v>6545</v>
      </c>
      <c r="F4421" s="22" t="s">
        <v>6548</v>
      </c>
      <c r="G4421" s="118" t="s">
        <v>32</v>
      </c>
      <c r="I4421" s="90">
        <v>12</v>
      </c>
    </row>
    <row r="4422" spans="1:27" hidden="1" x14ac:dyDescent="0.2">
      <c r="A4422" s="46" t="s">
        <v>943</v>
      </c>
      <c r="B4422" s="12" t="s">
        <v>944</v>
      </c>
      <c r="C4422" s="13">
        <v>26</v>
      </c>
      <c r="D4422" s="14" t="s">
        <v>994</v>
      </c>
      <c r="E4422" s="28" t="s">
        <v>945</v>
      </c>
      <c r="F4422" s="12" t="s">
        <v>995</v>
      </c>
      <c r="G4422" s="118" t="s">
        <v>832</v>
      </c>
      <c r="I4422" s="9">
        <v>15</v>
      </c>
    </row>
    <row r="4423" spans="1:27" hidden="1" x14ac:dyDescent="0.25">
      <c r="A4423" s="46" t="s">
        <v>2097</v>
      </c>
      <c r="B4423" s="12" t="s">
        <v>2098</v>
      </c>
      <c r="C4423" s="13">
        <v>1</v>
      </c>
      <c r="D4423" s="22" t="s">
        <v>71</v>
      </c>
      <c r="E4423" s="28" t="s">
        <v>2099</v>
      </c>
      <c r="F4423" s="22" t="s">
        <v>2100</v>
      </c>
      <c r="G4423" s="118" t="s">
        <v>16</v>
      </c>
    </row>
    <row r="4424" spans="1:27" hidden="1" x14ac:dyDescent="0.25">
      <c r="A4424" s="97" t="s">
        <v>6189</v>
      </c>
      <c r="B4424" s="82" t="s">
        <v>6190</v>
      </c>
      <c r="C4424" s="83">
        <f>C4423+1</f>
        <v>2</v>
      </c>
      <c r="D4424" s="82" t="s">
        <v>6229</v>
      </c>
      <c r="E4424" s="86" t="s">
        <v>6191</v>
      </c>
      <c r="F4424" s="82" t="s">
        <v>6230</v>
      </c>
      <c r="G4424" s="205" t="s">
        <v>19</v>
      </c>
      <c r="I4424" s="101" t="s">
        <v>54</v>
      </c>
    </row>
    <row r="4425" spans="1:27" ht="12.75" hidden="1" thickBot="1" x14ac:dyDescent="0.3">
      <c r="A4425" s="191" t="s">
        <v>6371</v>
      </c>
      <c r="B4425" s="162" t="s">
        <v>6372</v>
      </c>
      <c r="C4425" s="161">
        <v>20</v>
      </c>
      <c r="D4425" s="162" t="s">
        <v>6229</v>
      </c>
      <c r="E4425" s="239" t="s">
        <v>6373</v>
      </c>
      <c r="F4425" s="162" t="s">
        <v>6394</v>
      </c>
      <c r="G4425" s="231" t="s">
        <v>6041</v>
      </c>
      <c r="I4425" s="101" t="s">
        <v>2778</v>
      </c>
    </row>
    <row r="4426" spans="1:27" hidden="1" x14ac:dyDescent="0.25">
      <c r="A4426" s="97" t="s">
        <v>6189</v>
      </c>
      <c r="B4426" s="82" t="s">
        <v>6190</v>
      </c>
      <c r="C4426" s="83">
        <f>C4425+1</f>
        <v>21</v>
      </c>
      <c r="D4426" s="82" t="s">
        <v>6233</v>
      </c>
      <c r="E4426" s="86" t="s">
        <v>6191</v>
      </c>
      <c r="F4426" s="82" t="s">
        <v>6234</v>
      </c>
      <c r="G4426" s="205" t="s">
        <v>19</v>
      </c>
      <c r="I4426" s="101" t="s">
        <v>54</v>
      </c>
    </row>
    <row r="4427" spans="1:27" hidden="1" x14ac:dyDescent="0.25">
      <c r="A4427" s="97" t="s">
        <v>6371</v>
      </c>
      <c r="B4427" s="82" t="s">
        <v>6372</v>
      </c>
      <c r="C4427" s="83">
        <v>22</v>
      </c>
      <c r="D4427" s="82" t="s">
        <v>6233</v>
      </c>
      <c r="E4427" s="86" t="s">
        <v>6373</v>
      </c>
      <c r="F4427" s="82" t="s">
        <v>6396</v>
      </c>
      <c r="G4427" s="205" t="s">
        <v>6041</v>
      </c>
      <c r="I4427" s="101" t="s">
        <v>2778</v>
      </c>
    </row>
    <row r="4428" spans="1:27" hidden="1" x14ac:dyDescent="0.2">
      <c r="A4428" s="46" t="s">
        <v>6614</v>
      </c>
      <c r="B4428" s="12" t="s">
        <v>6615</v>
      </c>
      <c r="C4428" s="13">
        <v>20</v>
      </c>
      <c r="D4428" s="14" t="s">
        <v>6639</v>
      </c>
      <c r="E4428" s="28" t="s">
        <v>6616</v>
      </c>
      <c r="F4428" s="12" t="s">
        <v>6640</v>
      </c>
      <c r="G4428" s="118" t="s">
        <v>19</v>
      </c>
    </row>
    <row r="4429" spans="1:27" hidden="1" x14ac:dyDescent="0.25">
      <c r="A4429" s="97" t="s">
        <v>6189</v>
      </c>
      <c r="B4429" s="82" t="s">
        <v>6190</v>
      </c>
      <c r="C4429" s="83">
        <f>C4428+1</f>
        <v>21</v>
      </c>
      <c r="D4429" s="82" t="s">
        <v>6231</v>
      </c>
      <c r="E4429" s="86" t="s">
        <v>6191</v>
      </c>
      <c r="F4429" s="82" t="s">
        <v>6232</v>
      </c>
      <c r="G4429" s="205" t="s">
        <v>19</v>
      </c>
      <c r="I4429" s="101" t="s">
        <v>54</v>
      </c>
    </row>
    <row r="4430" spans="1:27" ht="12.75" hidden="1" thickBot="1" x14ac:dyDescent="0.3">
      <c r="A4430" s="191" t="s">
        <v>6371</v>
      </c>
      <c r="B4430" s="162" t="s">
        <v>6372</v>
      </c>
      <c r="C4430" s="161">
        <v>21</v>
      </c>
      <c r="D4430" s="162" t="s">
        <v>6231</v>
      </c>
      <c r="E4430" s="239" t="s">
        <v>6373</v>
      </c>
      <c r="F4430" s="162" t="s">
        <v>6395</v>
      </c>
      <c r="G4430" s="231" t="s">
        <v>6041</v>
      </c>
      <c r="I4430" s="101" t="s">
        <v>2778</v>
      </c>
    </row>
    <row r="4431" spans="1:27" hidden="1" x14ac:dyDescent="0.25">
      <c r="A4431" s="183" t="s">
        <v>6189</v>
      </c>
      <c r="B4431" s="196" t="s">
        <v>6190</v>
      </c>
      <c r="C4431" s="200">
        <f>C4430+1</f>
        <v>22</v>
      </c>
      <c r="D4431" s="196" t="s">
        <v>6235</v>
      </c>
      <c r="E4431" s="236" t="s">
        <v>6191</v>
      </c>
      <c r="F4431" s="82" t="s">
        <v>6236</v>
      </c>
      <c r="G4431" s="160" t="s">
        <v>19</v>
      </c>
      <c r="I4431" s="101" t="s">
        <v>54</v>
      </c>
    </row>
    <row r="4432" spans="1:27" hidden="1" x14ac:dyDescent="0.25">
      <c r="A4432" s="81" t="s">
        <v>6371</v>
      </c>
      <c r="B4432" s="82" t="s">
        <v>6372</v>
      </c>
      <c r="C4432" s="83">
        <v>23</v>
      </c>
      <c r="D4432" s="82" t="s">
        <v>6235</v>
      </c>
      <c r="E4432" s="86" t="s">
        <v>6373</v>
      </c>
      <c r="F4432" s="82" t="s">
        <v>6397</v>
      </c>
      <c r="G4432" s="84" t="s">
        <v>6041</v>
      </c>
      <c r="I4432" s="101" t="s">
        <v>2778</v>
      </c>
    </row>
    <row r="4433" spans="1:10" hidden="1" x14ac:dyDescent="0.2">
      <c r="A4433" s="11" t="s">
        <v>6614</v>
      </c>
      <c r="B4433" s="12" t="s">
        <v>6615</v>
      </c>
      <c r="C4433" s="13">
        <v>19</v>
      </c>
      <c r="D4433" s="14" t="s">
        <v>6637</v>
      </c>
      <c r="E4433" s="28" t="s">
        <v>6616</v>
      </c>
      <c r="F4433" s="12" t="s">
        <v>6638</v>
      </c>
      <c r="G4433" s="15" t="s">
        <v>19</v>
      </c>
    </row>
    <row r="4434" spans="1:10" ht="15" hidden="1" x14ac:dyDescent="0.25">
      <c r="A4434" s="11" t="s">
        <v>4583</v>
      </c>
      <c r="B4434" s="12" t="s">
        <v>4584</v>
      </c>
      <c r="C4434" s="13">
        <v>27</v>
      </c>
      <c r="D4434" s="12" t="s">
        <v>4631</v>
      </c>
      <c r="E4434" s="28" t="s">
        <v>4585</v>
      </c>
      <c r="F4434" s="12" t="s">
        <v>4632</v>
      </c>
      <c r="G4434" s="66" t="s">
        <v>78</v>
      </c>
      <c r="I4434" s="9">
        <v>15</v>
      </c>
      <c r="J4434" s="52"/>
    </row>
    <row r="4435" spans="1:10" hidden="1" x14ac:dyDescent="0.2">
      <c r="A4435" s="11" t="s">
        <v>6921</v>
      </c>
      <c r="B4435" s="12" t="s">
        <v>6922</v>
      </c>
      <c r="C4435" s="13">
        <v>8</v>
      </c>
      <c r="D4435" s="65" t="s">
        <v>6933</v>
      </c>
      <c r="E4435" s="28" t="s">
        <v>6923</v>
      </c>
      <c r="F4435" s="12" t="s">
        <v>6934</v>
      </c>
      <c r="G4435" s="15" t="s">
        <v>126</v>
      </c>
    </row>
    <row r="4436" spans="1:10" hidden="1" x14ac:dyDescent="0.2">
      <c r="A4436" s="56" t="s">
        <v>6946</v>
      </c>
      <c r="B4436" s="61" t="s">
        <v>6947</v>
      </c>
      <c r="C4436" s="58">
        <v>8</v>
      </c>
      <c r="D4436" s="74" t="s">
        <v>6933</v>
      </c>
      <c r="E4436" s="89" t="s">
        <v>6948</v>
      </c>
      <c r="F4436" s="61" t="s">
        <v>6956</v>
      </c>
      <c r="G4436" s="62" t="s">
        <v>126</v>
      </c>
    </row>
    <row r="4437" spans="1:10" hidden="1" x14ac:dyDescent="0.2">
      <c r="A4437" s="11" t="s">
        <v>7002</v>
      </c>
      <c r="B4437" s="12" t="s">
        <v>7003</v>
      </c>
      <c r="C4437" s="13">
        <v>13</v>
      </c>
      <c r="D4437" s="14" t="s">
        <v>7022</v>
      </c>
      <c r="E4437" s="28" t="s">
        <v>7004</v>
      </c>
      <c r="F4437" s="12" t="s">
        <v>7023</v>
      </c>
      <c r="G4437" s="15" t="s">
        <v>126</v>
      </c>
    </row>
    <row r="4438" spans="1:10" hidden="1" x14ac:dyDescent="0.2">
      <c r="A4438" s="11" t="s">
        <v>2631</v>
      </c>
      <c r="B4438" s="12" t="s">
        <v>2632</v>
      </c>
      <c r="C4438" s="13">
        <v>60</v>
      </c>
      <c r="D4438" s="14" t="s">
        <v>2747</v>
      </c>
      <c r="E4438" s="28" t="s">
        <v>2634</v>
      </c>
      <c r="F4438" s="65" t="s">
        <v>2748</v>
      </c>
      <c r="G4438" s="66" t="s">
        <v>862</v>
      </c>
      <c r="I4438" s="94">
        <v>14</v>
      </c>
    </row>
    <row r="4439" spans="1:10" hidden="1" x14ac:dyDescent="0.2">
      <c r="A4439" s="11" t="s">
        <v>2631</v>
      </c>
      <c r="B4439" s="12" t="s">
        <v>2632</v>
      </c>
      <c r="C4439" s="13">
        <f>C4438+1</f>
        <v>61</v>
      </c>
      <c r="D4439" s="14" t="s">
        <v>2815</v>
      </c>
      <c r="E4439" s="28" t="s">
        <v>2634</v>
      </c>
      <c r="F4439" s="65" t="s">
        <v>2816</v>
      </c>
      <c r="G4439" s="66" t="s">
        <v>1239</v>
      </c>
      <c r="I4439" s="99">
        <v>13</v>
      </c>
    </row>
    <row r="4440" spans="1:10" ht="12.75" hidden="1" thickBot="1" x14ac:dyDescent="0.25">
      <c r="A4440" s="36" t="s">
        <v>3165</v>
      </c>
      <c r="B4440" s="30" t="s">
        <v>3166</v>
      </c>
      <c r="C4440" s="31">
        <f>C4439+1</f>
        <v>62</v>
      </c>
      <c r="D4440" s="30" t="s">
        <v>2815</v>
      </c>
      <c r="E4440" s="32" t="s">
        <v>3167</v>
      </c>
      <c r="F4440" s="30" t="s">
        <v>3319</v>
      </c>
      <c r="G4440" s="68" t="s">
        <v>1239</v>
      </c>
      <c r="I4440" s="99">
        <v>13</v>
      </c>
    </row>
    <row r="4441" spans="1:10" hidden="1" x14ac:dyDescent="0.2">
      <c r="A4441" s="56" t="s">
        <v>3130</v>
      </c>
      <c r="B4441" s="61" t="s">
        <v>3131</v>
      </c>
      <c r="C4441" s="58">
        <v>17</v>
      </c>
      <c r="D4441" s="61" t="s">
        <v>3158</v>
      </c>
      <c r="E4441" s="89" t="s">
        <v>3132</v>
      </c>
      <c r="F4441" s="74" t="s">
        <v>3159</v>
      </c>
      <c r="G4441" s="129" t="s">
        <v>3160</v>
      </c>
      <c r="I4441" s="94">
        <v>14</v>
      </c>
    </row>
    <row r="4442" spans="1:10" hidden="1" x14ac:dyDescent="0.2">
      <c r="A4442" s="11" t="s">
        <v>4731</v>
      </c>
      <c r="B4442" s="12" t="s">
        <v>4732</v>
      </c>
      <c r="C4442" s="13">
        <v>2</v>
      </c>
      <c r="D4442" s="42" t="s">
        <v>4735</v>
      </c>
      <c r="E4442" s="138" t="s">
        <v>4733</v>
      </c>
      <c r="F4442" s="75" t="s">
        <v>4736</v>
      </c>
      <c r="G4442" s="66" t="s">
        <v>13</v>
      </c>
    </row>
    <row r="4443" spans="1:10" hidden="1" x14ac:dyDescent="0.25">
      <c r="A4443" s="11" t="s">
        <v>5886</v>
      </c>
      <c r="B4443" s="12" t="s">
        <v>5887</v>
      </c>
      <c r="C4443" s="13">
        <v>15</v>
      </c>
      <c r="D4443" s="12" t="s">
        <v>5907</v>
      </c>
      <c r="E4443" s="28" t="s">
        <v>5888</v>
      </c>
      <c r="F4443" s="12" t="s">
        <v>5908</v>
      </c>
      <c r="G4443" s="15" t="s">
        <v>156</v>
      </c>
      <c r="I4443" s="99">
        <v>13</v>
      </c>
    </row>
    <row r="4444" spans="1:10" hidden="1" x14ac:dyDescent="0.2">
      <c r="A4444" s="11" t="s">
        <v>2097</v>
      </c>
      <c r="B4444" s="12" t="s">
        <v>2098</v>
      </c>
      <c r="C4444" s="13">
        <v>2</v>
      </c>
      <c r="D4444" s="37" t="s">
        <v>10</v>
      </c>
      <c r="E4444" s="28" t="s">
        <v>2099</v>
      </c>
      <c r="F4444" s="22" t="s">
        <v>2101</v>
      </c>
      <c r="G4444" s="15" t="s">
        <v>13</v>
      </c>
    </row>
    <row r="4445" spans="1:10" ht="12.75" hidden="1" thickBot="1" x14ac:dyDescent="0.3">
      <c r="A4445" s="36" t="s">
        <v>6286</v>
      </c>
      <c r="B4445" s="30" t="s">
        <v>6287</v>
      </c>
      <c r="C4445" s="31">
        <f>C4444+1</f>
        <v>3</v>
      </c>
      <c r="D4445" s="30" t="s">
        <v>6297</v>
      </c>
      <c r="E4445" s="32" t="s">
        <v>6288</v>
      </c>
      <c r="F4445" s="30" t="s">
        <v>6298</v>
      </c>
      <c r="G4445" s="33" t="s">
        <v>13</v>
      </c>
      <c r="I4445" s="90">
        <v>12</v>
      </c>
    </row>
    <row r="4446" spans="1:10" hidden="1" x14ac:dyDescent="0.2">
      <c r="A4446" s="56" t="s">
        <v>6645</v>
      </c>
      <c r="B4446" s="61" t="s">
        <v>6646</v>
      </c>
      <c r="C4446" s="58">
        <f>+C4445+1</f>
        <v>4</v>
      </c>
      <c r="D4446" s="107" t="s">
        <v>6297</v>
      </c>
      <c r="E4446" s="89" t="s">
        <v>6647</v>
      </c>
      <c r="F4446" s="12" t="s">
        <v>6656</v>
      </c>
      <c r="G4446" s="62" t="s">
        <v>13</v>
      </c>
    </row>
    <row r="4447" spans="1:10" hidden="1" x14ac:dyDescent="0.2">
      <c r="A4447" s="11" t="s">
        <v>2631</v>
      </c>
      <c r="B4447" s="12" t="s">
        <v>2632</v>
      </c>
      <c r="C4447" s="13">
        <v>68</v>
      </c>
      <c r="D4447" s="37" t="s">
        <v>2762</v>
      </c>
      <c r="E4447" s="28" t="s">
        <v>2634</v>
      </c>
      <c r="F4447" s="75" t="s">
        <v>2763</v>
      </c>
      <c r="G4447" s="66" t="s">
        <v>42</v>
      </c>
    </row>
    <row r="4448" spans="1:10" hidden="1" x14ac:dyDescent="0.2">
      <c r="A4448" s="11" t="s">
        <v>3165</v>
      </c>
      <c r="B4448" s="12" t="s">
        <v>3166</v>
      </c>
      <c r="C4448" s="13">
        <v>37</v>
      </c>
      <c r="D4448" s="22" t="s">
        <v>2762</v>
      </c>
      <c r="E4448" s="25" t="s">
        <v>3167</v>
      </c>
      <c r="F4448" s="75" t="s">
        <v>3218</v>
      </c>
      <c r="G4448" s="71" t="s">
        <v>42</v>
      </c>
    </row>
    <row r="4449" spans="1:9" hidden="1" x14ac:dyDescent="0.25">
      <c r="A4449" s="180" t="s">
        <v>5312</v>
      </c>
      <c r="B4449" s="82" t="s">
        <v>5313</v>
      </c>
      <c r="C4449" s="83">
        <v>5</v>
      </c>
      <c r="D4449" s="82" t="s">
        <v>5323</v>
      </c>
      <c r="E4449" s="86" t="s">
        <v>5315</v>
      </c>
      <c r="F4449" s="82" t="s">
        <v>5324</v>
      </c>
      <c r="G4449" s="84" t="s">
        <v>5170</v>
      </c>
      <c r="I4449" s="99">
        <v>13</v>
      </c>
    </row>
    <row r="4450" spans="1:9" hidden="1" x14ac:dyDescent="0.2">
      <c r="A4450" s="11" t="s">
        <v>5277</v>
      </c>
      <c r="B4450" s="12" t="s">
        <v>5278</v>
      </c>
      <c r="C4450" s="13">
        <v>5</v>
      </c>
      <c r="D4450" s="12" t="s">
        <v>5286</v>
      </c>
      <c r="E4450" s="28" t="s">
        <v>5279</v>
      </c>
      <c r="F4450" s="65" t="s">
        <v>5287</v>
      </c>
      <c r="G4450" s="66" t="s">
        <v>5170</v>
      </c>
    </row>
    <row r="4451" spans="1:9" hidden="1" x14ac:dyDescent="0.2">
      <c r="A4451" s="56" t="s">
        <v>5290</v>
      </c>
      <c r="B4451" s="61" t="s">
        <v>5291</v>
      </c>
      <c r="C4451" s="58">
        <v>5</v>
      </c>
      <c r="D4451" s="61" t="s">
        <v>5286</v>
      </c>
      <c r="E4451" s="89" t="s">
        <v>5292</v>
      </c>
      <c r="F4451" s="74" t="s">
        <v>5298</v>
      </c>
      <c r="G4451" s="129" t="s">
        <v>5170</v>
      </c>
    </row>
    <row r="4452" spans="1:9" hidden="1" x14ac:dyDescent="0.2">
      <c r="A4452" s="11" t="s">
        <v>5301</v>
      </c>
      <c r="B4452" s="12" t="s">
        <v>5302</v>
      </c>
      <c r="C4452" s="13">
        <v>5</v>
      </c>
      <c r="D4452" s="12" t="s">
        <v>5286</v>
      </c>
      <c r="E4452" s="28" t="s">
        <v>5303</v>
      </c>
      <c r="F4452" s="65" t="s">
        <v>5309</v>
      </c>
      <c r="G4452" s="66" t="s">
        <v>5170</v>
      </c>
      <c r="I4452" s="90">
        <v>12</v>
      </c>
    </row>
    <row r="4453" spans="1:9" hidden="1" x14ac:dyDescent="0.25">
      <c r="A4453" s="146" t="s">
        <v>4926</v>
      </c>
      <c r="B4453" s="12" t="s">
        <v>4927</v>
      </c>
      <c r="C4453" s="13">
        <v>33</v>
      </c>
      <c r="D4453" s="12" t="s">
        <v>4990</v>
      </c>
      <c r="E4453" s="28" t="s">
        <v>4928</v>
      </c>
      <c r="F4453" s="8" t="s">
        <v>4991</v>
      </c>
      <c r="G4453" s="80" t="s">
        <v>13</v>
      </c>
    </row>
    <row r="4454" spans="1:9" hidden="1" x14ac:dyDescent="0.25">
      <c r="A4454" s="146" t="s">
        <v>4926</v>
      </c>
      <c r="B4454" s="12" t="s">
        <v>4927</v>
      </c>
      <c r="C4454" s="13">
        <v>32</v>
      </c>
      <c r="D4454" s="12" t="s">
        <v>4988</v>
      </c>
      <c r="E4454" s="28" t="s">
        <v>4928</v>
      </c>
      <c r="F4454" s="8" t="s">
        <v>4989</v>
      </c>
      <c r="G4454" s="80" t="s">
        <v>13</v>
      </c>
    </row>
    <row r="4455" spans="1:9" ht="12.75" hidden="1" thickBot="1" x14ac:dyDescent="0.3">
      <c r="A4455" s="36" t="s">
        <v>1313</v>
      </c>
      <c r="B4455" s="30" t="s">
        <v>1314</v>
      </c>
      <c r="C4455" s="31">
        <v>20</v>
      </c>
      <c r="D4455" s="30" t="s">
        <v>1351</v>
      </c>
      <c r="E4455" s="32" t="s">
        <v>1315</v>
      </c>
      <c r="F4455" s="30" t="s">
        <v>1352</v>
      </c>
      <c r="G4455" s="33" t="s">
        <v>13</v>
      </c>
    </row>
    <row r="4456" spans="1:9" hidden="1" x14ac:dyDescent="0.25">
      <c r="A4456" s="56" t="s">
        <v>1313</v>
      </c>
      <c r="B4456" s="61" t="s">
        <v>1314</v>
      </c>
      <c r="C4456" s="58">
        <v>18</v>
      </c>
      <c r="D4456" s="61" t="s">
        <v>1347</v>
      </c>
      <c r="E4456" s="89" t="s">
        <v>1315</v>
      </c>
      <c r="F4456" s="61" t="s">
        <v>1348</v>
      </c>
      <c r="G4456" s="62" t="s">
        <v>13</v>
      </c>
    </row>
    <row r="4457" spans="1:9" hidden="1" x14ac:dyDescent="0.25">
      <c r="A4457" s="146" t="s">
        <v>4926</v>
      </c>
      <c r="B4457" s="12" t="s">
        <v>4927</v>
      </c>
      <c r="C4457" s="13">
        <v>31</v>
      </c>
      <c r="D4457" s="12" t="s">
        <v>4986</v>
      </c>
      <c r="E4457" s="28" t="s">
        <v>4928</v>
      </c>
      <c r="F4457" s="8" t="s">
        <v>4987</v>
      </c>
      <c r="G4457" s="80" t="s">
        <v>13</v>
      </c>
    </row>
    <row r="4458" spans="1:9" hidden="1" x14ac:dyDescent="0.2">
      <c r="A4458" s="11" t="s">
        <v>2867</v>
      </c>
      <c r="B4458" s="12" t="s">
        <v>2868</v>
      </c>
      <c r="C4458" s="13">
        <v>24</v>
      </c>
      <c r="D4458" s="14" t="s">
        <v>2910</v>
      </c>
      <c r="E4458" s="28" t="s">
        <v>2869</v>
      </c>
      <c r="F4458" s="65" t="s">
        <v>2911</v>
      </c>
      <c r="G4458" s="66" t="s">
        <v>13</v>
      </c>
    </row>
    <row r="4459" spans="1:9" hidden="1" x14ac:dyDescent="0.25">
      <c r="A4459" s="146" t="s">
        <v>4926</v>
      </c>
      <c r="B4459" s="12" t="s">
        <v>4927</v>
      </c>
      <c r="C4459" s="13">
        <v>30</v>
      </c>
      <c r="D4459" s="12" t="s">
        <v>4984</v>
      </c>
      <c r="E4459" s="28" t="s">
        <v>4928</v>
      </c>
      <c r="F4459" s="8" t="s">
        <v>4985</v>
      </c>
      <c r="G4459" s="80" t="s">
        <v>13</v>
      </c>
    </row>
    <row r="4460" spans="1:9" ht="12.75" hidden="1" thickBot="1" x14ac:dyDescent="0.25">
      <c r="A4460" s="36" t="s">
        <v>2867</v>
      </c>
      <c r="B4460" s="30" t="s">
        <v>2868</v>
      </c>
      <c r="C4460" s="31">
        <v>23</v>
      </c>
      <c r="D4460" s="69" t="s">
        <v>2908</v>
      </c>
      <c r="E4460" s="32" t="s">
        <v>2869</v>
      </c>
      <c r="F4460" s="67" t="s">
        <v>2909</v>
      </c>
      <c r="G4460" s="68" t="s">
        <v>13</v>
      </c>
    </row>
    <row r="4461" spans="1:9" hidden="1" x14ac:dyDescent="0.2">
      <c r="A4461" s="56" t="s">
        <v>4087</v>
      </c>
      <c r="B4461" s="61" t="s">
        <v>4088</v>
      </c>
      <c r="C4461" s="58">
        <f>C4460+1</f>
        <v>24</v>
      </c>
      <c r="D4461" s="61" t="s">
        <v>4180</v>
      </c>
      <c r="E4461" s="89" t="s">
        <v>4089</v>
      </c>
      <c r="F4461" s="61" t="s">
        <v>4181</v>
      </c>
      <c r="G4461" s="129" t="s">
        <v>13</v>
      </c>
      <c r="I4461" s="90" t="s">
        <v>2426</v>
      </c>
    </row>
    <row r="4462" spans="1:9" hidden="1" x14ac:dyDescent="0.2">
      <c r="A4462" s="11" t="s">
        <v>4212</v>
      </c>
      <c r="B4462" s="12" t="s">
        <v>4213</v>
      </c>
      <c r="C4462" s="13">
        <f>C4461+1</f>
        <v>25</v>
      </c>
      <c r="D4462" s="12" t="s">
        <v>4180</v>
      </c>
      <c r="E4462" s="28" t="s">
        <v>4214</v>
      </c>
      <c r="F4462" s="12" t="s">
        <v>4294</v>
      </c>
      <c r="G4462" s="66" t="s">
        <v>13</v>
      </c>
      <c r="I4462" s="90" t="s">
        <v>2426</v>
      </c>
    </row>
    <row r="4463" spans="1:9" hidden="1" x14ac:dyDescent="0.2">
      <c r="A4463" s="11" t="s">
        <v>4087</v>
      </c>
      <c r="B4463" s="12" t="s">
        <v>4088</v>
      </c>
      <c r="C4463" s="13">
        <f>C4462+1</f>
        <v>26</v>
      </c>
      <c r="D4463" s="12" t="s">
        <v>4182</v>
      </c>
      <c r="E4463" s="28" t="s">
        <v>4089</v>
      </c>
      <c r="F4463" s="12" t="s">
        <v>4183</v>
      </c>
      <c r="G4463" s="66" t="s">
        <v>13</v>
      </c>
      <c r="I4463" s="90" t="s">
        <v>2426</v>
      </c>
    </row>
    <row r="4464" spans="1:9" hidden="1" x14ac:dyDescent="0.2">
      <c r="A4464" s="11" t="s">
        <v>4212</v>
      </c>
      <c r="B4464" s="12" t="s">
        <v>4213</v>
      </c>
      <c r="C4464" s="13">
        <f>C4463+1</f>
        <v>27</v>
      </c>
      <c r="D4464" s="12" t="s">
        <v>4182</v>
      </c>
      <c r="E4464" s="28" t="s">
        <v>4214</v>
      </c>
      <c r="F4464" s="12" t="s">
        <v>4295</v>
      </c>
      <c r="G4464" s="66" t="s">
        <v>13</v>
      </c>
      <c r="I4464" s="90" t="s">
        <v>2426</v>
      </c>
    </row>
    <row r="4465" spans="1:9" ht="12.75" hidden="1" thickBot="1" x14ac:dyDescent="0.3">
      <c r="A4465" s="147" t="s">
        <v>4926</v>
      </c>
      <c r="B4465" s="30" t="s">
        <v>4927</v>
      </c>
      <c r="C4465" s="31">
        <v>29</v>
      </c>
      <c r="D4465" s="30" t="s">
        <v>4982</v>
      </c>
      <c r="E4465" s="32" t="s">
        <v>4928</v>
      </c>
      <c r="F4465" s="55" t="s">
        <v>4983</v>
      </c>
      <c r="G4465" s="152" t="s">
        <v>13</v>
      </c>
    </row>
    <row r="4466" spans="1:9" hidden="1" x14ac:dyDescent="0.25">
      <c r="A4466" s="145" t="s">
        <v>4926</v>
      </c>
      <c r="B4466" s="61" t="s">
        <v>4927</v>
      </c>
      <c r="C4466" s="58">
        <v>28</v>
      </c>
      <c r="D4466" s="61" t="s">
        <v>4980</v>
      </c>
      <c r="E4466" s="89" t="s">
        <v>4928</v>
      </c>
      <c r="F4466" s="57" t="s">
        <v>4981</v>
      </c>
      <c r="G4466" s="149" t="s">
        <v>13</v>
      </c>
    </row>
    <row r="4467" spans="1:9" hidden="1" x14ac:dyDescent="0.25">
      <c r="A4467" s="11" t="s">
        <v>1313</v>
      </c>
      <c r="B4467" s="12" t="s">
        <v>1314</v>
      </c>
      <c r="C4467" s="13">
        <v>17</v>
      </c>
      <c r="D4467" s="12" t="s">
        <v>1345</v>
      </c>
      <c r="E4467" s="28" t="s">
        <v>1315</v>
      </c>
      <c r="F4467" s="12" t="s">
        <v>1346</v>
      </c>
      <c r="G4467" s="15" t="s">
        <v>13</v>
      </c>
    </row>
    <row r="4468" spans="1:9" hidden="1" x14ac:dyDescent="0.2">
      <c r="A4468" s="11" t="s">
        <v>4711</v>
      </c>
      <c r="B4468" s="12" t="s">
        <v>2739</v>
      </c>
      <c r="C4468" s="13">
        <v>2</v>
      </c>
      <c r="D4468" s="42" t="s">
        <v>4714</v>
      </c>
      <c r="E4468" s="138" t="s">
        <v>4712</v>
      </c>
      <c r="F4468" s="75" t="s">
        <v>4715</v>
      </c>
      <c r="G4468" s="66" t="s">
        <v>13</v>
      </c>
    </row>
    <row r="4469" spans="1:9" hidden="1" x14ac:dyDescent="0.25">
      <c r="A4469" s="146" t="s">
        <v>4926</v>
      </c>
      <c r="B4469" s="12" t="s">
        <v>4927</v>
      </c>
      <c r="C4469" s="13">
        <v>27</v>
      </c>
      <c r="D4469" s="12" t="s">
        <v>4978</v>
      </c>
      <c r="E4469" s="28" t="s">
        <v>4928</v>
      </c>
      <c r="F4469" s="8" t="s">
        <v>4979</v>
      </c>
      <c r="G4469" s="80" t="s">
        <v>13</v>
      </c>
    </row>
    <row r="4470" spans="1:9" hidden="1" x14ac:dyDescent="0.25">
      <c r="A4470" s="146" t="s">
        <v>4926</v>
      </c>
      <c r="B4470" s="12" t="s">
        <v>4927</v>
      </c>
      <c r="C4470" s="13">
        <v>26</v>
      </c>
      <c r="D4470" s="12" t="s">
        <v>4976</v>
      </c>
      <c r="E4470" s="28" t="s">
        <v>4928</v>
      </c>
      <c r="F4470" s="8" t="s">
        <v>4977</v>
      </c>
      <c r="G4470" s="80" t="s">
        <v>13</v>
      </c>
    </row>
    <row r="4471" spans="1:9" hidden="1" x14ac:dyDescent="0.25">
      <c r="A4471" s="56" t="s">
        <v>1313</v>
      </c>
      <c r="B4471" s="61" t="s">
        <v>1314</v>
      </c>
      <c r="C4471" s="58">
        <v>16</v>
      </c>
      <c r="D4471" s="61" t="s">
        <v>1343</v>
      </c>
      <c r="E4471" s="89" t="s">
        <v>1315</v>
      </c>
      <c r="F4471" s="61" t="s">
        <v>1344</v>
      </c>
      <c r="G4471" s="62" t="s">
        <v>13</v>
      </c>
    </row>
    <row r="4472" spans="1:9" hidden="1" x14ac:dyDescent="0.25">
      <c r="A4472" s="11" t="s">
        <v>1313</v>
      </c>
      <c r="B4472" s="12" t="s">
        <v>1314</v>
      </c>
      <c r="C4472" s="13">
        <v>15</v>
      </c>
      <c r="D4472" s="12" t="s">
        <v>1341</v>
      </c>
      <c r="E4472" s="28" t="s">
        <v>1315</v>
      </c>
      <c r="F4472" s="12" t="s">
        <v>1342</v>
      </c>
      <c r="G4472" s="15" t="s">
        <v>13</v>
      </c>
    </row>
    <row r="4473" spans="1:9" hidden="1" x14ac:dyDescent="0.2">
      <c r="A4473" s="11" t="s">
        <v>3165</v>
      </c>
      <c r="B4473" s="12" t="s">
        <v>3166</v>
      </c>
      <c r="C4473" s="13">
        <f>C4472+1</f>
        <v>16</v>
      </c>
      <c r="D4473" s="12" t="s">
        <v>3282</v>
      </c>
      <c r="E4473" s="28" t="s">
        <v>3167</v>
      </c>
      <c r="F4473" s="12" t="s">
        <v>3283</v>
      </c>
      <c r="G4473" s="66" t="s">
        <v>13</v>
      </c>
      <c r="I4473" s="99">
        <v>13</v>
      </c>
    </row>
    <row r="4474" spans="1:9" hidden="1" x14ac:dyDescent="0.2">
      <c r="A4474" s="11" t="s">
        <v>3165</v>
      </c>
      <c r="B4474" s="12" t="s">
        <v>3166</v>
      </c>
      <c r="C4474" s="13">
        <f>C4473+1</f>
        <v>17</v>
      </c>
      <c r="D4474" s="12" t="s">
        <v>3284</v>
      </c>
      <c r="E4474" s="28" t="s">
        <v>3167</v>
      </c>
      <c r="F4474" s="12" t="s">
        <v>3285</v>
      </c>
      <c r="G4474" s="66" t="s">
        <v>13</v>
      </c>
      <c r="I4474" s="99">
        <v>13</v>
      </c>
    </row>
    <row r="4475" spans="1:9" ht="12.75" hidden="1" thickBot="1" x14ac:dyDescent="0.3">
      <c r="A4475" s="36" t="s">
        <v>1313</v>
      </c>
      <c r="B4475" s="30" t="s">
        <v>1314</v>
      </c>
      <c r="C4475" s="31">
        <v>14</v>
      </c>
      <c r="D4475" s="30" t="s">
        <v>1339</v>
      </c>
      <c r="E4475" s="32" t="s">
        <v>1315</v>
      </c>
      <c r="F4475" s="30" t="s">
        <v>1340</v>
      </c>
      <c r="G4475" s="33" t="s">
        <v>13</v>
      </c>
    </row>
    <row r="4476" spans="1:9" hidden="1" x14ac:dyDescent="0.2">
      <c r="A4476" s="56" t="s">
        <v>93</v>
      </c>
      <c r="B4476" s="61" t="s">
        <v>94</v>
      </c>
      <c r="C4476" s="58">
        <v>7</v>
      </c>
      <c r="D4476" s="107" t="s">
        <v>106</v>
      </c>
      <c r="E4476" s="89" t="s">
        <v>96</v>
      </c>
      <c r="F4476" s="61" t="s">
        <v>107</v>
      </c>
      <c r="G4476" s="62" t="s">
        <v>13</v>
      </c>
    </row>
    <row r="4477" spans="1:9" hidden="1" x14ac:dyDescent="0.25">
      <c r="A4477" s="11" t="s">
        <v>1313</v>
      </c>
      <c r="B4477" s="12" t="s">
        <v>1314</v>
      </c>
      <c r="C4477" s="13">
        <v>30</v>
      </c>
      <c r="D4477" s="12" t="s">
        <v>1371</v>
      </c>
      <c r="E4477" s="28" t="s">
        <v>1315</v>
      </c>
      <c r="F4477" s="12" t="s">
        <v>1372</v>
      </c>
      <c r="G4477" s="15" t="s">
        <v>78</v>
      </c>
    </row>
    <row r="4478" spans="1:9" hidden="1" x14ac:dyDescent="0.2">
      <c r="A4478" s="11" t="s">
        <v>2097</v>
      </c>
      <c r="B4478" s="12" t="s">
        <v>2098</v>
      </c>
      <c r="C4478" s="13">
        <v>3</v>
      </c>
      <c r="D4478" s="37" t="s">
        <v>1968</v>
      </c>
      <c r="E4478" s="28" t="s">
        <v>2099</v>
      </c>
      <c r="F4478" s="22" t="s">
        <v>2102</v>
      </c>
      <c r="G4478" s="15" t="s">
        <v>32</v>
      </c>
    </row>
    <row r="4479" spans="1:9" hidden="1" x14ac:dyDescent="0.2">
      <c r="A4479" s="11" t="s">
        <v>5559</v>
      </c>
      <c r="B4479" s="12" t="s">
        <v>5560</v>
      </c>
      <c r="C4479" s="13">
        <v>8</v>
      </c>
      <c r="D4479" s="12" t="s">
        <v>2089</v>
      </c>
      <c r="E4479" s="28" t="s">
        <v>5561</v>
      </c>
      <c r="F4479" s="12" t="s">
        <v>5575</v>
      </c>
      <c r="G4479" s="66" t="s">
        <v>5576</v>
      </c>
    </row>
    <row r="4480" spans="1:9" ht="12.75" hidden="1" thickBot="1" x14ac:dyDescent="0.3">
      <c r="A4480" s="36" t="s">
        <v>6688</v>
      </c>
      <c r="B4480" s="30" t="s">
        <v>6689</v>
      </c>
      <c r="C4480" s="31">
        <v>7</v>
      </c>
      <c r="D4480" s="30" t="s">
        <v>1371</v>
      </c>
      <c r="E4480" s="28" t="s">
        <v>6690</v>
      </c>
      <c r="F4480" s="30" t="s">
        <v>6701</v>
      </c>
      <c r="G4480" s="33" t="s">
        <v>78</v>
      </c>
    </row>
    <row r="4481" spans="1:9" hidden="1" x14ac:dyDescent="0.25">
      <c r="A4481" s="56" t="s">
        <v>1534</v>
      </c>
      <c r="B4481" s="61" t="s">
        <v>1535</v>
      </c>
      <c r="C4481" s="58">
        <v>4</v>
      </c>
      <c r="D4481" s="17" t="s">
        <v>1541</v>
      </c>
      <c r="E4481" s="89" t="s">
        <v>1537</v>
      </c>
      <c r="F4481" s="17" t="s">
        <v>1542</v>
      </c>
      <c r="G4481" s="62" t="s">
        <v>13</v>
      </c>
    </row>
    <row r="4482" spans="1:9" hidden="1" x14ac:dyDescent="0.2">
      <c r="A4482" s="11" t="s">
        <v>5469</v>
      </c>
      <c r="B4482" s="12" t="s">
        <v>5470</v>
      </c>
      <c r="C4482" s="13">
        <v>2</v>
      </c>
      <c r="D4482" s="166" t="s">
        <v>5473</v>
      </c>
      <c r="E4482" s="25" t="s">
        <v>5471</v>
      </c>
      <c r="F4482" s="75" t="s">
        <v>5474</v>
      </c>
      <c r="G4482" s="26" t="s">
        <v>13</v>
      </c>
    </row>
    <row r="4483" spans="1:9" hidden="1" x14ac:dyDescent="0.2">
      <c r="A4483" s="146" t="s">
        <v>4771</v>
      </c>
      <c r="B4483" s="12" t="s">
        <v>4772</v>
      </c>
      <c r="C4483" s="13">
        <v>16</v>
      </c>
      <c r="D4483" s="12" t="s">
        <v>4798</v>
      </c>
      <c r="E4483" s="28" t="s">
        <v>4773</v>
      </c>
      <c r="F4483" s="12" t="s">
        <v>4799</v>
      </c>
      <c r="G4483" s="66" t="s">
        <v>13</v>
      </c>
    </row>
    <row r="4484" spans="1:9" hidden="1" x14ac:dyDescent="0.2">
      <c r="A4484" s="146" t="s">
        <v>4771</v>
      </c>
      <c r="B4484" s="12" t="s">
        <v>4772</v>
      </c>
      <c r="C4484" s="13">
        <v>15</v>
      </c>
      <c r="D4484" s="12" t="s">
        <v>4796</v>
      </c>
      <c r="E4484" s="28" t="s">
        <v>4773</v>
      </c>
      <c r="F4484" s="12" t="s">
        <v>4797</v>
      </c>
      <c r="G4484" s="66" t="s">
        <v>13</v>
      </c>
    </row>
    <row r="4485" spans="1:9" ht="12.75" hidden="1" thickBot="1" x14ac:dyDescent="0.3">
      <c r="A4485" s="36" t="s">
        <v>1260</v>
      </c>
      <c r="B4485" s="12" t="s">
        <v>1261</v>
      </c>
      <c r="C4485" s="31">
        <v>13</v>
      </c>
      <c r="D4485" s="30" t="s">
        <v>1283</v>
      </c>
      <c r="E4485" s="28" t="s">
        <v>1262</v>
      </c>
      <c r="F4485" s="30" t="s">
        <v>1284</v>
      </c>
      <c r="G4485" s="33" t="s">
        <v>13</v>
      </c>
    </row>
    <row r="4486" spans="1:9" hidden="1" x14ac:dyDescent="0.2">
      <c r="A4486" s="56" t="s">
        <v>319</v>
      </c>
      <c r="B4486" s="61" t="s">
        <v>320</v>
      </c>
      <c r="C4486" s="58">
        <v>16</v>
      </c>
      <c r="D4486" s="107" t="s">
        <v>349</v>
      </c>
      <c r="E4486" s="89" t="s">
        <v>321</v>
      </c>
      <c r="F4486" s="61" t="s">
        <v>350</v>
      </c>
      <c r="G4486" s="62" t="s">
        <v>13</v>
      </c>
    </row>
    <row r="4487" spans="1:9" hidden="1" x14ac:dyDescent="0.2">
      <c r="A4487" s="11" t="s">
        <v>319</v>
      </c>
      <c r="B4487" s="12" t="s">
        <v>320</v>
      </c>
      <c r="C4487" s="13">
        <f>C4486+1</f>
        <v>17</v>
      </c>
      <c r="D4487" s="14" t="s">
        <v>359</v>
      </c>
      <c r="E4487" s="28" t="s">
        <v>321</v>
      </c>
      <c r="F4487" s="12" t="s">
        <v>360</v>
      </c>
      <c r="G4487" s="15" t="s">
        <v>361</v>
      </c>
      <c r="I4487" s="90">
        <v>12</v>
      </c>
    </row>
    <row r="4488" spans="1:9" hidden="1" x14ac:dyDescent="0.25">
      <c r="A4488" s="11" t="s">
        <v>1260</v>
      </c>
      <c r="B4488" s="12" t="s">
        <v>1261</v>
      </c>
      <c r="C4488" s="13">
        <v>19</v>
      </c>
      <c r="D4488" s="12" t="s">
        <v>359</v>
      </c>
      <c r="E4488" s="28" t="s">
        <v>1262</v>
      </c>
      <c r="F4488" s="12" t="s">
        <v>1293</v>
      </c>
      <c r="G4488" s="15" t="s">
        <v>361</v>
      </c>
      <c r="I4488" s="90">
        <v>12</v>
      </c>
    </row>
    <row r="4489" spans="1:9" hidden="1" x14ac:dyDescent="0.25">
      <c r="A4489" s="11" t="s">
        <v>1294</v>
      </c>
      <c r="B4489" s="12" t="s">
        <v>1295</v>
      </c>
      <c r="C4489" s="13">
        <v>13</v>
      </c>
      <c r="D4489" s="12" t="s">
        <v>359</v>
      </c>
      <c r="E4489" s="28" t="s">
        <v>1296</v>
      </c>
      <c r="F4489" s="12" t="s">
        <v>1312</v>
      </c>
      <c r="G4489" s="15" t="s">
        <v>361</v>
      </c>
      <c r="I4489" s="90">
        <v>12</v>
      </c>
    </row>
    <row r="4490" spans="1:9" ht="12.75" hidden="1" thickBot="1" x14ac:dyDescent="0.25">
      <c r="A4490" s="36" t="s">
        <v>3130</v>
      </c>
      <c r="B4490" s="12" t="s">
        <v>3131</v>
      </c>
      <c r="C4490" s="31">
        <v>15</v>
      </c>
      <c r="D4490" s="30" t="s">
        <v>359</v>
      </c>
      <c r="E4490" s="28" t="s">
        <v>3132</v>
      </c>
      <c r="F4490" s="67" t="s">
        <v>3154</v>
      </c>
      <c r="G4490" s="68" t="s">
        <v>361</v>
      </c>
      <c r="I4490" s="90">
        <v>12</v>
      </c>
    </row>
    <row r="4491" spans="1:9" hidden="1" x14ac:dyDescent="0.2">
      <c r="A4491" s="56" t="s">
        <v>4721</v>
      </c>
      <c r="B4491" s="61" t="s">
        <v>2741</v>
      </c>
      <c r="C4491" s="58">
        <v>2</v>
      </c>
      <c r="D4491" s="203" t="s">
        <v>4724</v>
      </c>
      <c r="E4491" s="137" t="s">
        <v>4722</v>
      </c>
      <c r="F4491" s="128" t="s">
        <v>4725</v>
      </c>
      <c r="G4491" s="129" t="s">
        <v>13</v>
      </c>
    </row>
    <row r="4492" spans="1:9" hidden="1" x14ac:dyDescent="0.2">
      <c r="A4492" s="11" t="s">
        <v>3956</v>
      </c>
      <c r="B4492" s="12" t="s">
        <v>3957</v>
      </c>
      <c r="C4492" s="13">
        <v>6</v>
      </c>
      <c r="D4492" s="12" t="s">
        <v>3965</v>
      </c>
      <c r="E4492" s="28" t="s">
        <v>3958</v>
      </c>
      <c r="F4492" s="12" t="s">
        <v>3966</v>
      </c>
      <c r="G4492" s="66" t="s">
        <v>3967</v>
      </c>
    </row>
    <row r="4493" spans="1:9" hidden="1" x14ac:dyDescent="0.2">
      <c r="A4493" s="11" t="s">
        <v>943</v>
      </c>
      <c r="B4493" s="12" t="s">
        <v>944</v>
      </c>
      <c r="C4493" s="13">
        <v>7</v>
      </c>
      <c r="D4493" s="14" t="s">
        <v>955</v>
      </c>
      <c r="E4493" s="28" t="s">
        <v>945</v>
      </c>
      <c r="F4493" s="12" t="s">
        <v>956</v>
      </c>
      <c r="G4493" s="15" t="s">
        <v>829</v>
      </c>
      <c r="I4493" s="9">
        <v>15</v>
      </c>
    </row>
    <row r="4494" spans="1:9" hidden="1" x14ac:dyDescent="0.2">
      <c r="A4494" s="11" t="s">
        <v>1206</v>
      </c>
      <c r="B4494" s="12" t="s">
        <v>1207</v>
      </c>
      <c r="C4494" s="13">
        <v>5</v>
      </c>
      <c r="D4494" s="14" t="s">
        <v>1215</v>
      </c>
      <c r="E4494" s="28" t="s">
        <v>1208</v>
      </c>
      <c r="F4494" s="12" t="s">
        <v>1216</v>
      </c>
      <c r="G4494" s="15" t="s">
        <v>285</v>
      </c>
      <c r="I4494" s="99">
        <v>13</v>
      </c>
    </row>
    <row r="4495" spans="1:9" ht="12.75" hidden="1" thickBot="1" x14ac:dyDescent="0.3">
      <c r="A4495" s="147" t="s">
        <v>4926</v>
      </c>
      <c r="B4495" s="12" t="s">
        <v>4927</v>
      </c>
      <c r="C4495" s="31">
        <v>39</v>
      </c>
      <c r="D4495" s="30" t="s">
        <v>5002</v>
      </c>
      <c r="E4495" s="28" t="s">
        <v>4928</v>
      </c>
      <c r="F4495" s="55" t="s">
        <v>5003</v>
      </c>
      <c r="G4495" s="152" t="s">
        <v>13</v>
      </c>
    </row>
    <row r="4496" spans="1:9" hidden="1" x14ac:dyDescent="0.25">
      <c r="A4496" s="145" t="s">
        <v>4926</v>
      </c>
      <c r="B4496" s="61" t="s">
        <v>4927</v>
      </c>
      <c r="C4496" s="58">
        <v>38</v>
      </c>
      <c r="D4496" s="61" t="s">
        <v>5000</v>
      </c>
      <c r="E4496" s="89" t="s">
        <v>4928</v>
      </c>
      <c r="F4496" s="57" t="s">
        <v>5001</v>
      </c>
      <c r="G4496" s="149" t="s">
        <v>13</v>
      </c>
    </row>
    <row r="4497" spans="1:27" hidden="1" x14ac:dyDescent="0.25">
      <c r="A4497" s="11" t="s">
        <v>1383</v>
      </c>
      <c r="B4497" s="12" t="s">
        <v>1384</v>
      </c>
      <c r="C4497" s="13">
        <v>10</v>
      </c>
      <c r="D4497" s="12" t="s">
        <v>1402</v>
      </c>
      <c r="E4497" s="28" t="s">
        <v>1385</v>
      </c>
      <c r="F4497" s="12" t="s">
        <v>1403</v>
      </c>
      <c r="G4497" s="15" t="s">
        <v>13</v>
      </c>
    </row>
    <row r="4498" spans="1:27" hidden="1" x14ac:dyDescent="0.25">
      <c r="A4498" s="146" t="s">
        <v>4895</v>
      </c>
      <c r="B4498" s="12" t="s">
        <v>4896</v>
      </c>
      <c r="C4498" s="13">
        <v>5</v>
      </c>
      <c r="D4498" s="12" t="s">
        <v>4903</v>
      </c>
      <c r="E4498" s="28" t="s">
        <v>4897</v>
      </c>
      <c r="F4498" s="8" t="s">
        <v>4904</v>
      </c>
      <c r="G4498" s="80" t="s">
        <v>32</v>
      </c>
    </row>
    <row r="4499" spans="1:27" hidden="1" x14ac:dyDescent="0.25">
      <c r="A4499" s="146" t="s">
        <v>4895</v>
      </c>
      <c r="B4499" s="12" t="s">
        <v>4896</v>
      </c>
      <c r="C4499" s="13">
        <v>4</v>
      </c>
      <c r="D4499" s="12" t="s">
        <v>4901</v>
      </c>
      <c r="E4499" s="28" t="s">
        <v>4897</v>
      </c>
      <c r="F4499" s="8" t="s">
        <v>4902</v>
      </c>
      <c r="G4499" s="80" t="s">
        <v>32</v>
      </c>
    </row>
    <row r="4500" spans="1:27" ht="12.75" hidden="1" thickBot="1" x14ac:dyDescent="0.3">
      <c r="A4500" s="36" t="s">
        <v>1421</v>
      </c>
      <c r="B4500" s="12" t="s">
        <v>1422</v>
      </c>
      <c r="C4500" s="31">
        <v>4</v>
      </c>
      <c r="D4500" s="30" t="s">
        <v>1427</v>
      </c>
      <c r="E4500" s="28" t="s">
        <v>1423</v>
      </c>
      <c r="F4500" s="30" t="s">
        <v>1428</v>
      </c>
      <c r="G4500" s="33" t="s">
        <v>32</v>
      </c>
    </row>
    <row r="4501" spans="1:27" hidden="1" x14ac:dyDescent="0.25">
      <c r="A4501" s="56" t="s">
        <v>1534</v>
      </c>
      <c r="B4501" s="61" t="s">
        <v>1535</v>
      </c>
      <c r="C4501" s="58">
        <v>9</v>
      </c>
      <c r="D4501" s="61" t="s">
        <v>1551</v>
      </c>
      <c r="E4501" s="89" t="s">
        <v>1537</v>
      </c>
      <c r="F4501" s="61" t="s">
        <v>1552</v>
      </c>
      <c r="G4501" s="62" t="s">
        <v>13</v>
      </c>
    </row>
    <row r="4502" spans="1:27" hidden="1" x14ac:dyDescent="0.2">
      <c r="A4502" s="11" t="s">
        <v>2988</v>
      </c>
      <c r="B4502" s="12" t="s">
        <v>2989</v>
      </c>
      <c r="C4502" s="13">
        <f>1+C4501</f>
        <v>10</v>
      </c>
      <c r="D4502" s="14" t="s">
        <v>3000</v>
      </c>
      <c r="E4502" s="28" t="s">
        <v>2990</v>
      </c>
      <c r="F4502" s="65" t="s">
        <v>3001</v>
      </c>
      <c r="G4502" s="66" t="s">
        <v>13</v>
      </c>
    </row>
    <row r="4503" spans="1:27" hidden="1" x14ac:dyDescent="0.2">
      <c r="A4503" s="11" t="s">
        <v>5190</v>
      </c>
      <c r="B4503" s="12" t="s">
        <v>5191</v>
      </c>
      <c r="C4503" s="13">
        <v>5</v>
      </c>
      <c r="D4503" s="41" t="s">
        <v>5198</v>
      </c>
      <c r="E4503" s="28" t="s">
        <v>5192</v>
      </c>
      <c r="F4503" s="65" t="s">
        <v>5199</v>
      </c>
      <c r="G4503" s="66" t="s">
        <v>5170</v>
      </c>
    </row>
    <row r="4504" spans="1:27" hidden="1" x14ac:dyDescent="0.2">
      <c r="A4504" s="11" t="s">
        <v>5159</v>
      </c>
      <c r="B4504" s="12" t="s">
        <v>5160</v>
      </c>
      <c r="C4504" s="13">
        <v>5</v>
      </c>
      <c r="D4504" s="41" t="s">
        <v>5168</v>
      </c>
      <c r="E4504" s="28" t="s">
        <v>5161</v>
      </c>
      <c r="F4504" s="65" t="s">
        <v>5169</v>
      </c>
      <c r="G4504" s="66" t="s">
        <v>5170</v>
      </c>
    </row>
    <row r="4505" spans="1:27" ht="12.75" hidden="1" thickBot="1" x14ac:dyDescent="0.25">
      <c r="A4505" s="36" t="s">
        <v>5174</v>
      </c>
      <c r="B4505" s="12" t="s">
        <v>5175</v>
      </c>
      <c r="C4505" s="31">
        <v>7</v>
      </c>
      <c r="D4505" s="43" t="s">
        <v>5186</v>
      </c>
      <c r="E4505" s="28" t="s">
        <v>5176</v>
      </c>
      <c r="F4505" s="67" t="s">
        <v>5187</v>
      </c>
      <c r="G4505" s="68" t="s">
        <v>5170</v>
      </c>
    </row>
    <row r="4506" spans="1:27" hidden="1" x14ac:dyDescent="0.2">
      <c r="A4506" s="56" t="s">
        <v>5214</v>
      </c>
      <c r="B4506" s="61" t="s">
        <v>5215</v>
      </c>
      <c r="C4506" s="58">
        <v>5</v>
      </c>
      <c r="D4506" s="164" t="s">
        <v>5222</v>
      </c>
      <c r="E4506" s="89" t="s">
        <v>5216</v>
      </c>
      <c r="F4506" s="74" t="s">
        <v>5223</v>
      </c>
      <c r="G4506" s="129" t="s">
        <v>5170</v>
      </c>
    </row>
    <row r="4507" spans="1:27" hidden="1" x14ac:dyDescent="0.2">
      <c r="A4507" s="11" t="s">
        <v>5226</v>
      </c>
      <c r="B4507" s="12" t="s">
        <v>5227</v>
      </c>
      <c r="C4507" s="13">
        <v>5</v>
      </c>
      <c r="D4507" s="41" t="s">
        <v>5222</v>
      </c>
      <c r="E4507" s="28" t="s">
        <v>5228</v>
      </c>
      <c r="F4507" s="65" t="s">
        <v>5233</v>
      </c>
      <c r="G4507" s="66" t="s">
        <v>5170</v>
      </c>
    </row>
    <row r="4508" spans="1:27" hidden="1" x14ac:dyDescent="0.25">
      <c r="A4508" s="120" t="s">
        <v>2130</v>
      </c>
      <c r="B4508" s="121" t="s">
        <v>2131</v>
      </c>
      <c r="C4508" s="122">
        <v>7</v>
      </c>
      <c r="D4508" s="123" t="s">
        <v>2141</v>
      </c>
      <c r="E4508" s="124" t="s">
        <v>2132</v>
      </c>
      <c r="F4508" s="123" t="s">
        <v>2142</v>
      </c>
      <c r="G4508" s="125" t="s">
        <v>78</v>
      </c>
      <c r="H4508" s="121"/>
      <c r="I4508" s="126"/>
      <c r="J4508" s="121"/>
      <c r="K4508" s="121"/>
      <c r="L4508" s="121"/>
      <c r="M4508" s="121"/>
      <c r="N4508" s="121"/>
      <c r="O4508" s="121"/>
      <c r="P4508" s="121"/>
      <c r="Q4508" s="121"/>
      <c r="R4508" s="121"/>
      <c r="S4508" s="121"/>
      <c r="T4508" s="121"/>
      <c r="U4508" s="121"/>
      <c r="V4508" s="121"/>
      <c r="W4508" s="121"/>
      <c r="X4508" s="121"/>
      <c r="Y4508" s="121"/>
      <c r="Z4508" s="121"/>
      <c r="AA4508" s="121"/>
    </row>
    <row r="4509" spans="1:27" ht="15" hidden="1" x14ac:dyDescent="0.25">
      <c r="A4509" s="11" t="s">
        <v>5523</v>
      </c>
      <c r="B4509" s="12" t="s">
        <v>5524</v>
      </c>
      <c r="C4509" s="23">
        <v>9</v>
      </c>
      <c r="D4509" s="37" t="s">
        <v>5542</v>
      </c>
      <c r="E4509" s="25" t="s">
        <v>5526</v>
      </c>
      <c r="F4509" s="75" t="s">
        <v>5543</v>
      </c>
      <c r="G4509" s="78" t="s">
        <v>1323</v>
      </c>
      <c r="H4509" s="38"/>
      <c r="I4509" s="39">
        <v>15</v>
      </c>
      <c r="J4509" s="52"/>
    </row>
    <row r="4510" spans="1:27" ht="12.75" hidden="1" thickBot="1" x14ac:dyDescent="0.25">
      <c r="A4510" s="36" t="s">
        <v>1093</v>
      </c>
      <c r="B4510" s="12" t="s">
        <v>1094</v>
      </c>
      <c r="C4510" s="31">
        <v>2</v>
      </c>
      <c r="D4510" s="6" t="s">
        <v>1097</v>
      </c>
      <c r="E4510" s="28" t="s">
        <v>1095</v>
      </c>
      <c r="F4510" s="4" t="s">
        <v>1098</v>
      </c>
      <c r="G4510" s="33" t="s">
        <v>78</v>
      </c>
    </row>
    <row r="4511" spans="1:27" hidden="1" x14ac:dyDescent="0.2">
      <c r="A4511" s="56" t="s">
        <v>1122</v>
      </c>
      <c r="B4511" s="61" t="s">
        <v>1123</v>
      </c>
      <c r="C4511" s="58">
        <v>3</v>
      </c>
      <c r="D4511" s="103" t="s">
        <v>1097</v>
      </c>
      <c r="E4511" s="89" t="s">
        <v>1124</v>
      </c>
      <c r="F4511" s="17" t="s">
        <v>1128</v>
      </c>
      <c r="G4511" s="62" t="s">
        <v>78</v>
      </c>
    </row>
    <row r="4512" spans="1:27" hidden="1" x14ac:dyDescent="0.2">
      <c r="A4512" s="11" t="s">
        <v>1142</v>
      </c>
      <c r="B4512" s="12" t="s">
        <v>1143</v>
      </c>
      <c r="C4512" s="13">
        <v>4</v>
      </c>
      <c r="D4512" s="37" t="s">
        <v>1097</v>
      </c>
      <c r="E4512" s="28" t="s">
        <v>1144</v>
      </c>
      <c r="F4512" s="22" t="s">
        <v>1148</v>
      </c>
      <c r="G4512" s="15" t="s">
        <v>78</v>
      </c>
    </row>
    <row r="4513" spans="1:27" hidden="1" x14ac:dyDescent="0.2">
      <c r="A4513" s="11" t="s">
        <v>1194</v>
      </c>
      <c r="B4513" s="12" t="s">
        <v>1195</v>
      </c>
      <c r="C4513" s="13">
        <v>4</v>
      </c>
      <c r="D4513" s="37" t="s">
        <v>1097</v>
      </c>
      <c r="E4513" s="28" t="s">
        <v>1196</v>
      </c>
      <c r="F4513" s="22" t="s">
        <v>1200</v>
      </c>
      <c r="G4513" s="15" t="s">
        <v>78</v>
      </c>
    </row>
    <row r="4514" spans="1:27" hidden="1" x14ac:dyDescent="0.2">
      <c r="A4514" s="21" t="s">
        <v>1229</v>
      </c>
      <c r="B4514" s="22" t="s">
        <v>1230</v>
      </c>
      <c r="C4514" s="23">
        <v>4</v>
      </c>
      <c r="D4514" s="37" t="s">
        <v>1097</v>
      </c>
      <c r="E4514" s="25" t="s">
        <v>1231</v>
      </c>
      <c r="F4514" s="22" t="s">
        <v>1235</v>
      </c>
      <c r="G4514" s="26" t="s">
        <v>285</v>
      </c>
      <c r="H4514" s="38"/>
      <c r="I4514" s="39">
        <v>15</v>
      </c>
      <c r="J4514" s="38"/>
      <c r="K4514" s="38"/>
      <c r="L4514" s="38"/>
      <c r="M4514" s="38"/>
      <c r="N4514" s="38"/>
      <c r="O4514" s="38"/>
      <c r="P4514" s="38"/>
      <c r="Q4514" s="38"/>
      <c r="R4514" s="38"/>
      <c r="S4514" s="38"/>
      <c r="T4514" s="38"/>
      <c r="U4514" s="38"/>
      <c r="V4514" s="38"/>
      <c r="W4514" s="38"/>
      <c r="X4514" s="38"/>
      <c r="Y4514" s="38"/>
      <c r="Z4514" s="38"/>
      <c r="AA4514" s="38"/>
    </row>
    <row r="4515" spans="1:27" ht="12.75" hidden="1" thickBot="1" x14ac:dyDescent="0.25">
      <c r="A4515" s="36" t="s">
        <v>3458</v>
      </c>
      <c r="B4515" s="12" t="s">
        <v>3459</v>
      </c>
      <c r="C4515" s="31">
        <f>C4514+1</f>
        <v>5</v>
      </c>
      <c r="D4515" s="4" t="s">
        <v>1097</v>
      </c>
      <c r="E4515" s="138" t="s">
        <v>3460</v>
      </c>
      <c r="F4515" s="64" t="s">
        <v>3564</v>
      </c>
      <c r="G4515" s="68" t="s">
        <v>3565</v>
      </c>
      <c r="I4515" s="90" t="s">
        <v>2426</v>
      </c>
    </row>
    <row r="4516" spans="1:27" hidden="1" x14ac:dyDescent="0.2">
      <c r="A4516" s="56" t="s">
        <v>3633</v>
      </c>
      <c r="B4516" s="61" t="s">
        <v>3634</v>
      </c>
      <c r="C4516" s="58">
        <f>C4515+1</f>
        <v>6</v>
      </c>
      <c r="D4516" s="17" t="s">
        <v>1097</v>
      </c>
      <c r="E4516" s="137" t="s">
        <v>3635</v>
      </c>
      <c r="F4516" s="128" t="s">
        <v>3704</v>
      </c>
      <c r="G4516" s="129" t="s">
        <v>3565</v>
      </c>
      <c r="I4516" s="90" t="s">
        <v>2426</v>
      </c>
    </row>
    <row r="4517" spans="1:27" hidden="1" x14ac:dyDescent="0.2">
      <c r="A4517" s="11" t="s">
        <v>4087</v>
      </c>
      <c r="B4517" s="12" t="s">
        <v>4088</v>
      </c>
      <c r="C4517" s="13">
        <f>C4516+1</f>
        <v>7</v>
      </c>
      <c r="D4517" s="22" t="s">
        <v>1097</v>
      </c>
      <c r="E4517" s="28" t="s">
        <v>4089</v>
      </c>
      <c r="F4517" s="22" t="s">
        <v>4098</v>
      </c>
      <c r="G4517" s="66" t="s">
        <v>4099</v>
      </c>
      <c r="I4517" s="90" t="s">
        <v>2426</v>
      </c>
    </row>
    <row r="4518" spans="1:27" hidden="1" x14ac:dyDescent="0.2">
      <c r="A4518" s="11" t="s">
        <v>4212</v>
      </c>
      <c r="B4518" s="12" t="s">
        <v>4213</v>
      </c>
      <c r="C4518" s="13">
        <f>C4517+1</f>
        <v>8</v>
      </c>
      <c r="D4518" s="22" t="s">
        <v>1097</v>
      </c>
      <c r="E4518" s="28" t="s">
        <v>4214</v>
      </c>
      <c r="F4518" s="22" t="s">
        <v>4223</v>
      </c>
      <c r="G4518" s="66" t="s">
        <v>4099</v>
      </c>
      <c r="I4518" s="90" t="s">
        <v>2426</v>
      </c>
    </row>
    <row r="4519" spans="1:27" hidden="1" x14ac:dyDescent="0.25">
      <c r="A4519" s="11" t="s">
        <v>5886</v>
      </c>
      <c r="B4519" s="12" t="s">
        <v>5887</v>
      </c>
      <c r="C4519" s="13">
        <v>9</v>
      </c>
      <c r="D4519" s="22" t="s">
        <v>1097</v>
      </c>
      <c r="E4519" s="28" t="s">
        <v>5888</v>
      </c>
      <c r="F4519" s="22" t="s">
        <v>5899</v>
      </c>
      <c r="G4519" s="15" t="s">
        <v>285</v>
      </c>
      <c r="I4519" s="99">
        <v>13</v>
      </c>
    </row>
    <row r="4520" spans="1:27" ht="12.75" hidden="1" thickBot="1" x14ac:dyDescent="0.3">
      <c r="A4520" s="36" t="s">
        <v>6688</v>
      </c>
      <c r="B4520" s="12" t="s">
        <v>6689</v>
      </c>
      <c r="C4520" s="31">
        <f>C4519+1</f>
        <v>10</v>
      </c>
      <c r="D4520" s="30" t="s">
        <v>6746</v>
      </c>
      <c r="E4520" s="28" t="s">
        <v>6690</v>
      </c>
      <c r="F4520" s="30" t="s">
        <v>6747</v>
      </c>
      <c r="G4520" s="33" t="s">
        <v>13</v>
      </c>
      <c r="I4520" s="90">
        <v>12</v>
      </c>
    </row>
    <row r="4521" spans="1:27" hidden="1" x14ac:dyDescent="0.25">
      <c r="A4521" s="56" t="s">
        <v>5686</v>
      </c>
      <c r="B4521" s="61" t="s">
        <v>5687</v>
      </c>
      <c r="C4521" s="58">
        <f>C4520+1</f>
        <v>11</v>
      </c>
      <c r="D4521" s="61" t="s">
        <v>5727</v>
      </c>
      <c r="E4521" s="89" t="s">
        <v>5688</v>
      </c>
      <c r="F4521" s="61" t="s">
        <v>5728</v>
      </c>
      <c r="G4521" s="149" t="s">
        <v>13</v>
      </c>
      <c r="I4521" s="90">
        <v>12</v>
      </c>
    </row>
    <row r="4522" spans="1:27" hidden="1" x14ac:dyDescent="0.25">
      <c r="A4522" s="146" t="s">
        <v>4926</v>
      </c>
      <c r="B4522" s="12" t="s">
        <v>4927</v>
      </c>
      <c r="C4522" s="13">
        <v>25</v>
      </c>
      <c r="D4522" s="12" t="s">
        <v>4974</v>
      </c>
      <c r="E4522" s="28" t="s">
        <v>4928</v>
      </c>
      <c r="F4522" s="8" t="s">
        <v>4975</v>
      </c>
      <c r="G4522" s="80" t="s">
        <v>13</v>
      </c>
    </row>
    <row r="4523" spans="1:27" hidden="1" x14ac:dyDescent="0.25">
      <c r="A4523" s="146" t="s">
        <v>4926</v>
      </c>
      <c r="B4523" s="12" t="s">
        <v>4927</v>
      </c>
      <c r="C4523" s="13">
        <v>24</v>
      </c>
      <c r="D4523" s="12" t="s">
        <v>4972</v>
      </c>
      <c r="E4523" s="28" t="s">
        <v>4928</v>
      </c>
      <c r="F4523" s="8" t="s">
        <v>4973</v>
      </c>
      <c r="G4523" s="80" t="s">
        <v>13</v>
      </c>
    </row>
    <row r="4524" spans="1:27" hidden="1" x14ac:dyDescent="0.25">
      <c r="A4524" s="11" t="s">
        <v>5686</v>
      </c>
      <c r="B4524" s="12" t="s">
        <v>5687</v>
      </c>
      <c r="C4524" s="13">
        <f>C4523+1</f>
        <v>25</v>
      </c>
      <c r="D4524" s="12" t="s">
        <v>5725</v>
      </c>
      <c r="E4524" s="28" t="s">
        <v>5688</v>
      </c>
      <c r="F4524" s="12" t="s">
        <v>5726</v>
      </c>
      <c r="G4524" s="80" t="s">
        <v>13</v>
      </c>
      <c r="I4524" s="90">
        <v>12</v>
      </c>
    </row>
    <row r="4525" spans="1:27" ht="12.75" hidden="1" thickBot="1" x14ac:dyDescent="0.25">
      <c r="A4525" s="36" t="s">
        <v>5174</v>
      </c>
      <c r="B4525" s="12" t="s">
        <v>5175</v>
      </c>
      <c r="C4525" s="31">
        <v>6</v>
      </c>
      <c r="D4525" s="43" t="s">
        <v>5184</v>
      </c>
      <c r="E4525" s="28" t="s">
        <v>5176</v>
      </c>
      <c r="F4525" s="67" t="s">
        <v>5185</v>
      </c>
      <c r="G4525" s="33" t="s">
        <v>32</v>
      </c>
    </row>
    <row r="4526" spans="1:27" hidden="1" x14ac:dyDescent="0.25">
      <c r="A4526" s="56" t="s">
        <v>5395</v>
      </c>
      <c r="B4526" s="61" t="s">
        <v>5396</v>
      </c>
      <c r="C4526" s="58">
        <v>9</v>
      </c>
      <c r="D4526" s="17" t="s">
        <v>5411</v>
      </c>
      <c r="E4526" s="89" t="s">
        <v>5397</v>
      </c>
      <c r="F4526" s="17" t="s">
        <v>5412</v>
      </c>
      <c r="G4526" s="62" t="s">
        <v>13</v>
      </c>
    </row>
    <row r="4527" spans="1:27" hidden="1" x14ac:dyDescent="0.25">
      <c r="A4527" s="11" t="s">
        <v>5395</v>
      </c>
      <c r="B4527" s="12" t="s">
        <v>5396</v>
      </c>
      <c r="C4527" s="13">
        <v>2</v>
      </c>
      <c r="D4527" s="22" t="s">
        <v>5399</v>
      </c>
      <c r="E4527" s="28" t="s">
        <v>5397</v>
      </c>
      <c r="F4527" s="22" t="s">
        <v>5400</v>
      </c>
      <c r="G4527" s="15" t="s">
        <v>13</v>
      </c>
    </row>
    <row r="4528" spans="1:27" ht="15" hidden="1" x14ac:dyDescent="0.25">
      <c r="A4528" s="11" t="s">
        <v>5523</v>
      </c>
      <c r="B4528" s="12" t="s">
        <v>5524</v>
      </c>
      <c r="C4528" s="23">
        <v>2</v>
      </c>
      <c r="D4528" s="37" t="s">
        <v>5528</v>
      </c>
      <c r="E4528" s="25" t="s">
        <v>5526</v>
      </c>
      <c r="F4528" s="75" t="s">
        <v>5529</v>
      </c>
      <c r="G4528" s="26" t="s">
        <v>569</v>
      </c>
      <c r="H4528" s="38"/>
      <c r="I4528" s="39">
        <v>15</v>
      </c>
      <c r="J4528" s="52"/>
    </row>
    <row r="4529" spans="1:9" hidden="1" x14ac:dyDescent="0.2">
      <c r="A4529" s="11" t="s">
        <v>2301</v>
      </c>
      <c r="B4529" s="12" t="s">
        <v>2302</v>
      </c>
      <c r="C4529" s="13">
        <v>7</v>
      </c>
      <c r="D4529" s="14" t="s">
        <v>2311</v>
      </c>
      <c r="E4529" s="28" t="s">
        <v>2303</v>
      </c>
      <c r="F4529" s="12" t="s">
        <v>2312</v>
      </c>
      <c r="G4529" s="15" t="s">
        <v>13</v>
      </c>
    </row>
    <row r="4530" spans="1:9" ht="12.75" hidden="1" thickBot="1" x14ac:dyDescent="0.25">
      <c r="A4530" s="36" t="s">
        <v>2867</v>
      </c>
      <c r="B4530" s="30" t="s">
        <v>2868</v>
      </c>
      <c r="C4530" s="31">
        <v>27</v>
      </c>
      <c r="D4530" s="69" t="s">
        <v>2916</v>
      </c>
      <c r="E4530" s="32" t="s">
        <v>2869</v>
      </c>
      <c r="F4530" s="67" t="s">
        <v>2917</v>
      </c>
      <c r="G4530" s="68" t="s">
        <v>13</v>
      </c>
    </row>
    <row r="4531" spans="1:9" hidden="1" x14ac:dyDescent="0.2">
      <c r="A4531" s="56" t="s">
        <v>5202</v>
      </c>
      <c r="B4531" s="61" t="s">
        <v>5203</v>
      </c>
      <c r="C4531" s="58">
        <v>5</v>
      </c>
      <c r="D4531" s="164" t="s">
        <v>5210</v>
      </c>
      <c r="E4531" s="89" t="s">
        <v>5204</v>
      </c>
      <c r="F4531" s="74" t="s">
        <v>5211</v>
      </c>
      <c r="G4531" s="129" t="s">
        <v>5170</v>
      </c>
    </row>
    <row r="4532" spans="1:9" hidden="1" x14ac:dyDescent="0.2">
      <c r="A4532" s="11" t="s">
        <v>2867</v>
      </c>
      <c r="B4532" s="12" t="s">
        <v>2868</v>
      </c>
      <c r="C4532" s="13">
        <v>26</v>
      </c>
      <c r="D4532" s="14" t="s">
        <v>2914</v>
      </c>
      <c r="E4532" s="28" t="s">
        <v>2869</v>
      </c>
      <c r="F4532" s="65" t="s">
        <v>2915</v>
      </c>
      <c r="G4532" s="66" t="s">
        <v>13</v>
      </c>
    </row>
    <row r="4533" spans="1:9" hidden="1" x14ac:dyDescent="0.2">
      <c r="A4533" s="11" t="s">
        <v>2867</v>
      </c>
      <c r="B4533" s="12" t="s">
        <v>2868</v>
      </c>
      <c r="C4533" s="13">
        <v>21</v>
      </c>
      <c r="D4533" s="14" t="s">
        <v>2904</v>
      </c>
      <c r="E4533" s="28" t="s">
        <v>2869</v>
      </c>
      <c r="F4533" s="65" t="s">
        <v>2905</v>
      </c>
      <c r="G4533" s="66" t="s">
        <v>42</v>
      </c>
    </row>
    <row r="4534" spans="1:9" hidden="1" x14ac:dyDescent="0.2">
      <c r="A4534" s="11" t="s">
        <v>93</v>
      </c>
      <c r="B4534" s="12" t="s">
        <v>94</v>
      </c>
      <c r="C4534" s="13">
        <v>48</v>
      </c>
      <c r="D4534" s="14" t="s">
        <v>194</v>
      </c>
      <c r="E4534" s="28" t="s">
        <v>96</v>
      </c>
      <c r="F4534" s="12" t="s">
        <v>195</v>
      </c>
      <c r="G4534" s="15" t="s">
        <v>13</v>
      </c>
    </row>
    <row r="4535" spans="1:9" ht="12.75" hidden="1" thickBot="1" x14ac:dyDescent="0.3">
      <c r="A4535" s="36" t="s">
        <v>6325</v>
      </c>
      <c r="B4535" s="30" t="s">
        <v>6326</v>
      </c>
      <c r="C4535" s="31">
        <f>C4534+1</f>
        <v>49</v>
      </c>
      <c r="D4535" s="4" t="s">
        <v>6334</v>
      </c>
      <c r="E4535" s="32" t="s">
        <v>6327</v>
      </c>
      <c r="F4535" s="4" t="s">
        <v>6335</v>
      </c>
      <c r="G4535" s="33" t="s">
        <v>32</v>
      </c>
      <c r="I4535" s="90">
        <v>12</v>
      </c>
    </row>
    <row r="4536" spans="1:9" hidden="1" x14ac:dyDescent="0.25">
      <c r="A4536" s="56" t="s">
        <v>6787</v>
      </c>
      <c r="B4536" s="61" t="s">
        <v>6788</v>
      </c>
      <c r="C4536" s="58">
        <v>5</v>
      </c>
      <c r="D4536" s="17" t="s">
        <v>6334</v>
      </c>
      <c r="E4536" s="89" t="s">
        <v>6789</v>
      </c>
      <c r="F4536" s="17" t="s">
        <v>6794</v>
      </c>
      <c r="G4536" s="62" t="s">
        <v>32</v>
      </c>
    </row>
    <row r="4537" spans="1:9" hidden="1" x14ac:dyDescent="0.25">
      <c r="A4537" s="146" t="s">
        <v>4926</v>
      </c>
      <c r="B4537" s="12" t="s">
        <v>4927</v>
      </c>
      <c r="C4537" s="13">
        <v>15</v>
      </c>
      <c r="D4537" s="12" t="s">
        <v>4954</v>
      </c>
      <c r="E4537" s="28" t="s">
        <v>4928</v>
      </c>
      <c r="F4537" s="8" t="s">
        <v>4955</v>
      </c>
      <c r="G4537" s="80" t="s">
        <v>42</v>
      </c>
    </row>
    <row r="4538" spans="1:9" hidden="1" x14ac:dyDescent="0.25">
      <c r="A4538" s="146" t="s">
        <v>4926</v>
      </c>
      <c r="B4538" s="12" t="s">
        <v>4927</v>
      </c>
      <c r="C4538" s="13">
        <v>14</v>
      </c>
      <c r="D4538" s="12" t="s">
        <v>4952</v>
      </c>
      <c r="E4538" s="28" t="s">
        <v>4928</v>
      </c>
      <c r="F4538" s="8" t="s">
        <v>4953</v>
      </c>
      <c r="G4538" s="80" t="s">
        <v>42</v>
      </c>
    </row>
    <row r="4539" spans="1:9" hidden="1" x14ac:dyDescent="0.25">
      <c r="A4539" s="11" t="s">
        <v>1313</v>
      </c>
      <c r="B4539" s="12" t="s">
        <v>1314</v>
      </c>
      <c r="C4539" s="13">
        <v>9</v>
      </c>
      <c r="D4539" s="12" t="s">
        <v>1330</v>
      </c>
      <c r="E4539" s="28" t="s">
        <v>1315</v>
      </c>
      <c r="F4539" s="12" t="s">
        <v>1331</v>
      </c>
      <c r="G4539" s="15" t="s">
        <v>78</v>
      </c>
    </row>
    <row r="4540" spans="1:9" ht="12.75" hidden="1" thickBot="1" x14ac:dyDescent="0.25">
      <c r="A4540" s="36" t="s">
        <v>289</v>
      </c>
      <c r="B4540" s="30" t="s">
        <v>290</v>
      </c>
      <c r="C4540" s="31">
        <v>11</v>
      </c>
      <c r="D4540" s="69" t="s">
        <v>305</v>
      </c>
      <c r="E4540" s="32" t="s">
        <v>291</v>
      </c>
      <c r="F4540" s="30" t="s">
        <v>306</v>
      </c>
      <c r="G4540" s="33" t="s">
        <v>13</v>
      </c>
    </row>
    <row r="4541" spans="1:9" hidden="1" x14ac:dyDescent="0.25">
      <c r="A4541" s="108" t="s">
        <v>708</v>
      </c>
      <c r="B4541" s="61" t="s">
        <v>709</v>
      </c>
      <c r="C4541" s="58">
        <v>11</v>
      </c>
      <c r="D4541" s="61" t="s">
        <v>305</v>
      </c>
      <c r="E4541" s="89" t="s">
        <v>710</v>
      </c>
      <c r="F4541" s="61" t="s">
        <v>721</v>
      </c>
      <c r="G4541" s="62" t="s">
        <v>676</v>
      </c>
      <c r="I4541" s="102" t="s">
        <v>59</v>
      </c>
    </row>
    <row r="4542" spans="1:9" hidden="1" x14ac:dyDescent="0.25">
      <c r="A4542" s="11" t="s">
        <v>5645</v>
      </c>
      <c r="B4542" s="12" t="s">
        <v>5646</v>
      </c>
      <c r="C4542" s="13">
        <v>15</v>
      </c>
      <c r="D4542" s="22" t="s">
        <v>5673</v>
      </c>
      <c r="E4542" s="28" t="s">
        <v>5647</v>
      </c>
      <c r="F4542" s="22" t="s">
        <v>5674</v>
      </c>
      <c r="G4542" s="15" t="s">
        <v>285</v>
      </c>
      <c r="I4542" s="99">
        <v>13</v>
      </c>
    </row>
    <row r="4543" spans="1:9" hidden="1" x14ac:dyDescent="0.25">
      <c r="A4543" s="11" t="s">
        <v>5866</v>
      </c>
      <c r="B4543" s="12" t="s">
        <v>5867</v>
      </c>
      <c r="C4543" s="13">
        <v>15</v>
      </c>
      <c r="D4543" s="22" t="s">
        <v>5673</v>
      </c>
      <c r="E4543" s="28" t="s">
        <v>5868</v>
      </c>
      <c r="F4543" s="22" t="s">
        <v>5883</v>
      </c>
      <c r="G4543" s="15" t="s">
        <v>285</v>
      </c>
      <c r="I4543" s="99">
        <v>13</v>
      </c>
    </row>
    <row r="4544" spans="1:9" hidden="1" x14ac:dyDescent="0.25">
      <c r="A4544" s="11" t="s">
        <v>5957</v>
      </c>
      <c r="B4544" s="12" t="s">
        <v>5958</v>
      </c>
      <c r="C4544" s="13">
        <v>18</v>
      </c>
      <c r="D4544" s="22" t="s">
        <v>5673</v>
      </c>
      <c r="E4544" s="28" t="s">
        <v>5959</v>
      </c>
      <c r="F4544" s="22" t="s">
        <v>5983</v>
      </c>
      <c r="G4544" s="15" t="s">
        <v>285</v>
      </c>
      <c r="I4544" s="9">
        <v>15</v>
      </c>
    </row>
    <row r="4545" spans="1:9" ht="12.75" hidden="1" thickBot="1" x14ac:dyDescent="0.3">
      <c r="A4545" s="29" t="s">
        <v>729</v>
      </c>
      <c r="B4545" s="30" t="s">
        <v>730</v>
      </c>
      <c r="C4545" s="31">
        <v>6</v>
      </c>
      <c r="D4545" s="4" t="s">
        <v>738</v>
      </c>
      <c r="E4545" s="32" t="s">
        <v>731</v>
      </c>
      <c r="F4545" s="4" t="s">
        <v>739</v>
      </c>
      <c r="G4545" s="33" t="s">
        <v>285</v>
      </c>
      <c r="I4545" s="102" t="s">
        <v>59</v>
      </c>
    </row>
    <row r="4546" spans="1:9" hidden="1" x14ac:dyDescent="0.25">
      <c r="A4546" s="56" t="s">
        <v>5686</v>
      </c>
      <c r="B4546" s="61" t="s">
        <v>5687</v>
      </c>
      <c r="C4546" s="58">
        <f>C4545+1</f>
        <v>7</v>
      </c>
      <c r="D4546" s="17" t="s">
        <v>738</v>
      </c>
      <c r="E4546" s="89" t="s">
        <v>5688</v>
      </c>
      <c r="F4546" s="17" t="s">
        <v>5696</v>
      </c>
      <c r="G4546" s="62" t="s">
        <v>42</v>
      </c>
      <c r="I4546" s="90">
        <v>12</v>
      </c>
    </row>
    <row r="4547" spans="1:9" hidden="1" x14ac:dyDescent="0.2">
      <c r="A4547" s="146" t="s">
        <v>5060</v>
      </c>
      <c r="B4547" s="12" t="s">
        <v>5061</v>
      </c>
      <c r="C4547" s="13">
        <v>35</v>
      </c>
      <c r="D4547" s="14" t="s">
        <v>5125</v>
      </c>
      <c r="E4547" s="28" t="s">
        <v>5062</v>
      </c>
      <c r="F4547" s="12" t="s">
        <v>5126</v>
      </c>
      <c r="G4547" s="80" t="s">
        <v>42</v>
      </c>
    </row>
    <row r="4548" spans="1:9" hidden="1" x14ac:dyDescent="0.2">
      <c r="A4548" s="146" t="s">
        <v>5060</v>
      </c>
      <c r="B4548" s="12" t="s">
        <v>5061</v>
      </c>
      <c r="C4548" s="13">
        <v>34</v>
      </c>
      <c r="D4548" s="14" t="s">
        <v>5123</v>
      </c>
      <c r="E4548" s="28" t="s">
        <v>5062</v>
      </c>
      <c r="F4548" s="12" t="s">
        <v>5124</v>
      </c>
      <c r="G4548" s="80" t="s">
        <v>42</v>
      </c>
    </row>
    <row r="4549" spans="1:9" hidden="1" x14ac:dyDescent="0.2">
      <c r="A4549" s="11" t="s">
        <v>362</v>
      </c>
      <c r="B4549" s="12" t="s">
        <v>363</v>
      </c>
      <c r="C4549" s="13">
        <v>30</v>
      </c>
      <c r="D4549" s="14" t="s">
        <v>419</v>
      </c>
      <c r="E4549" s="28" t="s">
        <v>364</v>
      </c>
      <c r="F4549" s="12" t="s">
        <v>420</v>
      </c>
      <c r="G4549" s="15" t="s">
        <v>78</v>
      </c>
    </row>
    <row r="4550" spans="1:9" ht="12.75" hidden="1" thickBot="1" x14ac:dyDescent="0.25">
      <c r="A4550" s="36" t="s">
        <v>2097</v>
      </c>
      <c r="B4550" s="30" t="s">
        <v>2098</v>
      </c>
      <c r="C4550" s="31">
        <v>4</v>
      </c>
      <c r="D4550" s="6" t="s">
        <v>2103</v>
      </c>
      <c r="E4550" s="32" t="s">
        <v>2099</v>
      </c>
      <c r="F4550" s="4" t="s">
        <v>2104</v>
      </c>
      <c r="G4550" s="33" t="s">
        <v>16</v>
      </c>
    </row>
    <row r="4551" spans="1:9" hidden="1" x14ac:dyDescent="0.2">
      <c r="A4551" s="56" t="s">
        <v>2301</v>
      </c>
      <c r="B4551" s="61" t="s">
        <v>2302</v>
      </c>
      <c r="C4551" s="58">
        <v>3</v>
      </c>
      <c r="D4551" s="103" t="s">
        <v>419</v>
      </c>
      <c r="E4551" s="89" t="s">
        <v>2303</v>
      </c>
      <c r="F4551" s="17" t="s">
        <v>2306</v>
      </c>
      <c r="G4551" s="62" t="s">
        <v>78</v>
      </c>
    </row>
    <row r="4552" spans="1:9" hidden="1" x14ac:dyDescent="0.2">
      <c r="A4552" s="11" t="s">
        <v>6967</v>
      </c>
      <c r="B4552" s="12" t="s">
        <v>6968</v>
      </c>
      <c r="C4552" s="13">
        <v>5</v>
      </c>
      <c r="D4552" s="14" t="s">
        <v>419</v>
      </c>
      <c r="E4552" s="28" t="s">
        <v>6969</v>
      </c>
      <c r="F4552" s="12" t="s">
        <v>6974</v>
      </c>
      <c r="G4552" s="15" t="s">
        <v>78</v>
      </c>
    </row>
    <row r="4553" spans="1:9" hidden="1" x14ac:dyDescent="0.2">
      <c r="A4553" s="11" t="s">
        <v>2867</v>
      </c>
      <c r="B4553" s="12" t="s">
        <v>2868</v>
      </c>
      <c r="C4553" s="13">
        <v>25</v>
      </c>
      <c r="D4553" s="14" t="s">
        <v>2912</v>
      </c>
      <c r="E4553" s="28" t="s">
        <v>2869</v>
      </c>
      <c r="F4553" s="65" t="s">
        <v>2913</v>
      </c>
      <c r="G4553" s="66" t="s">
        <v>32</v>
      </c>
    </row>
    <row r="4554" spans="1:9" hidden="1" x14ac:dyDescent="0.25">
      <c r="A4554" s="11" t="s">
        <v>1534</v>
      </c>
      <c r="B4554" s="12" t="s">
        <v>1535</v>
      </c>
      <c r="C4554" s="13">
        <v>8</v>
      </c>
      <c r="D4554" s="12" t="s">
        <v>1549</v>
      </c>
      <c r="E4554" s="28" t="s">
        <v>1537</v>
      </c>
      <c r="F4554" s="12" t="s">
        <v>1550</v>
      </c>
      <c r="G4554" s="15" t="s">
        <v>13</v>
      </c>
    </row>
    <row r="4555" spans="1:9" ht="12.75" hidden="1" thickBot="1" x14ac:dyDescent="0.3">
      <c r="A4555" s="147" t="s">
        <v>4830</v>
      </c>
      <c r="B4555" s="113" t="s">
        <v>4831</v>
      </c>
      <c r="C4555" s="31">
        <v>9</v>
      </c>
      <c r="D4555" s="30" t="s">
        <v>4844</v>
      </c>
      <c r="E4555" s="32" t="s">
        <v>4832</v>
      </c>
      <c r="F4555" s="55" t="s">
        <v>4845</v>
      </c>
      <c r="G4555" s="152" t="s">
        <v>13</v>
      </c>
    </row>
    <row r="4556" spans="1:9" hidden="1" x14ac:dyDescent="0.25">
      <c r="A4556" s="145" t="s">
        <v>4830</v>
      </c>
      <c r="B4556" s="198" t="s">
        <v>4831</v>
      </c>
      <c r="C4556" s="58">
        <v>11</v>
      </c>
      <c r="D4556" s="61" t="s">
        <v>4848</v>
      </c>
      <c r="E4556" s="89" t="s">
        <v>4832</v>
      </c>
      <c r="F4556" s="57" t="s">
        <v>4849</v>
      </c>
      <c r="G4556" s="149" t="s">
        <v>13</v>
      </c>
    </row>
    <row r="4557" spans="1:9" hidden="1" x14ac:dyDescent="0.25">
      <c r="A4557" s="146" t="s">
        <v>4830</v>
      </c>
      <c r="B4557" s="153" t="s">
        <v>4831</v>
      </c>
      <c r="C4557" s="13">
        <v>10</v>
      </c>
      <c r="D4557" s="12" t="s">
        <v>4846</v>
      </c>
      <c r="E4557" s="28" t="s">
        <v>4832</v>
      </c>
      <c r="F4557" s="8" t="s">
        <v>4847</v>
      </c>
      <c r="G4557" s="80" t="s">
        <v>13</v>
      </c>
    </row>
    <row r="4558" spans="1:9" hidden="1" x14ac:dyDescent="0.2">
      <c r="A4558" s="11" t="s">
        <v>2097</v>
      </c>
      <c r="B4558" s="12" t="s">
        <v>2098</v>
      </c>
      <c r="C4558" s="13">
        <v>5</v>
      </c>
      <c r="D4558" s="14" t="s">
        <v>2105</v>
      </c>
      <c r="E4558" s="28" t="s">
        <v>2099</v>
      </c>
      <c r="F4558" s="12" t="s">
        <v>2106</v>
      </c>
      <c r="G4558" s="15" t="s">
        <v>78</v>
      </c>
    </row>
    <row r="4559" spans="1:9" hidden="1" x14ac:dyDescent="0.2">
      <c r="A4559" s="11" t="s">
        <v>4087</v>
      </c>
      <c r="B4559" s="12" t="s">
        <v>4088</v>
      </c>
      <c r="C4559" s="13">
        <f>C4558+1</f>
        <v>6</v>
      </c>
      <c r="D4559" s="12" t="s">
        <v>4150</v>
      </c>
      <c r="E4559" s="28" t="s">
        <v>4089</v>
      </c>
      <c r="F4559" s="12" t="s">
        <v>4151</v>
      </c>
      <c r="G4559" s="66" t="s">
        <v>13</v>
      </c>
      <c r="I4559" s="90" t="s">
        <v>2426</v>
      </c>
    </row>
    <row r="4560" spans="1:9" ht="12.75" hidden="1" thickBot="1" x14ac:dyDescent="0.25">
      <c r="A4560" s="36" t="s">
        <v>4212</v>
      </c>
      <c r="B4560" s="30" t="s">
        <v>4213</v>
      </c>
      <c r="C4560" s="31">
        <f>C4559+1</f>
        <v>7</v>
      </c>
      <c r="D4560" s="30" t="s">
        <v>4150</v>
      </c>
      <c r="E4560" s="32" t="s">
        <v>4214</v>
      </c>
      <c r="F4560" s="30" t="s">
        <v>4278</v>
      </c>
      <c r="G4560" s="68" t="s">
        <v>13</v>
      </c>
      <c r="I4560" s="90" t="s">
        <v>2426</v>
      </c>
    </row>
    <row r="4561" spans="1:9" hidden="1" x14ac:dyDescent="0.25">
      <c r="A4561" s="145" t="s">
        <v>4830</v>
      </c>
      <c r="B4561" s="198" t="s">
        <v>4831</v>
      </c>
      <c r="C4561" s="58">
        <v>8</v>
      </c>
      <c r="D4561" s="61" t="s">
        <v>4842</v>
      </c>
      <c r="E4561" s="89" t="s">
        <v>4832</v>
      </c>
      <c r="F4561" s="57" t="s">
        <v>4843</v>
      </c>
      <c r="G4561" s="149" t="s">
        <v>13</v>
      </c>
    </row>
    <row r="4562" spans="1:9" hidden="1" x14ac:dyDescent="0.2">
      <c r="A4562" s="11" t="s">
        <v>2097</v>
      </c>
      <c r="B4562" s="12" t="s">
        <v>2098</v>
      </c>
      <c r="C4562" s="13">
        <v>6</v>
      </c>
      <c r="D4562" s="14" t="s">
        <v>2107</v>
      </c>
      <c r="E4562" s="28" t="s">
        <v>2099</v>
      </c>
      <c r="F4562" s="12" t="s">
        <v>2108</v>
      </c>
      <c r="G4562" s="15" t="s">
        <v>19</v>
      </c>
    </row>
    <row r="4563" spans="1:9" hidden="1" x14ac:dyDescent="0.2">
      <c r="A4563" s="11" t="s">
        <v>3355</v>
      </c>
      <c r="B4563" s="12" t="s">
        <v>3356</v>
      </c>
      <c r="C4563" s="13">
        <v>13</v>
      </c>
      <c r="D4563" s="12" t="s">
        <v>1976</v>
      </c>
      <c r="E4563" s="28" t="s">
        <v>3357</v>
      </c>
      <c r="F4563" s="65" t="s">
        <v>3374</v>
      </c>
      <c r="G4563" s="66" t="s">
        <v>13</v>
      </c>
    </row>
    <row r="4564" spans="1:9" hidden="1" x14ac:dyDescent="0.2">
      <c r="A4564" s="11" t="s">
        <v>3165</v>
      </c>
      <c r="B4564" s="12" t="s">
        <v>3166</v>
      </c>
      <c r="C4564" s="13">
        <v>36</v>
      </c>
      <c r="D4564" s="12" t="s">
        <v>3216</v>
      </c>
      <c r="E4564" s="28" t="s">
        <v>3167</v>
      </c>
      <c r="F4564" s="65" t="s">
        <v>3217</v>
      </c>
      <c r="G4564" s="66" t="s">
        <v>13</v>
      </c>
    </row>
    <row r="4565" spans="1:9" ht="12.75" hidden="1" thickBot="1" x14ac:dyDescent="0.3">
      <c r="A4565" s="36" t="s">
        <v>1534</v>
      </c>
      <c r="B4565" s="30" t="s">
        <v>1535</v>
      </c>
      <c r="C4565" s="31">
        <v>7</v>
      </c>
      <c r="D4565" s="30" t="s">
        <v>1547</v>
      </c>
      <c r="E4565" s="32" t="s">
        <v>1537</v>
      </c>
      <c r="F4565" s="30" t="s">
        <v>1548</v>
      </c>
      <c r="G4565" s="33" t="s">
        <v>13</v>
      </c>
    </row>
    <row r="4566" spans="1:9" hidden="1" x14ac:dyDescent="0.2">
      <c r="A4566" s="56" t="s">
        <v>6843</v>
      </c>
      <c r="B4566" s="61" t="s">
        <v>6844</v>
      </c>
      <c r="C4566" s="58">
        <v>2</v>
      </c>
      <c r="D4566" s="103" t="s">
        <v>6847</v>
      </c>
      <c r="E4566" s="89" t="s">
        <v>6845</v>
      </c>
      <c r="F4566" s="17" t="s">
        <v>6848</v>
      </c>
      <c r="G4566" s="62" t="s">
        <v>78</v>
      </c>
    </row>
    <row r="4567" spans="1:9" hidden="1" x14ac:dyDescent="0.2">
      <c r="A4567" s="11" t="s">
        <v>6921</v>
      </c>
      <c r="B4567" s="12" t="s">
        <v>6922</v>
      </c>
      <c r="C4567" s="13">
        <v>3</v>
      </c>
      <c r="D4567" s="37" t="s">
        <v>6926</v>
      </c>
      <c r="E4567" s="28" t="s">
        <v>6923</v>
      </c>
      <c r="F4567" s="22" t="s">
        <v>6927</v>
      </c>
      <c r="G4567" s="15" t="s">
        <v>78</v>
      </c>
    </row>
    <row r="4568" spans="1:9" hidden="1" x14ac:dyDescent="0.2">
      <c r="A4568" s="11" t="s">
        <v>6946</v>
      </c>
      <c r="B4568" s="12" t="s">
        <v>6947</v>
      </c>
      <c r="C4568" s="13">
        <v>3</v>
      </c>
      <c r="D4568" s="37" t="s">
        <v>6926</v>
      </c>
      <c r="E4568" s="28" t="s">
        <v>6948</v>
      </c>
      <c r="F4568" s="22" t="s">
        <v>6951</v>
      </c>
      <c r="G4568" s="15" t="s">
        <v>78</v>
      </c>
    </row>
    <row r="4569" spans="1:9" hidden="1" x14ac:dyDescent="0.2">
      <c r="A4569" s="11" t="s">
        <v>5509</v>
      </c>
      <c r="B4569" s="12" t="s">
        <v>5510</v>
      </c>
      <c r="C4569" s="13">
        <v>4</v>
      </c>
      <c r="D4569" s="166" t="s">
        <v>5518</v>
      </c>
      <c r="E4569" s="28" t="s">
        <v>5512</v>
      </c>
      <c r="F4569" s="75" t="s">
        <v>5519</v>
      </c>
      <c r="G4569" s="15" t="s">
        <v>39</v>
      </c>
      <c r="I4569" s="90">
        <v>12</v>
      </c>
    </row>
    <row r="4570" spans="1:9" ht="12.75" hidden="1" thickBot="1" x14ac:dyDescent="0.3">
      <c r="A4570" s="36" t="s">
        <v>5379</v>
      </c>
      <c r="B4570" s="30" t="s">
        <v>5380</v>
      </c>
      <c r="C4570" s="31">
        <v>3</v>
      </c>
      <c r="D4570" s="4" t="s">
        <v>5386</v>
      </c>
      <c r="E4570" s="32" t="s">
        <v>5382</v>
      </c>
      <c r="F4570" s="4" t="s">
        <v>5387</v>
      </c>
      <c r="G4570" s="33" t="s">
        <v>39</v>
      </c>
    </row>
    <row r="4571" spans="1:9" hidden="1" x14ac:dyDescent="0.2">
      <c r="A4571" s="56" t="s">
        <v>5509</v>
      </c>
      <c r="B4571" s="61" t="s">
        <v>5510</v>
      </c>
      <c r="C4571" s="58">
        <v>3</v>
      </c>
      <c r="D4571" s="165" t="s">
        <v>5516</v>
      </c>
      <c r="E4571" s="89" t="s">
        <v>5512</v>
      </c>
      <c r="F4571" s="128" t="s">
        <v>5517</v>
      </c>
      <c r="G4571" s="62" t="s">
        <v>39</v>
      </c>
      <c r="I4571" s="90">
        <v>12</v>
      </c>
    </row>
    <row r="4572" spans="1:9" hidden="1" x14ac:dyDescent="0.2">
      <c r="A4572" s="11" t="s">
        <v>2867</v>
      </c>
      <c r="B4572" s="12" t="s">
        <v>2868</v>
      </c>
      <c r="C4572" s="13">
        <v>11</v>
      </c>
      <c r="D4572" s="14" t="s">
        <v>2885</v>
      </c>
      <c r="E4572" s="28" t="s">
        <v>2869</v>
      </c>
      <c r="F4572" s="65" t="s">
        <v>2886</v>
      </c>
      <c r="G4572" s="66" t="s">
        <v>39</v>
      </c>
    </row>
    <row r="4573" spans="1:9" hidden="1" x14ac:dyDescent="0.25">
      <c r="A4573" s="11" t="s">
        <v>5645</v>
      </c>
      <c r="B4573" s="12" t="s">
        <v>5646</v>
      </c>
      <c r="C4573" s="13">
        <v>16</v>
      </c>
      <c r="D4573" s="12" t="s">
        <v>2885</v>
      </c>
      <c r="E4573" s="28" t="s">
        <v>5647</v>
      </c>
      <c r="F4573" s="12" t="s">
        <v>5675</v>
      </c>
      <c r="G4573" s="15" t="s">
        <v>316</v>
      </c>
      <c r="I4573" s="94">
        <v>14</v>
      </c>
    </row>
    <row r="4574" spans="1:9" hidden="1" x14ac:dyDescent="0.25">
      <c r="A4574" s="11" t="s">
        <v>5866</v>
      </c>
      <c r="B4574" s="12" t="s">
        <v>5867</v>
      </c>
      <c r="C4574" s="13">
        <v>16</v>
      </c>
      <c r="D4574" s="12" t="s">
        <v>2885</v>
      </c>
      <c r="E4574" s="28" t="s">
        <v>5868</v>
      </c>
      <c r="F4574" s="12" t="s">
        <v>5884</v>
      </c>
      <c r="G4574" s="15" t="s">
        <v>5885</v>
      </c>
      <c r="I4574" s="101" t="s">
        <v>5818</v>
      </c>
    </row>
    <row r="4575" spans="1:9" ht="12.75" hidden="1" thickBot="1" x14ac:dyDescent="0.3">
      <c r="A4575" s="36" t="s">
        <v>5921</v>
      </c>
      <c r="B4575" s="30" t="s">
        <v>5922</v>
      </c>
      <c r="C4575" s="31">
        <v>22</v>
      </c>
      <c r="D4575" s="30" t="s">
        <v>2885</v>
      </c>
      <c r="E4575" s="32" t="s">
        <v>5923</v>
      </c>
      <c r="F4575" s="30" t="s">
        <v>5956</v>
      </c>
      <c r="G4575" s="33" t="s">
        <v>316</v>
      </c>
      <c r="I4575" s="101" t="s">
        <v>5818</v>
      </c>
    </row>
    <row r="4576" spans="1:9" hidden="1" x14ac:dyDescent="0.25">
      <c r="A4576" s="56" t="s">
        <v>5957</v>
      </c>
      <c r="B4576" s="61" t="s">
        <v>5958</v>
      </c>
      <c r="C4576" s="58">
        <v>19</v>
      </c>
      <c r="D4576" s="61" t="s">
        <v>2885</v>
      </c>
      <c r="E4576" s="89" t="s">
        <v>5959</v>
      </c>
      <c r="F4576" s="61" t="s">
        <v>5984</v>
      </c>
      <c r="G4576" s="62" t="s">
        <v>316</v>
      </c>
      <c r="I4576" s="9">
        <v>15</v>
      </c>
    </row>
    <row r="4577" spans="1:7" hidden="1" x14ac:dyDescent="0.25">
      <c r="A4577" s="11" t="s">
        <v>5379</v>
      </c>
      <c r="B4577" s="12" t="s">
        <v>5380</v>
      </c>
      <c r="C4577" s="13">
        <v>2</v>
      </c>
      <c r="D4577" s="22" t="s">
        <v>5384</v>
      </c>
      <c r="E4577" s="28" t="s">
        <v>5382</v>
      </c>
      <c r="F4577" s="22" t="s">
        <v>5385</v>
      </c>
      <c r="G4577" s="15" t="s">
        <v>39</v>
      </c>
    </row>
    <row r="4578" spans="1:7" hidden="1" x14ac:dyDescent="0.25">
      <c r="A4578" s="11" t="s">
        <v>5395</v>
      </c>
      <c r="B4578" s="12" t="s">
        <v>5396</v>
      </c>
      <c r="C4578" s="13">
        <v>4</v>
      </c>
      <c r="D4578" s="22" t="s">
        <v>5403</v>
      </c>
      <c r="E4578" s="28" t="s">
        <v>5397</v>
      </c>
      <c r="F4578" s="22" t="s">
        <v>5404</v>
      </c>
      <c r="G4578" s="15" t="s">
        <v>13</v>
      </c>
    </row>
    <row r="4579" spans="1:7" hidden="1" x14ac:dyDescent="0.25">
      <c r="A4579" s="11" t="s">
        <v>7028</v>
      </c>
      <c r="B4579" s="12" t="s">
        <v>10</v>
      </c>
      <c r="C4579" s="13">
        <v>1</v>
      </c>
      <c r="D4579" s="22" t="s">
        <v>7029</v>
      </c>
      <c r="E4579" s="28" t="s">
        <v>7030</v>
      </c>
      <c r="F4579" s="22" t="s">
        <v>7031</v>
      </c>
      <c r="G4579" s="15" t="s">
        <v>13</v>
      </c>
    </row>
    <row r="4580" spans="1:7" ht="12.75" hidden="1" thickBot="1" x14ac:dyDescent="0.3">
      <c r="A4580" s="36" t="s">
        <v>7037</v>
      </c>
      <c r="B4580" s="30" t="s">
        <v>7038</v>
      </c>
      <c r="C4580" s="31">
        <v>1</v>
      </c>
      <c r="D4580" s="4" t="s">
        <v>7029</v>
      </c>
      <c r="E4580" s="32" t="s">
        <v>7039</v>
      </c>
      <c r="F4580" s="4" t="s">
        <v>7040</v>
      </c>
      <c r="G4580" s="33" t="s">
        <v>13</v>
      </c>
    </row>
    <row r="4581" spans="1:7" hidden="1" x14ac:dyDescent="0.25">
      <c r="A4581" s="56" t="s">
        <v>7045</v>
      </c>
      <c r="B4581" s="61" t="s">
        <v>372</v>
      </c>
      <c r="C4581" s="58">
        <v>1</v>
      </c>
      <c r="D4581" s="17" t="s">
        <v>7029</v>
      </c>
      <c r="E4581" s="89" t="s">
        <v>7046</v>
      </c>
      <c r="F4581" s="17" t="s">
        <v>7047</v>
      </c>
      <c r="G4581" s="62" t="s">
        <v>13</v>
      </c>
    </row>
    <row r="4582" spans="1:7" hidden="1" x14ac:dyDescent="0.25">
      <c r="A4582" s="11" t="s">
        <v>7052</v>
      </c>
      <c r="B4582" s="12" t="s">
        <v>390</v>
      </c>
      <c r="C4582" s="13">
        <v>1</v>
      </c>
      <c r="D4582" s="22" t="s">
        <v>7029</v>
      </c>
      <c r="E4582" s="28" t="s">
        <v>7053</v>
      </c>
      <c r="F4582" s="22" t="s">
        <v>7054</v>
      </c>
      <c r="G4582" s="15" t="s">
        <v>13</v>
      </c>
    </row>
    <row r="4583" spans="1:7" hidden="1" x14ac:dyDescent="0.25">
      <c r="A4583" s="11" t="s">
        <v>7059</v>
      </c>
      <c r="B4583" s="12" t="s">
        <v>7060</v>
      </c>
      <c r="C4583" s="13">
        <v>1</v>
      </c>
      <c r="D4583" s="22" t="s">
        <v>7029</v>
      </c>
      <c r="E4583" s="28" t="s">
        <v>7061</v>
      </c>
      <c r="F4583" s="22" t="s">
        <v>7062</v>
      </c>
      <c r="G4583" s="15" t="s">
        <v>13</v>
      </c>
    </row>
    <row r="4584" spans="1:7" hidden="1" x14ac:dyDescent="0.25">
      <c r="A4584" s="11" t="s">
        <v>7067</v>
      </c>
      <c r="B4584" s="12" t="s">
        <v>37</v>
      </c>
      <c r="C4584" s="13">
        <v>1</v>
      </c>
      <c r="D4584" s="22" t="s">
        <v>7029</v>
      </c>
      <c r="E4584" s="28" t="s">
        <v>7068</v>
      </c>
      <c r="F4584" s="22" t="s">
        <v>7069</v>
      </c>
      <c r="G4584" s="15" t="s">
        <v>87</v>
      </c>
    </row>
    <row r="4585" spans="1:7" ht="12.75" hidden="1" thickBot="1" x14ac:dyDescent="0.3">
      <c r="A4585" s="36" t="s">
        <v>7074</v>
      </c>
      <c r="B4585" s="30" t="s">
        <v>7075</v>
      </c>
      <c r="C4585" s="31">
        <v>1</v>
      </c>
      <c r="D4585" s="4" t="s">
        <v>7029</v>
      </c>
      <c r="E4585" s="32" t="s">
        <v>7076</v>
      </c>
      <c r="F4585" s="4" t="s">
        <v>7077</v>
      </c>
      <c r="G4585" s="33" t="s">
        <v>13</v>
      </c>
    </row>
    <row r="4586" spans="1:7" hidden="1" x14ac:dyDescent="0.25">
      <c r="A4586" s="56" t="s">
        <v>7082</v>
      </c>
      <c r="B4586" s="61" t="s">
        <v>7083</v>
      </c>
      <c r="C4586" s="58">
        <v>1</v>
      </c>
      <c r="D4586" s="17" t="s">
        <v>7029</v>
      </c>
      <c r="E4586" s="89" t="s">
        <v>7084</v>
      </c>
      <c r="F4586" s="17" t="s">
        <v>7085</v>
      </c>
      <c r="G4586" s="62" t="s">
        <v>13</v>
      </c>
    </row>
    <row r="4587" spans="1:7" hidden="1" x14ac:dyDescent="0.25">
      <c r="A4587" s="11" t="s">
        <v>7090</v>
      </c>
      <c r="B4587" s="12" t="s">
        <v>7091</v>
      </c>
      <c r="C4587" s="13">
        <v>1</v>
      </c>
      <c r="D4587" s="22" t="s">
        <v>7029</v>
      </c>
      <c r="E4587" s="28" t="s">
        <v>7092</v>
      </c>
      <c r="F4587" s="22" t="s">
        <v>7093</v>
      </c>
      <c r="G4587" s="15" t="s">
        <v>13</v>
      </c>
    </row>
    <row r="4588" spans="1:7" hidden="1" x14ac:dyDescent="0.25">
      <c r="A4588" s="11" t="s">
        <v>7098</v>
      </c>
      <c r="B4588" s="12" t="s">
        <v>440</v>
      </c>
      <c r="C4588" s="13">
        <v>1</v>
      </c>
      <c r="D4588" s="22" t="s">
        <v>7029</v>
      </c>
      <c r="E4588" s="28" t="s">
        <v>7099</v>
      </c>
      <c r="F4588" s="22" t="s">
        <v>7100</v>
      </c>
      <c r="G4588" s="15" t="s">
        <v>13</v>
      </c>
    </row>
    <row r="4589" spans="1:7" hidden="1" x14ac:dyDescent="0.25">
      <c r="A4589" s="11" t="s">
        <v>7105</v>
      </c>
      <c r="B4589" s="12" t="s">
        <v>7106</v>
      </c>
      <c r="C4589" s="13">
        <v>1</v>
      </c>
      <c r="D4589" s="22" t="s">
        <v>7029</v>
      </c>
      <c r="E4589" s="28" t="s">
        <v>7107</v>
      </c>
      <c r="F4589" s="22" t="s">
        <v>7108</v>
      </c>
      <c r="G4589" s="15" t="s">
        <v>13</v>
      </c>
    </row>
    <row r="4590" spans="1:7" ht="12.75" hidden="1" thickBot="1" x14ac:dyDescent="0.3">
      <c r="A4590" s="36" t="s">
        <v>7113</v>
      </c>
      <c r="B4590" s="30" t="s">
        <v>327</v>
      </c>
      <c r="C4590" s="31">
        <v>1</v>
      </c>
      <c r="D4590" s="4" t="s">
        <v>7029</v>
      </c>
      <c r="E4590" s="32" t="s">
        <v>7114</v>
      </c>
      <c r="F4590" s="4" t="s">
        <v>7115</v>
      </c>
      <c r="G4590" s="33" t="s">
        <v>13</v>
      </c>
    </row>
    <row r="4591" spans="1:7" hidden="1" x14ac:dyDescent="0.25">
      <c r="A4591" s="56" t="s">
        <v>7120</v>
      </c>
      <c r="B4591" s="61" t="s">
        <v>7121</v>
      </c>
      <c r="C4591" s="58">
        <v>1</v>
      </c>
      <c r="D4591" s="17" t="s">
        <v>7029</v>
      </c>
      <c r="E4591" s="89" t="s">
        <v>7122</v>
      </c>
      <c r="F4591" s="17" t="s">
        <v>7123</v>
      </c>
      <c r="G4591" s="62" t="s">
        <v>13</v>
      </c>
    </row>
    <row r="4592" spans="1:7" hidden="1" x14ac:dyDescent="0.25">
      <c r="A4592" s="11" t="s">
        <v>7128</v>
      </c>
      <c r="B4592" s="12" t="s">
        <v>7129</v>
      </c>
      <c r="C4592" s="13">
        <v>1</v>
      </c>
      <c r="D4592" s="22" t="s">
        <v>7029</v>
      </c>
      <c r="E4592" s="28" t="s">
        <v>7130</v>
      </c>
      <c r="F4592" s="22" t="s">
        <v>7131</v>
      </c>
      <c r="G4592" s="15" t="s">
        <v>13</v>
      </c>
    </row>
    <row r="4593" spans="1:7" hidden="1" x14ac:dyDescent="0.25">
      <c r="A4593" s="11" t="s">
        <v>7136</v>
      </c>
      <c r="B4593" s="12" t="s">
        <v>5771</v>
      </c>
      <c r="C4593" s="13">
        <v>1</v>
      </c>
      <c r="D4593" s="22" t="s">
        <v>7029</v>
      </c>
      <c r="E4593" s="28" t="s">
        <v>7137</v>
      </c>
      <c r="F4593" s="22" t="s">
        <v>7138</v>
      </c>
      <c r="G4593" s="15" t="s">
        <v>13</v>
      </c>
    </row>
    <row r="4594" spans="1:7" hidden="1" x14ac:dyDescent="0.25">
      <c r="A4594" s="11" t="s">
        <v>7143</v>
      </c>
      <c r="B4594" s="12" t="s">
        <v>120</v>
      </c>
      <c r="C4594" s="13">
        <v>1</v>
      </c>
      <c r="D4594" s="22" t="s">
        <v>7029</v>
      </c>
      <c r="E4594" s="28" t="s">
        <v>7144</v>
      </c>
      <c r="F4594" s="22" t="s">
        <v>7145</v>
      </c>
      <c r="G4594" s="15" t="s">
        <v>13</v>
      </c>
    </row>
    <row r="4595" spans="1:7" ht="12.75" hidden="1" thickBot="1" x14ac:dyDescent="0.3">
      <c r="A4595" s="36" t="s">
        <v>7150</v>
      </c>
      <c r="B4595" s="30" t="s">
        <v>7151</v>
      </c>
      <c r="C4595" s="31">
        <v>1</v>
      </c>
      <c r="D4595" s="4" t="s">
        <v>7029</v>
      </c>
      <c r="E4595" s="32" t="s">
        <v>7152</v>
      </c>
      <c r="F4595" s="4" t="s">
        <v>7153</v>
      </c>
      <c r="G4595" s="33" t="s">
        <v>13</v>
      </c>
    </row>
    <row r="4596" spans="1:7" hidden="1" x14ac:dyDescent="0.25">
      <c r="A4596" s="56" t="s">
        <v>7158</v>
      </c>
      <c r="B4596" s="61" t="s">
        <v>7159</v>
      </c>
      <c r="C4596" s="58">
        <v>1</v>
      </c>
      <c r="D4596" s="17" t="s">
        <v>7029</v>
      </c>
      <c r="E4596" s="89" t="s">
        <v>7160</v>
      </c>
      <c r="F4596" s="17" t="s">
        <v>7161</v>
      </c>
      <c r="G4596" s="62" t="s">
        <v>13</v>
      </c>
    </row>
    <row r="4597" spans="1:7" hidden="1" x14ac:dyDescent="0.25">
      <c r="A4597" s="11" t="s">
        <v>7166</v>
      </c>
      <c r="B4597" s="12" t="s">
        <v>7167</v>
      </c>
      <c r="C4597" s="13">
        <v>1</v>
      </c>
      <c r="D4597" s="22" t="s">
        <v>7029</v>
      </c>
      <c r="E4597" s="28" t="s">
        <v>7168</v>
      </c>
      <c r="F4597" s="22" t="s">
        <v>7169</v>
      </c>
      <c r="G4597" s="15" t="s">
        <v>13</v>
      </c>
    </row>
    <row r="4598" spans="1:7" hidden="1" x14ac:dyDescent="0.25">
      <c r="A4598" s="11" t="s">
        <v>7174</v>
      </c>
      <c r="B4598" s="12" t="s">
        <v>7175</v>
      </c>
      <c r="C4598" s="13">
        <v>1</v>
      </c>
      <c r="D4598" s="22" t="s">
        <v>7029</v>
      </c>
      <c r="E4598" s="28" t="s">
        <v>7176</v>
      </c>
      <c r="F4598" s="22" t="s">
        <v>7177</v>
      </c>
      <c r="G4598" s="15" t="s">
        <v>13</v>
      </c>
    </row>
    <row r="4599" spans="1:7" hidden="1" x14ac:dyDescent="0.25">
      <c r="A4599" s="11" t="s">
        <v>7182</v>
      </c>
      <c r="B4599" s="12" t="s">
        <v>1627</v>
      </c>
      <c r="C4599" s="13">
        <v>1</v>
      </c>
      <c r="D4599" s="22" t="s">
        <v>7029</v>
      </c>
      <c r="E4599" s="28" t="s">
        <v>7183</v>
      </c>
      <c r="F4599" s="22" t="s">
        <v>7184</v>
      </c>
      <c r="G4599" s="15" t="s">
        <v>13</v>
      </c>
    </row>
    <row r="4600" spans="1:7" ht="12.75" hidden="1" thickBot="1" x14ac:dyDescent="0.3">
      <c r="A4600" s="36" t="s">
        <v>7189</v>
      </c>
      <c r="B4600" s="30" t="s">
        <v>7190</v>
      </c>
      <c r="C4600" s="31">
        <v>1</v>
      </c>
      <c r="D4600" s="4" t="s">
        <v>7029</v>
      </c>
      <c r="E4600" s="32" t="s">
        <v>7191</v>
      </c>
      <c r="F4600" s="4" t="s">
        <v>7192</v>
      </c>
      <c r="G4600" s="33" t="s">
        <v>13</v>
      </c>
    </row>
    <row r="4601" spans="1:7" hidden="1" x14ac:dyDescent="0.25">
      <c r="A4601" s="56" t="s">
        <v>7197</v>
      </c>
      <c r="B4601" s="61" t="s">
        <v>7198</v>
      </c>
      <c r="C4601" s="58">
        <v>1</v>
      </c>
      <c r="D4601" s="17" t="s">
        <v>7029</v>
      </c>
      <c r="E4601" s="89" t="s">
        <v>7199</v>
      </c>
      <c r="F4601" s="17" t="s">
        <v>7200</v>
      </c>
      <c r="G4601" s="62" t="s">
        <v>13</v>
      </c>
    </row>
    <row r="4602" spans="1:7" hidden="1" x14ac:dyDescent="0.25">
      <c r="A4602" s="11" t="s">
        <v>7205</v>
      </c>
      <c r="B4602" s="12" t="s">
        <v>4595</v>
      </c>
      <c r="C4602" s="13">
        <v>1</v>
      </c>
      <c r="D4602" s="22" t="s">
        <v>7029</v>
      </c>
      <c r="E4602" s="28" t="s">
        <v>7206</v>
      </c>
      <c r="F4602" s="22" t="s">
        <v>7207</v>
      </c>
      <c r="G4602" s="15" t="s">
        <v>13</v>
      </c>
    </row>
    <row r="4603" spans="1:7" hidden="1" x14ac:dyDescent="0.25">
      <c r="A4603" s="11" t="s">
        <v>7212</v>
      </c>
      <c r="B4603" s="12" t="s">
        <v>3887</v>
      </c>
      <c r="C4603" s="13">
        <v>1</v>
      </c>
      <c r="D4603" s="22" t="s">
        <v>7029</v>
      </c>
      <c r="E4603" s="28" t="s">
        <v>7213</v>
      </c>
      <c r="F4603" s="22" t="s">
        <v>7214</v>
      </c>
      <c r="G4603" s="15" t="s">
        <v>13</v>
      </c>
    </row>
    <row r="4604" spans="1:7" hidden="1" x14ac:dyDescent="0.25">
      <c r="A4604" s="11" t="s">
        <v>7219</v>
      </c>
      <c r="B4604" s="12" t="s">
        <v>7220</v>
      </c>
      <c r="C4604" s="13">
        <v>1</v>
      </c>
      <c r="D4604" s="22" t="s">
        <v>7029</v>
      </c>
      <c r="E4604" s="28" t="s">
        <v>7221</v>
      </c>
      <c r="F4604" s="22" t="s">
        <v>7222</v>
      </c>
      <c r="G4604" s="15" t="s">
        <v>13</v>
      </c>
    </row>
    <row r="4605" spans="1:7" ht="12.75" hidden="1" thickBot="1" x14ac:dyDescent="0.3">
      <c r="A4605" s="36" t="s">
        <v>7227</v>
      </c>
      <c r="B4605" s="30" t="s">
        <v>7228</v>
      </c>
      <c r="C4605" s="31">
        <v>1</v>
      </c>
      <c r="D4605" s="4" t="s">
        <v>7029</v>
      </c>
      <c r="E4605" s="32" t="s">
        <v>7229</v>
      </c>
      <c r="F4605" s="4" t="s">
        <v>7230</v>
      </c>
      <c r="G4605" s="33" t="s">
        <v>13</v>
      </c>
    </row>
    <row r="4606" spans="1:7" hidden="1" x14ac:dyDescent="0.25">
      <c r="A4606" s="56" t="s">
        <v>7235</v>
      </c>
      <c r="B4606" s="61" t="s">
        <v>7236</v>
      </c>
      <c r="C4606" s="58">
        <v>1</v>
      </c>
      <c r="D4606" s="17" t="s">
        <v>7029</v>
      </c>
      <c r="E4606" s="89" t="s">
        <v>7237</v>
      </c>
      <c r="F4606" s="17" t="s">
        <v>7238</v>
      </c>
      <c r="G4606" s="62" t="s">
        <v>13</v>
      </c>
    </row>
    <row r="4607" spans="1:7" hidden="1" x14ac:dyDescent="0.25">
      <c r="A4607" s="11" t="s">
        <v>7243</v>
      </c>
      <c r="B4607" s="12" t="s">
        <v>7244</v>
      </c>
      <c r="C4607" s="13">
        <v>1</v>
      </c>
      <c r="D4607" s="22" t="s">
        <v>7029</v>
      </c>
      <c r="E4607" s="28" t="s">
        <v>7245</v>
      </c>
      <c r="F4607" s="22" t="s">
        <v>7246</v>
      </c>
      <c r="G4607" s="15" t="s">
        <v>13</v>
      </c>
    </row>
    <row r="4608" spans="1:7" hidden="1" x14ac:dyDescent="0.25">
      <c r="A4608" s="11" t="s">
        <v>7251</v>
      </c>
      <c r="B4608" s="12" t="s">
        <v>1998</v>
      </c>
      <c r="C4608" s="13">
        <v>1</v>
      </c>
      <c r="D4608" s="22" t="s">
        <v>7029</v>
      </c>
      <c r="E4608" s="28" t="s">
        <v>7252</v>
      </c>
      <c r="F4608" s="22" t="s">
        <v>7253</v>
      </c>
      <c r="G4608" s="15" t="s">
        <v>13</v>
      </c>
    </row>
    <row r="4609" spans="1:7" hidden="1" x14ac:dyDescent="0.25">
      <c r="A4609" s="11" t="s">
        <v>7258</v>
      </c>
      <c r="B4609" s="12" t="s">
        <v>6607</v>
      </c>
      <c r="C4609" s="13">
        <v>1</v>
      </c>
      <c r="D4609" s="22" t="s">
        <v>7029</v>
      </c>
      <c r="E4609" s="28" t="s">
        <v>7259</v>
      </c>
      <c r="F4609" s="22" t="s">
        <v>7260</v>
      </c>
      <c r="G4609" s="15" t="s">
        <v>13</v>
      </c>
    </row>
    <row r="4610" spans="1:7" ht="12.75" hidden="1" thickBot="1" x14ac:dyDescent="0.3">
      <c r="A4610" s="36" t="s">
        <v>7265</v>
      </c>
      <c r="B4610" s="30" t="s">
        <v>7266</v>
      </c>
      <c r="C4610" s="31">
        <v>1</v>
      </c>
      <c r="D4610" s="4" t="s">
        <v>7029</v>
      </c>
      <c r="E4610" s="32" t="s">
        <v>7267</v>
      </c>
      <c r="F4610" s="4" t="s">
        <v>7268</v>
      </c>
      <c r="G4610" s="33" t="s">
        <v>13</v>
      </c>
    </row>
    <row r="4611" spans="1:7" hidden="1" x14ac:dyDescent="0.25">
      <c r="A4611" s="56" t="s">
        <v>7273</v>
      </c>
      <c r="B4611" s="61" t="s">
        <v>7274</v>
      </c>
      <c r="C4611" s="58">
        <v>1</v>
      </c>
      <c r="D4611" s="17" t="s">
        <v>7029</v>
      </c>
      <c r="E4611" s="89" t="s">
        <v>7275</v>
      </c>
      <c r="F4611" s="17" t="s">
        <v>7276</v>
      </c>
      <c r="G4611" s="62" t="s">
        <v>13</v>
      </c>
    </row>
    <row r="4612" spans="1:7" hidden="1" x14ac:dyDescent="0.25">
      <c r="A4612" s="11" t="s">
        <v>7281</v>
      </c>
      <c r="B4612" s="12" t="s">
        <v>7282</v>
      </c>
      <c r="C4612" s="13">
        <v>1</v>
      </c>
      <c r="D4612" s="22" t="s">
        <v>7029</v>
      </c>
      <c r="E4612" s="28" t="s">
        <v>7283</v>
      </c>
      <c r="F4612" s="22" t="s">
        <v>7284</v>
      </c>
      <c r="G4612" s="15" t="s">
        <v>13</v>
      </c>
    </row>
    <row r="4613" spans="1:7" hidden="1" x14ac:dyDescent="0.25">
      <c r="A4613" s="11" t="s">
        <v>7289</v>
      </c>
      <c r="B4613" s="12" t="s">
        <v>6027</v>
      </c>
      <c r="C4613" s="13">
        <v>1</v>
      </c>
      <c r="D4613" s="22" t="s">
        <v>7029</v>
      </c>
      <c r="E4613" s="28" t="s">
        <v>7290</v>
      </c>
      <c r="F4613" s="22" t="s">
        <v>7291</v>
      </c>
      <c r="G4613" s="15" t="s">
        <v>13</v>
      </c>
    </row>
    <row r="4614" spans="1:7" hidden="1" x14ac:dyDescent="0.25">
      <c r="A4614" s="11" t="s">
        <v>7296</v>
      </c>
      <c r="B4614" s="12" t="s">
        <v>1101</v>
      </c>
      <c r="C4614" s="13">
        <v>1</v>
      </c>
      <c r="D4614" s="22" t="s">
        <v>7029</v>
      </c>
      <c r="E4614" s="28" t="s">
        <v>7297</v>
      </c>
      <c r="F4614" s="22" t="s">
        <v>7298</v>
      </c>
      <c r="G4614" s="15" t="s">
        <v>13</v>
      </c>
    </row>
    <row r="4615" spans="1:7" ht="12.75" hidden="1" thickBot="1" x14ac:dyDescent="0.3">
      <c r="A4615" s="36" t="s">
        <v>7303</v>
      </c>
      <c r="B4615" s="30" t="s">
        <v>7304</v>
      </c>
      <c r="C4615" s="31">
        <v>1</v>
      </c>
      <c r="D4615" s="4" t="s">
        <v>7029</v>
      </c>
      <c r="E4615" s="32" t="s">
        <v>7305</v>
      </c>
      <c r="F4615" s="4" t="s">
        <v>7306</v>
      </c>
      <c r="G4615" s="33" t="s">
        <v>13</v>
      </c>
    </row>
    <row r="4616" spans="1:7" hidden="1" x14ac:dyDescent="0.25">
      <c r="A4616" s="56" t="s">
        <v>7311</v>
      </c>
      <c r="B4616" s="61" t="s">
        <v>7312</v>
      </c>
      <c r="C4616" s="58">
        <v>1</v>
      </c>
      <c r="D4616" s="17" t="s">
        <v>7029</v>
      </c>
      <c r="E4616" s="89" t="s">
        <v>7313</v>
      </c>
      <c r="F4616" s="17" t="s">
        <v>7314</v>
      </c>
      <c r="G4616" s="62" t="s">
        <v>13</v>
      </c>
    </row>
    <row r="4617" spans="1:7" hidden="1" x14ac:dyDescent="0.25">
      <c r="A4617" s="11" t="s">
        <v>7319</v>
      </c>
      <c r="B4617" s="12" t="s">
        <v>7320</v>
      </c>
      <c r="C4617" s="13">
        <v>1</v>
      </c>
      <c r="D4617" s="22" t="s">
        <v>7029</v>
      </c>
      <c r="E4617" s="28" t="s">
        <v>7321</v>
      </c>
      <c r="F4617" s="22" t="s">
        <v>7322</v>
      </c>
      <c r="G4617" s="15" t="s">
        <v>13</v>
      </c>
    </row>
    <row r="4618" spans="1:7" hidden="1" x14ac:dyDescent="0.25">
      <c r="A4618" s="11" t="s">
        <v>7327</v>
      </c>
      <c r="B4618" s="12" t="s">
        <v>7328</v>
      </c>
      <c r="C4618" s="13">
        <v>1</v>
      </c>
      <c r="D4618" s="22" t="s">
        <v>7029</v>
      </c>
      <c r="E4618" s="28" t="s">
        <v>7329</v>
      </c>
      <c r="F4618" s="22" t="s">
        <v>7330</v>
      </c>
      <c r="G4618" s="15" t="s">
        <v>13</v>
      </c>
    </row>
    <row r="4619" spans="1:7" hidden="1" x14ac:dyDescent="0.25">
      <c r="A4619" s="11" t="s">
        <v>7335</v>
      </c>
      <c r="B4619" s="12" t="s">
        <v>7336</v>
      </c>
      <c r="C4619" s="13">
        <v>1</v>
      </c>
      <c r="D4619" s="22" t="s">
        <v>7029</v>
      </c>
      <c r="E4619" s="28" t="s">
        <v>7337</v>
      </c>
      <c r="F4619" s="22" t="s">
        <v>7338</v>
      </c>
      <c r="G4619" s="15" t="s">
        <v>13</v>
      </c>
    </row>
    <row r="4620" spans="1:7" ht="12.75" hidden="1" thickBot="1" x14ac:dyDescent="0.3">
      <c r="A4620" s="36" t="s">
        <v>7343</v>
      </c>
      <c r="B4620" s="30" t="s">
        <v>7344</v>
      </c>
      <c r="C4620" s="31">
        <v>1</v>
      </c>
      <c r="D4620" s="4" t="s">
        <v>7029</v>
      </c>
      <c r="E4620" s="32" t="s">
        <v>7345</v>
      </c>
      <c r="F4620" s="4" t="s">
        <v>7346</v>
      </c>
      <c r="G4620" s="33" t="s">
        <v>13</v>
      </c>
    </row>
    <row r="4621" spans="1:7" hidden="1" x14ac:dyDescent="0.25">
      <c r="A4621" s="56" t="s">
        <v>7351</v>
      </c>
      <c r="B4621" s="61" t="s">
        <v>7352</v>
      </c>
      <c r="C4621" s="58">
        <v>1</v>
      </c>
      <c r="D4621" s="17" t="s">
        <v>7029</v>
      </c>
      <c r="E4621" s="89" t="s">
        <v>7353</v>
      </c>
      <c r="F4621" s="17" t="s">
        <v>7354</v>
      </c>
      <c r="G4621" s="62" t="s">
        <v>13</v>
      </c>
    </row>
    <row r="4622" spans="1:7" hidden="1" x14ac:dyDescent="0.25">
      <c r="A4622" s="11" t="s">
        <v>7359</v>
      </c>
      <c r="B4622" s="12" t="s">
        <v>7360</v>
      </c>
      <c r="C4622" s="13">
        <v>1</v>
      </c>
      <c r="D4622" s="22" t="s">
        <v>7029</v>
      </c>
      <c r="E4622" s="28" t="s">
        <v>7361</v>
      </c>
      <c r="F4622" s="22" t="s">
        <v>7362</v>
      </c>
      <c r="G4622" s="15" t="s">
        <v>13</v>
      </c>
    </row>
    <row r="4623" spans="1:7" hidden="1" x14ac:dyDescent="0.25">
      <c r="A4623" s="11" t="s">
        <v>7367</v>
      </c>
      <c r="B4623" s="12" t="s">
        <v>403</v>
      </c>
      <c r="C4623" s="13">
        <v>1</v>
      </c>
      <c r="D4623" s="22" t="s">
        <v>7029</v>
      </c>
      <c r="E4623" s="28" t="s">
        <v>7368</v>
      </c>
      <c r="F4623" s="22" t="s">
        <v>7369</v>
      </c>
      <c r="G4623" s="15" t="s">
        <v>13</v>
      </c>
    </row>
    <row r="4624" spans="1:7" hidden="1" x14ac:dyDescent="0.25">
      <c r="A4624" s="11" t="s">
        <v>7374</v>
      </c>
      <c r="B4624" s="12" t="s">
        <v>7375</v>
      </c>
      <c r="C4624" s="13">
        <v>1</v>
      </c>
      <c r="D4624" s="22" t="s">
        <v>7029</v>
      </c>
      <c r="E4624" s="28" t="s">
        <v>7376</v>
      </c>
      <c r="F4624" s="22" t="s">
        <v>7377</v>
      </c>
      <c r="G4624" s="15" t="s">
        <v>13</v>
      </c>
    </row>
    <row r="4625" spans="1:7" ht="12.75" hidden="1" thickBot="1" x14ac:dyDescent="0.3">
      <c r="A4625" s="36" t="s">
        <v>7382</v>
      </c>
      <c r="B4625" s="30" t="s">
        <v>2324</v>
      </c>
      <c r="C4625" s="31">
        <v>1</v>
      </c>
      <c r="D4625" s="4" t="s">
        <v>7029</v>
      </c>
      <c r="E4625" s="32" t="s">
        <v>7383</v>
      </c>
      <c r="F4625" s="4" t="s">
        <v>7384</v>
      </c>
      <c r="G4625" s="33" t="s">
        <v>13</v>
      </c>
    </row>
    <row r="4626" spans="1:7" hidden="1" x14ac:dyDescent="0.25">
      <c r="A4626" s="56" t="s">
        <v>7389</v>
      </c>
      <c r="B4626" s="61" t="s">
        <v>7390</v>
      </c>
      <c r="C4626" s="58">
        <v>1</v>
      </c>
      <c r="D4626" s="17" t="s">
        <v>7029</v>
      </c>
      <c r="E4626" s="89" t="s">
        <v>7391</v>
      </c>
      <c r="F4626" s="17" t="s">
        <v>7392</v>
      </c>
      <c r="G4626" s="62" t="s">
        <v>13</v>
      </c>
    </row>
    <row r="4627" spans="1:7" hidden="1" x14ac:dyDescent="0.25">
      <c r="A4627" s="11" t="s">
        <v>7397</v>
      </c>
      <c r="B4627" s="12" t="s">
        <v>2066</v>
      </c>
      <c r="C4627" s="13">
        <v>1</v>
      </c>
      <c r="D4627" s="22" t="s">
        <v>7029</v>
      </c>
      <c r="E4627" s="28" t="s">
        <v>7398</v>
      </c>
      <c r="F4627" s="22" t="s">
        <v>7399</v>
      </c>
      <c r="G4627" s="15" t="s">
        <v>13</v>
      </c>
    </row>
    <row r="4628" spans="1:7" hidden="1" x14ac:dyDescent="0.25">
      <c r="A4628" s="11" t="s">
        <v>7404</v>
      </c>
      <c r="B4628" s="12" t="s">
        <v>7405</v>
      </c>
      <c r="C4628" s="13">
        <v>1</v>
      </c>
      <c r="D4628" s="22" t="s">
        <v>7029</v>
      </c>
      <c r="E4628" s="28" t="s">
        <v>7406</v>
      </c>
      <c r="F4628" s="22" t="s">
        <v>7407</v>
      </c>
      <c r="G4628" s="15" t="s">
        <v>13</v>
      </c>
    </row>
    <row r="4629" spans="1:7" hidden="1" x14ac:dyDescent="0.25">
      <c r="A4629" s="11" t="s">
        <v>7412</v>
      </c>
      <c r="B4629" s="12" t="s">
        <v>7413</v>
      </c>
      <c r="C4629" s="13">
        <v>1</v>
      </c>
      <c r="D4629" s="22" t="s">
        <v>7029</v>
      </c>
      <c r="E4629" s="28" t="s">
        <v>7414</v>
      </c>
      <c r="F4629" s="22" t="s">
        <v>7415</v>
      </c>
      <c r="G4629" s="15" t="s">
        <v>13</v>
      </c>
    </row>
    <row r="4630" spans="1:7" ht="12.75" hidden="1" thickBot="1" x14ac:dyDescent="0.3">
      <c r="A4630" s="36" t="s">
        <v>7420</v>
      </c>
      <c r="B4630" s="30" t="s">
        <v>2274</v>
      </c>
      <c r="C4630" s="31">
        <v>1</v>
      </c>
      <c r="D4630" s="4" t="s">
        <v>7029</v>
      </c>
      <c r="E4630" s="32" t="s">
        <v>7421</v>
      </c>
      <c r="F4630" s="4" t="s">
        <v>7422</v>
      </c>
      <c r="G4630" s="33" t="s">
        <v>13</v>
      </c>
    </row>
    <row r="4631" spans="1:7" hidden="1" x14ac:dyDescent="0.25">
      <c r="A4631" s="56" t="s">
        <v>7427</v>
      </c>
      <c r="B4631" s="61" t="s">
        <v>6857</v>
      </c>
      <c r="C4631" s="58">
        <v>1</v>
      </c>
      <c r="D4631" s="17" t="s">
        <v>7029</v>
      </c>
      <c r="E4631" s="89" t="s">
        <v>7428</v>
      </c>
      <c r="F4631" s="17" t="s">
        <v>7429</v>
      </c>
      <c r="G4631" s="62" t="s">
        <v>13</v>
      </c>
    </row>
    <row r="4632" spans="1:7" hidden="1" x14ac:dyDescent="0.25">
      <c r="A4632" s="11" t="s">
        <v>7434</v>
      </c>
      <c r="B4632" s="12" t="s">
        <v>7435</v>
      </c>
      <c r="C4632" s="13">
        <v>1</v>
      </c>
      <c r="D4632" s="22" t="s">
        <v>7029</v>
      </c>
      <c r="E4632" s="28" t="s">
        <v>7436</v>
      </c>
      <c r="F4632" s="22" t="s">
        <v>7437</v>
      </c>
      <c r="G4632" s="15" t="s">
        <v>13</v>
      </c>
    </row>
    <row r="4633" spans="1:7" hidden="1" x14ac:dyDescent="0.25">
      <c r="A4633" s="11" t="s">
        <v>7442</v>
      </c>
      <c r="B4633" s="12" t="s">
        <v>5773</v>
      </c>
      <c r="C4633" s="13">
        <v>1</v>
      </c>
      <c r="D4633" s="22" t="s">
        <v>7029</v>
      </c>
      <c r="E4633" s="28" t="s">
        <v>7443</v>
      </c>
      <c r="F4633" s="22" t="s">
        <v>7444</v>
      </c>
      <c r="G4633" s="15" t="s">
        <v>13</v>
      </c>
    </row>
    <row r="4634" spans="1:7" hidden="1" x14ac:dyDescent="0.25">
      <c r="A4634" s="11" t="s">
        <v>7449</v>
      </c>
      <c r="B4634" s="12" t="s">
        <v>7450</v>
      </c>
      <c r="C4634" s="13">
        <v>1</v>
      </c>
      <c r="D4634" s="22" t="s">
        <v>7029</v>
      </c>
      <c r="E4634" s="28" t="s">
        <v>7451</v>
      </c>
      <c r="F4634" s="22" t="s">
        <v>7452</v>
      </c>
      <c r="G4634" s="15" t="s">
        <v>13</v>
      </c>
    </row>
    <row r="4635" spans="1:7" ht="12.75" hidden="1" thickBot="1" x14ac:dyDescent="0.3">
      <c r="A4635" s="36" t="s">
        <v>7457</v>
      </c>
      <c r="B4635" s="30" t="s">
        <v>7458</v>
      </c>
      <c r="C4635" s="31">
        <v>1</v>
      </c>
      <c r="D4635" s="4" t="s">
        <v>7029</v>
      </c>
      <c r="E4635" s="32" t="s">
        <v>7459</v>
      </c>
      <c r="F4635" s="4" t="s">
        <v>7460</v>
      </c>
      <c r="G4635" s="33" t="s">
        <v>13</v>
      </c>
    </row>
    <row r="4636" spans="1:7" hidden="1" x14ac:dyDescent="0.25">
      <c r="A4636" s="56" t="s">
        <v>7465</v>
      </c>
      <c r="B4636" s="61" t="s">
        <v>1461</v>
      </c>
      <c r="C4636" s="58">
        <v>1</v>
      </c>
      <c r="D4636" s="17" t="s">
        <v>7029</v>
      </c>
      <c r="E4636" s="89" t="s">
        <v>7466</v>
      </c>
      <c r="F4636" s="17" t="s">
        <v>7467</v>
      </c>
      <c r="G4636" s="62" t="s">
        <v>13</v>
      </c>
    </row>
    <row r="4637" spans="1:7" hidden="1" x14ac:dyDescent="0.25">
      <c r="A4637" s="11" t="s">
        <v>7472</v>
      </c>
      <c r="B4637" s="12" t="s">
        <v>7473</v>
      </c>
      <c r="C4637" s="13">
        <v>1</v>
      </c>
      <c r="D4637" s="22" t="s">
        <v>7029</v>
      </c>
      <c r="E4637" s="28" t="s">
        <v>7474</v>
      </c>
      <c r="F4637" s="22" t="s">
        <v>7475</v>
      </c>
      <c r="G4637" s="15" t="s">
        <v>13</v>
      </c>
    </row>
    <row r="4638" spans="1:7" hidden="1" x14ac:dyDescent="0.25">
      <c r="A4638" s="11" t="s">
        <v>7480</v>
      </c>
      <c r="B4638" s="12" t="s">
        <v>4749</v>
      </c>
      <c r="C4638" s="13">
        <v>1</v>
      </c>
      <c r="D4638" s="22" t="s">
        <v>7029</v>
      </c>
      <c r="E4638" s="28" t="s">
        <v>7481</v>
      </c>
      <c r="F4638" s="22" t="s">
        <v>7482</v>
      </c>
      <c r="G4638" s="15" t="s">
        <v>13</v>
      </c>
    </row>
    <row r="4639" spans="1:7" hidden="1" x14ac:dyDescent="0.25">
      <c r="A4639" s="11" t="s">
        <v>7487</v>
      </c>
      <c r="B4639" s="12" t="s">
        <v>490</v>
      </c>
      <c r="C4639" s="13">
        <v>1</v>
      </c>
      <c r="D4639" s="22" t="s">
        <v>7029</v>
      </c>
      <c r="E4639" s="28" t="s">
        <v>7488</v>
      </c>
      <c r="F4639" s="22" t="s">
        <v>7489</v>
      </c>
      <c r="G4639" s="15" t="s">
        <v>13</v>
      </c>
    </row>
    <row r="4640" spans="1:7" ht="12.75" hidden="1" thickBot="1" x14ac:dyDescent="0.3">
      <c r="A4640" s="36" t="s">
        <v>7494</v>
      </c>
      <c r="B4640" s="30" t="s">
        <v>7495</v>
      </c>
      <c r="C4640" s="31">
        <v>1</v>
      </c>
      <c r="D4640" s="4" t="s">
        <v>7029</v>
      </c>
      <c r="E4640" s="32" t="s">
        <v>7496</v>
      </c>
      <c r="F4640" s="4" t="s">
        <v>7497</v>
      </c>
      <c r="G4640" s="33" t="s">
        <v>13</v>
      </c>
    </row>
    <row r="4641" spans="1:7" hidden="1" x14ac:dyDescent="0.25">
      <c r="A4641" s="56" t="s">
        <v>7502</v>
      </c>
      <c r="B4641" s="61" t="s">
        <v>7503</v>
      </c>
      <c r="C4641" s="58">
        <v>1</v>
      </c>
      <c r="D4641" s="17" t="s">
        <v>7029</v>
      </c>
      <c r="E4641" s="89" t="s">
        <v>7504</v>
      </c>
      <c r="F4641" s="17" t="s">
        <v>7505</v>
      </c>
      <c r="G4641" s="62" t="s">
        <v>13</v>
      </c>
    </row>
    <row r="4642" spans="1:7" hidden="1" x14ac:dyDescent="0.25">
      <c r="A4642" s="11" t="s">
        <v>7510</v>
      </c>
      <c r="B4642" s="12" t="s">
        <v>7511</v>
      </c>
      <c r="C4642" s="13">
        <v>1</v>
      </c>
      <c r="D4642" s="22" t="s">
        <v>7029</v>
      </c>
      <c r="E4642" s="28" t="s">
        <v>7512</v>
      </c>
      <c r="F4642" s="22" t="s">
        <v>7513</v>
      </c>
      <c r="G4642" s="15" t="s">
        <v>13</v>
      </c>
    </row>
    <row r="4643" spans="1:7" hidden="1" x14ac:dyDescent="0.25">
      <c r="A4643" s="11" t="s">
        <v>7518</v>
      </c>
      <c r="B4643" s="12" t="s">
        <v>7519</v>
      </c>
      <c r="C4643" s="13">
        <v>1</v>
      </c>
      <c r="D4643" s="22" t="s">
        <v>7029</v>
      </c>
      <c r="E4643" s="28" t="s">
        <v>7520</v>
      </c>
      <c r="F4643" s="22" t="s">
        <v>7521</v>
      </c>
      <c r="G4643" s="15" t="s">
        <v>13</v>
      </c>
    </row>
    <row r="4644" spans="1:7" hidden="1" x14ac:dyDescent="0.25">
      <c r="A4644" s="11" t="s">
        <v>7526</v>
      </c>
      <c r="B4644" s="12" t="s">
        <v>7527</v>
      </c>
      <c r="C4644" s="13">
        <v>1</v>
      </c>
      <c r="D4644" s="22" t="s">
        <v>7029</v>
      </c>
      <c r="E4644" s="28" t="s">
        <v>7528</v>
      </c>
      <c r="F4644" s="22" t="s">
        <v>7529</v>
      </c>
      <c r="G4644" s="15" t="s">
        <v>13</v>
      </c>
    </row>
    <row r="4645" spans="1:7" ht="12.75" hidden="1" thickBot="1" x14ac:dyDescent="0.3">
      <c r="A4645" s="36" t="s">
        <v>7534</v>
      </c>
      <c r="B4645" s="30" t="s">
        <v>7535</v>
      </c>
      <c r="C4645" s="31">
        <v>1</v>
      </c>
      <c r="D4645" s="4" t="s">
        <v>7029</v>
      </c>
      <c r="E4645" s="32" t="s">
        <v>7536</v>
      </c>
      <c r="F4645" s="4" t="s">
        <v>7537</v>
      </c>
      <c r="G4645" s="33" t="s">
        <v>13</v>
      </c>
    </row>
    <row r="4646" spans="1:7" hidden="1" x14ac:dyDescent="0.25">
      <c r="A4646" s="56" t="s">
        <v>7542</v>
      </c>
      <c r="B4646" s="61" t="s">
        <v>7543</v>
      </c>
      <c r="C4646" s="58">
        <v>1</v>
      </c>
      <c r="D4646" s="17" t="s">
        <v>7029</v>
      </c>
      <c r="E4646" s="89" t="s">
        <v>7544</v>
      </c>
      <c r="F4646" s="17" t="s">
        <v>7545</v>
      </c>
      <c r="G4646" s="62" t="s">
        <v>13</v>
      </c>
    </row>
    <row r="4647" spans="1:7" hidden="1" x14ac:dyDescent="0.25">
      <c r="A4647" s="11" t="s">
        <v>7550</v>
      </c>
      <c r="B4647" s="12" t="s">
        <v>7551</v>
      </c>
      <c r="C4647" s="13">
        <v>1</v>
      </c>
      <c r="D4647" s="22" t="s">
        <v>7029</v>
      </c>
      <c r="E4647" s="28" t="s">
        <v>7552</v>
      </c>
      <c r="F4647" s="22" t="s">
        <v>7553</v>
      </c>
      <c r="G4647" s="15" t="s">
        <v>13</v>
      </c>
    </row>
    <row r="4648" spans="1:7" hidden="1" x14ac:dyDescent="0.25">
      <c r="A4648" s="11" t="s">
        <v>7558</v>
      </c>
      <c r="B4648" s="12" t="s">
        <v>7559</v>
      </c>
      <c r="C4648" s="13">
        <v>1</v>
      </c>
      <c r="D4648" s="22" t="s">
        <v>7029</v>
      </c>
      <c r="E4648" s="28" t="s">
        <v>7560</v>
      </c>
      <c r="F4648" s="22" t="s">
        <v>7561</v>
      </c>
      <c r="G4648" s="15" t="s">
        <v>13</v>
      </c>
    </row>
    <row r="4649" spans="1:7" hidden="1" x14ac:dyDescent="0.25">
      <c r="A4649" s="11" t="s">
        <v>7566</v>
      </c>
      <c r="B4649" s="12" t="s">
        <v>7567</v>
      </c>
      <c r="C4649" s="13">
        <v>1</v>
      </c>
      <c r="D4649" s="22" t="s">
        <v>7029</v>
      </c>
      <c r="E4649" s="28" t="s">
        <v>7568</v>
      </c>
      <c r="F4649" s="22" t="s">
        <v>7569</v>
      </c>
      <c r="G4649" s="15" t="s">
        <v>13</v>
      </c>
    </row>
    <row r="4650" spans="1:7" ht="12.75" hidden="1" thickBot="1" x14ac:dyDescent="0.3">
      <c r="A4650" s="36" t="s">
        <v>7574</v>
      </c>
      <c r="B4650" s="30" t="s">
        <v>7575</v>
      </c>
      <c r="C4650" s="31">
        <v>1</v>
      </c>
      <c r="D4650" s="4" t="s">
        <v>7029</v>
      </c>
      <c r="E4650" s="32" t="s">
        <v>7576</v>
      </c>
      <c r="F4650" s="4" t="s">
        <v>7577</v>
      </c>
      <c r="G4650" s="33" t="s">
        <v>13</v>
      </c>
    </row>
    <row r="4651" spans="1:7" hidden="1" x14ac:dyDescent="0.25">
      <c r="A4651" s="56" t="s">
        <v>7582</v>
      </c>
      <c r="B4651" s="61" t="s">
        <v>1360</v>
      </c>
      <c r="C4651" s="58">
        <v>1</v>
      </c>
      <c r="D4651" s="17" t="s">
        <v>7029</v>
      </c>
      <c r="E4651" s="89" t="s">
        <v>7583</v>
      </c>
      <c r="F4651" s="17" t="s">
        <v>7584</v>
      </c>
      <c r="G4651" s="62" t="s">
        <v>13</v>
      </c>
    </row>
    <row r="4652" spans="1:7" hidden="1" x14ac:dyDescent="0.25">
      <c r="A4652" s="11" t="s">
        <v>7589</v>
      </c>
      <c r="B4652" s="12" t="s">
        <v>1445</v>
      </c>
      <c r="C4652" s="13">
        <v>1</v>
      </c>
      <c r="D4652" s="22" t="s">
        <v>7029</v>
      </c>
      <c r="E4652" s="28" t="s">
        <v>7590</v>
      </c>
      <c r="F4652" s="22" t="s">
        <v>7591</v>
      </c>
      <c r="G4652" s="15" t="s">
        <v>13</v>
      </c>
    </row>
    <row r="4653" spans="1:7" hidden="1" x14ac:dyDescent="0.25">
      <c r="A4653" s="11" t="s">
        <v>7596</v>
      </c>
      <c r="B4653" s="12" t="s">
        <v>7597</v>
      </c>
      <c r="C4653" s="13">
        <v>1</v>
      </c>
      <c r="D4653" s="22" t="s">
        <v>7029</v>
      </c>
      <c r="E4653" s="28" t="s">
        <v>7598</v>
      </c>
      <c r="F4653" s="22" t="s">
        <v>7599</v>
      </c>
      <c r="G4653" s="15" t="s">
        <v>13</v>
      </c>
    </row>
    <row r="4654" spans="1:7" hidden="1" x14ac:dyDescent="0.25">
      <c r="A4654" s="11" t="s">
        <v>7604</v>
      </c>
      <c r="B4654" s="12" t="s">
        <v>7605</v>
      </c>
      <c r="C4654" s="13">
        <v>1</v>
      </c>
      <c r="D4654" s="22" t="s">
        <v>7029</v>
      </c>
      <c r="E4654" s="28" t="s">
        <v>7606</v>
      </c>
      <c r="F4654" s="22" t="s">
        <v>7607</v>
      </c>
      <c r="G4654" s="15" t="s">
        <v>13</v>
      </c>
    </row>
    <row r="4655" spans="1:7" ht="12.75" hidden="1" thickBot="1" x14ac:dyDescent="0.3">
      <c r="A4655" s="36" t="s">
        <v>7612</v>
      </c>
      <c r="B4655" s="30" t="s">
        <v>7613</v>
      </c>
      <c r="C4655" s="31">
        <v>1</v>
      </c>
      <c r="D4655" s="4" t="s">
        <v>7029</v>
      </c>
      <c r="E4655" s="32" t="s">
        <v>7614</v>
      </c>
      <c r="F4655" s="4" t="s">
        <v>7615</v>
      </c>
      <c r="G4655" s="33" t="s">
        <v>13</v>
      </c>
    </row>
    <row r="4656" spans="1:7" hidden="1" x14ac:dyDescent="0.25">
      <c r="A4656" s="56" t="s">
        <v>7620</v>
      </c>
      <c r="B4656" s="61" t="s">
        <v>7621</v>
      </c>
      <c r="C4656" s="58">
        <v>1</v>
      </c>
      <c r="D4656" s="17" t="s">
        <v>7029</v>
      </c>
      <c r="E4656" s="89" t="s">
        <v>7622</v>
      </c>
      <c r="F4656" s="17" t="s">
        <v>7623</v>
      </c>
      <c r="G4656" s="62" t="s">
        <v>13</v>
      </c>
    </row>
    <row r="4657" spans="1:7" hidden="1" x14ac:dyDescent="0.25">
      <c r="A4657" s="11" t="s">
        <v>7628</v>
      </c>
      <c r="B4657" s="12" t="s">
        <v>7629</v>
      </c>
      <c r="C4657" s="13">
        <v>1</v>
      </c>
      <c r="D4657" s="22" t="s">
        <v>7029</v>
      </c>
      <c r="E4657" s="28" t="s">
        <v>7630</v>
      </c>
      <c r="F4657" s="22" t="s">
        <v>7631</v>
      </c>
      <c r="G4657" s="15" t="s">
        <v>13</v>
      </c>
    </row>
    <row r="4658" spans="1:7" hidden="1" x14ac:dyDescent="0.25">
      <c r="A4658" s="11" t="s">
        <v>7636</v>
      </c>
      <c r="B4658" s="12" t="s">
        <v>7637</v>
      </c>
      <c r="C4658" s="13">
        <v>1</v>
      </c>
      <c r="D4658" s="22" t="s">
        <v>7029</v>
      </c>
      <c r="E4658" s="28" t="s">
        <v>7638</v>
      </c>
      <c r="F4658" s="12" t="s">
        <v>7639</v>
      </c>
      <c r="G4658" s="15" t="s">
        <v>13</v>
      </c>
    </row>
    <row r="4659" spans="1:7" hidden="1" x14ac:dyDescent="0.25">
      <c r="A4659" s="11" t="s">
        <v>7644</v>
      </c>
      <c r="B4659" s="12" t="s">
        <v>7645</v>
      </c>
      <c r="C4659" s="13">
        <v>1</v>
      </c>
      <c r="D4659" s="22" t="s">
        <v>7029</v>
      </c>
      <c r="E4659" s="28" t="s">
        <v>7646</v>
      </c>
      <c r="F4659" s="22" t="s">
        <v>7647</v>
      </c>
      <c r="G4659" s="15" t="s">
        <v>13</v>
      </c>
    </row>
    <row r="4660" spans="1:7" ht="12.75" hidden="1" thickBot="1" x14ac:dyDescent="0.3">
      <c r="A4660" s="36" t="s">
        <v>7652</v>
      </c>
      <c r="B4660" s="30" t="s">
        <v>7653</v>
      </c>
      <c r="C4660" s="31">
        <v>1</v>
      </c>
      <c r="D4660" s="4" t="s">
        <v>7029</v>
      </c>
      <c r="E4660" s="32" t="s">
        <v>7654</v>
      </c>
      <c r="F4660" s="4" t="s">
        <v>7655</v>
      </c>
      <c r="G4660" s="33" t="s">
        <v>13</v>
      </c>
    </row>
    <row r="4661" spans="1:7" hidden="1" x14ac:dyDescent="0.25">
      <c r="A4661" s="56" t="s">
        <v>7660</v>
      </c>
      <c r="B4661" s="61" t="s">
        <v>7661</v>
      </c>
      <c r="C4661" s="58">
        <v>1</v>
      </c>
      <c r="D4661" s="17" t="s">
        <v>7029</v>
      </c>
      <c r="E4661" s="89" t="s">
        <v>7662</v>
      </c>
      <c r="F4661" s="17" t="s">
        <v>7663</v>
      </c>
      <c r="G4661" s="62" t="s">
        <v>13</v>
      </c>
    </row>
    <row r="4662" spans="1:7" hidden="1" x14ac:dyDescent="0.25">
      <c r="A4662" s="11" t="s">
        <v>7668</v>
      </c>
      <c r="B4662" s="12" t="s">
        <v>7669</v>
      </c>
      <c r="C4662" s="13">
        <v>1</v>
      </c>
      <c r="D4662" s="22" t="s">
        <v>7029</v>
      </c>
      <c r="E4662" s="28" t="s">
        <v>7670</v>
      </c>
      <c r="F4662" s="22" t="s">
        <v>7671</v>
      </c>
      <c r="G4662" s="15" t="s">
        <v>13</v>
      </c>
    </row>
    <row r="4663" spans="1:7" hidden="1" x14ac:dyDescent="0.25">
      <c r="A4663" s="11" t="s">
        <v>7676</v>
      </c>
      <c r="B4663" s="12" t="s">
        <v>1165</v>
      </c>
      <c r="C4663" s="13">
        <v>1</v>
      </c>
      <c r="D4663" s="22" t="s">
        <v>7029</v>
      </c>
      <c r="E4663" s="28" t="s">
        <v>7677</v>
      </c>
      <c r="F4663" s="22" t="s">
        <v>7678</v>
      </c>
      <c r="G4663" s="15" t="s">
        <v>13</v>
      </c>
    </row>
    <row r="4664" spans="1:7" hidden="1" x14ac:dyDescent="0.25">
      <c r="A4664" s="11" t="s">
        <v>7683</v>
      </c>
      <c r="B4664" s="12" t="s">
        <v>7684</v>
      </c>
      <c r="C4664" s="13">
        <v>1</v>
      </c>
      <c r="D4664" s="22" t="s">
        <v>7029</v>
      </c>
      <c r="E4664" s="28" t="s">
        <v>7685</v>
      </c>
      <c r="F4664" s="22" t="s">
        <v>7686</v>
      </c>
      <c r="G4664" s="15" t="s">
        <v>13</v>
      </c>
    </row>
    <row r="4665" spans="1:7" ht="12.75" hidden="1" thickBot="1" x14ac:dyDescent="0.3">
      <c r="A4665" s="36" t="s">
        <v>7691</v>
      </c>
      <c r="B4665" s="30" t="s">
        <v>5347</v>
      </c>
      <c r="C4665" s="31">
        <v>1</v>
      </c>
      <c r="D4665" s="4" t="s">
        <v>7029</v>
      </c>
      <c r="E4665" s="32" t="s">
        <v>7692</v>
      </c>
      <c r="F4665" s="4" t="s">
        <v>7693</v>
      </c>
      <c r="G4665" s="33" t="s">
        <v>13</v>
      </c>
    </row>
    <row r="4666" spans="1:7" hidden="1" x14ac:dyDescent="0.25">
      <c r="A4666" s="56" t="s">
        <v>7698</v>
      </c>
      <c r="B4666" s="61" t="s">
        <v>7699</v>
      </c>
      <c r="C4666" s="58">
        <v>1</v>
      </c>
      <c r="D4666" s="17" t="s">
        <v>7029</v>
      </c>
      <c r="E4666" s="89" t="s">
        <v>7700</v>
      </c>
      <c r="F4666" s="17" t="s">
        <v>7701</v>
      </c>
      <c r="G4666" s="62" t="s">
        <v>13</v>
      </c>
    </row>
    <row r="4667" spans="1:7" hidden="1" x14ac:dyDescent="0.25">
      <c r="A4667" s="11" t="s">
        <v>7706</v>
      </c>
      <c r="B4667" s="12" t="s">
        <v>2289</v>
      </c>
      <c r="C4667" s="13">
        <v>1</v>
      </c>
      <c r="D4667" s="22" t="s">
        <v>7029</v>
      </c>
      <c r="E4667" s="28" t="s">
        <v>7707</v>
      </c>
      <c r="F4667" s="22" t="s">
        <v>7708</v>
      </c>
      <c r="G4667" s="15" t="s">
        <v>13</v>
      </c>
    </row>
    <row r="4668" spans="1:7" hidden="1" x14ac:dyDescent="0.25">
      <c r="A4668" s="11" t="s">
        <v>7713</v>
      </c>
      <c r="B4668" s="12" t="s">
        <v>7714</v>
      </c>
      <c r="C4668" s="13">
        <v>1</v>
      </c>
      <c r="D4668" s="22" t="s">
        <v>7029</v>
      </c>
      <c r="E4668" s="28" t="s">
        <v>7715</v>
      </c>
      <c r="F4668" s="22" t="s">
        <v>7716</v>
      </c>
      <c r="G4668" s="15" t="s">
        <v>13</v>
      </c>
    </row>
    <row r="4669" spans="1:7" hidden="1" x14ac:dyDescent="0.25">
      <c r="A4669" s="11" t="s">
        <v>7721</v>
      </c>
      <c r="B4669" s="12" t="s">
        <v>5435</v>
      </c>
      <c r="C4669" s="13">
        <v>1</v>
      </c>
      <c r="D4669" s="22" t="s">
        <v>7029</v>
      </c>
      <c r="E4669" s="28" t="s">
        <v>7722</v>
      </c>
      <c r="F4669" s="22" t="s">
        <v>7723</v>
      </c>
      <c r="G4669" s="15" t="s">
        <v>13</v>
      </c>
    </row>
    <row r="4670" spans="1:7" ht="12.75" hidden="1" thickBot="1" x14ac:dyDescent="0.3">
      <c r="A4670" s="36" t="s">
        <v>7728</v>
      </c>
      <c r="B4670" s="30" t="s">
        <v>6703</v>
      </c>
      <c r="C4670" s="31">
        <v>1</v>
      </c>
      <c r="D4670" s="4" t="s">
        <v>7029</v>
      </c>
      <c r="E4670" s="32" t="s">
        <v>7729</v>
      </c>
      <c r="F4670" s="4" t="s">
        <v>7730</v>
      </c>
      <c r="G4670" s="33" t="s">
        <v>13</v>
      </c>
    </row>
    <row r="4671" spans="1:7" hidden="1" x14ac:dyDescent="0.25">
      <c r="A4671" s="56" t="s">
        <v>7735</v>
      </c>
      <c r="B4671" s="61" t="s">
        <v>6705</v>
      </c>
      <c r="C4671" s="58">
        <v>1</v>
      </c>
      <c r="D4671" s="17" t="s">
        <v>7029</v>
      </c>
      <c r="E4671" s="89" t="s">
        <v>7736</v>
      </c>
      <c r="F4671" s="17" t="s">
        <v>7737</v>
      </c>
      <c r="G4671" s="62" t="s">
        <v>13</v>
      </c>
    </row>
    <row r="4672" spans="1:7" hidden="1" x14ac:dyDescent="0.25">
      <c r="A4672" s="11" t="s">
        <v>7742</v>
      </c>
      <c r="B4672" s="12" t="s">
        <v>7743</v>
      </c>
      <c r="C4672" s="13">
        <v>1</v>
      </c>
      <c r="D4672" s="22" t="s">
        <v>7029</v>
      </c>
      <c r="E4672" s="28" t="s">
        <v>7744</v>
      </c>
      <c r="F4672" s="22" t="s">
        <v>7745</v>
      </c>
      <c r="G4672" s="15" t="s">
        <v>13</v>
      </c>
    </row>
    <row r="4673" spans="1:7" hidden="1" x14ac:dyDescent="0.25">
      <c r="A4673" s="11" t="s">
        <v>7750</v>
      </c>
      <c r="B4673" s="12" t="s">
        <v>6709</v>
      </c>
      <c r="C4673" s="13">
        <v>1</v>
      </c>
      <c r="D4673" s="22" t="s">
        <v>7029</v>
      </c>
      <c r="E4673" s="28" t="s">
        <v>7751</v>
      </c>
      <c r="F4673" s="22" t="s">
        <v>7752</v>
      </c>
      <c r="G4673" s="15" t="s">
        <v>13</v>
      </c>
    </row>
    <row r="4674" spans="1:7" hidden="1" x14ac:dyDescent="0.25">
      <c r="A4674" s="11" t="s">
        <v>7757</v>
      </c>
      <c r="B4674" s="12" t="s">
        <v>6715</v>
      </c>
      <c r="C4674" s="13">
        <v>1</v>
      </c>
      <c r="D4674" s="22" t="s">
        <v>7029</v>
      </c>
      <c r="E4674" s="28" t="s">
        <v>7758</v>
      </c>
      <c r="F4674" s="22" t="s">
        <v>7759</v>
      </c>
      <c r="G4674" s="15" t="s">
        <v>13</v>
      </c>
    </row>
    <row r="4675" spans="1:7" ht="12.75" hidden="1" thickBot="1" x14ac:dyDescent="0.3">
      <c r="A4675" s="36" t="s">
        <v>7764</v>
      </c>
      <c r="B4675" s="30" t="s">
        <v>7765</v>
      </c>
      <c r="C4675" s="31">
        <v>1</v>
      </c>
      <c r="D4675" s="4" t="s">
        <v>7029</v>
      </c>
      <c r="E4675" s="32" t="s">
        <v>7766</v>
      </c>
      <c r="F4675" s="4" t="s">
        <v>7767</v>
      </c>
      <c r="G4675" s="33" t="s">
        <v>13</v>
      </c>
    </row>
    <row r="4676" spans="1:7" hidden="1" x14ac:dyDescent="0.25">
      <c r="A4676" s="56" t="s">
        <v>7772</v>
      </c>
      <c r="B4676" s="61" t="s">
        <v>7773</v>
      </c>
      <c r="C4676" s="58">
        <v>1</v>
      </c>
      <c r="D4676" s="17" t="s">
        <v>7029</v>
      </c>
      <c r="E4676" s="89" t="s">
        <v>7774</v>
      </c>
      <c r="F4676" s="17" t="s">
        <v>7775</v>
      </c>
      <c r="G4676" s="62" t="s">
        <v>13</v>
      </c>
    </row>
    <row r="4677" spans="1:7" hidden="1" x14ac:dyDescent="0.25">
      <c r="A4677" s="11" t="s">
        <v>7780</v>
      </c>
      <c r="B4677" s="12" t="s">
        <v>7781</v>
      </c>
      <c r="C4677" s="13">
        <v>1</v>
      </c>
      <c r="D4677" s="22" t="s">
        <v>7029</v>
      </c>
      <c r="E4677" s="28" t="s">
        <v>7782</v>
      </c>
      <c r="F4677" s="22" t="s">
        <v>7783</v>
      </c>
      <c r="G4677" s="15" t="s">
        <v>13</v>
      </c>
    </row>
    <row r="4678" spans="1:7" hidden="1" x14ac:dyDescent="0.25">
      <c r="A4678" s="11" t="s">
        <v>7788</v>
      </c>
      <c r="B4678" s="12" t="s">
        <v>1490</v>
      </c>
      <c r="C4678" s="13">
        <v>1</v>
      </c>
      <c r="D4678" s="22" t="s">
        <v>7029</v>
      </c>
      <c r="E4678" s="28" t="s">
        <v>7789</v>
      </c>
      <c r="F4678" s="22" t="s">
        <v>7790</v>
      </c>
      <c r="G4678" s="15" t="s">
        <v>13</v>
      </c>
    </row>
    <row r="4679" spans="1:7" hidden="1" x14ac:dyDescent="0.25">
      <c r="A4679" s="11" t="s">
        <v>7795</v>
      </c>
      <c r="B4679" s="12" t="s">
        <v>7796</v>
      </c>
      <c r="C4679" s="13">
        <v>1</v>
      </c>
      <c r="D4679" s="22" t="s">
        <v>7029</v>
      </c>
      <c r="E4679" s="28" t="s">
        <v>7797</v>
      </c>
      <c r="F4679" s="22" t="s">
        <v>7798</v>
      </c>
      <c r="G4679" s="15" t="s">
        <v>13</v>
      </c>
    </row>
    <row r="4680" spans="1:7" ht="12.75" hidden="1" thickBot="1" x14ac:dyDescent="0.3">
      <c r="A4680" s="36" t="s">
        <v>7803</v>
      </c>
      <c r="B4680" s="30" t="s">
        <v>7804</v>
      </c>
      <c r="C4680" s="31">
        <v>1</v>
      </c>
      <c r="D4680" s="4" t="s">
        <v>7029</v>
      </c>
      <c r="E4680" s="32" t="s">
        <v>7805</v>
      </c>
      <c r="F4680" s="4" t="s">
        <v>7806</v>
      </c>
      <c r="G4680" s="33" t="s">
        <v>13</v>
      </c>
    </row>
    <row r="4681" spans="1:7" hidden="1" x14ac:dyDescent="0.25">
      <c r="A4681" s="56" t="s">
        <v>7811</v>
      </c>
      <c r="B4681" s="61" t="s">
        <v>7812</v>
      </c>
      <c r="C4681" s="58">
        <v>1</v>
      </c>
      <c r="D4681" s="17" t="s">
        <v>7029</v>
      </c>
      <c r="E4681" s="89" t="s">
        <v>7813</v>
      </c>
      <c r="F4681" s="17" t="s">
        <v>7814</v>
      </c>
      <c r="G4681" s="62" t="s">
        <v>13</v>
      </c>
    </row>
    <row r="4682" spans="1:7" hidden="1" x14ac:dyDescent="0.25">
      <c r="A4682" s="11" t="s">
        <v>7819</v>
      </c>
      <c r="B4682" s="12" t="s">
        <v>7820</v>
      </c>
      <c r="C4682" s="13">
        <v>1</v>
      </c>
      <c r="D4682" s="22" t="s">
        <v>7029</v>
      </c>
      <c r="E4682" s="28" t="s">
        <v>7821</v>
      </c>
      <c r="F4682" s="22" t="s">
        <v>7822</v>
      </c>
      <c r="G4682" s="15" t="s">
        <v>13</v>
      </c>
    </row>
    <row r="4683" spans="1:7" hidden="1" x14ac:dyDescent="0.25">
      <c r="A4683" s="11" t="s">
        <v>7827</v>
      </c>
      <c r="B4683" s="12" t="s">
        <v>7828</v>
      </c>
      <c r="C4683" s="13">
        <v>1</v>
      </c>
      <c r="D4683" s="22" t="s">
        <v>7029</v>
      </c>
      <c r="E4683" s="28" t="s">
        <v>7829</v>
      </c>
      <c r="F4683" s="22" t="s">
        <v>7830</v>
      </c>
      <c r="G4683" s="15" t="s">
        <v>13</v>
      </c>
    </row>
    <row r="4684" spans="1:7" hidden="1" x14ac:dyDescent="0.25">
      <c r="A4684" s="11" t="s">
        <v>7835</v>
      </c>
      <c r="B4684" s="12" t="s">
        <v>7836</v>
      </c>
      <c r="C4684" s="13">
        <v>1</v>
      </c>
      <c r="D4684" s="22" t="s">
        <v>7029</v>
      </c>
      <c r="E4684" s="28" t="s">
        <v>7837</v>
      </c>
      <c r="F4684" s="22" t="s">
        <v>7838</v>
      </c>
      <c r="G4684" s="15" t="s">
        <v>13</v>
      </c>
    </row>
    <row r="4685" spans="1:7" ht="12.75" hidden="1" thickBot="1" x14ac:dyDescent="0.3">
      <c r="A4685" s="36" t="s">
        <v>7843</v>
      </c>
      <c r="B4685" s="30" t="s">
        <v>7844</v>
      </c>
      <c r="C4685" s="31">
        <v>1</v>
      </c>
      <c r="D4685" s="4" t="s">
        <v>7029</v>
      </c>
      <c r="E4685" s="32" t="s">
        <v>7845</v>
      </c>
      <c r="F4685" s="4" t="s">
        <v>7846</v>
      </c>
      <c r="G4685" s="33" t="s">
        <v>13</v>
      </c>
    </row>
    <row r="4686" spans="1:7" hidden="1" x14ac:dyDescent="0.25">
      <c r="A4686" s="56" t="s">
        <v>7851</v>
      </c>
      <c r="B4686" s="61" t="s">
        <v>7852</v>
      </c>
      <c r="C4686" s="58">
        <v>1</v>
      </c>
      <c r="D4686" s="17" t="s">
        <v>7029</v>
      </c>
      <c r="E4686" s="89" t="s">
        <v>7853</v>
      </c>
      <c r="F4686" s="17" t="s">
        <v>7854</v>
      </c>
      <c r="G4686" s="62" t="s">
        <v>13</v>
      </c>
    </row>
    <row r="4687" spans="1:7" hidden="1" x14ac:dyDescent="0.25">
      <c r="A4687" s="11" t="s">
        <v>7859</v>
      </c>
      <c r="B4687" s="12" t="s">
        <v>7860</v>
      </c>
      <c r="C4687" s="13">
        <v>1</v>
      </c>
      <c r="D4687" s="22" t="s">
        <v>7029</v>
      </c>
      <c r="E4687" s="28" t="s">
        <v>7861</v>
      </c>
      <c r="F4687" s="22" t="s">
        <v>7862</v>
      </c>
      <c r="G4687" s="15" t="s">
        <v>13</v>
      </c>
    </row>
    <row r="4688" spans="1:7" hidden="1" x14ac:dyDescent="0.25">
      <c r="A4688" s="11" t="s">
        <v>7867</v>
      </c>
      <c r="B4688" s="12" t="s">
        <v>7868</v>
      </c>
      <c r="C4688" s="13">
        <v>1</v>
      </c>
      <c r="D4688" s="22" t="s">
        <v>7029</v>
      </c>
      <c r="E4688" s="28" t="s">
        <v>7869</v>
      </c>
      <c r="F4688" s="22" t="s">
        <v>7870</v>
      </c>
      <c r="G4688" s="15" t="s">
        <v>13</v>
      </c>
    </row>
    <row r="4689" spans="1:7" hidden="1" x14ac:dyDescent="0.25">
      <c r="A4689" s="11" t="s">
        <v>7875</v>
      </c>
      <c r="B4689" s="12" t="s">
        <v>7876</v>
      </c>
      <c r="C4689" s="13">
        <v>1</v>
      </c>
      <c r="D4689" s="22" t="s">
        <v>7029</v>
      </c>
      <c r="E4689" s="28" t="s">
        <v>7877</v>
      </c>
      <c r="F4689" s="22" t="s">
        <v>7878</v>
      </c>
      <c r="G4689" s="15" t="s">
        <v>13</v>
      </c>
    </row>
    <row r="4690" spans="1:7" ht="12.75" hidden="1" thickBot="1" x14ac:dyDescent="0.3">
      <c r="A4690" s="36" t="s">
        <v>7883</v>
      </c>
      <c r="B4690" s="30" t="s">
        <v>7884</v>
      </c>
      <c r="C4690" s="31">
        <v>1</v>
      </c>
      <c r="D4690" s="4" t="s">
        <v>7029</v>
      </c>
      <c r="E4690" s="32" t="s">
        <v>7885</v>
      </c>
      <c r="F4690" s="4" t="s">
        <v>7886</v>
      </c>
      <c r="G4690" s="33" t="s">
        <v>13</v>
      </c>
    </row>
    <row r="4691" spans="1:7" hidden="1" x14ac:dyDescent="0.25">
      <c r="A4691" s="56" t="s">
        <v>7891</v>
      </c>
      <c r="B4691" s="61" t="s">
        <v>7892</v>
      </c>
      <c r="C4691" s="58">
        <v>1</v>
      </c>
      <c r="D4691" s="17" t="s">
        <v>7029</v>
      </c>
      <c r="E4691" s="89" t="s">
        <v>7893</v>
      </c>
      <c r="F4691" s="17" t="s">
        <v>7894</v>
      </c>
      <c r="G4691" s="62" t="s">
        <v>13</v>
      </c>
    </row>
    <row r="4692" spans="1:7" hidden="1" x14ac:dyDescent="0.25">
      <c r="A4692" s="11" t="s">
        <v>7899</v>
      </c>
      <c r="B4692" s="12" t="s">
        <v>1373</v>
      </c>
      <c r="C4692" s="13">
        <v>1</v>
      </c>
      <c r="D4692" s="22" t="s">
        <v>7029</v>
      </c>
      <c r="E4692" s="28" t="s">
        <v>7900</v>
      </c>
      <c r="F4692" s="22" t="s">
        <v>7901</v>
      </c>
      <c r="G4692" s="15" t="s">
        <v>13</v>
      </c>
    </row>
    <row r="4693" spans="1:7" hidden="1" x14ac:dyDescent="0.25">
      <c r="A4693" s="11" t="s">
        <v>7906</v>
      </c>
      <c r="B4693" s="12" t="s">
        <v>1373</v>
      </c>
      <c r="C4693" s="13">
        <v>1</v>
      </c>
      <c r="D4693" s="22" t="s">
        <v>7029</v>
      </c>
      <c r="E4693" s="28" t="s">
        <v>7907</v>
      </c>
      <c r="F4693" s="22" t="s">
        <v>7908</v>
      </c>
      <c r="G4693" s="15" t="s">
        <v>13</v>
      </c>
    </row>
    <row r="4694" spans="1:7" hidden="1" x14ac:dyDescent="0.25">
      <c r="A4694" s="11" t="s">
        <v>1534</v>
      </c>
      <c r="B4694" s="12" t="s">
        <v>1535</v>
      </c>
      <c r="C4694" s="13">
        <v>10</v>
      </c>
      <c r="D4694" s="12" t="s">
        <v>1553</v>
      </c>
      <c r="E4694" s="28" t="s">
        <v>1537</v>
      </c>
      <c r="F4694" s="12" t="s">
        <v>1554</v>
      </c>
      <c r="G4694" s="15" t="s">
        <v>13</v>
      </c>
    </row>
    <row r="4695" spans="1:7" ht="12.75" hidden="1" thickBot="1" x14ac:dyDescent="0.25">
      <c r="A4695" s="36" t="s">
        <v>6826</v>
      </c>
      <c r="B4695" s="30" t="s">
        <v>6827</v>
      </c>
      <c r="C4695" s="31">
        <v>3</v>
      </c>
      <c r="D4695" s="6" t="s">
        <v>6831</v>
      </c>
      <c r="E4695" s="32" t="s">
        <v>6828</v>
      </c>
      <c r="F4695" s="4" t="s">
        <v>6832</v>
      </c>
      <c r="G4695" s="33" t="s">
        <v>78</v>
      </c>
    </row>
    <row r="4696" spans="1:7" hidden="1" x14ac:dyDescent="0.2">
      <c r="A4696" s="56" t="s">
        <v>4701</v>
      </c>
      <c r="B4696" s="61" t="s">
        <v>2737</v>
      </c>
      <c r="C4696" s="58">
        <v>2</v>
      </c>
      <c r="D4696" s="203" t="s">
        <v>4704</v>
      </c>
      <c r="E4696" s="137" t="s">
        <v>4702</v>
      </c>
      <c r="F4696" s="128" t="s">
        <v>4705</v>
      </c>
      <c r="G4696" s="129" t="s">
        <v>13</v>
      </c>
    </row>
    <row r="4697" spans="1:7" hidden="1" x14ac:dyDescent="0.25">
      <c r="A4697" s="146" t="s">
        <v>4926</v>
      </c>
      <c r="B4697" s="12" t="s">
        <v>4927</v>
      </c>
      <c r="C4697" s="13">
        <v>17</v>
      </c>
      <c r="D4697" s="12" t="s">
        <v>4958</v>
      </c>
      <c r="E4697" s="28" t="s">
        <v>4928</v>
      </c>
      <c r="F4697" s="8" t="s">
        <v>4959</v>
      </c>
      <c r="G4697" s="80" t="s">
        <v>32</v>
      </c>
    </row>
    <row r="4698" spans="1:7" hidden="1" x14ac:dyDescent="0.25">
      <c r="A4698" s="146" t="s">
        <v>4926</v>
      </c>
      <c r="B4698" s="12" t="s">
        <v>4927</v>
      </c>
      <c r="C4698" s="13">
        <v>16</v>
      </c>
      <c r="D4698" s="12" t="s">
        <v>4956</v>
      </c>
      <c r="E4698" s="28" t="s">
        <v>4928</v>
      </c>
      <c r="F4698" s="8" t="s">
        <v>4957</v>
      </c>
      <c r="G4698" s="80" t="s">
        <v>32</v>
      </c>
    </row>
    <row r="4699" spans="1:7" hidden="1" x14ac:dyDescent="0.25">
      <c r="A4699" s="11" t="s">
        <v>1313</v>
      </c>
      <c r="B4699" s="12" t="s">
        <v>1314</v>
      </c>
      <c r="C4699" s="13">
        <v>10</v>
      </c>
      <c r="D4699" s="12" t="s">
        <v>1332</v>
      </c>
      <c r="E4699" s="28" t="s">
        <v>1315</v>
      </c>
      <c r="F4699" s="12" t="s">
        <v>1333</v>
      </c>
      <c r="G4699" s="15" t="s">
        <v>32</v>
      </c>
    </row>
    <row r="4700" spans="1:7" ht="12.75" hidden="1" thickBot="1" x14ac:dyDescent="0.25">
      <c r="A4700" s="36" t="s">
        <v>5439</v>
      </c>
      <c r="B4700" s="30" t="s">
        <v>5440</v>
      </c>
      <c r="C4700" s="31">
        <v>2</v>
      </c>
      <c r="D4700" s="4" t="s">
        <v>5443</v>
      </c>
      <c r="E4700" s="32" t="s">
        <v>5441</v>
      </c>
      <c r="F4700" s="64" t="s">
        <v>5444</v>
      </c>
      <c r="G4700" s="33" t="s">
        <v>13</v>
      </c>
    </row>
    <row r="4701" spans="1:7" hidden="1" x14ac:dyDescent="0.2">
      <c r="A4701" s="56" t="s">
        <v>5453</v>
      </c>
      <c r="B4701" s="61" t="s">
        <v>5454</v>
      </c>
      <c r="C4701" s="58">
        <v>3</v>
      </c>
      <c r="D4701" s="17" t="s">
        <v>5443</v>
      </c>
      <c r="E4701" s="89" t="s">
        <v>5456</v>
      </c>
      <c r="F4701" s="128" t="s">
        <v>5461</v>
      </c>
      <c r="G4701" s="62" t="s">
        <v>13</v>
      </c>
    </row>
    <row r="4702" spans="1:7" hidden="1" x14ac:dyDescent="0.25">
      <c r="A4702" s="146" t="s">
        <v>4870</v>
      </c>
      <c r="B4702" s="12" t="s">
        <v>4871</v>
      </c>
      <c r="C4702" s="13">
        <v>6</v>
      </c>
      <c r="D4702" s="12" t="s">
        <v>4879</v>
      </c>
      <c r="E4702" s="28" t="s">
        <v>4872</v>
      </c>
      <c r="F4702" s="8" t="s">
        <v>4880</v>
      </c>
      <c r="G4702" s="80" t="s">
        <v>13</v>
      </c>
    </row>
    <row r="4703" spans="1:7" hidden="1" x14ac:dyDescent="0.25">
      <c r="A4703" s="146" t="s">
        <v>4870</v>
      </c>
      <c r="B4703" s="12" t="s">
        <v>4871</v>
      </c>
      <c r="C4703" s="13">
        <v>5</v>
      </c>
      <c r="D4703" s="12" t="s">
        <v>4877</v>
      </c>
      <c r="E4703" s="28" t="s">
        <v>4872</v>
      </c>
      <c r="F4703" s="8" t="s">
        <v>4878</v>
      </c>
      <c r="G4703" s="80" t="s">
        <v>13</v>
      </c>
    </row>
    <row r="4704" spans="1:7" hidden="1" x14ac:dyDescent="0.2">
      <c r="A4704" s="11" t="s">
        <v>5469</v>
      </c>
      <c r="B4704" s="12" t="s">
        <v>5470</v>
      </c>
      <c r="C4704" s="13">
        <v>3</v>
      </c>
      <c r="D4704" s="166" t="s">
        <v>5475</v>
      </c>
      <c r="E4704" s="25" t="s">
        <v>5471</v>
      </c>
      <c r="F4704" s="75" t="s">
        <v>5476</v>
      </c>
      <c r="G4704" s="26" t="s">
        <v>13</v>
      </c>
    </row>
    <row r="4705" spans="1:9" ht="12.75" hidden="1" thickBot="1" x14ac:dyDescent="0.3">
      <c r="A4705" s="36" t="s">
        <v>5395</v>
      </c>
      <c r="B4705" s="30" t="s">
        <v>5396</v>
      </c>
      <c r="C4705" s="31">
        <v>3</v>
      </c>
      <c r="D4705" s="4" t="s">
        <v>5401</v>
      </c>
      <c r="E4705" s="32" t="s">
        <v>5397</v>
      </c>
      <c r="F4705" s="4" t="s">
        <v>5402</v>
      </c>
      <c r="G4705" s="33" t="s">
        <v>13</v>
      </c>
    </row>
    <row r="4706" spans="1:9" hidden="1" x14ac:dyDescent="0.25">
      <c r="A4706" s="56" t="s">
        <v>7913</v>
      </c>
      <c r="B4706" s="61" t="s">
        <v>4003</v>
      </c>
      <c r="C4706" s="58">
        <v>1</v>
      </c>
      <c r="D4706" s="17" t="s">
        <v>7914</v>
      </c>
      <c r="E4706" s="89" t="s">
        <v>7915</v>
      </c>
      <c r="F4706" s="17" t="s">
        <v>7916</v>
      </c>
      <c r="G4706" s="62" t="s">
        <v>13</v>
      </c>
    </row>
    <row r="4707" spans="1:9" hidden="1" x14ac:dyDescent="0.25">
      <c r="A4707" s="11" t="s">
        <v>7922</v>
      </c>
      <c r="B4707" s="12" t="s">
        <v>3445</v>
      </c>
      <c r="C4707" s="13">
        <v>1</v>
      </c>
      <c r="D4707" s="22" t="s">
        <v>7914</v>
      </c>
      <c r="E4707" s="28" t="s">
        <v>7923</v>
      </c>
      <c r="F4707" s="22" t="s">
        <v>7924</v>
      </c>
      <c r="G4707" s="15" t="s">
        <v>13</v>
      </c>
    </row>
    <row r="4708" spans="1:9" hidden="1" x14ac:dyDescent="0.25">
      <c r="A4708" s="11" t="s">
        <v>7929</v>
      </c>
      <c r="B4708" s="12" t="s">
        <v>4001</v>
      </c>
      <c r="C4708" s="13">
        <v>1</v>
      </c>
      <c r="D4708" s="22" t="s">
        <v>7914</v>
      </c>
      <c r="E4708" s="28" t="s">
        <v>7930</v>
      </c>
      <c r="F4708" s="22" t="s">
        <v>7931</v>
      </c>
      <c r="G4708" s="15" t="s">
        <v>13</v>
      </c>
    </row>
    <row r="4709" spans="1:9" hidden="1" x14ac:dyDescent="0.25">
      <c r="A4709" s="11" t="s">
        <v>7936</v>
      </c>
      <c r="B4709" s="12" t="s">
        <v>5488</v>
      </c>
      <c r="C4709" s="13">
        <v>1</v>
      </c>
      <c r="D4709" s="22" t="s">
        <v>7914</v>
      </c>
      <c r="E4709" s="28" t="s">
        <v>7937</v>
      </c>
      <c r="F4709" s="22" t="s">
        <v>7938</v>
      </c>
      <c r="G4709" s="15" t="s">
        <v>13</v>
      </c>
    </row>
    <row r="4710" spans="1:9" ht="12.75" hidden="1" thickBot="1" x14ac:dyDescent="0.3">
      <c r="A4710" s="36" t="s">
        <v>7943</v>
      </c>
      <c r="B4710" s="30" t="s">
        <v>7944</v>
      </c>
      <c r="C4710" s="31">
        <v>1</v>
      </c>
      <c r="D4710" s="4" t="s">
        <v>7914</v>
      </c>
      <c r="E4710" s="32" t="s">
        <v>7945</v>
      </c>
      <c r="F4710" s="4" t="s">
        <v>7946</v>
      </c>
      <c r="G4710" s="33" t="s">
        <v>13</v>
      </c>
    </row>
    <row r="4711" spans="1:9" hidden="1" x14ac:dyDescent="0.25">
      <c r="A4711" s="56" t="s">
        <v>7951</v>
      </c>
      <c r="B4711" s="61" t="s">
        <v>7952</v>
      </c>
      <c r="C4711" s="58">
        <v>1</v>
      </c>
      <c r="D4711" s="17" t="s">
        <v>7914</v>
      </c>
      <c r="E4711" s="89" t="s">
        <v>7953</v>
      </c>
      <c r="F4711" s="17" t="s">
        <v>7954</v>
      </c>
      <c r="G4711" s="62" t="s">
        <v>13</v>
      </c>
    </row>
    <row r="4712" spans="1:9" hidden="1" x14ac:dyDescent="0.25">
      <c r="A4712" s="11" t="s">
        <v>7959</v>
      </c>
      <c r="B4712" s="12" t="s">
        <v>7960</v>
      </c>
      <c r="C4712" s="13">
        <v>1</v>
      </c>
      <c r="D4712" s="22" t="s">
        <v>7914</v>
      </c>
      <c r="E4712" s="28" t="s">
        <v>7961</v>
      </c>
      <c r="F4712" s="22" t="s">
        <v>7962</v>
      </c>
      <c r="G4712" s="15" t="s">
        <v>13</v>
      </c>
    </row>
    <row r="4713" spans="1:9" hidden="1" x14ac:dyDescent="0.25">
      <c r="A4713" s="11" t="s">
        <v>7967</v>
      </c>
      <c r="B4713" s="12" t="s">
        <v>3405</v>
      </c>
      <c r="C4713" s="13">
        <v>1</v>
      </c>
      <c r="D4713" s="22" t="s">
        <v>7914</v>
      </c>
      <c r="E4713" s="28" t="s">
        <v>7968</v>
      </c>
      <c r="F4713" s="22" t="s">
        <v>7969</v>
      </c>
      <c r="G4713" s="15" t="s">
        <v>13</v>
      </c>
    </row>
    <row r="4714" spans="1:9" hidden="1" x14ac:dyDescent="0.25">
      <c r="A4714" s="11" t="s">
        <v>7974</v>
      </c>
      <c r="B4714" s="12" t="s">
        <v>7975</v>
      </c>
      <c r="C4714" s="13">
        <v>1</v>
      </c>
      <c r="D4714" s="22" t="s">
        <v>7914</v>
      </c>
      <c r="E4714" s="28" t="s">
        <v>7976</v>
      </c>
      <c r="F4714" s="22" t="s">
        <v>7977</v>
      </c>
      <c r="G4714" s="15" t="s">
        <v>13</v>
      </c>
    </row>
    <row r="4715" spans="1:9" ht="12.75" hidden="1" thickBot="1" x14ac:dyDescent="0.3">
      <c r="A4715" s="36" t="s">
        <v>7982</v>
      </c>
      <c r="B4715" s="30" t="s">
        <v>3416</v>
      </c>
      <c r="C4715" s="31">
        <v>1</v>
      </c>
      <c r="D4715" s="4" t="s">
        <v>7914</v>
      </c>
      <c r="E4715" s="32" t="s">
        <v>7983</v>
      </c>
      <c r="F4715" s="4" t="s">
        <v>7984</v>
      </c>
      <c r="G4715" s="33" t="s">
        <v>13</v>
      </c>
    </row>
    <row r="4716" spans="1:9" hidden="1" x14ac:dyDescent="0.25">
      <c r="A4716" s="56" t="s">
        <v>7989</v>
      </c>
      <c r="B4716" s="61" t="s">
        <v>1377</v>
      </c>
      <c r="C4716" s="58">
        <v>1</v>
      </c>
      <c r="D4716" s="17" t="s">
        <v>7914</v>
      </c>
      <c r="E4716" s="89" t="s">
        <v>7990</v>
      </c>
      <c r="F4716" s="17" t="s">
        <v>7991</v>
      </c>
      <c r="G4716" s="62" t="s">
        <v>13</v>
      </c>
    </row>
    <row r="4717" spans="1:9" hidden="1" x14ac:dyDescent="0.25">
      <c r="A4717" s="11" t="s">
        <v>7996</v>
      </c>
      <c r="B4717" s="12" t="s">
        <v>5993</v>
      </c>
      <c r="C4717" s="13">
        <v>1</v>
      </c>
      <c r="D4717" s="22" t="s">
        <v>7914</v>
      </c>
      <c r="E4717" s="28" t="s">
        <v>7997</v>
      </c>
      <c r="F4717" s="22" t="s">
        <v>7998</v>
      </c>
      <c r="G4717" s="15" t="s">
        <v>13</v>
      </c>
    </row>
    <row r="4718" spans="1:9" hidden="1" x14ac:dyDescent="0.25">
      <c r="A4718" s="11" t="s">
        <v>8003</v>
      </c>
      <c r="B4718" s="12" t="s">
        <v>8004</v>
      </c>
      <c r="C4718" s="13">
        <v>1</v>
      </c>
      <c r="D4718" s="22" t="s">
        <v>7914</v>
      </c>
      <c r="E4718" s="28" t="s">
        <v>8005</v>
      </c>
      <c r="F4718" s="22" t="s">
        <v>8006</v>
      </c>
      <c r="G4718" s="15" t="s">
        <v>13</v>
      </c>
    </row>
    <row r="4719" spans="1:9" hidden="1" x14ac:dyDescent="0.25">
      <c r="A4719" s="11" t="s">
        <v>8011</v>
      </c>
      <c r="B4719" s="12" t="s">
        <v>8012</v>
      </c>
      <c r="C4719" s="13">
        <v>1</v>
      </c>
      <c r="D4719" s="22" t="s">
        <v>7914</v>
      </c>
      <c r="E4719" s="28" t="s">
        <v>8013</v>
      </c>
      <c r="F4719" s="22" t="s">
        <v>8014</v>
      </c>
      <c r="G4719" s="15" t="s">
        <v>13</v>
      </c>
    </row>
    <row r="4720" spans="1:9" ht="12.75" hidden="1" thickBot="1" x14ac:dyDescent="0.3">
      <c r="A4720" s="36" t="s">
        <v>8019</v>
      </c>
      <c r="B4720" s="30" t="s">
        <v>4025</v>
      </c>
      <c r="C4720" s="31">
        <v>1</v>
      </c>
      <c r="D4720" s="4" t="s">
        <v>7914</v>
      </c>
      <c r="E4720" s="32" t="s">
        <v>8020</v>
      </c>
      <c r="F4720" s="4" t="s">
        <v>8021</v>
      </c>
      <c r="G4720" s="33" t="s">
        <v>13</v>
      </c>
      <c r="I4720" s="90" t="s">
        <v>2426</v>
      </c>
    </row>
    <row r="4721" spans="1:9" hidden="1" x14ac:dyDescent="0.25">
      <c r="A4721" s="56" t="s">
        <v>8026</v>
      </c>
      <c r="B4721" s="61" t="s">
        <v>8027</v>
      </c>
      <c r="C4721" s="58">
        <v>1</v>
      </c>
      <c r="D4721" s="17" t="s">
        <v>7914</v>
      </c>
      <c r="E4721" s="89" t="s">
        <v>8028</v>
      </c>
      <c r="F4721" s="17" t="s">
        <v>8029</v>
      </c>
      <c r="G4721" s="62" t="s">
        <v>13</v>
      </c>
      <c r="I4721" s="90" t="s">
        <v>2426</v>
      </c>
    </row>
    <row r="4722" spans="1:9" hidden="1" x14ac:dyDescent="0.25">
      <c r="A4722" s="11" t="s">
        <v>8034</v>
      </c>
      <c r="B4722" s="12" t="s">
        <v>8035</v>
      </c>
      <c r="C4722" s="13">
        <v>1</v>
      </c>
      <c r="D4722" s="22" t="s">
        <v>7914</v>
      </c>
      <c r="E4722" s="28" t="s">
        <v>8036</v>
      </c>
      <c r="F4722" s="22" t="s">
        <v>8037</v>
      </c>
      <c r="G4722" s="15" t="s">
        <v>13</v>
      </c>
      <c r="I4722" s="90" t="s">
        <v>2426</v>
      </c>
    </row>
    <row r="4723" spans="1:9" hidden="1" x14ac:dyDescent="0.25">
      <c r="A4723" s="11" t="s">
        <v>8042</v>
      </c>
      <c r="B4723" s="12" t="s">
        <v>8043</v>
      </c>
      <c r="C4723" s="13">
        <v>1</v>
      </c>
      <c r="D4723" s="22" t="s">
        <v>7914</v>
      </c>
      <c r="E4723" s="28" t="s">
        <v>8044</v>
      </c>
      <c r="F4723" s="22" t="s">
        <v>8045</v>
      </c>
      <c r="G4723" s="15" t="s">
        <v>13</v>
      </c>
      <c r="I4723" s="90" t="s">
        <v>2426</v>
      </c>
    </row>
    <row r="4724" spans="1:9" hidden="1" x14ac:dyDescent="0.25">
      <c r="A4724" s="11" t="s">
        <v>8050</v>
      </c>
      <c r="B4724" s="12" t="s">
        <v>8051</v>
      </c>
      <c r="C4724" s="13">
        <v>1</v>
      </c>
      <c r="D4724" s="22" t="s">
        <v>7914</v>
      </c>
      <c r="E4724" s="28" t="s">
        <v>8052</v>
      </c>
      <c r="F4724" s="22" t="s">
        <v>8053</v>
      </c>
      <c r="G4724" s="15" t="s">
        <v>13</v>
      </c>
      <c r="I4724" s="90" t="s">
        <v>2426</v>
      </c>
    </row>
    <row r="4725" spans="1:9" ht="12.75" hidden="1" thickBot="1" x14ac:dyDescent="0.3">
      <c r="A4725" s="36" t="s">
        <v>8058</v>
      </c>
      <c r="B4725" s="30" t="s">
        <v>8059</v>
      </c>
      <c r="C4725" s="31">
        <v>1</v>
      </c>
      <c r="D4725" s="4" t="s">
        <v>7914</v>
      </c>
      <c r="E4725" s="32" t="s">
        <v>8060</v>
      </c>
      <c r="F4725" s="4" t="s">
        <v>8061</v>
      </c>
      <c r="G4725" s="33" t="s">
        <v>13</v>
      </c>
      <c r="I4725" s="90" t="s">
        <v>2426</v>
      </c>
    </row>
    <row r="4726" spans="1:9" hidden="1" x14ac:dyDescent="0.25">
      <c r="A4726" s="56" t="s">
        <v>8066</v>
      </c>
      <c r="B4726" s="61" t="s">
        <v>8067</v>
      </c>
      <c r="C4726" s="58">
        <v>1</v>
      </c>
      <c r="D4726" s="17" t="s">
        <v>7914</v>
      </c>
      <c r="E4726" s="89" t="s">
        <v>8068</v>
      </c>
      <c r="F4726" s="17" t="s">
        <v>8069</v>
      </c>
      <c r="G4726" s="62" t="s">
        <v>13</v>
      </c>
      <c r="I4726" s="90" t="s">
        <v>2426</v>
      </c>
    </row>
    <row r="4727" spans="1:9" hidden="1" x14ac:dyDescent="0.25">
      <c r="A4727" s="11" t="s">
        <v>8074</v>
      </c>
      <c r="B4727" s="12" t="s">
        <v>8075</v>
      </c>
      <c r="C4727" s="13">
        <v>1</v>
      </c>
      <c r="D4727" s="22" t="s">
        <v>7914</v>
      </c>
      <c r="E4727" s="28" t="s">
        <v>8076</v>
      </c>
      <c r="F4727" s="22" t="s">
        <v>8077</v>
      </c>
      <c r="G4727" s="15" t="s">
        <v>13</v>
      </c>
      <c r="I4727" s="90" t="s">
        <v>2426</v>
      </c>
    </row>
    <row r="4728" spans="1:9" hidden="1" x14ac:dyDescent="0.25">
      <c r="A4728" s="11" t="s">
        <v>8082</v>
      </c>
      <c r="B4728" s="12" t="s">
        <v>4382</v>
      </c>
      <c r="C4728" s="13">
        <v>1</v>
      </c>
      <c r="D4728" s="22" t="s">
        <v>7914</v>
      </c>
      <c r="E4728" s="28" t="s">
        <v>8083</v>
      </c>
      <c r="F4728" s="22" t="s">
        <v>8084</v>
      </c>
      <c r="G4728" s="15" t="s">
        <v>13</v>
      </c>
      <c r="I4728" s="90" t="s">
        <v>2426</v>
      </c>
    </row>
    <row r="4729" spans="1:9" hidden="1" x14ac:dyDescent="0.25">
      <c r="A4729" s="11" t="s">
        <v>8089</v>
      </c>
      <c r="B4729" s="12" t="s">
        <v>8090</v>
      </c>
      <c r="C4729" s="13">
        <v>1</v>
      </c>
      <c r="D4729" s="22" t="s">
        <v>7914</v>
      </c>
      <c r="E4729" s="28" t="s">
        <v>8091</v>
      </c>
      <c r="F4729" s="22" t="s">
        <v>8092</v>
      </c>
      <c r="G4729" s="15" t="s">
        <v>13</v>
      </c>
      <c r="I4729" s="90" t="s">
        <v>5668</v>
      </c>
    </row>
    <row r="4730" spans="1:9" ht="12.75" hidden="1" thickBot="1" x14ac:dyDescent="0.3">
      <c r="A4730" s="36" t="s">
        <v>8097</v>
      </c>
      <c r="B4730" s="30" t="s">
        <v>8098</v>
      </c>
      <c r="C4730" s="31">
        <v>1</v>
      </c>
      <c r="D4730" s="4" t="s">
        <v>7914</v>
      </c>
      <c r="E4730" s="32" t="s">
        <v>8099</v>
      </c>
      <c r="F4730" s="4" t="s">
        <v>8100</v>
      </c>
      <c r="G4730" s="33" t="s">
        <v>13</v>
      </c>
      <c r="I4730" s="90">
        <v>12</v>
      </c>
    </row>
    <row r="4731" spans="1:9" hidden="1" x14ac:dyDescent="0.25">
      <c r="A4731" s="56" t="s">
        <v>8105</v>
      </c>
      <c r="B4731" s="61" t="s">
        <v>79</v>
      </c>
      <c r="C4731" s="58">
        <v>1</v>
      </c>
      <c r="D4731" s="17" t="s">
        <v>7914</v>
      </c>
      <c r="E4731" s="89" t="s">
        <v>8106</v>
      </c>
      <c r="F4731" s="17" t="s">
        <v>8107</v>
      </c>
      <c r="G4731" s="62" t="s">
        <v>13</v>
      </c>
      <c r="I4731" s="90">
        <v>12</v>
      </c>
    </row>
    <row r="4732" spans="1:9" hidden="1" x14ac:dyDescent="0.25">
      <c r="A4732" s="11" t="s">
        <v>8112</v>
      </c>
      <c r="B4732" s="12" t="s">
        <v>52</v>
      </c>
      <c r="C4732" s="13">
        <v>1</v>
      </c>
      <c r="D4732" s="22" t="s">
        <v>7914</v>
      </c>
      <c r="E4732" s="28" t="s">
        <v>8113</v>
      </c>
      <c r="F4732" s="22" t="s">
        <v>8114</v>
      </c>
      <c r="G4732" s="15" t="s">
        <v>13</v>
      </c>
      <c r="I4732" s="90">
        <v>12</v>
      </c>
    </row>
    <row r="4733" spans="1:9" hidden="1" x14ac:dyDescent="0.25">
      <c r="A4733" s="11" t="s">
        <v>8119</v>
      </c>
      <c r="B4733" s="12" t="s">
        <v>8120</v>
      </c>
      <c r="C4733" s="13">
        <v>1</v>
      </c>
      <c r="D4733" s="22" t="s">
        <v>7914</v>
      </c>
      <c r="E4733" s="28" t="s">
        <v>8121</v>
      </c>
      <c r="F4733" s="22" t="s">
        <v>8122</v>
      </c>
      <c r="G4733" s="15" t="s">
        <v>13</v>
      </c>
      <c r="I4733" s="90">
        <v>12</v>
      </c>
    </row>
    <row r="4734" spans="1:9" hidden="1" x14ac:dyDescent="0.25">
      <c r="A4734" s="11" t="s">
        <v>8127</v>
      </c>
      <c r="B4734" s="12" t="s">
        <v>8128</v>
      </c>
      <c r="C4734" s="13">
        <v>1</v>
      </c>
      <c r="D4734" s="22" t="s">
        <v>7914</v>
      </c>
      <c r="E4734" s="28" t="s">
        <v>8129</v>
      </c>
      <c r="F4734" s="22" t="s">
        <v>8130</v>
      </c>
      <c r="G4734" s="15" t="s">
        <v>13</v>
      </c>
      <c r="I4734" s="90">
        <v>12</v>
      </c>
    </row>
    <row r="4735" spans="1:9" ht="12.75" hidden="1" thickBot="1" x14ac:dyDescent="0.3">
      <c r="A4735" s="36" t="s">
        <v>8135</v>
      </c>
      <c r="B4735" s="30" t="s">
        <v>8136</v>
      </c>
      <c r="C4735" s="31">
        <v>1</v>
      </c>
      <c r="D4735" s="4" t="s">
        <v>7914</v>
      </c>
      <c r="E4735" s="32" t="s">
        <v>8137</v>
      </c>
      <c r="F4735" s="4" t="s">
        <v>8138</v>
      </c>
      <c r="G4735" s="33" t="s">
        <v>13</v>
      </c>
      <c r="I4735" s="90">
        <v>12</v>
      </c>
    </row>
    <row r="4736" spans="1:9" hidden="1" x14ac:dyDescent="0.25">
      <c r="A4736" s="56" t="s">
        <v>8143</v>
      </c>
      <c r="B4736" s="61" t="s">
        <v>8144</v>
      </c>
      <c r="C4736" s="58">
        <v>1</v>
      </c>
      <c r="D4736" s="17" t="s">
        <v>7914</v>
      </c>
      <c r="E4736" s="89" t="s">
        <v>8145</v>
      </c>
      <c r="F4736" s="17" t="s">
        <v>8146</v>
      </c>
      <c r="G4736" s="62" t="s">
        <v>13</v>
      </c>
      <c r="I4736" s="90">
        <v>12</v>
      </c>
    </row>
    <row r="4737" spans="1:9" hidden="1" x14ac:dyDescent="0.25">
      <c r="A4737" s="11" t="s">
        <v>8151</v>
      </c>
      <c r="B4737" s="12" t="s">
        <v>6748</v>
      </c>
      <c r="C4737" s="13">
        <v>1</v>
      </c>
      <c r="D4737" s="22" t="s">
        <v>7914</v>
      </c>
      <c r="E4737" s="28" t="s">
        <v>8152</v>
      </c>
      <c r="F4737" s="22" t="s">
        <v>8153</v>
      </c>
      <c r="G4737" s="15" t="s">
        <v>13</v>
      </c>
      <c r="I4737" s="90">
        <v>12</v>
      </c>
    </row>
    <row r="4738" spans="1:9" hidden="1" x14ac:dyDescent="0.25">
      <c r="A4738" s="11" t="s">
        <v>8158</v>
      </c>
      <c r="B4738" s="12" t="s">
        <v>8159</v>
      </c>
      <c r="C4738" s="13">
        <v>1</v>
      </c>
      <c r="D4738" s="22" t="s">
        <v>7914</v>
      </c>
      <c r="E4738" s="28" t="s">
        <v>8160</v>
      </c>
      <c r="F4738" s="22" t="s">
        <v>8161</v>
      </c>
      <c r="G4738" s="15" t="s">
        <v>13</v>
      </c>
      <c r="I4738" s="90">
        <v>12</v>
      </c>
    </row>
    <row r="4739" spans="1:9" hidden="1" x14ac:dyDescent="0.25">
      <c r="A4739" s="11" t="s">
        <v>8166</v>
      </c>
      <c r="B4739" s="12" t="s">
        <v>8167</v>
      </c>
      <c r="C4739" s="13">
        <v>1</v>
      </c>
      <c r="D4739" s="22" t="s">
        <v>7914</v>
      </c>
      <c r="E4739" s="28" t="s">
        <v>8168</v>
      </c>
      <c r="F4739" s="22" t="s">
        <v>8169</v>
      </c>
      <c r="G4739" s="15" t="s">
        <v>13</v>
      </c>
      <c r="I4739" s="90">
        <v>12</v>
      </c>
    </row>
    <row r="4740" spans="1:9" ht="12.75" hidden="1" thickBot="1" x14ac:dyDescent="0.3">
      <c r="A4740" s="36" t="s">
        <v>8174</v>
      </c>
      <c r="B4740" s="30" t="s">
        <v>8175</v>
      </c>
      <c r="C4740" s="31">
        <v>1</v>
      </c>
      <c r="D4740" s="4" t="s">
        <v>7914</v>
      </c>
      <c r="E4740" s="32" t="s">
        <v>8176</v>
      </c>
      <c r="F4740" s="4" t="s">
        <v>8177</v>
      </c>
      <c r="G4740" s="33" t="s">
        <v>13</v>
      </c>
      <c r="I4740" s="90">
        <v>12</v>
      </c>
    </row>
    <row r="4741" spans="1:9" hidden="1" x14ac:dyDescent="0.25">
      <c r="A4741" s="56" t="s">
        <v>8182</v>
      </c>
      <c r="B4741" s="61" t="s">
        <v>6549</v>
      </c>
      <c r="C4741" s="58">
        <v>1</v>
      </c>
      <c r="D4741" s="17" t="s">
        <v>7914</v>
      </c>
      <c r="E4741" s="89" t="s">
        <v>8183</v>
      </c>
      <c r="F4741" s="17" t="s">
        <v>8184</v>
      </c>
      <c r="G4741" s="62" t="s">
        <v>13</v>
      </c>
      <c r="I4741" s="90">
        <v>12</v>
      </c>
    </row>
    <row r="4742" spans="1:9" hidden="1" x14ac:dyDescent="0.25">
      <c r="A4742" s="11" t="s">
        <v>8189</v>
      </c>
      <c r="B4742" s="12" t="s">
        <v>6551</v>
      </c>
      <c r="C4742" s="13">
        <v>1</v>
      </c>
      <c r="D4742" s="22" t="s">
        <v>7914</v>
      </c>
      <c r="E4742" s="28" t="s">
        <v>8190</v>
      </c>
      <c r="F4742" s="22" t="s">
        <v>8191</v>
      </c>
      <c r="G4742" s="15" t="s">
        <v>13</v>
      </c>
      <c r="I4742" s="90">
        <v>12</v>
      </c>
    </row>
    <row r="4743" spans="1:9" hidden="1" x14ac:dyDescent="0.25">
      <c r="A4743" s="11" t="s">
        <v>8196</v>
      </c>
      <c r="B4743" s="12" t="s">
        <v>6553</v>
      </c>
      <c r="C4743" s="13">
        <v>1</v>
      </c>
      <c r="D4743" s="22" t="s">
        <v>7914</v>
      </c>
      <c r="E4743" s="28" t="s">
        <v>8197</v>
      </c>
      <c r="F4743" s="22" t="s">
        <v>8198</v>
      </c>
      <c r="G4743" s="15" t="s">
        <v>13</v>
      </c>
      <c r="I4743" s="90">
        <v>12</v>
      </c>
    </row>
    <row r="4744" spans="1:9" hidden="1" x14ac:dyDescent="0.25">
      <c r="A4744" s="11" t="s">
        <v>8203</v>
      </c>
      <c r="B4744" s="12" t="s">
        <v>8204</v>
      </c>
      <c r="C4744" s="13">
        <v>1</v>
      </c>
      <c r="D4744" s="22" t="s">
        <v>7914</v>
      </c>
      <c r="E4744" s="28" t="s">
        <v>8205</v>
      </c>
      <c r="F4744" s="22" t="s">
        <v>8206</v>
      </c>
      <c r="G4744" s="15" t="s">
        <v>13</v>
      </c>
      <c r="I4744" s="90">
        <v>12</v>
      </c>
    </row>
    <row r="4745" spans="1:9" ht="12.75" hidden="1" thickBot="1" x14ac:dyDescent="0.3">
      <c r="A4745" s="36" t="s">
        <v>8211</v>
      </c>
      <c r="B4745" s="30" t="s">
        <v>481</v>
      </c>
      <c r="C4745" s="31">
        <v>1</v>
      </c>
      <c r="D4745" s="4" t="s">
        <v>7914</v>
      </c>
      <c r="E4745" s="32" t="s">
        <v>8212</v>
      </c>
      <c r="F4745" s="4" t="s">
        <v>8213</v>
      </c>
      <c r="G4745" s="33" t="s">
        <v>13</v>
      </c>
      <c r="I4745" s="99">
        <v>13</v>
      </c>
    </row>
    <row r="4746" spans="1:9" hidden="1" x14ac:dyDescent="0.25">
      <c r="A4746" s="56" t="s">
        <v>8218</v>
      </c>
      <c r="B4746" s="61" t="s">
        <v>8219</v>
      </c>
      <c r="C4746" s="58">
        <v>1</v>
      </c>
      <c r="D4746" s="17" t="s">
        <v>7914</v>
      </c>
      <c r="E4746" s="89" t="s">
        <v>8220</v>
      </c>
      <c r="F4746" s="17" t="s">
        <v>8221</v>
      </c>
      <c r="G4746" s="62" t="s">
        <v>13</v>
      </c>
      <c r="I4746" s="99">
        <v>13</v>
      </c>
    </row>
    <row r="4747" spans="1:9" hidden="1" x14ac:dyDescent="0.25">
      <c r="A4747" s="11" t="s">
        <v>8226</v>
      </c>
      <c r="B4747" s="12" t="s">
        <v>8227</v>
      </c>
      <c r="C4747" s="13">
        <v>1</v>
      </c>
      <c r="D4747" s="22" t="s">
        <v>7914</v>
      </c>
      <c r="E4747" s="28" t="s">
        <v>8228</v>
      </c>
      <c r="F4747" s="22" t="s">
        <v>8229</v>
      </c>
      <c r="G4747" s="15" t="s">
        <v>13</v>
      </c>
      <c r="I4747" s="99">
        <v>13</v>
      </c>
    </row>
    <row r="4748" spans="1:9" hidden="1" x14ac:dyDescent="0.25">
      <c r="A4748" s="11" t="s">
        <v>8234</v>
      </c>
      <c r="B4748" s="12" t="s">
        <v>8235</v>
      </c>
      <c r="C4748" s="13">
        <v>1</v>
      </c>
      <c r="D4748" s="22" t="s">
        <v>7914</v>
      </c>
      <c r="E4748" s="28" t="s">
        <v>8236</v>
      </c>
      <c r="F4748" s="22" t="s">
        <v>8237</v>
      </c>
      <c r="G4748" s="15" t="s">
        <v>13</v>
      </c>
      <c r="I4748" s="99">
        <v>13</v>
      </c>
    </row>
    <row r="4749" spans="1:9" hidden="1" x14ac:dyDescent="0.25">
      <c r="A4749" s="11" t="s">
        <v>8242</v>
      </c>
      <c r="B4749" s="12" t="s">
        <v>6248</v>
      </c>
      <c r="C4749" s="13">
        <v>1</v>
      </c>
      <c r="D4749" s="22" t="s">
        <v>7914</v>
      </c>
      <c r="E4749" s="28" t="s">
        <v>8243</v>
      </c>
      <c r="F4749" s="22" t="s">
        <v>8244</v>
      </c>
      <c r="G4749" s="15" t="s">
        <v>13</v>
      </c>
      <c r="I4749" s="99">
        <v>13</v>
      </c>
    </row>
    <row r="4750" spans="1:9" ht="12.75" hidden="1" thickBot="1" x14ac:dyDescent="0.3">
      <c r="A4750" s="36" t="s">
        <v>8249</v>
      </c>
      <c r="B4750" s="30" t="s">
        <v>8250</v>
      </c>
      <c r="C4750" s="31">
        <v>1</v>
      </c>
      <c r="D4750" s="4" t="s">
        <v>7914</v>
      </c>
      <c r="E4750" s="32" t="s">
        <v>8251</v>
      </c>
      <c r="F4750" s="4" t="s">
        <v>8252</v>
      </c>
      <c r="G4750" s="33" t="s">
        <v>13</v>
      </c>
      <c r="I4750" s="99">
        <v>13</v>
      </c>
    </row>
    <row r="4751" spans="1:9" hidden="1" x14ac:dyDescent="0.25">
      <c r="A4751" s="56" t="s">
        <v>8257</v>
      </c>
      <c r="B4751" s="61" t="s">
        <v>8258</v>
      </c>
      <c r="C4751" s="58">
        <v>1</v>
      </c>
      <c r="D4751" s="17" t="s">
        <v>7914</v>
      </c>
      <c r="E4751" s="89" t="s">
        <v>8259</v>
      </c>
      <c r="F4751" s="17" t="s">
        <v>8260</v>
      </c>
      <c r="G4751" s="62" t="s">
        <v>13</v>
      </c>
      <c r="I4751" s="99">
        <v>13</v>
      </c>
    </row>
    <row r="4752" spans="1:9" hidden="1" x14ac:dyDescent="0.25">
      <c r="A4752" s="11" t="s">
        <v>8265</v>
      </c>
      <c r="B4752" s="12" t="s">
        <v>1417</v>
      </c>
      <c r="C4752" s="13">
        <v>1</v>
      </c>
      <c r="D4752" s="22" t="s">
        <v>7914</v>
      </c>
      <c r="E4752" s="28" t="s">
        <v>8266</v>
      </c>
      <c r="F4752" s="22" t="s">
        <v>8267</v>
      </c>
      <c r="G4752" s="15" t="s">
        <v>13</v>
      </c>
      <c r="I4752" s="99">
        <v>13</v>
      </c>
    </row>
    <row r="4753" spans="1:9" hidden="1" x14ac:dyDescent="0.25">
      <c r="A4753" s="11" t="s">
        <v>8272</v>
      </c>
      <c r="B4753" s="12" t="s">
        <v>8273</v>
      </c>
      <c r="C4753" s="13">
        <v>1</v>
      </c>
      <c r="D4753" s="22" t="s">
        <v>7914</v>
      </c>
      <c r="E4753" s="28" t="s">
        <v>8274</v>
      </c>
      <c r="F4753" s="22" t="s">
        <v>8275</v>
      </c>
      <c r="G4753" s="15" t="s">
        <v>13</v>
      </c>
      <c r="I4753" s="94">
        <v>14</v>
      </c>
    </row>
    <row r="4754" spans="1:9" hidden="1" x14ac:dyDescent="0.25">
      <c r="A4754" s="11" t="s">
        <v>8280</v>
      </c>
      <c r="B4754" s="12" t="s">
        <v>906</v>
      </c>
      <c r="C4754" s="13">
        <v>1</v>
      </c>
      <c r="D4754" s="22" t="s">
        <v>7914</v>
      </c>
      <c r="E4754" s="28" t="s">
        <v>8281</v>
      </c>
      <c r="F4754" s="22" t="s">
        <v>8282</v>
      </c>
      <c r="G4754" s="15" t="s">
        <v>13</v>
      </c>
      <c r="I4754" s="9">
        <v>15</v>
      </c>
    </row>
    <row r="4755" spans="1:9" ht="12.75" hidden="1" thickBot="1" x14ac:dyDescent="0.3">
      <c r="A4755" s="36" t="s">
        <v>8287</v>
      </c>
      <c r="B4755" s="30" t="s">
        <v>908</v>
      </c>
      <c r="C4755" s="31">
        <v>1</v>
      </c>
      <c r="D4755" s="4" t="s">
        <v>7914</v>
      </c>
      <c r="E4755" s="32" t="s">
        <v>8288</v>
      </c>
      <c r="F4755" s="4" t="s">
        <v>8289</v>
      </c>
      <c r="G4755" s="33" t="s">
        <v>13</v>
      </c>
      <c r="I4755" s="9">
        <v>15</v>
      </c>
    </row>
    <row r="4756" spans="1:9" hidden="1" x14ac:dyDescent="0.25">
      <c r="A4756" s="56" t="s">
        <v>8294</v>
      </c>
      <c r="B4756" s="61" t="s">
        <v>8295</v>
      </c>
      <c r="C4756" s="58">
        <v>1</v>
      </c>
      <c r="D4756" s="17" t="s">
        <v>7914</v>
      </c>
      <c r="E4756" s="89" t="s">
        <v>8296</v>
      </c>
      <c r="F4756" s="17" t="s">
        <v>8297</v>
      </c>
      <c r="G4756" s="62" t="s">
        <v>13</v>
      </c>
      <c r="I4756" s="9">
        <v>15</v>
      </c>
    </row>
    <row r="4757" spans="1:9" hidden="1" x14ac:dyDescent="0.25">
      <c r="A4757" s="11" t="s">
        <v>8302</v>
      </c>
      <c r="B4757" s="12" t="s">
        <v>8303</v>
      </c>
      <c r="C4757" s="13">
        <v>1</v>
      </c>
      <c r="D4757" s="22" t="s">
        <v>7914</v>
      </c>
      <c r="E4757" s="28" t="s">
        <v>8304</v>
      </c>
      <c r="F4757" s="22" t="s">
        <v>8305</v>
      </c>
      <c r="G4757" s="15" t="s">
        <v>13</v>
      </c>
      <c r="I4757" s="9">
        <v>15</v>
      </c>
    </row>
    <row r="4758" spans="1:9" hidden="1" x14ac:dyDescent="0.25">
      <c r="A4758" s="11" t="s">
        <v>8310</v>
      </c>
      <c r="B4758" s="12" t="s">
        <v>1808</v>
      </c>
      <c r="C4758" s="13">
        <v>1</v>
      </c>
      <c r="D4758" s="22" t="s">
        <v>7914</v>
      </c>
      <c r="E4758" s="28" t="s">
        <v>8311</v>
      </c>
      <c r="F4758" s="22" t="s">
        <v>8312</v>
      </c>
      <c r="G4758" s="15" t="s">
        <v>13</v>
      </c>
      <c r="I4758" s="9">
        <v>15</v>
      </c>
    </row>
    <row r="4759" spans="1:9" hidden="1" x14ac:dyDescent="0.25">
      <c r="A4759" s="11" t="s">
        <v>8317</v>
      </c>
      <c r="B4759" s="12" t="s">
        <v>8318</v>
      </c>
      <c r="C4759" s="13">
        <v>1</v>
      </c>
      <c r="D4759" s="22" t="s">
        <v>7914</v>
      </c>
      <c r="E4759" s="28" t="s">
        <v>8319</v>
      </c>
      <c r="F4759" s="22" t="s">
        <v>8320</v>
      </c>
      <c r="G4759" s="15" t="s">
        <v>13</v>
      </c>
      <c r="I4759" s="9">
        <v>15</v>
      </c>
    </row>
    <row r="4760" spans="1:9" ht="12.75" hidden="1" thickBot="1" x14ac:dyDescent="0.3">
      <c r="A4760" s="36" t="s">
        <v>8325</v>
      </c>
      <c r="B4760" s="30" t="s">
        <v>8326</v>
      </c>
      <c r="C4760" s="31">
        <v>1</v>
      </c>
      <c r="D4760" s="4" t="s">
        <v>7914</v>
      </c>
      <c r="E4760" s="32" t="s">
        <v>8327</v>
      </c>
      <c r="F4760" s="4" t="s">
        <v>8328</v>
      </c>
      <c r="G4760" s="33" t="s">
        <v>13</v>
      </c>
      <c r="I4760" s="9">
        <v>15</v>
      </c>
    </row>
    <row r="4761" spans="1:9" hidden="1" x14ac:dyDescent="0.25">
      <c r="A4761" s="56" t="s">
        <v>8333</v>
      </c>
      <c r="B4761" s="61" t="s">
        <v>5858</v>
      </c>
      <c r="C4761" s="58">
        <v>1</v>
      </c>
      <c r="D4761" s="17" t="s">
        <v>7914</v>
      </c>
      <c r="E4761" s="89" t="s">
        <v>8334</v>
      </c>
      <c r="F4761" s="17" t="s">
        <v>8335</v>
      </c>
      <c r="G4761" s="62" t="s">
        <v>13</v>
      </c>
      <c r="I4761" s="9">
        <v>15</v>
      </c>
    </row>
    <row r="4762" spans="1:9" hidden="1" x14ac:dyDescent="0.25">
      <c r="A4762" s="11" t="s">
        <v>8340</v>
      </c>
      <c r="B4762" s="12" t="s">
        <v>768</v>
      </c>
      <c r="C4762" s="13">
        <v>1</v>
      </c>
      <c r="D4762" s="22" t="s">
        <v>7914</v>
      </c>
      <c r="E4762" s="28" t="s">
        <v>8341</v>
      </c>
      <c r="F4762" s="22" t="s">
        <v>8342</v>
      </c>
      <c r="G4762" s="15" t="s">
        <v>13</v>
      </c>
      <c r="I4762" s="9">
        <v>15</v>
      </c>
    </row>
    <row r="4763" spans="1:9" hidden="1" x14ac:dyDescent="0.25">
      <c r="A4763" s="11" t="s">
        <v>8347</v>
      </c>
      <c r="B4763" s="12" t="s">
        <v>770</v>
      </c>
      <c r="C4763" s="13">
        <v>1</v>
      </c>
      <c r="D4763" s="22" t="s">
        <v>7914</v>
      </c>
      <c r="E4763" s="28" t="s">
        <v>8348</v>
      </c>
      <c r="F4763" s="22" t="s">
        <v>8349</v>
      </c>
      <c r="G4763" s="15" t="s">
        <v>13</v>
      </c>
      <c r="I4763" s="9">
        <v>15</v>
      </c>
    </row>
    <row r="4764" spans="1:9" hidden="1" x14ac:dyDescent="0.25">
      <c r="A4764" s="11" t="s">
        <v>8354</v>
      </c>
      <c r="B4764" s="12" t="s">
        <v>772</v>
      </c>
      <c r="C4764" s="13">
        <v>1</v>
      </c>
      <c r="D4764" s="22" t="s">
        <v>7914</v>
      </c>
      <c r="E4764" s="28" t="s">
        <v>8355</v>
      </c>
      <c r="F4764" s="22" t="s">
        <v>8356</v>
      </c>
      <c r="G4764" s="15" t="s">
        <v>13</v>
      </c>
      <c r="I4764" s="9">
        <v>15</v>
      </c>
    </row>
    <row r="4765" spans="1:9" ht="12.75" hidden="1" thickBot="1" x14ac:dyDescent="0.3">
      <c r="A4765" s="36" t="s">
        <v>8361</v>
      </c>
      <c r="B4765" s="30" t="s">
        <v>8362</v>
      </c>
      <c r="C4765" s="31">
        <v>1</v>
      </c>
      <c r="D4765" s="4" t="s">
        <v>7914</v>
      </c>
      <c r="E4765" s="32" t="s">
        <v>8363</v>
      </c>
      <c r="F4765" s="4" t="s">
        <v>8364</v>
      </c>
      <c r="G4765" s="33" t="s">
        <v>13</v>
      </c>
      <c r="I4765" s="9">
        <v>15</v>
      </c>
    </row>
    <row r="4766" spans="1:9" hidden="1" x14ac:dyDescent="0.25">
      <c r="A4766" s="56" t="s">
        <v>8369</v>
      </c>
      <c r="B4766" s="61" t="s">
        <v>8370</v>
      </c>
      <c r="C4766" s="58">
        <v>1</v>
      </c>
      <c r="D4766" s="17" t="s">
        <v>7914</v>
      </c>
      <c r="E4766" s="89" t="s">
        <v>8371</v>
      </c>
      <c r="F4766" s="17" t="s">
        <v>8372</v>
      </c>
      <c r="G4766" s="62" t="s">
        <v>13</v>
      </c>
      <c r="I4766" s="9">
        <v>15</v>
      </c>
    </row>
    <row r="4767" spans="1:9" hidden="1" x14ac:dyDescent="0.25">
      <c r="A4767" s="11" t="s">
        <v>8377</v>
      </c>
      <c r="B4767" s="12" t="s">
        <v>8378</v>
      </c>
      <c r="C4767" s="13">
        <v>1</v>
      </c>
      <c r="D4767" s="22" t="s">
        <v>7914</v>
      </c>
      <c r="E4767" s="28" t="s">
        <v>8379</v>
      </c>
      <c r="F4767" s="22" t="s">
        <v>8380</v>
      </c>
      <c r="G4767" s="15" t="s">
        <v>13</v>
      </c>
      <c r="I4767" s="9">
        <v>15</v>
      </c>
    </row>
    <row r="4768" spans="1:9" hidden="1" x14ac:dyDescent="0.25">
      <c r="A4768" s="11" t="s">
        <v>8385</v>
      </c>
      <c r="B4768" s="12" t="s">
        <v>8386</v>
      </c>
      <c r="C4768" s="13">
        <v>1</v>
      </c>
      <c r="D4768" s="22" t="s">
        <v>7914</v>
      </c>
      <c r="E4768" s="28" t="s">
        <v>8387</v>
      </c>
      <c r="F4768" s="22" t="s">
        <v>8388</v>
      </c>
      <c r="G4768" s="15" t="s">
        <v>13</v>
      </c>
      <c r="I4768" s="9">
        <v>15</v>
      </c>
    </row>
    <row r="4769" spans="1:9" hidden="1" x14ac:dyDescent="0.25">
      <c r="A4769" s="11" t="s">
        <v>8393</v>
      </c>
      <c r="B4769" s="12" t="s">
        <v>8394</v>
      </c>
      <c r="C4769" s="13">
        <v>1</v>
      </c>
      <c r="D4769" s="22" t="s">
        <v>7914</v>
      </c>
      <c r="E4769" s="28" t="s">
        <v>8395</v>
      </c>
      <c r="F4769" s="22" t="s">
        <v>8396</v>
      </c>
      <c r="G4769" s="15" t="s">
        <v>13</v>
      </c>
      <c r="I4769" s="9">
        <v>15</v>
      </c>
    </row>
    <row r="4770" spans="1:9" ht="12.75" hidden="1" thickBot="1" x14ac:dyDescent="0.3">
      <c r="A4770" s="36" t="s">
        <v>8401</v>
      </c>
      <c r="B4770" s="30" t="s">
        <v>941</v>
      </c>
      <c r="C4770" s="31">
        <v>1</v>
      </c>
      <c r="D4770" s="4" t="s">
        <v>7914</v>
      </c>
      <c r="E4770" s="32" t="s">
        <v>8402</v>
      </c>
      <c r="F4770" s="4" t="s">
        <v>8403</v>
      </c>
      <c r="G4770" s="33" t="s">
        <v>13</v>
      </c>
      <c r="I4770" s="9">
        <v>15</v>
      </c>
    </row>
    <row r="4771" spans="1:9" hidden="1" x14ac:dyDescent="0.25">
      <c r="A4771" s="56" t="s">
        <v>8408</v>
      </c>
      <c r="B4771" s="61" t="s">
        <v>8409</v>
      </c>
      <c r="C4771" s="58">
        <v>1</v>
      </c>
      <c r="D4771" s="17" t="s">
        <v>7914</v>
      </c>
      <c r="E4771" s="89" t="s">
        <v>8410</v>
      </c>
      <c r="F4771" s="17" t="s">
        <v>8411</v>
      </c>
      <c r="G4771" s="62" t="s">
        <v>13</v>
      </c>
      <c r="I4771" s="9">
        <v>15</v>
      </c>
    </row>
    <row r="4772" spans="1:9" hidden="1" x14ac:dyDescent="0.25">
      <c r="A4772" s="11" t="s">
        <v>8416</v>
      </c>
      <c r="B4772" s="12" t="s">
        <v>955</v>
      </c>
      <c r="C4772" s="13">
        <v>1</v>
      </c>
      <c r="D4772" s="22" t="s">
        <v>7914</v>
      </c>
      <c r="E4772" s="28" t="s">
        <v>8417</v>
      </c>
      <c r="F4772" s="22" t="s">
        <v>8418</v>
      </c>
      <c r="G4772" s="15" t="s">
        <v>13</v>
      </c>
      <c r="I4772" s="9">
        <v>15</v>
      </c>
    </row>
    <row r="4773" spans="1:9" hidden="1" x14ac:dyDescent="0.25">
      <c r="A4773" s="11" t="s">
        <v>8423</v>
      </c>
      <c r="B4773" s="12" t="s">
        <v>961</v>
      </c>
      <c r="C4773" s="13">
        <v>1</v>
      </c>
      <c r="D4773" s="22" t="s">
        <v>7914</v>
      </c>
      <c r="E4773" s="28" t="s">
        <v>8424</v>
      </c>
      <c r="F4773" s="22" t="s">
        <v>8425</v>
      </c>
      <c r="G4773" s="15" t="s">
        <v>13</v>
      </c>
      <c r="I4773" s="9">
        <v>15</v>
      </c>
    </row>
    <row r="4774" spans="1:9" hidden="1" x14ac:dyDescent="0.25">
      <c r="A4774" s="11" t="s">
        <v>8430</v>
      </c>
      <c r="B4774" s="12" t="s">
        <v>963</v>
      </c>
      <c r="C4774" s="13">
        <v>1</v>
      </c>
      <c r="D4774" s="22" t="s">
        <v>7914</v>
      </c>
      <c r="E4774" s="28" t="s">
        <v>8431</v>
      </c>
      <c r="F4774" s="22" t="s">
        <v>8432</v>
      </c>
      <c r="G4774" s="15" t="s">
        <v>13</v>
      </c>
      <c r="I4774" s="9">
        <v>15</v>
      </c>
    </row>
    <row r="4775" spans="1:9" ht="12.75" hidden="1" thickBot="1" x14ac:dyDescent="0.3">
      <c r="A4775" s="36" t="s">
        <v>8437</v>
      </c>
      <c r="B4775" s="30" t="s">
        <v>8438</v>
      </c>
      <c r="C4775" s="31">
        <v>1</v>
      </c>
      <c r="D4775" s="4" t="s">
        <v>7914</v>
      </c>
      <c r="E4775" s="32" t="s">
        <v>8439</v>
      </c>
      <c r="F4775" s="4" t="s">
        <v>8440</v>
      </c>
      <c r="G4775" s="33" t="s">
        <v>13</v>
      </c>
      <c r="I4775" s="9">
        <v>15</v>
      </c>
    </row>
    <row r="4776" spans="1:9" hidden="1" x14ac:dyDescent="0.25">
      <c r="A4776" s="56" t="s">
        <v>8445</v>
      </c>
      <c r="B4776" s="61" t="s">
        <v>967</v>
      </c>
      <c r="C4776" s="58">
        <v>1</v>
      </c>
      <c r="D4776" s="17" t="s">
        <v>7914</v>
      </c>
      <c r="E4776" s="89" t="s">
        <v>8446</v>
      </c>
      <c r="F4776" s="17" t="s">
        <v>8447</v>
      </c>
      <c r="G4776" s="62" t="s">
        <v>13</v>
      </c>
      <c r="I4776" s="9">
        <v>15</v>
      </c>
    </row>
    <row r="4777" spans="1:9" hidden="1" x14ac:dyDescent="0.25">
      <c r="A4777" s="11" t="s">
        <v>8452</v>
      </c>
      <c r="B4777" s="12" t="s">
        <v>982</v>
      </c>
      <c r="C4777" s="13">
        <v>1</v>
      </c>
      <c r="D4777" s="22" t="s">
        <v>7914</v>
      </c>
      <c r="E4777" s="28" t="s">
        <v>8453</v>
      </c>
      <c r="F4777" s="22" t="s">
        <v>8454</v>
      </c>
      <c r="G4777" s="15" t="s">
        <v>13</v>
      </c>
      <c r="I4777" s="9">
        <v>15</v>
      </c>
    </row>
    <row r="4778" spans="1:9" hidden="1" x14ac:dyDescent="0.25">
      <c r="A4778" s="11" t="s">
        <v>8459</v>
      </c>
      <c r="B4778" s="12" t="s">
        <v>990</v>
      </c>
      <c r="C4778" s="13">
        <v>1</v>
      </c>
      <c r="D4778" s="22" t="s">
        <v>7914</v>
      </c>
      <c r="E4778" s="28" t="s">
        <v>8460</v>
      </c>
      <c r="F4778" s="22" t="s">
        <v>8461</v>
      </c>
      <c r="G4778" s="15" t="s">
        <v>13</v>
      </c>
      <c r="I4778" s="9">
        <v>15</v>
      </c>
    </row>
    <row r="4779" spans="1:9" hidden="1" x14ac:dyDescent="0.25">
      <c r="A4779" s="11" t="s">
        <v>8466</v>
      </c>
      <c r="B4779" s="12" t="s">
        <v>8467</v>
      </c>
      <c r="C4779" s="13">
        <v>1</v>
      </c>
      <c r="D4779" s="22" t="s">
        <v>7914</v>
      </c>
      <c r="E4779" s="28" t="s">
        <v>8468</v>
      </c>
      <c r="F4779" s="22" t="s">
        <v>8469</v>
      </c>
      <c r="G4779" s="15" t="s">
        <v>13</v>
      </c>
      <c r="I4779" s="9">
        <v>15</v>
      </c>
    </row>
    <row r="4780" spans="1:9" ht="12.75" hidden="1" thickBot="1" x14ac:dyDescent="0.3">
      <c r="A4780" s="36" t="s">
        <v>8474</v>
      </c>
      <c r="B4780" s="30" t="s">
        <v>998</v>
      </c>
      <c r="C4780" s="31">
        <v>1</v>
      </c>
      <c r="D4780" s="4" t="s">
        <v>7914</v>
      </c>
      <c r="E4780" s="32" t="s">
        <v>8475</v>
      </c>
      <c r="F4780" s="4" t="s">
        <v>8476</v>
      </c>
      <c r="G4780" s="33" t="s">
        <v>13</v>
      </c>
      <c r="I4780" s="9">
        <v>15</v>
      </c>
    </row>
    <row r="4781" spans="1:9" hidden="1" x14ac:dyDescent="0.25">
      <c r="A4781" s="56" t="s">
        <v>8481</v>
      </c>
      <c r="B4781" s="61" t="s">
        <v>1006</v>
      </c>
      <c r="C4781" s="58">
        <v>1</v>
      </c>
      <c r="D4781" s="17" t="s">
        <v>7914</v>
      </c>
      <c r="E4781" s="89" t="s">
        <v>8482</v>
      </c>
      <c r="F4781" s="17" t="s">
        <v>8483</v>
      </c>
      <c r="G4781" s="62" t="s">
        <v>13</v>
      </c>
      <c r="I4781" s="9">
        <v>15</v>
      </c>
    </row>
    <row r="4782" spans="1:9" hidden="1" x14ac:dyDescent="0.25">
      <c r="A4782" s="11" t="s">
        <v>8488</v>
      </c>
      <c r="B4782" s="12" t="s">
        <v>8489</v>
      </c>
      <c r="C4782" s="13">
        <v>1</v>
      </c>
      <c r="D4782" s="22" t="s">
        <v>7914</v>
      </c>
      <c r="E4782" s="28" t="s">
        <v>8490</v>
      </c>
      <c r="F4782" s="22" t="s">
        <v>8491</v>
      </c>
      <c r="G4782" s="15" t="s">
        <v>13</v>
      </c>
      <c r="I4782" s="9">
        <v>15</v>
      </c>
    </row>
    <row r="4783" spans="1:9" hidden="1" x14ac:dyDescent="0.25">
      <c r="A4783" s="11" t="s">
        <v>8496</v>
      </c>
      <c r="B4783" s="12" t="s">
        <v>1037</v>
      </c>
      <c r="C4783" s="13">
        <v>1</v>
      </c>
      <c r="D4783" s="22" t="s">
        <v>7914</v>
      </c>
      <c r="E4783" s="28" t="s">
        <v>8497</v>
      </c>
      <c r="F4783" s="22" t="s">
        <v>8498</v>
      </c>
      <c r="G4783" s="15" t="s">
        <v>13</v>
      </c>
      <c r="I4783" s="9">
        <v>15</v>
      </c>
    </row>
    <row r="4784" spans="1:9" hidden="1" x14ac:dyDescent="0.25">
      <c r="A4784" s="11" t="s">
        <v>8503</v>
      </c>
      <c r="B4784" s="12" t="s">
        <v>8504</v>
      </c>
      <c r="C4784" s="13">
        <v>1</v>
      </c>
      <c r="D4784" s="22" t="s">
        <v>7914</v>
      </c>
      <c r="E4784" s="28" t="s">
        <v>8505</v>
      </c>
      <c r="F4784" s="22" t="s">
        <v>8506</v>
      </c>
      <c r="G4784" s="15" t="s">
        <v>13</v>
      </c>
      <c r="I4784" s="9">
        <v>15</v>
      </c>
    </row>
    <row r="4785" spans="1:9" ht="12.75" hidden="1" thickBot="1" x14ac:dyDescent="0.3">
      <c r="A4785" s="36" t="s">
        <v>8511</v>
      </c>
      <c r="B4785" s="30" t="s">
        <v>8512</v>
      </c>
      <c r="C4785" s="31">
        <v>1</v>
      </c>
      <c r="D4785" s="4" t="s">
        <v>7914</v>
      </c>
      <c r="E4785" s="32" t="s">
        <v>8513</v>
      </c>
      <c r="F4785" s="4" t="s">
        <v>8514</v>
      </c>
      <c r="G4785" s="33" t="s">
        <v>13</v>
      </c>
      <c r="I4785" s="9">
        <v>15</v>
      </c>
    </row>
    <row r="4786" spans="1:9" hidden="1" x14ac:dyDescent="0.25">
      <c r="A4786" s="56" t="s">
        <v>8519</v>
      </c>
      <c r="B4786" s="61" t="s">
        <v>8520</v>
      </c>
      <c r="C4786" s="58">
        <v>1</v>
      </c>
      <c r="D4786" s="17" t="s">
        <v>7914</v>
      </c>
      <c r="E4786" s="89" t="s">
        <v>8521</v>
      </c>
      <c r="F4786" s="17" t="s">
        <v>8522</v>
      </c>
      <c r="G4786" s="62" t="s">
        <v>13</v>
      </c>
      <c r="I4786" s="9">
        <v>15</v>
      </c>
    </row>
    <row r="4787" spans="1:9" hidden="1" x14ac:dyDescent="0.25">
      <c r="A4787" s="11" t="s">
        <v>8527</v>
      </c>
      <c r="B4787" s="12" t="s">
        <v>8528</v>
      </c>
      <c r="C4787" s="13">
        <v>1</v>
      </c>
      <c r="D4787" s="22" t="s">
        <v>7914</v>
      </c>
      <c r="E4787" s="28" t="s">
        <v>8529</v>
      </c>
      <c r="F4787" s="22" t="s">
        <v>8530</v>
      </c>
      <c r="G4787" s="15" t="s">
        <v>13</v>
      </c>
      <c r="I4787" s="9">
        <v>15</v>
      </c>
    </row>
    <row r="4788" spans="1:9" hidden="1" x14ac:dyDescent="0.25">
      <c r="A4788" s="11" t="s">
        <v>8535</v>
      </c>
      <c r="B4788" s="12" t="s">
        <v>2249</v>
      </c>
      <c r="C4788" s="13">
        <v>1</v>
      </c>
      <c r="D4788" s="22" t="s">
        <v>7914</v>
      </c>
      <c r="E4788" s="28" t="s">
        <v>8536</v>
      </c>
      <c r="F4788" s="22" t="s">
        <v>8537</v>
      </c>
      <c r="G4788" s="15" t="s">
        <v>13</v>
      </c>
      <c r="I4788" s="9">
        <v>15</v>
      </c>
    </row>
    <row r="4789" spans="1:9" hidden="1" x14ac:dyDescent="0.25">
      <c r="A4789" s="11" t="s">
        <v>8542</v>
      </c>
      <c r="B4789" s="12" t="s">
        <v>2161</v>
      </c>
      <c r="C4789" s="13">
        <v>1</v>
      </c>
      <c r="D4789" s="22" t="s">
        <v>7914</v>
      </c>
      <c r="E4789" s="28" t="s">
        <v>8543</v>
      </c>
      <c r="F4789" s="22" t="s">
        <v>8544</v>
      </c>
      <c r="G4789" s="15" t="s">
        <v>13</v>
      </c>
      <c r="I4789" s="9">
        <v>15</v>
      </c>
    </row>
    <row r="4790" spans="1:9" ht="12.75" hidden="1" thickBot="1" x14ac:dyDescent="0.3">
      <c r="A4790" s="36" t="s">
        <v>8549</v>
      </c>
      <c r="B4790" s="30" t="s">
        <v>1078</v>
      </c>
      <c r="C4790" s="31">
        <v>1</v>
      </c>
      <c r="D4790" s="4" t="s">
        <v>7914</v>
      </c>
      <c r="E4790" s="32" t="s">
        <v>8550</v>
      </c>
      <c r="F4790" s="4" t="s">
        <v>8551</v>
      </c>
      <c r="G4790" s="33" t="s">
        <v>13</v>
      </c>
      <c r="I4790" s="9">
        <v>15</v>
      </c>
    </row>
    <row r="4791" spans="1:9" hidden="1" x14ac:dyDescent="0.25">
      <c r="A4791" s="56" t="s">
        <v>8556</v>
      </c>
      <c r="B4791" s="61" t="s">
        <v>1074</v>
      </c>
      <c r="C4791" s="58">
        <v>1</v>
      </c>
      <c r="D4791" s="17" t="s">
        <v>7914</v>
      </c>
      <c r="E4791" s="89" t="s">
        <v>8557</v>
      </c>
      <c r="F4791" s="17" t="s">
        <v>8558</v>
      </c>
      <c r="G4791" s="62" t="s">
        <v>13</v>
      </c>
      <c r="I4791" s="9">
        <v>15</v>
      </c>
    </row>
    <row r="4792" spans="1:9" hidden="1" x14ac:dyDescent="0.25">
      <c r="A4792" s="11" t="s">
        <v>8563</v>
      </c>
      <c r="B4792" s="12" t="s">
        <v>8564</v>
      </c>
      <c r="C4792" s="13">
        <v>1</v>
      </c>
      <c r="D4792" s="22" t="s">
        <v>7914</v>
      </c>
      <c r="E4792" s="28" t="s">
        <v>8565</v>
      </c>
      <c r="F4792" s="22" t="s">
        <v>8566</v>
      </c>
      <c r="G4792" s="15" t="s">
        <v>13</v>
      </c>
      <c r="I4792" s="9">
        <v>15</v>
      </c>
    </row>
    <row r="4793" spans="1:9" hidden="1" x14ac:dyDescent="0.25">
      <c r="A4793" s="11" t="s">
        <v>8571</v>
      </c>
      <c r="B4793" s="12" t="s">
        <v>8572</v>
      </c>
      <c r="C4793" s="13">
        <v>1</v>
      </c>
      <c r="D4793" s="22" t="s">
        <v>7914</v>
      </c>
      <c r="E4793" s="28" t="s">
        <v>8573</v>
      </c>
      <c r="F4793" s="22" t="s">
        <v>8574</v>
      </c>
      <c r="G4793" s="15" t="s">
        <v>13</v>
      </c>
      <c r="I4793" s="9">
        <v>15</v>
      </c>
    </row>
    <row r="4794" spans="1:9" hidden="1" x14ac:dyDescent="0.25">
      <c r="A4794" s="11" t="s">
        <v>8579</v>
      </c>
      <c r="B4794" s="12" t="s">
        <v>975</v>
      </c>
      <c r="C4794" s="13">
        <v>1</v>
      </c>
      <c r="D4794" s="22" t="s">
        <v>7914</v>
      </c>
      <c r="E4794" s="28" t="s">
        <v>8580</v>
      </c>
      <c r="F4794" s="22" t="s">
        <v>8581</v>
      </c>
      <c r="G4794" s="15" t="s">
        <v>13</v>
      </c>
      <c r="I4794" s="9">
        <v>15</v>
      </c>
    </row>
    <row r="4795" spans="1:9" ht="12.75" hidden="1" thickBot="1" x14ac:dyDescent="0.3">
      <c r="A4795" s="36" t="s">
        <v>8586</v>
      </c>
      <c r="B4795" s="30" t="s">
        <v>8587</v>
      </c>
      <c r="C4795" s="31">
        <v>1</v>
      </c>
      <c r="D4795" s="4" t="s">
        <v>7914</v>
      </c>
      <c r="E4795" s="32" t="s">
        <v>8588</v>
      </c>
      <c r="F4795" s="4" t="s">
        <v>8589</v>
      </c>
      <c r="G4795" s="33" t="s">
        <v>13</v>
      </c>
      <c r="I4795" s="9">
        <v>15</v>
      </c>
    </row>
    <row r="4796" spans="1:9" hidden="1" x14ac:dyDescent="0.25">
      <c r="A4796" s="56" t="s">
        <v>8594</v>
      </c>
      <c r="B4796" s="61" t="s">
        <v>8595</v>
      </c>
      <c r="C4796" s="58">
        <v>1</v>
      </c>
      <c r="D4796" s="17" t="s">
        <v>7914</v>
      </c>
      <c r="E4796" s="89" t="s">
        <v>8596</v>
      </c>
      <c r="F4796" s="17" t="s">
        <v>8597</v>
      </c>
      <c r="G4796" s="62" t="s">
        <v>13</v>
      </c>
      <c r="I4796" s="9">
        <v>15</v>
      </c>
    </row>
    <row r="4797" spans="1:9" hidden="1" x14ac:dyDescent="0.25">
      <c r="A4797" s="11" t="s">
        <v>8602</v>
      </c>
      <c r="B4797" s="12" t="s">
        <v>1814</v>
      </c>
      <c r="C4797" s="13">
        <v>1</v>
      </c>
      <c r="D4797" s="22" t="s">
        <v>7914</v>
      </c>
      <c r="E4797" s="28" t="s">
        <v>8603</v>
      </c>
      <c r="F4797" s="22" t="s">
        <v>8604</v>
      </c>
      <c r="G4797" s="15" t="s">
        <v>13</v>
      </c>
      <c r="I4797" s="9">
        <v>15</v>
      </c>
    </row>
    <row r="4798" spans="1:9" hidden="1" x14ac:dyDescent="0.25">
      <c r="A4798" s="11" t="s">
        <v>8609</v>
      </c>
      <c r="B4798" s="12" t="s">
        <v>1023</v>
      </c>
      <c r="C4798" s="13">
        <v>1</v>
      </c>
      <c r="D4798" s="22" t="s">
        <v>7914</v>
      </c>
      <c r="E4798" s="28" t="s">
        <v>8610</v>
      </c>
      <c r="F4798" s="22" t="s">
        <v>8611</v>
      </c>
      <c r="G4798" s="15" t="s">
        <v>13</v>
      </c>
      <c r="I4798" s="9">
        <v>15</v>
      </c>
    </row>
    <row r="4799" spans="1:9" hidden="1" x14ac:dyDescent="0.25">
      <c r="A4799" s="11" t="s">
        <v>8616</v>
      </c>
      <c r="B4799" s="12" t="s">
        <v>8617</v>
      </c>
      <c r="C4799" s="13">
        <v>1</v>
      </c>
      <c r="D4799" s="22" t="s">
        <v>7914</v>
      </c>
      <c r="E4799" s="28" t="s">
        <v>8618</v>
      </c>
      <c r="F4799" s="22" t="s">
        <v>8619</v>
      </c>
      <c r="G4799" s="15" t="s">
        <v>13</v>
      </c>
      <c r="I4799" s="9">
        <v>15</v>
      </c>
    </row>
    <row r="4800" spans="1:9" ht="12.75" hidden="1" thickBot="1" x14ac:dyDescent="0.3">
      <c r="A4800" s="36" t="s">
        <v>8624</v>
      </c>
      <c r="B4800" s="30" t="s">
        <v>8625</v>
      </c>
      <c r="C4800" s="31">
        <v>1</v>
      </c>
      <c r="D4800" s="4" t="s">
        <v>7914</v>
      </c>
      <c r="E4800" s="32" t="s">
        <v>8626</v>
      </c>
      <c r="F4800" s="4" t="s">
        <v>8627</v>
      </c>
      <c r="G4800" s="33" t="s">
        <v>13</v>
      </c>
      <c r="I4800" s="9">
        <v>15</v>
      </c>
    </row>
    <row r="4801" spans="1:9" hidden="1" x14ac:dyDescent="0.25">
      <c r="A4801" s="56" t="s">
        <v>8632</v>
      </c>
      <c r="B4801" s="61" t="s">
        <v>5979</v>
      </c>
      <c r="C4801" s="58">
        <v>1</v>
      </c>
      <c r="D4801" s="17" t="s">
        <v>7914</v>
      </c>
      <c r="E4801" s="89" t="s">
        <v>8633</v>
      </c>
      <c r="F4801" s="17" t="s">
        <v>8634</v>
      </c>
      <c r="G4801" s="62" t="s">
        <v>13</v>
      </c>
      <c r="I4801" s="9">
        <v>15</v>
      </c>
    </row>
    <row r="4802" spans="1:9" hidden="1" x14ac:dyDescent="0.2">
      <c r="A4802" s="11" t="s">
        <v>1122</v>
      </c>
      <c r="B4802" s="12" t="s">
        <v>1123</v>
      </c>
      <c r="C4802" s="13">
        <v>6</v>
      </c>
      <c r="D4802" s="14" t="s">
        <v>1133</v>
      </c>
      <c r="E4802" s="28" t="s">
        <v>1124</v>
      </c>
      <c r="F4802" s="12" t="s">
        <v>1134</v>
      </c>
      <c r="G4802" s="15" t="s">
        <v>13</v>
      </c>
    </row>
    <row r="4803" spans="1:9" hidden="1" x14ac:dyDescent="0.2">
      <c r="A4803" s="11" t="s">
        <v>2631</v>
      </c>
      <c r="B4803" s="12" t="s">
        <v>2632</v>
      </c>
      <c r="C4803" s="13">
        <v>55</v>
      </c>
      <c r="D4803" s="14" t="s">
        <v>2737</v>
      </c>
      <c r="E4803" s="28" t="s">
        <v>2634</v>
      </c>
      <c r="F4803" s="65" t="s">
        <v>2738</v>
      </c>
      <c r="G4803" s="66" t="s">
        <v>13</v>
      </c>
    </row>
    <row r="4804" spans="1:9" hidden="1" x14ac:dyDescent="0.2">
      <c r="A4804" s="11" t="s">
        <v>4634</v>
      </c>
      <c r="B4804" s="12" t="s">
        <v>4635</v>
      </c>
      <c r="C4804" s="13">
        <v>2</v>
      </c>
      <c r="D4804" s="42" t="s">
        <v>2737</v>
      </c>
      <c r="E4804" s="138" t="s">
        <v>4636</v>
      </c>
      <c r="F4804" s="75" t="s">
        <v>4638</v>
      </c>
      <c r="G4804" s="66" t="s">
        <v>13</v>
      </c>
    </row>
    <row r="4805" spans="1:9" hidden="1" x14ac:dyDescent="0.2">
      <c r="A4805" s="11" t="s">
        <v>4657</v>
      </c>
      <c r="B4805" s="12" t="s">
        <v>4658</v>
      </c>
      <c r="C4805" s="13">
        <v>4</v>
      </c>
      <c r="D4805" s="42" t="s">
        <v>2737</v>
      </c>
      <c r="E4805" s="138" t="s">
        <v>4659</v>
      </c>
      <c r="F4805" s="75" t="s">
        <v>4664</v>
      </c>
      <c r="G4805" s="66" t="s">
        <v>13</v>
      </c>
    </row>
    <row r="4806" spans="1:9" hidden="1" x14ac:dyDescent="0.2">
      <c r="A4806" s="56" t="s">
        <v>2631</v>
      </c>
      <c r="B4806" s="61" t="s">
        <v>2632</v>
      </c>
      <c r="C4806" s="58">
        <f t="shared" ref="C4806:C4814" si="7">C4805+1</f>
        <v>5</v>
      </c>
      <c r="D4806" s="107" t="s">
        <v>2801</v>
      </c>
      <c r="E4806" s="89" t="s">
        <v>2634</v>
      </c>
      <c r="F4806" s="74" t="s">
        <v>2802</v>
      </c>
      <c r="G4806" s="129" t="s">
        <v>483</v>
      </c>
      <c r="I4806" s="99">
        <v>13</v>
      </c>
    </row>
    <row r="4807" spans="1:9" hidden="1" x14ac:dyDescent="0.2">
      <c r="A4807" s="11" t="s">
        <v>3165</v>
      </c>
      <c r="B4807" s="12" t="s">
        <v>3166</v>
      </c>
      <c r="C4807" s="13">
        <f t="shared" si="7"/>
        <v>6</v>
      </c>
      <c r="D4807" s="12" t="s">
        <v>2801</v>
      </c>
      <c r="E4807" s="28" t="s">
        <v>3167</v>
      </c>
      <c r="F4807" s="12" t="s">
        <v>3310</v>
      </c>
      <c r="G4807" s="66" t="s">
        <v>13</v>
      </c>
      <c r="I4807" s="99">
        <v>13</v>
      </c>
    </row>
    <row r="4808" spans="1:9" hidden="1" x14ac:dyDescent="0.2">
      <c r="A4808" s="11" t="s">
        <v>4087</v>
      </c>
      <c r="B4808" s="12" t="s">
        <v>4088</v>
      </c>
      <c r="C4808" s="13">
        <f t="shared" si="7"/>
        <v>7</v>
      </c>
      <c r="D4808" s="12" t="s">
        <v>4184</v>
      </c>
      <c r="E4808" s="28" t="s">
        <v>4089</v>
      </c>
      <c r="F4808" s="12" t="s">
        <v>4185</v>
      </c>
      <c r="G4808" s="66" t="s">
        <v>13</v>
      </c>
      <c r="I4808" s="90" t="s">
        <v>2426</v>
      </c>
    </row>
    <row r="4809" spans="1:9" hidden="1" x14ac:dyDescent="0.2">
      <c r="A4809" s="11" t="s">
        <v>4212</v>
      </c>
      <c r="B4809" s="12" t="s">
        <v>4213</v>
      </c>
      <c r="C4809" s="13">
        <f t="shared" si="7"/>
        <v>8</v>
      </c>
      <c r="D4809" s="12" t="s">
        <v>4184</v>
      </c>
      <c r="E4809" s="28" t="s">
        <v>4214</v>
      </c>
      <c r="F4809" s="12" t="s">
        <v>4296</v>
      </c>
      <c r="G4809" s="66" t="s">
        <v>13</v>
      </c>
      <c r="I4809" s="90" t="s">
        <v>2426</v>
      </c>
    </row>
    <row r="4810" spans="1:9" hidden="1" x14ac:dyDescent="0.2">
      <c r="A4810" s="11" t="s">
        <v>2631</v>
      </c>
      <c r="B4810" s="12" t="s">
        <v>2632</v>
      </c>
      <c r="C4810" s="13">
        <f t="shared" si="7"/>
        <v>9</v>
      </c>
      <c r="D4810" s="14" t="s">
        <v>2803</v>
      </c>
      <c r="E4810" s="28" t="s">
        <v>2634</v>
      </c>
      <c r="F4810" s="65" t="s">
        <v>2804</v>
      </c>
      <c r="G4810" s="66" t="s">
        <v>483</v>
      </c>
      <c r="I4810" s="99">
        <v>13</v>
      </c>
    </row>
    <row r="4811" spans="1:9" hidden="1" x14ac:dyDescent="0.2">
      <c r="A4811" s="56" t="s">
        <v>3165</v>
      </c>
      <c r="B4811" s="61" t="s">
        <v>3166</v>
      </c>
      <c r="C4811" s="58">
        <f t="shared" si="7"/>
        <v>10</v>
      </c>
      <c r="D4811" s="61" t="s">
        <v>2803</v>
      </c>
      <c r="E4811" s="89" t="s">
        <v>3167</v>
      </c>
      <c r="F4811" s="61" t="s">
        <v>3311</v>
      </c>
      <c r="G4811" s="129" t="s">
        <v>13</v>
      </c>
      <c r="I4811" s="99">
        <v>13</v>
      </c>
    </row>
    <row r="4812" spans="1:9" hidden="1" x14ac:dyDescent="0.2">
      <c r="A4812" s="11" t="s">
        <v>4087</v>
      </c>
      <c r="B4812" s="12" t="s">
        <v>4088</v>
      </c>
      <c r="C4812" s="13">
        <f t="shared" si="7"/>
        <v>11</v>
      </c>
      <c r="D4812" s="12" t="s">
        <v>4186</v>
      </c>
      <c r="E4812" s="28" t="s">
        <v>4089</v>
      </c>
      <c r="F4812" s="12" t="s">
        <v>4187</v>
      </c>
      <c r="G4812" s="66" t="s">
        <v>13</v>
      </c>
      <c r="I4812" s="90" t="s">
        <v>2426</v>
      </c>
    </row>
    <row r="4813" spans="1:9" hidden="1" x14ac:dyDescent="0.2">
      <c r="A4813" s="11" t="s">
        <v>4212</v>
      </c>
      <c r="B4813" s="12" t="s">
        <v>4213</v>
      </c>
      <c r="C4813" s="13">
        <f t="shared" si="7"/>
        <v>12</v>
      </c>
      <c r="D4813" s="12" t="s">
        <v>4186</v>
      </c>
      <c r="E4813" s="28" t="s">
        <v>4214</v>
      </c>
      <c r="F4813" s="12" t="s">
        <v>4297</v>
      </c>
      <c r="G4813" s="66" t="s">
        <v>13</v>
      </c>
      <c r="I4813" s="90" t="s">
        <v>2426</v>
      </c>
    </row>
    <row r="4814" spans="1:9" hidden="1" x14ac:dyDescent="0.25">
      <c r="A4814" s="11" t="s">
        <v>5686</v>
      </c>
      <c r="B4814" s="12" t="s">
        <v>5687</v>
      </c>
      <c r="C4814" s="13">
        <f t="shared" si="7"/>
        <v>13</v>
      </c>
      <c r="D4814" s="12" t="s">
        <v>5793</v>
      </c>
      <c r="E4814" s="28" t="s">
        <v>5688</v>
      </c>
      <c r="F4814" s="12" t="s">
        <v>5794</v>
      </c>
      <c r="G4814" s="15" t="s">
        <v>32</v>
      </c>
      <c r="I4814" s="90">
        <v>12</v>
      </c>
    </row>
    <row r="4815" spans="1:9" hidden="1" x14ac:dyDescent="0.2">
      <c r="A4815" s="11" t="s">
        <v>5501</v>
      </c>
      <c r="B4815" s="12" t="s">
        <v>5502</v>
      </c>
      <c r="C4815" s="13">
        <v>2</v>
      </c>
      <c r="D4815" s="166" t="s">
        <v>5506</v>
      </c>
      <c r="E4815" s="28" t="s">
        <v>5504</v>
      </c>
      <c r="F4815" s="75" t="s">
        <v>5507</v>
      </c>
      <c r="G4815" s="80" t="s">
        <v>32</v>
      </c>
      <c r="I4815" s="90">
        <v>12</v>
      </c>
    </row>
    <row r="4816" spans="1:9" hidden="1" x14ac:dyDescent="0.25">
      <c r="A4816" s="56" t="s">
        <v>6688</v>
      </c>
      <c r="B4816" s="61" t="s">
        <v>6689</v>
      </c>
      <c r="C4816" s="58">
        <v>13</v>
      </c>
      <c r="D4816" s="61" t="s">
        <v>6711</v>
      </c>
      <c r="E4816" s="89" t="s">
        <v>6690</v>
      </c>
      <c r="F4816" s="61" t="s">
        <v>6712</v>
      </c>
      <c r="G4816" s="62" t="s">
        <v>32</v>
      </c>
    </row>
    <row r="4817" spans="1:9" hidden="1" x14ac:dyDescent="0.25">
      <c r="A4817" s="11" t="s">
        <v>6017</v>
      </c>
      <c r="B4817" s="12" t="s">
        <v>6018</v>
      </c>
      <c r="C4817" s="13">
        <v>4</v>
      </c>
      <c r="D4817" s="22" t="s">
        <v>6023</v>
      </c>
      <c r="E4817" s="28" t="s">
        <v>6019</v>
      </c>
      <c r="F4817" s="22" t="s">
        <v>6024</v>
      </c>
      <c r="G4817" s="15" t="s">
        <v>13</v>
      </c>
    </row>
    <row r="4818" spans="1:9" hidden="1" x14ac:dyDescent="0.25">
      <c r="A4818" s="11" t="s">
        <v>6252</v>
      </c>
      <c r="B4818" s="12" t="s">
        <v>6253</v>
      </c>
      <c r="C4818" s="13">
        <f>C4817+1</f>
        <v>5</v>
      </c>
      <c r="D4818" s="22" t="s">
        <v>6023</v>
      </c>
      <c r="E4818" s="28" t="s">
        <v>6254</v>
      </c>
      <c r="F4818" s="22" t="s">
        <v>6260</v>
      </c>
      <c r="G4818" s="15" t="s">
        <v>13</v>
      </c>
      <c r="I4818" s="90">
        <v>12</v>
      </c>
    </row>
    <row r="4819" spans="1:9" hidden="1" x14ac:dyDescent="0.25">
      <c r="A4819" s="11" t="s">
        <v>6664</v>
      </c>
      <c r="B4819" s="12" t="s">
        <v>6665</v>
      </c>
      <c r="C4819" s="13">
        <f>+C4818+1</f>
        <v>6</v>
      </c>
      <c r="D4819" s="22" t="s">
        <v>6023</v>
      </c>
      <c r="E4819" s="28" t="s">
        <v>6666</v>
      </c>
      <c r="F4819" s="22" t="s">
        <v>6671</v>
      </c>
      <c r="G4819" s="15" t="s">
        <v>13</v>
      </c>
    </row>
    <row r="4820" spans="1:9" hidden="1" x14ac:dyDescent="0.25">
      <c r="A4820" s="11" t="s">
        <v>6768</v>
      </c>
      <c r="B4820" s="12" t="s">
        <v>6769</v>
      </c>
      <c r="C4820" s="13">
        <v>6</v>
      </c>
      <c r="D4820" s="22" t="s">
        <v>6023</v>
      </c>
      <c r="E4820" s="28" t="s">
        <v>6770</v>
      </c>
      <c r="F4820" s="22" t="s">
        <v>6776</v>
      </c>
      <c r="G4820" s="15" t="s">
        <v>13</v>
      </c>
    </row>
    <row r="4821" spans="1:9" hidden="1" x14ac:dyDescent="0.2">
      <c r="A4821" s="56" t="s">
        <v>1093</v>
      </c>
      <c r="B4821" s="61" t="s">
        <v>1094</v>
      </c>
      <c r="C4821" s="58">
        <v>5</v>
      </c>
      <c r="D4821" s="107" t="s">
        <v>1103</v>
      </c>
      <c r="E4821" s="89" t="s">
        <v>1095</v>
      </c>
      <c r="F4821" s="61" t="s">
        <v>1104</v>
      </c>
      <c r="G4821" s="62" t="s">
        <v>156</v>
      </c>
    </row>
    <row r="4822" spans="1:9" hidden="1" x14ac:dyDescent="0.25">
      <c r="A4822" s="11" t="s">
        <v>1421</v>
      </c>
      <c r="B4822" s="12" t="s">
        <v>1422</v>
      </c>
      <c r="C4822" s="13">
        <v>20</v>
      </c>
      <c r="D4822" s="12" t="s">
        <v>1452</v>
      </c>
      <c r="E4822" s="28" t="s">
        <v>1423</v>
      </c>
      <c r="F4822" s="12" t="s">
        <v>1453</v>
      </c>
      <c r="G4822" s="15" t="s">
        <v>1366</v>
      </c>
    </row>
    <row r="4823" spans="1:9" hidden="1" x14ac:dyDescent="0.25">
      <c r="A4823" s="11" t="s">
        <v>1383</v>
      </c>
      <c r="B4823" s="12" t="s">
        <v>1384</v>
      </c>
      <c r="C4823" s="13">
        <v>17</v>
      </c>
      <c r="D4823" s="12" t="s">
        <v>1415</v>
      </c>
      <c r="E4823" s="28" t="s">
        <v>1385</v>
      </c>
      <c r="F4823" s="12" t="s">
        <v>1416</v>
      </c>
      <c r="G4823" s="15" t="s">
        <v>1366</v>
      </c>
    </row>
    <row r="4824" spans="1:9" hidden="1" x14ac:dyDescent="0.25">
      <c r="A4824" s="11" t="s">
        <v>5985</v>
      </c>
      <c r="B4824" s="12" t="s">
        <v>5986</v>
      </c>
      <c r="C4824" s="13">
        <v>5</v>
      </c>
      <c r="D4824" s="22" t="s">
        <v>5993</v>
      </c>
      <c r="E4824" s="28" t="s">
        <v>5987</v>
      </c>
      <c r="F4824" s="22" t="s">
        <v>5994</v>
      </c>
      <c r="G4824" s="80" t="s">
        <v>13</v>
      </c>
    </row>
    <row r="4825" spans="1:9" hidden="1" x14ac:dyDescent="0.2">
      <c r="A4825" s="11" t="s">
        <v>943</v>
      </c>
      <c r="B4825" s="12" t="s">
        <v>944</v>
      </c>
      <c r="C4825" s="13">
        <v>17</v>
      </c>
      <c r="D4825" s="14" t="s">
        <v>975</v>
      </c>
      <c r="E4825" s="28" t="s">
        <v>945</v>
      </c>
      <c r="F4825" s="12" t="s">
        <v>976</v>
      </c>
      <c r="G4825" s="15" t="s">
        <v>829</v>
      </c>
      <c r="I4825" s="9">
        <v>15</v>
      </c>
    </row>
    <row r="4826" spans="1:9" hidden="1" x14ac:dyDescent="0.2">
      <c r="A4826" s="56" t="s">
        <v>943</v>
      </c>
      <c r="B4826" s="61" t="s">
        <v>944</v>
      </c>
      <c r="C4826" s="58">
        <v>20</v>
      </c>
      <c r="D4826" s="107" t="s">
        <v>982</v>
      </c>
      <c r="E4826" s="89" t="s">
        <v>945</v>
      </c>
      <c r="F4826" s="61" t="s">
        <v>983</v>
      </c>
      <c r="G4826" s="62" t="s">
        <v>829</v>
      </c>
      <c r="I4826" s="9">
        <v>15</v>
      </c>
    </row>
    <row r="4827" spans="1:9" hidden="1" x14ac:dyDescent="0.25">
      <c r="A4827" s="11" t="s">
        <v>6286</v>
      </c>
      <c r="B4827" s="12" t="s">
        <v>6287</v>
      </c>
      <c r="C4827" s="13">
        <f>C4826+1</f>
        <v>21</v>
      </c>
      <c r="D4827" s="12" t="s">
        <v>6299</v>
      </c>
      <c r="E4827" s="28" t="s">
        <v>6288</v>
      </c>
      <c r="F4827" s="12" t="s">
        <v>6300</v>
      </c>
      <c r="G4827" s="15" t="s">
        <v>13</v>
      </c>
      <c r="I4827" s="90">
        <v>12</v>
      </c>
    </row>
    <row r="4828" spans="1:9" hidden="1" x14ac:dyDescent="0.2">
      <c r="A4828" s="11" t="s">
        <v>6645</v>
      </c>
      <c r="B4828" s="12" t="s">
        <v>6646</v>
      </c>
      <c r="C4828" s="13">
        <f>+C4827+1</f>
        <v>22</v>
      </c>
      <c r="D4828" s="14" t="s">
        <v>6299</v>
      </c>
      <c r="E4828" s="28" t="s">
        <v>6647</v>
      </c>
      <c r="F4828" s="12" t="s">
        <v>6657</v>
      </c>
      <c r="G4828" s="15" t="s">
        <v>13</v>
      </c>
    </row>
    <row r="4829" spans="1:9" hidden="1" x14ac:dyDescent="0.2">
      <c r="A4829" s="11" t="s">
        <v>2097</v>
      </c>
      <c r="B4829" s="12" t="s">
        <v>2098</v>
      </c>
      <c r="C4829" s="13">
        <v>7</v>
      </c>
      <c r="D4829" s="14" t="s">
        <v>22</v>
      </c>
      <c r="E4829" s="28" t="s">
        <v>2099</v>
      </c>
      <c r="F4829" s="12" t="s">
        <v>2109</v>
      </c>
      <c r="G4829" s="15" t="s">
        <v>16</v>
      </c>
    </row>
    <row r="4830" spans="1:9" hidden="1" x14ac:dyDescent="0.2">
      <c r="A4830" s="11" t="s">
        <v>319</v>
      </c>
      <c r="B4830" s="12" t="s">
        <v>320</v>
      </c>
      <c r="C4830" s="13">
        <v>14</v>
      </c>
      <c r="D4830" s="14" t="s">
        <v>346</v>
      </c>
      <c r="E4830" s="28" t="s">
        <v>321</v>
      </c>
      <c r="F4830" s="12" t="s">
        <v>347</v>
      </c>
      <c r="G4830" s="15" t="s">
        <v>13</v>
      </c>
    </row>
    <row r="4831" spans="1:9" hidden="1" x14ac:dyDescent="0.25">
      <c r="A4831" s="56" t="s">
        <v>1568</v>
      </c>
      <c r="B4831" s="61" t="s">
        <v>1569</v>
      </c>
      <c r="C4831" s="58">
        <v>9</v>
      </c>
      <c r="D4831" s="61" t="s">
        <v>1588</v>
      </c>
      <c r="E4831" s="89" t="s">
        <v>1570</v>
      </c>
      <c r="F4831" s="61" t="s">
        <v>1589</v>
      </c>
      <c r="G4831" s="62" t="s">
        <v>1590</v>
      </c>
      <c r="I4831" s="94">
        <v>14</v>
      </c>
    </row>
    <row r="4832" spans="1:9" hidden="1" x14ac:dyDescent="0.2">
      <c r="A4832" s="11" t="s">
        <v>24</v>
      </c>
      <c r="B4832" s="12" t="s">
        <v>25</v>
      </c>
      <c r="C4832" s="13">
        <v>9</v>
      </c>
      <c r="D4832" s="37" t="s">
        <v>45</v>
      </c>
      <c r="E4832" s="28" t="s">
        <v>26</v>
      </c>
      <c r="F4832" s="22" t="s">
        <v>46</v>
      </c>
      <c r="G4832" s="15" t="s">
        <v>42</v>
      </c>
    </row>
    <row r="4833" spans="1:27" hidden="1" x14ac:dyDescent="0.2">
      <c r="A4833" s="11" t="s">
        <v>55</v>
      </c>
      <c r="B4833" s="12" t="s">
        <v>56</v>
      </c>
      <c r="C4833" s="13">
        <v>9</v>
      </c>
      <c r="D4833" s="37" t="s">
        <v>45</v>
      </c>
      <c r="E4833" s="28" t="s">
        <v>57</v>
      </c>
      <c r="F4833" s="22" t="s">
        <v>67</v>
      </c>
      <c r="G4833" s="15" t="s">
        <v>42</v>
      </c>
      <c r="I4833" s="102" t="s">
        <v>59</v>
      </c>
    </row>
    <row r="4834" spans="1:27" hidden="1" x14ac:dyDescent="0.2">
      <c r="A4834" s="11" t="s">
        <v>69</v>
      </c>
      <c r="B4834" s="12" t="s">
        <v>70</v>
      </c>
      <c r="C4834" s="13">
        <v>11</v>
      </c>
      <c r="D4834" s="37" t="s">
        <v>45</v>
      </c>
      <c r="E4834" s="28" t="s">
        <v>72</v>
      </c>
      <c r="F4834" s="22" t="s">
        <v>89</v>
      </c>
      <c r="G4834" s="15" t="s">
        <v>42</v>
      </c>
    </row>
    <row r="4835" spans="1:27" hidden="1" x14ac:dyDescent="0.2">
      <c r="A4835" s="11" t="s">
        <v>289</v>
      </c>
      <c r="B4835" s="12" t="s">
        <v>290</v>
      </c>
      <c r="C4835" s="13">
        <v>10</v>
      </c>
      <c r="D4835" s="37" t="s">
        <v>45</v>
      </c>
      <c r="E4835" s="28" t="s">
        <v>291</v>
      </c>
      <c r="F4835" s="22" t="s">
        <v>304</v>
      </c>
      <c r="G4835" s="15" t="s">
        <v>78</v>
      </c>
    </row>
    <row r="4836" spans="1:27" hidden="1" x14ac:dyDescent="0.25">
      <c r="A4836" s="108" t="s">
        <v>690</v>
      </c>
      <c r="B4836" s="61" t="s">
        <v>691</v>
      </c>
      <c r="C4836" s="58">
        <v>11</v>
      </c>
      <c r="D4836" s="17" t="s">
        <v>45</v>
      </c>
      <c r="E4836" s="89" t="s">
        <v>692</v>
      </c>
      <c r="F4836" s="17" t="s">
        <v>703</v>
      </c>
      <c r="G4836" s="62" t="s">
        <v>285</v>
      </c>
      <c r="I4836" s="102" t="s">
        <v>59</v>
      </c>
    </row>
    <row r="4837" spans="1:27" hidden="1" x14ac:dyDescent="0.25">
      <c r="A4837" s="109" t="s">
        <v>708</v>
      </c>
      <c r="B4837" s="12" t="s">
        <v>709</v>
      </c>
      <c r="C4837" s="13">
        <v>10</v>
      </c>
      <c r="D4837" s="22" t="s">
        <v>45</v>
      </c>
      <c r="E4837" s="28" t="s">
        <v>710</v>
      </c>
      <c r="F4837" s="22" t="s">
        <v>720</v>
      </c>
      <c r="G4837" s="15" t="s">
        <v>285</v>
      </c>
      <c r="I4837" s="102" t="s">
        <v>59</v>
      </c>
    </row>
    <row r="4838" spans="1:27" hidden="1" x14ac:dyDescent="0.2">
      <c r="A4838" s="11" t="s">
        <v>2608</v>
      </c>
      <c r="B4838" s="12" t="s">
        <v>2609</v>
      </c>
      <c r="C4838" s="13">
        <v>13</v>
      </c>
      <c r="D4838" s="37" t="s">
        <v>2626</v>
      </c>
      <c r="E4838" s="28" t="s">
        <v>2610</v>
      </c>
      <c r="F4838" s="75" t="s">
        <v>2627</v>
      </c>
      <c r="G4838" s="66" t="s">
        <v>285</v>
      </c>
      <c r="I4838" s="130"/>
    </row>
    <row r="4839" spans="1:27" hidden="1" x14ac:dyDescent="0.2">
      <c r="A4839" s="11" t="s">
        <v>3458</v>
      </c>
      <c r="B4839" s="12" t="s">
        <v>3459</v>
      </c>
      <c r="C4839" s="13">
        <f>C4838+1</f>
        <v>14</v>
      </c>
      <c r="D4839" s="12" t="s">
        <v>45</v>
      </c>
      <c r="E4839" s="138" t="s">
        <v>3460</v>
      </c>
      <c r="F4839" s="65" t="s">
        <v>3606</v>
      </c>
      <c r="G4839" s="66" t="s">
        <v>1239</v>
      </c>
      <c r="I4839" s="99" t="s">
        <v>3607</v>
      </c>
    </row>
    <row r="4840" spans="1:27" hidden="1" x14ac:dyDescent="0.2">
      <c r="A4840" s="11" t="s">
        <v>3633</v>
      </c>
      <c r="B4840" s="12" t="s">
        <v>3634</v>
      </c>
      <c r="C4840" s="13">
        <v>73</v>
      </c>
      <c r="D4840" s="12" t="s">
        <v>45</v>
      </c>
      <c r="E4840" s="138" t="s">
        <v>3635</v>
      </c>
      <c r="F4840" s="65" t="s">
        <v>3726</v>
      </c>
      <c r="G4840" s="66" t="s">
        <v>1239</v>
      </c>
      <c r="I4840" s="99" t="s">
        <v>3607</v>
      </c>
    </row>
    <row r="4841" spans="1:27" hidden="1" x14ac:dyDescent="0.2">
      <c r="A4841" s="56" t="s">
        <v>3937</v>
      </c>
      <c r="B4841" s="61" t="s">
        <v>3938</v>
      </c>
      <c r="C4841" s="58">
        <v>6</v>
      </c>
      <c r="D4841" s="17" t="s">
        <v>45</v>
      </c>
      <c r="E4841" s="89" t="s">
        <v>3939</v>
      </c>
      <c r="F4841" s="17" t="s">
        <v>3946</v>
      </c>
      <c r="G4841" s="129" t="s">
        <v>42</v>
      </c>
    </row>
    <row r="4842" spans="1:27" hidden="1" x14ac:dyDescent="0.25">
      <c r="A4842" s="11" t="s">
        <v>4087</v>
      </c>
      <c r="B4842" s="12" t="s">
        <v>4088</v>
      </c>
      <c r="C4842" s="13">
        <f>C4841+1</f>
        <v>7</v>
      </c>
      <c r="D4842" s="12" t="s">
        <v>45</v>
      </c>
      <c r="E4842" s="28" t="s">
        <v>4089</v>
      </c>
      <c r="F4842" s="12" t="s">
        <v>4198</v>
      </c>
      <c r="G4842" s="15" t="s">
        <v>1239</v>
      </c>
      <c r="I4842" s="99" t="s">
        <v>3607</v>
      </c>
    </row>
    <row r="4843" spans="1:27" hidden="1" x14ac:dyDescent="0.25">
      <c r="A4843" s="11" t="s">
        <v>4212</v>
      </c>
      <c r="B4843" s="12" t="s">
        <v>4213</v>
      </c>
      <c r="C4843" s="13">
        <f>C4842+1</f>
        <v>8</v>
      </c>
      <c r="D4843" s="12" t="s">
        <v>45</v>
      </c>
      <c r="E4843" s="28" t="s">
        <v>4214</v>
      </c>
      <c r="F4843" s="12" t="s">
        <v>4306</v>
      </c>
      <c r="G4843" s="15" t="s">
        <v>1239</v>
      </c>
      <c r="I4843" s="99" t="s">
        <v>3607</v>
      </c>
    </row>
    <row r="4844" spans="1:27" hidden="1" x14ac:dyDescent="0.25">
      <c r="A4844" s="146" t="s">
        <v>5029</v>
      </c>
      <c r="B4844" s="12" t="s">
        <v>5030</v>
      </c>
      <c r="C4844" s="13">
        <v>6</v>
      </c>
      <c r="D4844" s="22" t="s">
        <v>45</v>
      </c>
      <c r="E4844" s="28" t="s">
        <v>5031</v>
      </c>
      <c r="F4844" s="22" t="s">
        <v>5037</v>
      </c>
      <c r="G4844" s="80" t="s">
        <v>42</v>
      </c>
    </row>
    <row r="4845" spans="1:27" hidden="1" x14ac:dyDescent="0.25">
      <c r="A4845" s="146" t="s">
        <v>5042</v>
      </c>
      <c r="B4845" s="12" t="s">
        <v>5043</v>
      </c>
      <c r="C4845" s="13">
        <v>6</v>
      </c>
      <c r="D4845" s="22" t="s">
        <v>45</v>
      </c>
      <c r="E4845" s="28" t="s">
        <v>5044</v>
      </c>
      <c r="F4845" s="22" t="s">
        <v>5051</v>
      </c>
      <c r="G4845" s="80" t="s">
        <v>42</v>
      </c>
    </row>
    <row r="4846" spans="1:27" hidden="1" x14ac:dyDescent="0.2">
      <c r="A4846" s="56" t="s">
        <v>6163</v>
      </c>
      <c r="B4846" s="61" t="s">
        <v>6164</v>
      </c>
      <c r="C4846" s="58">
        <v>6</v>
      </c>
      <c r="D4846" s="17" t="s">
        <v>2626</v>
      </c>
      <c r="E4846" s="89" t="s">
        <v>6165</v>
      </c>
      <c r="F4846" s="17" t="s">
        <v>6171</v>
      </c>
      <c r="G4846" s="129" t="s">
        <v>42</v>
      </c>
    </row>
    <row r="4847" spans="1:27" hidden="1" x14ac:dyDescent="0.2">
      <c r="A4847" s="21" t="s">
        <v>6518</v>
      </c>
      <c r="B4847" s="22" t="s">
        <v>6519</v>
      </c>
      <c r="C4847" s="23">
        <v>6</v>
      </c>
      <c r="D4847" s="22" t="s">
        <v>2626</v>
      </c>
      <c r="E4847" s="25" t="s">
        <v>6520</v>
      </c>
      <c r="F4847" s="22" t="s">
        <v>6526</v>
      </c>
      <c r="G4847" s="71" t="s">
        <v>42</v>
      </c>
      <c r="H4847" s="38"/>
      <c r="I4847" s="39">
        <v>15</v>
      </c>
      <c r="J4847" s="38"/>
      <c r="K4847" s="38"/>
      <c r="L4847" s="38"/>
      <c r="M4847" s="38"/>
      <c r="N4847" s="38"/>
      <c r="O4847" s="38"/>
      <c r="P4847" s="38"/>
      <c r="Q4847" s="38"/>
      <c r="R4847" s="38"/>
      <c r="S4847" s="38"/>
      <c r="T4847" s="38"/>
      <c r="U4847" s="38"/>
      <c r="V4847" s="38"/>
      <c r="W4847" s="38"/>
      <c r="X4847" s="38"/>
      <c r="Y4847" s="38"/>
      <c r="Z4847" s="38"/>
      <c r="AA4847" s="38"/>
    </row>
    <row r="4848" spans="1:27" hidden="1" x14ac:dyDescent="0.2">
      <c r="A4848" s="11" t="s">
        <v>93</v>
      </c>
      <c r="B4848" s="12" t="s">
        <v>94</v>
      </c>
      <c r="C4848" s="13">
        <v>86</v>
      </c>
      <c r="D4848" s="14" t="s">
        <v>272</v>
      </c>
      <c r="E4848" s="28" t="s">
        <v>96</v>
      </c>
      <c r="F4848" s="12" t="s">
        <v>273</v>
      </c>
      <c r="G4848" s="15" t="s">
        <v>271</v>
      </c>
      <c r="I4848" s="99">
        <v>13</v>
      </c>
    </row>
    <row r="4849" spans="1:27" hidden="1" x14ac:dyDescent="0.25">
      <c r="A4849" s="11" t="s">
        <v>5686</v>
      </c>
      <c r="B4849" s="12" t="s">
        <v>5687</v>
      </c>
      <c r="C4849" s="13">
        <f>C4848+1</f>
        <v>87</v>
      </c>
      <c r="D4849" s="12" t="s">
        <v>5758</v>
      </c>
      <c r="E4849" s="28" t="s">
        <v>5688</v>
      </c>
      <c r="F4849" s="12" t="s">
        <v>5759</v>
      </c>
      <c r="G4849" s="15" t="s">
        <v>32</v>
      </c>
      <c r="I4849" s="90">
        <v>12</v>
      </c>
    </row>
    <row r="4850" spans="1:27" ht="12.75" hidden="1" thickBot="1" x14ac:dyDescent="0.3">
      <c r="A4850" s="36" t="s">
        <v>5686</v>
      </c>
      <c r="B4850" s="30" t="s">
        <v>5687</v>
      </c>
      <c r="C4850" s="31">
        <f>C4849+1</f>
        <v>88</v>
      </c>
      <c r="D4850" s="30" t="s">
        <v>5756</v>
      </c>
      <c r="E4850" s="32" t="s">
        <v>5688</v>
      </c>
      <c r="F4850" s="30" t="s">
        <v>5757</v>
      </c>
      <c r="G4850" s="33" t="s">
        <v>32</v>
      </c>
      <c r="I4850" s="90">
        <v>12</v>
      </c>
    </row>
    <row r="4851" spans="1:27" s="10" customFormat="1" hidden="1" x14ac:dyDescent="0.2">
      <c r="A4851" s="56" t="s">
        <v>3458</v>
      </c>
      <c r="B4851" s="61" t="s">
        <v>3459</v>
      </c>
      <c r="C4851" s="201" t="s">
        <v>3567</v>
      </c>
      <c r="D4851" s="61" t="s">
        <v>3568</v>
      </c>
      <c r="E4851" s="137" t="s">
        <v>3460</v>
      </c>
      <c r="F4851" s="74" t="s">
        <v>3569</v>
      </c>
      <c r="G4851" s="129" t="s">
        <v>862</v>
      </c>
      <c r="H4851" s="8"/>
      <c r="I4851" s="94" t="s">
        <v>3570</v>
      </c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  <c r="V4851" s="8"/>
      <c r="W4851" s="8"/>
      <c r="X4851" s="8"/>
      <c r="Y4851" s="8"/>
      <c r="Z4851" s="8"/>
      <c r="AA4851" s="8"/>
    </row>
    <row r="4852" spans="1:27" s="10" customFormat="1" hidden="1" x14ac:dyDescent="0.2">
      <c r="A4852" s="11" t="s">
        <v>3633</v>
      </c>
      <c r="B4852" s="12" t="s">
        <v>3634</v>
      </c>
      <c r="C4852" s="13">
        <v>54</v>
      </c>
      <c r="D4852" s="12" t="s">
        <v>3568</v>
      </c>
      <c r="E4852" s="138" t="s">
        <v>3635</v>
      </c>
      <c r="F4852" s="65" t="s">
        <v>3706</v>
      </c>
      <c r="G4852" s="66" t="s">
        <v>862</v>
      </c>
      <c r="H4852" s="8"/>
      <c r="I4852" s="94" t="s">
        <v>3570</v>
      </c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  <c r="V4852" s="8"/>
      <c r="W4852" s="8"/>
      <c r="X4852" s="8"/>
      <c r="Y4852" s="8"/>
      <c r="Z4852" s="8"/>
      <c r="AA4852" s="8"/>
    </row>
    <row r="4853" spans="1:27" s="10" customFormat="1" hidden="1" x14ac:dyDescent="0.2">
      <c r="A4853" s="11" t="s">
        <v>4087</v>
      </c>
      <c r="B4853" s="12" t="s">
        <v>4088</v>
      </c>
      <c r="C4853" s="13">
        <f>C4851+1</f>
        <v>54</v>
      </c>
      <c r="D4853" s="12" t="s">
        <v>3568</v>
      </c>
      <c r="E4853" s="28" t="s">
        <v>4089</v>
      </c>
      <c r="F4853" s="12" t="s">
        <v>4140</v>
      </c>
      <c r="G4853" s="66" t="s">
        <v>862</v>
      </c>
      <c r="H4853" s="8"/>
      <c r="I4853" s="94" t="s">
        <v>3570</v>
      </c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  <c r="V4853" s="8"/>
      <c r="W4853" s="8"/>
      <c r="X4853" s="8"/>
      <c r="Y4853" s="8"/>
      <c r="Z4853" s="8"/>
      <c r="AA4853" s="8"/>
    </row>
    <row r="4854" spans="1:27" s="10" customFormat="1" hidden="1" x14ac:dyDescent="0.2">
      <c r="A4854" s="11" t="s">
        <v>4212</v>
      </c>
      <c r="B4854" s="12" t="s">
        <v>4213</v>
      </c>
      <c r="C4854" s="13">
        <f>C4852+1</f>
        <v>55</v>
      </c>
      <c r="D4854" s="12" t="s">
        <v>3568</v>
      </c>
      <c r="E4854" s="28" t="s">
        <v>4214</v>
      </c>
      <c r="F4854" s="12" t="s">
        <v>4264</v>
      </c>
      <c r="G4854" s="66" t="s">
        <v>862</v>
      </c>
      <c r="H4854" s="8"/>
      <c r="I4854" s="94" t="s">
        <v>3570</v>
      </c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  <c r="V4854" s="8"/>
      <c r="W4854" s="8"/>
      <c r="X4854" s="8"/>
      <c r="Y4854" s="8"/>
      <c r="Z4854" s="8"/>
      <c r="AA4854" s="8"/>
    </row>
    <row r="4855" spans="1:27" s="10" customFormat="1" ht="12.75" hidden="1" thickBot="1" x14ac:dyDescent="0.25">
      <c r="A4855" s="36" t="s">
        <v>3400</v>
      </c>
      <c r="B4855" s="30" t="s">
        <v>3401</v>
      </c>
      <c r="C4855" s="31">
        <v>6</v>
      </c>
      <c r="D4855" s="30" t="s">
        <v>3410</v>
      </c>
      <c r="E4855" s="140" t="s">
        <v>3402</v>
      </c>
      <c r="F4855" s="67" t="s">
        <v>3411</v>
      </c>
      <c r="G4855" s="68" t="s">
        <v>126</v>
      </c>
      <c r="H4855" s="8"/>
      <c r="I4855" s="90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  <c r="V4855" s="8"/>
      <c r="W4855" s="8"/>
      <c r="X4855" s="8"/>
      <c r="Y4855" s="8"/>
      <c r="Z4855" s="8"/>
      <c r="AA4855" s="8"/>
    </row>
    <row r="4856" spans="1:27" s="10" customFormat="1" hidden="1" x14ac:dyDescent="0.2">
      <c r="A4856" s="56" t="s">
        <v>3741</v>
      </c>
      <c r="B4856" s="61" t="s">
        <v>3742</v>
      </c>
      <c r="C4856" s="58">
        <v>7</v>
      </c>
      <c r="D4856" s="61" t="s">
        <v>3410</v>
      </c>
      <c r="E4856" s="137" t="s">
        <v>3743</v>
      </c>
      <c r="F4856" s="74" t="s">
        <v>3752</v>
      </c>
      <c r="G4856" s="129" t="s">
        <v>32</v>
      </c>
      <c r="H4856" s="8"/>
      <c r="I4856" s="90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  <c r="V4856" s="8"/>
      <c r="W4856" s="8"/>
      <c r="X4856" s="8"/>
      <c r="Y4856" s="8"/>
      <c r="Z4856" s="8"/>
      <c r="AA4856" s="8"/>
    </row>
    <row r="4857" spans="1:27" s="10" customFormat="1" hidden="1" x14ac:dyDescent="0.2">
      <c r="A4857" s="11" t="s">
        <v>4347</v>
      </c>
      <c r="B4857" s="12" t="s">
        <v>4348</v>
      </c>
      <c r="C4857" s="13">
        <f>C4856+1</f>
        <v>8</v>
      </c>
      <c r="D4857" s="12" t="s">
        <v>3410</v>
      </c>
      <c r="E4857" s="28" t="s">
        <v>4349</v>
      </c>
      <c r="F4857" s="12" t="s">
        <v>4355</v>
      </c>
      <c r="G4857" s="66" t="s">
        <v>126</v>
      </c>
      <c r="H4857" s="8"/>
      <c r="I4857" s="90" t="s">
        <v>2426</v>
      </c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  <c r="V4857" s="8"/>
      <c r="W4857" s="8"/>
      <c r="X4857" s="8"/>
      <c r="Y4857" s="8"/>
      <c r="Z4857" s="8"/>
      <c r="AA4857" s="8"/>
    </row>
    <row r="4858" spans="1:27" s="10" customFormat="1" hidden="1" x14ac:dyDescent="0.25">
      <c r="A4858" s="11" t="s">
        <v>5921</v>
      </c>
      <c r="B4858" s="12" t="s">
        <v>5922</v>
      </c>
      <c r="C4858" s="13">
        <v>13</v>
      </c>
      <c r="D4858" s="12" t="s">
        <v>3410</v>
      </c>
      <c r="E4858" s="28" t="s">
        <v>5923</v>
      </c>
      <c r="F4858" s="12" t="s">
        <v>5942</v>
      </c>
      <c r="G4858" s="15" t="s">
        <v>687</v>
      </c>
      <c r="H4858" s="8"/>
      <c r="I4858" s="101" t="s">
        <v>5818</v>
      </c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  <c r="V4858" s="8"/>
      <c r="W4858" s="8"/>
      <c r="X4858" s="8"/>
      <c r="Y4858" s="8"/>
      <c r="Z4858" s="8"/>
      <c r="AA4858" s="8"/>
    </row>
    <row r="4859" spans="1:27" s="10" customFormat="1" hidden="1" x14ac:dyDescent="0.25">
      <c r="A4859" s="11" t="s">
        <v>6176</v>
      </c>
      <c r="B4859" s="12" t="s">
        <v>6177</v>
      </c>
      <c r="C4859" s="13">
        <f>C4858+1</f>
        <v>14</v>
      </c>
      <c r="D4859" s="12" t="s">
        <v>6186</v>
      </c>
      <c r="E4859" s="28" t="s">
        <v>6178</v>
      </c>
      <c r="F4859" s="12" t="s">
        <v>6187</v>
      </c>
      <c r="G4859" s="15" t="s">
        <v>13</v>
      </c>
      <c r="H4859" s="8"/>
      <c r="I4859" s="90">
        <v>12</v>
      </c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  <c r="V4859" s="8"/>
      <c r="W4859" s="8"/>
      <c r="X4859" s="8"/>
      <c r="Y4859" s="8"/>
      <c r="Z4859" s="8"/>
      <c r="AA4859" s="8"/>
    </row>
    <row r="4860" spans="1:27" s="10" customFormat="1" ht="12.75" hidden="1" thickBot="1" x14ac:dyDescent="0.3">
      <c r="A4860" s="36" t="s">
        <v>6357</v>
      </c>
      <c r="B4860" s="30" t="s">
        <v>6358</v>
      </c>
      <c r="C4860" s="31">
        <v>6</v>
      </c>
      <c r="D4860" s="30" t="s">
        <v>6186</v>
      </c>
      <c r="E4860" s="32" t="s">
        <v>6359</v>
      </c>
      <c r="F4860" s="30" t="s">
        <v>6367</v>
      </c>
      <c r="G4860" s="33" t="s">
        <v>483</v>
      </c>
      <c r="H4860" s="8"/>
      <c r="I4860" s="99">
        <v>13</v>
      </c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  <c r="V4860" s="8"/>
      <c r="W4860" s="8"/>
      <c r="X4860" s="8"/>
      <c r="Y4860" s="8"/>
      <c r="Z4860" s="8"/>
      <c r="AA4860" s="8"/>
    </row>
    <row r="4861" spans="1:27" s="10" customFormat="1" hidden="1" x14ac:dyDescent="0.2">
      <c r="A4861" s="56" t="s">
        <v>6584</v>
      </c>
      <c r="B4861" s="61" t="s">
        <v>6585</v>
      </c>
      <c r="C4861" s="58">
        <v>10</v>
      </c>
      <c r="D4861" s="74" t="s">
        <v>6186</v>
      </c>
      <c r="E4861" s="89" t="s">
        <v>6586</v>
      </c>
      <c r="F4861" s="61" t="s">
        <v>6599</v>
      </c>
      <c r="G4861" s="62" t="s">
        <v>13</v>
      </c>
      <c r="H4861" s="8"/>
      <c r="I4861" s="90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  <c r="V4861" s="8"/>
      <c r="W4861" s="8"/>
      <c r="X4861" s="8"/>
      <c r="Y4861" s="8"/>
      <c r="Z4861" s="8"/>
      <c r="AA4861" s="8"/>
    </row>
    <row r="4862" spans="1:27" s="10" customFormat="1" hidden="1" x14ac:dyDescent="0.25">
      <c r="A4862" s="11" t="s">
        <v>1031</v>
      </c>
      <c r="B4862" s="12" t="s">
        <v>1032</v>
      </c>
      <c r="C4862" s="13">
        <v>13</v>
      </c>
      <c r="D4862" s="41" t="s">
        <v>1056</v>
      </c>
      <c r="E4862" s="28" t="s">
        <v>1033</v>
      </c>
      <c r="F4862" s="12" t="s">
        <v>1057</v>
      </c>
      <c r="G4862" s="15" t="s">
        <v>829</v>
      </c>
      <c r="H4862" s="8"/>
      <c r="I4862" s="9">
        <v>15</v>
      </c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  <c r="V4862" s="8"/>
      <c r="W4862" s="8"/>
      <c r="X4862" s="8"/>
      <c r="Y4862" s="8"/>
      <c r="Z4862" s="8"/>
      <c r="AA4862" s="8"/>
    </row>
    <row r="4863" spans="1:27" s="10" customFormat="1" hidden="1" x14ac:dyDescent="0.25">
      <c r="A4863" s="11" t="s">
        <v>5921</v>
      </c>
      <c r="B4863" s="12" t="s">
        <v>5922</v>
      </c>
      <c r="C4863" s="13">
        <v>10</v>
      </c>
      <c r="D4863" s="12" t="s">
        <v>5937</v>
      </c>
      <c r="E4863" s="28" t="s">
        <v>5923</v>
      </c>
      <c r="F4863" s="12" t="s">
        <v>5938</v>
      </c>
      <c r="G4863" s="15" t="s">
        <v>676</v>
      </c>
      <c r="H4863" s="8"/>
      <c r="I4863" s="101" t="s">
        <v>5818</v>
      </c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  <c r="V4863" s="8"/>
      <c r="W4863" s="8"/>
      <c r="X4863" s="8"/>
      <c r="Y4863" s="8"/>
      <c r="Z4863" s="8"/>
      <c r="AA4863" s="8"/>
    </row>
    <row r="4864" spans="1:27" s="10" customFormat="1" hidden="1" x14ac:dyDescent="0.2">
      <c r="A4864" s="11" t="s">
        <v>2631</v>
      </c>
      <c r="B4864" s="12" t="s">
        <v>2632</v>
      </c>
      <c r="C4864" s="13">
        <v>61</v>
      </c>
      <c r="D4864" s="14" t="s">
        <v>2749</v>
      </c>
      <c r="E4864" s="28" t="s">
        <v>2634</v>
      </c>
      <c r="F4864" s="65" t="s">
        <v>2750</v>
      </c>
      <c r="G4864" s="66" t="s">
        <v>13</v>
      </c>
      <c r="H4864" s="8"/>
      <c r="I4864" s="90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  <c r="V4864" s="8"/>
      <c r="W4864" s="8"/>
      <c r="X4864" s="8"/>
      <c r="Y4864" s="8"/>
      <c r="Z4864" s="8"/>
      <c r="AA4864" s="8"/>
    </row>
    <row r="4865" spans="1:27" s="10" customFormat="1" ht="12.75" hidden="1" thickBot="1" x14ac:dyDescent="0.3">
      <c r="A4865" s="36" t="s">
        <v>5886</v>
      </c>
      <c r="B4865" s="30" t="s">
        <v>5887</v>
      </c>
      <c r="C4865" s="31">
        <v>6</v>
      </c>
      <c r="D4865" s="4" t="s">
        <v>5894</v>
      </c>
      <c r="E4865" s="32" t="s">
        <v>5888</v>
      </c>
      <c r="F4865" s="4" t="s">
        <v>5895</v>
      </c>
      <c r="G4865" s="33" t="s">
        <v>13</v>
      </c>
      <c r="H4865" s="8"/>
      <c r="I4865" s="99">
        <v>13</v>
      </c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  <c r="V4865" s="8"/>
      <c r="W4865" s="8"/>
      <c r="X4865" s="8"/>
      <c r="Y4865" s="8"/>
      <c r="Z4865" s="8"/>
      <c r="AA4865" s="8"/>
    </row>
    <row r="4866" spans="1:27" s="10" customFormat="1" hidden="1" x14ac:dyDescent="0.2">
      <c r="A4866" s="56" t="s">
        <v>3458</v>
      </c>
      <c r="B4866" s="61" t="s">
        <v>3459</v>
      </c>
      <c r="C4866" s="58">
        <v>6</v>
      </c>
      <c r="D4866" s="17" t="s">
        <v>3466</v>
      </c>
      <c r="E4866" s="137" t="s">
        <v>3460</v>
      </c>
      <c r="F4866" s="128" t="s">
        <v>3467</v>
      </c>
      <c r="G4866" s="129" t="s">
        <v>13</v>
      </c>
      <c r="H4866" s="8"/>
      <c r="I4866" s="90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  <c r="V4866" s="8"/>
      <c r="W4866" s="8"/>
      <c r="X4866" s="8"/>
      <c r="Y4866" s="8"/>
      <c r="Z4866" s="8"/>
      <c r="AA4866" s="8"/>
    </row>
    <row r="4867" spans="1:27" s="10" customFormat="1" hidden="1" x14ac:dyDescent="0.2">
      <c r="A4867" s="11" t="s">
        <v>3633</v>
      </c>
      <c r="B4867" s="12" t="s">
        <v>3634</v>
      </c>
      <c r="C4867" s="13">
        <v>7</v>
      </c>
      <c r="D4867" s="22" t="s">
        <v>3466</v>
      </c>
      <c r="E4867" s="138" t="s">
        <v>3635</v>
      </c>
      <c r="F4867" s="75" t="s">
        <v>3642</v>
      </c>
      <c r="G4867" s="66" t="s">
        <v>13</v>
      </c>
      <c r="H4867" s="8"/>
      <c r="I4867" s="90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  <c r="V4867" s="8"/>
      <c r="W4867" s="8"/>
      <c r="X4867" s="8"/>
      <c r="Y4867" s="8"/>
      <c r="Z4867" s="8"/>
      <c r="AA4867" s="8"/>
    </row>
    <row r="4868" spans="1:27" s="10" customFormat="1" hidden="1" x14ac:dyDescent="0.2">
      <c r="A4868" s="11" t="s">
        <v>4087</v>
      </c>
      <c r="B4868" s="12" t="s">
        <v>4088</v>
      </c>
      <c r="C4868" s="13">
        <f>C4867+1</f>
        <v>8</v>
      </c>
      <c r="D4868" s="22" t="s">
        <v>3466</v>
      </c>
      <c r="E4868" s="28" t="s">
        <v>4089</v>
      </c>
      <c r="F4868" s="22" t="s">
        <v>4095</v>
      </c>
      <c r="G4868" s="66" t="s">
        <v>13</v>
      </c>
      <c r="H4868" s="8"/>
      <c r="I4868" s="90" t="s">
        <v>2426</v>
      </c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  <c r="V4868" s="8"/>
      <c r="W4868" s="8"/>
      <c r="X4868" s="8"/>
      <c r="Y4868" s="8"/>
      <c r="Z4868" s="8"/>
      <c r="AA4868" s="8"/>
    </row>
    <row r="4869" spans="1:27" s="10" customFormat="1" hidden="1" x14ac:dyDescent="0.2">
      <c r="A4869" s="11" t="s">
        <v>4212</v>
      </c>
      <c r="B4869" s="12" t="s">
        <v>4213</v>
      </c>
      <c r="C4869" s="13">
        <f>C4868+1</f>
        <v>9</v>
      </c>
      <c r="D4869" s="22" t="s">
        <v>3466</v>
      </c>
      <c r="E4869" s="28" t="s">
        <v>4214</v>
      </c>
      <c r="F4869" s="22" t="s">
        <v>4221</v>
      </c>
      <c r="G4869" s="66" t="s">
        <v>13</v>
      </c>
      <c r="H4869" s="8"/>
      <c r="I4869" s="90" t="s">
        <v>2426</v>
      </c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  <c r="V4869" s="8"/>
      <c r="W4869" s="8"/>
      <c r="X4869" s="8"/>
      <c r="Y4869" s="8"/>
      <c r="Z4869" s="8"/>
      <c r="AA4869" s="8"/>
    </row>
    <row r="4870" spans="1:27" s="10" customFormat="1" ht="12.75" hidden="1" thickBot="1" x14ac:dyDescent="0.25">
      <c r="A4870" s="36" t="s">
        <v>3458</v>
      </c>
      <c r="B4870" s="30" t="s">
        <v>3459</v>
      </c>
      <c r="C4870" s="31">
        <v>21</v>
      </c>
      <c r="D4870" s="30" t="s">
        <v>3494</v>
      </c>
      <c r="E4870" s="140" t="s">
        <v>3460</v>
      </c>
      <c r="F4870" s="67" t="s">
        <v>3495</v>
      </c>
      <c r="G4870" s="68" t="s">
        <v>13</v>
      </c>
      <c r="H4870" s="8"/>
      <c r="I4870" s="90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  <c r="V4870" s="8"/>
      <c r="W4870" s="8"/>
      <c r="X4870" s="8"/>
      <c r="Y4870" s="8"/>
      <c r="Z4870" s="8"/>
      <c r="AA4870" s="8"/>
    </row>
    <row r="4871" spans="1:27" s="10" customFormat="1" hidden="1" x14ac:dyDescent="0.2">
      <c r="A4871" s="56" t="s">
        <v>3633</v>
      </c>
      <c r="B4871" s="61" t="s">
        <v>3634</v>
      </c>
      <c r="C4871" s="58">
        <v>22</v>
      </c>
      <c r="D4871" s="61" t="s">
        <v>3494</v>
      </c>
      <c r="E4871" s="137" t="s">
        <v>3635</v>
      </c>
      <c r="F4871" s="74" t="s">
        <v>3661</v>
      </c>
      <c r="G4871" s="129" t="s">
        <v>13</v>
      </c>
      <c r="H4871" s="8"/>
      <c r="I4871" s="90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  <c r="V4871" s="8"/>
      <c r="W4871" s="8"/>
      <c r="X4871" s="8"/>
      <c r="Y4871" s="8"/>
      <c r="Z4871" s="8"/>
      <c r="AA4871" s="8"/>
    </row>
    <row r="4872" spans="1:27" s="10" customFormat="1" hidden="1" x14ac:dyDescent="0.2">
      <c r="A4872" s="11" t="s">
        <v>3763</v>
      </c>
      <c r="B4872" s="12" t="s">
        <v>3764</v>
      </c>
      <c r="C4872" s="13">
        <v>6</v>
      </c>
      <c r="D4872" s="22" t="s">
        <v>3494</v>
      </c>
      <c r="E4872" s="28" t="s">
        <v>3765</v>
      </c>
      <c r="F4872" s="75" t="s">
        <v>3771</v>
      </c>
      <c r="G4872" s="66" t="s">
        <v>13</v>
      </c>
      <c r="H4872" s="8"/>
      <c r="I4872" s="90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  <c r="V4872" s="8"/>
      <c r="W4872" s="8"/>
      <c r="X4872" s="8"/>
      <c r="Y4872" s="8"/>
      <c r="Z4872" s="8"/>
      <c r="AA4872" s="8"/>
    </row>
    <row r="4873" spans="1:27" s="10" customFormat="1" hidden="1" x14ac:dyDescent="0.2">
      <c r="A4873" s="11" t="s">
        <v>3799</v>
      </c>
      <c r="B4873" s="12" t="s">
        <v>3800</v>
      </c>
      <c r="C4873" s="13">
        <v>6</v>
      </c>
      <c r="D4873" s="22" t="s">
        <v>3494</v>
      </c>
      <c r="E4873" s="28" t="s">
        <v>3801</v>
      </c>
      <c r="F4873" s="75" t="s">
        <v>3807</v>
      </c>
      <c r="G4873" s="66" t="s">
        <v>13</v>
      </c>
      <c r="H4873" s="8"/>
      <c r="I4873" s="90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  <c r="V4873" s="8"/>
      <c r="W4873" s="8"/>
      <c r="X4873" s="8"/>
      <c r="Y4873" s="8"/>
      <c r="Z4873" s="8"/>
      <c r="AA4873" s="8"/>
    </row>
    <row r="4874" spans="1:27" s="10" customFormat="1" hidden="1" x14ac:dyDescent="0.2">
      <c r="A4874" s="11" t="s">
        <v>3839</v>
      </c>
      <c r="B4874" s="12" t="s">
        <v>3840</v>
      </c>
      <c r="C4874" s="13">
        <v>6</v>
      </c>
      <c r="D4874" s="22" t="s">
        <v>3494</v>
      </c>
      <c r="E4874" s="28" t="s">
        <v>3841</v>
      </c>
      <c r="F4874" s="75" t="s">
        <v>3847</v>
      </c>
      <c r="G4874" s="66" t="s">
        <v>13</v>
      </c>
      <c r="H4874" s="8"/>
      <c r="I4874" s="90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  <c r="V4874" s="8"/>
      <c r="W4874" s="8"/>
      <c r="X4874" s="8"/>
      <c r="Y4874" s="8"/>
      <c r="Z4874" s="8"/>
      <c r="AA4874" s="8"/>
    </row>
    <row r="4875" spans="1:27" s="10" customFormat="1" ht="12.75" hidden="1" thickBot="1" x14ac:dyDescent="0.25">
      <c r="A4875" s="36" t="s">
        <v>3858</v>
      </c>
      <c r="B4875" s="30" t="s">
        <v>3859</v>
      </c>
      <c r="C4875" s="31">
        <v>6</v>
      </c>
      <c r="D4875" s="4" t="s">
        <v>3494</v>
      </c>
      <c r="E4875" s="32" t="s">
        <v>3860</v>
      </c>
      <c r="F4875" s="64" t="s">
        <v>3866</v>
      </c>
      <c r="G4875" s="68" t="s">
        <v>13</v>
      </c>
      <c r="H4875" s="8"/>
      <c r="I4875" s="90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  <c r="V4875" s="8"/>
      <c r="W4875" s="8"/>
      <c r="X4875" s="8"/>
      <c r="Y4875" s="8"/>
      <c r="Z4875" s="8"/>
      <c r="AA4875" s="8"/>
    </row>
    <row r="4876" spans="1:27" s="10" customFormat="1" hidden="1" x14ac:dyDescent="0.2">
      <c r="A4876" s="56" t="s">
        <v>3880</v>
      </c>
      <c r="B4876" s="61" t="s">
        <v>3881</v>
      </c>
      <c r="C4876" s="58">
        <v>7</v>
      </c>
      <c r="D4876" s="17" t="s">
        <v>3494</v>
      </c>
      <c r="E4876" s="89" t="s">
        <v>3882</v>
      </c>
      <c r="F4876" s="17" t="s">
        <v>3890</v>
      </c>
      <c r="G4876" s="129" t="s">
        <v>13</v>
      </c>
      <c r="H4876" s="8"/>
      <c r="I4876" s="90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  <c r="V4876" s="8"/>
      <c r="W4876" s="8"/>
      <c r="X4876" s="8"/>
      <c r="Y4876" s="8"/>
      <c r="Z4876" s="8"/>
      <c r="AA4876" s="8"/>
    </row>
    <row r="4877" spans="1:27" s="10" customFormat="1" hidden="1" x14ac:dyDescent="0.2">
      <c r="A4877" s="11" t="s">
        <v>3914</v>
      </c>
      <c r="B4877" s="12" t="s">
        <v>3915</v>
      </c>
      <c r="C4877" s="13">
        <v>7</v>
      </c>
      <c r="D4877" s="22" t="s">
        <v>3494</v>
      </c>
      <c r="E4877" s="28" t="s">
        <v>3916</v>
      </c>
      <c r="F4877" s="22" t="s">
        <v>3923</v>
      </c>
      <c r="G4877" s="66" t="s">
        <v>13</v>
      </c>
      <c r="H4877" s="8"/>
      <c r="I4877" s="90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  <c r="V4877" s="8"/>
      <c r="W4877" s="8"/>
      <c r="X4877" s="8"/>
      <c r="Y4877" s="8"/>
      <c r="Z4877" s="8"/>
      <c r="AA4877" s="8"/>
    </row>
    <row r="4878" spans="1:27" s="10" customFormat="1" hidden="1" x14ac:dyDescent="0.2">
      <c r="A4878" s="11" t="s">
        <v>4013</v>
      </c>
      <c r="B4878" s="12" t="s">
        <v>4014</v>
      </c>
      <c r="C4878" s="13">
        <v>4</v>
      </c>
      <c r="D4878" s="22" t="s">
        <v>3494</v>
      </c>
      <c r="E4878" s="28" t="s">
        <v>4015</v>
      </c>
      <c r="F4878" s="22" t="s">
        <v>4019</v>
      </c>
      <c r="G4878" s="66" t="s">
        <v>13</v>
      </c>
      <c r="H4878" s="8"/>
      <c r="I4878" s="90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  <c r="V4878" s="8"/>
      <c r="W4878" s="8"/>
      <c r="X4878" s="8"/>
      <c r="Y4878" s="8"/>
      <c r="Z4878" s="8"/>
      <c r="AA4878" s="8"/>
    </row>
    <row r="4879" spans="1:27" s="10" customFormat="1" hidden="1" x14ac:dyDescent="0.2">
      <c r="A4879" s="11" t="s">
        <v>4087</v>
      </c>
      <c r="B4879" s="12" t="s">
        <v>4088</v>
      </c>
      <c r="C4879" s="13">
        <f>C4878+1</f>
        <v>5</v>
      </c>
      <c r="D4879" s="12" t="s">
        <v>3494</v>
      </c>
      <c r="E4879" s="28" t="s">
        <v>4089</v>
      </c>
      <c r="F4879" s="12" t="s">
        <v>4114</v>
      </c>
      <c r="G4879" s="66" t="s">
        <v>13</v>
      </c>
      <c r="H4879" s="8"/>
      <c r="I4879" s="90" t="s">
        <v>2426</v>
      </c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  <c r="V4879" s="8"/>
      <c r="W4879" s="8"/>
      <c r="X4879" s="8"/>
      <c r="Y4879" s="8"/>
      <c r="Z4879" s="8"/>
      <c r="AA4879" s="8"/>
    </row>
    <row r="4880" spans="1:27" s="10" customFormat="1" ht="12.75" hidden="1" thickBot="1" x14ac:dyDescent="0.25">
      <c r="A4880" s="36" t="s">
        <v>4212</v>
      </c>
      <c r="B4880" s="30" t="s">
        <v>4213</v>
      </c>
      <c r="C4880" s="31">
        <f>C4879+1</f>
        <v>6</v>
      </c>
      <c r="D4880" s="30" t="s">
        <v>3494</v>
      </c>
      <c r="E4880" s="32" t="s">
        <v>4214</v>
      </c>
      <c r="F4880" s="30" t="s">
        <v>4238</v>
      </c>
      <c r="G4880" s="68" t="s">
        <v>13</v>
      </c>
      <c r="H4880" s="8"/>
      <c r="I4880" s="90" t="s">
        <v>2426</v>
      </c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  <c r="V4880" s="8"/>
      <c r="W4880" s="8"/>
      <c r="X4880" s="8"/>
      <c r="Y4880" s="8"/>
      <c r="Z4880" s="8"/>
      <c r="AA4880" s="8"/>
    </row>
    <row r="4881" spans="1:27" s="10" customFormat="1" hidden="1" x14ac:dyDescent="0.2">
      <c r="A4881" s="56" t="s">
        <v>3165</v>
      </c>
      <c r="B4881" s="61" t="s">
        <v>3166</v>
      </c>
      <c r="C4881" s="58">
        <v>6</v>
      </c>
      <c r="D4881" s="17" t="s">
        <v>3173</v>
      </c>
      <c r="E4881" s="19" t="s">
        <v>3167</v>
      </c>
      <c r="F4881" s="128" t="s">
        <v>3174</v>
      </c>
      <c r="G4881" s="70" t="s">
        <v>13</v>
      </c>
      <c r="H4881" s="8"/>
      <c r="I4881" s="90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  <c r="V4881" s="8"/>
      <c r="W4881" s="8"/>
      <c r="X4881" s="8"/>
      <c r="Y4881" s="8"/>
      <c r="Z4881" s="8"/>
      <c r="AA4881" s="8"/>
    </row>
    <row r="4882" spans="1:27" s="10" customFormat="1" hidden="1" x14ac:dyDescent="0.2">
      <c r="A4882" s="11" t="s">
        <v>2631</v>
      </c>
      <c r="B4882" s="12" t="s">
        <v>2632</v>
      </c>
      <c r="C4882" s="13">
        <v>6</v>
      </c>
      <c r="D4882" s="37" t="s">
        <v>2641</v>
      </c>
      <c r="E4882" s="28" t="s">
        <v>2634</v>
      </c>
      <c r="F4882" s="75" t="s">
        <v>2642</v>
      </c>
      <c r="G4882" s="66" t="s">
        <v>13</v>
      </c>
      <c r="H4882" s="8"/>
      <c r="I4882" s="90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  <c r="V4882" s="8"/>
      <c r="W4882" s="8"/>
      <c r="X4882" s="8"/>
      <c r="Y4882" s="8"/>
      <c r="Z4882" s="8"/>
      <c r="AA4882" s="8"/>
    </row>
    <row r="4883" spans="1:27" s="10" customFormat="1" hidden="1" x14ac:dyDescent="0.2">
      <c r="A4883" s="11" t="s">
        <v>2867</v>
      </c>
      <c r="B4883" s="12" t="s">
        <v>2868</v>
      </c>
      <c r="C4883" s="13">
        <v>13</v>
      </c>
      <c r="D4883" s="14" t="s">
        <v>2889</v>
      </c>
      <c r="E4883" s="28" t="s">
        <v>2869</v>
      </c>
      <c r="F4883" s="65" t="s">
        <v>2890</v>
      </c>
      <c r="G4883" s="66" t="s">
        <v>13</v>
      </c>
      <c r="H4883" s="8"/>
      <c r="I4883" s="90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  <c r="V4883" s="8"/>
      <c r="W4883" s="8"/>
      <c r="X4883" s="8"/>
      <c r="Y4883" s="8"/>
      <c r="Z4883" s="8"/>
      <c r="AA4883" s="8"/>
    </row>
    <row r="4884" spans="1:27" s="10" customFormat="1" hidden="1" x14ac:dyDescent="0.2">
      <c r="A4884" s="11" t="s">
        <v>3458</v>
      </c>
      <c r="B4884" s="12" t="s">
        <v>3459</v>
      </c>
      <c r="C4884" s="13">
        <v>38</v>
      </c>
      <c r="D4884" s="12" t="s">
        <v>3528</v>
      </c>
      <c r="E4884" s="138" t="s">
        <v>3460</v>
      </c>
      <c r="F4884" s="65" t="s">
        <v>3529</v>
      </c>
      <c r="G4884" s="66" t="s">
        <v>13</v>
      </c>
      <c r="H4884" s="8"/>
      <c r="I4884" s="90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  <c r="V4884" s="8"/>
      <c r="W4884" s="8"/>
      <c r="X4884" s="8"/>
      <c r="Y4884" s="8"/>
      <c r="Z4884" s="8"/>
      <c r="AA4884" s="8"/>
    </row>
    <row r="4885" spans="1:27" s="10" customFormat="1" ht="12.75" hidden="1" thickBot="1" x14ac:dyDescent="0.25">
      <c r="A4885" s="36" t="s">
        <v>3633</v>
      </c>
      <c r="B4885" s="30" t="s">
        <v>3634</v>
      </c>
      <c r="C4885" s="31">
        <v>39</v>
      </c>
      <c r="D4885" s="30" t="s">
        <v>3528</v>
      </c>
      <c r="E4885" s="140" t="s">
        <v>3635</v>
      </c>
      <c r="F4885" s="67" t="s">
        <v>3682</v>
      </c>
      <c r="G4885" s="68" t="s">
        <v>13</v>
      </c>
      <c r="H4885" s="8"/>
      <c r="I4885" s="90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  <c r="V4885" s="8"/>
      <c r="W4885" s="8"/>
      <c r="X4885" s="8"/>
      <c r="Y4885" s="8"/>
      <c r="Z4885" s="8"/>
      <c r="AA4885" s="8"/>
    </row>
    <row r="4886" spans="1:27" s="10" customFormat="1" hidden="1" x14ac:dyDescent="0.2">
      <c r="A4886" s="56" t="s">
        <v>4087</v>
      </c>
      <c r="B4886" s="61" t="s">
        <v>4088</v>
      </c>
      <c r="C4886" s="58">
        <f>C4885+1</f>
        <v>40</v>
      </c>
      <c r="D4886" s="61" t="s">
        <v>3528</v>
      </c>
      <c r="E4886" s="89" t="s">
        <v>4089</v>
      </c>
      <c r="F4886" s="61" t="s">
        <v>4127</v>
      </c>
      <c r="G4886" s="129" t="s">
        <v>13</v>
      </c>
      <c r="H4886" s="8"/>
      <c r="I4886" s="90" t="s">
        <v>2426</v>
      </c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  <c r="V4886" s="8"/>
      <c r="W4886" s="8"/>
      <c r="X4886" s="8"/>
      <c r="Y4886" s="8"/>
      <c r="Z4886" s="8"/>
      <c r="AA4886" s="8"/>
    </row>
    <row r="4887" spans="1:27" s="10" customFormat="1" hidden="1" x14ac:dyDescent="0.2">
      <c r="A4887" s="11" t="s">
        <v>4212</v>
      </c>
      <c r="B4887" s="12" t="s">
        <v>4213</v>
      </c>
      <c r="C4887" s="13">
        <f>C4886+1</f>
        <v>41</v>
      </c>
      <c r="D4887" s="12" t="s">
        <v>3528</v>
      </c>
      <c r="E4887" s="28" t="s">
        <v>4214</v>
      </c>
      <c r="F4887" s="12" t="s">
        <v>4252</v>
      </c>
      <c r="G4887" s="66" t="s">
        <v>13</v>
      </c>
      <c r="H4887" s="8"/>
      <c r="I4887" s="90" t="s">
        <v>2426</v>
      </c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  <c r="V4887" s="8"/>
      <c r="W4887" s="8"/>
      <c r="X4887" s="8"/>
      <c r="Y4887" s="8"/>
      <c r="Z4887" s="8"/>
      <c r="AA4887" s="8"/>
    </row>
    <row r="4888" spans="1:27" s="10" customFormat="1" hidden="1" x14ac:dyDescent="0.2">
      <c r="A4888" s="11" t="s">
        <v>2566</v>
      </c>
      <c r="B4888" s="12" t="s">
        <v>2567</v>
      </c>
      <c r="C4888" s="13">
        <v>20</v>
      </c>
      <c r="D4888" s="14" t="s">
        <v>2600</v>
      </c>
      <c r="E4888" s="28" t="s">
        <v>2568</v>
      </c>
      <c r="F4888" s="65" t="s">
        <v>2601</v>
      </c>
      <c r="G4888" s="66" t="s">
        <v>13</v>
      </c>
      <c r="H4888" s="8"/>
      <c r="I4888" s="90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  <c r="V4888" s="8"/>
      <c r="W4888" s="8"/>
      <c r="X4888" s="8"/>
      <c r="Y4888" s="8"/>
      <c r="Z4888" s="8"/>
      <c r="AA4888" s="8"/>
    </row>
    <row r="4889" spans="1:27" s="10" customFormat="1" hidden="1" x14ac:dyDescent="0.2">
      <c r="A4889" s="11" t="s">
        <v>2631</v>
      </c>
      <c r="B4889" s="12" t="s">
        <v>2632</v>
      </c>
      <c r="C4889" s="13">
        <v>8</v>
      </c>
      <c r="D4889" s="14" t="s">
        <v>2645</v>
      </c>
      <c r="E4889" s="28" t="s">
        <v>2634</v>
      </c>
      <c r="F4889" s="65" t="s">
        <v>2646</v>
      </c>
      <c r="G4889" s="66" t="s">
        <v>13</v>
      </c>
      <c r="H4889" s="8"/>
      <c r="I4889" s="90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  <c r="V4889" s="8"/>
      <c r="W4889" s="8"/>
      <c r="X4889" s="8"/>
      <c r="Y4889" s="8"/>
      <c r="Z4889" s="8"/>
      <c r="AA4889" s="8"/>
    </row>
    <row r="4890" spans="1:27" s="10" customFormat="1" ht="12.75" hidden="1" thickBot="1" x14ac:dyDescent="0.3">
      <c r="A4890" s="36" t="s">
        <v>5886</v>
      </c>
      <c r="B4890" s="30" t="s">
        <v>5887</v>
      </c>
      <c r="C4890" s="31">
        <v>12</v>
      </c>
      <c r="D4890" s="30" t="s">
        <v>2645</v>
      </c>
      <c r="E4890" s="32" t="s">
        <v>5888</v>
      </c>
      <c r="F4890" s="30" t="s">
        <v>5903</v>
      </c>
      <c r="G4890" s="33" t="s">
        <v>13</v>
      </c>
      <c r="H4890" s="8"/>
      <c r="I4890" s="99">
        <v>13</v>
      </c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  <c r="V4890" s="8"/>
      <c r="W4890" s="8"/>
      <c r="X4890" s="8"/>
      <c r="Y4890" s="8"/>
      <c r="Z4890" s="8"/>
      <c r="AA4890" s="8"/>
    </row>
    <row r="4891" spans="1:27" s="10" customFormat="1" hidden="1" x14ac:dyDescent="0.2">
      <c r="A4891" s="56" t="s">
        <v>3165</v>
      </c>
      <c r="B4891" s="61" t="s">
        <v>3166</v>
      </c>
      <c r="C4891" s="58">
        <v>9</v>
      </c>
      <c r="D4891" s="61" t="s">
        <v>3179</v>
      </c>
      <c r="E4891" s="89" t="s">
        <v>3167</v>
      </c>
      <c r="F4891" s="74" t="s">
        <v>3180</v>
      </c>
      <c r="G4891" s="129" t="s">
        <v>13</v>
      </c>
      <c r="H4891" s="8"/>
      <c r="I4891" s="90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  <c r="V4891" s="8"/>
      <c r="W4891" s="8"/>
      <c r="X4891" s="8"/>
      <c r="Y4891" s="8"/>
      <c r="Z4891" s="8"/>
      <c r="AA4891" s="8"/>
    </row>
    <row r="4892" spans="1:27" s="10" customFormat="1" hidden="1" x14ac:dyDescent="0.2">
      <c r="A4892" s="11" t="s">
        <v>2608</v>
      </c>
      <c r="B4892" s="12" t="s">
        <v>2609</v>
      </c>
      <c r="C4892" s="13">
        <v>9</v>
      </c>
      <c r="D4892" s="14" t="s">
        <v>2620</v>
      </c>
      <c r="E4892" s="28" t="s">
        <v>2610</v>
      </c>
      <c r="F4892" s="65" t="s">
        <v>2621</v>
      </c>
      <c r="G4892" s="66" t="s">
        <v>13</v>
      </c>
      <c r="H4892" s="8"/>
      <c r="I4892" s="90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  <c r="V4892" s="8"/>
      <c r="W4892" s="8"/>
      <c r="X4892" s="8"/>
      <c r="Y4892" s="8"/>
      <c r="Z4892" s="8"/>
      <c r="AA4892" s="8"/>
    </row>
    <row r="4893" spans="1:27" s="10" customFormat="1" hidden="1" x14ac:dyDescent="0.2">
      <c r="A4893" s="11" t="s">
        <v>943</v>
      </c>
      <c r="B4893" s="12" t="s">
        <v>944</v>
      </c>
      <c r="C4893" s="13">
        <v>25</v>
      </c>
      <c r="D4893" s="14" t="s">
        <v>992</v>
      </c>
      <c r="E4893" s="28" t="s">
        <v>945</v>
      </c>
      <c r="F4893" s="12" t="s">
        <v>993</v>
      </c>
      <c r="G4893" s="15" t="s">
        <v>829</v>
      </c>
      <c r="H4893" s="8"/>
      <c r="I4893" s="9">
        <v>15</v>
      </c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  <c r="V4893" s="8"/>
      <c r="W4893" s="8"/>
      <c r="X4893" s="8"/>
      <c r="Y4893" s="8"/>
      <c r="Z4893" s="8"/>
      <c r="AA4893" s="8"/>
    </row>
    <row r="4894" spans="1:27" s="10" customFormat="1" hidden="1" x14ac:dyDescent="0.2">
      <c r="A4894" s="11" t="s">
        <v>2566</v>
      </c>
      <c r="B4894" s="12" t="s">
        <v>2567</v>
      </c>
      <c r="C4894" s="13">
        <v>14</v>
      </c>
      <c r="D4894" s="14" t="s">
        <v>2588</v>
      </c>
      <c r="E4894" s="28" t="s">
        <v>2568</v>
      </c>
      <c r="F4894" s="65" t="s">
        <v>2589</v>
      </c>
      <c r="G4894" s="66" t="s">
        <v>13</v>
      </c>
      <c r="H4894" s="8"/>
      <c r="I4894" s="90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  <c r="V4894" s="8"/>
      <c r="W4894" s="8"/>
      <c r="X4894" s="8"/>
      <c r="Y4894" s="8"/>
      <c r="Z4894" s="8"/>
      <c r="AA4894" s="8"/>
    </row>
    <row r="4895" spans="1:27" s="10" customFormat="1" ht="12.75" hidden="1" thickBot="1" x14ac:dyDescent="0.3">
      <c r="A4895" s="187" t="s">
        <v>5686</v>
      </c>
      <c r="B4895" s="162" t="s">
        <v>5687</v>
      </c>
      <c r="C4895" s="161">
        <f>C4894+1</f>
        <v>15</v>
      </c>
      <c r="D4895" s="162" t="s">
        <v>5771</v>
      </c>
      <c r="E4895" s="239" t="s">
        <v>5688</v>
      </c>
      <c r="F4895" s="162" t="s">
        <v>5772</v>
      </c>
      <c r="G4895" s="252" t="s">
        <v>13</v>
      </c>
      <c r="H4895" s="8"/>
      <c r="I4895" s="101" t="s">
        <v>54</v>
      </c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  <c r="V4895" s="8"/>
      <c r="W4895" s="8"/>
      <c r="X4895" s="8"/>
      <c r="Y4895" s="8"/>
      <c r="Z4895" s="8"/>
      <c r="AA4895" s="8"/>
    </row>
    <row r="4896" spans="1:27" s="10" customFormat="1" hidden="1" x14ac:dyDescent="0.2">
      <c r="A4896" s="56" t="s">
        <v>3880</v>
      </c>
      <c r="B4896" s="61" t="s">
        <v>3881</v>
      </c>
      <c r="C4896" s="58">
        <v>9</v>
      </c>
      <c r="D4896" s="61" t="s">
        <v>3892</v>
      </c>
      <c r="E4896" s="89" t="s">
        <v>3882</v>
      </c>
      <c r="F4896" s="61" t="s">
        <v>3893</v>
      </c>
      <c r="G4896" s="129" t="s">
        <v>13</v>
      </c>
      <c r="H4896" s="8"/>
      <c r="I4896" s="90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  <c r="V4896" s="8"/>
      <c r="W4896" s="8"/>
      <c r="X4896" s="8"/>
      <c r="Y4896" s="8"/>
      <c r="Z4896" s="8"/>
      <c r="AA4896" s="8"/>
    </row>
    <row r="4897" spans="1:27" s="10" customFormat="1" hidden="1" x14ac:dyDescent="0.2">
      <c r="A4897" s="11" t="s">
        <v>3914</v>
      </c>
      <c r="B4897" s="12" t="s">
        <v>3915</v>
      </c>
      <c r="C4897" s="13">
        <v>9</v>
      </c>
      <c r="D4897" s="12" t="s">
        <v>3892</v>
      </c>
      <c r="E4897" s="28" t="s">
        <v>3916</v>
      </c>
      <c r="F4897" s="12" t="s">
        <v>3925</v>
      </c>
      <c r="G4897" s="66" t="s">
        <v>13</v>
      </c>
      <c r="H4897" s="8"/>
      <c r="I4897" s="90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  <c r="V4897" s="8"/>
      <c r="W4897" s="8"/>
      <c r="X4897" s="8"/>
      <c r="Y4897" s="8"/>
      <c r="Z4897" s="8"/>
      <c r="AA4897" s="8"/>
    </row>
    <row r="4898" spans="1:27" s="10" customFormat="1" hidden="1" x14ac:dyDescent="0.2">
      <c r="A4898" s="11" t="s">
        <v>3763</v>
      </c>
      <c r="B4898" s="12" t="s">
        <v>3764</v>
      </c>
      <c r="C4898" s="13">
        <v>10</v>
      </c>
      <c r="D4898" s="12" t="s">
        <v>3776</v>
      </c>
      <c r="E4898" s="28" t="s">
        <v>3765</v>
      </c>
      <c r="F4898" s="65" t="s">
        <v>3777</v>
      </c>
      <c r="G4898" s="66" t="s">
        <v>13</v>
      </c>
      <c r="H4898" s="8"/>
      <c r="I4898" s="90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  <c r="V4898" s="8"/>
      <c r="W4898" s="8"/>
      <c r="X4898" s="8"/>
      <c r="Y4898" s="8"/>
      <c r="Z4898" s="8"/>
      <c r="AA4898" s="8"/>
    </row>
    <row r="4899" spans="1:27" s="10" customFormat="1" hidden="1" x14ac:dyDescent="0.2">
      <c r="A4899" s="11" t="s">
        <v>3839</v>
      </c>
      <c r="B4899" s="12" t="s">
        <v>3840</v>
      </c>
      <c r="C4899" s="13">
        <v>8</v>
      </c>
      <c r="D4899" s="12" t="s">
        <v>3849</v>
      </c>
      <c r="E4899" s="28" t="s">
        <v>3841</v>
      </c>
      <c r="F4899" s="65" t="s">
        <v>3850</v>
      </c>
      <c r="G4899" s="66" t="s">
        <v>13</v>
      </c>
      <c r="H4899" s="8"/>
      <c r="I4899" s="90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  <c r="V4899" s="8"/>
      <c r="W4899" s="8"/>
      <c r="X4899" s="8"/>
      <c r="Y4899" s="8"/>
      <c r="Z4899" s="8"/>
      <c r="AA4899" s="8"/>
    </row>
    <row r="4900" spans="1:27" s="10" customFormat="1" ht="12.75" hidden="1" thickBot="1" x14ac:dyDescent="0.25">
      <c r="A4900" s="36" t="s">
        <v>3400</v>
      </c>
      <c r="B4900" s="30" t="s">
        <v>3401</v>
      </c>
      <c r="C4900" s="31">
        <v>7</v>
      </c>
      <c r="D4900" s="30" t="s">
        <v>3412</v>
      </c>
      <c r="E4900" s="140" t="s">
        <v>3402</v>
      </c>
      <c r="F4900" s="67" t="s">
        <v>3413</v>
      </c>
      <c r="G4900" s="68" t="s">
        <v>13</v>
      </c>
      <c r="H4900" s="8"/>
      <c r="I4900" s="90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  <c r="V4900" s="8"/>
      <c r="W4900" s="8"/>
      <c r="X4900" s="8"/>
      <c r="Y4900" s="8"/>
      <c r="Z4900" s="8"/>
      <c r="AA4900" s="8"/>
    </row>
    <row r="4901" spans="1:27" s="10" customFormat="1" hidden="1" x14ac:dyDescent="0.2">
      <c r="A4901" s="56" t="s">
        <v>4347</v>
      </c>
      <c r="B4901" s="61" t="s">
        <v>4348</v>
      </c>
      <c r="C4901" s="58">
        <f>C4900+1</f>
        <v>8</v>
      </c>
      <c r="D4901" s="61" t="s">
        <v>3412</v>
      </c>
      <c r="E4901" s="89" t="s">
        <v>4349</v>
      </c>
      <c r="F4901" s="61" t="s">
        <v>4356</v>
      </c>
      <c r="G4901" s="129" t="s">
        <v>13</v>
      </c>
      <c r="H4901" s="8"/>
      <c r="I4901" s="90" t="s">
        <v>2426</v>
      </c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  <c r="V4901" s="8"/>
      <c r="W4901" s="8"/>
      <c r="X4901" s="8"/>
      <c r="Y4901" s="8"/>
      <c r="Z4901" s="8"/>
      <c r="AA4901" s="8"/>
    </row>
    <row r="4902" spans="1:27" s="10" customFormat="1" hidden="1" x14ac:dyDescent="0.25">
      <c r="A4902" s="109" t="s">
        <v>729</v>
      </c>
      <c r="B4902" s="12" t="s">
        <v>730</v>
      </c>
      <c r="C4902" s="13">
        <v>12</v>
      </c>
      <c r="D4902" s="12" t="s">
        <v>750</v>
      </c>
      <c r="E4902" s="28" t="s">
        <v>731</v>
      </c>
      <c r="F4902" s="12" t="s">
        <v>751</v>
      </c>
      <c r="G4902" s="15" t="s">
        <v>676</v>
      </c>
      <c r="H4902" s="8"/>
      <c r="I4902" s="102" t="s">
        <v>59</v>
      </c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  <c r="V4902" s="8"/>
      <c r="W4902" s="8"/>
      <c r="X4902" s="8"/>
      <c r="Y4902" s="8"/>
      <c r="Z4902" s="8"/>
      <c r="AA4902" s="8"/>
    </row>
    <row r="4903" spans="1:27" s="10" customFormat="1" hidden="1" x14ac:dyDescent="0.2">
      <c r="A4903" s="11" t="s">
        <v>3741</v>
      </c>
      <c r="B4903" s="12" t="s">
        <v>3742</v>
      </c>
      <c r="C4903" s="13">
        <v>9</v>
      </c>
      <c r="D4903" s="12" t="s">
        <v>3754</v>
      </c>
      <c r="E4903" s="138" t="s">
        <v>3743</v>
      </c>
      <c r="F4903" s="65" t="s">
        <v>3755</v>
      </c>
      <c r="G4903" s="66" t="s">
        <v>13</v>
      </c>
      <c r="H4903" s="8"/>
      <c r="I4903" s="90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  <c r="V4903" s="8"/>
      <c r="W4903" s="8"/>
      <c r="X4903" s="8"/>
      <c r="Y4903" s="8"/>
      <c r="Z4903" s="8"/>
      <c r="AA4903" s="8"/>
    </row>
    <row r="4904" spans="1:27" s="10" customFormat="1" ht="15" hidden="1" x14ac:dyDescent="0.25">
      <c r="A4904" s="11" t="s">
        <v>5523</v>
      </c>
      <c r="B4904" s="12" t="s">
        <v>5524</v>
      </c>
      <c r="C4904" s="13">
        <v>15</v>
      </c>
      <c r="D4904" s="14" t="s">
        <v>5553</v>
      </c>
      <c r="E4904" s="28" t="s">
        <v>5526</v>
      </c>
      <c r="F4904" s="65" t="s">
        <v>5554</v>
      </c>
      <c r="G4904" s="15" t="s">
        <v>1323</v>
      </c>
      <c r="H4904" s="8"/>
      <c r="I4904" s="9">
        <v>15</v>
      </c>
      <c r="J4904" s="52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  <c r="V4904" s="8"/>
      <c r="W4904" s="8"/>
      <c r="X4904" s="8"/>
      <c r="Y4904" s="8"/>
      <c r="Z4904" s="8"/>
      <c r="AA4904" s="8"/>
    </row>
    <row r="4905" spans="1:27" s="10" customFormat="1" ht="12.75" hidden="1" thickBot="1" x14ac:dyDescent="0.25">
      <c r="A4905" s="36" t="s">
        <v>2097</v>
      </c>
      <c r="B4905" s="30" t="s">
        <v>2098</v>
      </c>
      <c r="C4905" s="31">
        <v>8</v>
      </c>
      <c r="D4905" s="6" t="s">
        <v>2110</v>
      </c>
      <c r="E4905" s="32" t="s">
        <v>2099</v>
      </c>
      <c r="F4905" s="4" t="s">
        <v>2111</v>
      </c>
      <c r="G4905" s="33" t="s">
        <v>13</v>
      </c>
      <c r="H4905" s="8"/>
      <c r="I4905" s="90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  <c r="V4905" s="8"/>
      <c r="W4905" s="8"/>
      <c r="X4905" s="8"/>
      <c r="Y4905" s="8"/>
      <c r="Z4905" s="8"/>
      <c r="AA4905" s="8"/>
    </row>
    <row r="4906" spans="1:27" s="10" customFormat="1" hidden="1" x14ac:dyDescent="0.25">
      <c r="A4906" s="56" t="s">
        <v>5559</v>
      </c>
      <c r="B4906" s="61" t="s">
        <v>5560</v>
      </c>
      <c r="C4906" s="58">
        <f>C4905+1</f>
        <v>9</v>
      </c>
      <c r="D4906" s="61" t="s">
        <v>5603</v>
      </c>
      <c r="E4906" s="89" t="s">
        <v>5561</v>
      </c>
      <c r="F4906" s="61" t="s">
        <v>5604</v>
      </c>
      <c r="G4906" s="149" t="s">
        <v>13</v>
      </c>
      <c r="H4906" s="8"/>
      <c r="I4906" s="90">
        <v>12</v>
      </c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  <c r="V4906" s="8"/>
      <c r="W4906" s="8"/>
      <c r="X4906" s="8"/>
      <c r="Y4906" s="8"/>
      <c r="Z4906" s="8"/>
      <c r="AA4906" s="8"/>
    </row>
    <row r="4907" spans="1:27" s="10" customFormat="1" hidden="1" x14ac:dyDescent="0.2">
      <c r="A4907" s="11" t="s">
        <v>3384</v>
      </c>
      <c r="B4907" s="12" t="s">
        <v>3385</v>
      </c>
      <c r="C4907" s="13">
        <v>4</v>
      </c>
      <c r="D4907" s="42" t="s">
        <v>3390</v>
      </c>
      <c r="E4907" s="138" t="s">
        <v>3386</v>
      </c>
      <c r="F4907" s="75" t="s">
        <v>3391</v>
      </c>
      <c r="G4907" s="66" t="s">
        <v>13</v>
      </c>
      <c r="H4907" s="8"/>
      <c r="I4907" s="90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  <c r="V4907" s="8"/>
      <c r="W4907" s="8"/>
      <c r="X4907" s="8"/>
      <c r="Y4907" s="8"/>
      <c r="Z4907" s="8"/>
      <c r="AA4907" s="8"/>
    </row>
    <row r="4908" spans="1:27" s="10" customFormat="1" hidden="1" x14ac:dyDescent="0.2">
      <c r="A4908" s="11" t="s">
        <v>4364</v>
      </c>
      <c r="B4908" s="12" t="s">
        <v>4365</v>
      </c>
      <c r="C4908" s="13">
        <f>C4907+1</f>
        <v>5</v>
      </c>
      <c r="D4908" s="22" t="s">
        <v>3390</v>
      </c>
      <c r="E4908" s="28" t="s">
        <v>4366</v>
      </c>
      <c r="F4908" s="22" t="s">
        <v>4370</v>
      </c>
      <c r="G4908" s="66" t="s">
        <v>13</v>
      </c>
      <c r="H4908" s="8"/>
      <c r="I4908" s="90" t="s">
        <v>2426</v>
      </c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  <c r="V4908" s="8"/>
      <c r="W4908" s="8"/>
      <c r="X4908" s="8"/>
      <c r="Y4908" s="8"/>
      <c r="Z4908" s="8"/>
      <c r="AA4908" s="8"/>
    </row>
    <row r="4909" spans="1:27" s="10" customFormat="1" hidden="1" x14ac:dyDescent="0.2">
      <c r="A4909" s="11" t="s">
        <v>1194</v>
      </c>
      <c r="B4909" s="12" t="s">
        <v>1195</v>
      </c>
      <c r="C4909" s="13">
        <v>6</v>
      </c>
      <c r="D4909" s="14" t="s">
        <v>1203</v>
      </c>
      <c r="E4909" s="28" t="s">
        <v>1196</v>
      </c>
      <c r="F4909" s="12" t="s">
        <v>1204</v>
      </c>
      <c r="G4909" s="15" t="s">
        <v>13</v>
      </c>
      <c r="H4909" s="8"/>
      <c r="I4909" s="90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  <c r="V4909" s="8"/>
      <c r="W4909" s="8"/>
      <c r="X4909" s="8"/>
      <c r="Y4909" s="8"/>
      <c r="Z4909" s="8"/>
      <c r="AA4909" s="8"/>
    </row>
    <row r="4910" spans="1:27" s="10" customFormat="1" ht="12.75" hidden="1" thickBot="1" x14ac:dyDescent="0.3">
      <c r="A4910" s="187" t="s">
        <v>6189</v>
      </c>
      <c r="B4910" s="162" t="s">
        <v>6190</v>
      </c>
      <c r="C4910" s="161">
        <f>C4909+1</f>
        <v>7</v>
      </c>
      <c r="D4910" s="162" t="s">
        <v>6217</v>
      </c>
      <c r="E4910" s="239" t="s">
        <v>6191</v>
      </c>
      <c r="F4910" s="162" t="s">
        <v>6218</v>
      </c>
      <c r="G4910" s="163" t="s">
        <v>19</v>
      </c>
      <c r="H4910" s="8"/>
      <c r="I4910" s="101" t="s">
        <v>54</v>
      </c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  <c r="V4910" s="8"/>
      <c r="W4910" s="8"/>
      <c r="X4910" s="8"/>
      <c r="Y4910" s="8"/>
      <c r="Z4910" s="8"/>
      <c r="AA4910" s="8"/>
    </row>
    <row r="4911" spans="1:27" s="10" customFormat="1" hidden="1" x14ac:dyDescent="0.25">
      <c r="A4911" s="183" t="s">
        <v>6371</v>
      </c>
      <c r="B4911" s="196" t="s">
        <v>6372</v>
      </c>
      <c r="C4911" s="200">
        <v>14</v>
      </c>
      <c r="D4911" s="196" t="s">
        <v>6217</v>
      </c>
      <c r="E4911" s="236" t="s">
        <v>6373</v>
      </c>
      <c r="F4911" s="196" t="s">
        <v>6388</v>
      </c>
      <c r="G4911" s="160" t="s">
        <v>6041</v>
      </c>
      <c r="H4911" s="8"/>
      <c r="I4911" s="101" t="s">
        <v>2778</v>
      </c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  <c r="V4911" s="8"/>
      <c r="W4911" s="8"/>
      <c r="X4911" s="8"/>
      <c r="Y4911" s="8"/>
      <c r="Z4911" s="8"/>
      <c r="AA4911" s="8"/>
    </row>
    <row r="4912" spans="1:27" s="10" customFormat="1" hidden="1" x14ac:dyDescent="0.2">
      <c r="A4912" s="11" t="s">
        <v>6614</v>
      </c>
      <c r="B4912" s="12" t="s">
        <v>6615</v>
      </c>
      <c r="C4912" s="13">
        <v>15</v>
      </c>
      <c r="D4912" s="14" t="s">
        <v>6217</v>
      </c>
      <c r="E4912" s="28" t="s">
        <v>6616</v>
      </c>
      <c r="F4912" s="12" t="s">
        <v>6631</v>
      </c>
      <c r="G4912" s="15" t="s">
        <v>19</v>
      </c>
      <c r="H4912" s="8"/>
      <c r="I4912" s="90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  <c r="V4912" s="8"/>
      <c r="W4912" s="8"/>
      <c r="X4912" s="8"/>
      <c r="Y4912" s="8"/>
      <c r="Z4912" s="8"/>
      <c r="AA4912" s="8"/>
    </row>
    <row r="4913" spans="1:27" s="10" customFormat="1" hidden="1" x14ac:dyDescent="0.2">
      <c r="A4913" s="11" t="s">
        <v>2631</v>
      </c>
      <c r="B4913" s="12" t="s">
        <v>2632</v>
      </c>
      <c r="C4913" s="13">
        <v>18</v>
      </c>
      <c r="D4913" s="14" t="s">
        <v>2663</v>
      </c>
      <c r="E4913" s="28" t="s">
        <v>2634</v>
      </c>
      <c r="F4913" s="65" t="s">
        <v>2664</v>
      </c>
      <c r="G4913" s="66" t="s">
        <v>1239</v>
      </c>
      <c r="H4913" s="8"/>
      <c r="I4913" s="99">
        <v>13</v>
      </c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  <c r="V4913" s="8"/>
      <c r="W4913" s="8"/>
      <c r="X4913" s="8"/>
      <c r="Y4913" s="8"/>
      <c r="Z4913" s="8"/>
      <c r="AA4913" s="8"/>
    </row>
    <row r="4914" spans="1:27" s="10" customFormat="1" hidden="1" x14ac:dyDescent="0.2">
      <c r="A4914" s="11" t="s">
        <v>2631</v>
      </c>
      <c r="B4914" s="12" t="s">
        <v>2632</v>
      </c>
      <c r="C4914" s="13">
        <v>17</v>
      </c>
      <c r="D4914" s="14" t="s">
        <v>2661</v>
      </c>
      <c r="E4914" s="28" t="s">
        <v>2634</v>
      </c>
      <c r="F4914" s="65" t="s">
        <v>2662</v>
      </c>
      <c r="G4914" s="66" t="s">
        <v>1239</v>
      </c>
      <c r="H4914" s="8"/>
      <c r="I4914" s="99">
        <v>13</v>
      </c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  <c r="V4914" s="8"/>
      <c r="W4914" s="8"/>
      <c r="X4914" s="8"/>
      <c r="Y4914" s="8"/>
      <c r="Z4914" s="8"/>
      <c r="AA4914" s="8"/>
    </row>
    <row r="4915" spans="1:27" s="10" customFormat="1" ht="12.75" hidden="1" thickBot="1" x14ac:dyDescent="0.25">
      <c r="A4915" s="36" t="s">
        <v>3165</v>
      </c>
      <c r="B4915" s="30" t="s">
        <v>3166</v>
      </c>
      <c r="C4915" s="31">
        <v>15</v>
      </c>
      <c r="D4915" s="30" t="s">
        <v>2661</v>
      </c>
      <c r="E4915" s="32" t="s">
        <v>3167</v>
      </c>
      <c r="F4915" s="67" t="s">
        <v>3187</v>
      </c>
      <c r="G4915" s="68" t="s">
        <v>1239</v>
      </c>
      <c r="H4915" s="8"/>
      <c r="I4915" s="99">
        <v>13</v>
      </c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  <c r="V4915" s="8"/>
      <c r="W4915" s="8"/>
      <c r="X4915" s="8"/>
      <c r="Y4915" s="8"/>
      <c r="Z4915" s="8"/>
      <c r="AA4915" s="8"/>
    </row>
    <row r="4916" spans="1:27" s="10" customFormat="1" hidden="1" x14ac:dyDescent="0.25">
      <c r="A4916" s="56" t="s">
        <v>5886</v>
      </c>
      <c r="B4916" s="61" t="s">
        <v>5887</v>
      </c>
      <c r="C4916" s="58">
        <v>20</v>
      </c>
      <c r="D4916" s="61" t="s">
        <v>5915</v>
      </c>
      <c r="E4916" s="89" t="s">
        <v>5888</v>
      </c>
      <c r="F4916" s="61" t="s">
        <v>5916</v>
      </c>
      <c r="G4916" s="62" t="s">
        <v>1182</v>
      </c>
      <c r="H4916" s="8"/>
      <c r="I4916" s="99">
        <v>13</v>
      </c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  <c r="V4916" s="8"/>
      <c r="W4916" s="8"/>
      <c r="X4916" s="8"/>
      <c r="Y4916" s="8"/>
      <c r="Z4916" s="8"/>
      <c r="AA4916" s="8"/>
    </row>
    <row r="4917" spans="1:27" s="10" customFormat="1" hidden="1" x14ac:dyDescent="0.2">
      <c r="A4917" s="11" t="s">
        <v>3458</v>
      </c>
      <c r="B4917" s="12" t="s">
        <v>3459</v>
      </c>
      <c r="C4917" s="13">
        <v>37</v>
      </c>
      <c r="D4917" s="12" t="s">
        <v>3526</v>
      </c>
      <c r="E4917" s="138" t="s">
        <v>3460</v>
      </c>
      <c r="F4917" s="65" t="s">
        <v>3527</v>
      </c>
      <c r="G4917" s="66" t="s">
        <v>1239</v>
      </c>
      <c r="H4917" s="8"/>
      <c r="I4917" s="99">
        <v>13</v>
      </c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  <c r="V4917" s="8"/>
      <c r="W4917" s="8"/>
      <c r="X4917" s="8"/>
      <c r="Y4917" s="8"/>
      <c r="Z4917" s="8"/>
      <c r="AA4917" s="8"/>
    </row>
    <row r="4918" spans="1:27" s="10" customFormat="1" hidden="1" x14ac:dyDescent="0.2">
      <c r="A4918" s="11" t="s">
        <v>3633</v>
      </c>
      <c r="B4918" s="12" t="s">
        <v>3634</v>
      </c>
      <c r="C4918" s="13">
        <v>38</v>
      </c>
      <c r="D4918" s="12" t="s">
        <v>3526</v>
      </c>
      <c r="E4918" s="138" t="s">
        <v>3635</v>
      </c>
      <c r="F4918" s="65" t="s">
        <v>3681</v>
      </c>
      <c r="G4918" s="66" t="s">
        <v>1239</v>
      </c>
      <c r="H4918" s="8"/>
      <c r="I4918" s="99">
        <v>13</v>
      </c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  <c r="V4918" s="8"/>
      <c r="W4918" s="8"/>
      <c r="X4918" s="8"/>
      <c r="Y4918" s="8"/>
      <c r="Z4918" s="8"/>
      <c r="AA4918" s="8"/>
    </row>
    <row r="4919" spans="1:27" s="10" customFormat="1" hidden="1" x14ac:dyDescent="0.2">
      <c r="A4919" s="11" t="s">
        <v>3458</v>
      </c>
      <c r="B4919" s="12" t="s">
        <v>3459</v>
      </c>
      <c r="C4919" s="13">
        <f>C4918+1</f>
        <v>39</v>
      </c>
      <c r="D4919" s="12" t="s">
        <v>3558</v>
      </c>
      <c r="E4919" s="138" t="s">
        <v>3460</v>
      </c>
      <c r="F4919" s="65" t="s">
        <v>3559</v>
      </c>
      <c r="G4919" s="66" t="s">
        <v>1239</v>
      </c>
      <c r="H4919" s="8"/>
      <c r="I4919" s="99">
        <v>13</v>
      </c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  <c r="V4919" s="8"/>
      <c r="W4919" s="8"/>
      <c r="X4919" s="8"/>
      <c r="Y4919" s="8"/>
      <c r="Z4919" s="8"/>
      <c r="AA4919" s="8"/>
    </row>
    <row r="4920" spans="1:27" s="10" customFormat="1" ht="12.75" hidden="1" thickBot="1" x14ac:dyDescent="0.25">
      <c r="A4920" s="36" t="s">
        <v>3633</v>
      </c>
      <c r="B4920" s="30" t="s">
        <v>3634</v>
      </c>
      <c r="C4920" s="31">
        <f>C4919+1</f>
        <v>40</v>
      </c>
      <c r="D4920" s="30" t="s">
        <v>3558</v>
      </c>
      <c r="E4920" s="140" t="s">
        <v>3635</v>
      </c>
      <c r="F4920" s="67" t="s">
        <v>3699</v>
      </c>
      <c r="G4920" s="68" t="s">
        <v>1239</v>
      </c>
      <c r="H4920" s="8"/>
      <c r="I4920" s="99">
        <v>13</v>
      </c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  <c r="V4920" s="8"/>
      <c r="W4920" s="8"/>
      <c r="X4920" s="8"/>
      <c r="Y4920" s="8"/>
      <c r="Z4920" s="8"/>
      <c r="AA4920" s="8"/>
    </row>
    <row r="4921" spans="1:27" s="10" customFormat="1" hidden="1" x14ac:dyDescent="0.25">
      <c r="A4921" s="183" t="s">
        <v>6189</v>
      </c>
      <c r="B4921" s="196" t="s">
        <v>6190</v>
      </c>
      <c r="C4921" s="200">
        <f>C4920+1</f>
        <v>41</v>
      </c>
      <c r="D4921" s="196" t="s">
        <v>6219</v>
      </c>
      <c r="E4921" s="236" t="s">
        <v>6191</v>
      </c>
      <c r="F4921" s="196" t="s">
        <v>6220</v>
      </c>
      <c r="G4921" s="160" t="s">
        <v>19</v>
      </c>
      <c r="H4921" s="8"/>
      <c r="I4921" s="101" t="s">
        <v>54</v>
      </c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  <c r="V4921" s="8"/>
      <c r="W4921" s="8"/>
      <c r="X4921" s="8"/>
      <c r="Y4921" s="8"/>
      <c r="Z4921" s="8"/>
      <c r="AA4921" s="8"/>
    </row>
    <row r="4922" spans="1:27" s="10" customFormat="1" hidden="1" x14ac:dyDescent="0.25">
      <c r="A4922" s="81" t="s">
        <v>6371</v>
      </c>
      <c r="B4922" s="82" t="s">
        <v>6372</v>
      </c>
      <c r="C4922" s="83">
        <v>15</v>
      </c>
      <c r="D4922" s="82" t="s">
        <v>6219</v>
      </c>
      <c r="E4922" s="86" t="s">
        <v>6373</v>
      </c>
      <c r="F4922" s="82" t="s">
        <v>6389</v>
      </c>
      <c r="G4922" s="84" t="s">
        <v>6041</v>
      </c>
      <c r="H4922" s="8"/>
      <c r="I4922" s="101" t="s">
        <v>2778</v>
      </c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  <c r="V4922" s="8"/>
      <c r="W4922" s="8"/>
      <c r="X4922" s="8"/>
      <c r="Y4922" s="8"/>
      <c r="Z4922" s="8"/>
      <c r="AA4922" s="8"/>
    </row>
    <row r="4923" spans="1:27" s="10" customFormat="1" hidden="1" x14ac:dyDescent="0.2">
      <c r="A4923" s="11" t="s">
        <v>6614</v>
      </c>
      <c r="B4923" s="12" t="s">
        <v>6615</v>
      </c>
      <c r="C4923" s="13">
        <v>16</v>
      </c>
      <c r="D4923" s="14" t="s">
        <v>6219</v>
      </c>
      <c r="E4923" s="28" t="s">
        <v>6616</v>
      </c>
      <c r="F4923" s="12" t="s">
        <v>6632</v>
      </c>
      <c r="G4923" s="15" t="s">
        <v>19</v>
      </c>
      <c r="H4923" s="8"/>
      <c r="I4923" s="90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  <c r="V4923" s="8"/>
      <c r="W4923" s="8"/>
      <c r="X4923" s="8"/>
      <c r="Y4923" s="8"/>
      <c r="Z4923" s="8"/>
      <c r="AA4923" s="8"/>
    </row>
    <row r="4924" spans="1:27" s="10" customFormat="1" hidden="1" x14ac:dyDescent="0.25">
      <c r="A4924" s="11" t="s">
        <v>5957</v>
      </c>
      <c r="B4924" s="12" t="s">
        <v>5958</v>
      </c>
      <c r="C4924" s="13">
        <v>12</v>
      </c>
      <c r="D4924" s="12" t="s">
        <v>5974</v>
      </c>
      <c r="E4924" s="28" t="s">
        <v>5959</v>
      </c>
      <c r="F4924" s="12" t="s">
        <v>5975</v>
      </c>
      <c r="G4924" s="15" t="s">
        <v>780</v>
      </c>
      <c r="H4924" s="8"/>
      <c r="I4924" s="9">
        <v>15</v>
      </c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  <c r="V4924" s="8"/>
      <c r="W4924" s="8"/>
      <c r="X4924" s="8"/>
      <c r="Y4924" s="8"/>
      <c r="Z4924" s="8"/>
      <c r="AA4924" s="8"/>
    </row>
    <row r="4925" spans="1:27" s="10" customFormat="1" ht="15.75" hidden="1" thickBot="1" x14ac:dyDescent="0.3">
      <c r="A4925" s="36" t="s">
        <v>6252</v>
      </c>
      <c r="B4925" s="30" t="s">
        <v>6253</v>
      </c>
      <c r="C4925" s="31">
        <f>C4924+1</f>
        <v>13</v>
      </c>
      <c r="D4925" s="30" t="s">
        <v>6278</v>
      </c>
      <c r="E4925" s="32" t="s">
        <v>6254</v>
      </c>
      <c r="F4925" s="30" t="s">
        <v>6279</v>
      </c>
      <c r="G4925" s="33" t="s">
        <v>1239</v>
      </c>
      <c r="H4925" s="8"/>
      <c r="I4925" s="9">
        <v>15</v>
      </c>
      <c r="J4925" s="52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  <c r="V4925" s="8"/>
      <c r="W4925" s="8"/>
      <c r="X4925" s="8"/>
      <c r="Y4925" s="8"/>
      <c r="Z4925" s="8"/>
      <c r="AA4925" s="8"/>
    </row>
    <row r="4926" spans="1:27" s="10" customFormat="1" hidden="1" x14ac:dyDescent="0.25">
      <c r="A4926" s="56" t="s">
        <v>6017</v>
      </c>
      <c r="B4926" s="61" t="s">
        <v>6018</v>
      </c>
      <c r="C4926" s="58">
        <v>13</v>
      </c>
      <c r="D4926" s="61" t="s">
        <v>6039</v>
      </c>
      <c r="E4926" s="89" t="s">
        <v>6019</v>
      </c>
      <c r="F4926" s="61" t="s">
        <v>6040</v>
      </c>
      <c r="G4926" s="62" t="s">
        <v>6041</v>
      </c>
      <c r="H4926" s="8"/>
      <c r="I4926" s="99">
        <v>13</v>
      </c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  <c r="V4926" s="8"/>
      <c r="W4926" s="8"/>
      <c r="X4926" s="8"/>
      <c r="Y4926" s="8"/>
      <c r="Z4926" s="8"/>
      <c r="AA4926" s="8"/>
    </row>
    <row r="4927" spans="1:27" s="10" customFormat="1" hidden="1" x14ac:dyDescent="0.25">
      <c r="A4927" s="11" t="s">
        <v>5645</v>
      </c>
      <c r="B4927" s="12" t="s">
        <v>5646</v>
      </c>
      <c r="C4927" s="13">
        <v>10</v>
      </c>
      <c r="D4927" s="12" t="s">
        <v>5646</v>
      </c>
      <c r="E4927" s="28" t="s">
        <v>5647</v>
      </c>
      <c r="F4927" s="12" t="s">
        <v>5662</v>
      </c>
      <c r="G4927" s="15" t="s">
        <v>19</v>
      </c>
      <c r="H4927" s="8"/>
      <c r="I4927" s="90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  <c r="V4927" s="8"/>
      <c r="W4927" s="8"/>
      <c r="X4927" s="8"/>
      <c r="Y4927" s="8"/>
      <c r="Z4927" s="8"/>
      <c r="AA4927" s="8"/>
    </row>
    <row r="4928" spans="1:27" s="10" customFormat="1" hidden="1" x14ac:dyDescent="0.25">
      <c r="A4928" s="11" t="s">
        <v>1818</v>
      </c>
      <c r="B4928" s="12" t="s">
        <v>1819</v>
      </c>
      <c r="C4928" s="13">
        <v>5</v>
      </c>
      <c r="D4928" s="12" t="s">
        <v>1827</v>
      </c>
      <c r="E4928" s="28" t="s">
        <v>1820</v>
      </c>
      <c r="F4928" s="12" t="s">
        <v>1828</v>
      </c>
      <c r="G4928" s="15" t="s">
        <v>19</v>
      </c>
      <c r="H4928" s="8"/>
      <c r="I4928" s="9">
        <v>15</v>
      </c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  <c r="V4928" s="8"/>
      <c r="W4928" s="8"/>
      <c r="X4928" s="8"/>
      <c r="Y4928" s="8"/>
      <c r="Z4928" s="8"/>
      <c r="AA4928" s="8"/>
    </row>
    <row r="4929" spans="1:27" s="10" customFormat="1" hidden="1" x14ac:dyDescent="0.25">
      <c r="A4929" s="11" t="s">
        <v>1818</v>
      </c>
      <c r="B4929" s="12" t="s">
        <v>1819</v>
      </c>
      <c r="C4929" s="13">
        <v>15</v>
      </c>
      <c r="D4929" s="12" t="s">
        <v>1847</v>
      </c>
      <c r="E4929" s="28" t="s">
        <v>1820</v>
      </c>
      <c r="F4929" s="12" t="s">
        <v>1848</v>
      </c>
      <c r="G4929" s="15" t="s">
        <v>19</v>
      </c>
      <c r="H4929" s="8"/>
      <c r="I4929" s="9">
        <v>15</v>
      </c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  <c r="V4929" s="8"/>
      <c r="W4929" s="8"/>
      <c r="X4929" s="8"/>
      <c r="Y4929" s="8"/>
      <c r="Z4929" s="8"/>
      <c r="AA4929" s="8"/>
    </row>
    <row r="4930" spans="1:27" s="10" customFormat="1" ht="12.75" hidden="1" thickBot="1" x14ac:dyDescent="0.3">
      <c r="A4930" s="36" t="s">
        <v>659</v>
      </c>
      <c r="B4930" s="30" t="s">
        <v>660</v>
      </c>
      <c r="C4930" s="31">
        <v>5</v>
      </c>
      <c r="D4930" s="30" t="s">
        <v>667</v>
      </c>
      <c r="E4930" s="32" t="s">
        <v>661</v>
      </c>
      <c r="F4930" s="30" t="s">
        <v>668</v>
      </c>
      <c r="G4930" s="33" t="s">
        <v>595</v>
      </c>
      <c r="H4930" s="8"/>
      <c r="I4930" s="99">
        <v>13</v>
      </c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  <c r="V4930" s="8"/>
      <c r="W4930" s="8"/>
      <c r="X4930" s="8"/>
      <c r="Y4930" s="8"/>
      <c r="Z4930" s="8"/>
      <c r="AA4930" s="8"/>
    </row>
    <row r="4931" spans="1:27" s="10" customFormat="1" hidden="1" x14ac:dyDescent="0.25">
      <c r="A4931" s="56" t="s">
        <v>5957</v>
      </c>
      <c r="B4931" s="61" t="s">
        <v>5958</v>
      </c>
      <c r="C4931" s="58">
        <v>11</v>
      </c>
      <c r="D4931" s="61" t="s">
        <v>5972</v>
      </c>
      <c r="E4931" s="89" t="s">
        <v>5959</v>
      </c>
      <c r="F4931" s="61" t="s">
        <v>5973</v>
      </c>
      <c r="G4931" s="62" t="s">
        <v>780</v>
      </c>
      <c r="H4931" s="8"/>
      <c r="I4931" s="9">
        <v>15</v>
      </c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  <c r="V4931" s="8"/>
      <c r="W4931" s="8"/>
      <c r="X4931" s="8"/>
      <c r="Y4931" s="8"/>
      <c r="Z4931" s="8"/>
      <c r="AA4931" s="8"/>
    </row>
    <row r="4932" spans="1:27" s="10" customFormat="1" ht="15" hidden="1" x14ac:dyDescent="0.25">
      <c r="A4932" s="11" t="s">
        <v>2215</v>
      </c>
      <c r="B4932" s="8" t="s">
        <v>2216</v>
      </c>
      <c r="C4932" s="13">
        <v>6</v>
      </c>
      <c r="D4932" s="12" t="s">
        <v>2227</v>
      </c>
      <c r="E4932" s="28" t="s">
        <v>2217</v>
      </c>
      <c r="F4932" s="12" t="s">
        <v>2228</v>
      </c>
      <c r="G4932" s="15" t="s">
        <v>780</v>
      </c>
      <c r="H4932" s="8"/>
      <c r="I4932" s="54">
        <v>15</v>
      </c>
      <c r="J4932" s="60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  <c r="V4932" s="8"/>
      <c r="W4932" s="8"/>
      <c r="X4932" s="8"/>
      <c r="Y4932" s="8"/>
      <c r="Z4932" s="8"/>
      <c r="AA4932" s="8"/>
    </row>
    <row r="4933" spans="1:27" s="10" customFormat="1" hidden="1" x14ac:dyDescent="0.2">
      <c r="A4933" s="11" t="s">
        <v>3741</v>
      </c>
      <c r="B4933" s="12" t="s">
        <v>3742</v>
      </c>
      <c r="C4933" s="13">
        <v>15</v>
      </c>
      <c r="D4933" s="12" t="s">
        <v>3761</v>
      </c>
      <c r="E4933" s="138" t="s">
        <v>3743</v>
      </c>
      <c r="F4933" s="65" t="s">
        <v>3762</v>
      </c>
      <c r="G4933" s="66" t="s">
        <v>19</v>
      </c>
      <c r="H4933" s="8"/>
      <c r="I4933" s="90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  <c r="V4933" s="8"/>
      <c r="W4933" s="8"/>
      <c r="X4933" s="8"/>
      <c r="Y4933" s="8"/>
      <c r="Z4933" s="8"/>
      <c r="AA4933" s="8"/>
    </row>
    <row r="4934" spans="1:27" s="10" customFormat="1" hidden="1" x14ac:dyDescent="0.2">
      <c r="A4934" s="11" t="s">
        <v>4634</v>
      </c>
      <c r="B4934" s="12" t="s">
        <v>4635</v>
      </c>
      <c r="C4934" s="13">
        <v>11</v>
      </c>
      <c r="D4934" s="41" t="s">
        <v>3761</v>
      </c>
      <c r="E4934" s="138" t="s">
        <v>4636</v>
      </c>
      <c r="F4934" s="65" t="s">
        <v>4651</v>
      </c>
      <c r="G4934" s="66" t="s">
        <v>19</v>
      </c>
      <c r="H4934" s="8"/>
      <c r="I4934" s="90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  <c r="V4934" s="8"/>
      <c r="W4934" s="8"/>
      <c r="X4934" s="8"/>
      <c r="Y4934" s="8"/>
      <c r="Z4934" s="8"/>
      <c r="AA4934" s="8"/>
    </row>
    <row r="4935" spans="1:27" s="10" customFormat="1" ht="12.75" hidden="1" thickBot="1" x14ac:dyDescent="0.25">
      <c r="A4935" s="36" t="s">
        <v>4680</v>
      </c>
      <c r="B4935" s="30" t="s">
        <v>4681</v>
      </c>
      <c r="C4935" s="31">
        <v>13</v>
      </c>
      <c r="D4935" s="43" t="s">
        <v>3761</v>
      </c>
      <c r="E4935" s="140" t="s">
        <v>4682</v>
      </c>
      <c r="F4935" s="67" t="s">
        <v>4697</v>
      </c>
      <c r="G4935" s="68" t="s">
        <v>19</v>
      </c>
      <c r="H4935" s="8"/>
      <c r="I4935" s="90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  <c r="V4935" s="8"/>
      <c r="W4935" s="8"/>
      <c r="X4935" s="8"/>
      <c r="Y4935" s="8"/>
      <c r="Z4935" s="8"/>
      <c r="AA4935" s="8"/>
    </row>
    <row r="4936" spans="1:27" s="10" customFormat="1" hidden="1" x14ac:dyDescent="0.25">
      <c r="A4936" s="56" t="s">
        <v>1031</v>
      </c>
      <c r="B4936" s="61" t="s">
        <v>1032</v>
      </c>
      <c r="C4936" s="58">
        <v>8</v>
      </c>
      <c r="D4936" s="164" t="s">
        <v>1045</v>
      </c>
      <c r="E4936" s="89" t="s">
        <v>1033</v>
      </c>
      <c r="F4936" s="61" t="s">
        <v>1046</v>
      </c>
      <c r="G4936" s="62" t="s">
        <v>1047</v>
      </c>
      <c r="H4936" s="8"/>
      <c r="I4936" s="9">
        <v>15</v>
      </c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  <c r="V4936" s="8"/>
      <c r="W4936" s="8"/>
      <c r="X4936" s="8"/>
      <c r="Y4936" s="8"/>
      <c r="Z4936" s="8"/>
      <c r="AA4936" s="8"/>
    </row>
    <row r="4937" spans="1:27" s="10" customFormat="1" ht="36" hidden="1" x14ac:dyDescent="0.25">
      <c r="A4937" s="11" t="s">
        <v>1882</v>
      </c>
      <c r="B4937" s="12" t="s">
        <v>1883</v>
      </c>
      <c r="C4937" s="13">
        <v>17</v>
      </c>
      <c r="D4937" s="51" t="s">
        <v>1914</v>
      </c>
      <c r="E4937" s="28" t="s">
        <v>1884</v>
      </c>
      <c r="F4937" s="12" t="s">
        <v>1915</v>
      </c>
      <c r="G4937" s="15" t="s">
        <v>780</v>
      </c>
      <c r="H4937" s="8"/>
      <c r="I4937" s="9">
        <v>15</v>
      </c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  <c r="V4937" s="8"/>
      <c r="W4937" s="8"/>
      <c r="X4937" s="8"/>
      <c r="Y4937" s="8"/>
      <c r="Z4937" s="8"/>
      <c r="AA4937" s="8"/>
    </row>
    <row r="4938" spans="1:27" s="10" customFormat="1" ht="24" hidden="1" x14ac:dyDescent="0.25">
      <c r="A4938" s="11" t="s">
        <v>1882</v>
      </c>
      <c r="B4938" s="12" t="s">
        <v>1883</v>
      </c>
      <c r="C4938" s="13">
        <v>18</v>
      </c>
      <c r="D4938" s="51" t="s">
        <v>1916</v>
      </c>
      <c r="E4938" s="28" t="s">
        <v>1884</v>
      </c>
      <c r="F4938" s="12" t="s">
        <v>1917</v>
      </c>
      <c r="G4938" s="15" t="s">
        <v>780</v>
      </c>
      <c r="H4938" s="8"/>
      <c r="I4938" s="9">
        <v>15</v>
      </c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  <c r="V4938" s="8"/>
      <c r="W4938" s="8"/>
      <c r="X4938" s="8"/>
      <c r="Y4938" s="8"/>
      <c r="Z4938" s="8"/>
      <c r="AA4938" s="8"/>
    </row>
    <row r="4939" spans="1:27" s="10" customFormat="1" hidden="1" x14ac:dyDescent="0.25">
      <c r="A4939" s="11" t="s">
        <v>6325</v>
      </c>
      <c r="B4939" s="12" t="s">
        <v>6326</v>
      </c>
      <c r="C4939" s="13">
        <f>C4938+1</f>
        <v>19</v>
      </c>
      <c r="D4939" s="12" t="s">
        <v>6340</v>
      </c>
      <c r="E4939" s="28" t="s">
        <v>6327</v>
      </c>
      <c r="F4939" s="12" t="s">
        <v>6341</v>
      </c>
      <c r="G4939" s="15" t="s">
        <v>19</v>
      </c>
      <c r="H4939" s="8"/>
      <c r="I4939" s="90">
        <v>12</v>
      </c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  <c r="V4939" s="8"/>
      <c r="W4939" s="8"/>
      <c r="X4939" s="8"/>
      <c r="Y4939" s="8"/>
      <c r="Z4939" s="8"/>
      <c r="AA4939" s="8"/>
    </row>
    <row r="4940" spans="1:27" s="10" customFormat="1" ht="12.75" hidden="1" thickBot="1" x14ac:dyDescent="0.3">
      <c r="A4940" s="36" t="s">
        <v>6787</v>
      </c>
      <c r="B4940" s="30" t="s">
        <v>6788</v>
      </c>
      <c r="C4940" s="31">
        <v>8</v>
      </c>
      <c r="D4940" s="30" t="s">
        <v>6340</v>
      </c>
      <c r="E4940" s="32" t="s">
        <v>6789</v>
      </c>
      <c r="F4940" s="30" t="s">
        <v>6797</v>
      </c>
      <c r="G4940" s="33" t="s">
        <v>19</v>
      </c>
      <c r="H4940" s="8"/>
      <c r="I4940" s="90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  <c r="V4940" s="8"/>
      <c r="W4940" s="8"/>
      <c r="X4940" s="8"/>
      <c r="Y4940" s="8"/>
      <c r="Z4940" s="8"/>
      <c r="AA4940" s="8"/>
    </row>
    <row r="4941" spans="1:27" s="10" customFormat="1" hidden="1" x14ac:dyDescent="0.25">
      <c r="A4941" s="108" t="s">
        <v>729</v>
      </c>
      <c r="B4941" s="61" t="s">
        <v>730</v>
      </c>
      <c r="C4941" s="58">
        <v>10</v>
      </c>
      <c r="D4941" s="17" t="s">
        <v>746</v>
      </c>
      <c r="E4941" s="89" t="s">
        <v>731</v>
      </c>
      <c r="F4941" s="17" t="s">
        <v>747</v>
      </c>
      <c r="G4941" s="62" t="s">
        <v>156</v>
      </c>
      <c r="H4941" s="8"/>
      <c r="I4941" s="102" t="s">
        <v>59</v>
      </c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  <c r="V4941" s="8"/>
      <c r="W4941" s="8"/>
      <c r="X4941" s="8"/>
      <c r="Y4941" s="8"/>
      <c r="Z4941" s="8"/>
      <c r="AA4941" s="8"/>
    </row>
    <row r="4942" spans="1:27" s="10" customFormat="1" hidden="1" x14ac:dyDescent="0.2">
      <c r="A4942" s="11" t="s">
        <v>362</v>
      </c>
      <c r="B4942" s="12" t="s">
        <v>363</v>
      </c>
      <c r="C4942" s="13">
        <v>20</v>
      </c>
      <c r="D4942" s="14" t="s">
        <v>399</v>
      </c>
      <c r="E4942" s="28" t="s">
        <v>364</v>
      </c>
      <c r="F4942" s="12" t="s">
        <v>400</v>
      </c>
      <c r="G4942" s="15" t="s">
        <v>13</v>
      </c>
      <c r="H4942" s="8"/>
      <c r="I4942" s="90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  <c r="V4942" s="8"/>
      <c r="W4942" s="8"/>
      <c r="X4942" s="8"/>
      <c r="Y4942" s="8"/>
      <c r="Z4942" s="8"/>
      <c r="AA4942" s="8"/>
    </row>
    <row r="4943" spans="1:27" s="10" customFormat="1" hidden="1" x14ac:dyDescent="0.2">
      <c r="A4943" s="11" t="s">
        <v>362</v>
      </c>
      <c r="B4943" s="12" t="s">
        <v>363</v>
      </c>
      <c r="C4943" s="13">
        <v>19</v>
      </c>
      <c r="D4943" s="14" t="s">
        <v>397</v>
      </c>
      <c r="E4943" s="28" t="s">
        <v>364</v>
      </c>
      <c r="F4943" s="12" t="s">
        <v>398</v>
      </c>
      <c r="G4943" s="15" t="s">
        <v>13</v>
      </c>
      <c r="H4943" s="8"/>
      <c r="I4943" s="90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  <c r="V4943" s="8"/>
      <c r="W4943" s="8"/>
      <c r="X4943" s="8"/>
      <c r="Y4943" s="8"/>
      <c r="Z4943" s="8"/>
      <c r="AA4943" s="8"/>
    </row>
    <row r="4944" spans="1:27" s="10" customFormat="1" hidden="1" x14ac:dyDescent="0.25">
      <c r="A4944" s="11" t="s">
        <v>1383</v>
      </c>
      <c r="B4944" s="12" t="s">
        <v>1384</v>
      </c>
      <c r="C4944" s="13">
        <v>18</v>
      </c>
      <c r="D4944" s="12" t="s">
        <v>1417</v>
      </c>
      <c r="E4944" s="28" t="s">
        <v>1385</v>
      </c>
      <c r="F4944" s="12" t="s">
        <v>1418</v>
      </c>
      <c r="G4944" s="15" t="s">
        <v>483</v>
      </c>
      <c r="H4944" s="8"/>
      <c r="I4944" s="99">
        <v>13</v>
      </c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  <c r="V4944" s="8"/>
      <c r="W4944" s="8"/>
      <c r="X4944" s="8"/>
      <c r="Y4944" s="8"/>
      <c r="Z4944" s="8"/>
      <c r="AA4944" s="8"/>
    </row>
    <row r="4945" spans="1:27" s="10" customFormat="1" ht="12.75" hidden="1" thickBot="1" x14ac:dyDescent="0.3">
      <c r="A4945" s="36" t="s">
        <v>1142</v>
      </c>
      <c r="B4945" s="197" t="s">
        <v>1143</v>
      </c>
      <c r="C4945" s="44" t="s">
        <v>1184</v>
      </c>
      <c r="D4945" s="197" t="s">
        <v>1185</v>
      </c>
      <c r="E4945" s="237" t="s">
        <v>1144</v>
      </c>
      <c r="F4945" s="197" t="s">
        <v>1186</v>
      </c>
      <c r="G4945" s="248" t="s">
        <v>1182</v>
      </c>
      <c r="H4945" s="46"/>
      <c r="I4945" s="99" t="s">
        <v>1183</v>
      </c>
      <c r="J4945" s="46"/>
      <c r="K4945" s="46"/>
      <c r="L4945" s="46"/>
      <c r="M4945" s="46"/>
      <c r="N4945" s="46"/>
      <c r="O4945" s="46"/>
      <c r="P4945" s="46"/>
      <c r="Q4945" s="46"/>
      <c r="R4945" s="46"/>
      <c r="S4945" s="46"/>
      <c r="T4945" s="46"/>
      <c r="U4945" s="46"/>
      <c r="V4945" s="46"/>
      <c r="W4945" s="46"/>
      <c r="X4945" s="46"/>
      <c r="Y4945" s="46"/>
      <c r="Z4945" s="46"/>
      <c r="AA4945" s="46"/>
    </row>
    <row r="4946" spans="1:27" s="10" customFormat="1" hidden="1" x14ac:dyDescent="0.2">
      <c r="A4946" s="56" t="s">
        <v>4013</v>
      </c>
      <c r="B4946" s="61" t="s">
        <v>4014</v>
      </c>
      <c r="C4946" s="58">
        <v>20</v>
      </c>
      <c r="D4946" s="61" t="s">
        <v>4046</v>
      </c>
      <c r="E4946" s="89" t="s">
        <v>4015</v>
      </c>
      <c r="F4946" s="61" t="s">
        <v>4047</v>
      </c>
      <c r="G4946" s="129" t="s">
        <v>42</v>
      </c>
      <c r="H4946" s="8"/>
      <c r="I4946" s="90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  <c r="V4946" s="8"/>
      <c r="W4946" s="8"/>
      <c r="X4946" s="8"/>
      <c r="Y4946" s="8"/>
      <c r="Z4946" s="8"/>
      <c r="AA4946" s="8"/>
    </row>
    <row r="4947" spans="1:27" s="10" customFormat="1" hidden="1" x14ac:dyDescent="0.2">
      <c r="A4947" s="11" t="s">
        <v>4049</v>
      </c>
      <c r="B4947" s="12" t="s">
        <v>4050</v>
      </c>
      <c r="C4947" s="13">
        <v>21</v>
      </c>
      <c r="D4947" s="12" t="s">
        <v>4084</v>
      </c>
      <c r="E4947" s="28" t="s">
        <v>4051</v>
      </c>
      <c r="F4947" s="12" t="s">
        <v>4085</v>
      </c>
      <c r="G4947" s="66" t="s">
        <v>42</v>
      </c>
      <c r="H4947" s="8"/>
      <c r="I4947" s="90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  <c r="V4947" s="8"/>
      <c r="W4947" s="8"/>
      <c r="X4947" s="8"/>
      <c r="Y4947" s="8"/>
      <c r="Z4947" s="8"/>
      <c r="AA4947" s="8"/>
    </row>
    <row r="4948" spans="1:27" s="10" customFormat="1" hidden="1" x14ac:dyDescent="0.2">
      <c r="A4948" s="11" t="s">
        <v>2317</v>
      </c>
      <c r="B4948" s="12" t="s">
        <v>2318</v>
      </c>
      <c r="C4948" s="13">
        <v>8</v>
      </c>
      <c r="D4948" s="14" t="s">
        <v>2333</v>
      </c>
      <c r="E4948" s="28" t="s">
        <v>2320</v>
      </c>
      <c r="F4948" s="12" t="s">
        <v>2334</v>
      </c>
      <c r="G4948" s="15" t="s">
        <v>78</v>
      </c>
      <c r="H4948" s="8"/>
      <c r="I4948" s="90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  <c r="V4948" s="8"/>
      <c r="W4948" s="8"/>
      <c r="X4948" s="8"/>
      <c r="Y4948" s="8"/>
      <c r="Z4948" s="8"/>
      <c r="AA4948" s="8"/>
    </row>
    <row r="4949" spans="1:27" s="10" customFormat="1" hidden="1" x14ac:dyDescent="0.2">
      <c r="A4949" s="11" t="s">
        <v>2337</v>
      </c>
      <c r="B4949" s="12" t="s">
        <v>2338</v>
      </c>
      <c r="C4949" s="13">
        <v>9</v>
      </c>
      <c r="D4949" s="14" t="s">
        <v>2333</v>
      </c>
      <c r="E4949" s="28" t="s">
        <v>2339</v>
      </c>
      <c r="F4949" s="12" t="s">
        <v>2352</v>
      </c>
      <c r="G4949" s="15" t="s">
        <v>78</v>
      </c>
      <c r="H4949" s="8"/>
      <c r="I4949" s="90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  <c r="V4949" s="8"/>
      <c r="W4949" s="8"/>
      <c r="X4949" s="8"/>
      <c r="Y4949" s="8"/>
      <c r="Z4949" s="8"/>
      <c r="AA4949" s="8"/>
    </row>
    <row r="4950" spans="1:27" s="10" customFormat="1" ht="12.75" hidden="1" thickBot="1" x14ac:dyDescent="0.25">
      <c r="A4950" s="36" t="s">
        <v>2382</v>
      </c>
      <c r="B4950" s="30" t="s">
        <v>2383</v>
      </c>
      <c r="C4950" s="31">
        <v>2</v>
      </c>
      <c r="D4950" s="6" t="s">
        <v>2333</v>
      </c>
      <c r="E4950" s="32" t="s">
        <v>2384</v>
      </c>
      <c r="F4950" s="4" t="s">
        <v>2386</v>
      </c>
      <c r="G4950" s="33" t="s">
        <v>78</v>
      </c>
      <c r="H4950" s="8"/>
      <c r="I4950" s="90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  <c r="V4950" s="8"/>
      <c r="W4950" s="8"/>
      <c r="X4950" s="8"/>
      <c r="Y4950" s="8"/>
      <c r="Z4950" s="8"/>
      <c r="AA4950" s="8"/>
    </row>
    <row r="4951" spans="1:27" s="10" customFormat="1" hidden="1" x14ac:dyDescent="0.2">
      <c r="A4951" s="56" t="s">
        <v>4049</v>
      </c>
      <c r="B4951" s="61" t="s">
        <v>4050</v>
      </c>
      <c r="C4951" s="58">
        <v>13</v>
      </c>
      <c r="D4951" s="61" t="s">
        <v>4068</v>
      </c>
      <c r="E4951" s="89" t="s">
        <v>4051</v>
      </c>
      <c r="F4951" s="61" t="s">
        <v>4069</v>
      </c>
      <c r="G4951" s="129" t="s">
        <v>42</v>
      </c>
      <c r="H4951" s="8"/>
      <c r="I4951" s="90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  <c r="V4951" s="8"/>
      <c r="W4951" s="8"/>
      <c r="X4951" s="8"/>
      <c r="Y4951" s="8"/>
      <c r="Z4951" s="8"/>
      <c r="AA4951" s="8"/>
    </row>
    <row r="4952" spans="1:27" s="10" customFormat="1" hidden="1" x14ac:dyDescent="0.2">
      <c r="A4952" s="11" t="s">
        <v>4013</v>
      </c>
      <c r="B4952" s="12" t="s">
        <v>4014</v>
      </c>
      <c r="C4952" s="13">
        <v>12</v>
      </c>
      <c r="D4952" s="12" t="s">
        <v>320</v>
      </c>
      <c r="E4952" s="28" t="s">
        <v>4015</v>
      </c>
      <c r="F4952" s="12" t="s">
        <v>4032</v>
      </c>
      <c r="G4952" s="66" t="s">
        <v>42</v>
      </c>
      <c r="H4952" s="8"/>
      <c r="I4952" s="90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  <c r="V4952" s="8"/>
      <c r="W4952" s="8"/>
      <c r="X4952" s="8"/>
      <c r="Y4952" s="8"/>
      <c r="Z4952" s="8"/>
      <c r="AA4952" s="8"/>
    </row>
    <row r="4953" spans="1:27" s="10" customFormat="1" hidden="1" x14ac:dyDescent="0.2">
      <c r="A4953" s="11" t="s">
        <v>4049</v>
      </c>
      <c r="B4953" s="12" t="s">
        <v>4050</v>
      </c>
      <c r="C4953" s="13">
        <v>17</v>
      </c>
      <c r="D4953" s="12" t="s">
        <v>4076</v>
      </c>
      <c r="E4953" s="28" t="s">
        <v>4051</v>
      </c>
      <c r="F4953" s="12" t="s">
        <v>4077</v>
      </c>
      <c r="G4953" s="66" t="s">
        <v>42</v>
      </c>
      <c r="H4953" s="8"/>
      <c r="I4953" s="90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  <c r="V4953" s="8"/>
      <c r="W4953" s="8"/>
      <c r="X4953" s="8"/>
      <c r="Y4953" s="8"/>
      <c r="Z4953" s="8"/>
      <c r="AA4953" s="8"/>
    </row>
    <row r="4954" spans="1:27" s="10" customFormat="1" hidden="1" x14ac:dyDescent="0.2">
      <c r="A4954" s="11" t="s">
        <v>2317</v>
      </c>
      <c r="B4954" s="12" t="s">
        <v>2318</v>
      </c>
      <c r="C4954" s="13">
        <v>2</v>
      </c>
      <c r="D4954" s="37" t="s">
        <v>2322</v>
      </c>
      <c r="E4954" s="28" t="s">
        <v>2320</v>
      </c>
      <c r="F4954" s="22" t="s">
        <v>2323</v>
      </c>
      <c r="G4954" s="15" t="s">
        <v>78</v>
      </c>
      <c r="H4954" s="8"/>
      <c r="I4954" s="90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  <c r="V4954" s="8"/>
      <c r="W4954" s="8"/>
      <c r="X4954" s="8"/>
      <c r="Y4954" s="8"/>
      <c r="Z4954" s="8"/>
      <c r="AA4954" s="8"/>
    </row>
    <row r="4955" spans="1:27" s="10" customFormat="1" ht="12.75" hidden="1" thickBot="1" x14ac:dyDescent="0.25">
      <c r="A4955" s="36" t="s">
        <v>2355</v>
      </c>
      <c r="B4955" s="30" t="s">
        <v>2356</v>
      </c>
      <c r="C4955" s="31">
        <v>2</v>
      </c>
      <c r="D4955" s="6" t="s">
        <v>2322</v>
      </c>
      <c r="E4955" s="32" t="s">
        <v>2357</v>
      </c>
      <c r="F4955" s="4" t="s">
        <v>2359</v>
      </c>
      <c r="G4955" s="33" t="s">
        <v>78</v>
      </c>
      <c r="H4955" s="8"/>
      <c r="I4955" s="90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  <c r="V4955" s="8"/>
      <c r="W4955" s="8"/>
      <c r="X4955" s="8"/>
      <c r="Y4955" s="8"/>
      <c r="Z4955" s="8"/>
      <c r="AA4955" s="8"/>
    </row>
    <row r="4956" spans="1:27" s="10" customFormat="1" hidden="1" x14ac:dyDescent="0.2">
      <c r="A4956" s="56" t="s">
        <v>2404</v>
      </c>
      <c r="B4956" s="61" t="s">
        <v>2405</v>
      </c>
      <c r="C4956" s="58">
        <v>5</v>
      </c>
      <c r="D4956" s="107" t="s">
        <v>2322</v>
      </c>
      <c r="E4956" s="148" t="s">
        <v>2407</v>
      </c>
      <c r="F4956" s="61" t="s">
        <v>2413</v>
      </c>
      <c r="G4956" s="62" t="s">
        <v>78</v>
      </c>
      <c r="H4956" s="8"/>
      <c r="I4956" s="90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  <c r="V4956" s="8"/>
      <c r="W4956" s="8"/>
      <c r="X4956" s="8"/>
      <c r="Y4956" s="8"/>
      <c r="Z4956" s="8"/>
      <c r="AA4956" s="8"/>
    </row>
    <row r="4957" spans="1:27" s="10" customFormat="1" hidden="1" x14ac:dyDescent="0.2">
      <c r="A4957" s="11" t="s">
        <v>2416</v>
      </c>
      <c r="B4957" s="12" t="s">
        <v>2417</v>
      </c>
      <c r="C4957" s="13">
        <v>7</v>
      </c>
      <c r="D4957" s="14" t="s">
        <v>2322</v>
      </c>
      <c r="E4957" s="151" t="s">
        <v>2419</v>
      </c>
      <c r="F4957" s="12" t="s">
        <v>2428</v>
      </c>
      <c r="G4957" s="15" t="s">
        <v>78</v>
      </c>
      <c r="H4957" s="8"/>
      <c r="I4957" s="90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  <c r="V4957" s="8"/>
      <c r="W4957" s="8"/>
      <c r="X4957" s="8"/>
      <c r="Y4957" s="8"/>
      <c r="Z4957" s="8"/>
      <c r="AA4957" s="8"/>
    </row>
    <row r="4958" spans="1:27" s="10" customFormat="1" hidden="1" x14ac:dyDescent="0.2">
      <c r="A4958" s="11" t="s">
        <v>2429</v>
      </c>
      <c r="B4958" s="12" t="s">
        <v>2430</v>
      </c>
      <c r="C4958" s="13">
        <v>8</v>
      </c>
      <c r="D4958" s="14" t="s">
        <v>2322</v>
      </c>
      <c r="E4958" s="151" t="s">
        <v>2431</v>
      </c>
      <c r="F4958" s="12" t="s">
        <v>2439</v>
      </c>
      <c r="G4958" s="15" t="s">
        <v>78</v>
      </c>
      <c r="H4958" s="8"/>
      <c r="I4958" s="90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  <c r="V4958" s="8"/>
      <c r="W4958" s="8"/>
      <c r="X4958" s="8"/>
      <c r="Y4958" s="8"/>
      <c r="Z4958" s="8"/>
      <c r="AA4958" s="8"/>
    </row>
    <row r="4959" spans="1:27" s="10" customFormat="1" hidden="1" x14ac:dyDescent="0.2">
      <c r="A4959" s="11" t="s">
        <v>2267</v>
      </c>
      <c r="B4959" s="12" t="s">
        <v>2268</v>
      </c>
      <c r="C4959" s="13">
        <v>8</v>
      </c>
      <c r="D4959" s="14" t="s">
        <v>2282</v>
      </c>
      <c r="E4959" s="28" t="s">
        <v>2269</v>
      </c>
      <c r="F4959" s="12" t="s">
        <v>2283</v>
      </c>
      <c r="G4959" s="15" t="s">
        <v>78</v>
      </c>
      <c r="H4959" s="8"/>
      <c r="I4959" s="90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  <c r="V4959" s="8"/>
      <c r="W4959" s="8"/>
      <c r="X4959" s="8"/>
      <c r="Y4959" s="8"/>
      <c r="Z4959" s="8"/>
      <c r="AA4959" s="8"/>
    </row>
    <row r="4960" spans="1:27" s="10" customFormat="1" ht="12.75" hidden="1" thickBot="1" x14ac:dyDescent="0.25">
      <c r="A4960" s="36" t="s">
        <v>2291</v>
      </c>
      <c r="B4960" s="30" t="s">
        <v>2292</v>
      </c>
      <c r="C4960" s="31">
        <v>6</v>
      </c>
      <c r="D4960" s="67" t="s">
        <v>2282</v>
      </c>
      <c r="E4960" s="32" t="s">
        <v>2293</v>
      </c>
      <c r="F4960" s="30" t="s">
        <v>2299</v>
      </c>
      <c r="G4960" s="33" t="s">
        <v>337</v>
      </c>
      <c r="H4960" s="8"/>
      <c r="I4960" s="90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  <c r="V4960" s="8"/>
      <c r="W4960" s="8"/>
      <c r="X4960" s="8"/>
      <c r="Y4960" s="8"/>
      <c r="Z4960" s="8"/>
      <c r="AA4960" s="8"/>
    </row>
    <row r="4961" spans="1:27" s="10" customFormat="1" hidden="1" x14ac:dyDescent="0.2">
      <c r="A4961" s="56" t="s">
        <v>2369</v>
      </c>
      <c r="B4961" s="61" t="s">
        <v>2370</v>
      </c>
      <c r="C4961" s="58">
        <v>8</v>
      </c>
      <c r="D4961" s="107" t="s">
        <v>2282</v>
      </c>
      <c r="E4961" s="89" t="s">
        <v>2371</v>
      </c>
      <c r="F4961" s="61" t="s">
        <v>2380</v>
      </c>
      <c r="G4961" s="62" t="s">
        <v>78</v>
      </c>
      <c r="H4961" s="8"/>
      <c r="I4961" s="90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  <c r="V4961" s="8"/>
      <c r="W4961" s="8"/>
      <c r="X4961" s="8"/>
      <c r="Y4961" s="8"/>
      <c r="Z4961" s="8"/>
      <c r="AA4961" s="8"/>
    </row>
    <row r="4962" spans="1:27" s="10" customFormat="1" hidden="1" x14ac:dyDescent="0.2">
      <c r="A4962" s="11" t="s">
        <v>2301</v>
      </c>
      <c r="B4962" s="12" t="s">
        <v>2302</v>
      </c>
      <c r="C4962" s="13">
        <v>9</v>
      </c>
      <c r="D4962" s="14" t="s">
        <v>2314</v>
      </c>
      <c r="E4962" s="28" t="s">
        <v>2303</v>
      </c>
      <c r="F4962" s="12" t="s">
        <v>2315</v>
      </c>
      <c r="G4962" s="15" t="s">
        <v>78</v>
      </c>
      <c r="H4962" s="8"/>
      <c r="I4962" s="90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  <c r="V4962" s="8"/>
      <c r="W4962" s="8"/>
      <c r="X4962" s="8"/>
      <c r="Y4962" s="8"/>
      <c r="Z4962" s="8"/>
      <c r="AA4962" s="8"/>
    </row>
    <row r="4963" spans="1:27" s="10" customFormat="1" hidden="1" x14ac:dyDescent="0.2">
      <c r="A4963" s="11" t="s">
        <v>4013</v>
      </c>
      <c r="B4963" s="12" t="s">
        <v>4014</v>
      </c>
      <c r="C4963" s="13">
        <v>16</v>
      </c>
      <c r="D4963" s="12" t="s">
        <v>4038</v>
      </c>
      <c r="E4963" s="28" t="s">
        <v>4015</v>
      </c>
      <c r="F4963" s="12" t="s">
        <v>4039</v>
      </c>
      <c r="G4963" s="66" t="s">
        <v>42</v>
      </c>
      <c r="H4963" s="8"/>
      <c r="I4963" s="90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  <c r="V4963" s="8"/>
      <c r="W4963" s="8"/>
      <c r="X4963" s="8"/>
      <c r="Y4963" s="8"/>
      <c r="Z4963" s="8"/>
      <c r="AA4963" s="8"/>
    </row>
    <row r="4964" spans="1:27" s="10" customFormat="1" hidden="1" x14ac:dyDescent="0.2">
      <c r="A4964" s="11" t="s">
        <v>93</v>
      </c>
      <c r="B4964" s="12" t="s">
        <v>94</v>
      </c>
      <c r="C4964" s="13">
        <v>52</v>
      </c>
      <c r="D4964" s="14" t="s">
        <v>202</v>
      </c>
      <c r="E4964" s="28" t="s">
        <v>96</v>
      </c>
      <c r="F4964" s="12" t="s">
        <v>203</v>
      </c>
      <c r="G4964" s="15" t="s">
        <v>156</v>
      </c>
      <c r="H4964" s="8"/>
      <c r="I4964" s="90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  <c r="V4964" s="8"/>
      <c r="W4964" s="8"/>
      <c r="X4964" s="8"/>
      <c r="Y4964" s="8"/>
      <c r="Z4964" s="8"/>
      <c r="AA4964" s="8"/>
    </row>
    <row r="4965" spans="1:27" s="10" customFormat="1" ht="15.75" hidden="1" thickBot="1" x14ac:dyDescent="0.3">
      <c r="A4965" s="36" t="s">
        <v>4421</v>
      </c>
      <c r="B4965" s="30" t="s">
        <v>4422</v>
      </c>
      <c r="C4965" s="31">
        <v>23</v>
      </c>
      <c r="D4965" s="30" t="s">
        <v>4463</v>
      </c>
      <c r="E4965" s="32" t="s">
        <v>4423</v>
      </c>
      <c r="F4965" s="30" t="s">
        <v>4464</v>
      </c>
      <c r="G4965" s="68" t="s">
        <v>829</v>
      </c>
      <c r="H4965" s="8"/>
      <c r="I4965" s="9">
        <v>15</v>
      </c>
      <c r="J4965" s="52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  <c r="V4965" s="8"/>
      <c r="W4965" s="8"/>
      <c r="X4965" s="8"/>
      <c r="Y4965" s="8"/>
      <c r="Z4965" s="8"/>
      <c r="AA4965" s="8"/>
    </row>
    <row r="4966" spans="1:27" s="10" customFormat="1" ht="15" hidden="1" x14ac:dyDescent="0.25">
      <c r="A4966" s="56" t="s">
        <v>4465</v>
      </c>
      <c r="B4966" s="61" t="s">
        <v>4466</v>
      </c>
      <c r="C4966" s="58">
        <v>31</v>
      </c>
      <c r="D4966" s="61" t="s">
        <v>4463</v>
      </c>
      <c r="E4966" s="89" t="s">
        <v>4467</v>
      </c>
      <c r="F4966" s="61" t="s">
        <v>4512</v>
      </c>
      <c r="G4966" s="129" t="s">
        <v>829</v>
      </c>
      <c r="H4966" s="8"/>
      <c r="I4966" s="9">
        <v>15</v>
      </c>
      <c r="J4966" s="52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  <c r="V4966" s="8"/>
      <c r="W4966" s="8"/>
      <c r="X4966" s="8"/>
      <c r="Y4966" s="8"/>
      <c r="Z4966" s="8"/>
      <c r="AA4966" s="8"/>
    </row>
    <row r="4967" spans="1:27" s="10" customFormat="1" hidden="1" x14ac:dyDescent="0.2">
      <c r="A4967" s="11" t="s">
        <v>4513</v>
      </c>
      <c r="B4967" s="12" t="s">
        <v>4514</v>
      </c>
      <c r="C4967" s="13">
        <v>21</v>
      </c>
      <c r="D4967" s="12" t="s">
        <v>4463</v>
      </c>
      <c r="E4967" s="28" t="s">
        <v>4515</v>
      </c>
      <c r="F4967" s="12" t="s">
        <v>4539</v>
      </c>
      <c r="G4967" s="66" t="s">
        <v>829</v>
      </c>
      <c r="H4967" s="8"/>
      <c r="I4967" s="9">
        <v>15</v>
      </c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  <c r="V4967" s="8"/>
      <c r="W4967" s="8"/>
      <c r="X4967" s="8"/>
      <c r="Y4967" s="8"/>
      <c r="Z4967" s="8"/>
      <c r="AA4967" s="8"/>
    </row>
    <row r="4968" spans="1:27" s="10" customFormat="1" hidden="1" x14ac:dyDescent="0.2">
      <c r="A4968" s="11" t="s">
        <v>4540</v>
      </c>
      <c r="B4968" s="12" t="s">
        <v>4541</v>
      </c>
      <c r="C4968" s="13">
        <v>18</v>
      </c>
      <c r="D4968" s="12" t="s">
        <v>4463</v>
      </c>
      <c r="E4968" s="28" t="s">
        <v>4542</v>
      </c>
      <c r="F4968" s="12" t="s">
        <v>4563</v>
      </c>
      <c r="G4968" s="66" t="s">
        <v>829</v>
      </c>
      <c r="H4968" s="8"/>
      <c r="I4968" s="9">
        <v>15</v>
      </c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  <c r="V4968" s="8"/>
      <c r="W4968" s="8"/>
      <c r="X4968" s="8"/>
      <c r="Y4968" s="8"/>
      <c r="Z4968" s="8"/>
      <c r="AA4968" s="8"/>
    </row>
    <row r="4969" spans="1:27" s="10" customFormat="1" hidden="1" x14ac:dyDescent="0.2">
      <c r="A4969" s="11" t="s">
        <v>4564</v>
      </c>
      <c r="B4969" s="12" t="s">
        <v>4565</v>
      </c>
      <c r="C4969" s="13">
        <v>16</v>
      </c>
      <c r="D4969" s="12" t="s">
        <v>4463</v>
      </c>
      <c r="E4969" s="28" t="s">
        <v>4566</v>
      </c>
      <c r="F4969" s="12" t="s">
        <v>4582</v>
      </c>
      <c r="G4969" s="66" t="s">
        <v>829</v>
      </c>
      <c r="H4969" s="8"/>
      <c r="I4969" s="9">
        <v>15</v>
      </c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  <c r="V4969" s="8"/>
      <c r="W4969" s="8"/>
      <c r="X4969" s="8"/>
      <c r="Y4969" s="8"/>
      <c r="Z4969" s="8"/>
      <c r="AA4969" s="8"/>
    </row>
    <row r="4970" spans="1:27" s="10" customFormat="1" ht="12.75" hidden="1" thickBot="1" x14ac:dyDescent="0.25">
      <c r="A4970" s="36" t="s">
        <v>4583</v>
      </c>
      <c r="B4970" s="30" t="s">
        <v>4584</v>
      </c>
      <c r="C4970" s="31">
        <v>28</v>
      </c>
      <c r="D4970" s="30" t="s">
        <v>4463</v>
      </c>
      <c r="E4970" s="32" t="s">
        <v>4585</v>
      </c>
      <c r="F4970" s="30" t="s">
        <v>4633</v>
      </c>
      <c r="G4970" s="68" t="s">
        <v>829</v>
      </c>
      <c r="H4970" s="8"/>
      <c r="I4970" s="9">
        <v>15</v>
      </c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  <c r="V4970" s="8"/>
      <c r="W4970" s="8"/>
      <c r="X4970" s="8"/>
      <c r="Y4970" s="8"/>
      <c r="Z4970" s="8"/>
      <c r="AA4970" s="8"/>
    </row>
    <row r="4971" spans="1:27" s="10" customFormat="1" ht="15" hidden="1" x14ac:dyDescent="0.25">
      <c r="A4971" s="56" t="s">
        <v>2194</v>
      </c>
      <c r="B4971" s="57" t="s">
        <v>2195</v>
      </c>
      <c r="C4971" s="58">
        <v>5</v>
      </c>
      <c r="D4971" s="61" t="s">
        <v>2203</v>
      </c>
      <c r="E4971" s="89" t="s">
        <v>2196</v>
      </c>
      <c r="F4971" s="61" t="s">
        <v>2204</v>
      </c>
      <c r="G4971" s="62" t="s">
        <v>78</v>
      </c>
      <c r="H4971" s="8"/>
      <c r="I4971" s="54">
        <v>15</v>
      </c>
      <c r="J4971" s="60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  <c r="V4971" s="8"/>
      <c r="W4971" s="8"/>
      <c r="X4971" s="8"/>
      <c r="Y4971" s="8"/>
      <c r="Z4971" s="8"/>
      <c r="AA4971" s="8"/>
    </row>
    <row r="4972" spans="1:27" s="10" customFormat="1" hidden="1" x14ac:dyDescent="0.25">
      <c r="A4972" s="11" t="s">
        <v>6325</v>
      </c>
      <c r="B4972" s="12" t="s">
        <v>6326</v>
      </c>
      <c r="C4972" s="13">
        <f>C4971+1</f>
        <v>6</v>
      </c>
      <c r="D4972" s="12" t="s">
        <v>6338</v>
      </c>
      <c r="E4972" s="28" t="s">
        <v>6327</v>
      </c>
      <c r="F4972" s="12" t="s">
        <v>6339</v>
      </c>
      <c r="G4972" s="15" t="s">
        <v>19</v>
      </c>
      <c r="H4972" s="8"/>
      <c r="I4972" s="90">
        <v>12</v>
      </c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  <c r="V4972" s="8"/>
      <c r="W4972" s="8"/>
      <c r="X4972" s="8"/>
      <c r="Y4972" s="8"/>
      <c r="Z4972" s="8"/>
      <c r="AA4972" s="8"/>
    </row>
    <row r="4973" spans="1:27" s="10" customFormat="1" hidden="1" x14ac:dyDescent="0.25">
      <c r="A4973" s="11" t="s">
        <v>6787</v>
      </c>
      <c r="B4973" s="12" t="s">
        <v>6788</v>
      </c>
      <c r="C4973" s="13">
        <v>7</v>
      </c>
      <c r="D4973" s="12" t="s">
        <v>6338</v>
      </c>
      <c r="E4973" s="28" t="s">
        <v>6789</v>
      </c>
      <c r="F4973" s="12" t="s">
        <v>6796</v>
      </c>
      <c r="G4973" s="15" t="s">
        <v>19</v>
      </c>
      <c r="H4973" s="8"/>
      <c r="I4973" s="90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  <c r="V4973" s="8"/>
      <c r="W4973" s="8"/>
      <c r="X4973" s="8"/>
      <c r="Y4973" s="8"/>
      <c r="Z4973" s="8"/>
      <c r="AA4973" s="8"/>
    </row>
    <row r="4974" spans="1:27" s="10" customFormat="1" hidden="1" x14ac:dyDescent="0.25">
      <c r="A4974" s="11" t="s">
        <v>5686</v>
      </c>
      <c r="B4974" s="12" t="s">
        <v>5687</v>
      </c>
      <c r="C4974" s="13">
        <f>C4973+1</f>
        <v>8</v>
      </c>
      <c r="D4974" s="12" t="s">
        <v>5785</v>
      </c>
      <c r="E4974" s="28" t="s">
        <v>5688</v>
      </c>
      <c r="F4974" s="12" t="s">
        <v>5786</v>
      </c>
      <c r="G4974" s="80" t="s">
        <v>13</v>
      </c>
      <c r="H4974" s="8"/>
      <c r="I4974" s="90">
        <v>12</v>
      </c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  <c r="V4974" s="8"/>
      <c r="W4974" s="8"/>
      <c r="X4974" s="8"/>
      <c r="Y4974" s="8"/>
      <c r="Z4974" s="8"/>
      <c r="AA4974" s="8"/>
    </row>
    <row r="4975" spans="1:27" s="10" customFormat="1" ht="12.75" hidden="1" thickBot="1" x14ac:dyDescent="0.25">
      <c r="A4975" s="36" t="s">
        <v>2097</v>
      </c>
      <c r="B4975" s="30" t="s">
        <v>2098</v>
      </c>
      <c r="C4975" s="31">
        <v>9</v>
      </c>
      <c r="D4975" s="6" t="s">
        <v>1966</v>
      </c>
      <c r="E4975" s="32" t="s">
        <v>2099</v>
      </c>
      <c r="F4975" s="4" t="s">
        <v>2112</v>
      </c>
      <c r="G4975" s="33" t="s">
        <v>13</v>
      </c>
      <c r="H4975" s="8"/>
      <c r="I4975" s="90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  <c r="V4975" s="8"/>
      <c r="W4975" s="8"/>
      <c r="X4975" s="8"/>
      <c r="Y4975" s="8"/>
      <c r="Z4975" s="8"/>
      <c r="AA4975" s="8"/>
    </row>
    <row r="4976" spans="1:27" s="10" customFormat="1" ht="15" hidden="1" x14ac:dyDescent="0.25">
      <c r="A4976" s="56" t="s">
        <v>1922</v>
      </c>
      <c r="B4976" s="61" t="s">
        <v>1923</v>
      </c>
      <c r="C4976" s="58">
        <v>11</v>
      </c>
      <c r="D4976" s="228" t="s">
        <v>1942</v>
      </c>
      <c r="E4976" s="89" t="s">
        <v>1924</v>
      </c>
      <c r="F4976" s="61" t="s">
        <v>1943</v>
      </c>
      <c r="G4976" s="62" t="s">
        <v>780</v>
      </c>
      <c r="H4976" s="8"/>
      <c r="I4976" s="9">
        <v>15</v>
      </c>
      <c r="J4976" s="52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  <c r="V4976" s="8"/>
      <c r="W4976" s="8"/>
      <c r="X4976" s="8"/>
      <c r="Y4976" s="8"/>
      <c r="Z4976" s="8"/>
      <c r="AA4976" s="8"/>
    </row>
    <row r="4977" spans="1:27" s="10" customFormat="1" hidden="1" x14ac:dyDescent="0.2">
      <c r="A4977" s="11" t="s">
        <v>791</v>
      </c>
      <c r="B4977" s="12" t="s">
        <v>792</v>
      </c>
      <c r="C4977" s="13">
        <v>19</v>
      </c>
      <c r="D4977" s="14" t="s">
        <v>827</v>
      </c>
      <c r="E4977" s="28" t="s">
        <v>793</v>
      </c>
      <c r="F4977" s="12" t="s">
        <v>828</v>
      </c>
      <c r="G4977" s="15" t="s">
        <v>829</v>
      </c>
      <c r="H4977" s="8"/>
      <c r="I4977" s="9">
        <v>15</v>
      </c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  <c r="V4977" s="8"/>
      <c r="W4977" s="8"/>
      <c r="X4977" s="8"/>
      <c r="Y4977" s="8"/>
      <c r="Z4977" s="8"/>
      <c r="AA4977" s="8"/>
    </row>
    <row r="4978" spans="1:27" s="10" customFormat="1" hidden="1" x14ac:dyDescent="0.25">
      <c r="A4978" s="11" t="s">
        <v>1568</v>
      </c>
      <c r="B4978" s="12" t="s">
        <v>1569</v>
      </c>
      <c r="C4978" s="13">
        <v>23</v>
      </c>
      <c r="D4978" s="12" t="s">
        <v>1616</v>
      </c>
      <c r="E4978" s="28" t="s">
        <v>1570</v>
      </c>
      <c r="F4978" s="12" t="s">
        <v>1617</v>
      </c>
      <c r="G4978" s="15" t="s">
        <v>934</v>
      </c>
      <c r="H4978" s="8"/>
      <c r="I4978" s="94">
        <v>14</v>
      </c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  <c r="V4978" s="8"/>
      <c r="W4978" s="8"/>
      <c r="X4978" s="8"/>
      <c r="Y4978" s="8"/>
      <c r="Z4978" s="8"/>
      <c r="AA4978" s="8"/>
    </row>
    <row r="4979" spans="1:27" s="10" customFormat="1" hidden="1" x14ac:dyDescent="0.25">
      <c r="A4979" s="11" t="s">
        <v>1768</v>
      </c>
      <c r="B4979" s="12" t="s">
        <v>1769</v>
      </c>
      <c r="C4979" s="13">
        <v>14</v>
      </c>
      <c r="D4979" s="12" t="s">
        <v>1616</v>
      </c>
      <c r="E4979" s="28" t="s">
        <v>1770</v>
      </c>
      <c r="F4979" s="12" t="s">
        <v>1785</v>
      </c>
      <c r="G4979" s="15" t="s">
        <v>934</v>
      </c>
      <c r="H4979" s="8"/>
      <c r="I4979" s="94">
        <v>14</v>
      </c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  <c r="V4979" s="8"/>
      <c r="W4979" s="8"/>
      <c r="X4979" s="8"/>
      <c r="Y4979" s="8"/>
      <c r="Z4979" s="8"/>
      <c r="AA4979" s="8"/>
    </row>
    <row r="4980" spans="1:27" s="10" customFormat="1" ht="12.75" hidden="1" thickBot="1" x14ac:dyDescent="0.25">
      <c r="A4980" s="36" t="s">
        <v>1206</v>
      </c>
      <c r="B4980" s="30" t="s">
        <v>1207</v>
      </c>
      <c r="C4980" s="31">
        <v>7</v>
      </c>
      <c r="D4980" s="69" t="s">
        <v>1219</v>
      </c>
      <c r="E4980" s="32" t="s">
        <v>1208</v>
      </c>
      <c r="F4980" s="30" t="s">
        <v>1220</v>
      </c>
      <c r="G4980" s="33" t="s">
        <v>1221</v>
      </c>
      <c r="H4980" s="8"/>
      <c r="I4980" s="99">
        <v>13</v>
      </c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  <c r="V4980" s="8"/>
      <c r="W4980" s="8"/>
      <c r="X4980" s="8"/>
      <c r="Y4980" s="8"/>
      <c r="Z4980" s="8"/>
      <c r="AA4980" s="8"/>
    </row>
    <row r="4981" spans="1:27" s="10" customFormat="1" ht="15" hidden="1" x14ac:dyDescent="0.25">
      <c r="A4981" s="56" t="s">
        <v>4583</v>
      </c>
      <c r="B4981" s="61" t="s">
        <v>4584</v>
      </c>
      <c r="C4981" s="58">
        <v>11</v>
      </c>
      <c r="D4981" s="61" t="s">
        <v>4601</v>
      </c>
      <c r="E4981" s="89" t="s">
        <v>4585</v>
      </c>
      <c r="F4981" s="61" t="s">
        <v>4602</v>
      </c>
      <c r="G4981" s="129" t="s">
        <v>258</v>
      </c>
      <c r="H4981" s="8"/>
      <c r="I4981" s="9">
        <v>15</v>
      </c>
      <c r="J4981" s="52"/>
      <c r="K4981" s="8"/>
      <c r="L4981" s="8"/>
      <c r="M4981" s="8"/>
      <c r="N4981" s="8"/>
      <c r="O4981" s="8"/>
      <c r="P4981" s="8"/>
      <c r="Q4981" s="8"/>
      <c r="R4981" s="8"/>
      <c r="S4981" s="8"/>
      <c r="T4981" s="8"/>
      <c r="U4981" s="8"/>
      <c r="V4981" s="8"/>
      <c r="W4981" s="8"/>
      <c r="X4981" s="8"/>
      <c r="Y4981" s="8"/>
      <c r="Z4981" s="8"/>
      <c r="AA4981" s="8"/>
    </row>
    <row r="4982" spans="1:27" s="10" customFormat="1" hidden="1" x14ac:dyDescent="0.2">
      <c r="A4982" s="81" t="s">
        <v>93</v>
      </c>
      <c r="B4982" s="82" t="s">
        <v>94</v>
      </c>
      <c r="C4982" s="83">
        <v>27</v>
      </c>
      <c r="D4982" s="172" t="s">
        <v>146</v>
      </c>
      <c r="E4982" s="86" t="s">
        <v>96</v>
      </c>
      <c r="F4982" s="82" t="s">
        <v>147</v>
      </c>
      <c r="G4982" s="84" t="s">
        <v>13</v>
      </c>
      <c r="H4982" s="8"/>
      <c r="I4982" s="90">
        <v>12</v>
      </c>
      <c r="J4982" s="8"/>
      <c r="K4982" s="8"/>
      <c r="L4982" s="8"/>
      <c r="M4982" s="8"/>
      <c r="N4982" s="8"/>
      <c r="O4982" s="8"/>
      <c r="P4982" s="8"/>
      <c r="Q4982" s="8"/>
      <c r="R4982" s="8"/>
      <c r="S4982" s="8"/>
      <c r="T4982" s="8"/>
      <c r="U4982" s="8"/>
      <c r="V4982" s="8"/>
      <c r="W4982" s="8"/>
      <c r="X4982" s="8"/>
      <c r="Y4982" s="8"/>
      <c r="Z4982" s="8"/>
      <c r="AA4982" s="8"/>
    </row>
    <row r="4983" spans="1:27" s="10" customFormat="1" hidden="1" x14ac:dyDescent="0.2">
      <c r="A4983" s="81" t="s">
        <v>93</v>
      </c>
      <c r="B4983" s="82" t="s">
        <v>94</v>
      </c>
      <c r="C4983" s="83">
        <f>C4982+1</f>
        <v>28</v>
      </c>
      <c r="D4983" s="172" t="s">
        <v>152</v>
      </c>
      <c r="E4983" s="86" t="s">
        <v>96</v>
      </c>
      <c r="F4983" s="82" t="s">
        <v>153</v>
      </c>
      <c r="G4983" s="84" t="s">
        <v>13</v>
      </c>
      <c r="H4983" s="8"/>
      <c r="I4983" s="94">
        <v>14</v>
      </c>
      <c r="J4983" s="8"/>
      <c r="K4983" s="8"/>
      <c r="L4983" s="8"/>
      <c r="M4983" s="8"/>
      <c r="N4983" s="8"/>
      <c r="O4983" s="8"/>
      <c r="P4983" s="8"/>
      <c r="Q4983" s="8"/>
      <c r="R4983" s="8"/>
      <c r="S4983" s="8"/>
      <c r="T4983" s="8"/>
      <c r="U4983" s="8"/>
      <c r="V4983" s="8"/>
      <c r="W4983" s="8"/>
      <c r="X4983" s="8"/>
      <c r="Y4983" s="8"/>
      <c r="Z4983" s="8"/>
      <c r="AA4983" s="8"/>
    </row>
    <row r="4984" spans="1:27" s="10" customFormat="1" hidden="1" x14ac:dyDescent="0.2">
      <c r="A4984" s="146" t="s">
        <v>5060</v>
      </c>
      <c r="B4984" s="12" t="s">
        <v>5061</v>
      </c>
      <c r="C4984" s="13">
        <v>49</v>
      </c>
      <c r="D4984" s="14" t="s">
        <v>5153</v>
      </c>
      <c r="E4984" s="28" t="s">
        <v>5062</v>
      </c>
      <c r="F4984" s="12" t="s">
        <v>5154</v>
      </c>
      <c r="G4984" s="80" t="s">
        <v>13</v>
      </c>
      <c r="H4984" s="8"/>
      <c r="I4984" s="90"/>
      <c r="J4984" s="8"/>
      <c r="K4984" s="8"/>
      <c r="L4984" s="8"/>
      <c r="M4984" s="8"/>
      <c r="N4984" s="8"/>
      <c r="O4984" s="8"/>
      <c r="P4984" s="8"/>
      <c r="Q4984" s="8"/>
      <c r="R4984" s="8"/>
      <c r="S4984" s="8"/>
      <c r="T4984" s="8"/>
      <c r="U4984" s="8"/>
      <c r="V4984" s="8"/>
      <c r="W4984" s="8"/>
      <c r="X4984" s="8"/>
      <c r="Y4984" s="8"/>
      <c r="Z4984" s="8"/>
      <c r="AA4984" s="8"/>
    </row>
    <row r="4985" spans="1:27" s="10" customFormat="1" ht="12.75" hidden="1" thickBot="1" x14ac:dyDescent="0.25">
      <c r="A4985" s="147" t="s">
        <v>5060</v>
      </c>
      <c r="B4985" s="30" t="s">
        <v>5061</v>
      </c>
      <c r="C4985" s="31">
        <v>48</v>
      </c>
      <c r="D4985" s="69" t="s">
        <v>5151</v>
      </c>
      <c r="E4985" s="32" t="s">
        <v>5062</v>
      </c>
      <c r="F4985" s="30" t="s">
        <v>5152</v>
      </c>
      <c r="G4985" s="152" t="s">
        <v>13</v>
      </c>
      <c r="H4985" s="8"/>
      <c r="I4985" s="90"/>
      <c r="J4985" s="8"/>
      <c r="K4985" s="8"/>
      <c r="L4985" s="8"/>
      <c r="M4985" s="8"/>
      <c r="N4985" s="8"/>
      <c r="O4985" s="8"/>
      <c r="P4985" s="8"/>
      <c r="Q4985" s="8"/>
      <c r="R4985" s="8"/>
      <c r="S4985" s="8"/>
      <c r="T4985" s="8"/>
      <c r="U4985" s="8"/>
      <c r="V4985" s="8"/>
      <c r="W4985" s="8"/>
      <c r="X4985" s="8"/>
      <c r="Y4985" s="8"/>
      <c r="Z4985" s="8"/>
      <c r="AA4985" s="8"/>
    </row>
    <row r="4986" spans="1:27" s="10" customFormat="1" hidden="1" x14ac:dyDescent="0.2">
      <c r="A4986" s="183" t="s">
        <v>93</v>
      </c>
      <c r="B4986" s="196" t="s">
        <v>94</v>
      </c>
      <c r="C4986" s="200">
        <v>27</v>
      </c>
      <c r="D4986" s="216" t="s">
        <v>150</v>
      </c>
      <c r="E4986" s="236" t="s">
        <v>96</v>
      </c>
      <c r="F4986" s="196" t="s">
        <v>151</v>
      </c>
      <c r="G4986" s="160" t="s">
        <v>13</v>
      </c>
      <c r="H4986" s="8"/>
      <c r="I4986" s="94">
        <v>14</v>
      </c>
      <c r="J4986" s="8"/>
      <c r="K4986" s="8"/>
      <c r="L4986" s="8"/>
      <c r="M4986" s="8"/>
      <c r="N4986" s="8"/>
      <c r="O4986" s="8"/>
      <c r="P4986" s="8"/>
      <c r="Q4986" s="8"/>
      <c r="R4986" s="8"/>
      <c r="S4986" s="8"/>
      <c r="T4986" s="8"/>
      <c r="U4986" s="8"/>
      <c r="V4986" s="8"/>
      <c r="W4986" s="8"/>
      <c r="X4986" s="8"/>
      <c r="Y4986" s="8"/>
      <c r="Z4986" s="8"/>
      <c r="AA4986" s="8"/>
    </row>
    <row r="4987" spans="1:27" s="10" customFormat="1" hidden="1" x14ac:dyDescent="0.25">
      <c r="A4987" s="11" t="s">
        <v>5645</v>
      </c>
      <c r="B4987" s="12" t="s">
        <v>5646</v>
      </c>
      <c r="C4987" s="13">
        <v>13</v>
      </c>
      <c r="D4987" s="22" t="s">
        <v>5669</v>
      </c>
      <c r="E4987" s="28" t="s">
        <v>5647</v>
      </c>
      <c r="F4987" s="22" t="s">
        <v>5670</v>
      </c>
      <c r="G4987" s="15" t="s">
        <v>271</v>
      </c>
      <c r="H4987" s="8"/>
      <c r="I4987" s="99">
        <v>13</v>
      </c>
      <c r="J4987" s="8"/>
      <c r="K4987" s="8"/>
      <c r="L4987" s="8"/>
      <c r="M4987" s="8"/>
      <c r="N4987" s="8"/>
      <c r="O4987" s="8"/>
      <c r="P4987" s="8"/>
      <c r="Q4987" s="8"/>
      <c r="R4987" s="8"/>
      <c r="S4987" s="8"/>
      <c r="T4987" s="8"/>
      <c r="U4987" s="8"/>
      <c r="V4987" s="8"/>
      <c r="W4987" s="8"/>
      <c r="X4987" s="8"/>
      <c r="Y4987" s="8"/>
      <c r="Z4987" s="8"/>
      <c r="AA4987" s="8"/>
    </row>
    <row r="4988" spans="1:27" s="10" customFormat="1" hidden="1" x14ac:dyDescent="0.25">
      <c r="A4988" s="11" t="s">
        <v>5866</v>
      </c>
      <c r="B4988" s="12" t="s">
        <v>5867</v>
      </c>
      <c r="C4988" s="13">
        <v>13</v>
      </c>
      <c r="D4988" s="22" t="s">
        <v>5669</v>
      </c>
      <c r="E4988" s="28" t="s">
        <v>5868</v>
      </c>
      <c r="F4988" s="22" t="s">
        <v>5881</v>
      </c>
      <c r="G4988" s="15" t="s">
        <v>271</v>
      </c>
      <c r="H4988" s="8"/>
      <c r="I4988" s="99">
        <v>13</v>
      </c>
      <c r="J4988" s="8"/>
      <c r="K4988" s="8"/>
      <c r="L4988" s="8"/>
      <c r="M4988" s="8"/>
      <c r="N4988" s="8"/>
      <c r="O4988" s="8"/>
      <c r="P4988" s="8"/>
      <c r="Q4988" s="8"/>
      <c r="R4988" s="8"/>
      <c r="S4988" s="8"/>
      <c r="T4988" s="8"/>
      <c r="U4988" s="8"/>
      <c r="V4988" s="8"/>
      <c r="W4988" s="8"/>
      <c r="X4988" s="8"/>
      <c r="Y4988" s="8"/>
      <c r="Z4988" s="8"/>
      <c r="AA4988" s="8"/>
    </row>
    <row r="4989" spans="1:27" s="10" customFormat="1" hidden="1" x14ac:dyDescent="0.25">
      <c r="A4989" s="11" t="s">
        <v>5957</v>
      </c>
      <c r="B4989" s="12" t="s">
        <v>5958</v>
      </c>
      <c r="C4989" s="13">
        <v>16</v>
      </c>
      <c r="D4989" s="22" t="s">
        <v>5669</v>
      </c>
      <c r="E4989" s="28" t="s">
        <v>5959</v>
      </c>
      <c r="F4989" s="22" t="s">
        <v>5981</v>
      </c>
      <c r="G4989" s="15" t="s">
        <v>271</v>
      </c>
      <c r="H4989" s="8"/>
      <c r="I4989" s="9">
        <v>15</v>
      </c>
      <c r="J4989" s="8"/>
      <c r="K4989" s="8"/>
      <c r="L4989" s="8"/>
      <c r="M4989" s="8"/>
      <c r="N4989" s="8"/>
      <c r="O4989" s="8"/>
      <c r="P4989" s="8"/>
      <c r="Q4989" s="8"/>
      <c r="R4989" s="8"/>
      <c r="S4989" s="8"/>
      <c r="T4989" s="8"/>
      <c r="U4989" s="8"/>
      <c r="V4989" s="8"/>
      <c r="W4989" s="8"/>
      <c r="X4989" s="8"/>
      <c r="Y4989" s="8"/>
      <c r="Z4989" s="8"/>
      <c r="AA4989" s="8"/>
    </row>
    <row r="4990" spans="1:27" s="10" customFormat="1" ht="12.75" hidden="1" thickBot="1" x14ac:dyDescent="0.25">
      <c r="A4990" s="187" t="s">
        <v>93</v>
      </c>
      <c r="B4990" s="162" t="s">
        <v>94</v>
      </c>
      <c r="C4990" s="161">
        <v>28</v>
      </c>
      <c r="D4990" s="225" t="s">
        <v>148</v>
      </c>
      <c r="E4990" s="239" t="s">
        <v>96</v>
      </c>
      <c r="F4990" s="162" t="s">
        <v>149</v>
      </c>
      <c r="G4990" s="163" t="s">
        <v>13</v>
      </c>
      <c r="H4990" s="8"/>
      <c r="I4990" s="90">
        <v>12</v>
      </c>
      <c r="J4990" s="8"/>
      <c r="K4990" s="8"/>
      <c r="L4990" s="8"/>
      <c r="M4990" s="8"/>
      <c r="N4990" s="8"/>
      <c r="O4990" s="8"/>
      <c r="P4990" s="8"/>
      <c r="Q4990" s="8"/>
      <c r="R4990" s="8"/>
      <c r="S4990" s="8"/>
      <c r="T4990" s="8"/>
      <c r="U4990" s="8"/>
      <c r="V4990" s="8"/>
      <c r="W4990" s="8"/>
      <c r="X4990" s="8"/>
      <c r="Y4990" s="8"/>
      <c r="Z4990" s="8"/>
      <c r="AA4990" s="8"/>
    </row>
    <row r="4991" spans="1:27" s="10" customFormat="1" hidden="1" x14ac:dyDescent="0.25">
      <c r="A4991" s="56" t="s">
        <v>5686</v>
      </c>
      <c r="B4991" s="61" t="s">
        <v>5687</v>
      </c>
      <c r="C4991" s="58">
        <f>C4990+1</f>
        <v>29</v>
      </c>
      <c r="D4991" s="17" t="s">
        <v>148</v>
      </c>
      <c r="E4991" s="89" t="s">
        <v>5688</v>
      </c>
      <c r="F4991" s="17" t="s">
        <v>5694</v>
      </c>
      <c r="G4991" s="62" t="s">
        <v>5496</v>
      </c>
      <c r="H4991" s="8"/>
      <c r="I4991" s="90">
        <v>12</v>
      </c>
      <c r="J4991" s="8"/>
      <c r="K4991" s="8"/>
      <c r="L4991" s="8"/>
      <c r="M4991" s="8"/>
      <c r="N4991" s="8"/>
      <c r="O4991" s="8"/>
      <c r="P4991" s="8"/>
      <c r="Q4991" s="8"/>
      <c r="R4991" s="8"/>
      <c r="S4991" s="8"/>
      <c r="T4991" s="8"/>
      <c r="U4991" s="8"/>
      <c r="V4991" s="8"/>
      <c r="W4991" s="8"/>
      <c r="X4991" s="8"/>
      <c r="Y4991" s="8"/>
      <c r="Z4991" s="8"/>
      <c r="AA4991" s="8"/>
    </row>
    <row r="4992" spans="1:27" s="10" customFormat="1" hidden="1" x14ac:dyDescent="0.2">
      <c r="A4992" s="146" t="s">
        <v>5060</v>
      </c>
      <c r="B4992" s="12" t="s">
        <v>5061</v>
      </c>
      <c r="C4992" s="13">
        <v>47</v>
      </c>
      <c r="D4992" s="14" t="s">
        <v>5149</v>
      </c>
      <c r="E4992" s="28" t="s">
        <v>5062</v>
      </c>
      <c r="F4992" s="12" t="s">
        <v>5150</v>
      </c>
      <c r="G4992" s="80" t="s">
        <v>13</v>
      </c>
      <c r="H4992" s="8"/>
      <c r="I4992" s="90"/>
      <c r="J4992" s="8"/>
      <c r="K4992" s="8"/>
      <c r="L4992" s="8"/>
      <c r="M4992" s="8"/>
      <c r="N4992" s="8"/>
      <c r="O4992" s="8"/>
      <c r="P4992" s="8"/>
      <c r="Q4992" s="8"/>
      <c r="R4992" s="8"/>
      <c r="S4992" s="8"/>
      <c r="T4992" s="8"/>
      <c r="U4992" s="8"/>
      <c r="V4992" s="8"/>
      <c r="W4992" s="8"/>
      <c r="X4992" s="8"/>
      <c r="Y4992" s="8"/>
      <c r="Z4992" s="8"/>
      <c r="AA4992" s="8"/>
    </row>
    <row r="4993" spans="1:27" s="10" customFormat="1" hidden="1" x14ac:dyDescent="0.2">
      <c r="A4993" s="146" t="s">
        <v>5060</v>
      </c>
      <c r="B4993" s="12" t="s">
        <v>5061</v>
      </c>
      <c r="C4993" s="13">
        <v>46</v>
      </c>
      <c r="D4993" s="14" t="s">
        <v>5147</v>
      </c>
      <c r="E4993" s="28" t="s">
        <v>5062</v>
      </c>
      <c r="F4993" s="12" t="s">
        <v>5148</v>
      </c>
      <c r="G4993" s="80" t="s">
        <v>13</v>
      </c>
      <c r="H4993" s="8"/>
      <c r="I4993" s="90"/>
      <c r="J4993" s="8"/>
      <c r="K4993" s="8"/>
      <c r="L4993" s="8"/>
      <c r="M4993" s="8"/>
      <c r="N4993" s="8"/>
      <c r="O4993" s="8"/>
      <c r="P4993" s="8"/>
      <c r="Q4993" s="8"/>
      <c r="R4993" s="8"/>
      <c r="S4993" s="8"/>
      <c r="T4993" s="8"/>
      <c r="U4993" s="8"/>
      <c r="V4993" s="8"/>
      <c r="W4993" s="8"/>
      <c r="X4993" s="8"/>
      <c r="Y4993" s="8"/>
      <c r="Z4993" s="8"/>
      <c r="AA4993" s="8"/>
    </row>
    <row r="4994" spans="1:27" s="10" customFormat="1" ht="15" hidden="1" x14ac:dyDescent="0.25">
      <c r="A4994" s="11" t="s">
        <v>6252</v>
      </c>
      <c r="B4994" s="12" t="s">
        <v>6253</v>
      </c>
      <c r="C4994" s="13">
        <f>C4993+1</f>
        <v>47</v>
      </c>
      <c r="D4994" s="12" t="s">
        <v>6282</v>
      </c>
      <c r="E4994" s="28" t="s">
        <v>6254</v>
      </c>
      <c r="F4994" s="12" t="s">
        <v>6283</v>
      </c>
      <c r="G4994" s="15" t="s">
        <v>483</v>
      </c>
      <c r="H4994" s="8"/>
      <c r="I4994" s="9">
        <v>15</v>
      </c>
      <c r="J4994" s="52"/>
      <c r="K4994" s="8"/>
      <c r="L4994" s="8"/>
      <c r="M4994" s="8"/>
      <c r="N4994" s="8"/>
      <c r="O4994" s="8"/>
      <c r="P4994" s="8"/>
      <c r="Q4994" s="8"/>
      <c r="R4994" s="8"/>
      <c r="S4994" s="8"/>
      <c r="T4994" s="8"/>
      <c r="U4994" s="8"/>
      <c r="V4994" s="8"/>
      <c r="W4994" s="8"/>
      <c r="X4994" s="8"/>
      <c r="Y4994" s="8"/>
      <c r="Z4994" s="8"/>
      <c r="AA4994" s="8"/>
    </row>
    <row r="4995" spans="1:27" s="10" customFormat="1" ht="12.75" hidden="1" thickBot="1" x14ac:dyDescent="0.3">
      <c r="A4995" s="36" t="s">
        <v>6017</v>
      </c>
      <c r="B4995" s="30" t="s">
        <v>6018</v>
      </c>
      <c r="C4995" s="31">
        <v>16</v>
      </c>
      <c r="D4995" s="30" t="s">
        <v>6046</v>
      </c>
      <c r="E4995" s="32" t="s">
        <v>6019</v>
      </c>
      <c r="F4995" s="30" t="s">
        <v>6047</v>
      </c>
      <c r="G4995" s="33" t="s">
        <v>483</v>
      </c>
      <c r="H4995" s="8"/>
      <c r="I4995" s="99">
        <v>13</v>
      </c>
      <c r="J4995" s="8"/>
      <c r="K4995" s="8"/>
      <c r="L4995" s="8"/>
      <c r="M4995" s="8"/>
      <c r="N4995" s="8"/>
      <c r="O4995" s="8"/>
      <c r="P4995" s="8"/>
      <c r="Q4995" s="8"/>
      <c r="R4995" s="8"/>
      <c r="S4995" s="8"/>
      <c r="T4995" s="8"/>
      <c r="U4995" s="8"/>
      <c r="V4995" s="8"/>
      <c r="W4995" s="8"/>
      <c r="X4995" s="8"/>
      <c r="Y4995" s="8"/>
      <c r="Z4995" s="8"/>
      <c r="AA4995" s="8"/>
    </row>
    <row r="4996" spans="1:27" s="10" customFormat="1" hidden="1" x14ac:dyDescent="0.2">
      <c r="A4996" s="56" t="s">
        <v>484</v>
      </c>
      <c r="B4996" s="61" t="s">
        <v>485</v>
      </c>
      <c r="C4996" s="58">
        <v>7</v>
      </c>
      <c r="D4996" s="107" t="s">
        <v>496</v>
      </c>
      <c r="E4996" s="89" t="s">
        <v>486</v>
      </c>
      <c r="F4996" s="61" t="s">
        <v>497</v>
      </c>
      <c r="G4996" s="62" t="s">
        <v>32</v>
      </c>
      <c r="H4996" s="8"/>
      <c r="I4996" s="90"/>
      <c r="J4996" s="8"/>
      <c r="K4996" s="8"/>
      <c r="L4996" s="8"/>
      <c r="M4996" s="8"/>
      <c r="N4996" s="8"/>
      <c r="O4996" s="8"/>
      <c r="P4996" s="8"/>
      <c r="Q4996" s="8"/>
      <c r="R4996" s="8"/>
      <c r="S4996" s="8"/>
      <c r="T4996" s="8"/>
      <c r="U4996" s="8"/>
      <c r="V4996" s="8"/>
      <c r="W4996" s="8"/>
      <c r="X4996" s="8"/>
      <c r="Y4996" s="8"/>
      <c r="Z4996" s="8"/>
      <c r="AA4996" s="8"/>
    </row>
    <row r="4997" spans="1:27" s="10" customFormat="1" hidden="1" x14ac:dyDescent="0.25">
      <c r="A4997" s="11" t="s">
        <v>1505</v>
      </c>
      <c r="B4997" s="12" t="s">
        <v>1506</v>
      </c>
      <c r="C4997" s="13">
        <v>7</v>
      </c>
      <c r="D4997" s="8" t="s">
        <v>496</v>
      </c>
      <c r="E4997" s="28" t="s">
        <v>1507</v>
      </c>
      <c r="F4997" s="12" t="s">
        <v>1514</v>
      </c>
      <c r="G4997" s="15" t="s">
        <v>32</v>
      </c>
      <c r="H4997" s="8"/>
      <c r="I4997" s="90"/>
      <c r="J4997" s="8"/>
      <c r="K4997" s="8"/>
      <c r="L4997" s="8"/>
      <c r="M4997" s="8"/>
      <c r="N4997" s="8"/>
      <c r="O4997" s="8"/>
      <c r="P4997" s="8"/>
      <c r="Q4997" s="8"/>
      <c r="R4997" s="8"/>
      <c r="S4997" s="8"/>
      <c r="T4997" s="8"/>
      <c r="U4997" s="8"/>
      <c r="V4997" s="8"/>
      <c r="W4997" s="8"/>
      <c r="X4997" s="8"/>
      <c r="Y4997" s="8"/>
      <c r="Z4997" s="8"/>
      <c r="AA4997" s="8"/>
    </row>
    <row r="4998" spans="1:27" s="10" customFormat="1" hidden="1" x14ac:dyDescent="0.25">
      <c r="A4998" s="11" t="s">
        <v>1519</v>
      </c>
      <c r="B4998" s="12" t="s">
        <v>1520</v>
      </c>
      <c r="C4998" s="13">
        <v>7</v>
      </c>
      <c r="D4998" s="12" t="s">
        <v>496</v>
      </c>
      <c r="E4998" s="28" t="s">
        <v>1521</v>
      </c>
      <c r="F4998" s="12" t="s">
        <v>1529</v>
      </c>
      <c r="G4998" s="15" t="s">
        <v>32</v>
      </c>
      <c r="H4998" s="8"/>
      <c r="I4998" s="90"/>
      <c r="J4998" s="8"/>
      <c r="K4998" s="8"/>
      <c r="L4998" s="8"/>
      <c r="M4998" s="8"/>
      <c r="N4998" s="8"/>
      <c r="O4998" s="8"/>
      <c r="P4998" s="8"/>
      <c r="Q4998" s="8"/>
      <c r="R4998" s="8"/>
      <c r="S4998" s="8"/>
      <c r="T4998" s="8"/>
      <c r="U4998" s="8"/>
      <c r="V4998" s="8"/>
      <c r="W4998" s="8"/>
      <c r="X4998" s="8"/>
      <c r="Y4998" s="8"/>
      <c r="Z4998" s="8"/>
      <c r="AA4998" s="8"/>
    </row>
    <row r="4999" spans="1:27" s="10" customFormat="1" hidden="1" x14ac:dyDescent="0.25">
      <c r="A4999" s="11" t="s">
        <v>2114</v>
      </c>
      <c r="B4999" s="12" t="s">
        <v>2115</v>
      </c>
      <c r="C4999" s="13">
        <v>8</v>
      </c>
      <c r="D4999" s="41" t="s">
        <v>496</v>
      </c>
      <c r="E4999" s="28" t="s">
        <v>2116</v>
      </c>
      <c r="F4999" s="12" t="s">
        <v>2125</v>
      </c>
      <c r="G4999" s="15" t="s">
        <v>32</v>
      </c>
      <c r="H4999" s="8"/>
      <c r="I4999" s="90"/>
      <c r="J4999" s="8"/>
      <c r="K4999" s="8"/>
      <c r="L4999" s="8"/>
      <c r="M4999" s="8"/>
      <c r="N4999" s="8"/>
      <c r="O4999" s="8"/>
      <c r="P4999" s="8"/>
      <c r="Q4999" s="8"/>
      <c r="R4999" s="8"/>
      <c r="S4999" s="8"/>
      <c r="T4999" s="8"/>
      <c r="U4999" s="8"/>
      <c r="V4999" s="8"/>
      <c r="W4999" s="8"/>
      <c r="X4999" s="8"/>
      <c r="Y4999" s="8"/>
      <c r="Z4999" s="8"/>
      <c r="AA4999" s="8"/>
    </row>
    <row r="5000" spans="1:27" s="10" customFormat="1" ht="12.75" hidden="1" thickBot="1" x14ac:dyDescent="0.3">
      <c r="A5000" s="36" t="s">
        <v>1818</v>
      </c>
      <c r="B5000" s="30" t="s">
        <v>1819</v>
      </c>
      <c r="C5000" s="31">
        <v>20</v>
      </c>
      <c r="D5000" s="30" t="s">
        <v>1857</v>
      </c>
      <c r="E5000" s="32" t="s">
        <v>1820</v>
      </c>
      <c r="F5000" s="30" t="s">
        <v>1858</v>
      </c>
      <c r="G5000" s="33" t="s">
        <v>780</v>
      </c>
      <c r="H5000" s="8"/>
      <c r="I5000" s="9">
        <v>15</v>
      </c>
      <c r="J5000" s="8"/>
      <c r="K5000" s="8"/>
      <c r="L5000" s="8"/>
      <c r="M5000" s="8"/>
      <c r="N5000" s="8"/>
      <c r="O5000" s="8"/>
      <c r="P5000" s="8"/>
      <c r="Q5000" s="8"/>
      <c r="R5000" s="8"/>
      <c r="S5000" s="8"/>
      <c r="T5000" s="8"/>
      <c r="U5000" s="8"/>
      <c r="V5000" s="8"/>
      <c r="W5000" s="8"/>
      <c r="X5000" s="8"/>
      <c r="Y5000" s="8"/>
      <c r="Z5000" s="8"/>
      <c r="AA5000" s="8"/>
    </row>
    <row r="5001" spans="1:27" s="10" customFormat="1" hidden="1" x14ac:dyDescent="0.25">
      <c r="A5001" s="56" t="s">
        <v>1818</v>
      </c>
      <c r="B5001" s="61" t="s">
        <v>1819</v>
      </c>
      <c r="C5001" s="58">
        <v>21</v>
      </c>
      <c r="D5001" s="61" t="s">
        <v>1859</v>
      </c>
      <c r="E5001" s="89" t="s">
        <v>1820</v>
      </c>
      <c r="F5001" s="61" t="s">
        <v>1860</v>
      </c>
      <c r="G5001" s="62" t="s">
        <v>780</v>
      </c>
      <c r="H5001" s="8"/>
      <c r="I5001" s="9">
        <v>15</v>
      </c>
      <c r="J5001" s="8"/>
      <c r="K5001" s="8"/>
      <c r="L5001" s="8"/>
      <c r="M5001" s="8"/>
      <c r="N5001" s="8"/>
      <c r="O5001" s="8"/>
      <c r="P5001" s="8"/>
      <c r="Q5001" s="8"/>
      <c r="R5001" s="8"/>
      <c r="S5001" s="8"/>
      <c r="T5001" s="8"/>
      <c r="U5001" s="8"/>
      <c r="V5001" s="8"/>
      <c r="W5001" s="8"/>
      <c r="X5001" s="8"/>
      <c r="Y5001" s="8"/>
      <c r="Z5001" s="8"/>
      <c r="AA5001" s="8"/>
    </row>
    <row r="5002" spans="1:27" s="10" customFormat="1" hidden="1" x14ac:dyDescent="0.2">
      <c r="A5002" s="11" t="s">
        <v>3034</v>
      </c>
      <c r="B5002" s="12" t="s">
        <v>3035</v>
      </c>
      <c r="C5002" s="13">
        <f>+C5001+1</f>
        <v>22</v>
      </c>
      <c r="D5002" s="14" t="s">
        <v>3097</v>
      </c>
      <c r="E5002" s="28" t="s">
        <v>3036</v>
      </c>
      <c r="F5002" s="65" t="s">
        <v>3098</v>
      </c>
      <c r="G5002" s="66" t="s">
        <v>13</v>
      </c>
      <c r="H5002" s="8"/>
      <c r="I5002" s="90"/>
      <c r="J5002" s="8"/>
      <c r="K5002" s="8"/>
      <c r="L5002" s="8"/>
      <c r="M5002" s="8"/>
      <c r="N5002" s="8"/>
      <c r="O5002" s="8"/>
      <c r="P5002" s="8"/>
      <c r="Q5002" s="8"/>
      <c r="R5002" s="8"/>
      <c r="S5002" s="8"/>
      <c r="T5002" s="8"/>
      <c r="U5002" s="8"/>
      <c r="V5002" s="8"/>
      <c r="W5002" s="8"/>
      <c r="X5002" s="8"/>
      <c r="Y5002" s="8"/>
      <c r="Z5002" s="8"/>
      <c r="AA5002" s="8"/>
    </row>
    <row r="5003" spans="1:27" s="10" customFormat="1" hidden="1" x14ac:dyDescent="0.2">
      <c r="A5003" s="11" t="s">
        <v>3034</v>
      </c>
      <c r="B5003" s="12" t="s">
        <v>3035</v>
      </c>
      <c r="C5003" s="13">
        <f>+C5002+1</f>
        <v>23</v>
      </c>
      <c r="D5003" s="8" t="s">
        <v>3063</v>
      </c>
      <c r="E5003" s="28" t="s">
        <v>3036</v>
      </c>
      <c r="F5003" s="8" t="s">
        <v>3064</v>
      </c>
      <c r="G5003" s="66" t="s">
        <v>13</v>
      </c>
      <c r="H5003" s="8"/>
      <c r="I5003" s="90"/>
      <c r="J5003" s="8"/>
      <c r="K5003" s="8"/>
      <c r="L5003" s="8"/>
      <c r="M5003" s="8"/>
      <c r="N5003" s="8"/>
      <c r="O5003" s="8"/>
      <c r="P5003" s="8"/>
      <c r="Q5003" s="8"/>
      <c r="R5003" s="8"/>
      <c r="S5003" s="8"/>
      <c r="T5003" s="8"/>
      <c r="U5003" s="8"/>
      <c r="V5003" s="8"/>
      <c r="W5003" s="8"/>
      <c r="X5003" s="8"/>
      <c r="Y5003" s="8"/>
      <c r="Z5003" s="8"/>
      <c r="AA5003" s="8"/>
    </row>
    <row r="5004" spans="1:27" s="10" customFormat="1" ht="15" hidden="1" x14ac:dyDescent="0.25">
      <c r="A5004" s="11" t="s">
        <v>4421</v>
      </c>
      <c r="B5004" s="12" t="s">
        <v>4422</v>
      </c>
      <c r="C5004" s="13">
        <v>6</v>
      </c>
      <c r="D5004" s="12" t="s">
        <v>4431</v>
      </c>
      <c r="E5004" s="28" t="s">
        <v>4423</v>
      </c>
      <c r="F5004" s="12" t="s">
        <v>4432</v>
      </c>
      <c r="G5004" s="66" t="s">
        <v>829</v>
      </c>
      <c r="H5004" s="8"/>
      <c r="I5004" s="9">
        <v>15</v>
      </c>
      <c r="J5004" s="52"/>
      <c r="K5004" s="8"/>
      <c r="L5004" s="8"/>
      <c r="M5004" s="8"/>
      <c r="N5004" s="8"/>
      <c r="O5004" s="8"/>
      <c r="P5004" s="8"/>
      <c r="Q5004" s="8"/>
      <c r="R5004" s="8"/>
      <c r="S5004" s="8"/>
      <c r="T5004" s="8"/>
      <c r="U5004" s="8"/>
      <c r="V5004" s="8"/>
      <c r="W5004" s="8"/>
      <c r="X5004" s="8"/>
      <c r="Y5004" s="8"/>
      <c r="Z5004" s="8"/>
      <c r="AA5004" s="8"/>
    </row>
    <row r="5005" spans="1:27" s="10" customFormat="1" ht="15.75" hidden="1" thickBot="1" x14ac:dyDescent="0.3">
      <c r="A5005" s="36" t="s">
        <v>4465</v>
      </c>
      <c r="B5005" s="30" t="s">
        <v>4466</v>
      </c>
      <c r="C5005" s="31">
        <v>6</v>
      </c>
      <c r="D5005" s="30" t="s">
        <v>4473</v>
      </c>
      <c r="E5005" s="32" t="s">
        <v>4467</v>
      </c>
      <c r="F5005" s="30" t="s">
        <v>4474</v>
      </c>
      <c r="G5005" s="68" t="s">
        <v>829</v>
      </c>
      <c r="H5005" s="8"/>
      <c r="I5005" s="9">
        <v>15</v>
      </c>
      <c r="J5005" s="52"/>
      <c r="K5005" s="8"/>
      <c r="L5005" s="8"/>
      <c r="M5005" s="8"/>
      <c r="N5005" s="8"/>
      <c r="O5005" s="8"/>
      <c r="P5005" s="8"/>
      <c r="Q5005" s="8"/>
      <c r="R5005" s="8"/>
      <c r="S5005" s="8"/>
      <c r="T5005" s="8"/>
      <c r="U5005" s="8"/>
      <c r="V5005" s="8"/>
      <c r="W5005" s="8"/>
      <c r="X5005" s="8"/>
      <c r="Y5005" s="8"/>
      <c r="Z5005" s="8"/>
      <c r="AA5005" s="8"/>
    </row>
    <row r="5006" spans="1:27" s="10" customFormat="1" hidden="1" x14ac:dyDescent="0.2">
      <c r="A5006" s="56" t="s">
        <v>4513</v>
      </c>
      <c r="B5006" s="61" t="s">
        <v>4514</v>
      </c>
      <c r="C5006" s="58">
        <v>6</v>
      </c>
      <c r="D5006" s="61" t="s">
        <v>4473</v>
      </c>
      <c r="E5006" s="89" t="s">
        <v>4515</v>
      </c>
      <c r="F5006" s="61" t="s">
        <v>4521</v>
      </c>
      <c r="G5006" s="129" t="s">
        <v>829</v>
      </c>
      <c r="H5006" s="8"/>
      <c r="I5006" s="9">
        <v>15</v>
      </c>
      <c r="J5006" s="8"/>
      <c r="K5006" s="8"/>
      <c r="L5006" s="8"/>
      <c r="M5006" s="8"/>
      <c r="N5006" s="8"/>
      <c r="O5006" s="8"/>
      <c r="P5006" s="8"/>
      <c r="Q5006" s="8"/>
      <c r="R5006" s="8"/>
      <c r="S5006" s="8"/>
      <c r="T5006" s="8"/>
      <c r="U5006" s="8"/>
      <c r="V5006" s="8"/>
      <c r="W5006" s="8"/>
      <c r="X5006" s="8"/>
      <c r="Y5006" s="8"/>
      <c r="Z5006" s="8"/>
      <c r="AA5006" s="8"/>
    </row>
    <row r="5007" spans="1:27" s="10" customFormat="1" hidden="1" x14ac:dyDescent="0.2">
      <c r="A5007" s="11" t="s">
        <v>4540</v>
      </c>
      <c r="B5007" s="12" t="s">
        <v>4541</v>
      </c>
      <c r="C5007" s="13">
        <v>6</v>
      </c>
      <c r="D5007" s="12" t="s">
        <v>4431</v>
      </c>
      <c r="E5007" s="28" t="s">
        <v>4542</v>
      </c>
      <c r="F5007" s="12" t="s">
        <v>4548</v>
      </c>
      <c r="G5007" s="66" t="s">
        <v>829</v>
      </c>
      <c r="H5007" s="8"/>
      <c r="I5007" s="9">
        <v>15</v>
      </c>
      <c r="J5007" s="8"/>
      <c r="K5007" s="8"/>
      <c r="L5007" s="8"/>
      <c r="M5007" s="8"/>
      <c r="N5007" s="8"/>
      <c r="O5007" s="8"/>
      <c r="P5007" s="8"/>
      <c r="Q5007" s="8"/>
      <c r="R5007" s="8"/>
      <c r="S5007" s="8"/>
      <c r="T5007" s="8"/>
      <c r="U5007" s="8"/>
      <c r="V5007" s="8"/>
      <c r="W5007" s="8"/>
      <c r="X5007" s="8"/>
      <c r="Y5007" s="8"/>
      <c r="Z5007" s="8"/>
      <c r="AA5007" s="8"/>
    </row>
    <row r="5008" spans="1:27" s="10" customFormat="1" hidden="1" x14ac:dyDescent="0.2">
      <c r="A5008" s="11" t="s">
        <v>4564</v>
      </c>
      <c r="B5008" s="12" t="s">
        <v>4565</v>
      </c>
      <c r="C5008" s="13">
        <v>6</v>
      </c>
      <c r="D5008" s="12" t="s">
        <v>4431</v>
      </c>
      <c r="E5008" s="28" t="s">
        <v>4566</v>
      </c>
      <c r="F5008" s="12" t="s">
        <v>4572</v>
      </c>
      <c r="G5008" s="66" t="s">
        <v>829</v>
      </c>
      <c r="H5008" s="8"/>
      <c r="I5008" s="9">
        <v>15</v>
      </c>
      <c r="J5008" s="8"/>
      <c r="K5008" s="8"/>
      <c r="L5008" s="8"/>
      <c r="M5008" s="8"/>
      <c r="N5008" s="8"/>
      <c r="O5008" s="8"/>
      <c r="P5008" s="8"/>
      <c r="Q5008" s="8"/>
      <c r="R5008" s="8"/>
      <c r="S5008" s="8"/>
      <c r="T5008" s="8"/>
      <c r="U5008" s="8"/>
      <c r="V5008" s="8"/>
      <c r="W5008" s="8"/>
      <c r="X5008" s="8"/>
      <c r="Y5008" s="8"/>
      <c r="Z5008" s="8"/>
      <c r="AA5008" s="8"/>
    </row>
    <row r="5009" spans="1:27" s="10" customFormat="1" ht="15" hidden="1" x14ac:dyDescent="0.25">
      <c r="A5009" s="11" t="s">
        <v>4583</v>
      </c>
      <c r="B5009" s="12" t="s">
        <v>4584</v>
      </c>
      <c r="C5009" s="13">
        <v>18</v>
      </c>
      <c r="D5009" s="12" t="s">
        <v>4431</v>
      </c>
      <c r="E5009" s="28" t="s">
        <v>4585</v>
      </c>
      <c r="F5009" s="12" t="s">
        <v>4614</v>
      </c>
      <c r="G5009" s="66" t="s">
        <v>829</v>
      </c>
      <c r="H5009" s="8"/>
      <c r="I5009" s="9">
        <v>15</v>
      </c>
      <c r="J5009" s="52"/>
      <c r="K5009" s="8"/>
      <c r="L5009" s="8"/>
      <c r="M5009" s="8"/>
      <c r="N5009" s="8"/>
      <c r="O5009" s="8"/>
      <c r="P5009" s="8"/>
      <c r="Q5009" s="8"/>
      <c r="R5009" s="8"/>
      <c r="S5009" s="8"/>
      <c r="T5009" s="8"/>
      <c r="U5009" s="8"/>
      <c r="V5009" s="8"/>
      <c r="W5009" s="8"/>
      <c r="X5009" s="8"/>
      <c r="Y5009" s="8"/>
      <c r="Z5009" s="8"/>
      <c r="AA5009" s="8"/>
    </row>
    <row r="5010" spans="1:27" s="10" customFormat="1" ht="15.75" hidden="1" thickBot="1" x14ac:dyDescent="0.3">
      <c r="A5010" s="36" t="s">
        <v>4583</v>
      </c>
      <c r="B5010" s="12" t="s">
        <v>4584</v>
      </c>
      <c r="C5010" s="31">
        <v>20</v>
      </c>
      <c r="D5010" s="30" t="s">
        <v>4617</v>
      </c>
      <c r="E5010" s="32" t="s">
        <v>4585</v>
      </c>
      <c r="F5010" s="30" t="s">
        <v>4618</v>
      </c>
      <c r="G5010" s="68" t="s">
        <v>829</v>
      </c>
      <c r="H5010" s="8"/>
      <c r="I5010" s="9">
        <v>15</v>
      </c>
      <c r="J5010" s="52"/>
      <c r="K5010" s="8"/>
      <c r="L5010" s="8"/>
      <c r="M5010" s="8"/>
      <c r="N5010" s="8"/>
      <c r="O5010" s="8"/>
      <c r="P5010" s="8"/>
      <c r="Q5010" s="8"/>
      <c r="R5010" s="8"/>
      <c r="S5010" s="8"/>
      <c r="T5010" s="8"/>
      <c r="U5010" s="8"/>
      <c r="V5010" s="8"/>
      <c r="W5010" s="8"/>
      <c r="X5010" s="8"/>
      <c r="Y5010" s="8"/>
      <c r="Z5010" s="8"/>
      <c r="AA5010" s="8"/>
    </row>
    <row r="5011" spans="1:27" s="10" customFormat="1" hidden="1" x14ac:dyDescent="0.2">
      <c r="A5011" s="56" t="s">
        <v>2130</v>
      </c>
      <c r="B5011" s="61" t="s">
        <v>2131</v>
      </c>
      <c r="C5011" s="58">
        <v>21</v>
      </c>
      <c r="D5011" s="107" t="s">
        <v>2169</v>
      </c>
      <c r="E5011" s="89" t="s">
        <v>2132</v>
      </c>
      <c r="F5011" s="61" t="s">
        <v>2170</v>
      </c>
      <c r="G5011" s="62" t="s">
        <v>13</v>
      </c>
      <c r="H5011" s="8"/>
      <c r="I5011" s="9">
        <v>15</v>
      </c>
      <c r="J5011" s="8"/>
      <c r="K5011" s="8"/>
      <c r="L5011" s="8"/>
      <c r="M5011" s="8"/>
      <c r="N5011" s="8"/>
      <c r="O5011" s="8"/>
      <c r="P5011" s="8"/>
      <c r="Q5011" s="8"/>
      <c r="R5011" s="8"/>
      <c r="S5011" s="8"/>
      <c r="T5011" s="8"/>
      <c r="U5011" s="8"/>
      <c r="V5011" s="8"/>
      <c r="W5011" s="8"/>
      <c r="X5011" s="8"/>
      <c r="Y5011" s="8"/>
      <c r="Z5011" s="8"/>
      <c r="AA5011" s="8"/>
    </row>
    <row r="5012" spans="1:27" s="10" customFormat="1" hidden="1" x14ac:dyDescent="0.25">
      <c r="A5012" s="11" t="s">
        <v>5559</v>
      </c>
      <c r="B5012" s="12" t="s">
        <v>5560</v>
      </c>
      <c r="C5012" s="13">
        <v>6</v>
      </c>
      <c r="D5012" s="12" t="s">
        <v>5570</v>
      </c>
      <c r="E5012" s="28" t="s">
        <v>5561</v>
      </c>
      <c r="F5012" s="12" t="s">
        <v>5571</v>
      </c>
      <c r="G5012" s="80" t="s">
        <v>5572</v>
      </c>
      <c r="H5012" s="8"/>
      <c r="I5012" s="90"/>
      <c r="J5012" s="8"/>
      <c r="K5012" s="8"/>
      <c r="L5012" s="8"/>
      <c r="M5012" s="8"/>
      <c r="N5012" s="8"/>
      <c r="O5012" s="8"/>
      <c r="P5012" s="8"/>
      <c r="Q5012" s="8"/>
      <c r="R5012" s="8"/>
      <c r="S5012" s="8"/>
      <c r="T5012" s="8"/>
      <c r="U5012" s="8"/>
      <c r="V5012" s="8"/>
      <c r="W5012" s="8"/>
      <c r="X5012" s="8"/>
      <c r="Y5012" s="8"/>
      <c r="Z5012" s="8"/>
      <c r="AA5012" s="8"/>
    </row>
    <row r="5013" spans="1:27" s="10" customFormat="1" hidden="1" x14ac:dyDescent="0.2">
      <c r="A5013" s="11" t="s">
        <v>5453</v>
      </c>
      <c r="B5013" s="12" t="s">
        <v>5454</v>
      </c>
      <c r="C5013" s="13">
        <v>2</v>
      </c>
      <c r="D5013" s="166" t="s">
        <v>5458</v>
      </c>
      <c r="E5013" s="28" t="s">
        <v>5456</v>
      </c>
      <c r="F5013" s="75" t="s">
        <v>5459</v>
      </c>
      <c r="G5013" s="77" t="s">
        <v>5460</v>
      </c>
      <c r="H5013" s="8"/>
      <c r="I5013" s="90"/>
      <c r="J5013" s="8"/>
      <c r="K5013" s="8"/>
      <c r="L5013" s="8"/>
      <c r="M5013" s="8"/>
      <c r="N5013" s="8"/>
      <c r="O5013" s="8"/>
      <c r="P5013" s="8"/>
      <c r="Q5013" s="8"/>
      <c r="R5013" s="8"/>
      <c r="S5013" s="8"/>
      <c r="T5013" s="8"/>
      <c r="U5013" s="8"/>
      <c r="V5013" s="8"/>
      <c r="W5013" s="8"/>
      <c r="X5013" s="8"/>
      <c r="Y5013" s="8"/>
      <c r="Z5013" s="8"/>
      <c r="AA5013" s="8"/>
    </row>
    <row r="5014" spans="1:27" s="10" customFormat="1" hidden="1" x14ac:dyDescent="0.25">
      <c r="A5014" s="11" t="s">
        <v>1031</v>
      </c>
      <c r="B5014" s="12" t="s">
        <v>1032</v>
      </c>
      <c r="C5014" s="13">
        <v>9</v>
      </c>
      <c r="D5014" s="41" t="s">
        <v>1048</v>
      </c>
      <c r="E5014" s="28" t="s">
        <v>1033</v>
      </c>
      <c r="F5014" s="12" t="s">
        <v>1049</v>
      </c>
      <c r="G5014" s="15" t="s">
        <v>832</v>
      </c>
      <c r="H5014" s="8"/>
      <c r="I5014" s="9">
        <v>15</v>
      </c>
      <c r="J5014" s="8"/>
      <c r="K5014" s="8"/>
      <c r="L5014" s="8"/>
      <c r="M5014" s="8"/>
      <c r="N5014" s="8"/>
      <c r="O5014" s="8"/>
      <c r="P5014" s="8"/>
      <c r="Q5014" s="8"/>
      <c r="R5014" s="8"/>
      <c r="S5014" s="8"/>
      <c r="T5014" s="8"/>
      <c r="U5014" s="8"/>
      <c r="V5014" s="8"/>
      <c r="W5014" s="8"/>
      <c r="X5014" s="8"/>
      <c r="Y5014" s="8"/>
      <c r="Z5014" s="8"/>
      <c r="AA5014" s="8"/>
    </row>
    <row r="5015" spans="1:27" s="10" customFormat="1" ht="12.75" hidden="1" thickBot="1" x14ac:dyDescent="0.3">
      <c r="A5015" s="36" t="s">
        <v>1031</v>
      </c>
      <c r="B5015" s="30" t="s">
        <v>1032</v>
      </c>
      <c r="C5015" s="31">
        <v>18</v>
      </c>
      <c r="D5015" s="43" t="s">
        <v>1066</v>
      </c>
      <c r="E5015" s="32" t="s">
        <v>1033</v>
      </c>
      <c r="F5015" s="30" t="s">
        <v>1067</v>
      </c>
      <c r="G5015" s="33" t="s">
        <v>881</v>
      </c>
      <c r="H5015" s="8"/>
      <c r="I5015" s="9">
        <v>15</v>
      </c>
      <c r="J5015" s="8"/>
      <c r="K5015" s="8"/>
      <c r="L5015" s="8"/>
      <c r="M5015" s="8"/>
      <c r="N5015" s="8"/>
      <c r="O5015" s="8"/>
      <c r="P5015" s="8"/>
      <c r="Q5015" s="8"/>
      <c r="R5015" s="8"/>
      <c r="S5015" s="8"/>
      <c r="T5015" s="8"/>
      <c r="U5015" s="8"/>
      <c r="V5015" s="8"/>
      <c r="W5015" s="8"/>
      <c r="X5015" s="8"/>
      <c r="Y5015" s="8"/>
      <c r="Z5015" s="8"/>
      <c r="AA5015" s="8"/>
    </row>
    <row r="5016" spans="1:27" s="10" customFormat="1" hidden="1" x14ac:dyDescent="0.25">
      <c r="A5016" s="56" t="s">
        <v>1031</v>
      </c>
      <c r="B5016" s="61" t="s">
        <v>1032</v>
      </c>
      <c r="C5016" s="58">
        <v>19</v>
      </c>
      <c r="D5016" s="164" t="s">
        <v>1068</v>
      </c>
      <c r="E5016" s="89" t="s">
        <v>1033</v>
      </c>
      <c r="F5016" s="61" t="s">
        <v>1069</v>
      </c>
      <c r="G5016" s="62" t="s">
        <v>881</v>
      </c>
      <c r="H5016" s="8"/>
      <c r="I5016" s="9">
        <v>15</v>
      </c>
      <c r="J5016" s="8"/>
      <c r="K5016" s="8"/>
      <c r="L5016" s="8"/>
      <c r="M5016" s="8"/>
      <c r="N5016" s="8"/>
      <c r="O5016" s="8"/>
      <c r="P5016" s="8"/>
      <c r="Q5016" s="8"/>
      <c r="R5016" s="8"/>
      <c r="S5016" s="8"/>
      <c r="T5016" s="8"/>
      <c r="U5016" s="8"/>
      <c r="V5016" s="8"/>
      <c r="W5016" s="8"/>
      <c r="X5016" s="8"/>
      <c r="Y5016" s="8"/>
      <c r="Z5016" s="8"/>
      <c r="AA5016" s="8"/>
    </row>
    <row r="5017" spans="1:27" s="10" customFormat="1" hidden="1" x14ac:dyDescent="0.25">
      <c r="A5017" s="11" t="s">
        <v>1031</v>
      </c>
      <c r="B5017" s="12" t="s">
        <v>1032</v>
      </c>
      <c r="C5017" s="13">
        <v>17</v>
      </c>
      <c r="D5017" s="41" t="s">
        <v>1064</v>
      </c>
      <c r="E5017" s="28" t="s">
        <v>1033</v>
      </c>
      <c r="F5017" s="12" t="s">
        <v>1065</v>
      </c>
      <c r="G5017" s="15" t="s">
        <v>881</v>
      </c>
      <c r="H5017" s="8"/>
      <c r="I5017" s="9">
        <v>15</v>
      </c>
      <c r="J5017" s="8"/>
      <c r="K5017" s="8"/>
      <c r="L5017" s="8"/>
      <c r="M5017" s="8"/>
      <c r="N5017" s="8"/>
      <c r="O5017" s="8"/>
      <c r="P5017" s="8"/>
      <c r="Q5017" s="8"/>
      <c r="R5017" s="8"/>
      <c r="S5017" s="8"/>
      <c r="T5017" s="8"/>
      <c r="U5017" s="8"/>
      <c r="V5017" s="8"/>
      <c r="W5017" s="8"/>
      <c r="X5017" s="8"/>
      <c r="Y5017" s="8"/>
      <c r="Z5017" s="8"/>
      <c r="AA5017" s="8"/>
    </row>
    <row r="5018" spans="1:27" s="10" customFormat="1" hidden="1" x14ac:dyDescent="0.2">
      <c r="A5018" s="11" t="s">
        <v>757</v>
      </c>
      <c r="B5018" s="12" t="s">
        <v>758</v>
      </c>
      <c r="C5018" s="13">
        <v>11</v>
      </c>
      <c r="D5018" s="14" t="s">
        <v>778</v>
      </c>
      <c r="E5018" s="28" t="s">
        <v>759</v>
      </c>
      <c r="F5018" s="12" t="s">
        <v>779</v>
      </c>
      <c r="G5018" s="15" t="s">
        <v>780</v>
      </c>
      <c r="H5018" s="8"/>
      <c r="I5018" s="9">
        <v>15</v>
      </c>
      <c r="J5018" s="8"/>
      <c r="K5018" s="8"/>
      <c r="L5018" s="8"/>
      <c r="M5018" s="8"/>
      <c r="N5018" s="8"/>
      <c r="O5018" s="8"/>
      <c r="P5018" s="8"/>
      <c r="Q5018" s="8"/>
      <c r="R5018" s="8"/>
      <c r="S5018" s="8"/>
      <c r="T5018" s="8"/>
      <c r="U5018" s="8"/>
      <c r="V5018" s="8"/>
      <c r="W5018" s="8"/>
      <c r="X5018" s="8"/>
      <c r="Y5018" s="8"/>
      <c r="Z5018" s="8"/>
      <c r="AA5018" s="8"/>
    </row>
    <row r="5019" spans="1:27" s="10" customFormat="1" ht="15" hidden="1" x14ac:dyDescent="0.25">
      <c r="A5019" s="11" t="s">
        <v>4421</v>
      </c>
      <c r="B5019" s="12" t="s">
        <v>4422</v>
      </c>
      <c r="C5019" s="13">
        <v>16</v>
      </c>
      <c r="D5019" s="12" t="s">
        <v>778</v>
      </c>
      <c r="E5019" s="28" t="s">
        <v>4423</v>
      </c>
      <c r="F5019" s="12" t="s">
        <v>4451</v>
      </c>
      <c r="G5019" s="66" t="s">
        <v>881</v>
      </c>
      <c r="H5019" s="8"/>
      <c r="I5019" s="9">
        <v>15</v>
      </c>
      <c r="J5019" s="52"/>
      <c r="K5019" s="8"/>
      <c r="L5019" s="8"/>
      <c r="M5019" s="8"/>
      <c r="N5019" s="8"/>
      <c r="O5019" s="8"/>
      <c r="P5019" s="8"/>
      <c r="Q5019" s="8"/>
      <c r="R5019" s="8"/>
      <c r="S5019" s="8"/>
      <c r="T5019" s="8"/>
      <c r="U5019" s="8"/>
      <c r="V5019" s="8"/>
      <c r="W5019" s="8"/>
      <c r="X5019" s="8"/>
      <c r="Y5019" s="8"/>
      <c r="Z5019" s="8"/>
      <c r="AA5019" s="8"/>
    </row>
    <row r="5020" spans="1:27" s="10" customFormat="1" ht="15.75" hidden="1" thickBot="1" x14ac:dyDescent="0.3">
      <c r="A5020" s="36" t="s">
        <v>4465</v>
      </c>
      <c r="B5020" s="30" t="s">
        <v>4466</v>
      </c>
      <c r="C5020" s="31">
        <v>22</v>
      </c>
      <c r="D5020" s="30" t="s">
        <v>778</v>
      </c>
      <c r="E5020" s="32" t="s">
        <v>4467</v>
      </c>
      <c r="F5020" s="30" t="s">
        <v>4500</v>
      </c>
      <c r="G5020" s="68" t="s">
        <v>881</v>
      </c>
      <c r="H5020" s="8"/>
      <c r="I5020" s="9">
        <v>15</v>
      </c>
      <c r="J5020" s="52"/>
      <c r="K5020" s="8"/>
      <c r="L5020" s="8"/>
      <c r="M5020" s="8"/>
      <c r="N5020" s="8"/>
      <c r="O5020" s="8"/>
      <c r="P5020" s="8"/>
      <c r="Q5020" s="8"/>
      <c r="R5020" s="8"/>
      <c r="S5020" s="8"/>
      <c r="T5020" s="8"/>
      <c r="U5020" s="8"/>
      <c r="V5020" s="8"/>
      <c r="W5020" s="8"/>
      <c r="X5020" s="8"/>
      <c r="Y5020" s="8"/>
      <c r="Z5020" s="8"/>
      <c r="AA5020" s="8"/>
    </row>
    <row r="5021" spans="1:27" s="10" customFormat="1" hidden="1" x14ac:dyDescent="0.2">
      <c r="A5021" s="56" t="s">
        <v>4513</v>
      </c>
      <c r="B5021" s="61" t="s">
        <v>4514</v>
      </c>
      <c r="C5021" s="58">
        <v>16</v>
      </c>
      <c r="D5021" s="61" t="s">
        <v>778</v>
      </c>
      <c r="E5021" s="89" t="s">
        <v>4515</v>
      </c>
      <c r="F5021" s="61" t="s">
        <v>4534</v>
      </c>
      <c r="G5021" s="129" t="s">
        <v>881</v>
      </c>
      <c r="H5021" s="8"/>
      <c r="I5021" s="9">
        <v>15</v>
      </c>
      <c r="J5021" s="8"/>
      <c r="K5021" s="8"/>
      <c r="L5021" s="8"/>
      <c r="M5021" s="8"/>
      <c r="N5021" s="8"/>
      <c r="O5021" s="8"/>
      <c r="P5021" s="8"/>
      <c r="Q5021" s="8"/>
      <c r="R5021" s="8"/>
      <c r="S5021" s="8"/>
      <c r="T5021" s="8"/>
      <c r="U5021" s="8"/>
      <c r="V5021" s="8"/>
      <c r="W5021" s="8"/>
      <c r="X5021" s="8"/>
      <c r="Y5021" s="8"/>
      <c r="Z5021" s="8"/>
      <c r="AA5021" s="8"/>
    </row>
    <row r="5022" spans="1:27" s="10" customFormat="1" ht="15" hidden="1" x14ac:dyDescent="0.25">
      <c r="A5022" s="11" t="s">
        <v>4583</v>
      </c>
      <c r="B5022" s="12" t="s">
        <v>4584</v>
      </c>
      <c r="C5022" s="13">
        <v>15</v>
      </c>
      <c r="D5022" s="12" t="s">
        <v>4609</v>
      </c>
      <c r="E5022" s="28" t="s">
        <v>4585</v>
      </c>
      <c r="F5022" s="12" t="s">
        <v>4610</v>
      </c>
      <c r="G5022" s="66" t="s">
        <v>881</v>
      </c>
      <c r="H5022" s="8"/>
      <c r="I5022" s="9">
        <v>15</v>
      </c>
      <c r="J5022" s="52"/>
      <c r="K5022" s="8"/>
      <c r="L5022" s="8"/>
      <c r="M5022" s="8"/>
      <c r="N5022" s="8"/>
      <c r="O5022" s="8"/>
      <c r="P5022" s="8"/>
      <c r="Q5022" s="8"/>
      <c r="R5022" s="8"/>
      <c r="S5022" s="8"/>
      <c r="T5022" s="8"/>
      <c r="U5022" s="8"/>
      <c r="V5022" s="8"/>
      <c r="W5022" s="8"/>
      <c r="X5022" s="8"/>
      <c r="Y5022" s="8"/>
      <c r="Z5022" s="8"/>
      <c r="AA5022" s="8"/>
    </row>
    <row r="5023" spans="1:27" s="10" customFormat="1" hidden="1" x14ac:dyDescent="0.2">
      <c r="A5023" s="11" t="s">
        <v>362</v>
      </c>
      <c r="B5023" s="12" t="s">
        <v>363</v>
      </c>
      <c r="C5023" s="13">
        <v>37</v>
      </c>
      <c r="D5023" s="14" t="s">
        <v>432</v>
      </c>
      <c r="E5023" s="28" t="s">
        <v>364</v>
      </c>
      <c r="F5023" s="12" t="s">
        <v>433</v>
      </c>
      <c r="G5023" s="15" t="s">
        <v>13</v>
      </c>
      <c r="H5023" s="8"/>
      <c r="I5023" s="90"/>
      <c r="J5023" s="8"/>
      <c r="K5023" s="8"/>
      <c r="L5023" s="8"/>
      <c r="M5023" s="8"/>
      <c r="N5023" s="8"/>
      <c r="O5023" s="8"/>
      <c r="P5023" s="8"/>
      <c r="Q5023" s="8"/>
      <c r="R5023" s="8"/>
      <c r="S5023" s="8"/>
      <c r="T5023" s="8"/>
      <c r="U5023" s="8"/>
      <c r="V5023" s="8"/>
      <c r="W5023" s="8"/>
      <c r="X5023" s="8"/>
      <c r="Y5023" s="8"/>
      <c r="Z5023" s="8"/>
      <c r="AA5023" s="8"/>
    </row>
    <row r="5024" spans="1:27" s="10" customFormat="1" hidden="1" x14ac:dyDescent="0.2">
      <c r="A5024" s="11" t="s">
        <v>585</v>
      </c>
      <c r="B5024" s="12" t="s">
        <v>586</v>
      </c>
      <c r="C5024" s="13">
        <v>11</v>
      </c>
      <c r="D5024" s="14" t="s">
        <v>606</v>
      </c>
      <c r="E5024" s="28" t="s">
        <v>587</v>
      </c>
      <c r="F5024" s="12" t="s">
        <v>607</v>
      </c>
      <c r="G5024" s="15" t="s">
        <v>13</v>
      </c>
      <c r="H5024" s="8"/>
      <c r="I5024" s="99">
        <v>13</v>
      </c>
      <c r="J5024" s="8"/>
      <c r="K5024" s="8"/>
      <c r="L5024" s="8"/>
      <c r="M5024" s="8"/>
      <c r="N5024" s="8"/>
      <c r="O5024" s="8"/>
      <c r="P5024" s="8"/>
      <c r="Q5024" s="8"/>
      <c r="R5024" s="8"/>
      <c r="S5024" s="8"/>
      <c r="T5024" s="8"/>
      <c r="U5024" s="8"/>
      <c r="V5024" s="8"/>
      <c r="W5024" s="8"/>
      <c r="X5024" s="8"/>
      <c r="Y5024" s="8"/>
      <c r="Z5024" s="8"/>
      <c r="AA5024" s="8"/>
    </row>
    <row r="5025" spans="1:27" s="10" customFormat="1" ht="12.75" hidden="1" thickBot="1" x14ac:dyDescent="0.25">
      <c r="A5025" s="36" t="s">
        <v>362</v>
      </c>
      <c r="B5025" s="30" t="s">
        <v>363</v>
      </c>
      <c r="C5025" s="31">
        <v>7</v>
      </c>
      <c r="D5025" s="69" t="s">
        <v>374</v>
      </c>
      <c r="E5025" s="32" t="s">
        <v>364</v>
      </c>
      <c r="F5025" s="30" t="s">
        <v>375</v>
      </c>
      <c r="G5025" s="33" t="s">
        <v>13</v>
      </c>
      <c r="H5025" s="8"/>
      <c r="I5025" s="90"/>
      <c r="J5025" s="8"/>
      <c r="K5025" s="8"/>
      <c r="L5025" s="8"/>
      <c r="M5025" s="8"/>
      <c r="N5025" s="8"/>
      <c r="O5025" s="8"/>
      <c r="P5025" s="8"/>
      <c r="Q5025" s="8"/>
      <c r="R5025" s="8"/>
      <c r="S5025" s="8"/>
      <c r="T5025" s="8"/>
      <c r="U5025" s="8"/>
      <c r="V5025" s="8"/>
      <c r="W5025" s="8"/>
      <c r="X5025" s="8"/>
      <c r="Y5025" s="8"/>
      <c r="Z5025" s="8"/>
      <c r="AA5025" s="8"/>
    </row>
    <row r="5026" spans="1:27" s="10" customFormat="1" hidden="1" x14ac:dyDescent="0.2">
      <c r="A5026" s="145" t="s">
        <v>5060</v>
      </c>
      <c r="B5026" s="61" t="s">
        <v>5061</v>
      </c>
      <c r="C5026" s="58">
        <v>10</v>
      </c>
      <c r="D5026" s="107" t="s">
        <v>374</v>
      </c>
      <c r="E5026" s="89" t="s">
        <v>5062</v>
      </c>
      <c r="F5026" s="61" t="s">
        <v>5077</v>
      </c>
      <c r="G5026" s="149" t="s">
        <v>13</v>
      </c>
      <c r="H5026" s="8"/>
      <c r="I5026" s="90"/>
      <c r="J5026" s="8"/>
      <c r="K5026" s="8"/>
      <c r="L5026" s="8"/>
      <c r="M5026" s="8"/>
      <c r="N5026" s="8"/>
      <c r="O5026" s="8"/>
      <c r="P5026" s="8"/>
      <c r="Q5026" s="8"/>
      <c r="R5026" s="8"/>
      <c r="S5026" s="8"/>
      <c r="T5026" s="8"/>
      <c r="U5026" s="8"/>
      <c r="V5026" s="8"/>
      <c r="W5026" s="8"/>
      <c r="X5026" s="8"/>
      <c r="Y5026" s="8"/>
      <c r="Z5026" s="8"/>
      <c r="AA5026" s="8"/>
    </row>
    <row r="5027" spans="1:27" s="10" customFormat="1" hidden="1" x14ac:dyDescent="0.2">
      <c r="A5027" s="146" t="s">
        <v>5060</v>
      </c>
      <c r="B5027" s="12" t="s">
        <v>5061</v>
      </c>
      <c r="C5027" s="13">
        <v>11</v>
      </c>
      <c r="D5027" s="14" t="s">
        <v>374</v>
      </c>
      <c r="E5027" s="28" t="s">
        <v>5062</v>
      </c>
      <c r="F5027" s="12" t="s">
        <v>5078</v>
      </c>
      <c r="G5027" s="80" t="s">
        <v>13</v>
      </c>
      <c r="H5027" s="8"/>
      <c r="I5027" s="90"/>
      <c r="J5027" s="8"/>
      <c r="K5027" s="8"/>
      <c r="L5027" s="8"/>
      <c r="M5027" s="8"/>
      <c r="N5027" s="8"/>
      <c r="O5027" s="8"/>
      <c r="P5027" s="8"/>
      <c r="Q5027" s="8"/>
      <c r="R5027" s="8"/>
      <c r="S5027" s="8"/>
      <c r="T5027" s="8"/>
      <c r="U5027" s="8"/>
      <c r="V5027" s="8"/>
      <c r="W5027" s="8"/>
      <c r="X5027" s="8"/>
      <c r="Y5027" s="8"/>
      <c r="Z5027" s="8"/>
      <c r="AA5027" s="8"/>
    </row>
    <row r="5028" spans="1:27" s="10" customFormat="1" hidden="1" x14ac:dyDescent="0.2">
      <c r="A5028" s="11" t="s">
        <v>289</v>
      </c>
      <c r="B5028" s="12" t="s">
        <v>290</v>
      </c>
      <c r="C5028" s="13">
        <v>15</v>
      </c>
      <c r="D5028" s="14" t="s">
        <v>312</v>
      </c>
      <c r="E5028" s="28" t="s">
        <v>291</v>
      </c>
      <c r="F5028" s="12" t="s">
        <v>313</v>
      </c>
      <c r="G5028" s="15" t="s">
        <v>13</v>
      </c>
      <c r="H5028" s="8"/>
      <c r="I5028" s="90">
        <v>12</v>
      </c>
      <c r="J5028" s="8"/>
      <c r="K5028" s="8"/>
      <c r="L5028" s="8"/>
      <c r="M5028" s="8"/>
      <c r="N5028" s="8"/>
      <c r="O5028" s="8"/>
      <c r="P5028" s="8"/>
      <c r="Q5028" s="8"/>
      <c r="R5028" s="8"/>
      <c r="S5028" s="8"/>
      <c r="T5028" s="8"/>
      <c r="U5028" s="8"/>
      <c r="V5028" s="8"/>
      <c r="W5028" s="8"/>
      <c r="X5028" s="8"/>
      <c r="Y5028" s="8"/>
      <c r="Z5028" s="8"/>
      <c r="AA5028" s="8"/>
    </row>
    <row r="5029" spans="1:27" s="10" customFormat="1" hidden="1" x14ac:dyDescent="0.25">
      <c r="A5029" s="109" t="s">
        <v>708</v>
      </c>
      <c r="B5029" s="12" t="s">
        <v>709</v>
      </c>
      <c r="C5029" s="13">
        <v>15</v>
      </c>
      <c r="D5029" s="12" t="s">
        <v>312</v>
      </c>
      <c r="E5029" s="28" t="s">
        <v>710</v>
      </c>
      <c r="F5029" s="12" t="s">
        <v>725</v>
      </c>
      <c r="G5029" s="15" t="s">
        <v>676</v>
      </c>
      <c r="H5029" s="8"/>
      <c r="I5029" s="102" t="s">
        <v>59</v>
      </c>
      <c r="J5029" s="8"/>
      <c r="K5029" s="8"/>
      <c r="L5029" s="8"/>
      <c r="M5029" s="8"/>
      <c r="N5029" s="8"/>
      <c r="O5029" s="8"/>
      <c r="P5029" s="8"/>
      <c r="Q5029" s="8"/>
      <c r="R5029" s="8"/>
      <c r="S5029" s="8"/>
      <c r="T5029" s="8"/>
      <c r="U5029" s="8"/>
      <c r="V5029" s="8"/>
      <c r="W5029" s="8"/>
      <c r="X5029" s="8"/>
      <c r="Y5029" s="8"/>
      <c r="Z5029" s="8"/>
      <c r="AA5029" s="8"/>
    </row>
    <row r="5030" spans="1:27" s="10" customFormat="1" ht="12.75" hidden="1" thickBot="1" x14ac:dyDescent="0.25">
      <c r="A5030" s="147" t="s">
        <v>5060</v>
      </c>
      <c r="B5030" s="30" t="s">
        <v>5061</v>
      </c>
      <c r="C5030" s="31">
        <v>9</v>
      </c>
      <c r="D5030" s="69" t="s">
        <v>5075</v>
      </c>
      <c r="E5030" s="32" t="s">
        <v>5062</v>
      </c>
      <c r="F5030" s="30" t="s">
        <v>5076</v>
      </c>
      <c r="G5030" s="152" t="s">
        <v>13</v>
      </c>
      <c r="H5030" s="8"/>
      <c r="I5030" s="90"/>
      <c r="J5030" s="8"/>
      <c r="K5030" s="8"/>
      <c r="L5030" s="8"/>
      <c r="M5030" s="8"/>
      <c r="N5030" s="8"/>
      <c r="O5030" s="8"/>
      <c r="P5030" s="8"/>
      <c r="Q5030" s="8"/>
      <c r="R5030" s="8"/>
      <c r="S5030" s="8"/>
      <c r="T5030" s="8"/>
      <c r="U5030" s="8"/>
      <c r="V5030" s="8"/>
      <c r="W5030" s="8"/>
      <c r="X5030" s="8"/>
      <c r="Y5030" s="8"/>
      <c r="Z5030" s="8"/>
      <c r="AA5030" s="8"/>
    </row>
    <row r="5031" spans="1:27" s="10" customFormat="1" hidden="1" x14ac:dyDescent="0.2">
      <c r="A5031" s="145" t="s">
        <v>5060</v>
      </c>
      <c r="B5031" s="61" t="s">
        <v>5061</v>
      </c>
      <c r="C5031" s="58">
        <v>8</v>
      </c>
      <c r="D5031" s="107" t="s">
        <v>5073</v>
      </c>
      <c r="E5031" s="89" t="s">
        <v>5062</v>
      </c>
      <c r="F5031" s="61" t="s">
        <v>5074</v>
      </c>
      <c r="G5031" s="149" t="s">
        <v>13</v>
      </c>
      <c r="H5031" s="8"/>
      <c r="I5031" s="90"/>
      <c r="J5031" s="8"/>
      <c r="K5031" s="8"/>
      <c r="L5031" s="8"/>
      <c r="M5031" s="8"/>
      <c r="N5031" s="8"/>
      <c r="O5031" s="8"/>
      <c r="P5031" s="8"/>
      <c r="Q5031" s="8"/>
      <c r="R5031" s="8"/>
      <c r="S5031" s="8"/>
      <c r="T5031" s="8"/>
      <c r="U5031" s="8"/>
      <c r="V5031" s="8"/>
      <c r="W5031" s="8"/>
      <c r="X5031" s="8"/>
      <c r="Y5031" s="8"/>
      <c r="Z5031" s="8"/>
      <c r="AA5031" s="8"/>
    </row>
    <row r="5032" spans="1:27" s="10" customFormat="1" hidden="1" x14ac:dyDescent="0.2">
      <c r="A5032" s="11" t="s">
        <v>362</v>
      </c>
      <c r="B5032" s="12" t="s">
        <v>363</v>
      </c>
      <c r="C5032" s="13">
        <v>6</v>
      </c>
      <c r="D5032" s="14" t="s">
        <v>372</v>
      </c>
      <c r="E5032" s="28" t="s">
        <v>364</v>
      </c>
      <c r="F5032" s="12" t="s">
        <v>373</v>
      </c>
      <c r="G5032" s="15" t="s">
        <v>13</v>
      </c>
      <c r="H5032" s="8"/>
      <c r="I5032" s="90"/>
      <c r="J5032" s="8"/>
      <c r="K5032" s="8"/>
      <c r="L5032" s="8"/>
      <c r="M5032" s="8"/>
      <c r="N5032" s="8"/>
      <c r="O5032" s="8"/>
      <c r="P5032" s="8"/>
      <c r="Q5032" s="8"/>
      <c r="R5032" s="8"/>
      <c r="S5032" s="8"/>
      <c r="T5032" s="8"/>
      <c r="U5032" s="8"/>
      <c r="V5032" s="8"/>
      <c r="W5032" s="8"/>
      <c r="X5032" s="8"/>
      <c r="Y5032" s="8"/>
      <c r="Z5032" s="8"/>
      <c r="AA5032" s="8"/>
    </row>
    <row r="5033" spans="1:27" s="10" customFormat="1" hidden="1" x14ac:dyDescent="0.2">
      <c r="A5033" s="11" t="s">
        <v>2097</v>
      </c>
      <c r="B5033" s="12" t="s">
        <v>2098</v>
      </c>
      <c r="C5033" s="13">
        <v>10</v>
      </c>
      <c r="D5033" s="14" t="s">
        <v>37</v>
      </c>
      <c r="E5033" s="28" t="s">
        <v>2099</v>
      </c>
      <c r="F5033" s="12" t="s">
        <v>2113</v>
      </c>
      <c r="G5033" s="15" t="s">
        <v>87</v>
      </c>
      <c r="H5033" s="8"/>
      <c r="I5033" s="90"/>
      <c r="J5033" s="8"/>
      <c r="K5033" s="8"/>
      <c r="L5033" s="8"/>
      <c r="M5033" s="8"/>
      <c r="N5033" s="8"/>
      <c r="O5033" s="8"/>
      <c r="P5033" s="8"/>
      <c r="Q5033" s="8"/>
      <c r="R5033" s="8"/>
      <c r="S5033" s="8"/>
      <c r="T5033" s="8"/>
      <c r="U5033" s="8"/>
      <c r="V5033" s="8"/>
      <c r="W5033" s="8"/>
      <c r="X5033" s="8"/>
      <c r="Y5033" s="8"/>
      <c r="Z5033" s="8"/>
      <c r="AA5033" s="8"/>
    </row>
    <row r="5034" spans="1:27" s="10" customFormat="1" hidden="1" x14ac:dyDescent="0.2">
      <c r="A5034" s="11" t="s">
        <v>3458</v>
      </c>
      <c r="B5034" s="12" t="s">
        <v>3459</v>
      </c>
      <c r="C5034" s="13">
        <f>C5033+1</f>
        <v>11</v>
      </c>
      <c r="D5034" s="12" t="s">
        <v>3594</v>
      </c>
      <c r="E5034" s="138" t="s">
        <v>3460</v>
      </c>
      <c r="F5034" s="65" t="s">
        <v>3595</v>
      </c>
      <c r="G5034" s="66" t="s">
        <v>13</v>
      </c>
      <c r="H5034" s="8"/>
      <c r="I5034" s="90" t="s">
        <v>2426</v>
      </c>
      <c r="J5034" s="8"/>
      <c r="K5034" s="8"/>
      <c r="L5034" s="8"/>
      <c r="M5034" s="8"/>
      <c r="N5034" s="8"/>
      <c r="O5034" s="8"/>
      <c r="P5034" s="8"/>
      <c r="Q5034" s="8"/>
      <c r="R5034" s="8"/>
      <c r="S5034" s="8"/>
      <c r="T5034" s="8"/>
      <c r="U5034" s="8"/>
      <c r="V5034" s="8"/>
      <c r="W5034" s="8"/>
      <c r="X5034" s="8"/>
      <c r="Y5034" s="8"/>
      <c r="Z5034" s="8"/>
      <c r="AA5034" s="8"/>
    </row>
    <row r="5035" spans="1:27" s="10" customFormat="1" ht="12.75" hidden="1" thickBot="1" x14ac:dyDescent="0.25">
      <c r="A5035" s="36" t="s">
        <v>3633</v>
      </c>
      <c r="B5035" s="30" t="s">
        <v>3634</v>
      </c>
      <c r="C5035" s="31">
        <v>65</v>
      </c>
      <c r="D5035" s="30" t="s">
        <v>3594</v>
      </c>
      <c r="E5035" s="140" t="s">
        <v>3635</v>
      </c>
      <c r="F5035" s="67" t="s">
        <v>3718</v>
      </c>
      <c r="G5035" s="68" t="s">
        <v>13</v>
      </c>
      <c r="H5035" s="8"/>
      <c r="I5035" s="90" t="s">
        <v>2426</v>
      </c>
      <c r="J5035" s="8"/>
      <c r="K5035" s="8"/>
      <c r="L5035" s="8"/>
      <c r="M5035" s="8"/>
      <c r="N5035" s="8"/>
      <c r="O5035" s="8"/>
      <c r="P5035" s="8"/>
      <c r="Q5035" s="8"/>
      <c r="R5035" s="8"/>
      <c r="S5035" s="8"/>
      <c r="T5035" s="8"/>
      <c r="U5035" s="8"/>
      <c r="V5035" s="8"/>
      <c r="W5035" s="8"/>
      <c r="X5035" s="8"/>
      <c r="Y5035" s="8"/>
      <c r="Z5035" s="8"/>
      <c r="AA5035" s="8"/>
    </row>
    <row r="5036" spans="1:27" s="10" customFormat="1" hidden="1" x14ac:dyDescent="0.2">
      <c r="A5036" s="56" t="s">
        <v>4087</v>
      </c>
      <c r="B5036" s="61" t="s">
        <v>4088</v>
      </c>
      <c r="C5036" s="58">
        <f>C5035+1</f>
        <v>66</v>
      </c>
      <c r="D5036" s="61" t="s">
        <v>3594</v>
      </c>
      <c r="E5036" s="89" t="s">
        <v>4089</v>
      </c>
      <c r="F5036" s="61" t="s">
        <v>4158</v>
      </c>
      <c r="G5036" s="129" t="s">
        <v>13</v>
      </c>
      <c r="H5036" s="8"/>
      <c r="I5036" s="90" t="s">
        <v>2426</v>
      </c>
      <c r="J5036" s="8"/>
      <c r="K5036" s="8"/>
      <c r="L5036" s="8"/>
      <c r="M5036" s="8"/>
      <c r="N5036" s="8"/>
      <c r="O5036" s="8"/>
      <c r="P5036" s="8"/>
      <c r="Q5036" s="8"/>
      <c r="R5036" s="8"/>
      <c r="S5036" s="8"/>
      <c r="T5036" s="8"/>
      <c r="U5036" s="8"/>
      <c r="V5036" s="8"/>
      <c r="W5036" s="8"/>
      <c r="X5036" s="8"/>
      <c r="Y5036" s="8"/>
      <c r="Z5036" s="8"/>
      <c r="AA5036" s="8"/>
    </row>
    <row r="5037" spans="1:27" s="10" customFormat="1" hidden="1" x14ac:dyDescent="0.2">
      <c r="A5037" s="11" t="s">
        <v>4212</v>
      </c>
      <c r="B5037" s="12" t="s">
        <v>4213</v>
      </c>
      <c r="C5037" s="13">
        <f>C5036+1</f>
        <v>67</v>
      </c>
      <c r="D5037" s="12" t="s">
        <v>3594</v>
      </c>
      <c r="E5037" s="28" t="s">
        <v>4214</v>
      </c>
      <c r="F5037" s="12" t="s">
        <v>4282</v>
      </c>
      <c r="G5037" s="66" t="s">
        <v>13</v>
      </c>
      <c r="H5037" s="8"/>
      <c r="I5037" s="90" t="s">
        <v>2426</v>
      </c>
      <c r="J5037" s="8"/>
      <c r="K5037" s="8"/>
      <c r="L5037" s="8"/>
      <c r="M5037" s="8"/>
      <c r="N5037" s="8"/>
      <c r="O5037" s="8"/>
      <c r="P5037" s="8"/>
      <c r="Q5037" s="8"/>
      <c r="R5037" s="8"/>
      <c r="S5037" s="8"/>
      <c r="T5037" s="8"/>
      <c r="U5037" s="8"/>
      <c r="V5037" s="8"/>
      <c r="W5037" s="8"/>
      <c r="X5037" s="8"/>
      <c r="Y5037" s="8"/>
      <c r="Z5037" s="8"/>
      <c r="AA5037" s="8"/>
    </row>
    <row r="5038" spans="1:27" s="10" customFormat="1" hidden="1" x14ac:dyDescent="0.2">
      <c r="A5038" s="11" t="s">
        <v>6584</v>
      </c>
      <c r="B5038" s="12" t="s">
        <v>6585</v>
      </c>
      <c r="C5038" s="13">
        <v>6</v>
      </c>
      <c r="D5038" s="14" t="s">
        <v>372</v>
      </c>
      <c r="E5038" s="28" t="s">
        <v>6586</v>
      </c>
      <c r="F5038" s="12" t="s">
        <v>6592</v>
      </c>
      <c r="G5038" s="15" t="s">
        <v>13</v>
      </c>
      <c r="H5038" s="8"/>
      <c r="I5038" s="90"/>
      <c r="J5038" s="8"/>
      <c r="K5038" s="8"/>
      <c r="L5038" s="8"/>
      <c r="M5038" s="8"/>
      <c r="N5038" s="8"/>
      <c r="O5038" s="8"/>
      <c r="P5038" s="8"/>
      <c r="Q5038" s="8"/>
      <c r="R5038" s="8"/>
      <c r="S5038" s="8"/>
      <c r="T5038" s="8"/>
      <c r="U5038" s="8"/>
      <c r="V5038" s="8"/>
      <c r="W5038" s="8"/>
      <c r="X5038" s="8"/>
      <c r="Y5038" s="8"/>
      <c r="Z5038" s="8"/>
      <c r="AA5038" s="8"/>
    </row>
    <row r="5039" spans="1:27" s="10" customFormat="1" hidden="1" x14ac:dyDescent="0.2">
      <c r="A5039" s="11" t="s">
        <v>6958</v>
      </c>
      <c r="B5039" s="12" t="s">
        <v>6959</v>
      </c>
      <c r="C5039" s="13">
        <v>3</v>
      </c>
      <c r="D5039" s="37" t="s">
        <v>372</v>
      </c>
      <c r="E5039" s="28" t="s">
        <v>6960</v>
      </c>
      <c r="F5039" s="22" t="s">
        <v>6963</v>
      </c>
      <c r="G5039" s="15" t="s">
        <v>13</v>
      </c>
      <c r="H5039" s="8"/>
      <c r="I5039" s="90"/>
      <c r="J5039" s="8"/>
      <c r="K5039" s="8"/>
      <c r="L5039" s="8"/>
      <c r="M5039" s="8"/>
      <c r="N5039" s="8"/>
      <c r="O5039" s="8"/>
      <c r="P5039" s="8"/>
      <c r="Q5039" s="8"/>
      <c r="R5039" s="8"/>
      <c r="S5039" s="8"/>
      <c r="T5039" s="8"/>
      <c r="U5039" s="8"/>
      <c r="V5039" s="8"/>
      <c r="W5039" s="8"/>
      <c r="X5039" s="8"/>
      <c r="Y5039" s="8"/>
      <c r="Z5039" s="8"/>
      <c r="AA5039" s="8"/>
    </row>
    <row r="5040" spans="1:27" s="10" customFormat="1" ht="12.75" hidden="1" thickBot="1" x14ac:dyDescent="0.25">
      <c r="A5040" s="36" t="s">
        <v>1142</v>
      </c>
      <c r="B5040" s="30" t="s">
        <v>1143</v>
      </c>
      <c r="C5040" s="31">
        <v>18</v>
      </c>
      <c r="D5040" s="69" t="s">
        <v>1173</v>
      </c>
      <c r="E5040" s="32" t="s">
        <v>1144</v>
      </c>
      <c r="F5040" s="30" t="s">
        <v>1174</v>
      </c>
      <c r="G5040" s="33" t="s">
        <v>42</v>
      </c>
      <c r="H5040" s="8"/>
      <c r="I5040" s="90"/>
      <c r="J5040" s="8"/>
      <c r="K5040" s="8"/>
      <c r="L5040" s="8"/>
      <c r="M5040" s="8"/>
      <c r="N5040" s="8"/>
      <c r="O5040" s="8"/>
      <c r="P5040" s="8"/>
      <c r="Q5040" s="8"/>
      <c r="R5040" s="8"/>
      <c r="S5040" s="8"/>
      <c r="T5040" s="8"/>
      <c r="U5040" s="8"/>
      <c r="V5040" s="8"/>
      <c r="W5040" s="8"/>
      <c r="X5040" s="8"/>
      <c r="Y5040" s="8"/>
      <c r="Z5040" s="8"/>
      <c r="AA5040" s="8"/>
    </row>
    <row r="5041" spans="1:27" s="10" customFormat="1" hidden="1" x14ac:dyDescent="0.2">
      <c r="A5041" s="56" t="s">
        <v>1142</v>
      </c>
      <c r="B5041" s="61" t="s">
        <v>1143</v>
      </c>
      <c r="C5041" s="58">
        <v>20</v>
      </c>
      <c r="D5041" s="107" t="s">
        <v>1177</v>
      </c>
      <c r="E5041" s="89" t="s">
        <v>1144</v>
      </c>
      <c r="F5041" s="61" t="s">
        <v>1178</v>
      </c>
      <c r="G5041" s="62" t="s">
        <v>42</v>
      </c>
      <c r="H5041" s="8"/>
      <c r="I5041" s="90"/>
      <c r="J5041" s="8"/>
      <c r="K5041" s="8"/>
      <c r="L5041" s="8"/>
      <c r="M5041" s="8"/>
      <c r="N5041" s="8"/>
      <c r="O5041" s="8"/>
      <c r="P5041" s="8"/>
      <c r="Q5041" s="8"/>
      <c r="R5041" s="8"/>
      <c r="S5041" s="8"/>
      <c r="T5041" s="8"/>
      <c r="U5041" s="8"/>
      <c r="V5041" s="8"/>
      <c r="W5041" s="8"/>
      <c r="X5041" s="8"/>
      <c r="Y5041" s="8"/>
      <c r="Z5041" s="8"/>
      <c r="AA5041" s="8"/>
    </row>
    <row r="5042" spans="1:27" s="10" customFormat="1" hidden="1" x14ac:dyDescent="0.2">
      <c r="A5042" s="11" t="s">
        <v>24</v>
      </c>
      <c r="B5042" s="12" t="s">
        <v>25</v>
      </c>
      <c r="C5042" s="13">
        <v>8</v>
      </c>
      <c r="D5042" s="14" t="s">
        <v>43</v>
      </c>
      <c r="E5042" s="28" t="s">
        <v>26</v>
      </c>
      <c r="F5042" s="12" t="s">
        <v>44</v>
      </c>
      <c r="G5042" s="15" t="s">
        <v>42</v>
      </c>
      <c r="H5042" s="8"/>
      <c r="I5042" s="90"/>
      <c r="J5042" s="8"/>
      <c r="K5042" s="8"/>
      <c r="L5042" s="8"/>
      <c r="M5042" s="8"/>
      <c r="N5042" s="8"/>
      <c r="O5042" s="8"/>
      <c r="P5042" s="8"/>
      <c r="Q5042" s="8"/>
      <c r="R5042" s="8"/>
      <c r="S5042" s="8"/>
      <c r="T5042" s="8"/>
      <c r="U5042" s="8"/>
      <c r="V5042" s="8"/>
      <c r="W5042" s="8"/>
      <c r="X5042" s="8"/>
      <c r="Y5042" s="8"/>
      <c r="Z5042" s="8"/>
      <c r="AA5042" s="8"/>
    </row>
    <row r="5043" spans="1:27" s="10" customFormat="1" hidden="1" x14ac:dyDescent="0.2">
      <c r="A5043" s="11" t="s">
        <v>55</v>
      </c>
      <c r="B5043" s="12" t="s">
        <v>56</v>
      </c>
      <c r="C5043" s="13">
        <v>8</v>
      </c>
      <c r="D5043" s="14" t="s">
        <v>43</v>
      </c>
      <c r="E5043" s="28" t="s">
        <v>57</v>
      </c>
      <c r="F5043" s="12" t="s">
        <v>66</v>
      </c>
      <c r="G5043" s="15" t="s">
        <v>42</v>
      </c>
      <c r="H5043" s="8"/>
      <c r="I5043" s="102" t="s">
        <v>59</v>
      </c>
      <c r="J5043" s="8"/>
      <c r="K5043" s="8"/>
      <c r="L5043" s="8"/>
      <c r="M5043" s="8"/>
      <c r="N5043" s="8"/>
      <c r="O5043" s="8"/>
      <c r="P5043" s="8"/>
      <c r="Q5043" s="8"/>
      <c r="R5043" s="8"/>
      <c r="S5043" s="8"/>
      <c r="T5043" s="8"/>
      <c r="U5043" s="8"/>
      <c r="V5043" s="8"/>
      <c r="W5043" s="8"/>
      <c r="X5043" s="8"/>
      <c r="Y5043" s="8"/>
      <c r="Z5043" s="8"/>
      <c r="AA5043" s="8"/>
    </row>
    <row r="5044" spans="1:27" s="10" customFormat="1" hidden="1" x14ac:dyDescent="0.25">
      <c r="A5044" s="146" t="s">
        <v>5042</v>
      </c>
      <c r="B5044" s="12" t="s">
        <v>5043</v>
      </c>
      <c r="C5044" s="13">
        <v>5</v>
      </c>
      <c r="D5044" s="22" t="s">
        <v>5049</v>
      </c>
      <c r="E5044" s="28" t="s">
        <v>5044</v>
      </c>
      <c r="F5044" s="22" t="s">
        <v>5050</v>
      </c>
      <c r="G5044" s="80" t="s">
        <v>42</v>
      </c>
      <c r="H5044" s="8"/>
      <c r="I5044" s="90"/>
      <c r="J5044" s="8"/>
      <c r="K5044" s="8"/>
      <c r="L5044" s="8"/>
      <c r="M5044" s="8"/>
      <c r="N5044" s="8"/>
      <c r="O5044" s="8"/>
      <c r="P5044" s="8"/>
      <c r="Q5044" s="8"/>
      <c r="R5044" s="8"/>
      <c r="S5044" s="8"/>
      <c r="T5044" s="8"/>
      <c r="U5044" s="8"/>
      <c r="V5044" s="8"/>
      <c r="W5044" s="8"/>
      <c r="X5044" s="8"/>
      <c r="Y5044" s="8"/>
      <c r="Z5044" s="8"/>
      <c r="AA5044" s="8"/>
    </row>
    <row r="5045" spans="1:27" s="10" customFormat="1" ht="12.75" hidden="1" thickBot="1" x14ac:dyDescent="0.25">
      <c r="A5045" s="36" t="s">
        <v>2608</v>
      </c>
      <c r="B5045" s="30" t="s">
        <v>2609</v>
      </c>
      <c r="C5045" s="31">
        <v>14</v>
      </c>
      <c r="D5045" s="6" t="s">
        <v>2628</v>
      </c>
      <c r="E5045" s="32" t="s">
        <v>2610</v>
      </c>
      <c r="F5045" s="64" t="s">
        <v>2629</v>
      </c>
      <c r="G5045" s="68" t="s">
        <v>285</v>
      </c>
      <c r="H5045" s="8"/>
      <c r="I5045" s="90"/>
      <c r="J5045" s="8"/>
      <c r="K5045" s="8"/>
      <c r="L5045" s="8"/>
      <c r="M5045" s="8"/>
      <c r="N5045" s="8"/>
      <c r="O5045" s="8"/>
      <c r="P5045" s="8"/>
      <c r="Q5045" s="8"/>
      <c r="R5045" s="8"/>
      <c r="S5045" s="8"/>
      <c r="T5045" s="8"/>
      <c r="U5045" s="8"/>
      <c r="V5045" s="8"/>
      <c r="W5045" s="8"/>
      <c r="X5045" s="8"/>
      <c r="Y5045" s="8"/>
      <c r="Z5045" s="8"/>
      <c r="AA5045" s="8"/>
    </row>
    <row r="5046" spans="1:27" s="10" customFormat="1" hidden="1" x14ac:dyDescent="0.2">
      <c r="A5046" s="56" t="s">
        <v>69</v>
      </c>
      <c r="B5046" s="61" t="s">
        <v>70</v>
      </c>
      <c r="C5046" s="58">
        <v>7</v>
      </c>
      <c r="D5046" s="107" t="s">
        <v>83</v>
      </c>
      <c r="E5046" s="89" t="s">
        <v>72</v>
      </c>
      <c r="F5046" s="61" t="s">
        <v>84</v>
      </c>
      <c r="G5046" s="62" t="s">
        <v>78</v>
      </c>
      <c r="H5046" s="8"/>
      <c r="I5046" s="90"/>
      <c r="J5046" s="8"/>
      <c r="K5046" s="8"/>
      <c r="L5046" s="8"/>
      <c r="M5046" s="8"/>
      <c r="N5046" s="8"/>
      <c r="O5046" s="8"/>
      <c r="P5046" s="8"/>
      <c r="Q5046" s="8"/>
      <c r="R5046" s="8"/>
      <c r="S5046" s="8"/>
      <c r="T5046" s="8"/>
      <c r="U5046" s="8"/>
      <c r="V5046" s="8"/>
      <c r="W5046" s="8"/>
      <c r="X5046" s="8"/>
      <c r="Y5046" s="8"/>
      <c r="Z5046" s="8"/>
      <c r="AA5046" s="8"/>
    </row>
    <row r="5047" spans="1:27" s="10" customFormat="1" hidden="1" x14ac:dyDescent="0.2">
      <c r="A5047" s="11" t="s">
        <v>289</v>
      </c>
      <c r="B5047" s="12" t="s">
        <v>290</v>
      </c>
      <c r="C5047" s="13">
        <v>6</v>
      </c>
      <c r="D5047" s="37" t="s">
        <v>83</v>
      </c>
      <c r="E5047" s="28" t="s">
        <v>291</v>
      </c>
      <c r="F5047" s="22" t="s">
        <v>298</v>
      </c>
      <c r="G5047" s="15" t="s">
        <v>78</v>
      </c>
      <c r="H5047" s="8"/>
      <c r="I5047" s="90"/>
      <c r="J5047" s="8"/>
      <c r="K5047" s="8"/>
      <c r="L5047" s="8"/>
      <c r="M5047" s="8"/>
      <c r="N5047" s="8"/>
      <c r="O5047" s="8"/>
      <c r="P5047" s="8"/>
      <c r="Q5047" s="8"/>
      <c r="R5047" s="8"/>
      <c r="S5047" s="8"/>
      <c r="T5047" s="8"/>
      <c r="U5047" s="8"/>
      <c r="V5047" s="8"/>
      <c r="W5047" s="8"/>
      <c r="X5047" s="8"/>
      <c r="Y5047" s="8"/>
      <c r="Z5047" s="8"/>
      <c r="AA5047" s="8"/>
    </row>
    <row r="5048" spans="1:27" s="10" customFormat="1" hidden="1" x14ac:dyDescent="0.25">
      <c r="A5048" s="109" t="s">
        <v>690</v>
      </c>
      <c r="B5048" s="12" t="s">
        <v>691</v>
      </c>
      <c r="C5048" s="13">
        <v>7</v>
      </c>
      <c r="D5048" s="12" t="s">
        <v>83</v>
      </c>
      <c r="E5048" s="28" t="s">
        <v>692</v>
      </c>
      <c r="F5048" s="12" t="s">
        <v>699</v>
      </c>
      <c r="G5048" s="15" t="s">
        <v>285</v>
      </c>
      <c r="H5048" s="8"/>
      <c r="I5048" s="102" t="s">
        <v>59</v>
      </c>
      <c r="J5048" s="8"/>
      <c r="K5048" s="8"/>
      <c r="L5048" s="8"/>
      <c r="M5048" s="8"/>
      <c r="N5048" s="8"/>
      <c r="O5048" s="8"/>
      <c r="P5048" s="8"/>
      <c r="Q5048" s="8"/>
      <c r="R5048" s="8"/>
      <c r="S5048" s="8"/>
      <c r="T5048" s="8"/>
      <c r="U5048" s="8"/>
      <c r="V5048" s="8"/>
      <c r="W5048" s="8"/>
      <c r="X5048" s="8"/>
      <c r="Y5048" s="8"/>
      <c r="Z5048" s="8"/>
      <c r="AA5048" s="8"/>
    </row>
    <row r="5049" spans="1:27" s="10" customFormat="1" hidden="1" x14ac:dyDescent="0.25">
      <c r="A5049" s="109" t="s">
        <v>708</v>
      </c>
      <c r="B5049" s="12" t="s">
        <v>709</v>
      </c>
      <c r="C5049" s="13">
        <v>6</v>
      </c>
      <c r="D5049" s="22" t="s">
        <v>83</v>
      </c>
      <c r="E5049" s="28" t="s">
        <v>710</v>
      </c>
      <c r="F5049" s="22" t="s">
        <v>716</v>
      </c>
      <c r="G5049" s="15" t="s">
        <v>285</v>
      </c>
      <c r="H5049" s="8"/>
      <c r="I5049" s="102" t="s">
        <v>59</v>
      </c>
      <c r="J5049" s="8"/>
      <c r="K5049" s="8"/>
      <c r="L5049" s="8"/>
      <c r="M5049" s="8"/>
      <c r="N5049" s="8"/>
      <c r="O5049" s="8"/>
      <c r="P5049" s="8"/>
      <c r="Q5049" s="8"/>
      <c r="R5049" s="8"/>
      <c r="S5049" s="8"/>
      <c r="T5049" s="8"/>
      <c r="U5049" s="8"/>
      <c r="V5049" s="8"/>
      <c r="W5049" s="8"/>
      <c r="X5049" s="8"/>
      <c r="Y5049" s="8"/>
      <c r="Z5049" s="8"/>
      <c r="AA5049" s="8"/>
    </row>
    <row r="5050" spans="1:27" s="10" customFormat="1" ht="12.75" hidden="1" thickBot="1" x14ac:dyDescent="0.25">
      <c r="A5050" s="36" t="s">
        <v>3937</v>
      </c>
      <c r="B5050" s="30" t="s">
        <v>3938</v>
      </c>
      <c r="C5050" s="31">
        <v>7</v>
      </c>
      <c r="D5050" s="4" t="s">
        <v>83</v>
      </c>
      <c r="E5050" s="32" t="s">
        <v>3939</v>
      </c>
      <c r="F5050" s="4" t="s">
        <v>3947</v>
      </c>
      <c r="G5050" s="68" t="s">
        <v>42</v>
      </c>
      <c r="H5050" s="8"/>
      <c r="I5050" s="90"/>
      <c r="J5050" s="8"/>
      <c r="K5050" s="8"/>
      <c r="L5050" s="8"/>
      <c r="M5050" s="8"/>
      <c r="N5050" s="8"/>
      <c r="O5050" s="8"/>
      <c r="P5050" s="8"/>
      <c r="Q5050" s="8"/>
      <c r="R5050" s="8"/>
      <c r="S5050" s="8"/>
      <c r="T5050" s="8"/>
      <c r="U5050" s="8"/>
      <c r="V5050" s="8"/>
      <c r="W5050" s="8"/>
      <c r="X5050" s="8"/>
      <c r="Y5050" s="8"/>
      <c r="Z5050" s="8"/>
      <c r="AA5050" s="8"/>
    </row>
    <row r="5051" spans="1:27" s="10" customFormat="1" hidden="1" x14ac:dyDescent="0.2">
      <c r="A5051" s="56" t="s">
        <v>6163</v>
      </c>
      <c r="B5051" s="61" t="s">
        <v>6164</v>
      </c>
      <c r="C5051" s="58">
        <v>7</v>
      </c>
      <c r="D5051" s="17" t="s">
        <v>83</v>
      </c>
      <c r="E5051" s="89" t="s">
        <v>6165</v>
      </c>
      <c r="F5051" s="17" t="s">
        <v>6172</v>
      </c>
      <c r="G5051" s="129" t="s">
        <v>42</v>
      </c>
      <c r="H5051" s="8"/>
      <c r="I5051" s="170"/>
      <c r="J5051" s="8"/>
      <c r="K5051" s="8"/>
      <c r="L5051" s="8"/>
      <c r="M5051" s="8"/>
      <c r="N5051" s="8"/>
      <c r="O5051" s="8"/>
      <c r="P5051" s="8"/>
      <c r="Q5051" s="8"/>
      <c r="R5051" s="8"/>
      <c r="S5051" s="8"/>
      <c r="T5051" s="8"/>
      <c r="U5051" s="8"/>
      <c r="V5051" s="8"/>
      <c r="W5051" s="8"/>
      <c r="X5051" s="8"/>
      <c r="Y5051" s="8"/>
      <c r="Z5051" s="8"/>
      <c r="AA5051" s="8"/>
    </row>
    <row r="5052" spans="1:27" s="10" customFormat="1" hidden="1" x14ac:dyDescent="0.2">
      <c r="A5052" s="21" t="s">
        <v>6518</v>
      </c>
      <c r="B5052" s="22" t="s">
        <v>6519</v>
      </c>
      <c r="C5052" s="23">
        <v>7</v>
      </c>
      <c r="D5052" s="22" t="s">
        <v>83</v>
      </c>
      <c r="E5052" s="25" t="s">
        <v>6520</v>
      </c>
      <c r="F5052" s="22" t="s">
        <v>6527</v>
      </c>
      <c r="G5052" s="71" t="s">
        <v>42</v>
      </c>
      <c r="H5052" s="38"/>
      <c r="I5052" s="39">
        <v>15</v>
      </c>
      <c r="J5052" s="38"/>
      <c r="K5052" s="38"/>
      <c r="L5052" s="38"/>
      <c r="M5052" s="38"/>
      <c r="N5052" s="38"/>
      <c r="O5052" s="38"/>
      <c r="P5052" s="38"/>
      <c r="Q5052" s="38"/>
      <c r="R5052" s="38"/>
      <c r="S5052" s="38"/>
      <c r="T5052" s="38"/>
      <c r="U5052" s="38"/>
      <c r="V5052" s="38"/>
      <c r="W5052" s="38"/>
      <c r="X5052" s="38"/>
      <c r="Y5052" s="38"/>
      <c r="Z5052" s="38"/>
      <c r="AA5052" s="38"/>
    </row>
    <row r="5053" spans="1:27" s="10" customFormat="1" hidden="1" x14ac:dyDescent="0.2">
      <c r="A5053" s="11" t="s">
        <v>2317</v>
      </c>
      <c r="B5053" s="12" t="s">
        <v>2318</v>
      </c>
      <c r="C5053" s="13">
        <v>6</v>
      </c>
      <c r="D5053" s="14" t="s">
        <v>2329</v>
      </c>
      <c r="E5053" s="28" t="s">
        <v>2320</v>
      </c>
      <c r="F5053" s="12" t="s">
        <v>2330</v>
      </c>
      <c r="G5053" s="15" t="s">
        <v>13</v>
      </c>
      <c r="H5053" s="8"/>
      <c r="I5053" s="90"/>
      <c r="J5053" s="8"/>
      <c r="K5053" s="8"/>
      <c r="L5053" s="8"/>
      <c r="M5053" s="8"/>
      <c r="N5053" s="8"/>
      <c r="O5053" s="8"/>
      <c r="P5053" s="8"/>
      <c r="Q5053" s="8"/>
      <c r="R5053" s="8"/>
      <c r="S5053" s="8"/>
      <c r="T5053" s="8"/>
      <c r="U5053" s="8"/>
      <c r="V5053" s="8"/>
      <c r="W5053" s="8"/>
      <c r="X5053" s="8"/>
      <c r="Y5053" s="8"/>
      <c r="Z5053" s="8"/>
      <c r="AA5053" s="8"/>
    </row>
    <row r="5054" spans="1:27" s="10" customFormat="1" hidden="1" x14ac:dyDescent="0.2">
      <c r="A5054" s="11" t="s">
        <v>2382</v>
      </c>
      <c r="B5054" s="12" t="s">
        <v>2383</v>
      </c>
      <c r="C5054" s="13">
        <v>1</v>
      </c>
      <c r="D5054" s="37" t="s">
        <v>2329</v>
      </c>
      <c r="E5054" s="28" t="s">
        <v>2384</v>
      </c>
      <c r="F5054" s="22" t="s">
        <v>2385</v>
      </c>
      <c r="G5054" s="15" t="s">
        <v>13</v>
      </c>
      <c r="H5054" s="8"/>
      <c r="I5054" s="90"/>
      <c r="J5054" s="8"/>
      <c r="K5054" s="8"/>
      <c r="L5054" s="8"/>
      <c r="M5054" s="8"/>
      <c r="N5054" s="8"/>
      <c r="O5054" s="8"/>
      <c r="P5054" s="8"/>
      <c r="Q5054" s="8"/>
      <c r="R5054" s="8"/>
      <c r="S5054" s="8"/>
      <c r="T5054" s="8"/>
      <c r="U5054" s="8"/>
      <c r="V5054" s="8"/>
      <c r="W5054" s="8"/>
      <c r="X5054" s="8"/>
      <c r="Y5054" s="8"/>
      <c r="Z5054" s="8"/>
      <c r="AA5054" s="8"/>
    </row>
    <row r="5055" spans="1:27" s="10" customFormat="1" ht="12.75" hidden="1" thickBot="1" x14ac:dyDescent="0.25">
      <c r="A5055" s="36" t="s">
        <v>2404</v>
      </c>
      <c r="B5055" s="30" t="s">
        <v>2405</v>
      </c>
      <c r="C5055" s="31">
        <v>2</v>
      </c>
      <c r="D5055" s="6" t="s">
        <v>2329</v>
      </c>
      <c r="E5055" s="241" t="s">
        <v>2407</v>
      </c>
      <c r="F5055" s="4" t="s">
        <v>2410</v>
      </c>
      <c r="G5055" s="33" t="s">
        <v>13</v>
      </c>
      <c r="H5055" s="8"/>
      <c r="I5055" s="90"/>
      <c r="J5055" s="8"/>
      <c r="K5055" s="8"/>
      <c r="L5055" s="8"/>
      <c r="M5055" s="8"/>
      <c r="N5055" s="8"/>
      <c r="O5055" s="8"/>
      <c r="P5055" s="8"/>
      <c r="Q5055" s="8"/>
      <c r="R5055" s="8"/>
      <c r="S5055" s="8"/>
      <c r="T5055" s="8"/>
      <c r="U5055" s="8"/>
      <c r="V5055" s="8"/>
      <c r="W5055" s="8"/>
      <c r="X5055" s="8"/>
      <c r="Y5055" s="8"/>
      <c r="Z5055" s="8"/>
      <c r="AA5055" s="8"/>
    </row>
    <row r="5056" spans="1:27" s="10" customFormat="1" hidden="1" x14ac:dyDescent="0.2">
      <c r="A5056" s="56" t="s">
        <v>2317</v>
      </c>
      <c r="B5056" s="61" t="s">
        <v>2318</v>
      </c>
      <c r="C5056" s="58">
        <v>1</v>
      </c>
      <c r="D5056" s="103" t="s">
        <v>2319</v>
      </c>
      <c r="E5056" s="89" t="s">
        <v>2320</v>
      </c>
      <c r="F5056" s="17" t="s">
        <v>2321</v>
      </c>
      <c r="G5056" s="62" t="s">
        <v>13</v>
      </c>
      <c r="H5056" s="8"/>
      <c r="I5056" s="90"/>
      <c r="J5056" s="8"/>
      <c r="K5056" s="8"/>
      <c r="L5056" s="8"/>
      <c r="M5056" s="8"/>
      <c r="N5056" s="8"/>
      <c r="O5056" s="8"/>
      <c r="P5056" s="8"/>
      <c r="Q5056" s="8"/>
      <c r="R5056" s="8"/>
      <c r="S5056" s="8"/>
      <c r="T5056" s="8"/>
      <c r="U5056" s="8"/>
      <c r="V5056" s="8"/>
      <c r="W5056" s="8"/>
      <c r="X5056" s="8"/>
      <c r="Y5056" s="8"/>
      <c r="Z5056" s="8"/>
      <c r="AA5056" s="8"/>
    </row>
    <row r="5057" spans="1:27" s="10" customFormat="1" hidden="1" x14ac:dyDescent="0.2">
      <c r="A5057" s="11" t="s">
        <v>2355</v>
      </c>
      <c r="B5057" s="12" t="s">
        <v>2356</v>
      </c>
      <c r="C5057" s="13">
        <v>1</v>
      </c>
      <c r="D5057" s="37" t="s">
        <v>2319</v>
      </c>
      <c r="E5057" s="28" t="s">
        <v>2357</v>
      </c>
      <c r="F5057" s="22" t="s">
        <v>2358</v>
      </c>
      <c r="G5057" s="15" t="s">
        <v>13</v>
      </c>
      <c r="H5057" s="8"/>
      <c r="I5057" s="90"/>
      <c r="J5057" s="8"/>
      <c r="K5057" s="8"/>
      <c r="L5057" s="8"/>
      <c r="M5057" s="8"/>
      <c r="N5057" s="8"/>
      <c r="O5057" s="8"/>
      <c r="P5057" s="8"/>
      <c r="Q5057" s="8"/>
      <c r="R5057" s="8"/>
      <c r="S5057" s="8"/>
      <c r="T5057" s="8"/>
      <c r="U5057" s="8"/>
      <c r="V5057" s="8"/>
      <c r="W5057" s="8"/>
      <c r="X5057" s="8"/>
      <c r="Y5057" s="8"/>
      <c r="Z5057" s="8"/>
      <c r="AA5057" s="8"/>
    </row>
    <row r="5058" spans="1:27" s="10" customFormat="1" hidden="1" x14ac:dyDescent="0.2">
      <c r="A5058" s="11" t="s">
        <v>4013</v>
      </c>
      <c r="B5058" s="12" t="s">
        <v>4014</v>
      </c>
      <c r="C5058" s="13">
        <v>18</v>
      </c>
      <c r="D5058" s="12" t="s">
        <v>4042</v>
      </c>
      <c r="E5058" s="28" t="s">
        <v>4015</v>
      </c>
      <c r="F5058" s="12" t="s">
        <v>4043</v>
      </c>
      <c r="G5058" s="66" t="s">
        <v>13</v>
      </c>
      <c r="H5058" s="8"/>
      <c r="I5058" s="90"/>
      <c r="J5058" s="8"/>
      <c r="K5058" s="8"/>
      <c r="L5058" s="8"/>
      <c r="M5058" s="8"/>
      <c r="N5058" s="8"/>
      <c r="O5058" s="8"/>
      <c r="P5058" s="8"/>
      <c r="Q5058" s="8"/>
      <c r="R5058" s="8"/>
      <c r="S5058" s="8"/>
      <c r="T5058" s="8"/>
      <c r="U5058" s="8"/>
      <c r="V5058" s="8"/>
      <c r="W5058" s="8"/>
      <c r="X5058" s="8"/>
      <c r="Y5058" s="8"/>
      <c r="Z5058" s="8"/>
      <c r="AA5058" s="8"/>
    </row>
    <row r="5059" spans="1:27" s="10" customFormat="1" hidden="1" x14ac:dyDescent="0.2">
      <c r="A5059" s="11" t="s">
        <v>4049</v>
      </c>
      <c r="B5059" s="12" t="s">
        <v>4050</v>
      </c>
      <c r="C5059" s="13">
        <v>19</v>
      </c>
      <c r="D5059" s="12" t="s">
        <v>4080</v>
      </c>
      <c r="E5059" s="28" t="s">
        <v>4051</v>
      </c>
      <c r="F5059" s="12" t="s">
        <v>4081</v>
      </c>
      <c r="G5059" s="66" t="s">
        <v>13</v>
      </c>
      <c r="H5059" s="8"/>
      <c r="I5059" s="90"/>
      <c r="J5059" s="8"/>
      <c r="K5059" s="8"/>
      <c r="L5059" s="8"/>
      <c r="M5059" s="8"/>
      <c r="N5059" s="8"/>
      <c r="O5059" s="8"/>
      <c r="P5059" s="8"/>
      <c r="Q5059" s="8"/>
      <c r="R5059" s="8"/>
      <c r="S5059" s="8"/>
      <c r="T5059" s="8"/>
      <c r="U5059" s="8"/>
      <c r="V5059" s="8"/>
      <c r="W5059" s="8"/>
      <c r="X5059" s="8"/>
      <c r="Y5059" s="8"/>
      <c r="Z5059" s="8"/>
      <c r="AA5059" s="8"/>
    </row>
    <row r="5060" spans="1:27" s="10" customFormat="1" ht="12.75" hidden="1" thickBot="1" x14ac:dyDescent="0.25">
      <c r="A5060" s="36" t="s">
        <v>4049</v>
      </c>
      <c r="B5060" s="30" t="s">
        <v>4050</v>
      </c>
      <c r="C5060" s="31">
        <v>11</v>
      </c>
      <c r="D5060" s="30" t="s">
        <v>4064</v>
      </c>
      <c r="E5060" s="32" t="s">
        <v>4051</v>
      </c>
      <c r="F5060" s="30" t="s">
        <v>4065</v>
      </c>
      <c r="G5060" s="68" t="s">
        <v>13</v>
      </c>
      <c r="H5060" s="8"/>
      <c r="I5060" s="90"/>
      <c r="J5060" s="8"/>
      <c r="K5060" s="8"/>
      <c r="L5060" s="8"/>
      <c r="M5060" s="8"/>
      <c r="N5060" s="8"/>
      <c r="O5060" s="8"/>
      <c r="P5060" s="8"/>
      <c r="Q5060" s="8"/>
      <c r="R5060" s="8"/>
      <c r="S5060" s="8"/>
      <c r="T5060" s="8"/>
      <c r="U5060" s="8"/>
      <c r="V5060" s="8"/>
      <c r="W5060" s="8"/>
      <c r="X5060" s="8"/>
      <c r="Y5060" s="8"/>
      <c r="Z5060" s="8"/>
      <c r="AA5060" s="8"/>
    </row>
    <row r="5061" spans="1:27" s="10" customFormat="1" hidden="1" x14ac:dyDescent="0.2">
      <c r="A5061" s="56" t="s">
        <v>4013</v>
      </c>
      <c r="B5061" s="61" t="s">
        <v>4014</v>
      </c>
      <c r="C5061" s="58">
        <v>10</v>
      </c>
      <c r="D5061" s="61" t="s">
        <v>4028</v>
      </c>
      <c r="E5061" s="89" t="s">
        <v>4015</v>
      </c>
      <c r="F5061" s="61" t="s">
        <v>4029</v>
      </c>
      <c r="G5061" s="129" t="s">
        <v>13</v>
      </c>
      <c r="H5061" s="8"/>
      <c r="I5061" s="90"/>
      <c r="J5061" s="8"/>
      <c r="K5061" s="8"/>
      <c r="L5061" s="8"/>
      <c r="M5061" s="8"/>
      <c r="N5061" s="8"/>
      <c r="O5061" s="8"/>
      <c r="P5061" s="8"/>
      <c r="Q5061" s="8"/>
      <c r="R5061" s="8"/>
      <c r="S5061" s="8"/>
      <c r="T5061" s="8"/>
      <c r="U5061" s="8"/>
      <c r="V5061" s="8"/>
      <c r="W5061" s="8"/>
      <c r="X5061" s="8"/>
      <c r="Y5061" s="8"/>
      <c r="Z5061" s="8"/>
      <c r="AA5061" s="8"/>
    </row>
    <row r="5062" spans="1:27" s="10" customFormat="1" hidden="1" x14ac:dyDescent="0.2">
      <c r="A5062" s="11" t="s">
        <v>4013</v>
      </c>
      <c r="B5062" s="12" t="s">
        <v>4014</v>
      </c>
      <c r="C5062" s="13">
        <v>14</v>
      </c>
      <c r="D5062" s="12" t="s">
        <v>4034</v>
      </c>
      <c r="E5062" s="28" t="s">
        <v>4015</v>
      </c>
      <c r="F5062" s="12" t="s">
        <v>4035</v>
      </c>
      <c r="G5062" s="66" t="s">
        <v>13</v>
      </c>
      <c r="H5062" s="8"/>
      <c r="I5062" s="90"/>
      <c r="J5062" s="8"/>
      <c r="K5062" s="8"/>
      <c r="L5062" s="8"/>
      <c r="M5062" s="8"/>
      <c r="N5062" s="8"/>
      <c r="O5062" s="8"/>
      <c r="P5062" s="8"/>
      <c r="Q5062" s="8"/>
      <c r="R5062" s="8"/>
      <c r="S5062" s="8"/>
      <c r="T5062" s="8"/>
      <c r="U5062" s="8"/>
      <c r="V5062" s="8"/>
      <c r="W5062" s="8"/>
      <c r="X5062" s="8"/>
      <c r="Y5062" s="8"/>
      <c r="Z5062" s="8"/>
      <c r="AA5062" s="8"/>
    </row>
    <row r="5063" spans="1:27" s="10" customFormat="1" hidden="1" x14ac:dyDescent="0.2">
      <c r="A5063" s="11" t="s">
        <v>4049</v>
      </c>
      <c r="B5063" s="12" t="s">
        <v>4050</v>
      </c>
      <c r="C5063" s="13">
        <v>15</v>
      </c>
      <c r="D5063" s="12" t="s">
        <v>4072</v>
      </c>
      <c r="E5063" s="28" t="s">
        <v>4051</v>
      </c>
      <c r="F5063" s="12" t="s">
        <v>4073</v>
      </c>
      <c r="G5063" s="66" t="s">
        <v>13</v>
      </c>
      <c r="H5063" s="8"/>
      <c r="I5063" s="90"/>
      <c r="J5063" s="8"/>
      <c r="K5063" s="8"/>
      <c r="L5063" s="8"/>
      <c r="M5063" s="8"/>
      <c r="N5063" s="8"/>
      <c r="O5063" s="8"/>
      <c r="P5063" s="8"/>
      <c r="Q5063" s="8"/>
      <c r="R5063" s="8"/>
      <c r="S5063" s="8"/>
      <c r="T5063" s="8"/>
      <c r="U5063" s="8"/>
      <c r="V5063" s="8"/>
      <c r="W5063" s="8"/>
      <c r="X5063" s="8"/>
      <c r="Y5063" s="8"/>
      <c r="Z5063" s="8"/>
      <c r="AA5063" s="8"/>
    </row>
    <row r="5064" spans="1:27" s="10" customFormat="1" hidden="1" x14ac:dyDescent="0.2">
      <c r="A5064" s="11" t="s">
        <v>2267</v>
      </c>
      <c r="B5064" s="12" t="s">
        <v>2268</v>
      </c>
      <c r="C5064" s="13">
        <v>6</v>
      </c>
      <c r="D5064" s="37" t="s">
        <v>2278</v>
      </c>
      <c r="E5064" s="28" t="s">
        <v>2269</v>
      </c>
      <c r="F5064" s="22" t="s">
        <v>2279</v>
      </c>
      <c r="G5064" s="15" t="s">
        <v>13</v>
      </c>
      <c r="H5064" s="8"/>
      <c r="I5064" s="90"/>
      <c r="J5064" s="8"/>
      <c r="K5064" s="8"/>
      <c r="L5064" s="8"/>
      <c r="M5064" s="8"/>
      <c r="N5064" s="8"/>
      <c r="O5064" s="8"/>
      <c r="P5064" s="8"/>
      <c r="Q5064" s="8"/>
      <c r="R5064" s="8"/>
      <c r="S5064" s="8"/>
      <c r="T5064" s="8"/>
      <c r="U5064" s="8"/>
      <c r="V5064" s="8"/>
      <c r="W5064" s="8"/>
      <c r="X5064" s="8"/>
      <c r="Y5064" s="8"/>
      <c r="Z5064" s="8"/>
      <c r="AA5064" s="8"/>
    </row>
    <row r="5065" spans="1:27" s="10" customFormat="1" ht="12.75" hidden="1" thickBot="1" x14ac:dyDescent="0.25">
      <c r="A5065" s="36" t="s">
        <v>2291</v>
      </c>
      <c r="B5065" s="30" t="s">
        <v>2292</v>
      </c>
      <c r="C5065" s="31">
        <v>3</v>
      </c>
      <c r="D5065" s="64" t="s">
        <v>2278</v>
      </c>
      <c r="E5065" s="32" t="s">
        <v>2293</v>
      </c>
      <c r="F5065" s="4" t="s">
        <v>2296</v>
      </c>
      <c r="G5065" s="33" t="s">
        <v>13</v>
      </c>
      <c r="H5065" s="8"/>
      <c r="I5065" s="90"/>
      <c r="J5065" s="8"/>
      <c r="K5065" s="8"/>
      <c r="L5065" s="8"/>
      <c r="M5065" s="8"/>
      <c r="N5065" s="8"/>
      <c r="O5065" s="8"/>
      <c r="P5065" s="8"/>
      <c r="Q5065" s="8"/>
      <c r="R5065" s="8"/>
      <c r="S5065" s="8"/>
      <c r="T5065" s="8"/>
      <c r="U5065" s="8"/>
      <c r="V5065" s="8"/>
      <c r="W5065" s="8"/>
      <c r="X5065" s="8"/>
      <c r="Y5065" s="8"/>
      <c r="Z5065" s="8"/>
      <c r="AA5065" s="8"/>
    </row>
    <row r="5066" spans="1:27" s="10" customFormat="1" hidden="1" x14ac:dyDescent="0.2">
      <c r="A5066" s="56" t="s">
        <v>2301</v>
      </c>
      <c r="B5066" s="61" t="s">
        <v>2302</v>
      </c>
      <c r="C5066" s="58">
        <v>4</v>
      </c>
      <c r="D5066" s="103" t="s">
        <v>2278</v>
      </c>
      <c r="E5066" s="89" t="s">
        <v>2303</v>
      </c>
      <c r="F5066" s="17" t="s">
        <v>2307</v>
      </c>
      <c r="G5066" s="62" t="s">
        <v>13</v>
      </c>
      <c r="H5066" s="8"/>
      <c r="I5066" s="90"/>
      <c r="J5066" s="8"/>
      <c r="K5066" s="8"/>
      <c r="L5066" s="8"/>
      <c r="M5066" s="8"/>
      <c r="N5066" s="8"/>
      <c r="O5066" s="8"/>
      <c r="P5066" s="8"/>
      <c r="Q5066" s="8"/>
      <c r="R5066" s="8"/>
      <c r="S5066" s="8"/>
      <c r="T5066" s="8"/>
      <c r="U5066" s="8"/>
      <c r="V5066" s="8"/>
      <c r="W5066" s="8"/>
      <c r="X5066" s="8"/>
      <c r="Y5066" s="8"/>
      <c r="Z5066" s="8"/>
      <c r="AA5066" s="8"/>
    </row>
    <row r="5067" spans="1:27" s="10" customFormat="1" hidden="1" x14ac:dyDescent="0.2">
      <c r="A5067" s="11" t="s">
        <v>2369</v>
      </c>
      <c r="B5067" s="12" t="s">
        <v>2370</v>
      </c>
      <c r="C5067" s="13">
        <v>3</v>
      </c>
      <c r="D5067" s="37" t="s">
        <v>2278</v>
      </c>
      <c r="E5067" s="28" t="s">
        <v>2371</v>
      </c>
      <c r="F5067" s="22" t="s">
        <v>2374</v>
      </c>
      <c r="G5067" s="15" t="s">
        <v>13</v>
      </c>
      <c r="H5067" s="8"/>
      <c r="I5067" s="90"/>
      <c r="J5067" s="8"/>
      <c r="K5067" s="8"/>
      <c r="L5067" s="8"/>
      <c r="M5067" s="8"/>
      <c r="N5067" s="8"/>
      <c r="O5067" s="8"/>
      <c r="P5067" s="8"/>
      <c r="Q5067" s="8"/>
      <c r="R5067" s="8"/>
      <c r="S5067" s="8"/>
      <c r="T5067" s="8"/>
      <c r="U5067" s="8"/>
      <c r="V5067" s="8"/>
      <c r="W5067" s="8"/>
      <c r="X5067" s="8"/>
      <c r="Y5067" s="8"/>
      <c r="Z5067" s="8"/>
      <c r="AA5067" s="8"/>
    </row>
    <row r="5068" spans="1:27" s="10" customFormat="1" hidden="1" x14ac:dyDescent="0.2">
      <c r="A5068" s="11" t="s">
        <v>2416</v>
      </c>
      <c r="B5068" s="12" t="s">
        <v>2417</v>
      </c>
      <c r="C5068" s="13">
        <v>3</v>
      </c>
      <c r="D5068" s="37" t="s">
        <v>2278</v>
      </c>
      <c r="E5068" s="151" t="s">
        <v>2419</v>
      </c>
      <c r="F5068" s="22" t="s">
        <v>2422</v>
      </c>
      <c r="G5068" s="15" t="s">
        <v>13</v>
      </c>
      <c r="H5068" s="8"/>
      <c r="I5068" s="90"/>
      <c r="J5068" s="8"/>
      <c r="K5068" s="8"/>
      <c r="L5068" s="8"/>
      <c r="M5068" s="8"/>
      <c r="N5068" s="8"/>
      <c r="O5068" s="8"/>
      <c r="P5068" s="8"/>
      <c r="Q5068" s="8"/>
      <c r="R5068" s="8"/>
      <c r="S5068" s="8"/>
      <c r="T5068" s="8"/>
      <c r="U5068" s="8"/>
      <c r="V5068" s="8"/>
      <c r="W5068" s="8"/>
      <c r="X5068" s="8"/>
      <c r="Y5068" s="8"/>
      <c r="Z5068" s="8"/>
      <c r="AA5068" s="8"/>
    </row>
    <row r="5069" spans="1:27" s="10" customFormat="1" hidden="1" x14ac:dyDescent="0.2">
      <c r="A5069" s="11" t="s">
        <v>2429</v>
      </c>
      <c r="B5069" s="12" t="s">
        <v>2430</v>
      </c>
      <c r="C5069" s="13">
        <v>4</v>
      </c>
      <c r="D5069" s="37" t="s">
        <v>2278</v>
      </c>
      <c r="E5069" s="151" t="s">
        <v>2431</v>
      </c>
      <c r="F5069" s="22" t="s">
        <v>2435</v>
      </c>
      <c r="G5069" s="15" t="s">
        <v>13</v>
      </c>
      <c r="H5069" s="8"/>
      <c r="I5069" s="90"/>
      <c r="J5069" s="8"/>
      <c r="K5069" s="8"/>
      <c r="L5069" s="8"/>
      <c r="M5069" s="8"/>
      <c r="N5069" s="8"/>
      <c r="O5069" s="8"/>
      <c r="P5069" s="8"/>
      <c r="Q5069" s="8"/>
      <c r="R5069" s="8"/>
      <c r="S5069" s="8"/>
      <c r="T5069" s="8"/>
      <c r="U5069" s="8"/>
      <c r="V5069" s="8"/>
      <c r="W5069" s="8"/>
      <c r="X5069" s="8"/>
      <c r="Y5069" s="8"/>
      <c r="Z5069" s="8"/>
      <c r="AA5069" s="8"/>
    </row>
    <row r="5070" spans="1:27" s="10" customFormat="1" ht="12.75" hidden="1" thickBot="1" x14ac:dyDescent="0.25">
      <c r="A5070" s="36" t="s">
        <v>552</v>
      </c>
      <c r="B5070" s="30" t="s">
        <v>553</v>
      </c>
      <c r="C5070" s="31">
        <v>7</v>
      </c>
      <c r="D5070" s="4" t="s">
        <v>565</v>
      </c>
      <c r="E5070" s="106" t="s">
        <v>554</v>
      </c>
      <c r="F5070" s="4" t="s">
        <v>566</v>
      </c>
      <c r="G5070" s="33" t="s">
        <v>560</v>
      </c>
      <c r="H5070" s="8"/>
      <c r="I5070" s="94">
        <v>14</v>
      </c>
      <c r="J5070" s="8"/>
      <c r="K5070" s="8"/>
      <c r="L5070" s="8"/>
      <c r="M5070" s="8"/>
      <c r="N5070" s="8"/>
      <c r="O5070" s="8"/>
      <c r="P5070" s="8"/>
      <c r="Q5070" s="8"/>
      <c r="R5070" s="8"/>
      <c r="S5070" s="8"/>
      <c r="T5070" s="8"/>
      <c r="U5070" s="8"/>
      <c r="V5070" s="8"/>
      <c r="W5070" s="8"/>
      <c r="X5070" s="8"/>
      <c r="Y5070" s="8"/>
      <c r="Z5070" s="8"/>
      <c r="AA5070" s="8"/>
    </row>
    <row r="5071" spans="1:27" s="10" customFormat="1" hidden="1" x14ac:dyDescent="0.25">
      <c r="A5071" s="56" t="s">
        <v>5921</v>
      </c>
      <c r="B5071" s="61" t="s">
        <v>5922</v>
      </c>
      <c r="C5071" s="58">
        <v>6</v>
      </c>
      <c r="D5071" s="17" t="s">
        <v>5930</v>
      </c>
      <c r="E5071" s="89" t="s">
        <v>5923</v>
      </c>
      <c r="F5071" s="17" t="s">
        <v>5931</v>
      </c>
      <c r="G5071" s="62" t="s">
        <v>271</v>
      </c>
      <c r="H5071" s="8"/>
      <c r="I5071" s="101" t="s">
        <v>5818</v>
      </c>
      <c r="J5071" s="8"/>
      <c r="K5071" s="8"/>
      <c r="L5071" s="8"/>
      <c r="M5071" s="8"/>
      <c r="N5071" s="8"/>
      <c r="O5071" s="8"/>
      <c r="P5071" s="8"/>
      <c r="Q5071" s="8"/>
      <c r="R5071" s="8"/>
      <c r="S5071" s="8"/>
      <c r="T5071" s="8"/>
      <c r="U5071" s="8"/>
      <c r="V5071" s="8"/>
      <c r="W5071" s="8"/>
      <c r="X5071" s="8"/>
      <c r="Y5071" s="8"/>
      <c r="Z5071" s="8"/>
      <c r="AA5071" s="8"/>
    </row>
    <row r="5072" spans="1:27" s="10" customFormat="1" hidden="1" x14ac:dyDescent="0.2">
      <c r="A5072" s="11" t="s">
        <v>552</v>
      </c>
      <c r="B5072" s="12" t="s">
        <v>553</v>
      </c>
      <c r="C5072" s="13">
        <v>4</v>
      </c>
      <c r="D5072" s="22" t="s">
        <v>558</v>
      </c>
      <c r="E5072" s="105" t="s">
        <v>554</v>
      </c>
      <c r="F5072" s="22" t="s">
        <v>559</v>
      </c>
      <c r="G5072" s="15" t="s">
        <v>560</v>
      </c>
      <c r="H5072" s="8"/>
      <c r="I5072" s="90">
        <v>12</v>
      </c>
      <c r="J5072" s="8"/>
      <c r="K5072" s="8"/>
      <c r="L5072" s="8"/>
      <c r="M5072" s="8"/>
      <c r="N5072" s="8"/>
      <c r="O5072" s="8"/>
      <c r="P5072" s="8"/>
      <c r="Q5072" s="8"/>
      <c r="R5072" s="8"/>
      <c r="S5072" s="8"/>
      <c r="T5072" s="8"/>
      <c r="U5072" s="8"/>
      <c r="V5072" s="8"/>
      <c r="W5072" s="8"/>
      <c r="X5072" s="8"/>
      <c r="Y5072" s="8"/>
      <c r="Z5072" s="8"/>
      <c r="AA5072" s="8"/>
    </row>
    <row r="5073" spans="1:27" s="10" customFormat="1" hidden="1" x14ac:dyDescent="0.2">
      <c r="A5073" s="11" t="s">
        <v>5492</v>
      </c>
      <c r="B5073" s="12" t="s">
        <v>5493</v>
      </c>
      <c r="C5073" s="13">
        <v>1</v>
      </c>
      <c r="D5073" s="166" t="s">
        <v>558</v>
      </c>
      <c r="E5073" s="28" t="s">
        <v>5494</v>
      </c>
      <c r="F5073" s="75" t="s">
        <v>5495</v>
      </c>
      <c r="G5073" s="15" t="s">
        <v>5496</v>
      </c>
      <c r="H5073" s="8"/>
      <c r="I5073" s="90">
        <v>12</v>
      </c>
      <c r="J5073" s="8"/>
      <c r="K5073" s="8"/>
      <c r="L5073" s="8"/>
      <c r="M5073" s="8"/>
      <c r="N5073" s="8"/>
      <c r="O5073" s="8"/>
      <c r="P5073" s="8"/>
      <c r="Q5073" s="8"/>
      <c r="R5073" s="8"/>
      <c r="S5073" s="8"/>
      <c r="T5073" s="8"/>
      <c r="U5073" s="8"/>
      <c r="V5073" s="8"/>
      <c r="W5073" s="8"/>
      <c r="X5073" s="8"/>
      <c r="Y5073" s="8"/>
      <c r="Z5073" s="8"/>
      <c r="AA5073" s="8"/>
    </row>
    <row r="5074" spans="1:27" s="10" customFormat="1" hidden="1" x14ac:dyDescent="0.2">
      <c r="A5074" s="11" t="s">
        <v>7002</v>
      </c>
      <c r="B5074" s="12" t="s">
        <v>7003</v>
      </c>
      <c r="C5074" s="13">
        <v>12</v>
      </c>
      <c r="D5074" s="14" t="s">
        <v>7020</v>
      </c>
      <c r="E5074" s="28" t="s">
        <v>7004</v>
      </c>
      <c r="F5074" s="12" t="s">
        <v>7021</v>
      </c>
      <c r="G5074" s="15" t="s">
        <v>19</v>
      </c>
      <c r="H5074" s="8"/>
      <c r="I5074" s="90"/>
      <c r="J5074" s="8"/>
      <c r="K5074" s="8"/>
      <c r="L5074" s="8"/>
      <c r="M5074" s="8"/>
      <c r="N5074" s="8"/>
      <c r="O5074" s="8"/>
      <c r="P5074" s="8"/>
      <c r="Q5074" s="8"/>
      <c r="R5074" s="8"/>
      <c r="S5074" s="8"/>
      <c r="T5074" s="8"/>
      <c r="U5074" s="8"/>
      <c r="V5074" s="8"/>
      <c r="W5074" s="8"/>
      <c r="X5074" s="8"/>
      <c r="Y5074" s="8"/>
      <c r="Z5074" s="8"/>
      <c r="AA5074" s="8"/>
    </row>
    <row r="5075" spans="1:27" s="10" customFormat="1" ht="12.75" hidden="1" thickBot="1" x14ac:dyDescent="0.25">
      <c r="A5075" s="36" t="s">
        <v>2631</v>
      </c>
      <c r="B5075" s="30" t="s">
        <v>2632</v>
      </c>
      <c r="C5075" s="31">
        <f>C5074+1</f>
        <v>13</v>
      </c>
      <c r="D5075" s="69" t="s">
        <v>2811</v>
      </c>
      <c r="E5075" s="32" t="s">
        <v>2634</v>
      </c>
      <c r="F5075" s="67" t="s">
        <v>2812</v>
      </c>
      <c r="G5075" s="68" t="s">
        <v>1239</v>
      </c>
      <c r="H5075" s="8"/>
      <c r="I5075" s="99">
        <v>13</v>
      </c>
      <c r="J5075" s="8"/>
      <c r="K5075" s="8"/>
      <c r="L5075" s="8"/>
      <c r="M5075" s="8"/>
      <c r="N5075" s="8"/>
      <c r="O5075" s="8"/>
      <c r="P5075" s="8"/>
      <c r="Q5075" s="8"/>
      <c r="R5075" s="8"/>
      <c r="S5075" s="8"/>
      <c r="T5075" s="8"/>
      <c r="U5075" s="8"/>
      <c r="V5075" s="8"/>
      <c r="W5075" s="8"/>
      <c r="X5075" s="8"/>
      <c r="Y5075" s="8"/>
      <c r="Z5075" s="8"/>
      <c r="AA5075" s="8"/>
    </row>
    <row r="5076" spans="1:27" s="10" customFormat="1" hidden="1" x14ac:dyDescent="0.2">
      <c r="A5076" s="56" t="s">
        <v>3165</v>
      </c>
      <c r="B5076" s="61" t="s">
        <v>3166</v>
      </c>
      <c r="C5076" s="58">
        <f>C5075+1</f>
        <v>14</v>
      </c>
      <c r="D5076" s="61" t="s">
        <v>2811</v>
      </c>
      <c r="E5076" s="89" t="s">
        <v>3167</v>
      </c>
      <c r="F5076" s="61" t="s">
        <v>3316</v>
      </c>
      <c r="G5076" s="129" t="s">
        <v>1239</v>
      </c>
      <c r="H5076" s="8"/>
      <c r="I5076" s="99">
        <v>13</v>
      </c>
      <c r="J5076" s="8"/>
      <c r="K5076" s="8"/>
      <c r="L5076" s="8"/>
      <c r="M5076" s="8"/>
      <c r="N5076" s="8"/>
      <c r="O5076" s="8"/>
      <c r="P5076" s="8"/>
      <c r="Q5076" s="8"/>
      <c r="R5076" s="8"/>
      <c r="S5076" s="8"/>
      <c r="T5076" s="8"/>
      <c r="U5076" s="8"/>
      <c r="V5076" s="8"/>
      <c r="W5076" s="8"/>
      <c r="X5076" s="8"/>
      <c r="Y5076" s="8"/>
      <c r="Z5076" s="8"/>
      <c r="AA5076" s="8"/>
    </row>
    <row r="5077" spans="1:27" s="10" customFormat="1" hidden="1" x14ac:dyDescent="0.2">
      <c r="A5077" s="11" t="s">
        <v>7002</v>
      </c>
      <c r="B5077" s="12" t="s">
        <v>7003</v>
      </c>
      <c r="C5077" s="13">
        <v>11</v>
      </c>
      <c r="D5077" s="14" t="s">
        <v>7018</v>
      </c>
      <c r="E5077" s="28" t="s">
        <v>7004</v>
      </c>
      <c r="F5077" s="12" t="s">
        <v>7019</v>
      </c>
      <c r="G5077" s="15" t="s">
        <v>19</v>
      </c>
      <c r="H5077" s="8"/>
      <c r="I5077" s="90"/>
      <c r="J5077" s="8"/>
      <c r="K5077" s="8"/>
      <c r="L5077" s="8"/>
      <c r="M5077" s="8"/>
      <c r="N5077" s="8"/>
      <c r="O5077" s="8"/>
      <c r="P5077" s="8"/>
      <c r="Q5077" s="8"/>
      <c r="R5077" s="8"/>
      <c r="S5077" s="8"/>
      <c r="T5077" s="8"/>
      <c r="U5077" s="8"/>
      <c r="V5077" s="8"/>
      <c r="W5077" s="8"/>
      <c r="X5077" s="8"/>
      <c r="Y5077" s="8"/>
      <c r="Z5077" s="8"/>
      <c r="AA5077" s="8"/>
    </row>
    <row r="5078" spans="1:27" s="10" customFormat="1" hidden="1" x14ac:dyDescent="0.25">
      <c r="A5078" s="11" t="s">
        <v>1031</v>
      </c>
      <c r="B5078" s="12" t="s">
        <v>1032</v>
      </c>
      <c r="C5078" s="13">
        <v>10</v>
      </c>
      <c r="D5078" s="41" t="s">
        <v>1050</v>
      </c>
      <c r="E5078" s="28" t="s">
        <v>1033</v>
      </c>
      <c r="F5078" s="12" t="s">
        <v>1051</v>
      </c>
      <c r="G5078" s="15" t="s">
        <v>832</v>
      </c>
      <c r="H5078" s="8"/>
      <c r="I5078" s="9">
        <v>15</v>
      </c>
      <c r="J5078" s="8"/>
      <c r="K5078" s="8"/>
      <c r="L5078" s="8"/>
      <c r="M5078" s="8"/>
      <c r="N5078" s="8"/>
      <c r="O5078" s="8"/>
      <c r="P5078" s="8"/>
      <c r="Q5078" s="8"/>
      <c r="R5078" s="8"/>
      <c r="S5078" s="8"/>
      <c r="T5078" s="8"/>
      <c r="U5078" s="8"/>
      <c r="V5078" s="8"/>
      <c r="W5078" s="8"/>
      <c r="X5078" s="8"/>
      <c r="Y5078" s="8"/>
      <c r="Z5078" s="8"/>
      <c r="AA5078" s="8"/>
    </row>
    <row r="5079" spans="1:27" s="10" customFormat="1" hidden="1" x14ac:dyDescent="0.25">
      <c r="A5079" s="11" t="s">
        <v>1031</v>
      </c>
      <c r="B5079" s="12" t="s">
        <v>1032</v>
      </c>
      <c r="C5079" s="13">
        <v>11</v>
      </c>
      <c r="D5079" s="41" t="s">
        <v>1052</v>
      </c>
      <c r="E5079" s="28" t="s">
        <v>1033</v>
      </c>
      <c r="F5079" s="12" t="s">
        <v>1053</v>
      </c>
      <c r="G5079" s="15" t="s">
        <v>829</v>
      </c>
      <c r="H5079" s="8"/>
      <c r="I5079" s="9">
        <v>15</v>
      </c>
      <c r="J5079" s="8"/>
      <c r="K5079" s="8"/>
      <c r="L5079" s="8"/>
      <c r="M5079" s="8"/>
      <c r="N5079" s="8"/>
      <c r="O5079" s="8"/>
      <c r="P5079" s="8"/>
      <c r="Q5079" s="8"/>
      <c r="R5079" s="8"/>
      <c r="S5079" s="8"/>
      <c r="T5079" s="8"/>
      <c r="U5079" s="8"/>
      <c r="V5079" s="8"/>
      <c r="W5079" s="8"/>
      <c r="X5079" s="8"/>
      <c r="Y5079" s="8"/>
      <c r="Z5079" s="8"/>
      <c r="AA5079" s="8"/>
    </row>
    <row r="5080" spans="1:27" s="10" customFormat="1" ht="12.75" hidden="1" thickBot="1" x14ac:dyDescent="0.25">
      <c r="A5080" s="36" t="s">
        <v>3034</v>
      </c>
      <c r="B5080" s="30" t="s">
        <v>3035</v>
      </c>
      <c r="C5080" s="31">
        <f>+C5079+1</f>
        <v>12</v>
      </c>
      <c r="D5080" s="55" t="s">
        <v>8641</v>
      </c>
      <c r="E5080" s="32" t="s">
        <v>3036</v>
      </c>
      <c r="F5080" s="55" t="s">
        <v>3062</v>
      </c>
      <c r="G5080" s="68" t="s">
        <v>13</v>
      </c>
      <c r="H5080" s="8"/>
      <c r="I5080" s="90"/>
      <c r="J5080" s="8"/>
      <c r="K5080" s="8"/>
      <c r="L5080" s="8"/>
      <c r="M5080" s="8"/>
      <c r="N5080" s="8"/>
      <c r="O5080" s="8"/>
      <c r="P5080" s="8"/>
      <c r="Q5080" s="8"/>
      <c r="R5080" s="8"/>
      <c r="S5080" s="8"/>
      <c r="T5080" s="8"/>
      <c r="U5080" s="8"/>
      <c r="V5080" s="8"/>
      <c r="W5080" s="8"/>
      <c r="X5080" s="8"/>
      <c r="Y5080" s="8"/>
      <c r="Z5080" s="8"/>
      <c r="AA5080" s="8"/>
    </row>
    <row r="5081" spans="1:27" s="10" customFormat="1" hidden="1" x14ac:dyDescent="0.25">
      <c r="A5081" s="56" t="s">
        <v>5921</v>
      </c>
      <c r="B5081" s="61" t="s">
        <v>5922</v>
      </c>
      <c r="C5081" s="58">
        <v>20</v>
      </c>
      <c r="D5081" s="61" t="s">
        <v>5952</v>
      </c>
      <c r="E5081" s="89" t="s">
        <v>5923</v>
      </c>
      <c r="F5081" s="61" t="s">
        <v>5953</v>
      </c>
      <c r="G5081" s="62" t="s">
        <v>687</v>
      </c>
      <c r="H5081" s="8"/>
      <c r="I5081" s="101" t="s">
        <v>5818</v>
      </c>
      <c r="J5081" s="8"/>
      <c r="K5081" s="8"/>
      <c r="L5081" s="8"/>
      <c r="M5081" s="8"/>
      <c r="N5081" s="8"/>
      <c r="O5081" s="8"/>
      <c r="P5081" s="8"/>
      <c r="Q5081" s="8"/>
      <c r="R5081" s="8"/>
      <c r="S5081" s="8"/>
      <c r="T5081" s="8"/>
      <c r="U5081" s="8"/>
      <c r="V5081" s="8"/>
      <c r="W5081" s="8"/>
      <c r="X5081" s="8"/>
      <c r="Y5081" s="8"/>
      <c r="Z5081" s="8"/>
      <c r="AA5081" s="8"/>
    </row>
    <row r="5082" spans="1:27" s="10" customFormat="1" hidden="1" x14ac:dyDescent="0.2">
      <c r="A5082" s="11" t="s">
        <v>3165</v>
      </c>
      <c r="B5082" s="12" t="s">
        <v>3166</v>
      </c>
      <c r="C5082" s="13">
        <v>33</v>
      </c>
      <c r="D5082" s="12" t="s">
        <v>3210</v>
      </c>
      <c r="E5082" s="28" t="s">
        <v>3167</v>
      </c>
      <c r="F5082" s="65" t="s">
        <v>3211</v>
      </c>
      <c r="G5082" s="66" t="s">
        <v>862</v>
      </c>
      <c r="H5082" s="8"/>
      <c r="I5082" s="94">
        <v>14</v>
      </c>
      <c r="J5082" s="8"/>
      <c r="K5082" s="8"/>
      <c r="L5082" s="8"/>
      <c r="M5082" s="8"/>
      <c r="N5082" s="8"/>
      <c r="O5082" s="8"/>
      <c r="P5082" s="8"/>
      <c r="Q5082" s="8"/>
      <c r="R5082" s="8"/>
      <c r="S5082" s="8"/>
      <c r="T5082" s="8"/>
      <c r="U5082" s="8"/>
      <c r="V5082" s="8"/>
      <c r="W5082" s="8"/>
      <c r="X5082" s="8"/>
      <c r="Y5082" s="8"/>
      <c r="Z5082" s="8"/>
      <c r="AA5082" s="8"/>
    </row>
    <row r="5083" spans="1:27" s="10" customFormat="1" hidden="1" x14ac:dyDescent="0.2">
      <c r="A5083" s="11" t="s">
        <v>3458</v>
      </c>
      <c r="B5083" s="12" t="s">
        <v>3459</v>
      </c>
      <c r="C5083" s="13">
        <f>C5082+1</f>
        <v>34</v>
      </c>
      <c r="D5083" s="12" t="s">
        <v>3210</v>
      </c>
      <c r="E5083" s="138" t="s">
        <v>3460</v>
      </c>
      <c r="F5083" s="65" t="s">
        <v>3596</v>
      </c>
      <c r="G5083" s="66" t="s">
        <v>862</v>
      </c>
      <c r="H5083" s="8"/>
      <c r="I5083" s="94" t="s">
        <v>3570</v>
      </c>
      <c r="J5083" s="8"/>
      <c r="K5083" s="8"/>
      <c r="L5083" s="8"/>
      <c r="M5083" s="8"/>
      <c r="N5083" s="8"/>
      <c r="O5083" s="8"/>
      <c r="P5083" s="8"/>
      <c r="Q5083" s="8"/>
      <c r="R5083" s="8"/>
      <c r="S5083" s="8"/>
      <c r="T5083" s="8"/>
      <c r="U5083" s="8"/>
      <c r="V5083" s="8"/>
      <c r="W5083" s="8"/>
      <c r="X5083" s="8"/>
      <c r="Y5083" s="8"/>
      <c r="Z5083" s="8"/>
      <c r="AA5083" s="8"/>
    </row>
    <row r="5084" spans="1:27" s="10" customFormat="1" hidden="1" x14ac:dyDescent="0.2">
      <c r="A5084" s="11" t="s">
        <v>3633</v>
      </c>
      <c r="B5084" s="12" t="s">
        <v>3634</v>
      </c>
      <c r="C5084" s="13">
        <v>66</v>
      </c>
      <c r="D5084" s="12" t="s">
        <v>3210</v>
      </c>
      <c r="E5084" s="138" t="s">
        <v>3635</v>
      </c>
      <c r="F5084" s="65" t="s">
        <v>3719</v>
      </c>
      <c r="G5084" s="66" t="s">
        <v>862</v>
      </c>
      <c r="H5084" s="8"/>
      <c r="I5084" s="94" t="s">
        <v>3570</v>
      </c>
      <c r="J5084" s="8"/>
      <c r="K5084" s="8"/>
      <c r="L5084" s="8"/>
      <c r="M5084" s="8"/>
      <c r="N5084" s="8"/>
      <c r="O5084" s="8"/>
      <c r="P5084" s="8"/>
      <c r="Q5084" s="8"/>
      <c r="R5084" s="8"/>
      <c r="S5084" s="8"/>
      <c r="T5084" s="8"/>
      <c r="U5084" s="8"/>
      <c r="V5084" s="8"/>
      <c r="W5084" s="8"/>
      <c r="X5084" s="8"/>
      <c r="Y5084" s="8"/>
      <c r="Z5084" s="8"/>
      <c r="AA5084" s="8"/>
    </row>
    <row r="5085" spans="1:27" s="10" customFormat="1" ht="12.75" hidden="1" thickBot="1" x14ac:dyDescent="0.25">
      <c r="A5085" s="36" t="s">
        <v>4087</v>
      </c>
      <c r="B5085" s="30" t="s">
        <v>4088</v>
      </c>
      <c r="C5085" s="31">
        <f>C5084+1</f>
        <v>67</v>
      </c>
      <c r="D5085" s="30" t="s">
        <v>3210</v>
      </c>
      <c r="E5085" s="32" t="s">
        <v>4089</v>
      </c>
      <c r="F5085" s="30" t="s">
        <v>4179</v>
      </c>
      <c r="G5085" s="68" t="s">
        <v>862</v>
      </c>
      <c r="H5085" s="8"/>
      <c r="I5085" s="94" t="s">
        <v>3570</v>
      </c>
      <c r="J5085" s="8"/>
      <c r="K5085" s="8"/>
      <c r="L5085" s="8"/>
      <c r="M5085" s="8"/>
      <c r="N5085" s="8"/>
      <c r="O5085" s="8"/>
      <c r="P5085" s="8"/>
      <c r="Q5085" s="8"/>
      <c r="R5085" s="8"/>
      <c r="S5085" s="8"/>
      <c r="T5085" s="8"/>
      <c r="U5085" s="8"/>
      <c r="V5085" s="8"/>
      <c r="W5085" s="8"/>
      <c r="X5085" s="8"/>
      <c r="Y5085" s="8"/>
      <c r="Z5085" s="8"/>
      <c r="AA5085" s="8"/>
    </row>
    <row r="5086" spans="1:27" s="10" customFormat="1" hidden="1" x14ac:dyDescent="0.2">
      <c r="A5086" s="56" t="s">
        <v>4212</v>
      </c>
      <c r="B5086" s="61" t="s">
        <v>4213</v>
      </c>
      <c r="C5086" s="58">
        <f>C5085+1</f>
        <v>68</v>
      </c>
      <c r="D5086" s="61" t="s">
        <v>3210</v>
      </c>
      <c r="E5086" s="89" t="s">
        <v>4214</v>
      </c>
      <c r="F5086" s="61" t="s">
        <v>4293</v>
      </c>
      <c r="G5086" s="129" t="s">
        <v>862</v>
      </c>
      <c r="H5086" s="8"/>
      <c r="I5086" s="94" t="s">
        <v>3570</v>
      </c>
      <c r="J5086" s="8"/>
      <c r="K5086" s="8"/>
      <c r="L5086" s="8"/>
      <c r="M5086" s="8"/>
      <c r="N5086" s="8"/>
      <c r="O5086" s="8"/>
      <c r="P5086" s="8"/>
      <c r="Q5086" s="8"/>
      <c r="R5086" s="8"/>
      <c r="S5086" s="8"/>
      <c r="T5086" s="8"/>
      <c r="U5086" s="8"/>
      <c r="V5086" s="8"/>
      <c r="W5086" s="8"/>
      <c r="X5086" s="8"/>
      <c r="Y5086" s="8"/>
      <c r="Z5086" s="8"/>
      <c r="AA5086" s="8"/>
    </row>
    <row r="5087" spans="1:27" s="10" customFormat="1" hidden="1" x14ac:dyDescent="0.25">
      <c r="A5087" s="11" t="s">
        <v>6688</v>
      </c>
      <c r="B5087" s="12" t="s">
        <v>6689</v>
      </c>
      <c r="C5087" s="13">
        <v>41</v>
      </c>
      <c r="D5087" s="12" t="s">
        <v>6765</v>
      </c>
      <c r="E5087" s="28" t="s">
        <v>6690</v>
      </c>
      <c r="F5087" s="12" t="s">
        <v>6766</v>
      </c>
      <c r="G5087" s="15" t="s">
        <v>6767</v>
      </c>
      <c r="H5087" s="8"/>
      <c r="I5087" s="99">
        <v>13</v>
      </c>
      <c r="J5087" s="8"/>
      <c r="K5087" s="8"/>
      <c r="L5087" s="8"/>
      <c r="M5087" s="8"/>
      <c r="N5087" s="8"/>
      <c r="O5087" s="8"/>
      <c r="P5087" s="8"/>
      <c r="Q5087" s="8"/>
      <c r="R5087" s="8"/>
      <c r="S5087" s="8"/>
      <c r="T5087" s="8"/>
      <c r="U5087" s="8"/>
      <c r="V5087" s="8"/>
      <c r="W5087" s="8"/>
      <c r="X5087" s="8"/>
      <c r="Y5087" s="8"/>
      <c r="Z5087" s="8"/>
      <c r="AA5087" s="8"/>
    </row>
    <row r="5088" spans="1:27" s="10" customFormat="1" hidden="1" x14ac:dyDescent="0.2">
      <c r="A5088" s="11" t="s">
        <v>2988</v>
      </c>
      <c r="B5088" s="12" t="s">
        <v>2989</v>
      </c>
      <c r="C5088" s="13">
        <f>1+C5087</f>
        <v>42</v>
      </c>
      <c r="D5088" s="14" t="s">
        <v>3027</v>
      </c>
      <c r="E5088" s="28" t="s">
        <v>2990</v>
      </c>
      <c r="F5088" s="65" t="s">
        <v>3028</v>
      </c>
      <c r="G5088" s="66" t="s">
        <v>126</v>
      </c>
      <c r="H5088" s="8"/>
      <c r="I5088" s="90"/>
      <c r="J5088" s="8"/>
      <c r="K5088" s="8"/>
      <c r="L5088" s="8"/>
      <c r="M5088" s="8"/>
      <c r="N5088" s="8"/>
      <c r="O5088" s="8"/>
      <c r="P5088" s="8"/>
      <c r="Q5088" s="8"/>
      <c r="R5088" s="8"/>
      <c r="S5088" s="8"/>
      <c r="T5088" s="8"/>
      <c r="U5088" s="8"/>
      <c r="V5088" s="8"/>
      <c r="W5088" s="8"/>
      <c r="X5088" s="8"/>
      <c r="Y5088" s="8"/>
      <c r="Z5088" s="8"/>
      <c r="AA5088" s="8"/>
    </row>
    <row r="5089" spans="1:27" s="10" customFormat="1" ht="15" hidden="1" x14ac:dyDescent="0.25">
      <c r="A5089" s="11" t="s">
        <v>4583</v>
      </c>
      <c r="B5089" s="12" t="s">
        <v>4584</v>
      </c>
      <c r="C5089" s="13">
        <v>22</v>
      </c>
      <c r="D5089" s="12" t="s">
        <v>4621</v>
      </c>
      <c r="E5089" s="28" t="s">
        <v>4585</v>
      </c>
      <c r="F5089" s="12" t="s">
        <v>4622</v>
      </c>
      <c r="G5089" s="66" t="s">
        <v>800</v>
      </c>
      <c r="H5089" s="8"/>
      <c r="I5089" s="9">
        <v>15</v>
      </c>
      <c r="J5089" s="52"/>
      <c r="K5089" s="8"/>
      <c r="L5089" s="8"/>
      <c r="M5089" s="8"/>
      <c r="N5089" s="8"/>
      <c r="O5089" s="8"/>
      <c r="P5089" s="8"/>
      <c r="Q5089" s="8"/>
      <c r="R5089" s="8"/>
      <c r="S5089" s="8"/>
      <c r="T5089" s="8"/>
      <c r="U5089" s="8"/>
      <c r="V5089" s="8"/>
      <c r="W5089" s="8"/>
      <c r="X5089" s="8"/>
      <c r="Y5089" s="8"/>
      <c r="Z5089" s="8"/>
      <c r="AA5089" s="8"/>
    </row>
    <row r="5090" spans="1:27" s="10" customFormat="1" ht="15.75" hidden="1" thickBot="1" x14ac:dyDescent="0.3">
      <c r="A5090" s="36" t="s">
        <v>4583</v>
      </c>
      <c r="B5090" s="30" t="s">
        <v>4584</v>
      </c>
      <c r="C5090" s="31">
        <v>21</v>
      </c>
      <c r="D5090" s="30" t="s">
        <v>4619</v>
      </c>
      <c r="E5090" s="32" t="s">
        <v>4585</v>
      </c>
      <c r="F5090" s="30" t="s">
        <v>4620</v>
      </c>
      <c r="G5090" s="68" t="s">
        <v>800</v>
      </c>
      <c r="H5090" s="8"/>
      <c r="I5090" s="9">
        <v>15</v>
      </c>
      <c r="J5090" s="52"/>
      <c r="K5090" s="8"/>
      <c r="L5090" s="8"/>
      <c r="M5090" s="8"/>
      <c r="N5090" s="8"/>
      <c r="O5090" s="8"/>
      <c r="P5090" s="8"/>
      <c r="Q5090" s="8"/>
      <c r="R5090" s="8"/>
      <c r="S5090" s="8"/>
      <c r="T5090" s="8"/>
      <c r="U5090" s="8"/>
      <c r="V5090" s="8"/>
      <c r="W5090" s="8"/>
      <c r="X5090" s="8"/>
      <c r="Y5090" s="8"/>
      <c r="Z5090" s="8"/>
      <c r="AA5090" s="8"/>
    </row>
  </sheetData>
  <autoFilter ref="A1:WUX5090" xr:uid="{00000000-0009-0000-0000-000000000000}">
    <filterColumn colId="5">
      <filters>
        <filter val="G7145_ID_GRPD"/>
        <filter val="G7162_ID_GRPD"/>
        <filter val="G7162_IDGRPDPM"/>
        <filter val="H0869_ID_GRPD"/>
        <filter val="T1773_ID_GRPD"/>
      </filters>
    </filterColumn>
  </autoFilter>
  <mergeCells count="7">
    <mergeCell ref="G1:G2"/>
    <mergeCell ref="A1:A2"/>
    <mergeCell ref="B1:B2"/>
    <mergeCell ref="C1:C2"/>
    <mergeCell ref="D1:D2"/>
    <mergeCell ref="E1:E2"/>
    <mergeCell ref="F1:F2"/>
  </mergeCells>
  <hyperlinks>
    <hyperlink ref="D3758" location="_Tipo_de_Saldo" display="_Tipo_de_Saldo" xr:uid="{00000000-0004-0000-0000-000000000000}"/>
    <hyperlink ref="D185" location="_Tipo_de_modelo_1" display="_Tipo_de_modelo_1" xr:uid="{00000000-0004-0000-0000-000001000000}"/>
    <hyperlink ref="D2316" location="_Finalidad_de_cálculo" display="_Finalidad_de_cálculo" xr:uid="{00000000-0004-0000-0000-000002000000}"/>
    <hyperlink ref="D3830" location="_Tipo_de_Saldo" display="_Tipo_de_Saldo" xr:uid="{00000000-0004-0000-0000-000003000000}"/>
  </hyperlinks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b50dc7-8f72-473c-8b7e-4a8c46ecad32">
      <Terms xmlns="http://schemas.microsoft.com/office/infopath/2007/PartnerControls"/>
    </lcf76f155ced4ddcb4097134ff3c332f>
    <TaxCatchAll xmlns="7b1ec8e5-5652-48eb-8550-a56a35f5f81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D051AEB2C48B458F82B58F7F6D9A00" ma:contentTypeVersion="14" ma:contentTypeDescription="Create a new document." ma:contentTypeScope="" ma:versionID="bc2757bd4c151ee688c369fdfdc5da1d">
  <xsd:schema xmlns:xsd="http://www.w3.org/2001/XMLSchema" xmlns:xs="http://www.w3.org/2001/XMLSchema" xmlns:p="http://schemas.microsoft.com/office/2006/metadata/properties" xmlns:ns1="http://schemas.microsoft.com/sharepoint/v3" xmlns:ns2="a9b50dc7-8f72-473c-8b7e-4a8c46ecad32" xmlns:ns3="7b1ec8e5-5652-48eb-8550-a56a35f5f817" targetNamespace="http://schemas.microsoft.com/office/2006/metadata/properties" ma:root="true" ma:fieldsID="49cf35f77f191e8ab7b2974270a8c8bd" ns1:_="" ns2:_="" ns3:_="">
    <xsd:import namespace="http://schemas.microsoft.com/sharepoint/v3"/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4B62AF-228F-4245-B379-864AA1458B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114DEF-E657-4C7D-8C4A-990B3ED2F7A6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4492fbfe-3789-401e-abff-c5b3fcf05223"/>
    <ds:schemaRef ds:uri="http://purl.org/dc/dcmitype/"/>
    <ds:schemaRef ds:uri="http://purl.org/dc/elements/1.1/"/>
    <ds:schemaRef ds:uri="http://schemas.microsoft.com/sharepoint/v3"/>
    <ds:schemaRef ds:uri="http://schemas.openxmlformats.org/package/2006/metadata/core-properties"/>
    <ds:schemaRef ds:uri="b28e78b1-25c1-48ad-89e6-bb71241684b9"/>
    <ds:schemaRef ds:uri="a9b50dc7-8f72-473c-8b7e-4a8c46ecad32"/>
    <ds:schemaRef ds:uri="7b1ec8e5-5652-48eb-8550-a56a35f5f817"/>
  </ds:schemaRefs>
</ds:datastoreItem>
</file>

<file path=customXml/itemProps3.xml><?xml version="1.0" encoding="utf-8"?>
<ds:datastoreItem xmlns:ds="http://schemas.openxmlformats.org/officeDocument/2006/customXml" ds:itemID="{85D066A0-BC05-43FF-8EAF-320A457EB8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Mapeo DOC-BDR</vt:lpstr>
      <vt:lpstr>'Mapeo DOC-BDR'!_Toc333571905</vt:lpstr>
      <vt:lpstr>'Mapeo DOC-BDR'!_Toc388540271</vt:lpstr>
      <vt:lpstr>'Mapeo DOC-BDR'!_Toc423018859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n354899</dc:creator>
  <cp:keywords/>
  <dc:description/>
  <cp:lastModifiedBy>Dora da Silva Roxo</cp:lastModifiedBy>
  <cp:revision/>
  <dcterms:created xsi:type="dcterms:W3CDTF">2022-06-29T09:55:45Z</dcterms:created>
  <dcterms:modified xsi:type="dcterms:W3CDTF">2024-03-12T15:16:01Z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2022-06-29T09:58:46Z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1cb1cfd1-ce18-40c9-8716-5b0d8d00cf83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0x010100C6D051AEB2C48B458F82B58F7F6D9A00</vt:lpwstr>
  </property>
  <property fmtid="{D5CDD505-2E9C-101B-9397-08002B2CF9AE}" pid="10" name="MediaServiceImageTags">
    <vt:lpwstr/>
  </property>
</Properties>
</file>