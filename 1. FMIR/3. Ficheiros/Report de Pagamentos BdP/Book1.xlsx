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20000" windowHeight="9173"/>
  </bookViews>
  <sheets>
    <sheet name="A.1_jul_23"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64" i="1" l="1"/>
  <c r="U64" i="1"/>
  <c r="T64" i="1"/>
  <c r="S64" i="1"/>
  <c r="V63" i="1"/>
  <c r="U63" i="1"/>
  <c r="T63" i="1"/>
  <c r="S63" i="1"/>
  <c r="V62" i="1"/>
  <c r="U62" i="1"/>
  <c r="T62" i="1"/>
  <c r="S62" i="1"/>
  <c r="V61" i="1"/>
  <c r="U61" i="1"/>
  <c r="T61" i="1"/>
  <c r="S61" i="1"/>
  <c r="V60" i="1"/>
  <c r="U60" i="1"/>
  <c r="T60" i="1"/>
  <c r="S60" i="1"/>
  <c r="V59" i="1"/>
  <c r="U59" i="1"/>
  <c r="T59" i="1"/>
  <c r="S59" i="1"/>
  <c r="V58" i="1"/>
  <c r="U58" i="1"/>
  <c r="T58" i="1"/>
  <c r="S58" i="1"/>
  <c r="V57" i="1"/>
  <c r="U57" i="1"/>
  <c r="T57" i="1"/>
  <c r="S57" i="1"/>
  <c r="V56" i="1"/>
  <c r="U56" i="1"/>
  <c r="T56" i="1"/>
  <c r="S56" i="1"/>
  <c r="V55" i="1"/>
  <c r="U55" i="1"/>
  <c r="T55" i="1"/>
  <c r="S55" i="1"/>
  <c r="V54" i="1"/>
  <c r="U54" i="1"/>
  <c r="T54" i="1"/>
  <c r="S54" i="1"/>
  <c r="V53" i="1"/>
  <c r="U53" i="1"/>
  <c r="T53" i="1"/>
  <c r="S53" i="1"/>
  <c r="V52" i="1"/>
  <c r="U52" i="1"/>
  <c r="T52" i="1"/>
  <c r="S52" i="1"/>
  <c r="V51" i="1"/>
  <c r="U51" i="1"/>
  <c r="T51" i="1"/>
  <c r="S51" i="1"/>
  <c r="V50" i="1"/>
  <c r="U50" i="1"/>
  <c r="T50" i="1"/>
  <c r="S50" i="1"/>
  <c r="V49" i="1"/>
  <c r="U49" i="1"/>
  <c r="T49" i="1"/>
  <c r="S49" i="1"/>
  <c r="V48" i="1"/>
  <c r="U48" i="1"/>
  <c r="T48" i="1"/>
  <c r="S48" i="1"/>
  <c r="V47" i="1"/>
  <c r="U47" i="1"/>
  <c r="T47" i="1"/>
  <c r="S47" i="1"/>
  <c r="V46" i="1"/>
  <c r="U46" i="1"/>
  <c r="T46" i="1"/>
  <c r="S46" i="1"/>
  <c r="V45" i="1"/>
  <c r="U45" i="1"/>
  <c r="T45" i="1"/>
  <c r="S45" i="1"/>
  <c r="V44" i="1"/>
  <c r="U44" i="1"/>
  <c r="T44" i="1"/>
  <c r="S44" i="1"/>
  <c r="V43" i="1"/>
  <c r="U43" i="1"/>
  <c r="T43" i="1"/>
  <c r="S43" i="1"/>
  <c r="V42" i="1"/>
  <c r="U42" i="1"/>
  <c r="T42" i="1"/>
  <c r="S42" i="1"/>
  <c r="V41" i="1"/>
  <c r="U41" i="1"/>
  <c r="T41" i="1"/>
  <c r="S41" i="1"/>
  <c r="V40" i="1"/>
  <c r="U40" i="1"/>
  <c r="T40" i="1"/>
  <c r="S40" i="1"/>
  <c r="V39" i="1"/>
  <c r="U39" i="1"/>
  <c r="T39" i="1"/>
  <c r="S39" i="1"/>
  <c r="V38" i="1"/>
  <c r="U38" i="1"/>
  <c r="T38" i="1"/>
  <c r="S38" i="1"/>
  <c r="V37" i="1"/>
  <c r="U37" i="1"/>
  <c r="T37" i="1"/>
  <c r="S37" i="1"/>
  <c r="V36" i="1"/>
  <c r="U36" i="1"/>
  <c r="T36" i="1"/>
  <c r="S36" i="1"/>
  <c r="V35" i="1"/>
  <c r="U35" i="1"/>
  <c r="T35" i="1"/>
  <c r="S35" i="1"/>
  <c r="V34" i="1"/>
  <c r="U34" i="1"/>
  <c r="T34" i="1"/>
  <c r="S34" i="1"/>
  <c r="V33" i="1"/>
  <c r="U33" i="1"/>
  <c r="T33" i="1"/>
  <c r="S33" i="1"/>
  <c r="V32" i="1"/>
  <c r="U32" i="1"/>
  <c r="T32" i="1"/>
  <c r="S32" i="1"/>
  <c r="V31" i="1"/>
  <c r="U31" i="1"/>
  <c r="T31" i="1"/>
  <c r="S31" i="1"/>
  <c r="V30" i="1"/>
  <c r="U30" i="1"/>
  <c r="T30" i="1"/>
  <c r="S30" i="1"/>
  <c r="V29" i="1"/>
  <c r="U29" i="1"/>
  <c r="T29" i="1"/>
  <c r="S29" i="1"/>
  <c r="V28" i="1"/>
  <c r="U28" i="1"/>
  <c r="V27" i="1"/>
  <c r="U27" i="1"/>
  <c r="V26" i="1"/>
  <c r="U26" i="1"/>
  <c r="V25" i="1"/>
  <c r="U25" i="1"/>
  <c r="V24" i="1"/>
  <c r="U24" i="1"/>
  <c r="V23" i="1"/>
  <c r="U23" i="1"/>
  <c r="V22" i="1"/>
  <c r="U22" i="1"/>
  <c r="V21" i="1"/>
  <c r="U21" i="1"/>
  <c r="V20" i="1"/>
  <c r="U20" i="1"/>
  <c r="V19" i="1"/>
  <c r="U19" i="1"/>
  <c r="V18" i="1"/>
  <c r="U18" i="1"/>
  <c r="V17" i="1"/>
  <c r="U17" i="1"/>
  <c r="V16" i="1"/>
  <c r="U16" i="1"/>
  <c r="V15" i="1"/>
  <c r="U15" i="1"/>
  <c r="V14" i="1"/>
  <c r="U14" i="1"/>
  <c r="V13" i="1"/>
  <c r="U13" i="1"/>
  <c r="V12" i="1"/>
  <c r="U12" i="1"/>
  <c r="V11" i="1"/>
  <c r="U11" i="1"/>
  <c r="V10" i="1"/>
  <c r="U10" i="1"/>
</calcChain>
</file>

<file path=xl/sharedStrings.xml><?xml version="1.0" encoding="utf-8"?>
<sst xmlns="http://schemas.openxmlformats.org/spreadsheetml/2006/main" count="284" uniqueCount="77">
  <si>
    <t>A.1</t>
  </si>
  <si>
    <r>
      <t>MOVIMENTO GLOBAL DO SISTEMA DE LIQUIDAÇÃO POR COMPENSAÇÃO</t>
    </r>
    <r>
      <rPr>
        <b/>
        <vertAlign val="superscript"/>
        <sz val="7.5"/>
        <color theme="2" tint="-0.89999084444715716"/>
        <rFont val="Calibri"/>
        <family val="2"/>
        <scheme val="minor"/>
      </rPr>
      <t>(1)</t>
    </r>
  </si>
  <si>
    <r>
      <t>TRANSACTIONS IN THE CLEARING SYSTEM</t>
    </r>
    <r>
      <rPr>
        <b/>
        <vertAlign val="superscript"/>
        <sz val="7.5"/>
        <color theme="2" tint="-0.89999084444715716"/>
        <rFont val="Calibri"/>
        <family val="2"/>
        <scheme val="minor"/>
      </rPr>
      <t>(1)</t>
    </r>
  </si>
  <si>
    <t>Apresentados por tipo de sistema</t>
  </si>
  <si>
    <t>Submitted by type of system</t>
  </si>
  <si>
    <t>Fonte / Source: Banco de Portugal</t>
  </si>
  <si>
    <t>Quantidade / Volume: 10^3 - Valor / Value: 10^6 euros</t>
  </si>
  <si>
    <t xml:space="preserve"> Sistema de Compensação Interbancária  (SICOI)</t>
  </si>
  <si>
    <t>Cheques</t>
  </si>
  <si>
    <r>
      <t>Débitos diretos SEPA CORE</t>
    </r>
    <r>
      <rPr>
        <b/>
        <vertAlign val="superscript"/>
        <sz val="7.5"/>
        <color theme="1"/>
        <rFont val="Calibri"/>
        <family val="2"/>
        <scheme val="minor"/>
      </rPr>
      <t>(2)</t>
    </r>
  </si>
  <si>
    <r>
      <t>Débitos diretos SEPA B2B</t>
    </r>
    <r>
      <rPr>
        <b/>
        <vertAlign val="superscript"/>
        <sz val="7.5"/>
        <color theme="1"/>
        <rFont val="Calibri"/>
        <family val="2"/>
        <scheme val="minor"/>
      </rPr>
      <t>(3)</t>
    </r>
  </si>
  <si>
    <t>Efeitos comerciais</t>
  </si>
  <si>
    <t>Operações baseadas em cartão</t>
  </si>
  <si>
    <r>
      <t>Transferências a crédito SEPA</t>
    </r>
    <r>
      <rPr>
        <b/>
        <vertAlign val="superscript"/>
        <sz val="7.5"/>
        <color theme="1"/>
        <rFont val="Calibri"/>
        <family val="2"/>
        <scheme val="minor"/>
      </rPr>
      <t>(4)</t>
    </r>
  </si>
  <si>
    <r>
      <t>Transferências a crédito não-SEPA</t>
    </r>
    <r>
      <rPr>
        <b/>
        <vertAlign val="superscript"/>
        <sz val="7.5"/>
        <color theme="1"/>
        <rFont val="Calibri"/>
        <family val="2"/>
        <scheme val="minor"/>
      </rPr>
      <t>(5)</t>
    </r>
  </si>
  <si>
    <t>Transferências imediatas SEPA</t>
  </si>
  <si>
    <t>Quantidade</t>
  </si>
  <si>
    <t>Valor</t>
  </si>
  <si>
    <t>BANCO SANTANDER TOTTA  - Movimentos a Débito</t>
  </si>
  <si>
    <t>BANCO SANTANDER TOTTA  -  Debit transactions</t>
  </si>
  <si>
    <t>2022</t>
  </si>
  <si>
    <t>Jul</t>
  </si>
  <si>
    <t/>
  </si>
  <si>
    <t>Ago</t>
  </si>
  <si>
    <t>Set</t>
  </si>
  <si>
    <t>Out</t>
  </si>
  <si>
    <t>Nov</t>
  </si>
  <si>
    <t>Dez</t>
  </si>
  <si>
    <t>Jan</t>
  </si>
  <si>
    <t>Fev</t>
  </si>
  <si>
    <t>Mar</t>
  </si>
  <si>
    <t>Abr</t>
  </si>
  <si>
    <t>Mai</t>
  </si>
  <si>
    <t>Jun</t>
  </si>
  <si>
    <t>BANCO SANTANDER TOTTA  - Movimentos a Crédito</t>
  </si>
  <si>
    <t>BANCO SANTANDER TOTTA  - Credit transactions</t>
  </si>
  <si>
    <t>Sistema Bancário</t>
  </si>
  <si>
    <t>Banking community</t>
  </si>
  <si>
    <t>Volume</t>
  </si>
  <si>
    <t>Value</t>
  </si>
  <si>
    <r>
      <t>SEPA direct debits CORE</t>
    </r>
    <r>
      <rPr>
        <b/>
        <vertAlign val="superscript"/>
        <sz val="7.5"/>
        <color theme="1"/>
        <rFont val="Calibri"/>
        <family val="2"/>
        <scheme val="minor"/>
      </rPr>
      <t>(2)</t>
    </r>
  </si>
  <si>
    <r>
      <t>SEPA direct debits B2B</t>
    </r>
    <r>
      <rPr>
        <b/>
        <vertAlign val="superscript"/>
        <sz val="7.5"/>
        <color theme="1"/>
        <rFont val="Calibri"/>
        <family val="2"/>
        <scheme val="minor"/>
      </rPr>
      <t>(3)</t>
    </r>
  </si>
  <si>
    <t>Bills of exchange</t>
  </si>
  <si>
    <t>Card-based payment transactions</t>
  </si>
  <si>
    <r>
      <t>SEPA credit transfers</t>
    </r>
    <r>
      <rPr>
        <b/>
        <vertAlign val="superscript"/>
        <sz val="7.5"/>
        <color theme="1"/>
        <rFont val="Calibri"/>
        <family val="2"/>
        <scheme val="minor"/>
      </rPr>
      <t>(4)</t>
    </r>
  </si>
  <si>
    <r>
      <t>Non-SEPA credit transfers</t>
    </r>
    <r>
      <rPr>
        <b/>
        <vertAlign val="superscript"/>
        <sz val="7.5"/>
        <color theme="1"/>
        <rFont val="Calibri"/>
        <family val="2"/>
        <scheme val="minor"/>
      </rPr>
      <t>(5)</t>
    </r>
  </si>
  <si>
    <t>SEPA Instant Credit Transfer</t>
  </si>
  <si>
    <t>Interbank clearing system  (SICOI)</t>
  </si>
  <si>
    <t>Notas:</t>
  </si>
  <si>
    <t>(1)</t>
  </si>
  <si>
    <t>Inclui as operações de pagamento processadas no SICOI (Instrução n.º 8/2018), independentemente do procedimento de liquidação utilizado (“liquidação multilateral simultânea” ou “liquidação bilateral”). / Includes payment transactions processed in SICOI (Instruction no. 8/2018), regardless of the settlement procedure used (“simultaneous multilateral settlement” or “bilateral settlement”).</t>
  </si>
  <si>
    <t>(2)</t>
  </si>
  <si>
    <t>Instruções de débito direto (IDD) processadas através da vertente tradicional do subsistema de débitos diretos (até julho de 2014) e através da vertente SEPA CORE (a partir de novembro de 2010). Na componente CORE, os devedores/credores podem ser particulares e/ou empresas. Inclui as instruções de débito que não foram canceladas pelo banco do credor antes da liquidação financeira. / Direct debit instructions processed through the direct debits legacy scheme subsystem up to July 2014; and  the SEPA direct debit CORE scheme from November 2010 onwards. In the CORE component, debtors/creditors may be households and/or corporations. Takes into consideration collections that were not cancelled by the creditor's bank before settlement.</t>
  </si>
  <si>
    <t>(3)</t>
  </si>
  <si>
    <t>Instruções de débito direto SEPA B2B que não foram canceladas pelo banco do credor antes da liquidação financeira. Na componente B2B os pagadores/devedores não podem ser particulares nem microempresas. / SEPA B2B direct debit instructions that were not cancelled by the creditor's bank before settlement. In the B2B component, payers/debtors cannot be household customers nor micro-enterprises.</t>
  </si>
  <si>
    <t>(4)</t>
  </si>
  <si>
    <t>Transferências processadas através da vertente tradicional do subsistema de transferências a crédito (até julho de 2014) e através da vertente SEPA (a partir de janeiro de 2008). / Credit transfers processed through the credit transfers legacy scheme up to July 2014; and through the SEPA credit transfers scheme from January 2008 onwards.</t>
  </si>
  <si>
    <t>(5)</t>
  </si>
  <si>
    <t>Transferências a crédito que, pelas suas características, se encontram excluídas do âmbito de aplicação do Regulamento (UE) n.º 260/2012 e que, por essa razão, não são processadas nos modelos de pagamento compatíveis com a SEPA. Até julho de 2014, estas operações foram processadas através da vertente tradicional do subsistema de transferências a crédito e, a partir de agosto de 2014, através da vertente não-SEPA. / Credit transfers that due to their technical features are excluded from the scope of Regulation (EU) No 260/2012 and, therefore, are not processed in models compatible with the SEPA scheme. Until July 2014, these transactions were processed through the credit transfers legacy scheme and, from August 2014 through the non-SEPA credit transfers scheme.</t>
  </si>
  <si>
    <t>Percentagem / Percentage</t>
  </si>
  <si>
    <r>
      <t xml:space="preserve">Efeitos comerciais </t>
    </r>
    <r>
      <rPr>
        <b/>
        <vertAlign val="superscript"/>
        <sz val="7.5"/>
        <color theme="1"/>
        <rFont val="Calibri"/>
        <family val="2"/>
        <scheme val="minor"/>
      </rPr>
      <t>(4)</t>
    </r>
  </si>
  <si>
    <r>
      <t>Transferências a crédito SEPA</t>
    </r>
    <r>
      <rPr>
        <b/>
        <vertAlign val="superscript"/>
        <sz val="7.5"/>
        <color theme="1"/>
        <rFont val="Calibri"/>
        <family val="2"/>
        <scheme val="minor"/>
      </rPr>
      <t>(5)</t>
    </r>
  </si>
  <si>
    <r>
      <t>Transferências a crédito não-SEPA</t>
    </r>
    <r>
      <rPr>
        <b/>
        <vertAlign val="superscript"/>
        <sz val="7.5"/>
        <color theme="1"/>
        <rFont val="Calibri"/>
        <family val="2"/>
        <scheme val="minor"/>
      </rPr>
      <t>(6)</t>
    </r>
  </si>
  <si>
    <t>Quotas de Mercado - Movimentos a Débito</t>
  </si>
  <si>
    <t>Market share - Debit transactions</t>
  </si>
  <si>
    <t>Quotas de Mercado - Movimentos a Crédito</t>
  </si>
  <si>
    <t>Market share - Credit transactions</t>
  </si>
  <si>
    <t>Taxas de Variação Homóloga - Movimentos a Débito</t>
  </si>
  <si>
    <t>Year-on-year change rate - Debit transactions</t>
  </si>
  <si>
    <t xml:space="preserve">BANCO SANTANDER TOTTA </t>
  </si>
  <si>
    <t>2023</t>
  </si>
  <si>
    <t>Taxas de Variação Homóloga - Movimentos a Crédito</t>
  </si>
  <si>
    <t>Year-on-year change rate - Credit transactions</t>
  </si>
  <si>
    <t xml:space="preserve">Taxas de Variação Homóloga </t>
  </si>
  <si>
    <t>Year-on-year change rate</t>
  </si>
  <si>
    <r>
      <t>SEPA direct debits - CORE</t>
    </r>
    <r>
      <rPr>
        <b/>
        <vertAlign val="superscript"/>
        <sz val="7.5"/>
        <color theme="1"/>
        <rFont val="Calibri"/>
        <family val="2"/>
        <scheme val="minor"/>
      </rPr>
      <t>(2)</t>
    </r>
  </si>
  <si>
    <r>
      <t>SEPA direct debits - B2B</t>
    </r>
    <r>
      <rPr>
        <b/>
        <vertAlign val="superscript"/>
        <sz val="7.5"/>
        <color theme="1"/>
        <rFont val="Calibri"/>
        <family val="2"/>
        <scheme val="minor"/>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</si>
</sst>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0%"/>
    <numFmt numFmtId="165" formatCode="#,##0.0"/>
    <numFmt numFmtId="166" formatCode="#,##0.0000000"/>
    <numFmt numFmtId="167" formatCode="#,##0.00000"/>
    <numFmt numFmtId="168" formatCode="#,##0.000000"/>
    <numFmt numFmtId="169" formatCode="0.0"/>
    <numFmt numFmtId="170" formatCode="0.000"/>
    <numFmt numFmtId="171" formatCode="#,##0.000"/>
    <numFmt numFmtId="172" formatCode="0.00000"/>
    <numFmt numFmtId="173" formatCode="0.00000000"/>
    <numFmt numFmtId="174" formatCode="0.000000"/>
  </numFmts>
  <fonts count="15" x14ac:knownFonts="1">
    <font>
      <sz val="11"/>
      <color theme="1"/>
      <name val="Calibri"/>
      <family val="2"/>
      <scheme val="minor"/>
    </font>
    <font>
      <sz val="11"/>
      <color theme="1"/>
      <name val="Calibri"/>
      <family val="2"/>
      <scheme val="minor"/>
    </font>
    <font>
      <b/>
      <sz val="7.5"/>
      <color theme="1"/>
      <name val="Calibri"/>
      <family val="2"/>
      <scheme val="minor"/>
    </font>
    <font>
      <b/>
      <sz val="7.5"/>
      <color theme="2" tint="-0.89999084444715716"/>
      <name val="Calibri"/>
      <family val="2"/>
      <scheme val="minor"/>
    </font>
    <font>
      <b/>
      <vertAlign val="superscript"/>
      <sz val="7.5"/>
      <color theme="2" tint="-0.89999084444715716"/>
      <name val="Calibri"/>
      <family val="2"/>
      <scheme val="minor"/>
    </font>
    <font>
      <sz val="7.5"/>
      <color theme="1"/>
      <name val="Calibri"/>
      <family val="2"/>
      <scheme val="minor"/>
    </font>
    <font>
      <sz val="7"/>
      <color theme="1"/>
      <name val="Calibri"/>
      <family val="2"/>
      <scheme val="minor"/>
    </font>
    <font>
      <sz val="7.5"/>
      <color theme="2" tint="-0.89999084444715716"/>
      <name val="Calibri"/>
      <family val="2"/>
      <scheme val="minor"/>
    </font>
    <font>
      <b/>
      <sz val="7"/>
      <name val="Calibri"/>
      <family val="2"/>
      <scheme val="minor"/>
    </font>
    <font>
      <b/>
      <sz val="7"/>
      <color theme="1"/>
      <name val="Calibri"/>
      <family val="2"/>
      <scheme val="minor"/>
    </font>
    <font>
      <sz val="8"/>
      <color theme="1"/>
      <name val="Calibri"/>
      <family val="2"/>
      <scheme val="minor"/>
    </font>
    <font>
      <b/>
      <vertAlign val="superscript"/>
      <sz val="7.5"/>
      <color theme="1"/>
      <name val="Calibri"/>
      <family val="2"/>
      <scheme val="minor"/>
    </font>
    <font>
      <sz val="7"/>
      <name val="Calibri"/>
      <family val="2"/>
      <scheme val="minor"/>
    </font>
    <font>
      <sz val="7"/>
      <color theme="0"/>
      <name val="Calibri"/>
      <family val="2"/>
      <scheme val="minor"/>
    </font>
    <font>
      <sz val="7.5"/>
      <name val="Calibri"/>
      <family val="2"/>
      <scheme val="minor"/>
    </font>
  </fonts>
  <fills count="3">
    <fill>
      <patternFill patternType="none"/>
    </fill>
    <fill>
      <patternFill patternType="gray125"/>
    </fill>
    <fill>
      <patternFill patternType="solid">
        <fgColor theme="2" tint="-9.9978637043366805E-2"/>
        <bgColor indexed="64"/>
      </patternFill>
    </fill>
  </fills>
  <borders count="12">
    <border>
      <left/>
      <right/>
      <top/>
      <bottom/>
      <diagonal/>
    </border>
    <border>
      <left style="thin">
        <color theme="0"/>
      </left>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hair">
        <color theme="2" tint="-0.499984740745262"/>
      </bottom>
      <diagonal/>
    </border>
    <border>
      <left style="thin">
        <color theme="0"/>
      </left>
      <right style="thin">
        <color theme="0"/>
      </right>
      <top/>
      <bottom style="thin">
        <color theme="0"/>
      </bottom>
      <diagonal/>
    </border>
    <border>
      <left style="thin">
        <color theme="0"/>
      </left>
      <right/>
      <top/>
      <bottom/>
      <diagonal/>
    </border>
    <border>
      <left/>
      <right/>
      <top style="hair">
        <color theme="2" tint="-0.499984740745262"/>
      </top>
      <bottom style="hair">
        <color theme="2" tint="-0.499984740745262"/>
      </bottom>
      <diagonal/>
    </border>
  </borders>
  <cellStyleXfs count="2">
    <xf numFmtId="0" fontId="0" fillId="0" borderId="0"/>
    <xf numFmtId="9" fontId="1" fillId="0" borderId="0" applyFont="0" applyFill="0" applyBorder="0" applyAlignment="0" applyProtection="0"/>
  </cellStyleXfs>
  <cellXfs count="89">
    <xf numFmtId="0" fontId="0" fillId="0" borderId="0" xfId="0"/>
    <xf numFmtId="0" fontId="2" fillId="0" borderId="0" xfId="0" applyFont="1" applyAlignment="1">
      <alignment horizontal="center"/>
    </xf>
    <xf numFmtId="0" fontId="3" fillId="0" borderId="0" xfId="0" applyFont="1"/>
    <xf numFmtId="0" fontId="5" fillId="0" borderId="0" xfId="0" applyFont="1"/>
    <xf numFmtId="0" fontId="3" fillId="0" borderId="0" xfId="0" applyFont="1" applyAlignment="1">
      <alignment horizontal="right"/>
    </xf>
    <xf numFmtId="0" fontId="2" fillId="0" borderId="0" xfId="0" applyFont="1"/>
    <xf numFmtId="0" fontId="6" fillId="0" borderId="0" xfId="0" applyFont="1"/>
    <xf numFmtId="0" fontId="7" fillId="0" borderId="0" xfId="0" applyFont="1"/>
    <xf numFmtId="0" fontId="8" fillId="0" borderId="0" xfId="0" applyFont="1"/>
    <xf numFmtId="0" fontId="7" fillId="0" borderId="0" xfId="0" applyFont="1" applyAlignment="1">
      <alignment horizontal="right"/>
    </xf>
    <xf numFmtId="0" fontId="9" fillId="2" borderId="0" xfId="0" applyFont="1" applyFill="1" applyBorder="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3" fontId="10" fillId="0" borderId="0" xfId="0" applyNumberFormat="1" applyFont="1" applyAlignment="1">
      <alignment horizontal="right" vertical="center"/>
    </xf>
    <xf numFmtId="164" fontId="6" fillId="0" borderId="0" xfId="1" applyNumberFormat="1" applyFont="1" applyAlignment="1">
      <alignment horizontal="center" vertical="center"/>
    </xf>
    <xf numFmtId="0" fontId="6" fillId="0" borderId="0" xfId="0" applyFont="1" applyAlignment="1">
      <alignment vertical="center"/>
    </xf>
    <xf numFmtId="0" fontId="9" fillId="2" borderId="0"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6" fillId="0" borderId="0" xfId="1" applyNumberFormat="1" applyFont="1" applyAlignment="1">
      <alignment horizontal="center" vertical="center" wrapText="1"/>
    </xf>
    <xf numFmtId="0" fontId="6" fillId="0" borderId="0" xfId="0" applyFont="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0" borderId="0" xfId="0" applyFont="1" applyAlignment="1">
      <alignment horizontal="right" vertical="center" wrapText="1"/>
    </xf>
    <xf numFmtId="3" fontId="5" fillId="0" borderId="0" xfId="0" applyNumberFormat="1" applyFont="1"/>
    <xf numFmtId="0" fontId="2" fillId="0" borderId="8" xfId="0" applyFont="1" applyBorder="1" applyAlignment="1">
      <alignment horizontal="left" wrapText="1"/>
    </xf>
    <xf numFmtId="0" fontId="2" fillId="0" borderId="8" xfId="0" applyFont="1" applyBorder="1" applyAlignment="1">
      <alignment horizontal="right" wrapText="1"/>
    </xf>
    <xf numFmtId="0" fontId="5" fillId="0" borderId="0" xfId="0" applyFont="1" applyAlignment="1">
      <alignment horizontal="center" wrapText="1"/>
    </xf>
    <xf numFmtId="0" fontId="5" fillId="0" borderId="0" xfId="0" applyFont="1" applyAlignment="1">
      <alignment horizontal="center"/>
    </xf>
    <xf numFmtId="0" fontId="5" fillId="0" borderId="0" xfId="0" applyFont="1" applyAlignment="1">
      <alignment horizontal="right"/>
    </xf>
    <xf numFmtId="0" fontId="5" fillId="0" borderId="0" xfId="0" applyFont="1" applyAlignment="1"/>
    <xf numFmtId="3" fontId="6" fillId="0" borderId="0" xfId="0" applyNumberFormat="1" applyFont="1" applyAlignment="1">
      <alignment horizontal="right"/>
    </xf>
    <xf numFmtId="165" fontId="6" fillId="0" borderId="0" xfId="0" applyNumberFormat="1" applyFont="1" applyAlignment="1">
      <alignment horizontal="right"/>
    </xf>
    <xf numFmtId="3" fontId="12" fillId="0" borderId="0" xfId="0" applyNumberFormat="1" applyFont="1" applyFill="1" applyAlignment="1">
      <alignment horizontal="right"/>
    </xf>
    <xf numFmtId="165" fontId="12" fillId="0" borderId="0" xfId="0" applyNumberFormat="1" applyFont="1" applyFill="1" applyAlignment="1">
      <alignment horizontal="right"/>
    </xf>
    <xf numFmtId="166" fontId="5" fillId="0" borderId="0" xfId="0" applyNumberFormat="1" applyFont="1" applyAlignment="1">
      <alignment horizontal="left"/>
    </xf>
    <xf numFmtId="167" fontId="5" fillId="0" borderId="0" xfId="0" applyNumberFormat="1" applyFont="1"/>
    <xf numFmtId="168" fontId="5" fillId="0" borderId="0" xfId="0" applyNumberFormat="1" applyFont="1"/>
    <xf numFmtId="3" fontId="6" fillId="0" borderId="0" xfId="0" applyNumberFormat="1" applyFont="1" applyFill="1" applyAlignment="1">
      <alignment horizontal="right"/>
    </xf>
    <xf numFmtId="165" fontId="6" fillId="0" borderId="0" xfId="0" applyNumberFormat="1" applyFont="1" applyFill="1" applyAlignment="1">
      <alignment horizontal="right"/>
    </xf>
    <xf numFmtId="165" fontId="5" fillId="0" borderId="0" xfId="0" applyNumberFormat="1" applyFont="1"/>
    <xf numFmtId="3" fontId="6" fillId="0" borderId="0" xfId="0" applyNumberFormat="1" applyFont="1"/>
    <xf numFmtId="3" fontId="6" fillId="0" borderId="0" xfId="0" applyNumberFormat="1" applyFont="1" applyFill="1"/>
    <xf numFmtId="0" fontId="6" fillId="0" borderId="0" xfId="0" applyFont="1" applyFill="1"/>
    <xf numFmtId="169" fontId="5" fillId="0" borderId="0" xfId="0" applyNumberFormat="1" applyFont="1"/>
    <xf numFmtId="170" fontId="5" fillId="0" borderId="0" xfId="0" applyNumberFormat="1" applyFont="1"/>
    <xf numFmtId="3" fontId="5" fillId="0" borderId="0" xfId="0" applyNumberFormat="1" applyFont="1" applyAlignment="1">
      <alignment horizontal="left"/>
    </xf>
    <xf numFmtId="171" fontId="5" fillId="0" borderId="0" xfId="0" applyNumberFormat="1" applyFont="1" applyAlignment="1">
      <alignment horizontal="left"/>
    </xf>
    <xf numFmtId="172" fontId="5" fillId="0" borderId="0" xfId="0" applyNumberFormat="1" applyFont="1"/>
    <xf numFmtId="168" fontId="5" fillId="0" borderId="0" xfId="0" applyNumberFormat="1" applyFont="1" applyAlignment="1">
      <alignment horizontal="left"/>
    </xf>
    <xf numFmtId="173" fontId="5" fillId="0" borderId="0" xfId="0" applyNumberFormat="1" applyFont="1"/>
    <xf numFmtId="3" fontId="13" fillId="0" borderId="0" xfId="0" applyNumberFormat="1" applyFont="1" applyAlignment="1">
      <alignment horizontal="right"/>
    </xf>
    <xf numFmtId="165" fontId="13" fillId="0" borderId="0" xfId="0" applyNumberFormat="1" applyFont="1" applyAlignment="1">
      <alignment horizontal="right"/>
    </xf>
    <xf numFmtId="1" fontId="5" fillId="0" borderId="0" xfId="0" applyNumberFormat="1" applyFont="1"/>
    <xf numFmtId="3" fontId="13" fillId="0" borderId="0" xfId="0" applyNumberFormat="1" applyFont="1"/>
    <xf numFmtId="0" fontId="13" fillId="0" borderId="0" xfId="0" applyFont="1"/>
    <xf numFmtId="1" fontId="6" fillId="0" borderId="0" xfId="0" applyNumberFormat="1" applyFont="1"/>
    <xf numFmtId="169" fontId="6" fillId="0" borderId="0" xfId="0" applyNumberFormat="1" applyFont="1"/>
    <xf numFmtId="174" fontId="5" fillId="0" borderId="0" xfId="0" applyNumberFormat="1" applyFont="1"/>
    <xf numFmtId="0" fontId="5" fillId="0" borderId="0" xfId="0" applyFont="1" applyAlignment="1">
      <alignment horizontal="left"/>
    </xf>
    <xf numFmtId="165" fontId="6" fillId="0" borderId="0" xfId="0" applyNumberFormat="1" applyFont="1"/>
    <xf numFmtId="3" fontId="6" fillId="0" borderId="0" xfId="0" applyNumberFormat="1" applyFont="1" applyAlignment="1">
      <alignment horizontal="right" wrapText="1"/>
    </xf>
    <xf numFmtId="0" fontId="6" fillId="0" borderId="0" xfId="0" applyFont="1" applyAlignment="1">
      <alignment wrapText="1"/>
    </xf>
    <xf numFmtId="3" fontId="6" fillId="0" borderId="0" xfId="0" applyNumberFormat="1" applyFont="1" applyAlignment="1">
      <alignment wrapText="1"/>
    </xf>
    <xf numFmtId="165" fontId="6" fillId="0" borderId="0" xfId="0" applyNumberFormat="1" applyFont="1" applyAlignment="1">
      <alignment wrapText="1"/>
    </xf>
    <xf numFmtId="1" fontId="5" fillId="0" borderId="0" xfId="0" applyNumberFormat="1" applyFont="1" applyAlignment="1">
      <alignment wrapText="1"/>
    </xf>
    <xf numFmtId="169" fontId="5" fillId="0" borderId="0" xfId="0" applyNumberFormat="1" applyFont="1" applyAlignment="1">
      <alignment wrapText="1"/>
    </xf>
    <xf numFmtId="0" fontId="2" fillId="2" borderId="0"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5" fillId="0" borderId="0" xfId="0" applyFont="1" applyAlignment="1">
      <alignment horizontal="center" vertical="center" wrapText="1"/>
    </xf>
    <xf numFmtId="0" fontId="2" fillId="2" borderId="10" xfId="0" applyFont="1" applyFill="1" applyBorder="1" applyAlignment="1">
      <alignment horizontal="center" vertical="center"/>
    </xf>
    <xf numFmtId="0" fontId="2" fillId="2" borderId="0" xfId="0" applyFont="1" applyFill="1" applyBorder="1" applyAlignment="1">
      <alignment horizontal="center" vertical="center"/>
    </xf>
    <xf numFmtId="0" fontId="5" fillId="0" borderId="0" xfId="0" applyFont="1" applyAlignment="1">
      <alignment vertical="center"/>
    </xf>
    <xf numFmtId="0" fontId="2" fillId="0" borderId="0" xfId="0" applyFont="1" applyFill="1" applyBorder="1" applyAlignment="1">
      <alignment horizontal="center" vertical="center"/>
    </xf>
    <xf numFmtId="0" fontId="5" fillId="0" borderId="0" xfId="0" applyFont="1" applyFill="1" applyAlignment="1">
      <alignment vertical="center"/>
    </xf>
    <xf numFmtId="0" fontId="2" fillId="0" borderId="8" xfId="0" applyFont="1" applyBorder="1" applyAlignment="1">
      <alignment wrapText="1"/>
    </xf>
    <xf numFmtId="49" fontId="12" fillId="0" borderId="0" xfId="0" applyNumberFormat="1" applyFont="1" applyFill="1" applyAlignment="1">
      <alignment horizontal="right" vertical="top"/>
    </xf>
    <xf numFmtId="0" fontId="6" fillId="0" borderId="0" xfId="0" applyFont="1" applyBorder="1" applyAlignment="1">
      <alignment horizontal="left" vertical="top" wrapText="1"/>
    </xf>
    <xf numFmtId="49" fontId="14" fillId="0" borderId="0" xfId="0" applyNumberFormat="1" applyFont="1" applyFill="1" applyAlignment="1">
      <alignment horizontal="right" vertical="top"/>
    </xf>
    <xf numFmtId="0" fontId="5" fillId="0" borderId="0" xfId="0" applyFont="1" applyBorder="1" applyAlignment="1">
      <alignment horizontal="left" vertical="top" wrapText="1"/>
    </xf>
    <xf numFmtId="169" fontId="6" fillId="0" borderId="0" xfId="0" applyNumberFormat="1" applyFont="1" applyAlignment="1">
      <alignment horizontal="right"/>
    </xf>
    <xf numFmtId="169" fontId="13" fillId="0" borderId="0" xfId="0" applyNumberFormat="1" applyFont="1" applyAlignment="1">
      <alignment horizontal="right"/>
    </xf>
    <xf numFmtId="0" fontId="2" fillId="0" borderId="0" xfId="0" applyFont="1" applyBorder="1" applyAlignment="1">
      <alignment horizontal="right" wrapText="1"/>
    </xf>
    <xf numFmtId="0" fontId="2" fillId="0" borderId="11" xfId="0" applyFont="1" applyBorder="1" applyAlignment="1">
      <alignment wrapText="1"/>
    </xf>
    <xf numFmtId="0" fontId="2" fillId="0" borderId="11" xfId="0" applyFont="1" applyBorder="1" applyAlignment="1">
      <alignment horizontal="right" wrapText="1"/>
    </xf>
    <xf numFmtId="0" fontId="6" fillId="0" borderId="0" xfId="0" applyFont="1" applyAlignment="1">
      <alignment horizontal="right"/>
    </xf>
    <xf numFmtId="0" fontId="2" fillId="0" borderId="8" xfId="0" applyFont="1" applyBorder="1" applyAlignment="1">
      <alignment wrapText="1"/>
    </xf>
    <xf numFmtId="169" fontId="12" fillId="0" borderId="0" xfId="0" applyNumberFormat="1" applyFont="1" applyAlignment="1">
      <alignment horizontal="righ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48"/>
  <sheetViews>
    <sheetView showGridLines="0" tabSelected="1" topLeftCell="A43" zoomScale="120" zoomScaleNormal="120" workbookViewId="0">
      <selection activeCell="Q64" sqref="Q64:R64"/>
    </sheetView>
  </sheetViews>
  <sheetFormatPr defaultColWidth="9.1171875" defaultRowHeight="9.35" x14ac:dyDescent="0.35"/>
  <cols>
    <col min="1" max="1" width="3.64453125" style="6" customWidth="1"/>
    <col min="2" max="2" width="4" style="6" customWidth="1"/>
    <col min="3" max="9" width="6.52734375" style="6" customWidth="1"/>
    <col min="10" max="10" width="8.87890625" style="6" bestFit="1" customWidth="1"/>
    <col min="11" max="12" width="6.52734375" style="6" customWidth="1"/>
    <col min="13" max="18" width="9.1171875" style="6"/>
    <col min="19" max="19" width="10.3515625" style="6" bestFit="1" customWidth="1"/>
    <col min="20" max="20" width="12.64453125" style="6" bestFit="1" customWidth="1"/>
    <col min="21" max="24" width="9.1171875" style="6"/>
    <col min="25" max="25" width="10.52734375" style="6" bestFit="1" customWidth="1"/>
    <col min="26" max="16384" width="9.1171875" style="6"/>
  </cols>
  <sheetData>
    <row r="1" spans="1:27" s="3" customFormat="1" ht="9.9499999999999993" customHeight="1" x14ac:dyDescent="0.35">
      <c r="A1" s="1" t="s">
        <v>0</v>
      </c>
      <c r="B1" s="1"/>
      <c r="C1" s="2" t="s">
        <v>1</v>
      </c>
      <c r="R1" s="4" t="s">
        <v>2</v>
      </c>
    </row>
    <row r="2" spans="1:27" s="5" customFormat="1" ht="9.9499999999999993" customHeight="1" x14ac:dyDescent="0.35">
      <c r="C2" s="2" t="s">
        <v>3</v>
      </c>
      <c r="R2" s="4" t="s">
        <v>4</v>
      </c>
    </row>
    <row r="3" spans="1:27" ht="9.9499999999999993" customHeight="1" x14ac:dyDescent="0.5">
      <c r="A3"/>
      <c r="B3"/>
      <c r="C3"/>
      <c r="D3"/>
      <c r="E3"/>
      <c r="F3"/>
      <c r="G3"/>
      <c r="H3"/>
      <c r="I3"/>
      <c r="J3"/>
      <c r="K3"/>
      <c r="L3"/>
      <c r="M3"/>
      <c r="N3"/>
      <c r="O3"/>
      <c r="P3"/>
    </row>
    <row r="4" spans="1:27" s="3" customFormat="1" ht="9.9499999999999993" customHeight="1" x14ac:dyDescent="0.35">
      <c r="A4" s="7" t="s">
        <v>5</v>
      </c>
      <c r="C4" s="8"/>
      <c r="R4" s="9" t="s">
        <v>6</v>
      </c>
    </row>
    <row r="5" spans="1:27" s="15" customFormat="1" ht="14.1" customHeight="1" x14ac:dyDescent="0.5">
      <c r="A5" s="10"/>
      <c r="B5" s="10"/>
      <c r="C5" s="11" t="s">
        <v>7</v>
      </c>
      <c r="D5" s="12"/>
      <c r="E5" s="12"/>
      <c r="F5" s="12"/>
      <c r="G5" s="12"/>
      <c r="H5" s="12"/>
      <c r="I5" s="12"/>
      <c r="J5" s="12"/>
      <c r="K5" s="12"/>
      <c r="L5" s="12"/>
      <c r="M5" s="12"/>
      <c r="N5" s="12"/>
      <c r="O5" s="12"/>
      <c r="P5" s="12"/>
      <c r="Q5" s="12"/>
      <c r="R5" s="12"/>
      <c r="S5" s="13"/>
      <c r="T5" s="13"/>
      <c r="U5" s="14"/>
    </row>
    <row r="6" spans="1:27" s="21" customFormat="1" ht="27.95" customHeight="1" x14ac:dyDescent="0.5">
      <c r="A6" s="16"/>
      <c r="B6" s="16"/>
      <c r="C6" s="17" t="s">
        <v>8</v>
      </c>
      <c r="D6" s="18"/>
      <c r="E6" s="17" t="s">
        <v>9</v>
      </c>
      <c r="F6" s="18"/>
      <c r="G6" s="17" t="s">
        <v>10</v>
      </c>
      <c r="H6" s="18"/>
      <c r="I6" s="17" t="s">
        <v>11</v>
      </c>
      <c r="J6" s="19"/>
      <c r="K6" s="17" t="s">
        <v>12</v>
      </c>
      <c r="L6" s="18"/>
      <c r="M6" s="17" t="s">
        <v>13</v>
      </c>
      <c r="N6" s="18"/>
      <c r="O6" s="17" t="s">
        <v>14</v>
      </c>
      <c r="P6" s="18"/>
      <c r="Q6" s="17" t="s">
        <v>15</v>
      </c>
      <c r="R6" s="18"/>
      <c r="S6" s="13"/>
      <c r="T6" s="13"/>
      <c r="U6" s="20"/>
    </row>
    <row r="7" spans="1:27" s="21" customFormat="1" ht="14.1" customHeight="1" x14ac:dyDescent="0.5">
      <c r="A7" s="16"/>
      <c r="B7" s="16"/>
      <c r="C7" s="22" t="s">
        <v>16</v>
      </c>
      <c r="D7" s="22" t="s">
        <v>17</v>
      </c>
      <c r="E7" s="22" t="s">
        <v>16</v>
      </c>
      <c r="F7" s="22" t="s">
        <v>17</v>
      </c>
      <c r="G7" s="22" t="s">
        <v>16</v>
      </c>
      <c r="H7" s="22" t="s">
        <v>17</v>
      </c>
      <c r="I7" s="22" t="s">
        <v>16</v>
      </c>
      <c r="J7" s="23" t="s">
        <v>17</v>
      </c>
      <c r="K7" s="22" t="s">
        <v>16</v>
      </c>
      <c r="L7" s="22" t="s">
        <v>17</v>
      </c>
      <c r="M7" s="22" t="s">
        <v>16</v>
      </c>
      <c r="N7" s="22" t="s">
        <v>17</v>
      </c>
      <c r="O7" s="22" t="s">
        <v>16</v>
      </c>
      <c r="P7" s="22" t="s">
        <v>17</v>
      </c>
      <c r="Q7" s="22" t="s">
        <v>16</v>
      </c>
      <c r="R7" s="22" t="s">
        <v>17</v>
      </c>
      <c r="Y7" s="24"/>
      <c r="Z7" s="24"/>
    </row>
    <row r="8" spans="1:27" s="3" customFormat="1" ht="8.1" customHeight="1" x14ac:dyDescent="0.35">
      <c r="Y8" s="25"/>
      <c r="Z8" s="25"/>
    </row>
    <row r="9" spans="1:27" s="28" customFormat="1" ht="8.1" customHeight="1" x14ac:dyDescent="0.35">
      <c r="A9" s="26" t="s">
        <v>18</v>
      </c>
      <c r="B9" s="26"/>
      <c r="C9" s="26"/>
      <c r="D9" s="26"/>
      <c r="E9" s="26"/>
      <c r="F9" s="26"/>
      <c r="G9" s="26"/>
      <c r="H9" s="26"/>
      <c r="I9" s="27"/>
      <c r="J9" s="27"/>
      <c r="K9" s="27" t="s">
        <v>19</v>
      </c>
      <c r="L9" s="27"/>
      <c r="M9" s="27"/>
      <c r="N9" s="27"/>
      <c r="O9" s="27"/>
      <c r="P9" s="27"/>
      <c r="Q9" s="27"/>
      <c r="R9" s="27"/>
      <c r="T9" s="29"/>
      <c r="U9" s="29"/>
    </row>
    <row r="10" spans="1:27" s="3" customFormat="1" ht="8.1" customHeight="1" x14ac:dyDescent="0.35">
      <c r="A10" s="30">
        <v>2020</v>
      </c>
      <c r="B10" s="31"/>
      <c r="C10" s="32">
        <v>2317.9250000000002</v>
      </c>
      <c r="D10" s="33">
        <v>9603.5053160000007</v>
      </c>
      <c r="E10" s="34">
        <v>16629.128000000001</v>
      </c>
      <c r="F10" s="35">
        <v>1963.6482249999999</v>
      </c>
      <c r="G10" s="34">
        <v>90.972999999999999</v>
      </c>
      <c r="H10" s="35">
        <v>175.916482</v>
      </c>
      <c r="I10" s="32">
        <v>6.9370000000000003</v>
      </c>
      <c r="J10" s="33">
        <v>47.922142000000001</v>
      </c>
      <c r="K10" s="32">
        <v>309265.52799999999</v>
      </c>
      <c r="L10" s="33">
        <v>16074.890213999999</v>
      </c>
      <c r="M10" s="32">
        <v>19323.476999999999</v>
      </c>
      <c r="N10" s="33">
        <v>39666.252550999998</v>
      </c>
      <c r="O10" s="32">
        <v>17.143000000000001</v>
      </c>
      <c r="P10" s="33">
        <v>54.360100000000003</v>
      </c>
      <c r="Q10" s="32">
        <v>1363.981</v>
      </c>
      <c r="R10" s="33">
        <v>1185.085006</v>
      </c>
      <c r="S10" s="36"/>
      <c r="T10" s="36"/>
      <c r="U10" s="37">
        <f>M10-Q10</f>
        <v>17959.495999999999</v>
      </c>
      <c r="V10" s="37">
        <f>N10-R10</f>
        <v>38481.167544999997</v>
      </c>
      <c r="X10" s="38"/>
      <c r="Y10" s="38"/>
      <c r="Z10" s="38"/>
      <c r="AA10" s="38"/>
    </row>
    <row r="11" spans="1:27" s="3" customFormat="1" ht="8.1" customHeight="1" x14ac:dyDescent="0.35">
      <c r="A11" s="30">
        <v>2021</v>
      </c>
      <c r="B11" s="31"/>
      <c r="C11" s="32">
        <v>1871.4839999999999</v>
      </c>
      <c r="D11" s="33">
        <v>9323.4139159999995</v>
      </c>
      <c r="E11" s="34">
        <v>17427.580000000002</v>
      </c>
      <c r="F11" s="35">
        <v>2307.3376669999998</v>
      </c>
      <c r="G11" s="34">
        <v>122.095</v>
      </c>
      <c r="H11" s="35">
        <v>289.34054700000002</v>
      </c>
      <c r="I11" s="32">
        <v>5.6859999999999999</v>
      </c>
      <c r="J11" s="33">
        <v>48.114423000000002</v>
      </c>
      <c r="K11" s="39">
        <v>358615.538</v>
      </c>
      <c r="L11" s="40">
        <v>18093.212256999999</v>
      </c>
      <c r="M11" s="34">
        <v>21953.571</v>
      </c>
      <c r="N11" s="35">
        <v>47780.148918999999</v>
      </c>
      <c r="O11" s="34">
        <v>13.414999999999999</v>
      </c>
      <c r="P11" s="35">
        <v>56.827745</v>
      </c>
      <c r="Q11" s="34">
        <v>1400.288</v>
      </c>
      <c r="R11" s="41">
        <v>1432.482784</v>
      </c>
      <c r="S11" s="36"/>
      <c r="T11" s="36"/>
      <c r="U11" s="37">
        <f t="shared" ref="U11:V64" si="0">M11-Q11</f>
        <v>20553.282999999999</v>
      </c>
      <c r="V11" s="37">
        <f t="shared" si="0"/>
        <v>46347.666134999999</v>
      </c>
    </row>
    <row r="12" spans="1:27" s="3" customFormat="1" ht="8.1" customHeight="1" x14ac:dyDescent="0.35">
      <c r="A12" s="30">
        <v>2022</v>
      </c>
      <c r="B12" s="31"/>
      <c r="C12" s="32">
        <v>1600.7750000000001</v>
      </c>
      <c r="D12" s="33">
        <v>10056.263267</v>
      </c>
      <c r="E12" s="34">
        <v>19050.472000000002</v>
      </c>
      <c r="F12" s="35">
        <v>2758.4964949999999</v>
      </c>
      <c r="G12" s="34">
        <v>173.91900000000001</v>
      </c>
      <c r="H12" s="35">
        <v>360.54220600000002</v>
      </c>
      <c r="I12" s="32">
        <v>3.9039999999999999</v>
      </c>
      <c r="J12" s="33">
        <v>53.474732000000003</v>
      </c>
      <c r="K12" s="39">
        <v>436280.80099999998</v>
      </c>
      <c r="L12" s="40">
        <v>21241.621174</v>
      </c>
      <c r="M12" s="34">
        <v>23410.933000000001</v>
      </c>
      <c r="N12" s="35">
        <v>54700.816786000003</v>
      </c>
      <c r="O12" s="34">
        <v>14.377000000000001</v>
      </c>
      <c r="P12" s="34">
        <v>54.773449999999997</v>
      </c>
      <c r="Q12" s="34">
        <v>1756.268</v>
      </c>
      <c r="R12" s="41">
        <v>2163.3739609999998</v>
      </c>
      <c r="S12" s="36"/>
      <c r="T12" s="36"/>
      <c r="U12" s="37">
        <f t="shared" si="0"/>
        <v>21654.665000000001</v>
      </c>
      <c r="V12" s="37">
        <f t="shared" si="0"/>
        <v>52537.442825000006</v>
      </c>
      <c r="Z12" s="30"/>
      <c r="AA12" s="30"/>
    </row>
    <row r="13" spans="1:27" s="3" customFormat="1" ht="3" customHeight="1" x14ac:dyDescent="0.35">
      <c r="A13" s="30"/>
      <c r="C13" s="6"/>
      <c r="D13" s="6"/>
      <c r="E13" s="42"/>
      <c r="F13" s="6"/>
      <c r="G13" s="42"/>
      <c r="H13" s="6"/>
      <c r="I13" s="42"/>
      <c r="J13" s="6"/>
      <c r="K13" s="43"/>
      <c r="L13" s="44"/>
      <c r="M13" s="34"/>
      <c r="N13" s="35"/>
      <c r="O13" s="34"/>
      <c r="P13" s="34"/>
      <c r="Q13" s="34"/>
      <c r="R13" s="41"/>
      <c r="S13" s="36"/>
      <c r="T13" s="36"/>
      <c r="U13" s="37">
        <f t="shared" si="0"/>
        <v>0</v>
      </c>
      <c r="V13" s="37">
        <f t="shared" si="0"/>
        <v>0</v>
      </c>
    </row>
    <row r="14" spans="1:27" s="3" customFormat="1" ht="8.1" customHeight="1" x14ac:dyDescent="0.35">
      <c r="A14" s="30" t="s">
        <v>20</v>
      </c>
      <c r="B14" s="3" t="s">
        <v>21</v>
      </c>
      <c r="C14" s="32">
        <v>133.52699999999999</v>
      </c>
      <c r="D14" s="33">
        <v>871.44009200000005</v>
      </c>
      <c r="E14" s="34">
        <v>1578.558</v>
      </c>
      <c r="F14" s="35">
        <v>230.13029499999999</v>
      </c>
      <c r="G14" s="34">
        <v>14.599</v>
      </c>
      <c r="H14" s="35">
        <v>28.962119999999999</v>
      </c>
      <c r="I14" s="32">
        <v>0.30099999999999999</v>
      </c>
      <c r="J14" s="33">
        <v>4.585375</v>
      </c>
      <c r="K14" s="39">
        <v>39022.508999999998</v>
      </c>
      <c r="L14" s="40">
        <v>1910.184397</v>
      </c>
      <c r="M14" s="34">
        <v>1985.2719999999999</v>
      </c>
      <c r="N14" s="35">
        <v>4851.7020140000004</v>
      </c>
      <c r="O14" s="34">
        <v>1.216</v>
      </c>
      <c r="P14" s="34">
        <v>5.6352919999999997</v>
      </c>
      <c r="Q14" s="34">
        <v>136.85900000000001</v>
      </c>
      <c r="R14" s="41">
        <v>170.690865</v>
      </c>
      <c r="S14" s="36"/>
      <c r="T14" s="36"/>
      <c r="U14" s="37">
        <f t="shared" si="0"/>
        <v>1848.413</v>
      </c>
      <c r="V14" s="37">
        <f t="shared" si="0"/>
        <v>4681.0111490000008</v>
      </c>
      <c r="W14" s="45"/>
      <c r="X14" s="46"/>
      <c r="Y14" s="25"/>
      <c r="Z14" s="45"/>
      <c r="AA14" s="45"/>
    </row>
    <row r="15" spans="1:27" s="3" customFormat="1" ht="8.1" customHeight="1" x14ac:dyDescent="0.35">
      <c r="A15" s="30" t="s">
        <v>22</v>
      </c>
      <c r="B15" s="3" t="s">
        <v>23</v>
      </c>
      <c r="C15" s="32">
        <v>133.87799999999999</v>
      </c>
      <c r="D15" s="33">
        <v>861.15191400000003</v>
      </c>
      <c r="E15" s="34">
        <v>1632.0429999999999</v>
      </c>
      <c r="F15" s="35">
        <v>221.28973300000001</v>
      </c>
      <c r="G15" s="34">
        <v>15.662000000000001</v>
      </c>
      <c r="H15" s="35">
        <v>34.915976999999998</v>
      </c>
      <c r="I15" s="32">
        <v>0.30499999999999999</v>
      </c>
      <c r="J15" s="33">
        <v>5.4081099999999998</v>
      </c>
      <c r="K15" s="39">
        <v>37570.796999999999</v>
      </c>
      <c r="L15" s="40">
        <v>1935.011933</v>
      </c>
      <c r="M15" s="34">
        <v>1933.6420000000001</v>
      </c>
      <c r="N15" s="35">
        <v>4561.9513209999996</v>
      </c>
      <c r="O15" s="34">
        <v>1.2330000000000001</v>
      </c>
      <c r="P15" s="34">
        <v>3.8684270000000001</v>
      </c>
      <c r="Q15" s="34">
        <v>147.458</v>
      </c>
      <c r="R15" s="41">
        <v>184.902615</v>
      </c>
      <c r="S15" s="36"/>
      <c r="T15" s="36"/>
      <c r="U15" s="37">
        <f t="shared" si="0"/>
        <v>1786.184</v>
      </c>
      <c r="V15" s="37">
        <f t="shared" si="0"/>
        <v>4377.0487059999996</v>
      </c>
      <c r="Y15" s="25"/>
      <c r="Z15" s="45"/>
      <c r="AA15" s="45"/>
    </row>
    <row r="16" spans="1:27" s="3" customFormat="1" ht="8.1" customHeight="1" x14ac:dyDescent="0.35">
      <c r="A16" s="30" t="s">
        <v>22</v>
      </c>
      <c r="B16" s="3" t="s">
        <v>24</v>
      </c>
      <c r="C16" s="32">
        <v>124.622</v>
      </c>
      <c r="D16" s="33">
        <v>787.95461499999999</v>
      </c>
      <c r="E16" s="34">
        <v>1589.451</v>
      </c>
      <c r="F16" s="35">
        <v>260.61336599999998</v>
      </c>
      <c r="G16" s="34">
        <v>17.806999999999999</v>
      </c>
      <c r="H16" s="35">
        <v>35.736975999999999</v>
      </c>
      <c r="I16" s="32">
        <v>0.27</v>
      </c>
      <c r="J16" s="33">
        <v>4.196383</v>
      </c>
      <c r="K16" s="39">
        <v>37392.214</v>
      </c>
      <c r="L16" s="40">
        <v>1781.6301080000001</v>
      </c>
      <c r="M16" s="34">
        <v>1928.4449999999999</v>
      </c>
      <c r="N16" s="35">
        <v>4675.3695790000002</v>
      </c>
      <c r="O16" s="34">
        <v>1.101</v>
      </c>
      <c r="P16" s="34">
        <v>4.5077850000000002</v>
      </c>
      <c r="Q16" s="34">
        <v>155.16499999999999</v>
      </c>
      <c r="R16" s="41">
        <v>196.199669</v>
      </c>
      <c r="S16" s="47"/>
      <c r="T16" s="48"/>
      <c r="U16" s="37">
        <f t="shared" si="0"/>
        <v>1773.28</v>
      </c>
      <c r="V16" s="37">
        <f t="shared" si="0"/>
        <v>4479.1699100000005</v>
      </c>
      <c r="W16" s="49"/>
      <c r="X16" s="49"/>
      <c r="Y16" s="49"/>
      <c r="Z16" s="38"/>
      <c r="AA16" s="38"/>
    </row>
    <row r="17" spans="1:27" s="3" customFormat="1" ht="8.1" customHeight="1" x14ac:dyDescent="0.35">
      <c r="A17" s="30" t="s">
        <v>22</v>
      </c>
      <c r="B17" s="3" t="s">
        <v>25</v>
      </c>
      <c r="C17" s="32">
        <v>124.80800000000001</v>
      </c>
      <c r="D17" s="33">
        <v>1005.382641</v>
      </c>
      <c r="E17" s="34">
        <v>1612.4939999999999</v>
      </c>
      <c r="F17" s="35">
        <v>239.14386999999999</v>
      </c>
      <c r="G17" s="34">
        <v>15.612</v>
      </c>
      <c r="H17" s="35">
        <v>29.997593999999999</v>
      </c>
      <c r="I17" s="32">
        <v>0.30399999999999999</v>
      </c>
      <c r="J17" s="33">
        <v>4.3748370000000003</v>
      </c>
      <c r="K17" s="39">
        <v>38307.807000000001</v>
      </c>
      <c r="L17" s="40">
        <v>1816.102762</v>
      </c>
      <c r="M17" s="34">
        <v>1981.7629999999999</v>
      </c>
      <c r="N17" s="35">
        <v>4602.5196040000001</v>
      </c>
      <c r="O17" s="34">
        <v>1.1020000000000001</v>
      </c>
      <c r="P17" s="34">
        <v>4.2754770000000004</v>
      </c>
      <c r="Q17" s="34">
        <v>160.73699999999999</v>
      </c>
      <c r="R17" s="41">
        <v>201.95930000000001</v>
      </c>
      <c r="S17" s="36"/>
      <c r="T17" s="36"/>
      <c r="U17" s="37">
        <f t="shared" si="0"/>
        <v>1821.0259999999998</v>
      </c>
      <c r="V17" s="37">
        <f t="shared" si="0"/>
        <v>4400.5603039999996</v>
      </c>
      <c r="W17" s="49"/>
      <c r="X17" s="49"/>
      <c r="Y17" s="49"/>
      <c r="Z17" s="38"/>
      <c r="AA17" s="38"/>
    </row>
    <row r="18" spans="1:27" s="3" customFormat="1" ht="8.1" customHeight="1" x14ac:dyDescent="0.35">
      <c r="A18" s="30" t="s">
        <v>22</v>
      </c>
      <c r="B18" s="3" t="s">
        <v>26</v>
      </c>
      <c r="C18" s="32">
        <v>127.279</v>
      </c>
      <c r="D18" s="33">
        <v>825.62433799999997</v>
      </c>
      <c r="E18" s="34">
        <v>1644.4870000000001</v>
      </c>
      <c r="F18" s="35">
        <v>245.85305600000001</v>
      </c>
      <c r="G18" s="34">
        <v>16.093</v>
      </c>
      <c r="H18" s="35">
        <v>32.622625999999997</v>
      </c>
      <c r="I18" s="32">
        <v>0.28299999999999997</v>
      </c>
      <c r="J18" s="33">
        <v>4.4343279999999998</v>
      </c>
      <c r="K18" s="39">
        <v>38388.008000000002</v>
      </c>
      <c r="L18" s="40">
        <v>1889.2864709999999</v>
      </c>
      <c r="M18" s="34">
        <v>2040.787</v>
      </c>
      <c r="N18" s="35">
        <v>5057.8498630000004</v>
      </c>
      <c r="O18" s="34">
        <v>1.2989999999999999</v>
      </c>
      <c r="P18" s="34">
        <v>4.5357849999999997</v>
      </c>
      <c r="Q18" s="34">
        <v>161.28299999999999</v>
      </c>
      <c r="R18" s="41">
        <v>202.52033299999999</v>
      </c>
      <c r="S18" s="36"/>
      <c r="T18" s="36"/>
      <c r="U18" s="37">
        <f t="shared" si="0"/>
        <v>1879.5040000000001</v>
      </c>
      <c r="V18" s="37">
        <f t="shared" si="0"/>
        <v>4855.32953</v>
      </c>
      <c r="W18" s="49"/>
      <c r="X18" s="49"/>
      <c r="Y18" s="49"/>
      <c r="Z18" s="38"/>
      <c r="AA18" s="38"/>
    </row>
    <row r="19" spans="1:27" s="3" customFormat="1" ht="8.1" customHeight="1" x14ac:dyDescent="0.35">
      <c r="A19" s="30" t="s">
        <v>22</v>
      </c>
      <c r="B19" s="3" t="s">
        <v>27</v>
      </c>
      <c r="C19" s="32">
        <v>129.60599999999999</v>
      </c>
      <c r="D19" s="33">
        <v>919.23423300000002</v>
      </c>
      <c r="E19" s="34">
        <v>1687.4860000000001</v>
      </c>
      <c r="F19" s="35">
        <v>253.53712999999999</v>
      </c>
      <c r="G19" s="34">
        <v>16.448</v>
      </c>
      <c r="H19" s="35">
        <v>35.589990999999998</v>
      </c>
      <c r="I19" s="32">
        <v>0.24299999999999999</v>
      </c>
      <c r="J19" s="33">
        <v>3.0720260000000001</v>
      </c>
      <c r="K19" s="39">
        <v>43052.25</v>
      </c>
      <c r="L19" s="40">
        <v>2137.1667889999999</v>
      </c>
      <c r="M19" s="34">
        <v>2204.107</v>
      </c>
      <c r="N19" s="35">
        <v>5532.1381229999997</v>
      </c>
      <c r="O19" s="34">
        <v>1.522</v>
      </c>
      <c r="P19" s="34">
        <v>5.6989609999999997</v>
      </c>
      <c r="Q19" s="34">
        <v>178.27199999999999</v>
      </c>
      <c r="R19" s="41">
        <v>222.54805099999999</v>
      </c>
      <c r="S19" s="36"/>
      <c r="T19" s="36"/>
      <c r="U19" s="37">
        <f t="shared" si="0"/>
        <v>2025.835</v>
      </c>
      <c r="V19" s="37">
        <f t="shared" si="0"/>
        <v>5309.590072</v>
      </c>
      <c r="X19" s="49"/>
      <c r="Y19" s="49"/>
      <c r="Z19" s="38"/>
      <c r="AA19" s="38"/>
    </row>
    <row r="20" spans="1:27" s="3" customFormat="1" ht="8.1" customHeight="1" x14ac:dyDescent="0.35">
      <c r="A20" s="30">
        <v>2023</v>
      </c>
      <c r="B20" s="3" t="s">
        <v>28</v>
      </c>
      <c r="C20" s="32">
        <v>124.705</v>
      </c>
      <c r="D20" s="33">
        <v>804.35030800000004</v>
      </c>
      <c r="E20" s="34">
        <v>1728.481</v>
      </c>
      <c r="F20" s="35">
        <v>249.50949800000001</v>
      </c>
      <c r="G20" s="34">
        <v>15.172000000000001</v>
      </c>
      <c r="H20" s="35">
        <v>29.758675</v>
      </c>
      <c r="I20" s="32">
        <v>0.26</v>
      </c>
      <c r="J20" s="33">
        <v>4.2840809999999996</v>
      </c>
      <c r="K20" s="39">
        <v>37076.815999999999</v>
      </c>
      <c r="L20" s="40">
        <v>1837.6213869999999</v>
      </c>
      <c r="M20" s="34">
        <v>1978.3430000000001</v>
      </c>
      <c r="N20" s="35">
        <v>4660.4998340000002</v>
      </c>
      <c r="O20" s="34">
        <v>1.0189999999999999</v>
      </c>
      <c r="P20" s="34">
        <v>3.6296379999999999</v>
      </c>
      <c r="Q20" s="34">
        <v>161.61600000000001</v>
      </c>
      <c r="R20" s="41">
        <v>199.691429</v>
      </c>
      <c r="S20" s="36"/>
      <c r="T20" s="36"/>
      <c r="U20" s="37">
        <f t="shared" si="0"/>
        <v>1816.7270000000001</v>
      </c>
      <c r="V20" s="37">
        <f t="shared" si="0"/>
        <v>4460.8084049999998</v>
      </c>
      <c r="X20" s="49"/>
      <c r="Y20" s="49"/>
      <c r="Z20" s="38"/>
      <c r="AA20" s="38"/>
    </row>
    <row r="21" spans="1:27" s="3" customFormat="1" ht="8.1" customHeight="1" x14ac:dyDescent="0.35">
      <c r="A21" s="30" t="s">
        <v>22</v>
      </c>
      <c r="B21" s="3" t="s">
        <v>29</v>
      </c>
      <c r="C21" s="32">
        <v>106.105</v>
      </c>
      <c r="D21" s="33">
        <v>722.82382299999995</v>
      </c>
      <c r="E21" s="34">
        <v>1658.3779999999999</v>
      </c>
      <c r="F21" s="35">
        <v>226.72066599999999</v>
      </c>
      <c r="G21" s="34">
        <v>14.175000000000001</v>
      </c>
      <c r="H21" s="35">
        <v>27.817546</v>
      </c>
      <c r="I21" s="32">
        <v>0.26200000000000001</v>
      </c>
      <c r="J21" s="33">
        <v>3.337628</v>
      </c>
      <c r="K21" s="39">
        <v>36468.972999999998</v>
      </c>
      <c r="L21" s="40">
        <v>1756.0210279999999</v>
      </c>
      <c r="M21" s="34">
        <v>1892.441</v>
      </c>
      <c r="N21" s="35">
        <v>4521.75983</v>
      </c>
      <c r="O21" s="34">
        <v>0</v>
      </c>
      <c r="P21" s="34">
        <v>0</v>
      </c>
      <c r="Q21" s="34">
        <v>154.31</v>
      </c>
      <c r="R21" s="41">
        <v>197.164006</v>
      </c>
      <c r="S21" s="36"/>
      <c r="T21" s="36"/>
      <c r="U21" s="37">
        <f t="shared" si="0"/>
        <v>1738.1310000000001</v>
      </c>
      <c r="V21" s="37">
        <f t="shared" si="0"/>
        <v>4324.595824</v>
      </c>
      <c r="W21" s="49"/>
      <c r="X21" s="49"/>
      <c r="Y21" s="49"/>
      <c r="Z21" s="38"/>
      <c r="AA21" s="38"/>
    </row>
    <row r="22" spans="1:27" s="3" customFormat="1" ht="8.1" customHeight="1" x14ac:dyDescent="0.35">
      <c r="A22" s="30" t="s">
        <v>22</v>
      </c>
      <c r="B22" s="3" t="s">
        <v>30</v>
      </c>
      <c r="C22" s="32">
        <v>124.142</v>
      </c>
      <c r="D22" s="33">
        <v>827.26674300000002</v>
      </c>
      <c r="E22" s="34">
        <v>1772.8140000000001</v>
      </c>
      <c r="F22" s="35">
        <v>251.307208</v>
      </c>
      <c r="G22" s="34">
        <v>17.385999999999999</v>
      </c>
      <c r="H22" s="35">
        <v>35.760592000000003</v>
      </c>
      <c r="I22" s="32">
        <v>0.251</v>
      </c>
      <c r="J22" s="33">
        <v>3.1243650000000001</v>
      </c>
      <c r="K22" s="39">
        <v>41010.254999999997</v>
      </c>
      <c r="L22" s="40">
        <v>2044.375207</v>
      </c>
      <c r="M22" s="34">
        <v>2205.7840000000001</v>
      </c>
      <c r="N22" s="35">
        <v>5201.432374</v>
      </c>
      <c r="O22" s="34">
        <v>0</v>
      </c>
      <c r="P22" s="34">
        <v>0</v>
      </c>
      <c r="Q22" s="34">
        <v>176.30799999999999</v>
      </c>
      <c r="R22" s="41">
        <v>227.94119800000001</v>
      </c>
      <c r="S22" s="36"/>
      <c r="T22" s="36"/>
      <c r="U22" s="37">
        <f t="shared" si="0"/>
        <v>2029.4760000000001</v>
      </c>
      <c r="V22" s="37">
        <f t="shared" si="0"/>
        <v>4973.4911759999995</v>
      </c>
      <c r="W22" s="49"/>
      <c r="X22" s="49"/>
      <c r="Y22" s="49"/>
      <c r="Z22" s="38"/>
      <c r="AA22" s="38"/>
    </row>
    <row r="23" spans="1:27" s="3" customFormat="1" ht="8.1" customHeight="1" x14ac:dyDescent="0.35">
      <c r="A23" s="30" t="s">
        <v>22</v>
      </c>
      <c r="B23" s="3" t="s">
        <v>31</v>
      </c>
      <c r="C23" s="32">
        <v>101.401</v>
      </c>
      <c r="D23" s="33">
        <v>646.15030999999999</v>
      </c>
      <c r="E23" s="34">
        <v>1610.9690000000001</v>
      </c>
      <c r="F23" s="35">
        <v>220.08731499999999</v>
      </c>
      <c r="G23" s="34">
        <v>13.243</v>
      </c>
      <c r="H23" s="35">
        <v>26.339158000000001</v>
      </c>
      <c r="I23" s="32">
        <v>0.215</v>
      </c>
      <c r="J23" s="33">
        <v>3.1835879999999999</v>
      </c>
      <c r="K23" s="39">
        <v>40157.199999999997</v>
      </c>
      <c r="L23" s="40">
        <v>1875.899467</v>
      </c>
      <c r="M23" s="34">
        <v>1916.9649999999999</v>
      </c>
      <c r="N23" s="35">
        <v>4323.9093679999996</v>
      </c>
      <c r="O23" s="34">
        <v>0</v>
      </c>
      <c r="P23" s="34">
        <v>0</v>
      </c>
      <c r="Q23" s="34">
        <v>174.001</v>
      </c>
      <c r="R23" s="41">
        <v>209.70861400000001</v>
      </c>
      <c r="S23" s="36"/>
      <c r="T23" s="36"/>
      <c r="U23" s="37">
        <f t="shared" si="0"/>
        <v>1742.9639999999999</v>
      </c>
      <c r="V23" s="37">
        <f t="shared" si="0"/>
        <v>4114.2007539999995</v>
      </c>
      <c r="W23" s="49"/>
      <c r="X23" s="49"/>
      <c r="Y23" s="49"/>
      <c r="Z23" s="38"/>
      <c r="AA23" s="38"/>
    </row>
    <row r="24" spans="1:27" s="3" customFormat="1" ht="8.1" customHeight="1" x14ac:dyDescent="0.35">
      <c r="A24" s="30" t="s">
        <v>22</v>
      </c>
      <c r="B24" s="3" t="s">
        <v>32</v>
      </c>
      <c r="C24" s="32">
        <v>125.092</v>
      </c>
      <c r="D24" s="33">
        <v>786.67258300000003</v>
      </c>
      <c r="E24" s="34">
        <v>1852.2070000000001</v>
      </c>
      <c r="F24" s="35">
        <v>257.15627599999999</v>
      </c>
      <c r="G24" s="34">
        <v>17.352</v>
      </c>
      <c r="H24" s="35">
        <v>35.658307999999998</v>
      </c>
      <c r="I24" s="32">
        <v>0.27</v>
      </c>
      <c r="J24" s="33">
        <v>4.689832</v>
      </c>
      <c r="K24" s="39">
        <v>42654.866999999998</v>
      </c>
      <c r="L24" s="40">
        <v>2086.6795520000001</v>
      </c>
      <c r="M24" s="34">
        <v>2207.7220000000002</v>
      </c>
      <c r="N24" s="35">
        <v>5139.8085190000002</v>
      </c>
      <c r="O24" s="34">
        <v>0</v>
      </c>
      <c r="P24" s="34">
        <v>0</v>
      </c>
      <c r="Q24" s="34">
        <v>186.43799999999999</v>
      </c>
      <c r="R24" s="41">
        <v>239.305182</v>
      </c>
      <c r="S24" s="36"/>
      <c r="T24" s="36"/>
      <c r="U24" s="37">
        <f t="shared" si="0"/>
        <v>2021.2840000000001</v>
      </c>
      <c r="V24" s="37">
        <f t="shared" si="0"/>
        <v>4900.5033370000001</v>
      </c>
      <c r="W24" s="49"/>
      <c r="X24" s="49"/>
      <c r="Y24" s="49"/>
      <c r="Z24" s="38"/>
      <c r="AA24" s="38"/>
    </row>
    <row r="25" spans="1:27" s="3" customFormat="1" ht="8.1" customHeight="1" x14ac:dyDescent="0.35">
      <c r="A25" s="30" t="s">
        <v>22</v>
      </c>
      <c r="B25" s="3" t="s">
        <v>33</v>
      </c>
      <c r="C25" s="32">
        <v>109.849</v>
      </c>
      <c r="D25" s="33">
        <v>695.72578299999998</v>
      </c>
      <c r="E25" s="34">
        <v>1751.6420000000001</v>
      </c>
      <c r="F25" s="35">
        <v>241.240962</v>
      </c>
      <c r="G25" s="34">
        <v>17.344999999999999</v>
      </c>
      <c r="H25" s="35">
        <v>34.358355000000003</v>
      </c>
      <c r="I25" s="32">
        <v>0.28399999999999997</v>
      </c>
      <c r="J25" s="33">
        <v>4.6363399999999997</v>
      </c>
      <c r="K25" s="39">
        <v>42125.987000000001</v>
      </c>
      <c r="L25" s="40">
        <v>1931.182577</v>
      </c>
      <c r="M25" s="34">
        <v>2130.3000000000002</v>
      </c>
      <c r="N25" s="35">
        <v>5298.2440900000001</v>
      </c>
      <c r="O25" s="34">
        <v>0</v>
      </c>
      <c r="P25" s="34">
        <v>0</v>
      </c>
      <c r="Q25" s="34">
        <v>181.73400000000001</v>
      </c>
      <c r="R25" s="41">
        <v>239.464798</v>
      </c>
      <c r="S25" s="36"/>
      <c r="T25" s="36"/>
      <c r="U25" s="37">
        <f t="shared" si="0"/>
        <v>1948.5660000000003</v>
      </c>
      <c r="V25" s="37">
        <f t="shared" si="0"/>
        <v>5058.7792920000002</v>
      </c>
      <c r="W25" s="49"/>
      <c r="X25" s="49"/>
      <c r="Y25" s="49"/>
      <c r="Z25" s="38"/>
      <c r="AA25" s="38"/>
    </row>
    <row r="26" spans="1:27" s="3" customFormat="1" ht="8.1" customHeight="1" x14ac:dyDescent="0.35">
      <c r="A26" s="30" t="s">
        <v>22</v>
      </c>
      <c r="B26" s="3" t="s">
        <v>21</v>
      </c>
      <c r="C26" s="32">
        <v>112.01300000000001</v>
      </c>
      <c r="D26" s="33">
        <v>740.67452700000001</v>
      </c>
      <c r="E26" s="34">
        <v>1762.9290000000001</v>
      </c>
      <c r="F26" s="35">
        <v>251.930947</v>
      </c>
      <c r="G26" s="34">
        <v>15.395</v>
      </c>
      <c r="H26" s="35">
        <v>33.329957</v>
      </c>
      <c r="I26" s="32">
        <v>0.24099999999999999</v>
      </c>
      <c r="J26" s="33">
        <v>3.7426089999999999</v>
      </c>
      <c r="K26" s="39">
        <v>44054.226000000002</v>
      </c>
      <c r="L26" s="40">
        <v>2077.8174479999998</v>
      </c>
      <c r="M26" s="34">
        <v>2097.0279999999998</v>
      </c>
      <c r="N26" s="35">
        <v>5209.3048790000003</v>
      </c>
      <c r="O26" s="34">
        <v>0</v>
      </c>
      <c r="P26" s="34">
        <v>0</v>
      </c>
      <c r="Q26" s="34">
        <v>185.25200000000001</v>
      </c>
      <c r="R26" s="41">
        <v>244.229693</v>
      </c>
      <c r="S26" s="36"/>
      <c r="T26" s="50"/>
      <c r="U26" s="37">
        <f t="shared" si="0"/>
        <v>1911.7759999999998</v>
      </c>
      <c r="V26" s="37">
        <f t="shared" si="0"/>
        <v>4965.075186</v>
      </c>
      <c r="W26" s="49"/>
      <c r="X26" s="49"/>
      <c r="Y26" s="49"/>
      <c r="Z26" s="38"/>
      <c r="AA26" s="38"/>
    </row>
    <row r="27" spans="1:27" s="3" customFormat="1" ht="8.1" customHeight="1" x14ac:dyDescent="0.35">
      <c r="U27" s="37">
        <f t="shared" si="0"/>
        <v>0</v>
      </c>
      <c r="V27" s="37">
        <f t="shared" si="0"/>
        <v>0</v>
      </c>
      <c r="W27" s="51"/>
      <c r="X27" s="51"/>
    </row>
    <row r="28" spans="1:27" s="3" customFormat="1" ht="8.1" customHeight="1" x14ac:dyDescent="0.35">
      <c r="A28" s="26" t="s">
        <v>34</v>
      </c>
      <c r="B28" s="26"/>
      <c r="C28" s="26"/>
      <c r="D28" s="26"/>
      <c r="E28" s="26"/>
      <c r="F28" s="26"/>
      <c r="G28" s="26"/>
      <c r="H28" s="26"/>
      <c r="I28" s="27"/>
      <c r="J28" s="27"/>
      <c r="K28" s="27" t="s">
        <v>35</v>
      </c>
      <c r="L28" s="27"/>
      <c r="M28" s="27"/>
      <c r="N28" s="27"/>
      <c r="O28" s="27"/>
      <c r="P28" s="27"/>
      <c r="Q28" s="27"/>
      <c r="R28" s="27"/>
      <c r="T28" s="37"/>
      <c r="U28" s="37">
        <f t="shared" si="0"/>
        <v>0</v>
      </c>
      <c r="V28" s="37">
        <f t="shared" si="0"/>
        <v>0</v>
      </c>
      <c r="W28" s="49"/>
      <c r="X28" s="51"/>
    </row>
    <row r="29" spans="1:27" s="3" customFormat="1" ht="8.1" customHeight="1" x14ac:dyDescent="0.35">
      <c r="A29" s="30">
        <v>2020</v>
      </c>
      <c r="B29" s="31"/>
      <c r="C29" s="32">
        <v>2751.7489999999998</v>
      </c>
      <c r="D29" s="33">
        <v>9685.9607390000001</v>
      </c>
      <c r="E29" s="34">
        <v>51874.457000000002</v>
      </c>
      <c r="F29" s="35">
        <v>6107.6186159999997</v>
      </c>
      <c r="G29" s="34">
        <v>73.17</v>
      </c>
      <c r="H29" s="35">
        <v>497.55949099999998</v>
      </c>
      <c r="I29" s="32">
        <v>13.579000000000001</v>
      </c>
      <c r="J29" s="33">
        <v>92.088296999999997</v>
      </c>
      <c r="K29" s="52">
        <v>0</v>
      </c>
      <c r="L29" s="53">
        <v>0</v>
      </c>
      <c r="M29" s="34">
        <v>23741.144</v>
      </c>
      <c r="N29" s="35">
        <v>44116.069048999998</v>
      </c>
      <c r="O29" s="34">
        <v>35.109000000000002</v>
      </c>
      <c r="P29" s="35">
        <v>145.73744300000001</v>
      </c>
      <c r="Q29" s="54">
        <v>747.12900000000002</v>
      </c>
      <c r="R29" s="45">
        <v>878.638867</v>
      </c>
      <c r="S29" s="25">
        <f>E29+G29</f>
        <v>51947.627</v>
      </c>
      <c r="T29" s="25">
        <f>F29+H29</f>
        <v>6605.1781069999997</v>
      </c>
      <c r="U29" s="37">
        <f t="shared" si="0"/>
        <v>22994.014999999999</v>
      </c>
      <c r="V29" s="37">
        <f t="shared" si="0"/>
        <v>43237.430181999996</v>
      </c>
      <c r="W29" s="49"/>
    </row>
    <row r="30" spans="1:27" s="3" customFormat="1" ht="8.1" customHeight="1" x14ac:dyDescent="0.35">
      <c r="A30" s="30">
        <v>2021</v>
      </c>
      <c r="B30" s="31"/>
      <c r="C30" s="32">
        <v>2228.9380000000001</v>
      </c>
      <c r="D30" s="33">
        <v>9702.2159530000008</v>
      </c>
      <c r="E30" s="34">
        <v>52675.805999999997</v>
      </c>
      <c r="F30" s="35">
        <v>6101.8265860000001</v>
      </c>
      <c r="G30" s="34">
        <v>87.558000000000007</v>
      </c>
      <c r="H30" s="35">
        <v>626.69523000000004</v>
      </c>
      <c r="I30" s="32">
        <v>11.712999999999999</v>
      </c>
      <c r="J30" s="33">
        <v>85.573724999999996</v>
      </c>
      <c r="K30" s="52">
        <v>0</v>
      </c>
      <c r="L30" s="53">
        <v>0</v>
      </c>
      <c r="M30" s="34">
        <v>25740.791000000001</v>
      </c>
      <c r="N30" s="35">
        <v>50068.849202999998</v>
      </c>
      <c r="O30" s="34">
        <v>34.487000000000002</v>
      </c>
      <c r="P30" s="35">
        <v>152.715158</v>
      </c>
      <c r="Q30" s="54">
        <v>1018.65</v>
      </c>
      <c r="R30" s="45">
        <v>1372.1477460000001</v>
      </c>
      <c r="S30" s="25">
        <f t="shared" ref="S30:T64" si="1">E30+G30</f>
        <v>52763.363999999994</v>
      </c>
      <c r="T30" s="25">
        <f t="shared" si="1"/>
        <v>6728.5218160000004</v>
      </c>
      <c r="U30" s="37">
        <f t="shared" si="0"/>
        <v>24722.141</v>
      </c>
      <c r="V30" s="37">
        <f t="shared" si="0"/>
        <v>48696.701456999996</v>
      </c>
      <c r="W30" s="49"/>
    </row>
    <row r="31" spans="1:27" s="3" customFormat="1" ht="8.1" customHeight="1" x14ac:dyDescent="0.35">
      <c r="A31" s="30">
        <v>2022</v>
      </c>
      <c r="B31" s="31"/>
      <c r="C31" s="32">
        <v>1812.8720000000001</v>
      </c>
      <c r="D31" s="33">
        <v>9759.3162809999994</v>
      </c>
      <c r="E31" s="34">
        <v>54100.356</v>
      </c>
      <c r="F31" s="35">
        <v>6800.3697540000003</v>
      </c>
      <c r="G31" s="34">
        <v>96.028000000000006</v>
      </c>
      <c r="H31" s="35">
        <v>648.82655599999998</v>
      </c>
      <c r="I31" s="32">
        <v>5.7789999999999999</v>
      </c>
      <c r="J31" s="33">
        <v>71.954515000000001</v>
      </c>
      <c r="K31" s="52">
        <v>0</v>
      </c>
      <c r="L31" s="53">
        <v>0</v>
      </c>
      <c r="M31" s="34">
        <v>28026.393</v>
      </c>
      <c r="N31" s="35">
        <v>56578.831085999998</v>
      </c>
      <c r="O31" s="34">
        <v>41.420999999999999</v>
      </c>
      <c r="P31" s="34">
        <v>229.96482599999999</v>
      </c>
      <c r="Q31" s="54">
        <v>1412.48</v>
      </c>
      <c r="R31" s="45">
        <v>2115.8913210000001</v>
      </c>
      <c r="S31" s="25">
        <f t="shared" si="1"/>
        <v>54196.383999999998</v>
      </c>
      <c r="T31" s="25">
        <f t="shared" si="1"/>
        <v>7449.1963100000003</v>
      </c>
      <c r="U31" s="37">
        <f t="shared" si="0"/>
        <v>26613.913</v>
      </c>
      <c r="V31" s="37">
        <f t="shared" si="0"/>
        <v>54462.939764999996</v>
      </c>
      <c r="W31" s="49"/>
    </row>
    <row r="32" spans="1:27" s="3" customFormat="1" ht="3" customHeight="1" x14ac:dyDescent="0.35">
      <c r="A32" s="30"/>
      <c r="C32" s="6"/>
      <c r="D32" s="6"/>
      <c r="E32" s="42"/>
      <c r="F32" s="6"/>
      <c r="G32" s="42"/>
      <c r="H32" s="6"/>
      <c r="I32" s="42"/>
      <c r="J32" s="6"/>
      <c r="K32" s="55"/>
      <c r="L32" s="56"/>
      <c r="M32" s="34"/>
      <c r="N32" s="35"/>
      <c r="O32" s="34"/>
      <c r="P32" s="34"/>
      <c r="Q32" s="54"/>
      <c r="R32" s="45"/>
      <c r="S32" s="25">
        <f t="shared" si="1"/>
        <v>0</v>
      </c>
      <c r="T32" s="25">
        <f t="shared" si="1"/>
        <v>0</v>
      </c>
      <c r="U32" s="37">
        <f t="shared" si="0"/>
        <v>0</v>
      </c>
      <c r="V32" s="37">
        <f t="shared" si="0"/>
        <v>0</v>
      </c>
      <c r="W32" s="49"/>
    </row>
    <row r="33" spans="1:26" s="3" customFormat="1" ht="8.1" customHeight="1" x14ac:dyDescent="0.35">
      <c r="A33" s="30" t="s">
        <v>20</v>
      </c>
      <c r="B33" s="3" t="s">
        <v>21</v>
      </c>
      <c r="C33" s="32">
        <v>148.00200000000001</v>
      </c>
      <c r="D33" s="33">
        <v>885.31079099999999</v>
      </c>
      <c r="E33" s="34">
        <v>4498.9669999999996</v>
      </c>
      <c r="F33" s="35">
        <v>545.11744799999997</v>
      </c>
      <c r="G33" s="34">
        <v>7.6230000000000002</v>
      </c>
      <c r="H33" s="35">
        <v>51.990915000000001</v>
      </c>
      <c r="I33" s="32">
        <v>0.42</v>
      </c>
      <c r="J33" s="33">
        <v>6.0911600000000004</v>
      </c>
      <c r="K33" s="52">
        <v>0</v>
      </c>
      <c r="L33" s="53">
        <v>0</v>
      </c>
      <c r="M33" s="34">
        <v>2295.2020000000002</v>
      </c>
      <c r="N33" s="35">
        <v>4856.5458330000001</v>
      </c>
      <c r="O33" s="34">
        <v>3.823</v>
      </c>
      <c r="P33" s="34">
        <v>24.425060999999999</v>
      </c>
      <c r="Q33" s="57">
        <v>109.84699999999999</v>
      </c>
      <c r="R33" s="58">
        <v>163.13646700000001</v>
      </c>
      <c r="S33" s="25">
        <f t="shared" si="1"/>
        <v>4506.5899999999992</v>
      </c>
      <c r="T33" s="25">
        <f t="shared" si="1"/>
        <v>597.10836299999994</v>
      </c>
      <c r="U33" s="37">
        <f t="shared" si="0"/>
        <v>2185.355</v>
      </c>
      <c r="V33" s="37">
        <f t="shared" si="0"/>
        <v>4693.4093659999999</v>
      </c>
      <c r="W33" s="49"/>
      <c r="X33" s="49"/>
      <c r="Y33" s="59"/>
      <c r="Z33" s="59"/>
    </row>
    <row r="34" spans="1:26" s="3" customFormat="1" ht="8.1" customHeight="1" x14ac:dyDescent="0.35">
      <c r="A34" s="30" t="s">
        <v>22</v>
      </c>
      <c r="B34" s="3" t="s">
        <v>23</v>
      </c>
      <c r="C34" s="32">
        <v>163.37899999999999</v>
      </c>
      <c r="D34" s="33">
        <v>782.19281000000001</v>
      </c>
      <c r="E34" s="34">
        <v>4655.8559999999998</v>
      </c>
      <c r="F34" s="35">
        <v>584.49845600000003</v>
      </c>
      <c r="G34" s="34">
        <v>10.036</v>
      </c>
      <c r="H34" s="35">
        <v>61.894624999999998</v>
      </c>
      <c r="I34" s="32">
        <v>0.35</v>
      </c>
      <c r="J34" s="33">
        <v>5.0057850000000004</v>
      </c>
      <c r="K34" s="52">
        <v>0</v>
      </c>
      <c r="L34" s="53">
        <v>0</v>
      </c>
      <c r="M34" s="34">
        <v>2213.7159999999999</v>
      </c>
      <c r="N34" s="35">
        <v>4545.4472340000002</v>
      </c>
      <c r="O34" s="34">
        <v>3.9119999999999999</v>
      </c>
      <c r="P34" s="34">
        <v>24.168377</v>
      </c>
      <c r="Q34" s="57">
        <v>119.267</v>
      </c>
      <c r="R34" s="58">
        <v>181.22147799999999</v>
      </c>
      <c r="S34" s="25">
        <f t="shared" si="1"/>
        <v>4665.8919999999998</v>
      </c>
      <c r="T34" s="25">
        <f t="shared" si="1"/>
        <v>646.39308100000005</v>
      </c>
      <c r="U34" s="37">
        <f t="shared" si="0"/>
        <v>2094.4490000000001</v>
      </c>
      <c r="V34" s="37">
        <f t="shared" si="0"/>
        <v>4364.2257559999998</v>
      </c>
      <c r="W34" s="49"/>
      <c r="X34" s="49"/>
      <c r="Y34" s="59"/>
      <c r="Z34" s="59"/>
    </row>
    <row r="35" spans="1:26" s="3" customFormat="1" ht="8.1" customHeight="1" x14ac:dyDescent="0.35">
      <c r="A35" s="30" t="s">
        <v>22</v>
      </c>
      <c r="B35" s="3" t="s">
        <v>24</v>
      </c>
      <c r="C35" s="32">
        <v>139.95699999999999</v>
      </c>
      <c r="D35" s="33">
        <v>761.07271500000002</v>
      </c>
      <c r="E35" s="34">
        <v>4582.8140000000003</v>
      </c>
      <c r="F35" s="35">
        <v>583.56697199999996</v>
      </c>
      <c r="G35" s="34">
        <v>7.8289999999999997</v>
      </c>
      <c r="H35" s="35">
        <v>50.269500999999998</v>
      </c>
      <c r="I35" s="32">
        <v>0.34100000000000003</v>
      </c>
      <c r="J35" s="33">
        <v>5.0564619999999998</v>
      </c>
      <c r="K35" s="52">
        <v>0</v>
      </c>
      <c r="L35" s="53">
        <v>0</v>
      </c>
      <c r="M35" s="34">
        <v>2194.643</v>
      </c>
      <c r="N35" s="35">
        <v>4807.2416860000003</v>
      </c>
      <c r="O35" s="34">
        <v>3.4820000000000002</v>
      </c>
      <c r="P35" s="34">
        <v>17.646991</v>
      </c>
      <c r="Q35" s="57">
        <v>124.934</v>
      </c>
      <c r="R35" s="58">
        <v>193.13259500000001</v>
      </c>
      <c r="S35" s="25">
        <f t="shared" si="1"/>
        <v>4590.643</v>
      </c>
      <c r="T35" s="25">
        <f t="shared" si="1"/>
        <v>633.83647299999996</v>
      </c>
      <c r="U35" s="37">
        <f t="shared" si="0"/>
        <v>2069.7089999999998</v>
      </c>
      <c r="V35" s="37">
        <f t="shared" si="0"/>
        <v>4614.1090910000003</v>
      </c>
      <c r="W35" s="49"/>
      <c r="X35" s="49"/>
      <c r="Y35" s="59"/>
      <c r="Z35" s="59"/>
    </row>
    <row r="36" spans="1:26" s="3" customFormat="1" ht="8.1" customHeight="1" x14ac:dyDescent="0.35">
      <c r="A36" s="30" t="s">
        <v>22</v>
      </c>
      <c r="B36" s="3" t="s">
        <v>25</v>
      </c>
      <c r="C36" s="32">
        <v>135.98400000000001</v>
      </c>
      <c r="D36" s="33">
        <v>794.29718500000001</v>
      </c>
      <c r="E36" s="34">
        <v>4405.6940000000004</v>
      </c>
      <c r="F36" s="35">
        <v>598.82987400000002</v>
      </c>
      <c r="G36" s="34">
        <v>8.2810000000000006</v>
      </c>
      <c r="H36" s="35">
        <v>52.344285999999997</v>
      </c>
      <c r="I36" s="32">
        <v>0.35299999999999998</v>
      </c>
      <c r="J36" s="33">
        <v>5.5906060000000002</v>
      </c>
      <c r="K36" s="52">
        <v>0</v>
      </c>
      <c r="L36" s="53">
        <v>0</v>
      </c>
      <c r="M36" s="34">
        <v>2746.4409999999998</v>
      </c>
      <c r="N36" s="35">
        <v>4950.8614740000003</v>
      </c>
      <c r="O36" s="34">
        <v>3.399</v>
      </c>
      <c r="P36" s="34">
        <v>18.123958999999999</v>
      </c>
      <c r="Q36" s="57">
        <v>125.92100000000001</v>
      </c>
      <c r="R36" s="58">
        <v>195.361152</v>
      </c>
      <c r="S36" s="25">
        <f t="shared" si="1"/>
        <v>4413.9750000000004</v>
      </c>
      <c r="T36" s="25">
        <f t="shared" si="1"/>
        <v>651.17416000000003</v>
      </c>
      <c r="U36" s="37">
        <f t="shared" si="0"/>
        <v>2620.52</v>
      </c>
      <c r="V36" s="37">
        <f t="shared" si="0"/>
        <v>4755.5003219999999</v>
      </c>
      <c r="W36" s="49"/>
      <c r="X36" s="49"/>
      <c r="Y36" s="59"/>
      <c r="Z36" s="59"/>
    </row>
    <row r="37" spans="1:26" s="3" customFormat="1" ht="8.1" customHeight="1" x14ac:dyDescent="0.35">
      <c r="A37" s="30" t="s">
        <v>22</v>
      </c>
      <c r="B37" s="3" t="s">
        <v>26</v>
      </c>
      <c r="C37" s="32">
        <v>143.66300000000001</v>
      </c>
      <c r="D37" s="33">
        <v>776.35587399999997</v>
      </c>
      <c r="E37" s="34">
        <v>4810.585</v>
      </c>
      <c r="F37" s="35">
        <v>591.47530800000004</v>
      </c>
      <c r="G37" s="34">
        <v>7.9960000000000004</v>
      </c>
      <c r="H37" s="35">
        <v>54.577995999999999</v>
      </c>
      <c r="I37" s="32">
        <v>0.34599999999999997</v>
      </c>
      <c r="J37" s="33">
        <v>5.3033239999999999</v>
      </c>
      <c r="K37" s="52">
        <v>0</v>
      </c>
      <c r="L37" s="53">
        <v>0</v>
      </c>
      <c r="M37" s="34">
        <v>2543.8209999999999</v>
      </c>
      <c r="N37" s="35">
        <v>5049.2856730000003</v>
      </c>
      <c r="O37" s="34">
        <v>3.7040000000000002</v>
      </c>
      <c r="P37" s="34">
        <v>21.140035999999998</v>
      </c>
      <c r="Q37" s="57">
        <v>135.74700000000001</v>
      </c>
      <c r="R37" s="58">
        <v>203.893911</v>
      </c>
      <c r="S37" s="25">
        <f t="shared" si="1"/>
        <v>4818.5810000000001</v>
      </c>
      <c r="T37" s="25">
        <f t="shared" si="1"/>
        <v>646.05330400000003</v>
      </c>
      <c r="U37" s="37">
        <f t="shared" si="0"/>
        <v>2408.0740000000001</v>
      </c>
      <c r="V37" s="37">
        <f t="shared" si="0"/>
        <v>4845.3917620000002</v>
      </c>
      <c r="W37" s="49"/>
      <c r="X37" s="49"/>
      <c r="Y37" s="59"/>
      <c r="Z37" s="59"/>
    </row>
    <row r="38" spans="1:26" s="3" customFormat="1" ht="8.1" customHeight="1" x14ac:dyDescent="0.35">
      <c r="A38" s="30" t="s">
        <v>22</v>
      </c>
      <c r="B38" s="3" t="s">
        <v>27</v>
      </c>
      <c r="C38" s="32">
        <v>136.38300000000001</v>
      </c>
      <c r="D38" s="33">
        <v>907.42175099999997</v>
      </c>
      <c r="E38" s="34">
        <v>4557.42</v>
      </c>
      <c r="F38" s="35">
        <v>603.22698600000001</v>
      </c>
      <c r="G38" s="34">
        <v>8.327</v>
      </c>
      <c r="H38" s="35">
        <v>53.541749000000003</v>
      </c>
      <c r="I38" s="32">
        <v>0.29099999999999998</v>
      </c>
      <c r="J38" s="33">
        <v>3.7919529999999999</v>
      </c>
      <c r="K38" s="52">
        <v>0</v>
      </c>
      <c r="L38" s="53">
        <v>0</v>
      </c>
      <c r="M38" s="34">
        <v>2582.04</v>
      </c>
      <c r="N38" s="35">
        <v>5655.376945</v>
      </c>
      <c r="O38" s="34">
        <v>3.0979999999999999</v>
      </c>
      <c r="P38" s="34">
        <v>15.694027</v>
      </c>
      <c r="Q38" s="57">
        <v>150.57599999999999</v>
      </c>
      <c r="R38" s="58">
        <v>238.271196</v>
      </c>
      <c r="S38" s="25">
        <f t="shared" si="1"/>
        <v>4565.7470000000003</v>
      </c>
      <c r="T38" s="25">
        <f t="shared" si="1"/>
        <v>656.76873499999999</v>
      </c>
      <c r="U38" s="37">
        <f t="shared" si="0"/>
        <v>2431.4639999999999</v>
      </c>
      <c r="V38" s="37">
        <f t="shared" si="0"/>
        <v>5417.1057490000003</v>
      </c>
      <c r="W38" s="49"/>
      <c r="X38" s="49"/>
      <c r="Y38" s="59"/>
      <c r="Z38" s="59"/>
    </row>
    <row r="39" spans="1:26" s="3" customFormat="1" ht="8.1" customHeight="1" x14ac:dyDescent="0.35">
      <c r="A39" s="30">
        <v>2023</v>
      </c>
      <c r="B39" s="3" t="s">
        <v>28</v>
      </c>
      <c r="C39" s="32">
        <v>132.369</v>
      </c>
      <c r="D39" s="33">
        <v>768.14192400000002</v>
      </c>
      <c r="E39" s="34">
        <v>4762.3130000000001</v>
      </c>
      <c r="F39" s="35">
        <v>611.41698299999996</v>
      </c>
      <c r="G39" s="34">
        <v>8.5830000000000002</v>
      </c>
      <c r="H39" s="35">
        <v>45.900117000000002</v>
      </c>
      <c r="I39" s="32">
        <v>0.28599999999999998</v>
      </c>
      <c r="J39" s="33">
        <v>4.4223910000000002</v>
      </c>
      <c r="K39" s="52">
        <v>0</v>
      </c>
      <c r="L39" s="53">
        <v>0</v>
      </c>
      <c r="M39" s="34">
        <v>2252.35</v>
      </c>
      <c r="N39" s="35">
        <v>4765.8111079999999</v>
      </c>
      <c r="O39" s="34">
        <v>2.7040000000000002</v>
      </c>
      <c r="P39" s="34">
        <v>13.658773</v>
      </c>
      <c r="Q39" s="57">
        <v>138.22999999999999</v>
      </c>
      <c r="R39" s="58">
        <v>206.71701400000001</v>
      </c>
      <c r="S39" s="25">
        <f t="shared" si="1"/>
        <v>4770.8959999999997</v>
      </c>
      <c r="T39" s="25">
        <f t="shared" si="1"/>
        <v>657.31709999999998</v>
      </c>
      <c r="U39" s="37">
        <f t="shared" si="0"/>
        <v>2114.12</v>
      </c>
      <c r="V39" s="37">
        <f t="shared" si="0"/>
        <v>4559.094094</v>
      </c>
      <c r="W39" s="49"/>
      <c r="X39" s="49"/>
      <c r="Y39" s="59"/>
      <c r="Z39" s="59"/>
    </row>
    <row r="40" spans="1:26" s="3" customFormat="1" ht="8.1" customHeight="1" x14ac:dyDescent="0.35">
      <c r="A40" s="30" t="s">
        <v>22</v>
      </c>
      <c r="B40" s="3" t="s">
        <v>29</v>
      </c>
      <c r="C40" s="32">
        <v>108.794</v>
      </c>
      <c r="D40" s="33">
        <v>623.46515599999998</v>
      </c>
      <c r="E40" s="34">
        <v>4342.93</v>
      </c>
      <c r="F40" s="35">
        <v>550.28895499999999</v>
      </c>
      <c r="G40" s="34">
        <v>6.4880000000000004</v>
      </c>
      <c r="H40" s="35">
        <v>42.203865</v>
      </c>
      <c r="I40" s="32">
        <v>0.28999999999999998</v>
      </c>
      <c r="J40" s="33">
        <v>3.700386</v>
      </c>
      <c r="K40" s="52">
        <v>0</v>
      </c>
      <c r="L40" s="53">
        <v>0</v>
      </c>
      <c r="M40" s="34">
        <v>2183.1869999999999</v>
      </c>
      <c r="N40" s="35">
        <v>4560.6952410000004</v>
      </c>
      <c r="O40" s="34">
        <v>2.7709999999999999</v>
      </c>
      <c r="P40" s="34">
        <v>13.470737</v>
      </c>
      <c r="Q40" s="57">
        <v>134.637</v>
      </c>
      <c r="R40" s="58">
        <v>203.04008999999999</v>
      </c>
      <c r="S40" s="25">
        <f t="shared" si="1"/>
        <v>4349.4180000000006</v>
      </c>
      <c r="T40" s="25">
        <f t="shared" si="1"/>
        <v>592.49281999999994</v>
      </c>
      <c r="U40" s="37">
        <f t="shared" si="0"/>
        <v>2048.5499999999997</v>
      </c>
      <c r="V40" s="37">
        <f t="shared" si="0"/>
        <v>4357.6551509999999</v>
      </c>
      <c r="W40" s="49"/>
      <c r="X40" s="49"/>
      <c r="Y40" s="59"/>
      <c r="Z40" s="59"/>
    </row>
    <row r="41" spans="1:26" s="3" customFormat="1" ht="8.1" customHeight="1" x14ac:dyDescent="0.35">
      <c r="A41" s="30" t="s">
        <v>22</v>
      </c>
      <c r="B41" s="3" t="s">
        <v>30</v>
      </c>
      <c r="C41" s="32">
        <v>125.527</v>
      </c>
      <c r="D41" s="33">
        <v>822.83955600000002</v>
      </c>
      <c r="E41" s="34">
        <v>5081.3999999999996</v>
      </c>
      <c r="F41" s="35">
        <v>628.24944300000004</v>
      </c>
      <c r="G41" s="34">
        <v>10.388999999999999</v>
      </c>
      <c r="H41" s="35">
        <v>56.011781999999997</v>
      </c>
      <c r="I41" s="32">
        <v>0.315</v>
      </c>
      <c r="J41" s="33">
        <v>4.2765370000000003</v>
      </c>
      <c r="K41" s="52">
        <v>0</v>
      </c>
      <c r="L41" s="53">
        <v>0</v>
      </c>
      <c r="M41" s="34">
        <v>2447.152</v>
      </c>
      <c r="N41" s="35">
        <v>5548.0567579999997</v>
      </c>
      <c r="O41" s="34">
        <v>3.4039999999999999</v>
      </c>
      <c r="P41" s="34">
        <v>18.858491999999998</v>
      </c>
      <c r="Q41" s="57">
        <v>157.309</v>
      </c>
      <c r="R41" s="58">
        <v>246.213921</v>
      </c>
      <c r="S41" s="25">
        <f t="shared" si="1"/>
        <v>5091.7889999999998</v>
      </c>
      <c r="T41" s="25">
        <f t="shared" si="1"/>
        <v>684.26122500000008</v>
      </c>
      <c r="U41" s="37">
        <f t="shared" si="0"/>
        <v>2289.8429999999998</v>
      </c>
      <c r="V41" s="37">
        <f t="shared" si="0"/>
        <v>5301.8428370000001</v>
      </c>
      <c r="W41" s="49"/>
      <c r="X41" s="49"/>
      <c r="Y41" s="59"/>
      <c r="Z41" s="59"/>
    </row>
    <row r="42" spans="1:26" s="3" customFormat="1" ht="8.1" customHeight="1" x14ac:dyDescent="0.35">
      <c r="A42" s="30" t="s">
        <v>22</v>
      </c>
      <c r="B42" s="3" t="s">
        <v>31</v>
      </c>
      <c r="C42" s="32">
        <v>103.044</v>
      </c>
      <c r="D42" s="33">
        <v>611.82816300000002</v>
      </c>
      <c r="E42" s="34">
        <v>4570.701</v>
      </c>
      <c r="F42" s="35">
        <v>594.76307499999996</v>
      </c>
      <c r="G42" s="34">
        <v>5.633</v>
      </c>
      <c r="H42" s="35">
        <v>41.458571999999997</v>
      </c>
      <c r="I42" s="32">
        <v>0.28999999999999998</v>
      </c>
      <c r="J42" s="33">
        <v>3.7247599999999998</v>
      </c>
      <c r="K42" s="52">
        <v>0</v>
      </c>
      <c r="L42" s="53">
        <v>0</v>
      </c>
      <c r="M42" s="34">
        <v>2298.7570000000001</v>
      </c>
      <c r="N42" s="35">
        <v>5020.0934639999996</v>
      </c>
      <c r="O42" s="34">
        <v>2.81</v>
      </c>
      <c r="P42" s="34">
        <v>13.516242</v>
      </c>
      <c r="Q42" s="57">
        <v>151.19999999999999</v>
      </c>
      <c r="R42" s="58">
        <v>232.10418799999999</v>
      </c>
      <c r="S42" s="25">
        <f t="shared" si="1"/>
        <v>4576.3339999999998</v>
      </c>
      <c r="T42" s="25">
        <f t="shared" si="1"/>
        <v>636.22164699999996</v>
      </c>
      <c r="U42" s="37">
        <f t="shared" si="0"/>
        <v>2147.5570000000002</v>
      </c>
      <c r="V42" s="37">
        <f t="shared" si="0"/>
        <v>4787.9892759999993</v>
      </c>
      <c r="W42" s="49"/>
      <c r="X42" s="49"/>
      <c r="Y42" s="59"/>
      <c r="Z42" s="59"/>
    </row>
    <row r="43" spans="1:26" s="3" customFormat="1" ht="8.1" customHeight="1" x14ac:dyDescent="0.35">
      <c r="A43" s="30" t="s">
        <v>22</v>
      </c>
      <c r="B43" s="3" t="s">
        <v>32</v>
      </c>
      <c r="C43" s="32">
        <v>124.913</v>
      </c>
      <c r="D43" s="33">
        <v>744.77830800000004</v>
      </c>
      <c r="E43" s="34">
        <v>5421.2839999999997</v>
      </c>
      <c r="F43" s="35">
        <v>649.90623200000005</v>
      </c>
      <c r="G43" s="34">
        <v>9.9819999999999993</v>
      </c>
      <c r="H43" s="35">
        <v>55.082180000000001</v>
      </c>
      <c r="I43" s="32">
        <v>0.29799999999999999</v>
      </c>
      <c r="J43" s="33">
        <v>3.9681890000000002</v>
      </c>
      <c r="K43" s="52">
        <v>0</v>
      </c>
      <c r="L43" s="53">
        <v>0</v>
      </c>
      <c r="M43" s="34">
        <v>2671.4009999999998</v>
      </c>
      <c r="N43" s="35">
        <v>5661.4265610000002</v>
      </c>
      <c r="O43" s="34">
        <v>3.1840000000000002</v>
      </c>
      <c r="P43" s="34">
        <v>16.279852000000002</v>
      </c>
      <c r="Q43" s="57">
        <v>159.91800000000001</v>
      </c>
      <c r="R43" s="58">
        <v>263.09246200000001</v>
      </c>
      <c r="S43" s="25">
        <f t="shared" si="1"/>
        <v>5431.2659999999996</v>
      </c>
      <c r="T43" s="25">
        <f t="shared" si="1"/>
        <v>704.98841200000004</v>
      </c>
      <c r="U43" s="37">
        <f t="shared" si="0"/>
        <v>2511.4829999999997</v>
      </c>
      <c r="V43" s="37">
        <f t="shared" si="0"/>
        <v>5398.3340990000006</v>
      </c>
      <c r="W43" s="49"/>
      <c r="X43" s="49"/>
      <c r="Y43" s="59"/>
      <c r="Z43" s="59"/>
    </row>
    <row r="44" spans="1:26" s="3" customFormat="1" ht="8.1" customHeight="1" x14ac:dyDescent="0.35">
      <c r="A44" s="30" t="s">
        <v>22</v>
      </c>
      <c r="B44" s="3" t="s">
        <v>33</v>
      </c>
      <c r="C44" s="32">
        <v>110.721</v>
      </c>
      <c r="D44" s="33">
        <v>744.23196700000005</v>
      </c>
      <c r="E44" s="34">
        <v>4932.491</v>
      </c>
      <c r="F44" s="35">
        <v>612.36881700000004</v>
      </c>
      <c r="G44" s="34">
        <v>7.7039999999999997</v>
      </c>
      <c r="H44" s="35">
        <v>46.032164000000002</v>
      </c>
      <c r="I44" s="32">
        <v>0.29599999999999999</v>
      </c>
      <c r="J44" s="33">
        <v>4.0368560000000002</v>
      </c>
      <c r="K44" s="52">
        <v>0</v>
      </c>
      <c r="L44" s="53">
        <v>0</v>
      </c>
      <c r="M44" s="34">
        <v>2536.5889999999999</v>
      </c>
      <c r="N44" s="35">
        <v>5663.9658460000001</v>
      </c>
      <c r="O44" s="34">
        <v>3.3039999999999998</v>
      </c>
      <c r="P44" s="34">
        <v>17.460674999999998</v>
      </c>
      <c r="Q44" s="57">
        <v>163.94499999999999</v>
      </c>
      <c r="R44" s="58">
        <v>268.85083500000002</v>
      </c>
      <c r="S44" s="25">
        <f t="shared" si="1"/>
        <v>4940.1949999999997</v>
      </c>
      <c r="T44" s="25">
        <f t="shared" si="1"/>
        <v>658.400981</v>
      </c>
      <c r="U44" s="37">
        <f t="shared" si="0"/>
        <v>2372.6439999999998</v>
      </c>
      <c r="V44" s="37">
        <f t="shared" si="0"/>
        <v>5395.1150109999999</v>
      </c>
      <c r="W44" s="49"/>
      <c r="X44" s="49"/>
      <c r="Y44" s="59"/>
      <c r="Z44" s="59"/>
    </row>
    <row r="45" spans="1:26" s="3" customFormat="1" ht="8.1" customHeight="1" x14ac:dyDescent="0.35">
      <c r="A45" s="30" t="s">
        <v>22</v>
      </c>
      <c r="B45" s="3" t="s">
        <v>21</v>
      </c>
      <c r="C45" s="32">
        <v>112.25700000000001</v>
      </c>
      <c r="D45" s="33">
        <v>742.58555699999999</v>
      </c>
      <c r="E45" s="34">
        <v>5028.8540000000003</v>
      </c>
      <c r="F45" s="35">
        <v>612.92242899999997</v>
      </c>
      <c r="G45" s="34">
        <v>8.33</v>
      </c>
      <c r="H45" s="35">
        <v>48.571167000000003</v>
      </c>
      <c r="I45" s="32">
        <v>0.312</v>
      </c>
      <c r="J45" s="33">
        <v>4.88896</v>
      </c>
      <c r="K45" s="52">
        <v>0</v>
      </c>
      <c r="L45" s="53">
        <v>0</v>
      </c>
      <c r="M45" s="34">
        <v>2394.0529999999999</v>
      </c>
      <c r="N45" s="35">
        <v>5506.819692</v>
      </c>
      <c r="O45" s="34">
        <v>2.8530000000000002</v>
      </c>
      <c r="P45" s="34">
        <v>14.324832000000001</v>
      </c>
      <c r="Q45" s="57">
        <v>168.72399999999999</v>
      </c>
      <c r="R45" s="58">
        <v>268.58210000000003</v>
      </c>
      <c r="S45" s="25">
        <f t="shared" si="1"/>
        <v>5037.1840000000002</v>
      </c>
      <c r="T45" s="25">
        <f t="shared" si="1"/>
        <v>661.49359600000003</v>
      </c>
      <c r="U45" s="37">
        <f t="shared" si="0"/>
        <v>2225.3289999999997</v>
      </c>
      <c r="V45" s="37">
        <f t="shared" si="0"/>
        <v>5238.2375920000004</v>
      </c>
      <c r="W45" s="49"/>
      <c r="X45" s="49"/>
      <c r="Y45" s="59"/>
      <c r="Z45" s="59"/>
    </row>
    <row r="46" spans="1:26" s="3" customFormat="1" ht="8.1" customHeight="1" x14ac:dyDescent="0.35">
      <c r="S46" s="25">
        <f t="shared" si="1"/>
        <v>0</v>
      </c>
      <c r="T46" s="25">
        <f t="shared" si="1"/>
        <v>0</v>
      </c>
      <c r="U46" s="37">
        <f t="shared" si="0"/>
        <v>0</v>
      </c>
      <c r="V46" s="37">
        <f t="shared" si="0"/>
        <v>0</v>
      </c>
    </row>
    <row r="47" spans="1:26" s="3" customFormat="1" ht="8.1" customHeight="1" x14ac:dyDescent="0.35">
      <c r="A47" s="26" t="s">
        <v>36</v>
      </c>
      <c r="B47" s="26"/>
      <c r="C47" s="26"/>
      <c r="D47" s="26"/>
      <c r="E47" s="26"/>
      <c r="F47" s="26"/>
      <c r="G47" s="26"/>
      <c r="H47" s="26"/>
      <c r="I47" s="27"/>
      <c r="J47" s="27"/>
      <c r="K47" s="27" t="s">
        <v>37</v>
      </c>
      <c r="L47" s="27"/>
      <c r="M47" s="27"/>
      <c r="N47" s="27"/>
      <c r="O47" s="27"/>
      <c r="P47" s="27"/>
      <c r="Q47" s="27"/>
      <c r="R47" s="27"/>
      <c r="S47" s="25">
        <f t="shared" si="1"/>
        <v>0</v>
      </c>
      <c r="T47" s="25">
        <f t="shared" si="1"/>
        <v>0</v>
      </c>
      <c r="U47" s="37">
        <f t="shared" si="0"/>
        <v>0</v>
      </c>
      <c r="V47" s="37">
        <f t="shared" si="0"/>
        <v>0</v>
      </c>
    </row>
    <row r="48" spans="1:26" s="3" customFormat="1" ht="8.1" customHeight="1" x14ac:dyDescent="0.35">
      <c r="A48" s="60">
        <v>2020</v>
      </c>
      <c r="B48" s="32"/>
      <c r="C48" s="32">
        <v>18425.289000000001</v>
      </c>
      <c r="D48" s="33">
        <v>60497.368058</v>
      </c>
      <c r="E48" s="42">
        <v>194731.34</v>
      </c>
      <c r="F48" s="61">
        <v>25165.653488</v>
      </c>
      <c r="G48" s="33">
        <v>737.97699999999998</v>
      </c>
      <c r="H48" s="33">
        <v>1917.1366350000001</v>
      </c>
      <c r="I48" s="42">
        <v>43.695</v>
      </c>
      <c r="J48" s="61">
        <v>405.14403700000003</v>
      </c>
      <c r="K48" s="42">
        <v>2316252.1380000003</v>
      </c>
      <c r="L48" s="61">
        <v>127148.11424900001</v>
      </c>
      <c r="M48" s="32">
        <v>178592.04500000001</v>
      </c>
      <c r="N48" s="33">
        <v>279028.12185499998</v>
      </c>
      <c r="O48" s="32">
        <v>286.065</v>
      </c>
      <c r="P48" s="33">
        <v>1275.137522</v>
      </c>
      <c r="Q48" s="54">
        <v>5605.4269999999997</v>
      </c>
      <c r="R48" s="45">
        <v>6029.9756010000001</v>
      </c>
      <c r="S48" s="25">
        <f t="shared" si="1"/>
        <v>195469.31700000001</v>
      </c>
      <c r="T48" s="25">
        <f t="shared" si="1"/>
        <v>27082.790122999999</v>
      </c>
      <c r="U48" s="37">
        <f t="shared" si="0"/>
        <v>172986.61800000002</v>
      </c>
      <c r="V48" s="37">
        <f t="shared" si="0"/>
        <v>272998.14625399996</v>
      </c>
    </row>
    <row r="49" spans="1:22" s="3" customFormat="1" ht="8.1" customHeight="1" x14ac:dyDescent="0.35">
      <c r="A49" s="60">
        <v>2021</v>
      </c>
      <c r="B49" s="31"/>
      <c r="C49" s="32">
        <v>15062.035</v>
      </c>
      <c r="D49" s="33">
        <v>59714.296148000001</v>
      </c>
      <c r="E49" s="42">
        <v>199615.83100000001</v>
      </c>
      <c r="F49" s="61">
        <v>27364.750837</v>
      </c>
      <c r="G49" s="33">
        <v>955.52300000000002</v>
      </c>
      <c r="H49" s="33">
        <v>2730.3718260000001</v>
      </c>
      <c r="I49" s="42">
        <v>35.18</v>
      </c>
      <c r="J49" s="61">
        <v>369.71823699999999</v>
      </c>
      <c r="K49" s="42">
        <v>2669409.7750000004</v>
      </c>
      <c r="L49" s="61">
        <v>146592.59234500001</v>
      </c>
      <c r="M49" s="32">
        <v>194076.261</v>
      </c>
      <c r="N49" s="33">
        <v>316860.12095700001</v>
      </c>
      <c r="O49" s="32">
        <v>268.56099999999998</v>
      </c>
      <c r="P49" s="33">
        <v>1293.625301</v>
      </c>
      <c r="Q49" s="54">
        <v>7182.4719999999998</v>
      </c>
      <c r="R49" s="45">
        <v>9020.8496950000008</v>
      </c>
      <c r="S49" s="25">
        <f t="shared" si="1"/>
        <v>200571.35399999999</v>
      </c>
      <c r="T49" s="25">
        <f t="shared" si="1"/>
        <v>30095.122662999998</v>
      </c>
      <c r="U49" s="37">
        <f t="shared" si="0"/>
        <v>186893.78899999999</v>
      </c>
      <c r="V49" s="37">
        <f t="shared" si="0"/>
        <v>307839.27126200002</v>
      </c>
    </row>
    <row r="50" spans="1:22" s="3" customFormat="1" ht="8.1" customHeight="1" x14ac:dyDescent="0.35">
      <c r="A50" s="60">
        <v>2022</v>
      </c>
      <c r="B50" s="31"/>
      <c r="C50" s="32">
        <v>12782.771000000001</v>
      </c>
      <c r="D50" s="33">
        <v>63423.158030999999</v>
      </c>
      <c r="E50" s="42">
        <v>211855.908</v>
      </c>
      <c r="F50" s="61">
        <v>31749.418655000001</v>
      </c>
      <c r="G50" s="33">
        <v>1253.6110000000001</v>
      </c>
      <c r="H50" s="33">
        <v>3180.4966760000002</v>
      </c>
      <c r="I50" s="42">
        <v>26.701000000000001</v>
      </c>
      <c r="J50" s="61">
        <v>372.15401500000002</v>
      </c>
      <c r="K50" s="42">
        <v>3283115.58</v>
      </c>
      <c r="L50" s="61">
        <v>178355.986037</v>
      </c>
      <c r="M50" s="32">
        <v>211028.96100000001</v>
      </c>
      <c r="N50" s="33">
        <v>362657.82593599998</v>
      </c>
      <c r="O50" s="32">
        <v>327.267</v>
      </c>
      <c r="P50" s="33">
        <v>1881.1681530000001</v>
      </c>
      <c r="Q50" s="54">
        <v>9646.0550000000003</v>
      </c>
      <c r="R50" s="45">
        <v>13926.499506</v>
      </c>
      <c r="S50" s="25">
        <f t="shared" si="1"/>
        <v>213109.519</v>
      </c>
      <c r="T50" s="25">
        <f t="shared" si="1"/>
        <v>34929.915331000004</v>
      </c>
      <c r="U50" s="37">
        <f t="shared" si="0"/>
        <v>201382.90600000002</v>
      </c>
      <c r="V50" s="37">
        <f t="shared" si="0"/>
        <v>348731.32642999996</v>
      </c>
    </row>
    <row r="51" spans="1:22" s="3" customFormat="1" ht="4.5" customHeight="1" x14ac:dyDescent="0.35">
      <c r="A51" s="60"/>
      <c r="C51" s="62"/>
      <c r="D51" s="63"/>
      <c r="E51" s="64"/>
      <c r="F51" s="65"/>
      <c r="G51" s="63"/>
      <c r="H51" s="63"/>
      <c r="I51" s="64"/>
      <c r="J51" s="65"/>
      <c r="K51" s="64"/>
      <c r="L51" s="65"/>
      <c r="M51" s="64"/>
      <c r="N51" s="63"/>
      <c r="O51" s="63"/>
      <c r="P51" s="63"/>
      <c r="Q51" s="66"/>
      <c r="R51" s="67"/>
      <c r="S51" s="25">
        <f t="shared" si="1"/>
        <v>0</v>
      </c>
      <c r="T51" s="25">
        <f t="shared" si="1"/>
        <v>0</v>
      </c>
      <c r="U51" s="37">
        <f t="shared" si="0"/>
        <v>0</v>
      </c>
      <c r="V51" s="37">
        <f t="shared" si="0"/>
        <v>0</v>
      </c>
    </row>
    <row r="52" spans="1:22" s="3" customFormat="1" ht="8.1" customHeight="1" x14ac:dyDescent="0.35">
      <c r="A52" s="60" t="s">
        <v>20</v>
      </c>
      <c r="B52" s="3" t="s">
        <v>21</v>
      </c>
      <c r="C52" s="32">
        <v>1040.6679999999999</v>
      </c>
      <c r="D52" s="33">
        <v>5448.9179459999996</v>
      </c>
      <c r="E52" s="42">
        <v>17625.005000000001</v>
      </c>
      <c r="F52" s="61">
        <v>2481.1278809999999</v>
      </c>
      <c r="G52" s="33">
        <v>104.11799999999999</v>
      </c>
      <c r="H52" s="33">
        <v>273.73557799999998</v>
      </c>
      <c r="I52" s="42">
        <v>2.19</v>
      </c>
      <c r="J52" s="61">
        <v>31.671393999999999</v>
      </c>
      <c r="K52" s="42">
        <v>301479.58799999999</v>
      </c>
      <c r="L52" s="61">
        <v>16383.257595999999</v>
      </c>
      <c r="M52" s="32">
        <v>17411.990000000002</v>
      </c>
      <c r="N52" s="33">
        <v>32075.043560999999</v>
      </c>
      <c r="O52" s="32">
        <v>30.289000000000001</v>
      </c>
      <c r="P52" s="33">
        <v>183.26922400000001</v>
      </c>
      <c r="Q52" s="54">
        <v>757.60500000000002</v>
      </c>
      <c r="R52" s="45">
        <v>1095.685782</v>
      </c>
      <c r="S52" s="25">
        <f t="shared" si="1"/>
        <v>17729.123</v>
      </c>
      <c r="T52" s="25">
        <f t="shared" si="1"/>
        <v>2754.8634589999997</v>
      </c>
      <c r="U52" s="37">
        <f t="shared" si="0"/>
        <v>16654.385000000002</v>
      </c>
      <c r="V52" s="37">
        <f t="shared" si="0"/>
        <v>30979.357778999998</v>
      </c>
    </row>
    <row r="53" spans="1:22" s="3" customFormat="1" ht="8.1" customHeight="1" x14ac:dyDescent="0.35">
      <c r="A53" s="60" t="s">
        <v>22</v>
      </c>
      <c r="B53" s="3" t="s">
        <v>23</v>
      </c>
      <c r="C53" s="32">
        <v>1196.066</v>
      </c>
      <c r="D53" s="33">
        <v>5195.2955339999999</v>
      </c>
      <c r="E53" s="42">
        <v>18231.949000000001</v>
      </c>
      <c r="F53" s="61">
        <v>2688.4488190000002</v>
      </c>
      <c r="G53" s="33">
        <v>113.53400000000001</v>
      </c>
      <c r="H53" s="33">
        <v>302.75320099999999</v>
      </c>
      <c r="I53" s="42">
        <v>2.0489999999999999</v>
      </c>
      <c r="J53" s="61">
        <v>30.91207</v>
      </c>
      <c r="K53" s="42">
        <v>297304.39899999998</v>
      </c>
      <c r="L53" s="61">
        <v>17187.980925</v>
      </c>
      <c r="M53" s="32">
        <v>16681.128000000001</v>
      </c>
      <c r="N53" s="33">
        <v>29256.377146999999</v>
      </c>
      <c r="O53" s="32">
        <v>30.286000000000001</v>
      </c>
      <c r="P53" s="33">
        <v>179.066093</v>
      </c>
      <c r="Q53" s="54">
        <v>818.98699999999997</v>
      </c>
      <c r="R53" s="45">
        <v>1201.2463540000001</v>
      </c>
      <c r="S53" s="25">
        <f t="shared" si="1"/>
        <v>18345.483</v>
      </c>
      <c r="T53" s="25">
        <f t="shared" si="1"/>
        <v>2991.2020200000002</v>
      </c>
      <c r="U53" s="37">
        <f t="shared" si="0"/>
        <v>15862.141000000001</v>
      </c>
      <c r="V53" s="37">
        <f t="shared" si="0"/>
        <v>28055.130793</v>
      </c>
    </row>
    <row r="54" spans="1:22" s="3" customFormat="1" ht="8.1" customHeight="1" x14ac:dyDescent="0.35">
      <c r="A54" s="60" t="s">
        <v>22</v>
      </c>
      <c r="B54" s="3" t="s">
        <v>24</v>
      </c>
      <c r="C54" s="32">
        <v>1006.7670000000001</v>
      </c>
      <c r="D54" s="33">
        <v>5214.3040389999996</v>
      </c>
      <c r="E54" s="42">
        <v>17822.88</v>
      </c>
      <c r="F54" s="61">
        <v>2846.8102640000002</v>
      </c>
      <c r="G54" s="33">
        <v>123.08499999999999</v>
      </c>
      <c r="H54" s="33">
        <v>282.14085999999998</v>
      </c>
      <c r="I54" s="42">
        <v>2.0619999999999998</v>
      </c>
      <c r="J54" s="61">
        <v>30.75515</v>
      </c>
      <c r="K54" s="42">
        <v>283391.18599999999</v>
      </c>
      <c r="L54" s="61">
        <v>15322.92959</v>
      </c>
      <c r="M54" s="32">
        <v>16458.359</v>
      </c>
      <c r="N54" s="33">
        <v>30905.618043999999</v>
      </c>
      <c r="O54" s="32">
        <v>26.777999999999999</v>
      </c>
      <c r="P54" s="33">
        <v>152.094765</v>
      </c>
      <c r="Q54" s="54">
        <v>845.26900000000001</v>
      </c>
      <c r="R54" s="45">
        <v>1265.7041810000001</v>
      </c>
      <c r="S54" s="25">
        <f t="shared" si="1"/>
        <v>17945.965</v>
      </c>
      <c r="T54" s="25">
        <f t="shared" si="1"/>
        <v>3128.9511240000002</v>
      </c>
      <c r="U54" s="37">
        <f t="shared" si="0"/>
        <v>15613.09</v>
      </c>
      <c r="V54" s="37">
        <f t="shared" si="0"/>
        <v>29639.913862999998</v>
      </c>
    </row>
    <row r="55" spans="1:22" s="3" customFormat="1" ht="8.1" customHeight="1" x14ac:dyDescent="0.35">
      <c r="A55" s="60" t="s">
        <v>22</v>
      </c>
      <c r="B55" s="3" t="s">
        <v>25</v>
      </c>
      <c r="C55" s="32">
        <v>964.428</v>
      </c>
      <c r="D55" s="33">
        <v>5421.5083100000002</v>
      </c>
      <c r="E55" s="42">
        <v>17728.188999999998</v>
      </c>
      <c r="F55" s="61">
        <v>2882.954581</v>
      </c>
      <c r="G55" s="33">
        <v>109.456</v>
      </c>
      <c r="H55" s="33">
        <v>254.899192</v>
      </c>
      <c r="I55" s="42">
        <v>2.089</v>
      </c>
      <c r="J55" s="61">
        <v>31.709344999999999</v>
      </c>
      <c r="K55" s="42">
        <v>288080.21000000002</v>
      </c>
      <c r="L55" s="61">
        <v>15444.003198</v>
      </c>
      <c r="M55" s="32">
        <v>20906.642</v>
      </c>
      <c r="N55" s="33">
        <v>31202.594792</v>
      </c>
      <c r="O55" s="32">
        <v>26.137</v>
      </c>
      <c r="P55" s="33">
        <v>150.69507200000001</v>
      </c>
      <c r="Q55" s="54">
        <v>853.34699999999998</v>
      </c>
      <c r="R55" s="45">
        <v>1282.4933719999999</v>
      </c>
      <c r="S55" s="25">
        <f t="shared" si="1"/>
        <v>17837.644999999997</v>
      </c>
      <c r="T55" s="25">
        <f t="shared" si="1"/>
        <v>3137.8537729999998</v>
      </c>
      <c r="U55" s="37">
        <f t="shared" si="0"/>
        <v>20053.294999999998</v>
      </c>
      <c r="V55" s="37">
        <f t="shared" si="0"/>
        <v>29920.101419999999</v>
      </c>
    </row>
    <row r="56" spans="1:22" s="3" customFormat="1" ht="8.1" customHeight="1" x14ac:dyDescent="0.35">
      <c r="A56" s="60" t="s">
        <v>22</v>
      </c>
      <c r="B56" s="3" t="s">
        <v>26</v>
      </c>
      <c r="C56" s="32">
        <v>1034.5909999999999</v>
      </c>
      <c r="D56" s="33">
        <v>5345.7574860000004</v>
      </c>
      <c r="E56" s="42">
        <v>18331.385999999999</v>
      </c>
      <c r="F56" s="61">
        <v>2738.5165910000001</v>
      </c>
      <c r="G56" s="33">
        <v>112.71899999999999</v>
      </c>
      <c r="H56" s="33">
        <v>295.001508</v>
      </c>
      <c r="I56" s="42">
        <v>2.0190000000000001</v>
      </c>
      <c r="J56" s="61">
        <v>30.102665999999999</v>
      </c>
      <c r="K56" s="42">
        <v>283360.25300000003</v>
      </c>
      <c r="L56" s="61">
        <v>15901.597195</v>
      </c>
      <c r="M56" s="32">
        <v>18887.474999999999</v>
      </c>
      <c r="N56" s="33">
        <v>33409.726165</v>
      </c>
      <c r="O56" s="32">
        <v>28.478000000000002</v>
      </c>
      <c r="P56" s="33">
        <v>167.32345100000001</v>
      </c>
      <c r="Q56" s="54">
        <v>901.45299999999997</v>
      </c>
      <c r="R56" s="45">
        <v>1347.701014</v>
      </c>
      <c r="S56" s="25">
        <f t="shared" si="1"/>
        <v>18444.105</v>
      </c>
      <c r="T56" s="25">
        <f t="shared" si="1"/>
        <v>3033.5180989999999</v>
      </c>
      <c r="U56" s="37">
        <f t="shared" si="0"/>
        <v>17986.021999999997</v>
      </c>
      <c r="V56" s="37">
        <f t="shared" si="0"/>
        <v>32062.025151000002</v>
      </c>
    </row>
    <row r="57" spans="1:22" s="3" customFormat="1" ht="8.1" customHeight="1" x14ac:dyDescent="0.35">
      <c r="A57" s="60" t="s">
        <v>22</v>
      </c>
      <c r="B57" s="3" t="s">
        <v>27</v>
      </c>
      <c r="C57" s="32">
        <v>983.38699999999994</v>
      </c>
      <c r="D57" s="33">
        <v>5966.9602430000004</v>
      </c>
      <c r="E57" s="42">
        <v>17974.727999999999</v>
      </c>
      <c r="F57" s="61">
        <v>2826.3663120000001</v>
      </c>
      <c r="G57" s="33">
        <v>112.611</v>
      </c>
      <c r="H57" s="33">
        <v>275.95762100000002</v>
      </c>
      <c r="I57" s="42">
        <v>1.8129999999999999</v>
      </c>
      <c r="J57" s="61">
        <v>24.912369000000002</v>
      </c>
      <c r="K57" s="42">
        <v>314138.32799999998</v>
      </c>
      <c r="L57" s="61">
        <v>17926.124262000001</v>
      </c>
      <c r="M57" s="32">
        <v>19557.813999999998</v>
      </c>
      <c r="N57" s="33">
        <v>38753.216411000001</v>
      </c>
      <c r="O57" s="32">
        <v>24.443000000000001</v>
      </c>
      <c r="P57" s="33">
        <v>126.981369</v>
      </c>
      <c r="Q57" s="54">
        <v>991.53</v>
      </c>
      <c r="R57" s="45">
        <v>1507.9074450000001</v>
      </c>
      <c r="S57" s="25">
        <f t="shared" si="1"/>
        <v>18087.339</v>
      </c>
      <c r="T57" s="25">
        <f t="shared" si="1"/>
        <v>3102.3239330000001</v>
      </c>
      <c r="U57" s="37">
        <f t="shared" si="0"/>
        <v>18566.284</v>
      </c>
      <c r="V57" s="37">
        <f t="shared" si="0"/>
        <v>37245.308966000004</v>
      </c>
    </row>
    <row r="58" spans="1:22" s="3" customFormat="1" ht="8.1" customHeight="1" x14ac:dyDescent="0.35">
      <c r="A58" s="60">
        <v>2023</v>
      </c>
      <c r="B58" s="3" t="s">
        <v>28</v>
      </c>
      <c r="C58" s="32">
        <v>967.38400000000001</v>
      </c>
      <c r="D58" s="33">
        <v>5446.2394530000001</v>
      </c>
      <c r="E58" s="42">
        <v>18723.424999999999</v>
      </c>
      <c r="F58" s="61">
        <v>2833.9749310000002</v>
      </c>
      <c r="G58" s="33">
        <v>108.6</v>
      </c>
      <c r="H58" s="33">
        <v>235.89187000000001</v>
      </c>
      <c r="I58" s="42">
        <v>1.9059999999999999</v>
      </c>
      <c r="J58" s="61">
        <v>27.557127000000001</v>
      </c>
      <c r="K58" s="42">
        <v>270467.43099999998</v>
      </c>
      <c r="L58" s="61">
        <v>15607.492576000001</v>
      </c>
      <c r="M58" s="32">
        <v>16809.215</v>
      </c>
      <c r="N58" s="33">
        <v>32055.443229</v>
      </c>
      <c r="O58" s="32">
        <v>20.652999999999999</v>
      </c>
      <c r="P58" s="33">
        <v>105.109871</v>
      </c>
      <c r="Q58" s="54">
        <v>904.50800000000004</v>
      </c>
      <c r="R58" s="45">
        <v>1305.1831870000001</v>
      </c>
      <c r="S58" s="25">
        <f t="shared" si="1"/>
        <v>18832.024999999998</v>
      </c>
      <c r="T58" s="25">
        <f t="shared" si="1"/>
        <v>3069.8668010000001</v>
      </c>
      <c r="U58" s="37">
        <f t="shared" si="0"/>
        <v>15904.707</v>
      </c>
      <c r="V58" s="37">
        <f t="shared" si="0"/>
        <v>30750.260042000002</v>
      </c>
    </row>
    <row r="59" spans="1:22" s="3" customFormat="1" ht="8.1" customHeight="1" x14ac:dyDescent="0.35">
      <c r="A59" s="60" t="s">
        <v>22</v>
      </c>
      <c r="B59" s="3" t="s">
        <v>29</v>
      </c>
      <c r="C59" s="32">
        <v>798.31100000000004</v>
      </c>
      <c r="D59" s="33">
        <v>4928.8207869999997</v>
      </c>
      <c r="E59" s="42">
        <v>17731.149000000001</v>
      </c>
      <c r="F59" s="61">
        <v>2602.2289030000002</v>
      </c>
      <c r="G59" s="33">
        <v>98.709000000000003</v>
      </c>
      <c r="H59" s="33">
        <v>245.27164500000001</v>
      </c>
      <c r="I59" s="42">
        <v>1.92</v>
      </c>
      <c r="J59" s="61">
        <v>27.001459000000001</v>
      </c>
      <c r="K59" s="42">
        <v>265359.63099999999</v>
      </c>
      <c r="L59" s="61">
        <v>14768.689839999999</v>
      </c>
      <c r="M59" s="32">
        <v>16347.963</v>
      </c>
      <c r="N59" s="33">
        <v>30813.020277</v>
      </c>
      <c r="O59" s="32">
        <v>19.722000000000001</v>
      </c>
      <c r="P59" s="33">
        <v>102.790401</v>
      </c>
      <c r="Q59" s="54">
        <v>880.33299999999997</v>
      </c>
      <c r="R59" s="45">
        <v>1225.984195</v>
      </c>
      <c r="S59" s="25">
        <f t="shared" si="1"/>
        <v>17829.858</v>
      </c>
      <c r="T59" s="25">
        <f t="shared" si="1"/>
        <v>2847.500548</v>
      </c>
      <c r="U59" s="37">
        <f t="shared" si="0"/>
        <v>15467.63</v>
      </c>
      <c r="V59" s="37">
        <f t="shared" si="0"/>
        <v>29587.036081999999</v>
      </c>
    </row>
    <row r="60" spans="1:22" s="3" customFormat="1" ht="8.1" customHeight="1" x14ac:dyDescent="0.35">
      <c r="A60" s="60" t="s">
        <v>22</v>
      </c>
      <c r="B60" s="3" t="s">
        <v>30</v>
      </c>
      <c r="C60" s="32">
        <v>929.10699999999997</v>
      </c>
      <c r="D60" s="33">
        <v>5660.379124</v>
      </c>
      <c r="E60" s="42">
        <v>19373.109</v>
      </c>
      <c r="F60" s="61">
        <v>2954.090549</v>
      </c>
      <c r="G60" s="33">
        <v>123.18899999999999</v>
      </c>
      <c r="H60" s="33">
        <v>288.30180100000001</v>
      </c>
      <c r="I60" s="42">
        <v>2.0259999999999998</v>
      </c>
      <c r="J60" s="61">
        <v>28.480748999999999</v>
      </c>
      <c r="K60" s="42">
        <v>301544.15100000001</v>
      </c>
      <c r="L60" s="61">
        <v>17165.466312</v>
      </c>
      <c r="M60" s="32">
        <v>18220.743999999999</v>
      </c>
      <c r="N60" s="33">
        <v>35549.753638000002</v>
      </c>
      <c r="O60" s="32">
        <v>23.149000000000001</v>
      </c>
      <c r="P60" s="33">
        <v>131.784233</v>
      </c>
      <c r="Q60" s="54">
        <v>1023.846</v>
      </c>
      <c r="R60" s="45">
        <v>1498.160658</v>
      </c>
      <c r="S60" s="25">
        <f t="shared" si="1"/>
        <v>19496.297999999999</v>
      </c>
      <c r="T60" s="25">
        <f t="shared" si="1"/>
        <v>3242.3923500000001</v>
      </c>
      <c r="U60" s="37">
        <f t="shared" si="0"/>
        <v>17196.897999999997</v>
      </c>
      <c r="V60" s="37">
        <f t="shared" si="0"/>
        <v>34051.592980000001</v>
      </c>
    </row>
    <row r="61" spans="1:22" s="3" customFormat="1" ht="8.1" customHeight="1" x14ac:dyDescent="0.35">
      <c r="A61" s="60" t="s">
        <v>22</v>
      </c>
      <c r="B61" s="3" t="s">
        <v>31</v>
      </c>
      <c r="C61" s="32">
        <v>762.18299999999999</v>
      </c>
      <c r="D61" s="33">
        <v>4244.3928729999998</v>
      </c>
      <c r="E61" s="42">
        <v>17344.632000000001</v>
      </c>
      <c r="F61" s="61">
        <v>2563.4692490000002</v>
      </c>
      <c r="G61" s="33">
        <v>91.978999999999999</v>
      </c>
      <c r="H61" s="33">
        <v>211.460092</v>
      </c>
      <c r="I61" s="42">
        <v>1.782</v>
      </c>
      <c r="J61" s="61">
        <v>25.333922999999999</v>
      </c>
      <c r="K61" s="42">
        <v>299262.408</v>
      </c>
      <c r="L61" s="61">
        <v>15866.864766999999</v>
      </c>
      <c r="M61" s="32">
        <v>17435.776000000002</v>
      </c>
      <c r="N61" s="33">
        <v>31081.025682</v>
      </c>
      <c r="O61" s="32">
        <v>19.492999999999999</v>
      </c>
      <c r="P61" s="33">
        <v>94.111543999999995</v>
      </c>
      <c r="Q61" s="54">
        <v>992.64700000000005</v>
      </c>
      <c r="R61" s="45">
        <v>1408.9153470000001</v>
      </c>
      <c r="S61" s="25">
        <f t="shared" si="1"/>
        <v>17436.611000000001</v>
      </c>
      <c r="T61" s="25">
        <f t="shared" si="1"/>
        <v>2774.929341</v>
      </c>
      <c r="U61" s="37">
        <f t="shared" si="0"/>
        <v>16443.129000000001</v>
      </c>
      <c r="V61" s="37">
        <f t="shared" si="0"/>
        <v>29672.110334999998</v>
      </c>
    </row>
    <row r="62" spans="1:22" s="3" customFormat="1" ht="8.1" customHeight="1" x14ac:dyDescent="0.35">
      <c r="A62" s="60" t="s">
        <v>22</v>
      </c>
      <c r="B62" s="3" t="s">
        <v>32</v>
      </c>
      <c r="C62" s="32">
        <v>922.95600000000002</v>
      </c>
      <c r="D62" s="33">
        <v>5320.8666629999998</v>
      </c>
      <c r="E62" s="42">
        <v>20223.823</v>
      </c>
      <c r="F62" s="61">
        <v>3209.9247759999998</v>
      </c>
      <c r="G62" s="33">
        <v>129.922</v>
      </c>
      <c r="H62" s="33">
        <v>310.56094899999999</v>
      </c>
      <c r="I62" s="42">
        <v>1.986</v>
      </c>
      <c r="J62" s="61">
        <v>27.741004</v>
      </c>
      <c r="K62" s="42">
        <v>319895.07500000001</v>
      </c>
      <c r="L62" s="61">
        <v>18049.386323999999</v>
      </c>
      <c r="M62" s="32">
        <v>19949.825000000001</v>
      </c>
      <c r="N62" s="33">
        <v>37306.238144000003</v>
      </c>
      <c r="O62" s="32">
        <v>20.177</v>
      </c>
      <c r="P62" s="33">
        <v>113.505983</v>
      </c>
      <c r="Q62" s="54">
        <v>1046.857</v>
      </c>
      <c r="R62" s="45">
        <v>1586.6988120000001</v>
      </c>
      <c r="S62" s="25">
        <f t="shared" si="1"/>
        <v>20353.744999999999</v>
      </c>
      <c r="T62" s="25">
        <f t="shared" si="1"/>
        <v>3520.485725</v>
      </c>
      <c r="U62" s="37">
        <f t="shared" si="0"/>
        <v>18902.968000000001</v>
      </c>
      <c r="V62" s="37">
        <f t="shared" si="0"/>
        <v>35719.539332</v>
      </c>
    </row>
    <row r="63" spans="1:22" s="3" customFormat="1" ht="8.1" customHeight="1" x14ac:dyDescent="0.35">
      <c r="A63" s="60" t="s">
        <v>22</v>
      </c>
      <c r="B63" s="3" t="s">
        <v>33</v>
      </c>
      <c r="C63" s="32">
        <v>818.36</v>
      </c>
      <c r="D63" s="33">
        <v>5125.4803190000002</v>
      </c>
      <c r="E63" s="42">
        <v>18959.775000000001</v>
      </c>
      <c r="F63" s="61">
        <v>2852.3405889999999</v>
      </c>
      <c r="G63" s="33">
        <v>124.64</v>
      </c>
      <c r="H63" s="33">
        <v>273.313334</v>
      </c>
      <c r="I63" s="42">
        <v>1.9350000000000001</v>
      </c>
      <c r="J63" s="61">
        <v>27.626984</v>
      </c>
      <c r="K63" s="42">
        <v>316920.93599999999</v>
      </c>
      <c r="L63" s="61">
        <v>16423.493179000001</v>
      </c>
      <c r="M63" s="32">
        <v>19404.132000000001</v>
      </c>
      <c r="N63" s="33">
        <v>37227.883563000003</v>
      </c>
      <c r="O63" s="32">
        <v>20.518999999999998</v>
      </c>
      <c r="P63" s="33">
        <v>115.178106</v>
      </c>
      <c r="Q63" s="54">
        <v>1068.981</v>
      </c>
      <c r="R63" s="45">
        <v>1640.601441</v>
      </c>
      <c r="S63" s="25">
        <f t="shared" si="1"/>
        <v>19084.415000000001</v>
      </c>
      <c r="T63" s="25">
        <f t="shared" si="1"/>
        <v>3125.6539229999998</v>
      </c>
      <c r="U63" s="37">
        <f t="shared" si="0"/>
        <v>18335.151000000002</v>
      </c>
      <c r="V63" s="37">
        <f t="shared" si="0"/>
        <v>35587.282122000004</v>
      </c>
    </row>
    <row r="64" spans="1:22" s="3" customFormat="1" ht="8.1" customHeight="1" x14ac:dyDescent="0.35">
      <c r="A64" s="60" t="s">
        <v>22</v>
      </c>
      <c r="B64" s="3" t="s">
        <v>21</v>
      </c>
      <c r="C64" s="32">
        <v>835.11099999999999</v>
      </c>
      <c r="D64" s="33">
        <v>5027.8672310000002</v>
      </c>
      <c r="E64" s="42">
        <v>19012.138999999999</v>
      </c>
      <c r="F64" s="61">
        <v>2840.8571259999999</v>
      </c>
      <c r="G64" s="33">
        <v>114.625</v>
      </c>
      <c r="H64" s="33">
        <v>282.48348399999998</v>
      </c>
      <c r="I64" s="42">
        <v>1.8919999999999999</v>
      </c>
      <c r="J64" s="61">
        <v>26.566106000000001</v>
      </c>
      <c r="K64" s="42">
        <v>338914.67099999997</v>
      </c>
      <c r="L64" s="61">
        <v>18070.352559999999</v>
      </c>
      <c r="M64" s="32">
        <v>18085.97</v>
      </c>
      <c r="N64" s="33">
        <v>36853.070856999999</v>
      </c>
      <c r="O64" s="32">
        <v>17.952000000000002</v>
      </c>
      <c r="P64" s="33">
        <v>89.483641000000006</v>
      </c>
      <c r="Q64" s="54">
        <v>1099.6489999999999</v>
      </c>
      <c r="R64" s="45">
        <v>1651.822242</v>
      </c>
      <c r="S64" s="25">
        <f t="shared" si="1"/>
        <v>19126.763999999999</v>
      </c>
      <c r="T64" s="25">
        <f t="shared" si="1"/>
        <v>3123.3406099999997</v>
      </c>
      <c r="U64" s="37">
        <f t="shared" si="0"/>
        <v>16986.321</v>
      </c>
      <c r="V64" s="37">
        <f t="shared" si="0"/>
        <v>35201.248614999997</v>
      </c>
    </row>
    <row r="65" spans="1:18" s="3" customFormat="1" ht="8.1" customHeight="1" x14ac:dyDescent="0.35">
      <c r="K65" s="25"/>
    </row>
    <row r="66" spans="1:18" s="70" customFormat="1" ht="14.1" customHeight="1" x14ac:dyDescent="0.5">
      <c r="A66" s="68"/>
      <c r="B66" s="68"/>
      <c r="C66" s="69" t="s">
        <v>38</v>
      </c>
      <c r="D66" s="69" t="s">
        <v>39</v>
      </c>
      <c r="E66" s="69" t="s">
        <v>38</v>
      </c>
      <c r="F66" s="69" t="s">
        <v>39</v>
      </c>
      <c r="G66" s="69" t="s">
        <v>38</v>
      </c>
      <c r="H66" s="69" t="s">
        <v>39</v>
      </c>
      <c r="I66" s="69" t="s">
        <v>38</v>
      </c>
      <c r="J66" s="69" t="s">
        <v>39</v>
      </c>
      <c r="K66" s="69" t="s">
        <v>38</v>
      </c>
      <c r="L66" s="69" t="s">
        <v>39</v>
      </c>
      <c r="M66" s="69" t="s">
        <v>38</v>
      </c>
      <c r="N66" s="69" t="s">
        <v>39</v>
      </c>
      <c r="O66" s="69" t="s">
        <v>38</v>
      </c>
      <c r="P66" s="69" t="s">
        <v>39</v>
      </c>
      <c r="Q66" s="69" t="s">
        <v>38</v>
      </c>
      <c r="R66" s="69" t="s">
        <v>39</v>
      </c>
    </row>
    <row r="67" spans="1:18" s="70" customFormat="1" ht="30" customHeight="1" x14ac:dyDescent="0.5">
      <c r="A67" s="68"/>
      <c r="B67" s="68"/>
      <c r="C67" s="17" t="s">
        <v>8</v>
      </c>
      <c r="D67" s="18"/>
      <c r="E67" s="17" t="s">
        <v>40</v>
      </c>
      <c r="F67" s="18"/>
      <c r="G67" s="17" t="s">
        <v>41</v>
      </c>
      <c r="H67" s="18"/>
      <c r="I67" s="17" t="s">
        <v>42</v>
      </c>
      <c r="J67" s="19"/>
      <c r="K67" s="17" t="s">
        <v>43</v>
      </c>
      <c r="L67" s="18"/>
      <c r="M67" s="17" t="s">
        <v>44</v>
      </c>
      <c r="N67" s="18"/>
      <c r="O67" s="17" t="s">
        <v>45</v>
      </c>
      <c r="P67" s="18"/>
      <c r="Q67" s="17" t="s">
        <v>46</v>
      </c>
      <c r="R67" s="18"/>
    </row>
    <row r="68" spans="1:18" s="73" customFormat="1" ht="14.1" customHeight="1" x14ac:dyDescent="0.5">
      <c r="A68" s="71" t="s">
        <v>47</v>
      </c>
      <c r="B68" s="72"/>
      <c r="C68" s="72"/>
      <c r="D68" s="72"/>
      <c r="E68" s="72"/>
      <c r="F68" s="72"/>
      <c r="G68" s="72"/>
      <c r="H68" s="72"/>
      <c r="I68" s="72"/>
      <c r="J68" s="72"/>
      <c r="K68" s="72"/>
      <c r="L68" s="72"/>
      <c r="M68" s="72"/>
      <c r="N68" s="72"/>
      <c r="O68" s="72"/>
      <c r="P68" s="72"/>
      <c r="Q68" s="72"/>
      <c r="R68" s="72"/>
    </row>
    <row r="69" spans="1:18" s="75" customFormat="1" ht="5.0999999999999996" customHeight="1" x14ac:dyDescent="0.5">
      <c r="A69" s="74"/>
      <c r="B69" s="74"/>
      <c r="C69" s="74"/>
      <c r="D69" s="74"/>
      <c r="E69" s="74"/>
      <c r="F69" s="74"/>
      <c r="G69" s="74"/>
      <c r="H69" s="74"/>
      <c r="I69" s="74"/>
      <c r="J69" s="74"/>
      <c r="K69" s="74"/>
      <c r="L69" s="74"/>
    </row>
    <row r="70" spans="1:18" s="3" customFormat="1" ht="8.1" customHeight="1" x14ac:dyDescent="0.35">
      <c r="A70" s="76" t="s">
        <v>48</v>
      </c>
      <c r="B70" s="76"/>
      <c r="C70" s="76"/>
      <c r="D70" s="76"/>
      <c r="E70" s="76"/>
      <c r="F70" s="76"/>
      <c r="G70" s="76"/>
      <c r="H70" s="76"/>
      <c r="I70" s="76"/>
      <c r="J70" s="76"/>
      <c r="K70" s="76"/>
      <c r="L70" s="76"/>
      <c r="M70" s="76"/>
      <c r="N70" s="76"/>
      <c r="O70" s="76"/>
      <c r="P70" s="76"/>
      <c r="Q70" s="76"/>
      <c r="R70" s="76"/>
    </row>
    <row r="71" spans="1:18" s="3" customFormat="1" ht="24.75" customHeight="1" x14ac:dyDescent="0.35">
      <c r="A71" s="77" t="s">
        <v>49</v>
      </c>
      <c r="B71" s="6"/>
      <c r="C71" s="78" t="s">
        <v>50</v>
      </c>
      <c r="D71" s="78"/>
      <c r="E71" s="78"/>
      <c r="F71" s="78"/>
      <c r="G71" s="78"/>
      <c r="H71" s="78"/>
      <c r="I71" s="78"/>
      <c r="J71" s="78"/>
      <c r="K71" s="78"/>
      <c r="L71" s="78"/>
      <c r="M71" s="78"/>
      <c r="N71" s="78"/>
      <c r="O71" s="78"/>
      <c r="P71" s="78"/>
      <c r="Q71" s="78"/>
      <c r="R71" s="78"/>
    </row>
    <row r="72" spans="1:18" s="3" customFormat="1" ht="42" customHeight="1" x14ac:dyDescent="0.35">
      <c r="A72" s="77" t="s">
        <v>51</v>
      </c>
      <c r="B72" s="6"/>
      <c r="C72" s="78" t="s">
        <v>52</v>
      </c>
      <c r="D72" s="78"/>
      <c r="E72" s="78"/>
      <c r="F72" s="78"/>
      <c r="G72" s="78"/>
      <c r="H72" s="78"/>
      <c r="I72" s="78"/>
      <c r="J72" s="78"/>
      <c r="K72" s="78"/>
      <c r="L72" s="78"/>
      <c r="M72" s="78"/>
      <c r="N72" s="78"/>
      <c r="O72" s="78"/>
      <c r="P72" s="78"/>
      <c r="Q72" s="78"/>
      <c r="R72" s="78"/>
    </row>
    <row r="73" spans="1:18" s="3" customFormat="1" ht="27.75" customHeight="1" x14ac:dyDescent="0.35">
      <c r="A73" s="77" t="s">
        <v>53</v>
      </c>
      <c r="B73" s="6"/>
      <c r="C73" s="78" t="s">
        <v>54</v>
      </c>
      <c r="D73" s="78"/>
      <c r="E73" s="78"/>
      <c r="F73" s="78"/>
      <c r="G73" s="78"/>
      <c r="H73" s="78"/>
      <c r="I73" s="78"/>
      <c r="J73" s="78"/>
      <c r="K73" s="78"/>
      <c r="L73" s="78"/>
      <c r="M73" s="78"/>
      <c r="N73" s="78"/>
      <c r="O73" s="78"/>
      <c r="P73" s="78"/>
      <c r="Q73" s="78"/>
      <c r="R73" s="78"/>
    </row>
    <row r="74" spans="1:18" s="3" customFormat="1" ht="30" customHeight="1" x14ac:dyDescent="0.35">
      <c r="A74" s="79" t="s">
        <v>55</v>
      </c>
      <c r="C74" s="78" t="s">
        <v>56</v>
      </c>
      <c r="D74" s="78"/>
      <c r="E74" s="78"/>
      <c r="F74" s="78"/>
      <c r="G74" s="78"/>
      <c r="H74" s="78"/>
      <c r="I74" s="78"/>
      <c r="J74" s="78"/>
      <c r="K74" s="78"/>
      <c r="L74" s="78"/>
      <c r="M74" s="78"/>
      <c r="N74" s="78"/>
      <c r="O74" s="78"/>
      <c r="P74" s="78"/>
      <c r="Q74" s="78"/>
      <c r="R74" s="78"/>
    </row>
    <row r="75" spans="1:18" s="3" customFormat="1" ht="42" customHeight="1" x14ac:dyDescent="0.35">
      <c r="A75" s="79" t="s">
        <v>57</v>
      </c>
      <c r="C75" s="78" t="s">
        <v>58</v>
      </c>
      <c r="D75" s="78"/>
      <c r="E75" s="78"/>
      <c r="F75" s="78"/>
      <c r="G75" s="78"/>
      <c r="H75" s="78"/>
      <c r="I75" s="78"/>
      <c r="J75" s="78"/>
      <c r="K75" s="78"/>
      <c r="L75" s="78"/>
      <c r="M75" s="78"/>
      <c r="N75" s="78"/>
      <c r="O75" s="78"/>
      <c r="P75" s="78"/>
      <c r="Q75" s="78"/>
      <c r="R75" s="78"/>
    </row>
    <row r="76" spans="1:18" s="3" customFormat="1" ht="10" x14ac:dyDescent="0.35">
      <c r="A76" s="79"/>
      <c r="C76" s="80"/>
      <c r="D76" s="80"/>
      <c r="E76" s="80"/>
      <c r="F76" s="80"/>
      <c r="G76" s="80"/>
      <c r="H76" s="80"/>
      <c r="I76" s="80"/>
      <c r="J76" s="80"/>
      <c r="K76" s="80"/>
      <c r="L76" s="80"/>
    </row>
    <row r="77" spans="1:18" s="3" customFormat="1" ht="10" x14ac:dyDescent="0.35">
      <c r="A77" s="79"/>
      <c r="C77" s="80"/>
      <c r="D77" s="80"/>
      <c r="E77" s="80"/>
      <c r="F77" s="80"/>
      <c r="G77" s="80"/>
      <c r="H77" s="80"/>
      <c r="I77" s="80"/>
      <c r="J77" s="80"/>
      <c r="K77" s="80"/>
      <c r="L77" s="80"/>
    </row>
    <row r="78" spans="1:18" s="3" customFormat="1" ht="105" customHeight="1" x14ac:dyDescent="0.35">
      <c r="A78" s="79"/>
      <c r="C78" s="80"/>
      <c r="D78" s="80"/>
      <c r="E78" s="80"/>
      <c r="F78" s="80"/>
      <c r="G78" s="80"/>
      <c r="H78" s="80"/>
      <c r="I78" s="80"/>
      <c r="J78" s="80"/>
      <c r="K78" s="80"/>
      <c r="L78" s="80"/>
    </row>
    <row r="79" spans="1:18" s="3" customFormat="1" ht="9.9499999999999993" customHeight="1" x14ac:dyDescent="0.35">
      <c r="A79" s="1" t="s">
        <v>0</v>
      </c>
      <c r="B79" s="1"/>
      <c r="C79" s="2" t="s">
        <v>1</v>
      </c>
      <c r="R79" s="4" t="s">
        <v>2</v>
      </c>
    </row>
    <row r="80" spans="1:18" s="5" customFormat="1" ht="9.9499999999999993" customHeight="1" x14ac:dyDescent="0.35">
      <c r="C80" s="2" t="s">
        <v>3</v>
      </c>
      <c r="R80" s="4" t="s">
        <v>4</v>
      </c>
    </row>
    <row r="81" spans="1:18" s="3" customFormat="1" ht="9.75" customHeight="1" x14ac:dyDescent="0.35"/>
    <row r="82" spans="1:18" s="3" customFormat="1" ht="9.75" customHeight="1" x14ac:dyDescent="0.35">
      <c r="A82" s="7" t="s">
        <v>5</v>
      </c>
      <c r="R82" s="9" t="s">
        <v>59</v>
      </c>
    </row>
    <row r="83" spans="1:18" ht="14.1" customHeight="1" x14ac:dyDescent="0.35">
      <c r="A83" s="10"/>
      <c r="B83" s="10"/>
      <c r="C83" s="71" t="s">
        <v>7</v>
      </c>
      <c r="D83" s="72"/>
      <c r="E83" s="72"/>
      <c r="F83" s="72"/>
      <c r="G83" s="72"/>
      <c r="H83" s="72"/>
      <c r="I83" s="72"/>
      <c r="J83" s="72"/>
      <c r="K83" s="72"/>
      <c r="L83" s="72"/>
      <c r="M83" s="72"/>
      <c r="N83" s="72"/>
      <c r="O83" s="72"/>
      <c r="P83" s="72"/>
      <c r="Q83" s="72"/>
      <c r="R83" s="72"/>
    </row>
    <row r="84" spans="1:18" ht="27.95" customHeight="1" x14ac:dyDescent="0.35">
      <c r="A84" s="16"/>
      <c r="B84" s="16"/>
      <c r="C84" s="17" t="s">
        <v>8</v>
      </c>
      <c r="D84" s="18"/>
      <c r="E84" s="17" t="s">
        <v>9</v>
      </c>
      <c r="F84" s="18"/>
      <c r="G84" s="17" t="s">
        <v>10</v>
      </c>
      <c r="H84" s="18"/>
      <c r="I84" s="17" t="s">
        <v>60</v>
      </c>
      <c r="J84" s="19"/>
      <c r="K84" s="17" t="s">
        <v>12</v>
      </c>
      <c r="L84" s="18"/>
      <c r="M84" s="17" t="s">
        <v>61</v>
      </c>
      <c r="N84" s="18"/>
      <c r="O84" s="17" t="s">
        <v>62</v>
      </c>
      <c r="P84" s="18"/>
      <c r="Q84" s="17" t="s">
        <v>62</v>
      </c>
      <c r="R84" s="18"/>
    </row>
    <row r="85" spans="1:18" ht="13.5" customHeight="1" x14ac:dyDescent="0.35">
      <c r="A85" s="16"/>
      <c r="B85" s="16"/>
      <c r="C85" s="22" t="s">
        <v>16</v>
      </c>
      <c r="D85" s="22" t="s">
        <v>17</v>
      </c>
      <c r="E85" s="22" t="s">
        <v>16</v>
      </c>
      <c r="F85" s="22" t="s">
        <v>17</v>
      </c>
      <c r="G85" s="22" t="s">
        <v>16</v>
      </c>
      <c r="H85" s="22" t="s">
        <v>17</v>
      </c>
      <c r="I85" s="22" t="s">
        <v>16</v>
      </c>
      <c r="J85" s="23" t="s">
        <v>17</v>
      </c>
      <c r="K85" s="22" t="s">
        <v>16</v>
      </c>
      <c r="L85" s="22" t="s">
        <v>17</v>
      </c>
      <c r="M85" s="22" t="s">
        <v>16</v>
      </c>
      <c r="N85" s="22" t="s">
        <v>17</v>
      </c>
      <c r="O85" s="22" t="s">
        <v>16</v>
      </c>
      <c r="P85" s="22" t="s">
        <v>17</v>
      </c>
      <c r="Q85" s="22" t="s">
        <v>16</v>
      </c>
      <c r="R85" s="22" t="s">
        <v>17</v>
      </c>
    </row>
    <row r="86" spans="1:18" ht="8.1" customHeight="1" x14ac:dyDescent="0.35">
      <c r="A86" s="3"/>
      <c r="B86" s="3"/>
      <c r="C86" s="3"/>
      <c r="D86" s="3"/>
      <c r="E86" s="3"/>
      <c r="F86" s="3"/>
      <c r="G86" s="3"/>
      <c r="H86" s="3"/>
      <c r="I86" s="3"/>
      <c r="J86" s="3"/>
      <c r="K86" s="3"/>
      <c r="L86" s="3"/>
    </row>
    <row r="87" spans="1:18" ht="7.5" customHeight="1" x14ac:dyDescent="0.35">
      <c r="A87" s="26" t="s">
        <v>63</v>
      </c>
      <c r="B87" s="26"/>
      <c r="C87" s="26"/>
      <c r="D87" s="26"/>
      <c r="E87" s="26"/>
      <c r="F87" s="26"/>
      <c r="G87" s="26"/>
      <c r="H87" s="26"/>
      <c r="I87" s="27"/>
      <c r="J87" s="27"/>
      <c r="K87" s="27" t="s">
        <v>64</v>
      </c>
      <c r="L87" s="27"/>
      <c r="M87" s="27"/>
      <c r="N87" s="27"/>
      <c r="O87" s="27"/>
      <c r="P87" s="27"/>
      <c r="Q87" s="27"/>
      <c r="R87" s="27"/>
    </row>
    <row r="88" spans="1:18" ht="8.1" customHeight="1" x14ac:dyDescent="0.35">
      <c r="A88" s="30">
        <v>2020</v>
      </c>
      <c r="B88" s="31"/>
      <c r="C88" s="81">
        <v>12.580128322546258</v>
      </c>
      <c r="D88" s="81">
        <v>15.874253086172169</v>
      </c>
      <c r="E88" s="81">
        <v>8.5395232220966601</v>
      </c>
      <c r="F88" s="81">
        <v>7.802889863107854</v>
      </c>
      <c r="G88" s="81">
        <v>12.327348955319746</v>
      </c>
      <c r="H88" s="81">
        <v>9.1760012712917565</v>
      </c>
      <c r="I88" s="81">
        <v>15.875958347637029</v>
      </c>
      <c r="J88" s="81">
        <v>11.828420912930774</v>
      </c>
      <c r="K88" s="81">
        <v>13.351980249742567</v>
      </c>
      <c r="L88" s="81">
        <v>12.642649329835756</v>
      </c>
      <c r="M88" s="81">
        <v>10.819897941142898</v>
      </c>
      <c r="N88" s="81">
        <v>14.215861930795995</v>
      </c>
      <c r="O88" s="81">
        <v>5.9926939681540912</v>
      </c>
      <c r="P88" s="81">
        <v>4.2630774376977358</v>
      </c>
      <c r="Q88" s="81">
        <v>24.333222072109763</v>
      </c>
      <c r="R88" s="81">
        <v>19.653230533859336</v>
      </c>
    </row>
    <row r="89" spans="1:18" ht="8.1" customHeight="1" x14ac:dyDescent="0.35">
      <c r="A89" s="30">
        <v>2021</v>
      </c>
      <c r="B89" s="31"/>
      <c r="C89" s="81">
        <v>12.42517362361726</v>
      </c>
      <c r="D89" s="81">
        <v>15.613369858521336</v>
      </c>
      <c r="E89" s="81">
        <v>8.7305600526242841</v>
      </c>
      <c r="F89" s="81">
        <v>8.4317875969118585</v>
      </c>
      <c r="G89" s="81">
        <v>12.777819058253961</v>
      </c>
      <c r="H89" s="81">
        <v>10.597111508577367</v>
      </c>
      <c r="I89" s="81">
        <v>16.16259238203525</v>
      </c>
      <c r="J89" s="81">
        <v>13.013808404587843</v>
      </c>
      <c r="K89" s="81">
        <v>13.434263310135663</v>
      </c>
      <c r="L89" s="81">
        <v>12.342514698436004</v>
      </c>
      <c r="M89" s="81">
        <v>11.311827055448065</v>
      </c>
      <c r="N89" s="81">
        <v>15.079256037235458</v>
      </c>
      <c r="O89" s="81">
        <v>4.9951407687638936</v>
      </c>
      <c r="P89" s="81">
        <v>4.3929061186474119</v>
      </c>
      <c r="Q89" s="81">
        <v>19.495906144848181</v>
      </c>
      <c r="R89" s="81">
        <v>15.87968797212068</v>
      </c>
    </row>
    <row r="90" spans="1:18" ht="8.1" customHeight="1" x14ac:dyDescent="0.35">
      <c r="A90" s="30">
        <v>2022</v>
      </c>
      <c r="B90" s="31"/>
      <c r="C90" s="81">
        <v>12.522910721000946</v>
      </c>
      <c r="D90" s="81">
        <v>15.855822351332135</v>
      </c>
      <c r="E90" s="81">
        <v>8.9921834986069893</v>
      </c>
      <c r="F90" s="81">
        <v>8.6883370211428517</v>
      </c>
      <c r="G90" s="81">
        <v>13.873442399596048</v>
      </c>
      <c r="H90" s="81">
        <v>11.336034674101322</v>
      </c>
      <c r="I90" s="81">
        <v>14.621175236882515</v>
      </c>
      <c r="J90" s="81">
        <v>14.368978929328494</v>
      </c>
      <c r="K90" s="81">
        <v>13.288621444146658</v>
      </c>
      <c r="L90" s="81">
        <v>11.909676622568428</v>
      </c>
      <c r="M90" s="81">
        <v>11.093706233051112</v>
      </c>
      <c r="N90" s="81">
        <v>15.083313491118023</v>
      </c>
      <c r="O90" s="81">
        <v>4.3930491005814831</v>
      </c>
      <c r="P90" s="81">
        <v>2.9116721922306534</v>
      </c>
      <c r="Q90" s="81">
        <v>18.207111611949134</v>
      </c>
      <c r="R90" s="81">
        <v>15.534226386666269</v>
      </c>
    </row>
    <row r="91" spans="1:18" ht="3" customHeight="1" x14ac:dyDescent="0.35">
      <c r="A91" s="30"/>
      <c r="B91" s="3"/>
    </row>
    <row r="92" spans="1:18" ht="8.1" customHeight="1" x14ac:dyDescent="0.35">
      <c r="A92" s="30" t="s">
        <v>20</v>
      </c>
      <c r="B92" s="3" t="s">
        <v>21</v>
      </c>
      <c r="C92" s="81">
        <v>12.830893233961262</v>
      </c>
      <c r="D92" s="81">
        <v>15.992901721702676</v>
      </c>
      <c r="E92" s="81">
        <v>8.956354905998607</v>
      </c>
      <c r="F92" s="81">
        <v>9.2752290908620036</v>
      </c>
      <c r="G92" s="81">
        <v>14.02159088726253</v>
      </c>
      <c r="H92" s="81">
        <v>10.580327267506309</v>
      </c>
      <c r="I92" s="81">
        <v>13.744292237442924</v>
      </c>
      <c r="J92" s="81">
        <v>14.477970246589084</v>
      </c>
      <c r="K92" s="81">
        <v>12.943665360190156</v>
      </c>
      <c r="L92" s="81">
        <v>11.659368631708352</v>
      </c>
      <c r="M92" s="81">
        <v>11.401752470567693</v>
      </c>
      <c r="N92" s="81">
        <v>15.1260964144073</v>
      </c>
      <c r="O92" s="81">
        <v>4.0146587870183899</v>
      </c>
      <c r="P92" s="81">
        <v>3.0748708795755033</v>
      </c>
      <c r="Q92" s="81">
        <v>18.064690702938869</v>
      </c>
      <c r="R92" s="81">
        <v>15.578450300635552</v>
      </c>
    </row>
    <row r="93" spans="1:18" ht="8.1" customHeight="1" x14ac:dyDescent="0.35">
      <c r="A93" s="30" t="s">
        <v>22</v>
      </c>
      <c r="B93" s="3" t="s">
        <v>23</v>
      </c>
      <c r="C93" s="81">
        <v>11.193195024354843</v>
      </c>
      <c r="D93" s="81">
        <v>16.575609767804213</v>
      </c>
      <c r="E93" s="81">
        <v>8.9515553164392898</v>
      </c>
      <c r="F93" s="81">
        <v>8.2311305848965848</v>
      </c>
      <c r="G93" s="81">
        <v>13.794986523860695</v>
      </c>
      <c r="H93" s="81">
        <v>11.532818442438202</v>
      </c>
      <c r="I93" s="81">
        <v>14.885309907271841</v>
      </c>
      <c r="J93" s="81">
        <v>17.495140247806116</v>
      </c>
      <c r="K93" s="81">
        <v>12.637148029552028</v>
      </c>
      <c r="L93" s="81">
        <v>11.257936237208153</v>
      </c>
      <c r="M93" s="81">
        <v>11.59179403215418</v>
      </c>
      <c r="N93" s="81">
        <v>15.593015150434614</v>
      </c>
      <c r="O93" s="81">
        <v>4.0711880076603046</v>
      </c>
      <c r="P93" s="81">
        <v>2.160334731824411</v>
      </c>
      <c r="Q93" s="81">
        <v>18.004925597109601</v>
      </c>
      <c r="R93" s="81">
        <v>15.392564096806405</v>
      </c>
    </row>
    <row r="94" spans="1:18" ht="7.5" customHeight="1" x14ac:dyDescent="0.35">
      <c r="A94" s="30" t="s">
        <v>22</v>
      </c>
      <c r="B94" s="3" t="s">
        <v>24</v>
      </c>
      <c r="C94" s="81">
        <v>12.378435129478817</v>
      </c>
      <c r="D94" s="81">
        <v>15.111405263416785</v>
      </c>
      <c r="E94" s="81">
        <v>8.9180368155988265</v>
      </c>
      <c r="F94" s="81">
        <v>9.1545744827341249</v>
      </c>
      <c r="G94" s="81">
        <v>14.467238087500508</v>
      </c>
      <c r="H94" s="81">
        <v>12.666359633269709</v>
      </c>
      <c r="I94" s="81">
        <v>13.094083414161013</v>
      </c>
      <c r="J94" s="81">
        <v>13.644488809191305</v>
      </c>
      <c r="K94" s="81">
        <v>13.194557857561598</v>
      </c>
      <c r="L94" s="81">
        <v>11.627215915439052</v>
      </c>
      <c r="M94" s="81">
        <v>11.717115904447095</v>
      </c>
      <c r="N94" s="81">
        <v>15.127895427762441</v>
      </c>
      <c r="O94" s="81">
        <v>4.1115841362312349</v>
      </c>
      <c r="P94" s="81">
        <v>2.9638002333610891</v>
      </c>
      <c r="Q94" s="81">
        <v>18.356878106259664</v>
      </c>
      <c r="R94" s="81">
        <v>15.50122626955279</v>
      </c>
    </row>
    <row r="95" spans="1:18" ht="8.1" customHeight="1" x14ac:dyDescent="0.35">
      <c r="A95" s="30" t="s">
        <v>22</v>
      </c>
      <c r="B95" s="3" t="s">
        <v>25</v>
      </c>
      <c r="C95" s="81">
        <v>12.941142314408127</v>
      </c>
      <c r="D95" s="81">
        <v>18.544334593116211</v>
      </c>
      <c r="E95" s="81">
        <v>9.0956498715125385</v>
      </c>
      <c r="F95" s="81">
        <v>8.2950966892114213</v>
      </c>
      <c r="G95" s="81">
        <v>14.263265604443795</v>
      </c>
      <c r="H95" s="81">
        <v>11.768414707254152</v>
      </c>
      <c r="I95" s="81">
        <v>14.552417424605075</v>
      </c>
      <c r="J95" s="81">
        <v>13.796680442311251</v>
      </c>
      <c r="K95" s="81">
        <v>13.29761839593216</v>
      </c>
      <c r="L95" s="81">
        <v>11.759274708225814</v>
      </c>
      <c r="M95" s="81">
        <v>9.4791071660384301</v>
      </c>
      <c r="N95" s="81">
        <v>14.750438656403137</v>
      </c>
      <c r="O95" s="81">
        <v>4.2162451696828249</v>
      </c>
      <c r="P95" s="81">
        <v>2.8371710788259885</v>
      </c>
      <c r="Q95" s="81">
        <v>18.836065516138216</v>
      </c>
      <c r="R95" s="81">
        <v>15.74739522318561</v>
      </c>
    </row>
    <row r="96" spans="1:18" ht="8.1" customHeight="1" x14ac:dyDescent="0.35">
      <c r="A96" s="30" t="s">
        <v>22</v>
      </c>
      <c r="B96" s="3" t="s">
        <v>26</v>
      </c>
      <c r="C96" s="81">
        <v>12.302349430837888</v>
      </c>
      <c r="D96" s="81">
        <v>15.444477983938231</v>
      </c>
      <c r="E96" s="81">
        <v>8.9708819616803677</v>
      </c>
      <c r="F96" s="81">
        <v>8.9775996540603025</v>
      </c>
      <c r="G96" s="81">
        <v>14.277096141732985</v>
      </c>
      <c r="H96" s="81">
        <v>11.058460758783646</v>
      </c>
      <c r="I96" s="81">
        <v>14.016840019811786</v>
      </c>
      <c r="J96" s="81">
        <v>14.730681993415468</v>
      </c>
      <c r="K96" s="81">
        <v>13.547421557391113</v>
      </c>
      <c r="L96" s="81">
        <v>11.881111361530747</v>
      </c>
      <c r="M96" s="81">
        <v>10.804975254765395</v>
      </c>
      <c r="N96" s="81">
        <v>15.138854589890652</v>
      </c>
      <c r="O96" s="81">
        <v>4.5614158297633249</v>
      </c>
      <c r="P96" s="81">
        <v>2.7107885791812882</v>
      </c>
      <c r="Q96" s="81">
        <v>17.891448583564536</v>
      </c>
      <c r="R96" s="81">
        <v>15.027096581230293</v>
      </c>
    </row>
    <row r="97" spans="1:18" ht="8.1" customHeight="1" x14ac:dyDescent="0.35">
      <c r="A97" s="30" t="s">
        <v>22</v>
      </c>
      <c r="B97" s="3" t="s">
        <v>27</v>
      </c>
      <c r="C97" s="81">
        <v>13.179551895642305</v>
      </c>
      <c r="D97" s="81">
        <v>15.405402341642516</v>
      </c>
      <c r="E97" s="81">
        <v>9.3881031190013005</v>
      </c>
      <c r="F97" s="81">
        <v>8.9704271142614722</v>
      </c>
      <c r="G97" s="81">
        <v>14.60603315839483</v>
      </c>
      <c r="H97" s="81">
        <v>12.896904557674816</v>
      </c>
      <c r="I97" s="81">
        <v>13.403199117484832</v>
      </c>
      <c r="J97" s="81">
        <v>12.331328265087917</v>
      </c>
      <c r="K97" s="81">
        <v>13.704870167896226</v>
      </c>
      <c r="L97" s="81">
        <v>11.922079517937908</v>
      </c>
      <c r="M97" s="81">
        <v>11.26970018223918</v>
      </c>
      <c r="N97" s="81">
        <v>14.275300569450842</v>
      </c>
      <c r="O97" s="81">
        <v>6.2267315795933396</v>
      </c>
      <c r="P97" s="81">
        <v>4.4880292635685795</v>
      </c>
      <c r="Q97" s="81">
        <v>17.979486248525006</v>
      </c>
      <c r="R97" s="81">
        <v>14.758734147638616</v>
      </c>
    </row>
    <row r="98" spans="1:18" ht="8.1" customHeight="1" x14ac:dyDescent="0.35">
      <c r="A98" s="30">
        <v>2023</v>
      </c>
      <c r="B98" s="3" t="s">
        <v>28</v>
      </c>
      <c r="C98" s="81">
        <v>12.890951266508438</v>
      </c>
      <c r="D98" s="81">
        <v>14.768911924299116</v>
      </c>
      <c r="E98" s="81">
        <v>9.231649658115435</v>
      </c>
      <c r="F98" s="81">
        <v>8.8042238931153047</v>
      </c>
      <c r="G98" s="81">
        <v>13.970534069981586</v>
      </c>
      <c r="H98" s="81">
        <v>12.615388143728733</v>
      </c>
      <c r="I98" s="81">
        <v>13.641133263378805</v>
      </c>
      <c r="J98" s="81">
        <v>15.546181574008058</v>
      </c>
      <c r="K98" s="81">
        <v>13.708421699025198</v>
      </c>
      <c r="L98" s="81">
        <v>11.773969316671357</v>
      </c>
      <c r="M98" s="81">
        <v>11.769395536912343</v>
      </c>
      <c r="N98" s="81">
        <v>14.538871918588004</v>
      </c>
      <c r="O98" s="81">
        <v>4.9339079068416209</v>
      </c>
      <c r="P98" s="81">
        <v>3.4531847156391238</v>
      </c>
      <c r="Q98" s="81">
        <v>17.867835331473021</v>
      </c>
      <c r="R98" s="81">
        <v>15.299877518265948</v>
      </c>
    </row>
    <row r="99" spans="1:18" ht="8.1" customHeight="1" x14ac:dyDescent="0.35">
      <c r="A99" s="30" t="s">
        <v>22</v>
      </c>
      <c r="B99" s="3" t="s">
        <v>29</v>
      </c>
      <c r="C99" s="81">
        <v>13.291186016477289</v>
      </c>
      <c r="D99" s="81">
        <v>14.665248631203681</v>
      </c>
      <c r="E99" s="81">
        <v>9.3529076993261953</v>
      </c>
      <c r="F99" s="81">
        <v>8.7125565986383169</v>
      </c>
      <c r="G99" s="81">
        <v>14.360392669361458</v>
      </c>
      <c r="H99" s="81">
        <v>11.341525433973421</v>
      </c>
      <c r="I99" s="81">
        <v>13.645833333333336</v>
      </c>
      <c r="J99" s="81">
        <v>12.360917237842592</v>
      </c>
      <c r="K99" s="81">
        <v>13.743225698109296</v>
      </c>
      <c r="L99" s="81">
        <v>11.890161192524577</v>
      </c>
      <c r="M99" s="81">
        <v>11.576004912660984</v>
      </c>
      <c r="N99" s="81">
        <v>14.674834824209725</v>
      </c>
      <c r="O99" s="81">
        <v>0</v>
      </c>
      <c r="P99" s="81">
        <v>0</v>
      </c>
      <c r="Q99" s="81">
        <v>17.528594293295832</v>
      </c>
      <c r="R99" s="81">
        <v>16.082100144855456</v>
      </c>
    </row>
    <row r="100" spans="1:18" ht="8.1" customHeight="1" x14ac:dyDescent="0.35">
      <c r="A100" s="30" t="s">
        <v>22</v>
      </c>
      <c r="B100" s="3" t="s">
        <v>30</v>
      </c>
      <c r="C100" s="81">
        <v>13.361431998682605</v>
      </c>
      <c r="D100" s="81">
        <v>14.615041234471205</v>
      </c>
      <c r="E100" s="81">
        <v>9.1509008698603829</v>
      </c>
      <c r="F100" s="81">
        <v>8.5070922448558974</v>
      </c>
      <c r="G100" s="81">
        <v>14.113273100682692</v>
      </c>
      <c r="H100" s="81">
        <v>12.403873952906732</v>
      </c>
      <c r="I100" s="81">
        <v>12.388943731490624</v>
      </c>
      <c r="J100" s="81">
        <v>10.970094220485564</v>
      </c>
      <c r="K100" s="81">
        <v>13.600083060473619</v>
      </c>
      <c r="L100" s="81">
        <v>11.909814565135479</v>
      </c>
      <c r="M100" s="81">
        <v>12.105894248884679</v>
      </c>
      <c r="N100" s="81">
        <v>14.631416090715357</v>
      </c>
      <c r="O100" s="81">
        <v>0</v>
      </c>
      <c r="P100" s="81">
        <v>0</v>
      </c>
      <c r="Q100" s="81">
        <v>17.220167876809597</v>
      </c>
      <c r="R100" s="81">
        <v>15.214736602701526</v>
      </c>
    </row>
    <row r="101" spans="1:18" ht="7.5" customHeight="1" x14ac:dyDescent="0.35">
      <c r="A101" s="30" t="s">
        <v>22</v>
      </c>
      <c r="B101" s="3" t="s">
        <v>31</v>
      </c>
      <c r="C101" s="81">
        <v>13.304022787178408</v>
      </c>
      <c r="D101" s="81">
        <v>15.223621595219846</v>
      </c>
      <c r="E101" s="81">
        <v>9.2879975775790449</v>
      </c>
      <c r="F101" s="81">
        <v>8.5855258488415735</v>
      </c>
      <c r="G101" s="81">
        <v>14.39785168353646</v>
      </c>
      <c r="H101" s="81">
        <v>12.455852899184402</v>
      </c>
      <c r="I101" s="81">
        <v>12.065095398428731</v>
      </c>
      <c r="J101" s="81">
        <v>12.566502234967716</v>
      </c>
      <c r="K101" s="81">
        <v>13.418725147730548</v>
      </c>
      <c r="L101" s="81">
        <v>11.822748189683365</v>
      </c>
      <c r="M101" s="81">
        <v>10.994434661239051</v>
      </c>
      <c r="N101" s="81">
        <v>13.911733197737139</v>
      </c>
      <c r="O101" s="81">
        <v>0</v>
      </c>
      <c r="P101" s="81">
        <v>0</v>
      </c>
      <c r="Q101" s="81">
        <v>17.52899066838463</v>
      </c>
      <c r="R101" s="81">
        <v>14.884401284046769</v>
      </c>
    </row>
    <row r="102" spans="1:18" ht="8.1" customHeight="1" x14ac:dyDescent="0.35">
      <c r="A102" s="30" t="s">
        <v>22</v>
      </c>
      <c r="B102" s="3" t="s">
        <v>32</v>
      </c>
      <c r="C102" s="81">
        <v>13.553408829890049</v>
      </c>
      <c r="D102" s="81">
        <v>14.784670107791426</v>
      </c>
      <c r="E102" s="81">
        <v>9.1585404005958715</v>
      </c>
      <c r="F102" s="81">
        <v>8.0112866794483413</v>
      </c>
      <c r="G102" s="81">
        <v>13.355705731130987</v>
      </c>
      <c r="H102" s="81">
        <v>11.481903347738676</v>
      </c>
      <c r="I102" s="81">
        <v>13.595166163141995</v>
      </c>
      <c r="J102" s="81">
        <v>16.905776013009479</v>
      </c>
      <c r="K102" s="81">
        <v>13.334018037007914</v>
      </c>
      <c r="L102" s="81">
        <v>11.560944591370253</v>
      </c>
      <c r="M102" s="81">
        <v>11.066372762668344</v>
      </c>
      <c r="N102" s="81">
        <v>13.777343347138421</v>
      </c>
      <c r="O102" s="81">
        <v>0</v>
      </c>
      <c r="P102" s="81">
        <v>0</v>
      </c>
      <c r="Q102" s="81">
        <v>17.809309198868611</v>
      </c>
      <c r="R102" s="81">
        <v>15.081953814433183</v>
      </c>
    </row>
    <row r="103" spans="1:18" ht="7.5" customHeight="1" x14ac:dyDescent="0.35">
      <c r="A103" s="30" t="s">
        <v>22</v>
      </c>
      <c r="B103" s="3" t="s">
        <v>33</v>
      </c>
      <c r="C103" s="81">
        <v>13.423065643482085</v>
      </c>
      <c r="D103" s="81">
        <v>13.57386507603913</v>
      </c>
      <c r="E103" s="81">
        <v>9.2387277802611045</v>
      </c>
      <c r="F103" s="81">
        <v>8.4576492348193426</v>
      </c>
      <c r="G103" s="81">
        <v>13.916078305519896</v>
      </c>
      <c r="H103" s="81">
        <v>12.571049680291122</v>
      </c>
      <c r="I103" s="81">
        <v>14.677002583979327</v>
      </c>
      <c r="J103" s="81">
        <v>16.78192596050296</v>
      </c>
      <c r="K103" s="81">
        <v>13.292270157879377</v>
      </c>
      <c r="L103" s="81">
        <v>11.758659110775035</v>
      </c>
      <c r="M103" s="81">
        <v>10.978589508667536</v>
      </c>
      <c r="N103" s="81">
        <v>14.231923985240492</v>
      </c>
      <c r="O103" s="81">
        <v>0</v>
      </c>
      <c r="P103" s="81">
        <v>0</v>
      </c>
      <c r="Q103" s="81">
        <v>17.000676345042617</v>
      </c>
      <c r="R103" s="81">
        <v>14.596159189890653</v>
      </c>
    </row>
    <row r="104" spans="1:18" ht="8.1" customHeight="1" x14ac:dyDescent="0.35">
      <c r="A104" s="30" t="s">
        <v>22</v>
      </c>
      <c r="B104" s="3" t="s">
        <v>21</v>
      </c>
      <c r="C104" s="81">
        <v>13.412947500392164</v>
      </c>
      <c r="D104" s="81">
        <v>14.731385952939855</v>
      </c>
      <c r="E104" s="81">
        <v>9.2726494372884627</v>
      </c>
      <c r="F104" s="81">
        <v>8.8681315471406776</v>
      </c>
      <c r="G104" s="81">
        <v>13.430752453653216</v>
      </c>
      <c r="H104" s="81">
        <v>11.79890467507828</v>
      </c>
      <c r="I104" s="81">
        <v>12.73784355179704</v>
      </c>
      <c r="J104" s="81">
        <v>14.08790960933454</v>
      </c>
      <c r="K104" s="81">
        <v>12.998618758525213</v>
      </c>
      <c r="L104" s="81">
        <v>11.498488704638754</v>
      </c>
      <c r="M104" s="81">
        <v>11.59477760938451</v>
      </c>
      <c r="N104" s="81">
        <v>14.135334608107772</v>
      </c>
      <c r="O104" s="81">
        <v>0</v>
      </c>
      <c r="P104" s="81">
        <v>0</v>
      </c>
      <c r="Q104" s="81">
        <v>16.846466463389685</v>
      </c>
      <c r="R104" s="81">
        <v>14.785470663253122</v>
      </c>
    </row>
    <row r="105" spans="1:18" ht="8.1" customHeight="1" x14ac:dyDescent="0.35">
      <c r="A105" s="3"/>
      <c r="B105" s="3"/>
      <c r="C105" s="3"/>
      <c r="D105" s="3"/>
      <c r="E105" s="3"/>
      <c r="F105" s="3"/>
      <c r="G105" s="3"/>
      <c r="H105" s="3"/>
      <c r="I105" s="3"/>
      <c r="J105" s="3"/>
      <c r="K105" s="3"/>
      <c r="L105" s="3"/>
    </row>
    <row r="106" spans="1:18" ht="8.1" customHeight="1" x14ac:dyDescent="0.35">
      <c r="A106" s="26" t="s">
        <v>65</v>
      </c>
      <c r="B106" s="26"/>
      <c r="C106" s="26"/>
      <c r="D106" s="26"/>
      <c r="E106" s="26"/>
      <c r="F106" s="26"/>
      <c r="G106" s="26"/>
      <c r="H106" s="26"/>
      <c r="I106" s="27"/>
      <c r="J106" s="27"/>
      <c r="K106" s="27" t="s">
        <v>66</v>
      </c>
      <c r="L106" s="27"/>
      <c r="M106" s="27"/>
      <c r="N106" s="27"/>
      <c r="O106" s="27"/>
      <c r="P106" s="27"/>
      <c r="Q106" s="27"/>
      <c r="R106" s="27"/>
    </row>
    <row r="107" spans="1:18" ht="8.1" customHeight="1" x14ac:dyDescent="0.35">
      <c r="A107" s="30">
        <v>2020</v>
      </c>
      <c r="B107" s="31"/>
      <c r="C107" s="81">
        <v>14.934631418807051</v>
      </c>
      <c r="D107" s="81">
        <v>16.010548970847594</v>
      </c>
      <c r="E107" s="81">
        <v>26.638987335063785</v>
      </c>
      <c r="F107" s="81">
        <v>24.269660308691602</v>
      </c>
      <c r="G107" s="81">
        <v>9.9149431486347144</v>
      </c>
      <c r="H107" s="81">
        <v>25.953261855016397</v>
      </c>
      <c r="I107" s="81">
        <v>31.076782240530953</v>
      </c>
      <c r="J107" s="81">
        <v>22.729767339510413</v>
      </c>
      <c r="K107" s="82">
        <v>0</v>
      </c>
      <c r="L107" s="82">
        <v>0</v>
      </c>
      <c r="M107" s="81">
        <v>13.293505878159353</v>
      </c>
      <c r="N107" s="81">
        <v>15.810617494650018</v>
      </c>
      <c r="O107" s="81">
        <v>12.273084788422214</v>
      </c>
      <c r="P107" s="81">
        <v>11.429154933141401</v>
      </c>
      <c r="Q107" s="81">
        <v>13.328672374111733</v>
      </c>
      <c r="R107" s="81">
        <v>14.571184448147486</v>
      </c>
    </row>
    <row r="108" spans="1:18" ht="8.1" customHeight="1" x14ac:dyDescent="0.35">
      <c r="A108" s="30">
        <v>2021</v>
      </c>
      <c r="B108" s="31"/>
      <c r="C108" s="81">
        <v>14.798385477128424</v>
      </c>
      <c r="D108" s="81">
        <v>16.247727225911472</v>
      </c>
      <c r="E108" s="81">
        <v>26.388591393835892</v>
      </c>
      <c r="F108" s="81">
        <v>22.298125871293127</v>
      </c>
      <c r="G108" s="81">
        <v>9.1633587051279779</v>
      </c>
      <c r="H108" s="81">
        <v>22.952743067163482</v>
      </c>
      <c r="I108" s="81">
        <v>33.294485503126772</v>
      </c>
      <c r="J108" s="81">
        <v>23.145659704095149</v>
      </c>
      <c r="K108" s="82">
        <v>0</v>
      </c>
      <c r="L108" s="82">
        <v>0</v>
      </c>
      <c r="M108" s="81">
        <v>13.263235218654589</v>
      </c>
      <c r="N108" s="81">
        <v>15.801562232501537</v>
      </c>
      <c r="O108" s="81">
        <v>12.841402884260933</v>
      </c>
      <c r="P108" s="81">
        <v>11.805208036820856</v>
      </c>
      <c r="Q108" s="81">
        <v>14.182443036325099</v>
      </c>
      <c r="R108" s="81">
        <v>15.210848117340237</v>
      </c>
    </row>
    <row r="109" spans="1:18" ht="8.1" customHeight="1" x14ac:dyDescent="0.35">
      <c r="A109" s="30">
        <v>2022</v>
      </c>
      <c r="B109" s="31"/>
      <c r="C109" s="81">
        <v>14.182151898050899</v>
      </c>
      <c r="D109" s="81">
        <v>15.387622729586939</v>
      </c>
      <c r="E109" s="81">
        <v>25.536392404973668</v>
      </c>
      <c r="F109" s="81">
        <v>21.41887959554515</v>
      </c>
      <c r="G109" s="81">
        <v>7.6601114699855062</v>
      </c>
      <c r="H109" s="81">
        <v>20.400164568510306</v>
      </c>
      <c r="I109" s="81">
        <v>21.643384142915995</v>
      </c>
      <c r="J109" s="81">
        <v>19.334606668155924</v>
      </c>
      <c r="K109" s="82">
        <v>0</v>
      </c>
      <c r="L109" s="82">
        <v>0</v>
      </c>
      <c r="M109" s="81">
        <v>13.280827838601736</v>
      </c>
      <c r="N109" s="81">
        <v>15.601160940060547</v>
      </c>
      <c r="O109" s="81">
        <v>12.656638157834429</v>
      </c>
      <c r="P109" s="81">
        <v>12.224575758060901</v>
      </c>
      <c r="Q109" s="81">
        <v>14.64308465999831</v>
      </c>
      <c r="R109" s="81">
        <v>15.193274663804809</v>
      </c>
    </row>
    <row r="110" spans="1:18" ht="3" customHeight="1" x14ac:dyDescent="0.35">
      <c r="A110" s="30"/>
      <c r="B110" s="3"/>
      <c r="C110" s="81"/>
      <c r="D110" s="81"/>
      <c r="E110" s="81"/>
      <c r="F110" s="81"/>
      <c r="G110" s="81"/>
      <c r="H110" s="81"/>
      <c r="I110" s="81"/>
      <c r="J110" s="81"/>
      <c r="K110" s="82"/>
      <c r="L110" s="82"/>
      <c r="M110" s="81"/>
      <c r="N110" s="81"/>
      <c r="O110" s="81"/>
      <c r="P110" s="81"/>
      <c r="Q110" s="81"/>
      <c r="R110" s="81"/>
    </row>
    <row r="111" spans="1:18" ht="8.1" customHeight="1" x14ac:dyDescent="0.35">
      <c r="A111" s="30" t="s">
        <v>20</v>
      </c>
      <c r="B111" s="3" t="s">
        <v>21</v>
      </c>
      <c r="C111" s="81">
        <v>14.221826749741515</v>
      </c>
      <c r="D111" s="81">
        <v>16.247460500848586</v>
      </c>
      <c r="E111" s="81">
        <v>25.52604665927754</v>
      </c>
      <c r="F111" s="81">
        <v>21.970550255567421</v>
      </c>
      <c r="G111" s="81">
        <v>7.3215006050826954</v>
      </c>
      <c r="H111" s="81">
        <v>18.993115684801488</v>
      </c>
      <c r="I111" s="81">
        <v>19.17808219178082</v>
      </c>
      <c r="J111" s="81">
        <v>19.232371015939496</v>
      </c>
      <c r="K111" s="82">
        <v>0</v>
      </c>
      <c r="L111" s="82">
        <v>0</v>
      </c>
      <c r="M111" s="81">
        <v>13.181732817443612</v>
      </c>
      <c r="N111" s="81">
        <v>15.141197934038248</v>
      </c>
      <c r="O111" s="81">
        <v>12.621743867410609</v>
      </c>
      <c r="P111" s="81">
        <v>13.327420974947762</v>
      </c>
      <c r="Q111" s="81">
        <v>14.499244329168892</v>
      </c>
      <c r="R111" s="81">
        <v>14.888982743047038</v>
      </c>
    </row>
    <row r="112" spans="1:18" ht="8.1" customHeight="1" x14ac:dyDescent="0.35">
      <c r="A112" s="30" t="s">
        <v>22</v>
      </c>
      <c r="B112" s="3" t="s">
        <v>23</v>
      </c>
      <c r="C112" s="81">
        <v>13.659697708989302</v>
      </c>
      <c r="D112" s="81">
        <v>15.055790471995891</v>
      </c>
      <c r="E112" s="81">
        <v>25.536798068050757</v>
      </c>
      <c r="F112" s="81">
        <v>21.741104084600391</v>
      </c>
      <c r="G112" s="81">
        <v>8.8396427501893697</v>
      </c>
      <c r="H112" s="81">
        <v>20.443920921582592</v>
      </c>
      <c r="I112" s="81">
        <v>17.081503172279159</v>
      </c>
      <c r="J112" s="81">
        <v>16.193625984930808</v>
      </c>
      <c r="K112" s="82">
        <v>0</v>
      </c>
      <c r="L112" s="82">
        <v>0</v>
      </c>
      <c r="M112" s="81">
        <v>13.270781208560955</v>
      </c>
      <c r="N112" s="81">
        <v>15.53660322042334</v>
      </c>
      <c r="O112" s="81">
        <v>12.9168592749125</v>
      </c>
      <c r="P112" s="81">
        <v>13.496903068075541</v>
      </c>
      <c r="Q112" s="81">
        <v>14.562746417220298</v>
      </c>
      <c r="R112" s="81">
        <v>15.086120960663493</v>
      </c>
    </row>
    <row r="113" spans="1:18" ht="8.1" customHeight="1" x14ac:dyDescent="0.35">
      <c r="A113" s="30" t="s">
        <v>22</v>
      </c>
      <c r="B113" s="3" t="s">
        <v>24</v>
      </c>
      <c r="C113" s="81">
        <v>13.901627685452542</v>
      </c>
      <c r="D113" s="81">
        <v>14.595863787527794</v>
      </c>
      <c r="E113" s="81">
        <v>25.713094628926413</v>
      </c>
      <c r="F113" s="81">
        <v>20.498976675039835</v>
      </c>
      <c r="G113" s="81">
        <v>6.3606450826664496</v>
      </c>
      <c r="H113" s="81">
        <v>17.817164447574164</v>
      </c>
      <c r="I113" s="81">
        <v>16.537342386032979</v>
      </c>
      <c r="J113" s="81">
        <v>16.441025324213992</v>
      </c>
      <c r="K113" s="82">
        <v>0</v>
      </c>
      <c r="L113" s="82">
        <v>0</v>
      </c>
      <c r="M113" s="81">
        <v>13.334518951737534</v>
      </c>
      <c r="N113" s="81">
        <v>15.554588421936691</v>
      </c>
      <c r="O113" s="81">
        <v>13.003211591605051</v>
      </c>
      <c r="P113" s="81">
        <v>11.602628795277733</v>
      </c>
      <c r="Q113" s="81">
        <v>14.780383522878516</v>
      </c>
      <c r="R113" s="81">
        <v>15.25890471874802</v>
      </c>
    </row>
    <row r="114" spans="1:18" ht="8.1" customHeight="1" x14ac:dyDescent="0.35">
      <c r="A114" s="30" t="s">
        <v>22</v>
      </c>
      <c r="B114" s="3" t="s">
        <v>25</v>
      </c>
      <c r="C114" s="81">
        <v>14.099963916435442</v>
      </c>
      <c r="D114" s="81">
        <v>14.650852485735651</v>
      </c>
      <c r="E114" s="81">
        <v>24.851348324411482</v>
      </c>
      <c r="F114" s="81">
        <v>20.771394663882845</v>
      </c>
      <c r="G114" s="81">
        <v>7.565597134921795</v>
      </c>
      <c r="H114" s="81">
        <v>20.535289103623363</v>
      </c>
      <c r="I114" s="81">
        <v>16.898037338439444</v>
      </c>
      <c r="J114" s="81">
        <v>17.630783606536184</v>
      </c>
      <c r="K114" s="82">
        <v>0</v>
      </c>
      <c r="L114" s="82">
        <v>0</v>
      </c>
      <c r="M114" s="81">
        <v>13.136691200815509</v>
      </c>
      <c r="N114" s="81">
        <v>15.866826163025859</v>
      </c>
      <c r="O114" s="81">
        <v>13.00455293262425</v>
      </c>
      <c r="P114" s="81">
        <v>12.02690888259438</v>
      </c>
      <c r="Q114" s="81">
        <v>14.756130858841715</v>
      </c>
      <c r="R114" s="81">
        <v>15.232917086763706</v>
      </c>
    </row>
    <row r="115" spans="1:18" ht="7.5" customHeight="1" x14ac:dyDescent="0.35">
      <c r="A115" s="30" t="s">
        <v>22</v>
      </c>
      <c r="B115" s="3" t="s">
        <v>26</v>
      </c>
      <c r="C115" s="81">
        <v>13.885970397964028</v>
      </c>
      <c r="D115" s="81">
        <v>14.522841263061364</v>
      </c>
      <c r="E115" s="81">
        <v>26.242341959304117</v>
      </c>
      <c r="F115" s="81">
        <v>21.598383224839846</v>
      </c>
      <c r="G115" s="81">
        <v>7.0937463959048612</v>
      </c>
      <c r="H115" s="81">
        <v>18.500921019020687</v>
      </c>
      <c r="I115" s="81">
        <v>17.137196631996034</v>
      </c>
      <c r="J115" s="81">
        <v>17.617456208031541</v>
      </c>
      <c r="K115" s="82">
        <v>0</v>
      </c>
      <c r="L115" s="82">
        <v>0</v>
      </c>
      <c r="M115" s="81">
        <v>13.468295788611236</v>
      </c>
      <c r="N115" s="81">
        <v>15.113220767099932</v>
      </c>
      <c r="O115" s="81">
        <v>13.006531357539153</v>
      </c>
      <c r="P115" s="81">
        <v>12.634233799062629</v>
      </c>
      <c r="Q115" s="81">
        <v>15.058688583875146</v>
      </c>
      <c r="R115" s="81">
        <v>15.129016664819398</v>
      </c>
    </row>
    <row r="116" spans="1:18" ht="8.1" customHeight="1" x14ac:dyDescent="0.35">
      <c r="A116" s="30" t="s">
        <v>22</v>
      </c>
      <c r="B116" s="3" t="s">
        <v>27</v>
      </c>
      <c r="C116" s="81">
        <v>13.868700725146867</v>
      </c>
      <c r="D116" s="81">
        <v>15.207437523394271</v>
      </c>
      <c r="E116" s="81">
        <v>25.354597855388967</v>
      </c>
      <c r="F116" s="81">
        <v>21.342845173283397</v>
      </c>
      <c r="G116" s="81">
        <v>7.3944818889806498</v>
      </c>
      <c r="H116" s="81">
        <v>19.402163566267301</v>
      </c>
      <c r="I116" s="81">
        <v>16.050744622173195</v>
      </c>
      <c r="J116" s="81">
        <v>15.221165839346709</v>
      </c>
      <c r="K116" s="82">
        <v>0</v>
      </c>
      <c r="L116" s="82">
        <v>0</v>
      </c>
      <c r="M116" s="81">
        <v>13.202088945114216</v>
      </c>
      <c r="N116" s="81">
        <v>14.593309843037275</v>
      </c>
      <c r="O116" s="81">
        <v>12.674385304586178</v>
      </c>
      <c r="P116" s="81">
        <v>12.359314696000796</v>
      </c>
      <c r="Q116" s="81">
        <v>15.186227345617379</v>
      </c>
      <c r="R116" s="81">
        <v>15.801447017857253</v>
      </c>
    </row>
    <row r="117" spans="1:18" ht="8.1" customHeight="1" x14ac:dyDescent="0.35">
      <c r="A117" s="30">
        <v>2023</v>
      </c>
      <c r="B117" s="3" t="s">
        <v>28</v>
      </c>
      <c r="C117" s="81">
        <v>13.683190956228344</v>
      </c>
      <c r="D117" s="81">
        <v>14.10407916561358</v>
      </c>
      <c r="E117" s="81">
        <v>25.435052614572388</v>
      </c>
      <c r="F117" s="81">
        <v>21.574537456626498</v>
      </c>
      <c r="G117" s="81">
        <v>7.9033149171270729</v>
      </c>
      <c r="H117" s="81">
        <v>19.458117399298246</v>
      </c>
      <c r="I117" s="81">
        <v>15.005246589716684</v>
      </c>
      <c r="J117" s="81">
        <v>16.048084402993098</v>
      </c>
      <c r="K117" s="82">
        <v>0</v>
      </c>
      <c r="L117" s="82">
        <v>0</v>
      </c>
      <c r="M117" s="81">
        <v>13.39949545532019</v>
      </c>
      <c r="N117" s="81">
        <v>14.867400441022301</v>
      </c>
      <c r="O117" s="81">
        <v>13.092528930421732</v>
      </c>
      <c r="P117" s="81">
        <v>12.994757647452539</v>
      </c>
      <c r="Q117" s="81">
        <v>15.282341339158966</v>
      </c>
      <c r="R117" s="81">
        <v>15.83816096153865</v>
      </c>
    </row>
    <row r="118" spans="1:18" ht="8.1" customHeight="1" x14ac:dyDescent="0.35">
      <c r="A118" s="30" t="s">
        <v>22</v>
      </c>
      <c r="B118" s="3" t="s">
        <v>29</v>
      </c>
      <c r="C118" s="81">
        <v>13.628022161789078</v>
      </c>
      <c r="D118" s="81">
        <v>12.649377669490827</v>
      </c>
      <c r="E118" s="81">
        <v>24.493223761189984</v>
      </c>
      <c r="F118" s="81">
        <v>21.146831255528483</v>
      </c>
      <c r="G118" s="81">
        <v>6.5728555653486511</v>
      </c>
      <c r="H118" s="81">
        <v>17.206989010083085</v>
      </c>
      <c r="I118" s="81">
        <v>15.104166666666666</v>
      </c>
      <c r="J118" s="81">
        <v>13.704392788552648</v>
      </c>
      <c r="K118" s="82">
        <v>0</v>
      </c>
      <c r="L118" s="82">
        <v>0</v>
      </c>
      <c r="M118" s="81">
        <v>13.354489485937791</v>
      </c>
      <c r="N118" s="81">
        <v>14.801195079225243</v>
      </c>
      <c r="O118" s="81">
        <v>14.050299158300374</v>
      </c>
      <c r="P118" s="81">
        <v>13.10505345727759</v>
      </c>
      <c r="Q118" s="81">
        <v>15.29387175080339</v>
      </c>
      <c r="R118" s="81">
        <v>16.561395393845189</v>
      </c>
    </row>
    <row r="119" spans="1:18" ht="8.1" customHeight="1" x14ac:dyDescent="0.35">
      <c r="A119" s="30" t="s">
        <v>22</v>
      </c>
      <c r="B119" s="3" t="s">
        <v>30</v>
      </c>
      <c r="C119" s="81">
        <v>13.510499867076668</v>
      </c>
      <c r="D119" s="81">
        <v>14.536827621866552</v>
      </c>
      <c r="E119" s="81">
        <v>26.229140609284755</v>
      </c>
      <c r="F119" s="81">
        <v>21.267101755315899</v>
      </c>
      <c r="G119" s="81">
        <v>8.4333828507415429</v>
      </c>
      <c r="H119" s="81">
        <v>19.428176239523385</v>
      </c>
      <c r="I119" s="81">
        <v>15.547877591312934</v>
      </c>
      <c r="J119" s="81">
        <v>15.015535581595838</v>
      </c>
      <c r="K119" s="82">
        <v>0</v>
      </c>
      <c r="L119" s="82">
        <v>0</v>
      </c>
      <c r="M119" s="81">
        <v>13.430582197960744</v>
      </c>
      <c r="N119" s="81">
        <v>15.606456276730835</v>
      </c>
      <c r="O119" s="81">
        <v>14.704738865609745</v>
      </c>
      <c r="P119" s="81">
        <v>14.310127676654611</v>
      </c>
      <c r="Q119" s="81">
        <v>15.364517710671329</v>
      </c>
      <c r="R119" s="81">
        <v>16.434413738289475</v>
      </c>
    </row>
    <row r="120" spans="1:18" ht="8.1" customHeight="1" x14ac:dyDescent="0.35">
      <c r="A120" s="30" t="s">
        <v>22</v>
      </c>
      <c r="B120" s="3" t="s">
        <v>31</v>
      </c>
      <c r="C120" s="81">
        <v>13.519587815524616</v>
      </c>
      <c r="D120" s="81">
        <v>14.414974798681884</v>
      </c>
      <c r="E120" s="81">
        <v>26.352251232542724</v>
      </c>
      <c r="F120" s="81">
        <v>23.201490528197862</v>
      </c>
      <c r="G120" s="81">
        <v>6.1242240076539209</v>
      </c>
      <c r="H120" s="81">
        <v>19.605861138091246</v>
      </c>
      <c r="I120" s="81">
        <v>16.273849607182939</v>
      </c>
      <c r="J120" s="81">
        <v>14.702657776294656</v>
      </c>
      <c r="K120" s="82">
        <v>0</v>
      </c>
      <c r="L120" s="82">
        <v>0</v>
      </c>
      <c r="M120" s="81">
        <v>13.184139323652699</v>
      </c>
      <c r="N120" s="81">
        <v>16.151633846843396</v>
      </c>
      <c r="O120" s="81">
        <v>14.415431180423743</v>
      </c>
      <c r="P120" s="81">
        <v>14.361938424897163</v>
      </c>
      <c r="Q120" s="81">
        <v>15.232000902637088</v>
      </c>
      <c r="R120" s="81">
        <v>16.473962647523066</v>
      </c>
    </row>
    <row r="121" spans="1:18" ht="8.1" customHeight="1" x14ac:dyDescent="0.35">
      <c r="A121" s="30" t="s">
        <v>22</v>
      </c>
      <c r="B121" s="3" t="s">
        <v>32</v>
      </c>
      <c r="C121" s="81">
        <v>13.534014622582225</v>
      </c>
      <c r="D121" s="81">
        <v>13.997312001426486</v>
      </c>
      <c r="E121" s="81">
        <v>26.806425273797142</v>
      </c>
      <c r="F121" s="81">
        <v>20.246774530644018</v>
      </c>
      <c r="G121" s="81">
        <v>7.6830713812903131</v>
      </c>
      <c r="H121" s="81">
        <v>17.736351005290107</v>
      </c>
      <c r="I121" s="81">
        <v>15.005035246727088</v>
      </c>
      <c r="J121" s="81">
        <v>14.30441738878665</v>
      </c>
      <c r="K121" s="82">
        <v>0</v>
      </c>
      <c r="L121" s="82">
        <v>0</v>
      </c>
      <c r="M121" s="81">
        <v>13.390598664399311</v>
      </c>
      <c r="N121" s="81">
        <v>15.175549298611157</v>
      </c>
      <c r="O121" s="81">
        <v>15.780343955989496</v>
      </c>
      <c r="P121" s="81">
        <v>14.342725880802249</v>
      </c>
      <c r="Q121" s="81">
        <v>15.276011909936123</v>
      </c>
      <c r="R121" s="81">
        <v>16.581121761122237</v>
      </c>
    </row>
    <row r="122" spans="1:18" ht="8.1" customHeight="1" x14ac:dyDescent="0.35">
      <c r="A122" s="30" t="s">
        <v>22</v>
      </c>
      <c r="B122" s="3" t="s">
        <v>33</v>
      </c>
      <c r="C122" s="81">
        <v>13.52962021604184</v>
      </c>
      <c r="D122" s="81">
        <v>14.520238508011721</v>
      </c>
      <c r="E122" s="81">
        <v>26.015556619210933</v>
      </c>
      <c r="F122" s="81">
        <v>21.468993547320029</v>
      </c>
      <c r="G122" s="81">
        <v>6.1810012836970474</v>
      </c>
      <c r="H122" s="81">
        <v>16.842267929745429</v>
      </c>
      <c r="I122" s="81">
        <v>15.297157622739016</v>
      </c>
      <c r="J122" s="81">
        <v>14.612003974085628</v>
      </c>
      <c r="K122" s="82">
        <v>0</v>
      </c>
      <c r="L122" s="82">
        <v>0</v>
      </c>
      <c r="M122" s="81">
        <v>13.072416740929199</v>
      </c>
      <c r="N122" s="81">
        <v>15.214310629329717</v>
      </c>
      <c r="O122" s="81">
        <v>16.102149227545205</v>
      </c>
      <c r="P122" s="81">
        <v>15.159717073312526</v>
      </c>
      <c r="Q122" s="81">
        <v>15.336568189705895</v>
      </c>
      <c r="R122" s="81">
        <v>16.387333832653876</v>
      </c>
    </row>
    <row r="123" spans="1:18" ht="8.1" customHeight="1" x14ac:dyDescent="0.35">
      <c r="A123" s="30" t="s">
        <v>22</v>
      </c>
      <c r="B123" s="3" t="s">
        <v>21</v>
      </c>
      <c r="C123" s="81">
        <v>13.442165173252418</v>
      </c>
      <c r="D123" s="81">
        <v>14.76939471315964</v>
      </c>
      <c r="E123" s="81">
        <v>26.45075338445611</v>
      </c>
      <c r="F123" s="81">
        <v>21.5752641479373</v>
      </c>
      <c r="G123" s="81">
        <v>7.2671755725190845</v>
      </c>
      <c r="H123" s="81">
        <v>17.194338696275782</v>
      </c>
      <c r="I123" s="81">
        <v>16.490486257928119</v>
      </c>
      <c r="J123" s="81">
        <v>18.402998166159541</v>
      </c>
      <c r="K123" s="82">
        <v>0</v>
      </c>
      <c r="L123" s="82">
        <v>0</v>
      </c>
      <c r="M123" s="81">
        <v>13.237072714374731</v>
      </c>
      <c r="N123" s="81">
        <v>14.942634532052884</v>
      </c>
      <c r="O123" s="81">
        <v>15.892379679144383</v>
      </c>
      <c r="P123" s="81">
        <v>16.008324918294285</v>
      </c>
      <c r="Q123" s="81">
        <v>15.343441407212666</v>
      </c>
      <c r="R123" s="81">
        <v>16.259745944261237</v>
      </c>
    </row>
    <row r="124" spans="1:18" ht="8.1" customHeight="1" x14ac:dyDescent="0.35">
      <c r="A124" s="3"/>
      <c r="B124" s="3"/>
      <c r="C124" s="3"/>
      <c r="D124" s="3"/>
      <c r="E124" s="3"/>
      <c r="F124" s="3"/>
      <c r="G124" s="3"/>
      <c r="H124" s="3"/>
      <c r="I124" s="3"/>
      <c r="J124" s="3"/>
      <c r="K124" s="3"/>
      <c r="L124" s="3"/>
    </row>
    <row r="125" spans="1:18" ht="8.1" customHeight="1" x14ac:dyDescent="0.35">
      <c r="A125" s="26" t="s">
        <v>67</v>
      </c>
      <c r="B125" s="26"/>
      <c r="C125" s="26"/>
      <c r="D125" s="26"/>
      <c r="E125" s="26"/>
      <c r="F125" s="26"/>
      <c r="G125" s="26"/>
      <c r="H125" s="26"/>
      <c r="I125" s="27"/>
      <c r="J125" s="27"/>
      <c r="K125" s="83" t="s">
        <v>68</v>
      </c>
      <c r="L125" s="83"/>
      <c r="M125" s="83"/>
      <c r="N125" s="83"/>
      <c r="O125" s="83"/>
      <c r="P125" s="83"/>
      <c r="Q125" s="83"/>
      <c r="R125" s="83"/>
    </row>
    <row r="126" spans="1:18" ht="8.1" customHeight="1" x14ac:dyDescent="0.35">
      <c r="A126" s="84" t="s">
        <v>69</v>
      </c>
      <c r="B126" s="84"/>
      <c r="C126" s="84"/>
      <c r="D126" s="84"/>
      <c r="E126" s="84"/>
      <c r="F126" s="84"/>
      <c r="G126" s="84"/>
      <c r="H126" s="84"/>
      <c r="I126" s="85"/>
      <c r="J126" s="85"/>
      <c r="K126" s="85" t="s">
        <v>69</v>
      </c>
      <c r="L126" s="85"/>
      <c r="M126" s="85"/>
      <c r="N126" s="85"/>
      <c r="O126" s="85"/>
      <c r="P126" s="85"/>
      <c r="Q126" s="85"/>
      <c r="R126" s="85"/>
    </row>
    <row r="127" spans="1:18" ht="8.1" customHeight="1" x14ac:dyDescent="0.35">
      <c r="A127" s="30">
        <v>2021</v>
      </c>
      <c r="B127" s="31"/>
      <c r="C127" s="81">
        <v>-19.260372962887075</v>
      </c>
      <c r="D127" s="81">
        <v>-2.9165538080491604</v>
      </c>
      <c r="E127" s="81">
        <v>4.8015265743339031</v>
      </c>
      <c r="F127" s="81">
        <v>17.502597340213512</v>
      </c>
      <c r="G127" s="81">
        <v>34.21015026436416</v>
      </c>
      <c r="H127" s="81">
        <v>64.476087578877355</v>
      </c>
      <c r="I127" s="81">
        <v>-18.033732160876458</v>
      </c>
      <c r="J127" s="81">
        <v>0.40123623856380686</v>
      </c>
      <c r="K127" s="81">
        <v>15.957164808875834</v>
      </c>
      <c r="L127" s="81">
        <v>12.555743872155322</v>
      </c>
      <c r="M127" s="81">
        <v>13.610873446843975</v>
      </c>
      <c r="N127" s="81">
        <v>20.455414480023638</v>
      </c>
      <c r="O127" s="81">
        <v>-21.746485445954622</v>
      </c>
      <c r="P127" s="81">
        <v>4.5394416125062342</v>
      </c>
      <c r="Q127" s="81">
        <v>2.6618405974863313</v>
      </c>
      <c r="R127" s="81">
        <v>20.875952083390036</v>
      </c>
    </row>
    <row r="128" spans="1:18" ht="8.1" customHeight="1" x14ac:dyDescent="0.35">
      <c r="A128" s="30">
        <v>2022</v>
      </c>
      <c r="B128" s="31"/>
      <c r="C128" s="81">
        <v>-14.46493798504288</v>
      </c>
      <c r="D128" s="81">
        <v>7.8603112293700761</v>
      </c>
      <c r="E128" s="81">
        <v>9.3122051369151535</v>
      </c>
      <c r="F128" s="81">
        <v>19.553220772692391</v>
      </c>
      <c r="G128" s="81">
        <v>42.445636594455152</v>
      </c>
      <c r="H128" s="81">
        <v>24.608254784283655</v>
      </c>
      <c r="I128" s="81">
        <v>-31.340133661625046</v>
      </c>
      <c r="J128" s="81">
        <v>11.14075295052379</v>
      </c>
      <c r="K128" s="81">
        <v>21.656970981552949</v>
      </c>
      <c r="L128" s="81">
        <v>17.401050030692744</v>
      </c>
      <c r="M128" s="81">
        <v>6.6383824299017347</v>
      </c>
      <c r="N128" s="81">
        <v>14.484399951813387</v>
      </c>
      <c r="O128" s="81">
        <v>7.1710771524413186</v>
      </c>
      <c r="P128" s="81">
        <v>-3.6149507604076203</v>
      </c>
      <c r="Q128" s="81">
        <v>25.421913206426105</v>
      </c>
      <c r="R128" s="81">
        <v>51.022684891129529</v>
      </c>
    </row>
    <row r="129" spans="1:18" ht="2.1" customHeight="1" x14ac:dyDescent="0.35">
      <c r="A129" s="30"/>
      <c r="B129" s="31"/>
      <c r="C129" s="86"/>
      <c r="D129" s="86"/>
      <c r="E129" s="86"/>
      <c r="F129" s="86"/>
      <c r="G129" s="86"/>
      <c r="H129" s="86"/>
      <c r="I129" s="86"/>
      <c r="J129" s="86"/>
      <c r="K129" s="86"/>
      <c r="L129" s="86"/>
      <c r="M129" s="86"/>
      <c r="N129" s="86"/>
      <c r="O129" s="86"/>
      <c r="P129" s="86"/>
      <c r="Q129" s="86"/>
      <c r="R129" s="86"/>
    </row>
    <row r="130" spans="1:18" ht="8.1" customHeight="1" x14ac:dyDescent="0.35">
      <c r="A130" s="30" t="s">
        <v>70</v>
      </c>
      <c r="B130" s="3" t="s">
        <v>21</v>
      </c>
      <c r="C130" s="81">
        <v>-16.112097178847705</v>
      </c>
      <c r="D130" s="81">
        <v>-15.005686128106211</v>
      </c>
      <c r="E130" s="81">
        <v>11.679710216539396</v>
      </c>
      <c r="F130" s="81">
        <v>9.4731777926065917</v>
      </c>
      <c r="G130" s="81">
        <v>5.4524282485101772</v>
      </c>
      <c r="H130" s="81">
        <v>15.081206071931197</v>
      </c>
      <c r="I130" s="81">
        <v>-19.933554817275745</v>
      </c>
      <c r="J130" s="81">
        <v>-18.379434615489465</v>
      </c>
      <c r="K130" s="81">
        <v>12.894396411056007</v>
      </c>
      <c r="L130" s="81">
        <v>8.7757522919395861</v>
      </c>
      <c r="M130" s="81">
        <v>5.6292538251685231</v>
      </c>
      <c r="N130" s="81">
        <v>7.3706683544889184</v>
      </c>
      <c r="O130" s="81">
        <v>-100</v>
      </c>
      <c r="P130" s="81">
        <v>-100</v>
      </c>
      <c r="Q130" s="81">
        <v>35.359749815503541</v>
      </c>
      <c r="R130" s="81">
        <v>43.083048410352816</v>
      </c>
    </row>
    <row r="131" spans="1:18" ht="8.1" customHeight="1" x14ac:dyDescent="0.35">
      <c r="A131" s="31"/>
      <c r="B131" s="31"/>
      <c r="C131" s="31"/>
      <c r="D131" s="31"/>
      <c r="E131" s="31"/>
      <c r="F131" s="31"/>
      <c r="G131" s="31"/>
      <c r="H131" s="31"/>
      <c r="I131" s="30"/>
      <c r="J131" s="30"/>
      <c r="K131" s="3"/>
      <c r="L131" s="3"/>
    </row>
    <row r="132" spans="1:18" ht="8.1" customHeight="1" x14ac:dyDescent="0.35">
      <c r="A132" s="87" t="s">
        <v>71</v>
      </c>
      <c r="B132" s="87"/>
      <c r="C132" s="87"/>
      <c r="D132" s="87"/>
      <c r="E132" s="87"/>
      <c r="F132" s="87"/>
      <c r="G132" s="87"/>
      <c r="H132" s="87"/>
      <c r="I132" s="27"/>
      <c r="J132" s="27"/>
      <c r="K132" s="83" t="s">
        <v>72</v>
      </c>
      <c r="L132" s="83"/>
      <c r="M132" s="83"/>
      <c r="N132" s="83"/>
      <c r="O132" s="83"/>
      <c r="P132" s="83"/>
      <c r="Q132" s="83"/>
      <c r="R132" s="83"/>
    </row>
    <row r="133" spans="1:18" ht="8.1" customHeight="1" x14ac:dyDescent="0.35">
      <c r="A133" s="87" t="s">
        <v>69</v>
      </c>
      <c r="B133" s="87"/>
      <c r="C133" s="87"/>
      <c r="D133" s="87"/>
      <c r="E133" s="87"/>
      <c r="F133" s="87"/>
      <c r="G133" s="87"/>
      <c r="H133" s="87"/>
      <c r="I133" s="85"/>
      <c r="J133" s="85"/>
      <c r="K133" s="85" t="s">
        <v>69</v>
      </c>
      <c r="L133" s="85"/>
      <c r="M133" s="85"/>
      <c r="N133" s="85"/>
      <c r="O133" s="85"/>
      <c r="P133" s="85"/>
      <c r="Q133" s="85"/>
      <c r="R133" s="85"/>
    </row>
    <row r="134" spans="1:18" ht="8.1" customHeight="1" x14ac:dyDescent="0.35">
      <c r="A134" s="30">
        <v>2021</v>
      </c>
      <c r="B134" s="31"/>
      <c r="C134" s="81">
        <v>-18.999225583438019</v>
      </c>
      <c r="D134" s="81">
        <v>0.16782242296884409</v>
      </c>
      <c r="E134" s="81">
        <v>1.5447853266203682</v>
      </c>
      <c r="F134" s="81">
        <v>-9.4832869636396477E-2</v>
      </c>
      <c r="G134" s="81">
        <v>19.663796637966378</v>
      </c>
      <c r="H134" s="81">
        <v>25.953828906059417</v>
      </c>
      <c r="I134" s="81">
        <v>-13.741807202297673</v>
      </c>
      <c r="J134" s="81">
        <v>-7.0742669939916514</v>
      </c>
      <c r="K134" s="81" t="s">
        <v>22</v>
      </c>
      <c r="L134" s="81" t="s">
        <v>22</v>
      </c>
      <c r="M134" s="81">
        <v>8.4227070102434798</v>
      </c>
      <c r="N134" s="81">
        <v>13.493450985826062</v>
      </c>
      <c r="O134" s="81">
        <v>-1.7716255091287159</v>
      </c>
      <c r="P134" s="81">
        <v>4.7878670411419133</v>
      </c>
      <c r="Q134" s="81">
        <v>36.341916857731384</v>
      </c>
      <c r="R134" s="81">
        <v>56.167430958867449</v>
      </c>
    </row>
    <row r="135" spans="1:18" ht="8.1" customHeight="1" x14ac:dyDescent="0.35">
      <c r="A135" s="30">
        <v>2022</v>
      </c>
      <c r="B135" s="31"/>
      <c r="C135" s="81">
        <v>-18.666557795685655</v>
      </c>
      <c r="D135" s="81">
        <v>0.5885287265982031</v>
      </c>
      <c r="E135" s="81">
        <v>2.7043724779455713</v>
      </c>
      <c r="F135" s="81">
        <v>11.448099321647941</v>
      </c>
      <c r="G135" s="81">
        <v>9.6735877932341943</v>
      </c>
      <c r="H135" s="81">
        <v>3.5314336124753876</v>
      </c>
      <c r="I135" s="81">
        <v>-50.661657986852212</v>
      </c>
      <c r="J135" s="81">
        <v>-15.915177234600918</v>
      </c>
      <c r="K135" s="81" t="s">
        <v>22</v>
      </c>
      <c r="L135" s="81" t="s">
        <v>22</v>
      </c>
      <c r="M135" s="81">
        <v>8.8792997853096125</v>
      </c>
      <c r="N135" s="81">
        <v>13.00206013644496</v>
      </c>
      <c r="O135" s="81">
        <v>20.106126946385583</v>
      </c>
      <c r="P135" s="81">
        <v>50.584152229341896</v>
      </c>
      <c r="Q135" s="81">
        <v>38.66195454768566</v>
      </c>
      <c r="R135" s="81">
        <v>54.20287845591811</v>
      </c>
    </row>
    <row r="136" spans="1:18" ht="2.1" customHeight="1" x14ac:dyDescent="0.35">
      <c r="A136" s="30"/>
      <c r="B136" s="31"/>
      <c r="C136" s="86"/>
      <c r="D136" s="86"/>
      <c r="E136" s="86"/>
      <c r="F136" s="86"/>
      <c r="G136" s="86"/>
      <c r="H136" s="86"/>
      <c r="I136" s="86"/>
      <c r="J136" s="86"/>
      <c r="K136" s="86"/>
      <c r="L136" s="86"/>
      <c r="M136" s="86"/>
      <c r="N136" s="86"/>
      <c r="O136" s="86"/>
      <c r="P136" s="86"/>
      <c r="Q136" s="86"/>
      <c r="R136" s="86"/>
    </row>
    <row r="137" spans="1:18" ht="8.1" customHeight="1" x14ac:dyDescent="0.35">
      <c r="A137" s="30" t="s">
        <v>70</v>
      </c>
      <c r="B137" s="31" t="s">
        <v>21</v>
      </c>
      <c r="C137" s="88">
        <v>-24.151700652693886</v>
      </c>
      <c r="D137" s="88">
        <v>-16.121483602248333</v>
      </c>
      <c r="E137" s="88">
        <v>11.777970365197188</v>
      </c>
      <c r="F137" s="88">
        <v>12.43860038763609</v>
      </c>
      <c r="G137" s="88">
        <v>9.2745638200183667</v>
      </c>
      <c r="H137" s="88">
        <v>-6.5775876419947537</v>
      </c>
      <c r="I137" s="88">
        <v>-25.714285714285712</v>
      </c>
      <c r="J137" s="88">
        <v>-19.736798902015384</v>
      </c>
      <c r="K137" s="88" t="s">
        <v>22</v>
      </c>
      <c r="L137" s="88" t="s">
        <v>22</v>
      </c>
      <c r="M137" s="88">
        <v>4.3068540372481312</v>
      </c>
      <c r="N137" s="88">
        <v>13.389637025175794</v>
      </c>
      <c r="O137" s="88">
        <v>-25.372743918388696</v>
      </c>
      <c r="P137" s="88">
        <v>-41.351909008538399</v>
      </c>
      <c r="Q137" s="88">
        <v>53.599096925723956</v>
      </c>
      <c r="R137" s="88">
        <v>64.636457402255743</v>
      </c>
    </row>
    <row r="138" spans="1:18" ht="8.1" customHeight="1" x14ac:dyDescent="0.35">
      <c r="A138" s="31"/>
      <c r="B138" s="31"/>
      <c r="C138" s="31"/>
      <c r="D138" s="31"/>
      <c r="E138" s="31"/>
      <c r="F138" s="31"/>
      <c r="G138" s="31"/>
      <c r="H138" s="31"/>
      <c r="I138" s="30"/>
      <c r="J138" s="30"/>
      <c r="K138" s="30"/>
      <c r="L138" s="30"/>
    </row>
    <row r="139" spans="1:18" s="3" customFormat="1" ht="8.1" customHeight="1" x14ac:dyDescent="0.35">
      <c r="A139" s="87" t="s">
        <v>73</v>
      </c>
      <c r="B139" s="87"/>
      <c r="C139" s="87"/>
      <c r="D139" s="87"/>
      <c r="E139" s="87"/>
      <c r="F139" s="87"/>
      <c r="G139" s="87"/>
      <c r="H139" s="87"/>
      <c r="I139" s="27"/>
      <c r="J139" s="27"/>
      <c r="K139" s="83" t="s">
        <v>74</v>
      </c>
      <c r="L139" s="83"/>
      <c r="M139" s="83"/>
      <c r="N139" s="83"/>
      <c r="O139" s="83"/>
      <c r="P139" s="83"/>
      <c r="Q139" s="83"/>
      <c r="R139" s="83"/>
    </row>
    <row r="140" spans="1:18" ht="8.1" customHeight="1" x14ac:dyDescent="0.35">
      <c r="A140" s="87" t="s">
        <v>36</v>
      </c>
      <c r="B140" s="87"/>
      <c r="C140" s="87"/>
      <c r="D140" s="87"/>
      <c r="E140" s="87"/>
      <c r="F140" s="87"/>
      <c r="G140" s="87"/>
      <c r="H140" s="87"/>
      <c r="I140" s="27"/>
      <c r="J140" s="27"/>
      <c r="K140" s="85" t="s">
        <v>37</v>
      </c>
      <c r="L140" s="85"/>
      <c r="M140" s="85"/>
      <c r="N140" s="85"/>
      <c r="O140" s="85"/>
      <c r="P140" s="85"/>
      <c r="Q140" s="85"/>
      <c r="R140" s="85"/>
    </row>
    <row r="141" spans="1:18" ht="8.1" customHeight="1" x14ac:dyDescent="0.35">
      <c r="A141" s="30">
        <v>2021</v>
      </c>
      <c r="B141" s="31"/>
      <c r="C141" s="81">
        <v>-18.253466743452439</v>
      </c>
      <c r="D141" s="81">
        <v>-1.2943900456119928</v>
      </c>
      <c r="E141" s="81">
        <v>2.5083230054289141</v>
      </c>
      <c r="F141" s="81">
        <v>8.7384869621947914</v>
      </c>
      <c r="G141" s="81">
        <v>29.478696490541047</v>
      </c>
      <c r="H141" s="81">
        <v>42.419260899471567</v>
      </c>
      <c r="I141" s="81">
        <v>-19.487355532669646</v>
      </c>
      <c r="J141" s="81">
        <v>-8.7440013340243326</v>
      </c>
      <c r="K141" s="81">
        <v>15.246942731586156</v>
      </c>
      <c r="L141" s="81">
        <v>15.292777412271331</v>
      </c>
      <c r="M141" s="81">
        <v>8.6701599726908274</v>
      </c>
      <c r="N141" s="81">
        <v>13.558489678563589</v>
      </c>
      <c r="O141" s="81">
        <v>-6.1188890636743487</v>
      </c>
      <c r="P141" s="81">
        <v>1.4498654992916249</v>
      </c>
      <c r="Q141" s="81">
        <v>28.134252751842091</v>
      </c>
      <c r="R141" s="81">
        <v>49.600102751725885</v>
      </c>
    </row>
    <row r="142" spans="1:18" ht="8.1" customHeight="1" x14ac:dyDescent="0.35">
      <c r="A142" s="30">
        <v>2022</v>
      </c>
      <c r="B142" s="31"/>
      <c r="C142" s="81">
        <v>-15.132510314841252</v>
      </c>
      <c r="D142" s="81">
        <v>6.2110116374941349</v>
      </c>
      <c r="E142" s="81">
        <v>6.1318167695827652</v>
      </c>
      <c r="F142" s="81">
        <v>16.023050398366777</v>
      </c>
      <c r="G142" s="81">
        <v>31.196318665275456</v>
      </c>
      <c r="H142" s="81">
        <v>16.485844371586332</v>
      </c>
      <c r="I142" s="81">
        <v>-24.101762364980097</v>
      </c>
      <c r="J142" s="81">
        <v>0.65882008411719539</v>
      </c>
      <c r="K142" s="81">
        <v>22.99031833731857</v>
      </c>
      <c r="L142" s="81">
        <v>21.667802706733006</v>
      </c>
      <c r="M142" s="81">
        <v>8.7350714160759679</v>
      </c>
      <c r="N142" s="81">
        <v>14.453603325239861</v>
      </c>
      <c r="O142" s="81">
        <v>21.859465819683432</v>
      </c>
      <c r="P142" s="81">
        <v>45.418317927595943</v>
      </c>
      <c r="Q142" s="81">
        <v>34.299931834053801</v>
      </c>
      <c r="R142" s="81">
        <v>54.381238762009978</v>
      </c>
    </row>
    <row r="143" spans="1:18" ht="2.1" customHeight="1" x14ac:dyDescent="0.35">
      <c r="A143" s="30"/>
      <c r="B143" s="31"/>
      <c r="C143" s="86"/>
      <c r="D143" s="86"/>
      <c r="E143" s="86"/>
      <c r="F143" s="86"/>
      <c r="G143" s="86"/>
      <c r="H143" s="86"/>
      <c r="I143" s="86"/>
      <c r="J143" s="86"/>
      <c r="K143" s="86"/>
      <c r="L143" s="86"/>
      <c r="M143" s="86"/>
      <c r="N143" s="86"/>
      <c r="O143" s="86"/>
      <c r="P143" s="86"/>
      <c r="Q143" s="86"/>
      <c r="R143" s="86"/>
    </row>
    <row r="144" spans="1:18" ht="8.1" customHeight="1" x14ac:dyDescent="0.35">
      <c r="A144" s="30" t="s">
        <v>70</v>
      </c>
      <c r="B144" s="31" t="s">
        <v>21</v>
      </c>
      <c r="C144" s="81">
        <v>-19.75240902958484</v>
      </c>
      <c r="D144" s="81">
        <v>-7.7272353735678649</v>
      </c>
      <c r="E144" s="81">
        <v>7.8702615970889012</v>
      </c>
      <c r="F144" s="81">
        <v>14.49861765508893</v>
      </c>
      <c r="G144" s="81">
        <v>10.091434718300384</v>
      </c>
      <c r="H144" s="81">
        <v>3.1957504625138577</v>
      </c>
      <c r="I144" s="81">
        <v>-13.607305936073066</v>
      </c>
      <c r="J144" s="81">
        <v>-16.11955571011493</v>
      </c>
      <c r="K144" s="81">
        <v>12.41712025956463</v>
      </c>
      <c r="L144" s="81">
        <v>10.297677089640022</v>
      </c>
      <c r="M144" s="81">
        <v>3.870780996313461</v>
      </c>
      <c r="N144" s="81">
        <v>14.896401580603303</v>
      </c>
      <c r="O144" s="81">
        <v>-40.730958433754829</v>
      </c>
      <c r="P144" s="81">
        <v>-51.173667325617103</v>
      </c>
      <c r="Q144" s="81">
        <v>45.148065284679987</v>
      </c>
      <c r="R144" s="81">
        <v>50.756929508098693</v>
      </c>
    </row>
    <row r="145" spans="1:18" ht="8.1" customHeight="1" x14ac:dyDescent="0.35">
      <c r="A145" s="3"/>
      <c r="B145" s="3"/>
      <c r="C145" s="3"/>
      <c r="D145" s="3"/>
      <c r="E145" s="3"/>
      <c r="F145" s="3"/>
      <c r="G145" s="3"/>
      <c r="H145" s="3"/>
      <c r="I145" s="3"/>
      <c r="J145" s="3"/>
      <c r="K145" s="3"/>
      <c r="L145" s="3"/>
    </row>
    <row r="146" spans="1:18" ht="14.1" customHeight="1" x14ac:dyDescent="0.35">
      <c r="A146" s="68"/>
      <c r="B146" s="68"/>
      <c r="C146" s="69" t="s">
        <v>38</v>
      </c>
      <c r="D146" s="69" t="s">
        <v>39</v>
      </c>
      <c r="E146" s="69" t="s">
        <v>38</v>
      </c>
      <c r="F146" s="69" t="s">
        <v>39</v>
      </c>
      <c r="G146" s="69" t="s">
        <v>38</v>
      </c>
      <c r="H146" s="69" t="s">
        <v>39</v>
      </c>
      <c r="I146" s="69" t="s">
        <v>38</v>
      </c>
      <c r="J146" s="69" t="s">
        <v>39</v>
      </c>
      <c r="K146" s="69" t="s">
        <v>38</v>
      </c>
      <c r="L146" s="69" t="s">
        <v>39</v>
      </c>
      <c r="M146" s="69" t="s">
        <v>38</v>
      </c>
      <c r="N146" s="69" t="s">
        <v>39</v>
      </c>
      <c r="O146" s="69" t="s">
        <v>38</v>
      </c>
      <c r="P146" s="69" t="s">
        <v>39</v>
      </c>
      <c r="Q146" s="69" t="s">
        <v>38</v>
      </c>
      <c r="R146" s="69" t="s">
        <v>39</v>
      </c>
    </row>
    <row r="147" spans="1:18" ht="33" customHeight="1" x14ac:dyDescent="0.35">
      <c r="A147" s="68"/>
      <c r="B147" s="68"/>
      <c r="C147" s="17" t="s">
        <v>8</v>
      </c>
      <c r="D147" s="18"/>
      <c r="E147" s="17" t="s">
        <v>75</v>
      </c>
      <c r="F147" s="18"/>
      <c r="G147" s="17" t="s">
        <v>76</v>
      </c>
      <c r="H147" s="18"/>
      <c r="I147" s="17" t="s">
        <v>42</v>
      </c>
      <c r="J147" s="19"/>
      <c r="K147" s="17" t="s">
        <v>43</v>
      </c>
      <c r="L147" s="18"/>
      <c r="M147" s="17" t="s">
        <v>44</v>
      </c>
      <c r="N147" s="18"/>
      <c r="O147" s="17" t="s">
        <v>45</v>
      </c>
      <c r="P147" s="18"/>
      <c r="Q147" s="17" t="s">
        <v>45</v>
      </c>
      <c r="R147" s="18"/>
    </row>
    <row r="148" spans="1:18" ht="14.1" customHeight="1" x14ac:dyDescent="0.35">
      <c r="A148" s="71" t="s">
        <v>47</v>
      </c>
      <c r="B148" s="72"/>
      <c r="C148" s="72"/>
      <c r="D148" s="72"/>
      <c r="E148" s="72"/>
      <c r="F148" s="72"/>
      <c r="G148" s="72"/>
      <c r="H148" s="72"/>
      <c r="I148" s="72"/>
      <c r="J148" s="72"/>
      <c r="K148" s="72"/>
      <c r="L148" s="72"/>
      <c r="M148" s="72"/>
      <c r="N148" s="72"/>
      <c r="O148" s="72"/>
      <c r="P148" s="72"/>
      <c r="Q148" s="72"/>
      <c r="R148" s="72"/>
    </row>
  </sheetData>
  <mergeCells count="78">
    <mergeCell ref="O147:P147"/>
    <mergeCell ref="Q147:R147"/>
    <mergeCell ref="A148:R148"/>
    <mergeCell ref="C147:D147"/>
    <mergeCell ref="E147:F147"/>
    <mergeCell ref="G147:H147"/>
    <mergeCell ref="I147:J147"/>
    <mergeCell ref="K147:L147"/>
    <mergeCell ref="M147:N147"/>
    <mergeCell ref="A139:H139"/>
    <mergeCell ref="I139:J139"/>
    <mergeCell ref="K139:R139"/>
    <mergeCell ref="A140:H140"/>
    <mergeCell ref="I140:J140"/>
    <mergeCell ref="K140:R140"/>
    <mergeCell ref="A132:H132"/>
    <mergeCell ref="I132:J132"/>
    <mergeCell ref="K132:R132"/>
    <mergeCell ref="A133:H133"/>
    <mergeCell ref="I133:J133"/>
    <mergeCell ref="K133:R133"/>
    <mergeCell ref="A125:H125"/>
    <mergeCell ref="I125:J125"/>
    <mergeCell ref="K125:R125"/>
    <mergeCell ref="A126:H126"/>
    <mergeCell ref="I126:J126"/>
    <mergeCell ref="K126:R126"/>
    <mergeCell ref="O84:P84"/>
    <mergeCell ref="Q84:R84"/>
    <mergeCell ref="A87:H87"/>
    <mergeCell ref="I87:J87"/>
    <mergeCell ref="K87:R87"/>
    <mergeCell ref="A106:H106"/>
    <mergeCell ref="I106:J106"/>
    <mergeCell ref="K106:R106"/>
    <mergeCell ref="C75:R75"/>
    <mergeCell ref="A79:B79"/>
    <mergeCell ref="C83:R83"/>
    <mergeCell ref="A84:B85"/>
    <mergeCell ref="C84:D84"/>
    <mergeCell ref="E84:F84"/>
    <mergeCell ref="G84:H84"/>
    <mergeCell ref="I84:J84"/>
    <mergeCell ref="K84:L84"/>
    <mergeCell ref="M84:N84"/>
    <mergeCell ref="Q67:R67"/>
    <mergeCell ref="A68:R68"/>
    <mergeCell ref="C71:R71"/>
    <mergeCell ref="C72:R72"/>
    <mergeCell ref="C73:R73"/>
    <mergeCell ref="C74:R74"/>
    <mergeCell ref="A47:H47"/>
    <mergeCell ref="I47:J47"/>
    <mergeCell ref="K47:R47"/>
    <mergeCell ref="C67:D67"/>
    <mergeCell ref="E67:F67"/>
    <mergeCell ref="G67:H67"/>
    <mergeCell ref="I67:J67"/>
    <mergeCell ref="K67:L67"/>
    <mergeCell ref="M67:N67"/>
    <mergeCell ref="O67:P67"/>
    <mergeCell ref="Q6:R6"/>
    <mergeCell ref="A9:H9"/>
    <mergeCell ref="I9:J9"/>
    <mergeCell ref="K9:R9"/>
    <mergeCell ref="A28:H28"/>
    <mergeCell ref="I28:J28"/>
    <mergeCell ref="K28:R28"/>
    <mergeCell ref="A1:B1"/>
    <mergeCell ref="C5:R5"/>
    <mergeCell ref="A6:B7"/>
    <mergeCell ref="C6:D6"/>
    <mergeCell ref="E6:F6"/>
    <mergeCell ref="G6:H6"/>
    <mergeCell ref="I6:J6"/>
    <mergeCell ref="K6:L6"/>
    <mergeCell ref="M6:N6"/>
    <mergeCell ref="O6:P6"/>
  </mergeCells>
  <pageMargins left="0.7" right="0.7" top="0.75" bottom="0.75" header="0.3" footer="0.3"/>
  <pageSetup paperSize="9" orientation="portrait" horizontalDpi="4294967293" r:id="rId1"/>
  <headerFooter scaleWithDoc="0"/>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0FC6FA-AF3B-4DC6-A083-DCEBD547F950}"/>
</file>

<file path=customXml/itemProps2.xml><?xml version="1.0" encoding="utf-8"?>
<ds:datastoreItem xmlns:ds="http://schemas.openxmlformats.org/officeDocument/2006/customXml" ds:itemID="{2FA741FE-4BBA-40E8-B880-E387A03833F9}"/>
</file>

<file path=customXml/itemProps3.xml><?xml version="1.0" encoding="utf-8"?>
<ds:datastoreItem xmlns:ds="http://schemas.openxmlformats.org/officeDocument/2006/customXml" ds:itemID="{6CA23E31-EDF9-405E-BDA5-CCA787E5CF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A.1_jul_23</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Rafael Santos David</dc:creator>
  <cp:lastModifiedBy>Pedro Rafael Santos David</cp:lastModifiedBy>
  <dcterms:created xsi:type="dcterms:W3CDTF">2023-09-22T11:10:07Z</dcterms:created>
  <dcterms:modified xsi:type="dcterms:W3CDTF">2023-09-22T11:10:14Z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ies>
</file>