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858309\OneDrive - Santander Office 365\FMIR_LDR_Valuation\FMIR\"/>
    </mc:Choice>
  </mc:AlternateContent>
  <bookViews>
    <workbookView xWindow="0" yWindow="0" windowWidth="22500" windowHeight="8940" activeTab="4"/>
  </bookViews>
  <sheets>
    <sheet name="TOC" sheetId="1" r:id="rId1"/>
    <sheet name="T 30.00" sheetId="3" r:id="rId2"/>
    <sheet name="T 31.00" sheetId="2" r:id="rId3"/>
    <sheet name="T 32.00" sheetId="5" r:id="rId4"/>
    <sheet name="T 33.00" sheetId="4" r:id="rId5"/>
  </sheets>
  <externalReferences>
    <externalReference r:id="rId6"/>
  </externalReferences>
  <definedNames>
    <definedName name="_xlnm._FilterDatabase" localSheetId="2" hidden="1">'T 31.00'!$A$7:$J$16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4" l="1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</calcChain>
</file>

<file path=xl/comments1.xml><?xml version="1.0" encoding="utf-8"?>
<comments xmlns="http://schemas.openxmlformats.org/spreadsheetml/2006/main">
  <authors>
    <author>Haizhen Li</author>
  </authors>
  <commentList>
    <comment ref="D9" authorId="0" shapeId="0">
      <text>
        <r>
          <rPr>
            <sz val="9"/>
            <color indexed="81"/>
            <rFont val="Tahoma"/>
            <family val="2"/>
          </rPr>
          <t>Metric  =  ID representing combination of user, FMI, system type and intermediary [ii]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>Metric  =  Name of entity [si]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>Legal entity (FMI to CF)  =  &lt;Key value&gt;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FMI system Type  =  &lt;Key value&gt; [ZZ23_1]</t>
        </r>
      </text>
    </comment>
    <comment ref="H9" authorId="0" shapeId="0">
      <text>
        <r>
          <rPr>
            <sz val="9"/>
            <color indexed="81"/>
            <rFont val="Tahoma"/>
            <family val="2"/>
          </rPr>
          <t>Metric  =  FMI name. In predefined list [ei:EN:EN1]</t>
        </r>
      </text>
    </comment>
    <comment ref="I9" authorId="0" shapeId="0">
      <text>
        <r>
          <rPr>
            <sz val="9"/>
            <color indexed="81"/>
            <rFont val="Tahoma"/>
            <family val="2"/>
          </rPr>
          <t>Metric  =  FMI name. Not in predefined list [si]</t>
        </r>
      </text>
    </comment>
    <comment ref="J9" authorId="0" shapeId="0">
      <text>
        <r>
          <rPr>
            <sz val="9"/>
            <color indexed="81"/>
            <rFont val="Tahoma"/>
            <family val="2"/>
          </rPr>
          <t>Financial market infrastructure  =  &lt;Key value&gt;</t>
        </r>
      </text>
    </comment>
    <comment ref="K9" authorId="0" shapeId="0">
      <text>
        <r>
          <rPr>
            <sz val="9"/>
            <color indexed="81"/>
            <rFont val="Tahoma"/>
            <family val="2"/>
          </rPr>
          <t>Metric  =  Mode of participation in FMI [ei:ZZ:ZZ24]</t>
        </r>
      </text>
    </comment>
    <comment ref="L9" authorId="0" shapeId="0">
      <text>
        <r>
          <rPr>
            <sz val="9"/>
            <color indexed="81"/>
            <rFont val="Tahoma"/>
            <family val="2"/>
          </rPr>
          <t>Metric  =  Name of intermediary facilitating access to an FMI [si]</t>
        </r>
      </text>
    </comment>
    <comment ref="M9" authorId="0" shapeId="0">
      <text>
        <r>
          <rPr>
            <sz val="9"/>
            <color indexed="81"/>
            <rFont val="Tahoma"/>
            <family val="2"/>
          </rPr>
          <t>Intermediary facilitating access to a FMI  =  &lt;Key value&gt;</t>
        </r>
      </text>
    </comment>
    <comment ref="N9" authorId="0" shapeId="0">
      <text>
        <r>
          <rPr>
            <sz val="9"/>
            <color indexed="81"/>
            <rFont val="Tahoma"/>
            <family val="2"/>
          </rPr>
          <t>Metric  =  Country the law of which governs access to the FMI [ei:GA:GA4]</t>
        </r>
      </text>
    </comment>
    <comment ref="O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Euro</t>
        </r>
      </text>
    </comment>
    <comment ref="P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Pound Sterling</t>
        </r>
      </text>
    </comment>
    <comment ref="Q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US Dollar</t>
        </r>
      </text>
    </comment>
    <comment ref="R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Swiss Franc</t>
        </r>
      </text>
    </comment>
    <comment ref="S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Yen</t>
        </r>
      </text>
    </comment>
    <comment ref="T9" authorId="0" shapeId="0">
      <text>
        <r>
          <rPr>
            <sz val="9"/>
            <color indexed="81"/>
            <rFont val="Tahoma"/>
            <family val="2"/>
          </rPr>
          <t>Metric  =  Currency in which the transaction / contract is denominated (string) [si]_x000D_
Currency in which the transaction / contract is denominated  =  Currencies other than Euro, Pound Sterling, US Dollar, Swiss Franc, Yen</t>
        </r>
      </text>
    </comment>
    <comment ref="U9" authorId="0" shapeId="0">
      <text>
        <r>
          <rPr>
            <sz val="9"/>
            <color indexed="81"/>
            <rFont val="Tahoma"/>
            <family val="2"/>
          </rPr>
          <t>Metric  =  Comments required. FMI services [si]</t>
        </r>
      </text>
    </comment>
    <comment ref="V9" authorId="0" shapeId="0">
      <text>
        <r>
          <rPr>
            <sz val="9"/>
            <color indexed="81"/>
            <rFont val="Tahoma"/>
            <family val="2"/>
          </rPr>
          <t>Metric  =  Comment required. Services provided to FMI / representative institution [si]</t>
        </r>
      </text>
    </comment>
    <comment ref="W9" authorId="0" shapeId="0">
      <text>
        <r>
          <rPr>
            <sz val="9"/>
            <color indexed="81"/>
            <rFont val="Tahoma"/>
            <family val="2"/>
          </rPr>
          <t>Metric  =  Communication provider is FMI proprietary [bi]</t>
        </r>
      </text>
    </comment>
    <comment ref="X9" authorId="0" shapeId="0">
      <text>
        <r>
          <rPr>
            <sz val="9"/>
            <color indexed="81"/>
            <rFont val="Tahoma"/>
            <family val="2"/>
          </rPr>
          <t>Metric  =  Communication provider is SWIFT [bi]</t>
        </r>
      </text>
    </comment>
    <comment ref="Y9" authorId="0" shapeId="0">
      <text>
        <r>
          <rPr>
            <sz val="9"/>
            <color indexed="81"/>
            <rFont val="Tahoma"/>
            <family val="2"/>
          </rPr>
          <t>Metric  =  Communication service provider other than FMI proprietary and SWIFT (name) [si]</t>
        </r>
      </text>
    </comment>
    <comment ref="Z9" authorId="0" shapeId="0">
      <text>
        <r>
          <rPr>
            <sz val="9"/>
            <color indexed="81"/>
            <rFont val="Tahoma"/>
            <family val="2"/>
          </rPr>
          <t>Metric  =  Comments required. Name of other service provider enabling access to FMI [si]</t>
        </r>
      </text>
    </comment>
    <comment ref="AA9" authorId="0" shapeId="0">
      <text>
        <r>
          <rPr>
            <sz val="9"/>
            <color indexed="81"/>
            <rFont val="Tahoma"/>
            <family val="2"/>
          </rPr>
          <t>Metric  =  Comments required. Other services needed for acces to FMI [si]</t>
        </r>
      </text>
    </comment>
    <comment ref="AB9" authorId="0" shapeId="0">
      <text>
        <r>
          <rPr>
            <sz val="9"/>
            <color indexed="81"/>
            <rFont val="Tahoma"/>
            <family val="2"/>
          </rPr>
          <t>Metric  =  Comments required. Point of contact(s) at FMI/ intermediary for matters related to resolution of the entity [si]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0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0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0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0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0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0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0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0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0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0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0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0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0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0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0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1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1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1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1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1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1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1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1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1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1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1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1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1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1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1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1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2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2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2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2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2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2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2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2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2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2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2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2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2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2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2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2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3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3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3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3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3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3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3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3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3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3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3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3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3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3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3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3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3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4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4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4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4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4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4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4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4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4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4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4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4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4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4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5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5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5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5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5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5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5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5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5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5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5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5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5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5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5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5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5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6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6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6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6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6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6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6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6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6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6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6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6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6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6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6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6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6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7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7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7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7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7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7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7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7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7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7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7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7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7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7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7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7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7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7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7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8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8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8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8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8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8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8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8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8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8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8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8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8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8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8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8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8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8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8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</commentList>
</comments>
</file>

<file path=xl/comments2.xml><?xml version="1.0" encoding="utf-8"?>
<comments xmlns="http://schemas.openxmlformats.org/spreadsheetml/2006/main">
  <authors>
    <author>Haizhen Li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Location of critical function  =  &lt;Key value&gt; [GA8_1 ex. x0]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Link [ti]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8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6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7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8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9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9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0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0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1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1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2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2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3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3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4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5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6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6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7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8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8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9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9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0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1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1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2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2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3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3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4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4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</commentList>
</comments>
</file>

<file path=xl/comments3.xml><?xml version="1.0" encoding="utf-8"?>
<comments xmlns="http://schemas.openxmlformats.org/spreadsheetml/2006/main">
  <authors>
    <author>Haizhen Li</author>
  </authors>
  <commentList>
    <comment ref="D6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</t>
        </r>
      </text>
    </comment>
    <comment ref="E6" authorId="0" shapeId="0">
      <text>
        <r>
          <rPr>
            <sz val="9"/>
            <color indexed="81"/>
            <rFont val="Tahoma"/>
            <family val="2"/>
          </rPr>
          <t>Metric  =  Core business line name [si]</t>
        </r>
      </text>
    </comment>
    <comment ref="F6" authorId="0" shapeId="0">
      <text>
        <r>
          <rPr>
            <sz val="9"/>
            <color indexed="81"/>
            <rFont val="Tahoma"/>
            <family val="2"/>
          </rPr>
          <t>Business line (FMI-User to CBL)  =  &lt;Key value&gt;</t>
        </r>
      </text>
    </comment>
    <comment ref="G6" authorId="0" shapeId="0">
      <text>
        <r>
          <rPr>
            <sz val="9"/>
            <color indexed="81"/>
            <rFont val="Tahoma"/>
            <family val="2"/>
          </rPr>
          <t>Metric  =  Link [ti]</t>
        </r>
      </text>
    </comment>
    <comment ref="C7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8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</commentList>
</comments>
</file>

<file path=xl/comments4.xml><?xml version="1.0" encoding="utf-8"?>
<comments xmlns="http://schemas.openxmlformats.org/spreadsheetml/2006/main">
  <authors>
    <author>Haizhen Li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Segment (CCP)  =  &lt;Key value&gt;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Metric  =  Contribution to default fund [mi]_x000D_
Base  =  Memorandum items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Value of positions [mi]_x000D_
Base  =  Memorandum items_x000D_
Type of account  =  Proprietary account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Metric  =  Value of positions [mi]_x000D_
Base  =  Memorandum items_x000D_
Counterparty nature  =  Client_x000D_
Type of account  =  Client account.Omnibus account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>Metric  =  Value of positions [mi]_x000D_
Base  =  Memorandum items_x000D_
Counterparty nature  =  Client_x000D_
Type of account  =  Client account.Segregated account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>Metric  =  Number of counterparties [ii]_x000D_
Counterparty nature  =  Client_x000D_
Type of account  =  Client account.Omnibus account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>Metric  =  Number of counterparties [ii]_x000D_
Counterparty nature  =  Client_x000D_
Type of account  =  Client account.Segregated account</t>
        </r>
      </text>
    </comment>
    <comment ref="L7" authorId="0" shapeId="0">
      <text>
        <r>
          <rPr>
            <sz val="9"/>
            <color indexed="81"/>
            <rFont val="Tahoma"/>
            <family val="2"/>
          </rPr>
          <t>Metric  =  Nominal amount of transactions [mi]_x000D_
Type of account  =  Proprietary account</t>
        </r>
      </text>
    </comment>
    <comment ref="M7" authorId="0" shapeId="0">
      <text>
        <r>
          <rPr>
            <sz val="9"/>
            <color indexed="81"/>
            <rFont val="Tahoma"/>
            <family val="2"/>
          </rPr>
          <t>Metric  =  Nominal amount of transactions [mi]_x000D_
Type of account  =  Client account</t>
        </r>
      </text>
    </comment>
    <comment ref="N7" authorId="0" shapeId="0">
      <text>
        <r>
          <rPr>
            <sz val="9"/>
            <color indexed="81"/>
            <rFont val="Tahoma"/>
            <family val="2"/>
          </rPr>
          <t>Metric  =  Nominal amount [mi]_x000D_
Base  =  Memorandum items_x000D_
Main category  =  Loan commitments received_x000D_
Counterparty nature  =  FMI, representative institution, other liquidity provider</t>
        </r>
      </text>
    </comment>
    <comment ref="O7" authorId="0" shapeId="0">
      <text>
        <r>
          <rPr>
            <sz val="9"/>
            <color indexed="81"/>
            <rFont val="Tahoma"/>
            <family val="2"/>
          </rPr>
          <t>Metric  =  Peak amount of intraday liquidity or collateral requirements [mi]</t>
        </r>
      </text>
    </comment>
    <comment ref="P7" authorId="0" shapeId="0">
      <text>
        <r>
          <rPr>
            <sz val="9"/>
            <color indexed="81"/>
            <rFont val="Tahoma"/>
            <family val="2"/>
          </rPr>
          <t>Metric  =  Estimated amount of additional liquidity or collateral requirements in a stress situation [mi]</t>
        </r>
      </text>
    </comment>
    <comment ref="Q7" authorId="0" shapeId="0">
      <text>
        <r>
          <rPr>
            <sz val="9"/>
            <color indexed="81"/>
            <rFont val="Tahoma"/>
            <family val="2"/>
          </rPr>
          <t>Metric  =  Reference period for daily averages (first day) [di]</t>
        </r>
      </text>
    </comment>
    <comment ref="R7" authorId="0" shapeId="0">
      <text>
        <r>
          <rPr>
            <sz val="9"/>
            <color indexed="81"/>
            <rFont val="Tahoma"/>
            <family val="2"/>
          </rPr>
          <t>Metric  =  Reference period for daily averages (last day) [di]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8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8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8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8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8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8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8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8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8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8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8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8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8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9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9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9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9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9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9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9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9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9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9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9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0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0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0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0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0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0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0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0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0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0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1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1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1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1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1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1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1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1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1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1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2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2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2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2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2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2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2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2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2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2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2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3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3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3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3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3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3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3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3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3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3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3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4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4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4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4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4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4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4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4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4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5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5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5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5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5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5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5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5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5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5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5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6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6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6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6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6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6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6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6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6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6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6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6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6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</commentList>
</comments>
</file>

<file path=xl/sharedStrings.xml><?xml version="1.0" encoding="utf-8"?>
<sst xmlns="http://schemas.openxmlformats.org/spreadsheetml/2006/main" count="344" uniqueCount="145">
  <si>
    <t>T 31.00 - FMI services - Mapping to critical functions</t>
  </si>
  <si>
    <t>Columns</t>
  </si>
  <si>
    <t>ID representing combination of user, system type, FMI and intermediary</t>
  </si>
  <si>
    <t>Critical functions</t>
  </si>
  <si>
    <t>Link (true)</t>
  </si>
  <si>
    <t>Country</t>
  </si>
  <si>
    <t>Critical function ID</t>
  </si>
  <si>
    <t>0010</t>
  </si>
  <si>
    <t>0020</t>
  </si>
  <si>
    <t>0030</t>
  </si>
  <si>
    <t>0040</t>
  </si>
  <si>
    <t>Rows</t>
  </si>
  <si>
    <t>Users, FMIs and intermediaries - critical functions</t>
  </si>
  <si>
    <t>999</t>
  </si>
  <si>
    <t>T 30.00 - FMI services - Providers and users</t>
  </si>
  <si>
    <t>ID representing combination of user, FMI, system type and intermediary</t>
  </si>
  <si>
    <t>User</t>
  </si>
  <si>
    <t>Provider</t>
  </si>
  <si>
    <t>Communication</t>
  </si>
  <si>
    <t>Entity name</t>
  </si>
  <si>
    <t>Entity code</t>
  </si>
  <si>
    <t>FMI</t>
  </si>
  <si>
    <t>Intermediary</t>
  </si>
  <si>
    <t>Main services and governing law</t>
  </si>
  <si>
    <t>Service providers</t>
  </si>
  <si>
    <t>Point of contact(s) at FMI/ intermediary for matters related to resolution of the entity</t>
  </si>
  <si>
    <t>System type</t>
  </si>
  <si>
    <t>FMI name (included in predefined list)</t>
  </si>
  <si>
    <t>FMI name (not included in predefined list)</t>
  </si>
  <si>
    <t>FMI code</t>
  </si>
  <si>
    <t>Participation mode</t>
  </si>
  <si>
    <t>Intermediary name</t>
  </si>
  <si>
    <t>Intermediary code</t>
  </si>
  <si>
    <t>Governing law</t>
  </si>
  <si>
    <t>Currencies relevant for reporting entity</t>
  </si>
  <si>
    <t>Services provided by FMI / representative institution</t>
  </si>
  <si>
    <t>Services provided to FMI / representative institution</t>
  </si>
  <si>
    <t>Comunication service providers</t>
  </si>
  <si>
    <t>Other service providers enabling access to FMI</t>
  </si>
  <si>
    <t>EUR</t>
  </si>
  <si>
    <t>GBP</t>
  </si>
  <si>
    <t>USD</t>
  </si>
  <si>
    <t>CHF</t>
  </si>
  <si>
    <t>JPY</t>
  </si>
  <si>
    <t>Other currencies</t>
  </si>
  <si>
    <t>FMI proprietary</t>
  </si>
  <si>
    <t>SWIFT</t>
  </si>
  <si>
    <t>Other communication service providers (name)</t>
  </si>
  <si>
    <t>Other service providers (name)</t>
  </si>
  <si>
    <t>Services necessary to reporting entity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</si>
  <si>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</si>
  <si>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</si>
  <si>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</si>
  <si>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</si>
  <si>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</si>
  <si>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</si>
  <si>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</si>
  <si>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</si>
  <si>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</si>
  <si>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</si>
  <si>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</si>
  <si>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</si>
  <si>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</si>
  <si>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</si>
  <si>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</si>
  <si>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</si>
  <si>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</si>
  <si>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</si>
  <si>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</si>
  <si>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</si>
  <si>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</si>
  <si>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Users, FMIs, Intermediaries and System Types</t>
  </si>
  <si>
    <t>T 33.00 - FMI services - Key metrics</t>
  </si>
  <si>
    <t>Segment (only for CCPs)</t>
  </si>
  <si>
    <t>Key metrics</t>
  </si>
  <si>
    <t>Reference period for averages (if different from instructions)</t>
  </si>
  <si>
    <t>Contribution to default fund</t>
  </si>
  <si>
    <t>Value of positions on proprietary accounts</t>
  </si>
  <si>
    <t>Value of positions on client omnibus accounts</t>
  </si>
  <si>
    <t>Value of positions on client segregated accounts</t>
  </si>
  <si>
    <t>Number of clients covered by omnibus accounts</t>
  </si>
  <si>
    <t>Number of clients covered by segregated accounts</t>
  </si>
  <si>
    <t>Value of transactions on proprietary accounts</t>
  </si>
  <si>
    <t>Value of transactions on client accounts</t>
  </si>
  <si>
    <t>Credit line</t>
  </si>
  <si>
    <t>Peak of (intraday) liquidity or collateral requirements</t>
  </si>
  <si>
    <t>Estimated additional liquidity or collateral requirements in a stress situation</t>
  </si>
  <si>
    <t>First day</t>
  </si>
  <si>
    <t>Last day</t>
  </si>
  <si>
    <t>Users, FMIs and intermediaries - Key metrics</t>
  </si>
  <si>
    <t>T 32.00 - FMI services - Mapping to core business lines</t>
  </si>
  <si>
    <t>Core business line</t>
  </si>
  <si>
    <t>Core business line ID</t>
  </si>
  <si>
    <t>Users, FMIs and intermediaries - core business lines</t>
  </si>
  <si>
    <t>Table of Contents</t>
  </si>
  <si>
    <t>SPAIN</t>
  </si>
  <si>
    <t>Banco Santander Totta SA</t>
  </si>
  <si>
    <t>549300URJH9VSI58CS32</t>
  </si>
  <si>
    <t>CCP-Derivatives</t>
  </si>
  <si>
    <t>LCH SA</t>
  </si>
  <si>
    <t>R1IO4YJ0O79SMWVCHB58</t>
  </si>
  <si>
    <t>Indirect</t>
  </si>
  <si>
    <t>Banco Santander, S.A.</t>
  </si>
  <si>
    <t>Execution &amp; Clearing; Securities Settlement</t>
  </si>
  <si>
    <t>liquidity provider; custody</t>
  </si>
  <si>
    <t>Mónica Braga;Technician;00351226158495;monica.braga@lchclearnet.com</t>
  </si>
  <si>
    <t>(I)CSD</t>
  </si>
  <si>
    <t>INTERBOLSA</t>
  </si>
  <si>
    <t>529900LG70TCAGWCXT47</t>
  </si>
  <si>
    <t>Direct</t>
  </si>
  <si>
    <t>PORTUGAL</t>
  </si>
  <si>
    <t>custody</t>
  </si>
  <si>
    <t>Amélia Peralta;Senior Account Manager;00351226158400;amelia.peralta@interbolsa.pt</t>
  </si>
  <si>
    <t>Euroclear Bank</t>
  </si>
  <si>
    <t>549300OZ46BRLZ8Y6F65</t>
  </si>
  <si>
    <t>BELGIUM</t>
  </si>
  <si>
    <t>liquidity provider</t>
  </si>
  <si>
    <t>Bénédicte Brunet;Account Manager;003223262812;comercial.europe@euroclear.com</t>
  </si>
  <si>
    <t>PS</t>
  </si>
  <si>
    <t>EURO 1</t>
  </si>
  <si>
    <t>2549000PZQFZ0TEPB750</t>
  </si>
  <si>
    <t>FRANCE</t>
  </si>
  <si>
    <t>Payment Services</t>
  </si>
  <si>
    <t>Valentina Liva;Account Manager;003226432785</t>
  </si>
  <si>
    <t>SICOI</t>
  </si>
  <si>
    <t>54930037NWG1CCVQHF93</t>
  </si>
  <si>
    <t>liquidity provider; liquidity provider; other (communication)</t>
  </si>
  <si>
    <t>Cristina de Oliveira Martins;Senior Account Manager;00351217813 050;cristina.martins@sibs.pt</t>
  </si>
  <si>
    <t>STEP 2</t>
  </si>
  <si>
    <t>2549000PZQFZ0TEPB751</t>
  </si>
  <si>
    <t>STEP 1</t>
  </si>
  <si>
    <t>2549000PZQFZ0TEPB752</t>
  </si>
  <si>
    <t>TARGET2</t>
  </si>
  <si>
    <t>2549000PZQFZ0TEPB753</t>
  </si>
  <si>
    <t>Lara Fernandes;Head of Divison;lmfernandes@bportugal.pt;00351213130052</t>
  </si>
  <si>
    <t>969500JXZA2VJ64UCM28</t>
  </si>
  <si>
    <t>Carmen Maria Rey Poza;Data Manager Director;cmrey@gruposantander.com;0034625597940</t>
  </si>
  <si>
    <t>4.1 - Capital Markets: Derivatives held for trading - OTC</t>
  </si>
  <si>
    <t>3.6 - Payment, Cash, Settlement, Clearing, Custody: Custody services</t>
  </si>
  <si>
    <t>3.1 - Payment, Cash, Settlement, Clearing, Custody: Payment services to MFIs</t>
  </si>
  <si>
    <t xml:space="preserve">Corporate Investment Banking (CIB) </t>
  </si>
  <si>
    <t>BL04CIB</t>
  </si>
  <si>
    <t xml:space="preserve">Commercial banking - Retail;Commercial banking - SMEs;Commercial banking - Corporate;Corporate Investment Banking (CIB) </t>
  </si>
  <si>
    <t>BL01RET;BL02SME;BL03CORP;BL04CIB</t>
  </si>
  <si>
    <t>3.2 - Payment, Cash, Settlement, Clearing, Custody: Payment services to non-MFIs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</si>
</sst>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indexed="21"/>
      <name val="Calibri"/>
      <family val="2"/>
      <scheme val="minor"/>
    </font>
    <font>
      <sz val="9"/>
      <color indexed="11"/>
      <name val="Calibri"/>
      <family val="2"/>
      <scheme val="minor"/>
    </font>
    <font>
      <sz val="9"/>
      <color indexed="24"/>
      <name val="Calibri"/>
      <family val="2"/>
      <scheme val="minor"/>
    </font>
    <font>
      <sz val="9"/>
      <color indexed="16"/>
      <name val="Calibri"/>
      <family val="2"/>
      <scheme val="minor"/>
    </font>
    <font>
      <sz val="9"/>
      <color indexed="17"/>
      <name val="Calibri"/>
      <family val="2"/>
      <scheme val="minor"/>
    </font>
    <font>
      <sz val="9"/>
      <color indexed="18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8"/>
      <name val="Tahoma"/>
      <family val="2"/>
    </font>
    <font>
      <sz val="9"/>
      <color indexed="29"/>
      <name val="Calibri"/>
      <family val="2"/>
      <scheme val="minor"/>
    </font>
    <font>
      <sz val="9"/>
      <color indexed="25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6" xfId="0" quotePrefix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textRotation="90"/>
    </xf>
    <xf numFmtId="0" fontId="0" fillId="2" borderId="4" xfId="0" applyFill="1" applyBorder="1" applyAlignment="1">
      <alignment horizontal="left" vertical="center" wrapText="1"/>
    </xf>
    <xf numFmtId="0" fontId="0" fillId="2" borderId="6" xfId="0" quotePrefix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/>
    <xf numFmtId="4" fontId="3" fillId="0" borderId="8" xfId="0" applyNumberFormat="1" applyFont="1" applyBorder="1" applyAlignment="1">
      <alignment horizontal="center" vertical="center" wrapText="1"/>
    </xf>
    <xf numFmtId="4" fontId="3" fillId="0" borderId="9" xfId="0" applyNumberFormat="1" applyFont="1" applyBorder="1" applyAlignment="1">
      <alignment horizontal="center" vertical="center" wrapText="1"/>
    </xf>
    <xf numFmtId="10" fontId="0" fillId="0" borderId="0" xfId="1" applyNumberFormat="1" applyFont="1" applyAlignment="1">
      <alignment wrapText="1"/>
    </xf>
    <xf numFmtId="10" fontId="0" fillId="0" borderId="0" xfId="1" applyNumberFormat="1" applyFont="1"/>
    <xf numFmtId="10" fontId="12" fillId="0" borderId="0" xfId="1" applyNumberFormat="1" applyFont="1" applyAlignment="1">
      <alignment horizontal="left" vertical="top" wrapText="1"/>
    </xf>
    <xf numFmtId="4" fontId="0" fillId="0" borderId="0" xfId="0" applyNumberFormat="1"/>
    <xf numFmtId="0" fontId="14" fillId="0" borderId="0" xfId="0" applyFont="1"/>
    <xf numFmtId="0" fontId="0" fillId="0" borderId="0" xfId="0"/>
    <xf numFmtId="0" fontId="0" fillId="2" borderId="3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ord_Financeira_Arquivo\9999_12_RESOLUCAO\Resolution%20Pack\BANCO%20DE%20PORTUGAL\FR%202022\2.%20TEMPLATES\FMI\0991_resolfmi_con_20211231_3.1.1_SG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T 30.00"/>
      <sheetName val="T 31.00"/>
      <sheetName val="T 32.00"/>
      <sheetName val="T 33.00"/>
    </sheetNames>
    <sheetDataSet>
      <sheetData sheetId="0"/>
      <sheetData sheetId="1">
        <row r="10">
          <cell r="D10">
            <v>1</v>
          </cell>
        </row>
      </sheetData>
      <sheetData sheetId="2">
        <row r="8">
          <cell r="D8">
            <v>1</v>
          </cell>
        </row>
      </sheetData>
      <sheetData sheetId="3">
        <row r="7">
          <cell r="D7">
            <v>1</v>
          </cell>
        </row>
      </sheetData>
      <sheetData sheetId="4">
        <row r="8">
          <cell r="D8">
            <v>1</v>
          </cell>
          <cell r="E8" t="str">
            <v>Derivatives</v>
          </cell>
        </row>
        <row r="9">
          <cell r="D9">
            <v>2</v>
          </cell>
          <cell r="E9" t="str">
            <v>NA</v>
          </cell>
        </row>
        <row r="10">
          <cell r="D10">
            <v>3</v>
          </cell>
          <cell r="E10" t="str">
            <v>NA</v>
          </cell>
        </row>
        <row r="11">
          <cell r="D11">
            <v>4</v>
          </cell>
          <cell r="E11" t="str">
            <v>NA</v>
          </cell>
        </row>
        <row r="12">
          <cell r="D12">
            <v>5</v>
          </cell>
          <cell r="E12" t="str">
            <v>NA</v>
          </cell>
        </row>
        <row r="13">
          <cell r="D13">
            <v>6</v>
          </cell>
          <cell r="E13" t="str">
            <v>NA</v>
          </cell>
        </row>
        <row r="14">
          <cell r="D14">
            <v>7</v>
          </cell>
          <cell r="E14" t="str">
            <v>NA</v>
          </cell>
        </row>
        <row r="15">
          <cell r="D15">
            <v>8</v>
          </cell>
          <cell r="E15" t="str">
            <v>NA</v>
          </cell>
        </row>
        <row r="16">
          <cell r="D16">
            <v>9</v>
          </cell>
          <cell r="E16" t="str">
            <v>NA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"/>
  <sheetViews>
    <sheetView workbookViewId="0">
      <selection sqref="A1:C1"/>
    </sheetView>
  </sheetViews>
  <sheetFormatPr defaultRowHeight="15" x14ac:dyDescent="0.25"/>
  <sheetData>
    <row r="1" spans="1:3" ht="19.5" x14ac:dyDescent="0.3">
      <c r="A1" s="29" t="s">
        <v>94</v>
      </c>
      <c r="B1" s="30"/>
      <c r="C1" s="30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F18"/>
  <sheetViews>
    <sheetView topLeftCell="A7" workbookViewId="0">
      <selection activeCell="D10" sqref="D10"/>
    </sheetView>
  </sheetViews>
  <sheetFormatPr defaultRowHeight="15" x14ac:dyDescent="0.25"/>
  <cols>
    <col min="1" max="1" width="5.7109375" customWidth="1"/>
    <col min="2" max="2" width="38.5703125" bestFit="1" customWidth="1"/>
    <col min="3" max="3" width="4" bestFit="1" customWidth="1"/>
    <col min="4" max="28" width="20.7109375" customWidth="1"/>
    <col min="29" max="29" width="22.42578125" bestFit="1" customWidth="1"/>
    <col min="30" max="31" width="25.7109375" customWidth="1"/>
    <col min="32" max="32" width="23.5703125" bestFit="1" customWidth="1"/>
  </cols>
  <sheetData>
    <row r="1" spans="1:32" ht="14.45" customHeight="1" x14ac:dyDescent="0.25">
      <c r="A1" s="34" t="s">
        <v>14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1"/>
      <c r="AD1" s="1"/>
      <c r="AE1" s="1"/>
      <c r="AF1" s="1"/>
    </row>
    <row r="2" spans="1:32" ht="14.45" customHeight="1" x14ac:dyDescent="0.25">
      <c r="AC2" s="1"/>
      <c r="AD2" s="1"/>
      <c r="AE2" s="1"/>
      <c r="AF2" s="1"/>
    </row>
    <row r="3" spans="1:32" ht="14.45" customHeight="1" x14ac:dyDescent="0.25">
      <c r="AC3" s="1"/>
      <c r="AD3" s="1"/>
      <c r="AE3" s="1"/>
      <c r="AF3" s="1"/>
    </row>
    <row r="4" spans="1:32" ht="14.45" customHeight="1" x14ac:dyDescent="0.25">
      <c r="D4" s="36" t="s">
        <v>1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1"/>
      <c r="AD4" s="1"/>
      <c r="AE4" s="1"/>
      <c r="AF4" s="1"/>
    </row>
    <row r="5" spans="1:32" ht="57.6" customHeight="1" x14ac:dyDescent="0.25">
      <c r="D5" s="2" t="s">
        <v>15</v>
      </c>
      <c r="E5" s="31" t="s">
        <v>16</v>
      </c>
      <c r="F5" s="33"/>
      <c r="G5" s="31" t="s">
        <v>17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4" t="s">
        <v>18</v>
      </c>
      <c r="AC5" s="1"/>
      <c r="AD5" s="1"/>
      <c r="AE5" s="1"/>
      <c r="AF5" s="1"/>
    </row>
    <row r="6" spans="1:32" ht="57.6" customHeight="1" x14ac:dyDescent="0.25">
      <c r="D6" s="15"/>
      <c r="E6" s="2" t="s">
        <v>19</v>
      </c>
      <c r="F6" s="2" t="s">
        <v>20</v>
      </c>
      <c r="G6" s="31" t="s">
        <v>21</v>
      </c>
      <c r="H6" s="32"/>
      <c r="I6" s="32"/>
      <c r="J6" s="32"/>
      <c r="K6" s="33"/>
      <c r="L6" s="31" t="s">
        <v>22</v>
      </c>
      <c r="M6" s="33"/>
      <c r="N6" s="31" t="s">
        <v>23</v>
      </c>
      <c r="O6" s="32"/>
      <c r="P6" s="32"/>
      <c r="Q6" s="32"/>
      <c r="R6" s="32"/>
      <c r="S6" s="32"/>
      <c r="T6" s="32"/>
      <c r="U6" s="32"/>
      <c r="V6" s="33"/>
      <c r="W6" s="31" t="s">
        <v>24</v>
      </c>
      <c r="X6" s="32"/>
      <c r="Y6" s="32"/>
      <c r="Z6" s="32"/>
      <c r="AA6" s="33"/>
      <c r="AB6" s="2" t="s">
        <v>25</v>
      </c>
      <c r="AC6" s="1"/>
      <c r="AD6" s="1"/>
      <c r="AE6" s="1"/>
      <c r="AF6" s="1"/>
    </row>
    <row r="7" spans="1:32" ht="43.15" customHeight="1" x14ac:dyDescent="0.25">
      <c r="D7" s="15"/>
      <c r="E7" s="15"/>
      <c r="F7" s="15"/>
      <c r="G7" s="2" t="s">
        <v>26</v>
      </c>
      <c r="H7" s="2" t="s">
        <v>27</v>
      </c>
      <c r="I7" s="2" t="s">
        <v>28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33</v>
      </c>
      <c r="O7" s="31" t="s">
        <v>34</v>
      </c>
      <c r="P7" s="32"/>
      <c r="Q7" s="32"/>
      <c r="R7" s="32"/>
      <c r="S7" s="32"/>
      <c r="T7" s="33"/>
      <c r="U7" s="2" t="s">
        <v>35</v>
      </c>
      <c r="V7" s="2" t="s">
        <v>36</v>
      </c>
      <c r="W7" s="31" t="s">
        <v>37</v>
      </c>
      <c r="X7" s="32"/>
      <c r="Y7" s="33"/>
      <c r="Z7" s="31" t="s">
        <v>38</v>
      </c>
      <c r="AA7" s="33"/>
      <c r="AB7" s="15"/>
    </row>
    <row r="8" spans="1:32" ht="43.15" customHeight="1" x14ac:dyDescent="0.25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 t="s">
        <v>39</v>
      </c>
      <c r="P8" s="4" t="s">
        <v>40</v>
      </c>
      <c r="Q8" s="4" t="s">
        <v>41</v>
      </c>
      <c r="R8" s="4" t="s">
        <v>42</v>
      </c>
      <c r="S8" s="4" t="s">
        <v>43</v>
      </c>
      <c r="T8" s="4" t="s">
        <v>44</v>
      </c>
      <c r="U8" s="3"/>
      <c r="V8" s="3"/>
      <c r="W8" s="4" t="s">
        <v>45</v>
      </c>
      <c r="X8" s="4" t="s">
        <v>46</v>
      </c>
      <c r="Y8" s="4" t="s">
        <v>47</v>
      </c>
      <c r="Z8" s="4" t="s">
        <v>48</v>
      </c>
      <c r="AA8" s="4" t="s">
        <v>49</v>
      </c>
      <c r="AB8" s="3"/>
    </row>
    <row r="9" spans="1:32" ht="15" customHeight="1" thickBot="1" x14ac:dyDescent="0.3">
      <c r="D9" s="5" t="s">
        <v>7</v>
      </c>
      <c r="E9" s="5" t="s">
        <v>8</v>
      </c>
      <c r="F9" s="5" t="s">
        <v>9</v>
      </c>
      <c r="G9" s="5" t="s">
        <v>10</v>
      </c>
      <c r="H9" s="5" t="s">
        <v>50</v>
      </c>
      <c r="I9" s="5" t="s">
        <v>51</v>
      </c>
      <c r="J9" s="5" t="s">
        <v>52</v>
      </c>
      <c r="K9" s="5" t="s">
        <v>53</v>
      </c>
      <c r="L9" s="5" t="s">
        <v>54</v>
      </c>
      <c r="M9" s="5" t="s">
        <v>55</v>
      </c>
      <c r="N9" s="5" t="s">
        <v>56</v>
      </c>
      <c r="O9" s="5" t="s">
        <v>57</v>
      </c>
      <c r="P9" s="5" t="s">
        <v>58</v>
      </c>
      <c r="Q9" s="5" t="s">
        <v>59</v>
      </c>
      <c r="R9" s="5" t="s">
        <v>60</v>
      </c>
      <c r="S9" s="5" t="s">
        <v>61</v>
      </c>
      <c r="T9" s="5" t="s">
        <v>62</v>
      </c>
      <c r="U9" s="5" t="s">
        <v>63</v>
      </c>
      <c r="V9" s="5" t="s">
        <v>64</v>
      </c>
      <c r="W9" s="5" t="s">
        <v>65</v>
      </c>
      <c r="X9" s="5" t="s">
        <v>66</v>
      </c>
      <c r="Y9" s="5" t="s">
        <v>67</v>
      </c>
      <c r="Z9" s="5" t="s">
        <v>68</v>
      </c>
      <c r="AA9" s="5" t="s">
        <v>69</v>
      </c>
      <c r="AB9" s="5" t="s">
        <v>70</v>
      </c>
      <c r="AC9" s="1"/>
      <c r="AD9" s="1"/>
      <c r="AE9" s="1"/>
      <c r="AF9" s="1"/>
    </row>
    <row r="10" spans="1:32" ht="30" customHeight="1" thickBot="1" x14ac:dyDescent="0.3">
      <c r="A10" s="6" t="s">
        <v>11</v>
      </c>
      <c r="B10" s="7" t="s">
        <v>71</v>
      </c>
      <c r="C10" s="8" t="s">
        <v>13</v>
      </c>
      <c r="D10" s="9">
        <v>1</v>
      </c>
      <c r="E10" s="10" t="s">
        <v>96</v>
      </c>
      <c r="F10" s="10" t="s">
        <v>97</v>
      </c>
      <c r="G10" s="10" t="s">
        <v>98</v>
      </c>
      <c r="H10" s="10" t="s">
        <v>99</v>
      </c>
      <c r="I10" s="10">
        <v>0</v>
      </c>
      <c r="J10" s="10" t="s">
        <v>100</v>
      </c>
      <c r="K10" s="10" t="s">
        <v>101</v>
      </c>
      <c r="L10" s="10" t="s">
        <v>102</v>
      </c>
      <c r="M10" s="16">
        <v>0</v>
      </c>
      <c r="N10" s="10" t="s">
        <v>95</v>
      </c>
      <c r="O10" s="10" t="b">
        <v>1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s">
        <v>103</v>
      </c>
      <c r="V10" s="10" t="s">
        <v>104</v>
      </c>
      <c r="W10" s="10" t="b">
        <v>1</v>
      </c>
      <c r="X10" s="10" t="b">
        <v>0</v>
      </c>
      <c r="Y10" s="10" t="b">
        <v>0</v>
      </c>
      <c r="Z10" s="10">
        <v>0</v>
      </c>
      <c r="AA10" s="10">
        <v>0</v>
      </c>
      <c r="AB10" s="11" t="s">
        <v>105</v>
      </c>
      <c r="AC10" s="17"/>
      <c r="AD10" s="18"/>
      <c r="AE10" s="19"/>
      <c r="AF10" s="20"/>
    </row>
    <row r="11" spans="1:32" ht="60.75" thickBot="1" x14ac:dyDescent="0.3">
      <c r="C11" s="8" t="s">
        <v>13</v>
      </c>
      <c r="D11" s="9">
        <v>2</v>
      </c>
      <c r="E11" s="10" t="s">
        <v>96</v>
      </c>
      <c r="F11" s="10" t="s">
        <v>97</v>
      </c>
      <c r="G11" s="10" t="s">
        <v>106</v>
      </c>
      <c r="H11" s="10" t="s">
        <v>107</v>
      </c>
      <c r="I11" s="10">
        <v>0</v>
      </c>
      <c r="J11" s="10" t="s">
        <v>108</v>
      </c>
      <c r="K11" s="10" t="s">
        <v>109</v>
      </c>
      <c r="L11" s="10">
        <v>0</v>
      </c>
      <c r="M11" s="16">
        <v>0</v>
      </c>
      <c r="N11" s="10" t="s">
        <v>110</v>
      </c>
      <c r="O11" s="10" t="b">
        <v>1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s">
        <v>103</v>
      </c>
      <c r="V11" s="10" t="s">
        <v>111</v>
      </c>
      <c r="W11" s="10" t="b">
        <v>1</v>
      </c>
      <c r="X11" s="10" t="b">
        <v>0</v>
      </c>
      <c r="Y11" s="10" t="b">
        <v>0</v>
      </c>
      <c r="Z11" s="10">
        <v>0</v>
      </c>
      <c r="AA11" s="10">
        <v>0</v>
      </c>
      <c r="AB11" s="11" t="s">
        <v>112</v>
      </c>
    </row>
    <row r="12" spans="1:32" ht="60.75" thickBot="1" x14ac:dyDescent="0.3">
      <c r="C12" s="8" t="s">
        <v>13</v>
      </c>
      <c r="D12" s="9">
        <v>3</v>
      </c>
      <c r="E12" s="10" t="s">
        <v>96</v>
      </c>
      <c r="F12" s="10" t="s">
        <v>97</v>
      </c>
      <c r="G12" s="10" t="s">
        <v>106</v>
      </c>
      <c r="H12" s="10" t="s">
        <v>113</v>
      </c>
      <c r="I12" s="10">
        <v>0</v>
      </c>
      <c r="J12" s="10" t="s">
        <v>114</v>
      </c>
      <c r="K12" s="10" t="s">
        <v>109</v>
      </c>
      <c r="L12" s="10">
        <v>0</v>
      </c>
      <c r="M12" s="16">
        <v>0</v>
      </c>
      <c r="N12" s="10" t="s">
        <v>115</v>
      </c>
      <c r="O12" s="10" t="b">
        <v>1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s">
        <v>103</v>
      </c>
      <c r="V12" s="10" t="s">
        <v>116</v>
      </c>
      <c r="W12" s="10" t="b">
        <v>1</v>
      </c>
      <c r="X12" s="10" t="b">
        <v>0</v>
      </c>
      <c r="Y12" s="10" t="b">
        <v>0</v>
      </c>
      <c r="Z12" s="10">
        <v>0</v>
      </c>
      <c r="AA12" s="10">
        <v>0</v>
      </c>
      <c r="AB12" s="11" t="s">
        <v>117</v>
      </c>
    </row>
    <row r="13" spans="1:32" ht="24.75" thickBot="1" x14ac:dyDescent="0.3">
      <c r="C13" s="8" t="s">
        <v>13</v>
      </c>
      <c r="D13" s="9">
        <v>4</v>
      </c>
      <c r="E13" s="10" t="s">
        <v>96</v>
      </c>
      <c r="F13" s="10" t="s">
        <v>97</v>
      </c>
      <c r="G13" s="10" t="s">
        <v>118</v>
      </c>
      <c r="H13" s="10" t="s">
        <v>119</v>
      </c>
      <c r="I13" s="10">
        <v>0</v>
      </c>
      <c r="J13" s="10" t="s">
        <v>120</v>
      </c>
      <c r="K13" s="10" t="s">
        <v>109</v>
      </c>
      <c r="L13" s="10">
        <v>0</v>
      </c>
      <c r="M13" s="16">
        <v>0</v>
      </c>
      <c r="N13" s="10" t="s">
        <v>121</v>
      </c>
      <c r="O13" s="10" t="b">
        <v>1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s">
        <v>122</v>
      </c>
      <c r="V13" s="10" t="s">
        <v>116</v>
      </c>
      <c r="W13" s="10" t="b">
        <v>1</v>
      </c>
      <c r="X13" s="10" t="b">
        <v>0</v>
      </c>
      <c r="Y13" s="10" t="b">
        <v>0</v>
      </c>
      <c r="Z13" s="10">
        <v>0</v>
      </c>
      <c r="AA13" s="10">
        <v>0</v>
      </c>
      <c r="AB13" s="11" t="s">
        <v>123</v>
      </c>
    </row>
    <row r="14" spans="1:32" ht="60.75" thickBot="1" x14ac:dyDescent="0.3">
      <c r="C14" s="8" t="s">
        <v>13</v>
      </c>
      <c r="D14" s="9">
        <v>5</v>
      </c>
      <c r="E14" s="10" t="s">
        <v>96</v>
      </c>
      <c r="F14" s="10" t="s">
        <v>97</v>
      </c>
      <c r="G14" s="10" t="s">
        <v>118</v>
      </c>
      <c r="H14" s="10" t="s">
        <v>124</v>
      </c>
      <c r="I14" s="10">
        <v>0</v>
      </c>
      <c r="J14" s="10" t="s">
        <v>125</v>
      </c>
      <c r="K14" s="10" t="s">
        <v>109</v>
      </c>
      <c r="L14" s="10">
        <v>0</v>
      </c>
      <c r="M14" s="16">
        <v>0</v>
      </c>
      <c r="N14" s="10" t="s">
        <v>110</v>
      </c>
      <c r="O14" s="10" t="b">
        <v>1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s">
        <v>122</v>
      </c>
      <c r="V14" s="10" t="s">
        <v>126</v>
      </c>
      <c r="W14" s="10" t="b">
        <v>1</v>
      </c>
      <c r="X14" s="10" t="b">
        <v>0</v>
      </c>
      <c r="Y14" s="10" t="b">
        <v>0</v>
      </c>
      <c r="Z14" s="10">
        <v>0</v>
      </c>
      <c r="AA14" s="10">
        <v>0</v>
      </c>
      <c r="AB14" s="11" t="s">
        <v>127</v>
      </c>
    </row>
    <row r="15" spans="1:32" ht="24.75" thickBot="1" x14ac:dyDescent="0.3">
      <c r="C15" s="8" t="s">
        <v>13</v>
      </c>
      <c r="D15" s="9">
        <v>6</v>
      </c>
      <c r="E15" s="10" t="s">
        <v>96</v>
      </c>
      <c r="F15" s="10" t="s">
        <v>97</v>
      </c>
      <c r="G15" s="10" t="s">
        <v>118</v>
      </c>
      <c r="H15" s="10" t="s">
        <v>128</v>
      </c>
      <c r="I15" s="10">
        <v>0</v>
      </c>
      <c r="J15" s="10" t="s">
        <v>129</v>
      </c>
      <c r="K15" s="10" t="s">
        <v>109</v>
      </c>
      <c r="L15" s="10">
        <v>0</v>
      </c>
      <c r="M15" s="16">
        <v>0</v>
      </c>
      <c r="N15" s="10" t="s">
        <v>121</v>
      </c>
      <c r="O15" s="10" t="b">
        <v>1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s">
        <v>122</v>
      </c>
      <c r="V15" s="10" t="s">
        <v>116</v>
      </c>
      <c r="W15" s="10" t="b">
        <v>1</v>
      </c>
      <c r="X15" s="10" t="b">
        <v>0</v>
      </c>
      <c r="Y15" s="10" t="b">
        <v>0</v>
      </c>
      <c r="Z15" s="10">
        <v>0</v>
      </c>
      <c r="AA15" s="10">
        <v>0</v>
      </c>
      <c r="AB15" s="11" t="s">
        <v>123</v>
      </c>
    </row>
    <row r="16" spans="1:32" ht="24.75" thickBot="1" x14ac:dyDescent="0.3">
      <c r="C16" s="8" t="s">
        <v>13</v>
      </c>
      <c r="D16" s="9">
        <v>7</v>
      </c>
      <c r="E16" s="10" t="s">
        <v>96</v>
      </c>
      <c r="F16" s="10" t="s">
        <v>97</v>
      </c>
      <c r="G16" s="10" t="s">
        <v>118</v>
      </c>
      <c r="H16" s="10" t="s">
        <v>130</v>
      </c>
      <c r="I16" s="10">
        <v>0</v>
      </c>
      <c r="J16" s="10" t="s">
        <v>131</v>
      </c>
      <c r="K16" s="10" t="s">
        <v>109</v>
      </c>
      <c r="L16" s="10">
        <v>0</v>
      </c>
      <c r="M16" s="16">
        <v>0</v>
      </c>
      <c r="N16" s="10" t="s">
        <v>121</v>
      </c>
      <c r="O16" s="10" t="b">
        <v>1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s">
        <v>122</v>
      </c>
      <c r="V16" s="10" t="s">
        <v>116</v>
      </c>
      <c r="W16" s="10" t="b">
        <v>1</v>
      </c>
      <c r="X16" s="10" t="b">
        <v>0</v>
      </c>
      <c r="Y16" s="10" t="b">
        <v>0</v>
      </c>
      <c r="Z16" s="10">
        <v>0</v>
      </c>
      <c r="AA16" s="10">
        <v>0</v>
      </c>
      <c r="AB16" s="11" t="s">
        <v>123</v>
      </c>
    </row>
    <row r="17" spans="3:28" ht="48.75" thickBot="1" x14ac:dyDescent="0.3">
      <c r="C17" s="8" t="s">
        <v>13</v>
      </c>
      <c r="D17" s="9">
        <v>8</v>
      </c>
      <c r="E17" s="10" t="s">
        <v>96</v>
      </c>
      <c r="F17" s="10" t="s">
        <v>97</v>
      </c>
      <c r="G17" s="10" t="s">
        <v>118</v>
      </c>
      <c r="H17" s="10" t="s">
        <v>132</v>
      </c>
      <c r="I17" s="10">
        <v>0</v>
      </c>
      <c r="J17" s="10" t="s">
        <v>133</v>
      </c>
      <c r="K17" s="10" t="s">
        <v>109</v>
      </c>
      <c r="L17" s="10">
        <v>0</v>
      </c>
      <c r="M17" s="16">
        <v>0</v>
      </c>
      <c r="N17" s="10" t="s">
        <v>110</v>
      </c>
      <c r="O17" s="10" t="b">
        <v>1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s">
        <v>122</v>
      </c>
      <c r="V17" s="10" t="s">
        <v>116</v>
      </c>
      <c r="W17" s="10" t="b">
        <v>1</v>
      </c>
      <c r="X17" s="10" t="b">
        <v>0</v>
      </c>
      <c r="Y17" s="10" t="b">
        <v>0</v>
      </c>
      <c r="Z17" s="10">
        <v>0</v>
      </c>
      <c r="AA17" s="10">
        <v>0</v>
      </c>
      <c r="AB17" s="11" t="s">
        <v>134</v>
      </c>
    </row>
    <row r="18" spans="3:28" ht="60.75" thickBot="1" x14ac:dyDescent="0.3">
      <c r="C18" s="8" t="s">
        <v>13</v>
      </c>
      <c r="D18" s="9">
        <v>9</v>
      </c>
      <c r="E18" s="10" t="s">
        <v>96</v>
      </c>
      <c r="F18" s="10" t="s">
        <v>97</v>
      </c>
      <c r="G18" s="10" t="s">
        <v>118</v>
      </c>
      <c r="H18" s="10" t="s">
        <v>132</v>
      </c>
      <c r="I18" s="10">
        <v>0</v>
      </c>
      <c r="J18" s="10" t="s">
        <v>135</v>
      </c>
      <c r="K18" s="10" t="s">
        <v>101</v>
      </c>
      <c r="L18" s="10" t="s">
        <v>102</v>
      </c>
      <c r="M18" s="16">
        <v>0</v>
      </c>
      <c r="N18" s="10" t="s">
        <v>95</v>
      </c>
      <c r="O18" s="10" t="b">
        <v>0</v>
      </c>
      <c r="P18" s="10" t="b">
        <v>1</v>
      </c>
      <c r="Q18" s="10" t="b">
        <v>1</v>
      </c>
      <c r="R18" s="10" t="b">
        <v>0</v>
      </c>
      <c r="S18" s="10" t="b">
        <v>0</v>
      </c>
      <c r="T18" s="10" t="b">
        <v>0</v>
      </c>
      <c r="U18" s="10" t="s">
        <v>122</v>
      </c>
      <c r="V18" s="10" t="s">
        <v>116</v>
      </c>
      <c r="W18" s="10" t="b">
        <v>0</v>
      </c>
      <c r="X18" s="10" t="b">
        <v>1</v>
      </c>
      <c r="Y18" s="10" t="b">
        <v>0</v>
      </c>
      <c r="Z18" s="10">
        <v>0</v>
      </c>
      <c r="AA18" s="10">
        <v>0</v>
      </c>
      <c r="AB18" s="11" t="s">
        <v>136</v>
      </c>
    </row>
  </sheetData>
  <mergeCells count="11">
    <mergeCell ref="O7:T7"/>
    <mergeCell ref="W7:Y7"/>
    <mergeCell ref="Z7:AA7"/>
    <mergeCell ref="A1:AB1"/>
    <mergeCell ref="D4:AB4"/>
    <mergeCell ref="E5:F5"/>
    <mergeCell ref="G5:AA5"/>
    <mergeCell ref="G6:K6"/>
    <mergeCell ref="L6:M6"/>
    <mergeCell ref="N6:V6"/>
    <mergeCell ref="W6:AA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34"/>
  <sheetViews>
    <sheetView workbookViewId="0">
      <selection activeCell="C8" sqref="C8"/>
    </sheetView>
  </sheetViews>
  <sheetFormatPr defaultRowHeight="15" x14ac:dyDescent="0.25"/>
  <cols>
    <col min="1" max="1" width="5.7109375" customWidth="1"/>
    <col min="2" max="2" width="41.7109375" customWidth="1"/>
    <col min="3" max="3" width="4" bestFit="1" customWidth="1"/>
    <col min="4" max="7" width="20.7109375" customWidth="1"/>
    <col min="8" max="10" width="25.7109375" customWidth="1"/>
  </cols>
  <sheetData>
    <row r="1" spans="1:10" ht="14.45" customHeight="1" x14ac:dyDescent="0.25">
      <c r="A1" s="34" t="s">
        <v>0</v>
      </c>
      <c r="B1" s="35"/>
      <c r="C1" s="35"/>
      <c r="D1" s="35"/>
      <c r="E1" s="35"/>
      <c r="F1" s="35"/>
      <c r="G1" s="35"/>
      <c r="H1" s="1"/>
      <c r="I1" s="1"/>
      <c r="J1" s="1"/>
    </row>
    <row r="2" spans="1:10" ht="14.45" customHeight="1" x14ac:dyDescent="0.25">
      <c r="H2" s="1"/>
      <c r="I2" s="1"/>
      <c r="J2" s="1"/>
    </row>
    <row r="3" spans="1:10" ht="14.45" customHeight="1" x14ac:dyDescent="0.25">
      <c r="H3" s="1"/>
      <c r="I3" s="1"/>
      <c r="J3" s="1"/>
    </row>
    <row r="4" spans="1:10" ht="14.45" customHeight="1" x14ac:dyDescent="0.25">
      <c r="D4" s="36" t="s">
        <v>1</v>
      </c>
      <c r="E4" s="36"/>
      <c r="F4" s="36"/>
      <c r="G4" s="36"/>
      <c r="H4" s="1"/>
      <c r="I4" s="1"/>
      <c r="J4" s="1"/>
    </row>
    <row r="5" spans="1:10" ht="57.6" customHeight="1" x14ac:dyDescent="0.25">
      <c r="D5" s="2" t="s">
        <v>2</v>
      </c>
      <c r="E5" s="31" t="s">
        <v>3</v>
      </c>
      <c r="F5" s="33"/>
      <c r="G5" s="2" t="s">
        <v>4</v>
      </c>
    </row>
    <row r="6" spans="1:10" ht="14.45" customHeight="1" x14ac:dyDescent="0.25">
      <c r="D6" s="3"/>
      <c r="E6" s="4" t="s">
        <v>5</v>
      </c>
      <c r="F6" s="4" t="s">
        <v>6</v>
      </c>
      <c r="G6" s="3"/>
    </row>
    <row r="7" spans="1:10" ht="15" customHeight="1" thickBot="1" x14ac:dyDescent="0.3">
      <c r="D7" s="5" t="s">
        <v>7</v>
      </c>
      <c r="E7" s="5" t="s">
        <v>8</v>
      </c>
      <c r="F7" s="5" t="s">
        <v>9</v>
      </c>
      <c r="G7" s="5" t="s">
        <v>10</v>
      </c>
      <c r="H7" s="1"/>
      <c r="I7" s="1"/>
      <c r="J7" s="1"/>
    </row>
    <row r="8" spans="1:10" ht="30" customHeight="1" thickBot="1" x14ac:dyDescent="0.3">
      <c r="A8" s="6" t="s">
        <v>11</v>
      </c>
      <c r="B8" s="7" t="s">
        <v>12</v>
      </c>
      <c r="C8" s="8" t="s">
        <v>13</v>
      </c>
      <c r="D8" s="9">
        <v>1</v>
      </c>
      <c r="E8" s="10" t="s">
        <v>110</v>
      </c>
      <c r="F8" s="10" t="s">
        <v>137</v>
      </c>
      <c r="G8" s="11" t="b">
        <v>1</v>
      </c>
      <c r="H8" s="12"/>
      <c r="I8" s="13"/>
      <c r="J8" s="14"/>
    </row>
    <row r="9" spans="1:10" ht="48.75" thickBot="1" x14ac:dyDescent="0.3">
      <c r="C9" s="8" t="s">
        <v>13</v>
      </c>
      <c r="D9" s="9">
        <v>2</v>
      </c>
      <c r="E9" s="10" t="s">
        <v>110</v>
      </c>
      <c r="F9" s="10" t="s">
        <v>138</v>
      </c>
      <c r="G9" s="11" t="b">
        <v>1</v>
      </c>
    </row>
    <row r="10" spans="1:10" ht="48.75" thickBot="1" x14ac:dyDescent="0.3">
      <c r="C10" s="8" t="s">
        <v>13</v>
      </c>
      <c r="D10" s="9">
        <v>3</v>
      </c>
      <c r="E10" s="10" t="s">
        <v>110</v>
      </c>
      <c r="F10" s="10" t="s">
        <v>138</v>
      </c>
      <c r="G10" s="11" t="b">
        <v>1</v>
      </c>
    </row>
    <row r="11" spans="1:10" ht="48.75" thickBot="1" x14ac:dyDescent="0.3">
      <c r="C11" s="8" t="s">
        <v>13</v>
      </c>
      <c r="D11" s="9">
        <v>4</v>
      </c>
      <c r="E11" s="10" t="s">
        <v>110</v>
      </c>
      <c r="F11" s="10" t="s">
        <v>139</v>
      </c>
      <c r="G11" s="11" t="b">
        <v>1</v>
      </c>
    </row>
    <row r="12" spans="1:10" ht="48.75" thickBot="1" x14ac:dyDescent="0.3">
      <c r="C12" s="8" t="s">
        <v>13</v>
      </c>
      <c r="D12" s="9">
        <v>5</v>
      </c>
      <c r="E12" s="10" t="s">
        <v>110</v>
      </c>
      <c r="F12" s="10" t="s">
        <v>139</v>
      </c>
      <c r="G12" s="11" t="b">
        <v>1</v>
      </c>
    </row>
    <row r="13" spans="1:10" ht="48.75" thickBot="1" x14ac:dyDescent="0.3">
      <c r="C13" s="8" t="s">
        <v>13</v>
      </c>
      <c r="D13" s="9">
        <v>6</v>
      </c>
      <c r="E13" s="10" t="s">
        <v>110</v>
      </c>
      <c r="F13" s="10" t="s">
        <v>139</v>
      </c>
      <c r="G13" s="11" t="b">
        <v>1</v>
      </c>
    </row>
    <row r="14" spans="1:10" ht="48.75" thickBot="1" x14ac:dyDescent="0.3">
      <c r="C14" s="8" t="s">
        <v>13</v>
      </c>
      <c r="D14" s="9">
        <v>7</v>
      </c>
      <c r="E14" s="10" t="s">
        <v>110</v>
      </c>
      <c r="F14" s="10" t="s">
        <v>139</v>
      </c>
      <c r="G14" s="11" t="b">
        <v>1</v>
      </c>
    </row>
    <row r="15" spans="1:10" ht="48.75" thickBot="1" x14ac:dyDescent="0.3">
      <c r="C15" s="8" t="s">
        <v>13</v>
      </c>
      <c r="D15" s="9">
        <v>8</v>
      </c>
      <c r="E15" s="10" t="s">
        <v>110</v>
      </c>
      <c r="F15" s="10" t="s">
        <v>139</v>
      </c>
      <c r="G15" s="11" t="b">
        <v>1</v>
      </c>
    </row>
    <row r="16" spans="1:10" ht="48.75" thickBot="1" x14ac:dyDescent="0.3">
      <c r="C16" s="8" t="s">
        <v>13</v>
      </c>
      <c r="D16" s="9">
        <v>9</v>
      </c>
      <c r="E16" s="10" t="s">
        <v>110</v>
      </c>
      <c r="F16" s="10" t="s">
        <v>139</v>
      </c>
      <c r="G16" s="11" t="b">
        <v>1</v>
      </c>
    </row>
    <row r="17" spans="3:7" s="22" customFormat="1" ht="48.75" thickBot="1" x14ac:dyDescent="0.3">
      <c r="C17" s="8" t="s">
        <v>13</v>
      </c>
      <c r="D17" s="9">
        <v>4</v>
      </c>
      <c r="E17" s="10" t="s">
        <v>110</v>
      </c>
      <c r="F17" s="10" t="s">
        <v>139</v>
      </c>
      <c r="G17" s="11" t="b">
        <v>1</v>
      </c>
    </row>
    <row r="18" spans="3:7" s="22" customFormat="1" ht="48.75" thickBot="1" x14ac:dyDescent="0.3">
      <c r="C18" s="8" t="s">
        <v>13</v>
      </c>
      <c r="D18" s="9">
        <v>5</v>
      </c>
      <c r="E18" s="10" t="s">
        <v>110</v>
      </c>
      <c r="F18" s="10" t="s">
        <v>139</v>
      </c>
      <c r="G18" s="11" t="b">
        <v>1</v>
      </c>
    </row>
    <row r="19" spans="3:7" s="22" customFormat="1" ht="48.75" thickBot="1" x14ac:dyDescent="0.3">
      <c r="C19" s="8" t="s">
        <v>13</v>
      </c>
      <c r="D19" s="9">
        <v>6</v>
      </c>
      <c r="E19" s="10" t="s">
        <v>110</v>
      </c>
      <c r="F19" s="10" t="s">
        <v>139</v>
      </c>
      <c r="G19" s="11" t="b">
        <v>1</v>
      </c>
    </row>
    <row r="20" spans="3:7" s="22" customFormat="1" ht="48.75" thickBot="1" x14ac:dyDescent="0.3">
      <c r="C20" s="8" t="s">
        <v>13</v>
      </c>
      <c r="D20" s="9">
        <v>7</v>
      </c>
      <c r="E20" s="10" t="s">
        <v>110</v>
      </c>
      <c r="F20" s="10" t="s">
        <v>139</v>
      </c>
      <c r="G20" s="11" t="b">
        <v>1</v>
      </c>
    </row>
    <row r="21" spans="3:7" s="22" customFormat="1" ht="48.75" thickBot="1" x14ac:dyDescent="0.3">
      <c r="C21" s="8" t="s">
        <v>13</v>
      </c>
      <c r="D21" s="9">
        <v>8</v>
      </c>
      <c r="E21" s="10" t="s">
        <v>110</v>
      </c>
      <c r="F21" s="10" t="s">
        <v>139</v>
      </c>
      <c r="G21" s="11" t="b">
        <v>1</v>
      </c>
    </row>
    <row r="22" spans="3:7" s="22" customFormat="1" ht="48.75" thickBot="1" x14ac:dyDescent="0.3">
      <c r="C22" s="8" t="s">
        <v>13</v>
      </c>
      <c r="D22" s="9">
        <v>9</v>
      </c>
      <c r="E22" s="10" t="s">
        <v>110</v>
      </c>
      <c r="F22" s="10" t="s">
        <v>139</v>
      </c>
      <c r="G22" s="11" t="b">
        <v>1</v>
      </c>
    </row>
    <row r="23" spans="3:7" s="22" customFormat="1" ht="48.75" thickBot="1" x14ac:dyDescent="0.3">
      <c r="C23" s="8" t="s">
        <v>13</v>
      </c>
      <c r="D23" s="9">
        <v>4</v>
      </c>
      <c r="E23" s="10" t="s">
        <v>110</v>
      </c>
      <c r="F23" s="10" t="s">
        <v>139</v>
      </c>
      <c r="G23" s="11" t="b">
        <v>1</v>
      </c>
    </row>
    <row r="24" spans="3:7" s="22" customFormat="1" ht="48.75" thickBot="1" x14ac:dyDescent="0.3">
      <c r="C24" s="8" t="s">
        <v>13</v>
      </c>
      <c r="D24" s="9">
        <v>5</v>
      </c>
      <c r="E24" s="10" t="s">
        <v>110</v>
      </c>
      <c r="F24" s="10" t="s">
        <v>139</v>
      </c>
      <c r="G24" s="11" t="b">
        <v>1</v>
      </c>
    </row>
    <row r="25" spans="3:7" s="22" customFormat="1" ht="48.75" thickBot="1" x14ac:dyDescent="0.3">
      <c r="C25" s="8" t="s">
        <v>13</v>
      </c>
      <c r="D25" s="9">
        <v>6</v>
      </c>
      <c r="E25" s="10" t="s">
        <v>110</v>
      </c>
      <c r="F25" s="10" t="s">
        <v>139</v>
      </c>
      <c r="G25" s="11" t="b">
        <v>1</v>
      </c>
    </row>
    <row r="26" spans="3:7" s="22" customFormat="1" ht="48.75" thickBot="1" x14ac:dyDescent="0.3">
      <c r="C26" s="8" t="s">
        <v>13</v>
      </c>
      <c r="D26" s="9">
        <v>7</v>
      </c>
      <c r="E26" s="10" t="s">
        <v>110</v>
      </c>
      <c r="F26" s="10" t="s">
        <v>139</v>
      </c>
      <c r="G26" s="11" t="b">
        <v>1</v>
      </c>
    </row>
    <row r="27" spans="3:7" s="22" customFormat="1" ht="48.75" thickBot="1" x14ac:dyDescent="0.3">
      <c r="C27" s="8" t="s">
        <v>13</v>
      </c>
      <c r="D27" s="9">
        <v>8</v>
      </c>
      <c r="E27" s="10" t="s">
        <v>110</v>
      </c>
      <c r="F27" s="10" t="s">
        <v>139</v>
      </c>
      <c r="G27" s="11" t="b">
        <v>1</v>
      </c>
    </row>
    <row r="28" spans="3:7" s="22" customFormat="1" ht="48.75" thickBot="1" x14ac:dyDescent="0.3">
      <c r="C28" s="8" t="s">
        <v>13</v>
      </c>
      <c r="D28" s="9">
        <v>9</v>
      </c>
      <c r="E28" s="10" t="s">
        <v>110</v>
      </c>
      <c r="F28" s="10" t="s">
        <v>139</v>
      </c>
      <c r="G28" s="11" t="b">
        <v>1</v>
      </c>
    </row>
    <row r="29" spans="3:7" s="22" customFormat="1" ht="48.75" thickBot="1" x14ac:dyDescent="0.3">
      <c r="C29" s="8" t="s">
        <v>13</v>
      </c>
      <c r="D29" s="9">
        <v>4</v>
      </c>
      <c r="E29" s="10" t="s">
        <v>110</v>
      </c>
      <c r="F29" s="10" t="s">
        <v>144</v>
      </c>
      <c r="G29" s="11" t="b">
        <v>1</v>
      </c>
    </row>
    <row r="30" spans="3:7" s="22" customFormat="1" ht="48.75" thickBot="1" x14ac:dyDescent="0.3">
      <c r="C30" s="8" t="s">
        <v>13</v>
      </c>
      <c r="D30" s="9">
        <v>5</v>
      </c>
      <c r="E30" s="10" t="s">
        <v>110</v>
      </c>
      <c r="F30" s="10" t="s">
        <v>144</v>
      </c>
      <c r="G30" s="11" t="b">
        <v>1</v>
      </c>
    </row>
    <row r="31" spans="3:7" s="22" customFormat="1" ht="48.75" thickBot="1" x14ac:dyDescent="0.3">
      <c r="C31" s="8" t="s">
        <v>13</v>
      </c>
      <c r="D31" s="9">
        <v>6</v>
      </c>
      <c r="E31" s="10" t="s">
        <v>110</v>
      </c>
      <c r="F31" s="10" t="s">
        <v>144</v>
      </c>
      <c r="G31" s="11" t="b">
        <v>1</v>
      </c>
    </row>
    <row r="32" spans="3:7" s="22" customFormat="1" ht="48.75" thickBot="1" x14ac:dyDescent="0.3">
      <c r="C32" s="8" t="s">
        <v>13</v>
      </c>
      <c r="D32" s="9">
        <v>7</v>
      </c>
      <c r="E32" s="10" t="s">
        <v>110</v>
      </c>
      <c r="F32" s="10" t="s">
        <v>144</v>
      </c>
      <c r="G32" s="11" t="b">
        <v>1</v>
      </c>
    </row>
    <row r="33" spans="3:7" s="22" customFormat="1" ht="48.75" thickBot="1" x14ac:dyDescent="0.3">
      <c r="C33" s="8" t="s">
        <v>13</v>
      </c>
      <c r="D33" s="9">
        <v>8</v>
      </c>
      <c r="E33" s="10" t="s">
        <v>110</v>
      </c>
      <c r="F33" s="10" t="s">
        <v>144</v>
      </c>
      <c r="G33" s="11" t="b">
        <v>1</v>
      </c>
    </row>
    <row r="34" spans="3:7" s="22" customFormat="1" ht="48.75" thickBot="1" x14ac:dyDescent="0.3">
      <c r="C34" s="8" t="s">
        <v>13</v>
      </c>
      <c r="D34" s="9">
        <v>9</v>
      </c>
      <c r="E34" s="10" t="s">
        <v>110</v>
      </c>
      <c r="F34" s="10" t="s">
        <v>144</v>
      </c>
      <c r="G34" s="11" t="b">
        <v>1</v>
      </c>
    </row>
  </sheetData>
  <autoFilter ref="A7:J16"/>
  <mergeCells count="3">
    <mergeCell ref="A1:G1"/>
    <mergeCell ref="D4:G4"/>
    <mergeCell ref="E5:F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I15"/>
  <sheetViews>
    <sheetView workbookViewId="0">
      <selection activeCell="D7" sqref="D7"/>
    </sheetView>
  </sheetViews>
  <sheetFormatPr defaultRowHeight="15" x14ac:dyDescent="0.25"/>
  <cols>
    <col min="1" max="1" width="5.7109375" customWidth="1"/>
    <col min="2" max="2" width="43.28515625" bestFit="1" customWidth="1"/>
    <col min="3" max="3" width="4" bestFit="1" customWidth="1"/>
    <col min="4" max="7" width="20.7109375" customWidth="1"/>
    <col min="8" max="9" width="25.7109375" customWidth="1"/>
  </cols>
  <sheetData>
    <row r="1" spans="1:9" ht="14.45" customHeight="1" x14ac:dyDescent="0.25">
      <c r="A1" s="34" t="s">
        <v>90</v>
      </c>
      <c r="B1" s="35"/>
      <c r="C1" s="35"/>
      <c r="D1" s="35"/>
      <c r="E1" s="35"/>
      <c r="F1" s="35"/>
      <c r="G1" s="35"/>
      <c r="H1" s="1"/>
      <c r="I1" s="1"/>
    </row>
    <row r="2" spans="1:9" ht="14.45" customHeight="1" x14ac:dyDescent="0.25">
      <c r="H2" s="1"/>
      <c r="I2" s="1"/>
    </row>
    <row r="3" spans="1:9" ht="14.45" customHeight="1" x14ac:dyDescent="0.25">
      <c r="H3" s="1"/>
      <c r="I3" s="1"/>
    </row>
    <row r="4" spans="1:9" ht="14.45" customHeight="1" x14ac:dyDescent="0.25">
      <c r="D4" s="36" t="s">
        <v>1</v>
      </c>
      <c r="E4" s="36"/>
      <c r="F4" s="36"/>
      <c r="G4" s="36"/>
    </row>
    <row r="5" spans="1:9" ht="57.6" customHeight="1" x14ac:dyDescent="0.25">
      <c r="D5" s="4" t="s">
        <v>2</v>
      </c>
      <c r="E5" s="4" t="s">
        <v>91</v>
      </c>
      <c r="F5" s="4" t="s">
        <v>92</v>
      </c>
      <c r="G5" s="4" t="s">
        <v>4</v>
      </c>
    </row>
    <row r="6" spans="1:9" ht="15" customHeight="1" thickBot="1" x14ac:dyDescent="0.3">
      <c r="D6" s="5" t="s">
        <v>7</v>
      </c>
      <c r="E6" s="5" t="s">
        <v>8</v>
      </c>
      <c r="F6" s="5" t="s">
        <v>9</v>
      </c>
      <c r="G6" s="5" t="s">
        <v>10</v>
      </c>
      <c r="H6" s="1"/>
      <c r="I6" s="1"/>
    </row>
    <row r="7" spans="1:9" ht="30" customHeight="1" thickBot="1" x14ac:dyDescent="0.3">
      <c r="A7" s="6" t="s">
        <v>11</v>
      </c>
      <c r="B7" s="7" t="s">
        <v>93</v>
      </c>
      <c r="C7" s="8" t="s">
        <v>13</v>
      </c>
      <c r="D7" s="9">
        <v>1</v>
      </c>
      <c r="E7" s="10" t="s">
        <v>140</v>
      </c>
      <c r="F7" s="10" t="s">
        <v>141</v>
      </c>
      <c r="G7" s="11" t="b">
        <v>1</v>
      </c>
      <c r="H7" s="14"/>
      <c r="I7" s="21"/>
    </row>
    <row r="8" spans="1:9" ht="84.75" thickBot="1" x14ac:dyDescent="0.3">
      <c r="C8" s="8" t="s">
        <v>13</v>
      </c>
      <c r="D8" s="9">
        <v>2</v>
      </c>
      <c r="E8" s="10" t="s">
        <v>142</v>
      </c>
      <c r="F8" s="10" t="s">
        <v>143</v>
      </c>
      <c r="G8" s="11" t="b">
        <v>1</v>
      </c>
    </row>
    <row r="9" spans="1:9" ht="24.75" thickBot="1" x14ac:dyDescent="0.3">
      <c r="C9" s="8" t="s">
        <v>13</v>
      </c>
      <c r="D9" s="9">
        <v>3</v>
      </c>
      <c r="E9" s="10" t="s">
        <v>140</v>
      </c>
      <c r="F9" s="10" t="s">
        <v>141</v>
      </c>
      <c r="G9" s="11" t="b">
        <v>1</v>
      </c>
    </row>
    <row r="10" spans="1:9" ht="84.75" thickBot="1" x14ac:dyDescent="0.3">
      <c r="C10" s="8" t="s">
        <v>13</v>
      </c>
      <c r="D10" s="9">
        <v>4</v>
      </c>
      <c r="E10" s="10" t="s">
        <v>142</v>
      </c>
      <c r="F10" s="10" t="s">
        <v>143</v>
      </c>
      <c r="G10" s="11" t="b">
        <v>1</v>
      </c>
    </row>
    <row r="11" spans="1:9" ht="84.75" thickBot="1" x14ac:dyDescent="0.3">
      <c r="C11" s="8" t="s">
        <v>13</v>
      </c>
      <c r="D11" s="9">
        <v>5</v>
      </c>
      <c r="E11" s="10" t="s">
        <v>142</v>
      </c>
      <c r="F11" s="10" t="s">
        <v>143</v>
      </c>
      <c r="G11" s="11" t="b">
        <v>1</v>
      </c>
    </row>
    <row r="12" spans="1:9" ht="84.75" thickBot="1" x14ac:dyDescent="0.3">
      <c r="C12" s="8" t="s">
        <v>13</v>
      </c>
      <c r="D12" s="9">
        <v>6</v>
      </c>
      <c r="E12" s="10" t="s">
        <v>142</v>
      </c>
      <c r="F12" s="10" t="s">
        <v>143</v>
      </c>
      <c r="G12" s="11" t="b">
        <v>1</v>
      </c>
    </row>
    <row r="13" spans="1:9" ht="84.75" thickBot="1" x14ac:dyDescent="0.3">
      <c r="C13" s="8" t="s">
        <v>13</v>
      </c>
      <c r="D13" s="9">
        <v>7</v>
      </c>
      <c r="E13" s="10" t="s">
        <v>142</v>
      </c>
      <c r="F13" s="10" t="s">
        <v>143</v>
      </c>
      <c r="G13" s="11" t="b">
        <v>1</v>
      </c>
    </row>
    <row r="14" spans="1:9" ht="84.75" thickBot="1" x14ac:dyDescent="0.3">
      <c r="C14" s="8" t="s">
        <v>13</v>
      </c>
      <c r="D14" s="9">
        <v>8</v>
      </c>
      <c r="E14" s="10" t="s">
        <v>142</v>
      </c>
      <c r="F14" s="10" t="s">
        <v>143</v>
      </c>
      <c r="G14" s="11" t="b">
        <v>1</v>
      </c>
    </row>
    <row r="15" spans="1:9" ht="84.75" thickBot="1" x14ac:dyDescent="0.3">
      <c r="C15" s="8" t="s">
        <v>13</v>
      </c>
      <c r="D15" s="9">
        <v>9</v>
      </c>
      <c r="E15" s="10" t="s">
        <v>142</v>
      </c>
      <c r="F15" s="10" t="s">
        <v>143</v>
      </c>
      <c r="G15" s="11" t="b">
        <v>1</v>
      </c>
    </row>
  </sheetData>
  <mergeCells count="2">
    <mergeCell ref="A1:G1"/>
    <mergeCell ref="D4:G4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V16"/>
  <sheetViews>
    <sheetView tabSelected="1" workbookViewId="0">
      <selection activeCell="B3" sqref="A1:R3"/>
    </sheetView>
  </sheetViews>
  <sheetFormatPr defaultRowHeight="15" x14ac:dyDescent="0.25"/>
  <cols>
    <col min="1" max="1" width="5.7109375" customWidth="1"/>
    <col min="2" max="2" width="37.42578125" bestFit="1" customWidth="1"/>
    <col min="3" max="3" width="4" bestFit="1" customWidth="1"/>
    <col min="4" max="18" width="20.7109375" customWidth="1"/>
    <col min="19" max="19" width="25.7109375" customWidth="1"/>
    <col min="20" max="20" width="17" style="26" bestFit="1" customWidth="1"/>
    <col min="21" max="22" width="12.42578125" bestFit="1" customWidth="1"/>
  </cols>
  <sheetData>
    <row r="1" spans="1:22" ht="14.45" customHeight="1" x14ac:dyDescent="0.25">
      <c r="A1" s="34" t="s">
        <v>72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1"/>
      <c r="T1" s="25"/>
    </row>
    <row r="2" spans="1:22" ht="14.45" customHeight="1" x14ac:dyDescent="0.25">
      <c r="S2" s="1"/>
      <c r="T2" s="25"/>
    </row>
    <row r="3" spans="1:22" ht="14.45" customHeight="1" x14ac:dyDescent="0.25">
      <c r="S3" s="1"/>
      <c r="T3" s="25"/>
    </row>
    <row r="4" spans="1:22" ht="14.45" customHeight="1" x14ac:dyDescent="0.25">
      <c r="D4" s="36" t="s">
        <v>1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1"/>
      <c r="T4" s="25"/>
    </row>
    <row r="5" spans="1:22" ht="57.6" customHeight="1" x14ac:dyDescent="0.25">
      <c r="D5" s="2" t="s">
        <v>2</v>
      </c>
      <c r="E5" s="2" t="s">
        <v>73</v>
      </c>
      <c r="F5" s="31" t="s">
        <v>74</v>
      </c>
      <c r="G5" s="32"/>
      <c r="H5" s="32"/>
      <c r="I5" s="32"/>
      <c r="J5" s="32"/>
      <c r="K5" s="32"/>
      <c r="L5" s="32"/>
      <c r="M5" s="32"/>
      <c r="N5" s="32"/>
      <c r="O5" s="32"/>
      <c r="P5" s="33"/>
      <c r="Q5" s="31" t="s">
        <v>75</v>
      </c>
      <c r="R5" s="33"/>
    </row>
    <row r="6" spans="1:22" ht="57.6" customHeight="1" x14ac:dyDescent="0.25">
      <c r="D6" s="3"/>
      <c r="E6" s="3"/>
      <c r="F6" s="4" t="s">
        <v>76</v>
      </c>
      <c r="G6" s="4" t="s">
        <v>77</v>
      </c>
      <c r="H6" s="4" t="s">
        <v>78</v>
      </c>
      <c r="I6" s="4" t="s">
        <v>79</v>
      </c>
      <c r="J6" s="4" t="s">
        <v>80</v>
      </c>
      <c r="K6" s="4" t="s">
        <v>81</v>
      </c>
      <c r="L6" s="4" t="s">
        <v>82</v>
      </c>
      <c r="M6" s="4" t="s">
        <v>83</v>
      </c>
      <c r="N6" s="4" t="s">
        <v>84</v>
      </c>
      <c r="O6" s="4" t="s">
        <v>85</v>
      </c>
      <c r="P6" s="4" t="s">
        <v>86</v>
      </c>
      <c r="Q6" s="4" t="s">
        <v>87</v>
      </c>
      <c r="R6" s="4" t="s">
        <v>88</v>
      </c>
    </row>
    <row r="7" spans="1:22" ht="15" customHeight="1" thickBot="1" x14ac:dyDescent="0.3">
      <c r="D7" s="5" t="s">
        <v>7</v>
      </c>
      <c r="E7" s="5" t="s">
        <v>8</v>
      </c>
      <c r="F7" s="5" t="s">
        <v>9</v>
      </c>
      <c r="G7" s="5" t="s">
        <v>10</v>
      </c>
      <c r="H7" s="5" t="s">
        <v>50</v>
      </c>
      <c r="I7" s="5" t="s">
        <v>51</v>
      </c>
      <c r="J7" s="5" t="s">
        <v>52</v>
      </c>
      <c r="K7" s="5" t="s">
        <v>53</v>
      </c>
      <c r="L7" s="5" t="s">
        <v>54</v>
      </c>
      <c r="M7" s="5" t="s">
        <v>55</v>
      </c>
      <c r="N7" s="5" t="s">
        <v>56</v>
      </c>
      <c r="O7" s="5" t="s">
        <v>57</v>
      </c>
      <c r="P7" s="5" t="s">
        <v>58</v>
      </c>
      <c r="Q7" s="5" t="s">
        <v>59</v>
      </c>
      <c r="R7" s="5" t="s">
        <v>60</v>
      </c>
      <c r="S7" s="1"/>
      <c r="T7" s="25"/>
    </row>
    <row r="8" spans="1:22" ht="30" customHeight="1" thickBot="1" x14ac:dyDescent="0.3">
      <c r="A8" s="6" t="s">
        <v>11</v>
      </c>
      <c r="B8" s="7" t="s">
        <v>89</v>
      </c>
      <c r="C8" s="8" t="s">
        <v>13</v>
      </c>
      <c r="D8" s="9">
        <f>+'[1]T 33.00'!D8</f>
        <v>1</v>
      </c>
      <c r="E8" s="10" t="str">
        <f>+'[1]T 33.00'!E8</f>
        <v>Derivatives</v>
      </c>
      <c r="F8" s="10"/>
      <c r="G8" s="10"/>
      <c r="H8" s="10"/>
      <c r="I8" s="10"/>
      <c r="J8" s="10"/>
      <c r="K8" s="10"/>
      <c r="L8" s="10"/>
      <c r="M8" s="23"/>
      <c r="N8" s="10"/>
      <c r="O8" s="10"/>
      <c r="P8" s="10"/>
      <c r="Q8" s="10"/>
      <c r="R8" s="11"/>
      <c r="S8" s="14"/>
      <c r="T8" s="27"/>
      <c r="U8" s="28"/>
      <c r="V8" s="28"/>
    </row>
    <row r="9" spans="1:22" ht="15.75" thickBot="1" x14ac:dyDescent="0.3">
      <c r="C9" s="8" t="s">
        <v>13</v>
      </c>
      <c r="D9" s="9">
        <f>+'[1]T 33.00'!D9</f>
        <v>2</v>
      </c>
      <c r="E9" s="10" t="str">
        <f>+'[1]T 33.00'!E9</f>
        <v>NA</v>
      </c>
      <c r="F9" s="10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4"/>
      <c r="S9" s="14"/>
      <c r="U9" s="28"/>
    </row>
    <row r="10" spans="1:22" ht="15.75" thickBot="1" x14ac:dyDescent="0.3">
      <c r="C10" s="8" t="s">
        <v>13</v>
      </c>
      <c r="D10" s="9">
        <f>+'[1]T 33.00'!D10</f>
        <v>3</v>
      </c>
      <c r="E10" s="10" t="str">
        <f>+'[1]T 33.00'!E10</f>
        <v>NA</v>
      </c>
      <c r="F10" s="10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4"/>
      <c r="S10" s="14"/>
      <c r="U10" s="28"/>
    </row>
    <row r="11" spans="1:22" ht="15.75" thickBot="1" x14ac:dyDescent="0.3">
      <c r="C11" s="8" t="s">
        <v>13</v>
      </c>
      <c r="D11" s="9">
        <f>+'[1]T 33.00'!D11</f>
        <v>4</v>
      </c>
      <c r="E11" s="10" t="str">
        <f>+'[1]T 33.00'!E11</f>
        <v>NA</v>
      </c>
      <c r="F11" s="10"/>
      <c r="G11" s="10"/>
      <c r="H11" s="10"/>
      <c r="I11" s="10"/>
      <c r="J11" s="10"/>
      <c r="K11" s="10"/>
      <c r="L11" s="10"/>
      <c r="M11" s="23"/>
      <c r="N11" s="10"/>
      <c r="O11" s="10"/>
      <c r="P11" s="10"/>
      <c r="Q11" s="10"/>
      <c r="R11" s="11"/>
      <c r="S11" s="14"/>
    </row>
    <row r="12" spans="1:22" ht="15.75" thickBot="1" x14ac:dyDescent="0.3">
      <c r="C12" s="8" t="s">
        <v>13</v>
      </c>
      <c r="D12" s="9">
        <f>+'[1]T 33.00'!D12</f>
        <v>5</v>
      </c>
      <c r="E12" s="10" t="str">
        <f>+'[1]T 33.00'!E12</f>
        <v>NA</v>
      </c>
      <c r="F12" s="10"/>
      <c r="G12" s="10"/>
      <c r="H12" s="10"/>
      <c r="I12" s="10"/>
      <c r="J12" s="10"/>
      <c r="K12" s="10"/>
      <c r="L12" s="10"/>
      <c r="M12" s="23"/>
      <c r="N12" s="10"/>
      <c r="O12" s="10"/>
      <c r="P12" s="10"/>
      <c r="Q12" s="10"/>
      <c r="R12" s="11"/>
      <c r="S12" s="14"/>
    </row>
    <row r="13" spans="1:22" ht="15.75" thickBot="1" x14ac:dyDescent="0.3">
      <c r="C13" s="8" t="s">
        <v>13</v>
      </c>
      <c r="D13" s="9">
        <f>+'[1]T 33.00'!D13</f>
        <v>6</v>
      </c>
      <c r="E13" s="10" t="str">
        <f>+'[1]T 33.00'!E13</f>
        <v>NA</v>
      </c>
      <c r="F13" s="10"/>
      <c r="G13" s="10"/>
      <c r="H13" s="10"/>
      <c r="I13" s="10"/>
      <c r="J13" s="10"/>
      <c r="K13" s="10"/>
      <c r="L13" s="10"/>
      <c r="M13" s="23"/>
      <c r="N13" s="10"/>
      <c r="O13" s="10"/>
      <c r="P13" s="10"/>
      <c r="Q13" s="10"/>
      <c r="R13" s="11"/>
      <c r="S13" s="14"/>
    </row>
    <row r="14" spans="1:22" ht="15.75" thickBot="1" x14ac:dyDescent="0.3">
      <c r="C14" s="8" t="s">
        <v>13</v>
      </c>
      <c r="D14" s="9">
        <f>+'[1]T 33.00'!D14</f>
        <v>7</v>
      </c>
      <c r="E14" s="10" t="str">
        <f>+'[1]T 33.00'!E14</f>
        <v>NA</v>
      </c>
      <c r="F14" s="10"/>
      <c r="G14" s="10"/>
      <c r="H14" s="10"/>
      <c r="I14" s="10"/>
      <c r="J14" s="10"/>
      <c r="K14" s="10"/>
      <c r="L14" s="10"/>
      <c r="M14" s="23"/>
      <c r="N14" s="10"/>
      <c r="O14" s="10"/>
      <c r="P14" s="10"/>
      <c r="Q14" s="10"/>
      <c r="R14" s="11"/>
      <c r="S14" s="14"/>
    </row>
    <row r="15" spans="1:22" ht="15.75" thickBot="1" x14ac:dyDescent="0.3">
      <c r="C15" s="8" t="s">
        <v>13</v>
      </c>
      <c r="D15" s="9">
        <f>+'[1]T 33.00'!D15</f>
        <v>8</v>
      </c>
      <c r="E15" s="10" t="str">
        <f>+'[1]T 33.00'!E15</f>
        <v>NA</v>
      </c>
      <c r="F15" s="10"/>
      <c r="G15" s="10"/>
      <c r="H15" s="10"/>
      <c r="I15" s="10"/>
      <c r="J15" s="10"/>
      <c r="K15" s="10"/>
      <c r="L15" s="10"/>
      <c r="M15" s="23"/>
      <c r="N15" s="10"/>
      <c r="O15" s="10"/>
      <c r="P15" s="10"/>
      <c r="Q15" s="10"/>
      <c r="R15" s="11"/>
      <c r="S15" s="14"/>
    </row>
    <row r="16" spans="1:22" ht="15.75" thickBot="1" x14ac:dyDescent="0.3">
      <c r="C16" s="8" t="s">
        <v>13</v>
      </c>
      <c r="D16" s="9">
        <f>+'[1]T 33.00'!D16</f>
        <v>9</v>
      </c>
      <c r="E16" s="10" t="str">
        <f>+'[1]T 33.00'!E16</f>
        <v>NA</v>
      </c>
      <c r="F16" s="10"/>
      <c r="G16" s="10"/>
      <c r="H16" s="10"/>
      <c r="I16" s="10"/>
      <c r="J16" s="10"/>
      <c r="K16" s="10"/>
      <c r="L16" s="10"/>
      <c r="M16" s="23"/>
      <c r="N16" s="10"/>
      <c r="O16" s="10"/>
      <c r="P16" s="10"/>
      <c r="Q16" s="10"/>
      <c r="R16" s="11"/>
      <c r="S16" s="14"/>
    </row>
  </sheetData>
  <mergeCells count="4">
    <mergeCell ref="A1:R1"/>
    <mergeCell ref="D4:R4"/>
    <mergeCell ref="F5:P5"/>
    <mergeCell ref="Q5:R5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76c42d233f396c620dfe843c8ada89d5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ee5843f5cb2ee2b6912e5b34715a9ac2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1C5D9F-43A9-4742-A5C1-752C5806413E}"/>
</file>

<file path=customXml/itemProps2.xml><?xml version="1.0" encoding="utf-8"?>
<ds:datastoreItem xmlns:ds="http://schemas.openxmlformats.org/officeDocument/2006/customXml" ds:itemID="{28544D7F-E0AF-49F3-8FF9-C0A5E79A2D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C8700-EEAD-4A91-904D-957355D809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TOC</vt:lpstr>
      <vt:lpstr>T 30.00</vt:lpstr>
      <vt:lpstr>T 31.00</vt:lpstr>
      <vt:lpstr>T 32.00</vt:lpstr>
      <vt:lpstr>T 33.00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Carmo, Marco</dc:creator>
  <cp:lastModifiedBy>Luís Filipe da Silva Pragosa</cp:lastModifiedBy>
  <dcterms:created xsi:type="dcterms:W3CDTF">2022-12-13T15:22:18Z</dcterms:created>
  <dcterms:modified xsi:type="dcterms:W3CDTF">2023-07-25T09:47:19Z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2023-02-06T11:19:22Z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693849e5-cdf3-4cb5-ad14-dafa9d809389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