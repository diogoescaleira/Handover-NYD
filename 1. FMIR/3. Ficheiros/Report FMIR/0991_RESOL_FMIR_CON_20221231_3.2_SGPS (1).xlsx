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core.xml" ContentType="application/vnd.openxmlformats-package.core-properties+xml"/>
  <Override PartName="/xl/comments3.xml" ContentType="application/vnd.openxmlformats-officedocument.spreadsheetml.comment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Coord_Financeira_Arquivo\9999_12_RESOLUCAO\Resolution Pack\BANCO DE PORTUGAL\FR 2023\TEMPLATES\FMIR\"/>
    </mc:Choice>
  </mc:AlternateContent>
  <bookViews>
    <workbookView xWindow="0" yWindow="0" windowWidth="22500" windowHeight="8940" activeTab="4"/>
  </bookViews>
  <sheets>
    <sheet name="TOC" sheetId="1" r:id="rId1"/>
    <sheet name="T 30.00" sheetId="3" r:id="rId2"/>
    <sheet name="T 31.00" sheetId="2" r:id="rId3"/>
    <sheet name="T 32.00" sheetId="5" r:id="rId4"/>
    <sheet name="T 33.00" sheetId="4" r:id="rId5"/>
  </sheets>
  <externalReferences>
    <externalReference r:id="rId6"/>
  </externalReferences>
  <definedNames>
    <definedName name="_xlnm._FilterDatabase" localSheetId="2" hidden="1">'T 31.00'!$A$7:$J$16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8" i="4" l="1"/>
  <c r="U10" i="4"/>
  <c r="U9" i="4"/>
  <c r="U8" i="4"/>
  <c r="S16" i="4" l="1"/>
  <c r="S15" i="4"/>
  <c r="S14" i="4"/>
  <c r="S13" i="4"/>
  <c r="S12" i="4"/>
  <c r="S11" i="4"/>
  <c r="S10" i="4"/>
  <c r="S9" i="4"/>
  <c r="S8" i="4"/>
  <c r="F16" i="4" l="1"/>
  <c r="E16" i="4"/>
  <c r="D16" i="4"/>
  <c r="F15" i="4"/>
  <c r="E15" i="4"/>
  <c r="D15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</calcChain>
</file>

<file path=xl/comments1.xml><?xml version="1.0" encoding="utf-8"?>
<comments xmlns="http://schemas.openxmlformats.org/spreadsheetml/2006/main">
  <authors>
    <author>Haizhen Li</author>
  </authors>
  <commentList>
    <comment ref="D9" authorId="0" shapeId="0">
      <text>
        <r>
          <rPr>
            <sz val="9"/>
            <color indexed="81"/>
            <rFont val="Tahoma"/>
            <family val="2"/>
          </rPr>
          <t>Metric  =  ID representing combination of user, FMI, system type and intermediary [ii]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Metric  =  Name of entity [si]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Legal entity (FMI to CF)  =  &lt;Key value&gt;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FMI system Type  =  &lt;Key value&gt; [ZZ23_1]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Metric  =  FMI name. In predefined list [ei:EN:EN1]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>Metric  =  FMI name. Not in predefined list [si]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Financial market infrastructure  =  &lt;Key value&gt;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>Metric  =  Mode of participation in FMI [ei:ZZ:ZZ24]</t>
        </r>
      </text>
    </comment>
    <comment ref="L9" authorId="0" shapeId="0">
      <text>
        <r>
          <rPr>
            <sz val="9"/>
            <color indexed="81"/>
            <rFont val="Tahoma"/>
            <family val="2"/>
          </rPr>
          <t>Metric  =  Name of intermediary facilitating access to an FMI [si]</t>
        </r>
      </text>
    </comment>
    <comment ref="M9" authorId="0" shapeId="0">
      <text>
        <r>
          <rPr>
            <sz val="9"/>
            <color indexed="81"/>
            <rFont val="Tahoma"/>
            <family val="2"/>
          </rPr>
          <t>Intermediary facilitating access to a FMI  =  &lt;Key value&gt;</t>
        </r>
      </text>
    </comment>
    <comment ref="N9" authorId="0" shapeId="0">
      <text>
        <r>
          <rPr>
            <sz val="9"/>
            <color indexed="81"/>
            <rFont val="Tahoma"/>
            <family val="2"/>
          </rPr>
          <t>Metric  =  Country the law of which governs access to the FMI [ei:GA:GA4]</t>
        </r>
      </text>
    </comment>
    <comment ref="O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Euro</t>
        </r>
      </text>
    </comment>
    <comment ref="P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Pound Sterling</t>
        </r>
      </text>
    </comment>
    <comment ref="Q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US Dollar</t>
        </r>
      </text>
    </comment>
    <comment ref="R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Swiss Franc</t>
        </r>
      </text>
    </comment>
    <comment ref="S9" authorId="0" shapeId="0">
      <text>
        <r>
          <rPr>
            <sz val="9"/>
            <color indexed="81"/>
            <rFont val="Tahoma"/>
            <family val="2"/>
          </rPr>
          <t>Metric  =  Is a currency in which transactions / contracts are denominated [bi]_x000D_
Currency in which the transaction / contract is denominated  =  Yen</t>
        </r>
      </text>
    </comment>
    <comment ref="T9" authorId="0" shapeId="0">
      <text>
        <r>
          <rPr>
            <sz val="9"/>
            <color indexed="81"/>
            <rFont val="Tahoma"/>
            <family val="2"/>
          </rPr>
          <t>Metric  =  Currency in which the transaction / contract is denominated (string) [si]_x000D_
Currency in which the transaction / contract is denominated  =  Currencies other than Euro, Pound Sterling, US Dollar, Swiss Franc, Yen</t>
        </r>
      </text>
    </comment>
    <comment ref="U9" authorId="0" shapeId="0">
      <text>
        <r>
          <rPr>
            <sz val="9"/>
            <color indexed="81"/>
            <rFont val="Tahoma"/>
            <family val="2"/>
          </rPr>
          <t>Metric  =  Comments required. FMI services [si]</t>
        </r>
      </text>
    </comment>
    <comment ref="V9" authorId="0" shapeId="0">
      <text>
        <r>
          <rPr>
            <sz val="9"/>
            <color indexed="81"/>
            <rFont val="Tahoma"/>
            <family val="2"/>
          </rPr>
          <t>Metric  =  Comment required. Services provided to FMI / representative institution [si]</t>
        </r>
      </text>
    </comment>
    <comment ref="W9" authorId="0" shapeId="0">
      <text>
        <r>
          <rPr>
            <sz val="9"/>
            <color indexed="81"/>
            <rFont val="Tahoma"/>
            <family val="2"/>
          </rPr>
          <t>Metric  =  Communication provider is FMI proprietary [bi]</t>
        </r>
      </text>
    </comment>
    <comment ref="X9" authorId="0" shapeId="0">
      <text>
        <r>
          <rPr>
            <sz val="9"/>
            <color indexed="81"/>
            <rFont val="Tahoma"/>
            <family val="2"/>
          </rPr>
          <t>Metric  =  Communication provider is SWIFT [bi]</t>
        </r>
      </text>
    </comment>
    <comment ref="Y9" authorId="0" shapeId="0">
      <text>
        <r>
          <rPr>
            <sz val="9"/>
            <color indexed="81"/>
            <rFont val="Tahoma"/>
            <family val="2"/>
          </rPr>
          <t>Metric  =  Communication service provider other than FMI proprietary and SWIFT (name) [si]</t>
        </r>
      </text>
    </comment>
    <comment ref="Z9" authorId="0" shapeId="0">
      <text>
        <r>
          <rPr>
            <sz val="9"/>
            <color indexed="81"/>
            <rFont val="Tahoma"/>
            <family val="2"/>
          </rPr>
          <t>Metric  =  Comments required. Name of other service provider enabling access to FMI [si]</t>
        </r>
      </text>
    </comment>
    <comment ref="AA9" authorId="0" shapeId="0">
      <text>
        <r>
          <rPr>
            <sz val="9"/>
            <color indexed="81"/>
            <rFont val="Tahoma"/>
            <family val="2"/>
          </rPr>
          <t>Metric  =  Comments required. Other services needed for acces to FMI [si]</t>
        </r>
      </text>
    </comment>
    <comment ref="AB9" authorId="0" shapeId="0">
      <text>
        <r>
          <rPr>
            <sz val="9"/>
            <color indexed="81"/>
            <rFont val="Tahoma"/>
            <family val="2"/>
          </rPr>
          <t>Metric  =  Comments required. Point of contact(s) at FMI/ intermediary for matters related to resolution of the entity [si]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0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0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0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0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0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0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0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0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0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0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0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0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0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0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0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1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1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1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1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1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1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1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1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1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1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1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1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1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2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2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2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2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2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2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2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2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2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2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2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2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2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3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3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3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3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3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3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3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3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3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3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3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3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3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3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3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4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4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4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4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4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4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4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4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4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4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4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4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4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4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4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5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5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5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5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5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5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5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5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5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5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5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5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5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5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5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5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5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5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6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6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6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6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6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6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6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6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6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6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6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6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6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6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6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7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7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7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7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7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7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7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7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7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7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7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7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7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7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7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7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7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7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7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Legal entity (FMI to CF)  =  &lt;Key value&gt;_x000D_
Financial market infrastructure  =  &lt;Key value&gt;_x000D_
Intermediary facilitating access to a FMI  =  &lt;Key value&gt;_x000D_
FMI system Type  =  &lt;Key value&gt; [ZZ23_1]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>DataPointVID 429094_x000D_
DataPointID 429094_x000D_
Metric  =  ID representing combination of user, FMI, system type and intermediary [ii]_x000D_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>DataPointVID 423756_x000D_
DataPointID 423756_x000D_
Metric  =  Name of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[ZZ23_1]:_x000D_
(ZZ:x215) PS_x000D_
(ZZ:x216) (I)CSD_x000D_
(ZZ:x217) SSS_x000D_
(ZZ:x218) CCP-Securities_x000D_
(ZZ:x219) CCP-Derivatives_x000D_
(ZZ:x220) TR_x000D_
(ZZ:x389) Trading venue_x000D_
(ZZ:x221) Other type of FMI_x000D_
(ZZ:x222) Not applicable (FMI system type)_x000D_
</t>
        </r>
      </text>
    </comment>
    <comment ref="H18" authorId="0" shapeId="0">
      <text>
        <r>
          <rPr>
            <sz val="9"/>
            <color indexed="81"/>
            <rFont val="Tahoma"/>
            <family val="2"/>
          </rPr>
          <t>DataPointVID 429048_x000D_
DataPointID 429048_x000D_
Metric  =  FMI name. In predefined list [ei:EN:EN1]_x000D_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(EN:x100) Athens Clearing Office (ACO)_x000D_
(EN:x101) ATHEX (Athens Stock Exchange)_x000D_
(EN:x102) ATHEX CSD_x000D_
(EN:x103) ATHEXClear SA_x000D_
(EN:x104) The Clearing House ACH_x000D_
(EN:x105) Automated Clearing Settlement System (ACSS)_x000D_
(EN:x106) BACS (Bankers' Automated Clearing Services)_x000D_
(EN:x107) Bankgirot (Bankgirocentralen BGC AB)_x000D_
(EN:x108) BI-COMP_x000D_
(EN:x109) BISERA (Bank Integrated System for Electronic Payments)_x000D_
(EN:x110) Bloomberg Trade Repository Limited_x000D_
(EN:x111) BME_x000D_
(EN:x112) BME Clearing_x000D_
(EN:x113) BOGS (Bank of Greece Securities Settlement System)_x000D_
(EN:x114) BOJ-NET_x000D_
(EN:x115) BondSpot S.A._x000D_
(EN:x116) BORICA_x000D_
(EN:x117) Borsa Italiana SpA_x000D_
(EN:x118) Bratislava Stock Exchange_x000D_
(EN:x119) Budapest Stock Exchange_x000D_
(EN:x120) Bulgarian Stock Exchange_x000D_
(EN:x121) Bursa de Valori Bucaresti_x000D_
(EN:x122) Burza cenných papírů Praha, a.s. (Prague Stock Exchange)_x000D_
(EN:x123) Canadian depository for securities (CDS)_x000D_
(EN:x124) Canadian Derivatives Clearing Corporation_x000D_
(EN:x125) Cassa di Compensazione e Garanzia (CC&amp;G)_x000D_
(EN:x126) CCP Austria_x000D_
(EN:x127) CEC/UCV_x000D_
(EN:x128) CEESEG AG (Wiener Borse)_x000D_
(EN:x129) Central Depository &amp; Clearing Company_x000D_
(EN:x130) Central Depository AD_x000D_
(EN:x131) Central Depository and Central Registry_x000D_
(EN:x132) Centralna klirinško depotna družba (KDD)_x000D_
(EN:x133) Centrální depozitár cenných papíru SR a.s. (CDCP) / Central Depository of Securities Prague_x000D_
(EN:x134) Centrálny Depositár Cenných Papierov (CDCP) SR_x000D_
(EN:x135) CENTROlink_x000D_
(EN:x136) CERTIS (Czech Express Real Time Interbank Gross Settlement System)_x000D_
(EN:x137) CHAPS (Clearing House Automated Payment System )_x000D_
(EN:x138) Cheque &amp; Credit Clearing System Ltd_x000D_
(EN:x139) CHIPS_x000D_
(EN:x140) Clearing Service Austria (CSA)_x000D_
(EN:x141) Clearing Service International (CSI)_x000D_
(EN:x142) Clearstream Banking AG_x000D_
(EN:x143) Clearstream Banking Luxembourg_x000D_
(EN:x144) CLS_x000D_
(EN:x145) CME Trade Repository Ltd (CME TR)_x000D_
(EN:x146) Cyprus Clearing House_x000D_
(EN:x147) Cyprus Stock Exchange_x000D_
(EN:x148) Dataclearing_x000D_
(EN:x149) Depozitarul Central S.A._x000D_
(EN:x150) Deutsche Börse AG_x000D_
(EN:x151) DIAS (Interbanking Systems S.A.)_x000D_
(EN:x152) DTC (Depository Trust Company)_x000D_
(EN:x153) DTCC Derivatives Repository Plc_x000D_
(EN:x154) Electronic Clearing System (EKS)_x000D_
(EN:x155) ELIXIR_x000D_
(EN:x156) Equens_x000D_
(EN:x157) EUREX Clearing AG_x000D_
(EN:x158) EURO 1_x000D_
(EN:x159) Euroclear Bank_x000D_
(EN:x160) Euroclear Belgium (ESES)_x000D_
(EN:x161) Euroclear Finland_x000D_
(EN:x162) Euroclear France (ESES)_x000D_
(EN:x163) Euroclear Netherlands (ESES)_x000D_
(EN:x164) Euroclear Sweden AB (VPC systemet)_x000D_
(EN:x165) Euroclear UK &amp; Ireland Limited (EUI) (CREST)_x000D_
(EN:x166) Euronext Amsterdam Cash Market_x000D_
(EN:x167) Euronext Brussels SA_x000D_
(EN:x168) Euronext Lisbon SA_x000D_
(EN:x169) European CCP NV_x000D_
(EN:x170) European Commodity Clearing (ECC)_x000D_
(EN:x171) Express Elixir_x000D_
(EN:x172) Faster Payments Service (FPS)_x000D_
(EN:x173) FedACH Services_x000D_
(EN:x174) Fedwire Funds Service_x000D_
(EN:x175) Fedwire Securities Services_x000D_
(EN:x176) Fixed Income Clearing Corp (FICC)_x000D_
(EN:x177) Gielda Papierow Wartosciowych w Warszawie (Warsaw Stock Exchange)_x000D_
(EN:x178) Government Securities Depository (GSD)_x000D_
(EN:x179) HSVP (RTGS)_x000D_
(EN:x180) Iberclear_x000D_
(EN:x181) ICE Clear_x000D_
(EN:x182) ICE Clear Europe Limited_x000D_
(EN:x183) ICE Clear Netherlands_x000D_
(EN:x184) ICE Trade Vault Europe Limited (ICE TVEL)_x000D_
(EN:x185) ID2S/RSSS_x000D_
(EN:x186) Interbank Clearing System (ICS)_x000D_
(EN:x187) INTERBOLSA_x000D_
(EN:x188) IntradagClearing_x000D_
(EN:x189) IRGiT Izba Rozliczeniowa Giełd Towarowych S.A (Commodity Clearing House_x000D_
(EN:x190) Irish Paper Clearing Company (IPCC)_x000D_
(EN:x191) Irish Stock Exchange Ltd_x000D_
(EN:x192) Japan Securities Clearing Corporation_x000D_
(EN:x193) JASDEC_x000D_
(EN:x194) JASDEC DVP_x000D_
(EN:x195) JCC_x000D_
(EN:x196) KDPW S.A._x000D_
(EN:x197) KDPW_CCP S.A._x000D_
(EN:x198) KDPW-TR_x000D_
(EN:x199) KELER CCP_x000D_
(EN:x200) KELER CSD_x000D_
(EN:x201) KRONOS_x000D_
(EN:x202) KUBAS_x000D_
(EN:x203) Large Value Transfer System (LVTS)_x000D_
(EN:x204) LCH Ltd_x000D_
(EN:x205) LCH SA_x000D_
(EN:x206) Ljubljana Stock Exchange_x000D_
(EN:x207) LME Clear Limited_x000D_
(EN:x208) London Stock Exchange Ltd (LSE)_x000D_
(EN:x209) LUX CSD_x000D_
(EN:x210) Malta Clearing House_x000D_
(EN:x211) Malta Stock Exchange_x000D_
(EN:x212) Malta Stock Exchange CSD_x000D_
(EN:x213) MEFF Sociedad Rectora de Productos Derivados S. A._x000D_
(EN:x214) Mercados de Deuda Pública en Anotaciones_x000D_
(EN:x215) Monte Titoli_x000D_
(EN:x216) MTS_x000D_
(EN:x217) Národný Centralny Depositar Cennych Papierov (nCDCP) as_x000D_
(EN:x218) Nasdaq CSD SE_x000D_
(EN:x219) Nasdaq Helsinki_x000D_
(EN:x220) Nasdaq OMX Clearing_x000D_
(EN:x221) Nasdaq OMX Stockholm_x000D_
(EN:x222) National Securities Clearing Corp. (NSCC)_x000D_
(EN:x223) NBB SSS_x000D_
(EN:x224) NBP bills and treasury bills Register_x000D_
(EN:x225) NEX Abide Trade Repository AB_x000D_
(EN:x226) NICS (Norwegian Inter Bank Clearing System)_x000D_
(EN:x227) NKS ( National Clearing System)/EuroNKS_x000D_
(EN:x228) NYSE Euronext Paris_x000D_
(EN:x229) OeKB CSD GmbH (WSB System)_x000D_
(EN:x230) OMI Clear_x000D_
(EN:x231) POPS_x000D_
(EN:x232) REGIS_x000D_
(EN:x233) Regis-TR_x000D_
(EN:x234) RINGS (Real-time INterbank Gross-settlement System)_x000D_
(EN:x235) RIX_x000D_
(EN:x236) RM-SYSTEM Czech Stock Exchange_x000D_
(EN:x237) RoClear_x000D_
(EN:x238) RPS_x000D_
(EN:x239) RT1_x000D_
(EN:x240) SAFIR_x000D_
(EN:x241) SENT_x000D_
(EN:x242) SICOI_x000D_
(EN:x243) SIMP - PS_x000D_
(EN:x244) SIP SPlatobný systém_x000D_
(EN:x245) SIX_x000D_
(EN:x246) SIX InterbankClearing (SIC)/EuroSIC_x000D_
(EN:x247) SIX Swiss Exchange_x000D_
(EN:x248) SIX x-clear_x000D_
(EN:x250) SKD (Short Term Bond System)_x000D_
(EN:x251) SNCE (Sistema Nacional de Compensación Electrónica)_x000D_
(EN:x252) Société de la Bourse du Luxembourg SA_x000D_
(EN:x253) SORBNET2_x000D_
(EN:x254) STEP 1_x000D_
(EN:x255) STEP 2_x000D_
(EN:x256) STET/CORE_x000D_
(EN:x257) Straksclearingen_x000D_
(EN:x258) Sumclearingen_x000D_
(EN:x259) T2S (SSS - only for direct connectivity)_x000D_
(EN:x260) TARGET2_x000D_
(EN:x261) TIPS_x000D_
(EN:x262) UnaVista Limited_x000D_
(EN:x263) Verdipapirsentralen (VPS)_x000D_
(EN:x264) VIBER_x000D_
(EN:x265) VP Lux_x000D_
(EN:x266) VP Securities A/S_x000D_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0" shapeId="0">
      <text>
        <r>
          <rPr>
            <sz val="9"/>
            <color indexed="81"/>
            <rFont val="Tahoma"/>
            <family val="2"/>
          </rPr>
          <t>DataPointVID 429049_x000D_
DataPointID 429049_x000D_
Metric  =  FMI name. Not in predefined list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J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K18" authorId="0" shapeId="0">
      <text>
        <r>
          <rPr>
            <sz val="9"/>
            <color indexed="81"/>
            <rFont val="Tahoma"/>
            <family val="2"/>
          </rPr>
          <t>DataPointVID 428399_x000D_
DataPointID 428399_x000D_
Metric  =  Mode of participation in FMI [ei:ZZ:ZZ24]_x000D_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(ZZ:x223) Direct_x000D_
(ZZ:x224) Indirect_x000D_
(ZZ:x229) Not applicable (Mode of participation in FMI)_x000D_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8" authorId="0" shapeId="0">
      <text>
        <r>
          <rPr>
            <sz val="9"/>
            <color indexed="81"/>
            <rFont val="Tahoma"/>
            <family val="2"/>
          </rPr>
          <t>DataPointVID 428400_x000D_
DataPointID 428400_x000D_
Metric  =  Name of intermediary facilitating access to an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M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N18" authorId="0" shapeId="0">
      <text>
        <r>
          <rPr>
            <sz val="9"/>
            <color indexed="81"/>
            <rFont val="Tahoma"/>
            <family val="2"/>
          </rPr>
          <t>DataPointVID 428401_x000D_
DataPointID 428401_x000D_
Metric  =  Country the law of which governs access to the FMI [ei:GA:GA4]_x000D_
Financial market infrastructure  =  &lt;Key value&gt;_x000D_
FMI system Type  =  &lt;Key value&gt;_x000D_
Intermediary facilitating access to a FMI  =  &lt;Key value&gt;_x000D_
Legal entity (FMI to CF)  =  &lt;Key value&gt;</t>
        </r>
        <r>
          <rPr>
            <sz val="9"/>
            <color indexed="8"/>
            <rFont val="Tahoma"/>
            <family val="2"/>
          </rPr>
          <t>_x000D_
_x000D_
Value chosen from:_x000D_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(GA:_1A) International organisations (as pseudo geographic area)_x000D_
(GA:_1B) United Nations organisations_x000D_
(GA:_1C) IMF (International Monetary Fund)_x000D_
(GA:_1D) WTO (World Trade Organisation)_x000D_
(GA:_1E) IBRD (International Bank for Reconstruction and Development)_x000D_
(GA:_1F) IDA (International Development Association)_x000D_
(GA:_1G) Other UN Organisations (includes 1H, 1J-1T)_x000D_
(GA:_1H) UNESCO (United Nations Educational, Scientific and Cultural Organisation)_x000D_
(GA:_1J) FAO (Food and Agriculture Organisation)_x000D_
(GA:_1K) WHO (World Health Organisation)_x000D_
(GA:_1L) IFAD (International Fund for Agricultural Development)_x000D_
(GA:_1M) IFC (International Finance Corporation)_x000D_
(GA:_1N) MIGA (Multilateral Investment Guarantee Agency)_x000D_
(GA:_1O) UNICEF (United Nations Children’s Fund)_x000D_
(GA:_1P) UNHCR (United Nations High Commissioner for Refugees)_x000D_
(GA:_1Q) UNRWA (United Nations Relief and Works Agency for Palestine)_x000D_
(GA:_1R) IAEA (International Atomic Energy Agency)_x000D_
(GA:_1S) ILO (International Labour Organisation)_x000D_
(GA:_1T) ITU (International Telecommunication Union)_x000D_
(GA:_1Z) Rest of UN Organisations n.i.e._x000D_
(GA:_4A) All the European Union Institutions excluding the institutions of the euro area_x000D_
(GA:_4B) EMS (European Monetary System)_x000D_
(GA:_4C) EIB (European Investment Bank)_x000D_
(GA:_4D) EC (European Commission)_x000D_
(GA:_4E) EDF (European Development Fund)_x000D_
(GA:_4F) ECB (European Central Bank)_x000D_
(GA:_4G) EIF (European Investment Fund)_x000D_
(GA:_4H) ECSC (European Coal and Steel Community)_x000D_
(GA:_4I) Neighbourhood Investment Facility_x000D_
(GA:_4V) FEMIP (Facility for Euro-Mediterranean Investment and Partnership)_x000D_
(GA:_4J) Other European Union Institutions, Organs and Organisms covered by General budget_x000D_
(GA:_4K) European Parliament_x000D_
(GA:_4L) Council of the European Union_x000D_
(GA:_4M) Court of Justice_x000D_
(GA:_4N) Court of Auditors_x000D_
(GA:_4O) European Council_x000D_
(GA:_4P) Economic and Social Committee_x000D_
(GA:_4Q) Committee of the Regions_x000D_
(GA:_4R) EU-Africa Infrastructure Trust Fund_x000D_
(GA:_4S) ESM (European Stability Mechanism)_x000D_
(GA:_4T) Joint Committee of the European Supervisory Authorities (ESAs)_x000D_
(GA:_4W) All the European Union Institutions financed via the EU Budget_x000D_
(GA:_4X) All the European Union Institutions not financed via the EU Budget_x000D_
(GA:_4Y) All European Community Institutions, Organs and Organisms, including ECB and ESM_x000D_
(GA:_4Z) Other small European Union Institutions (Ombudsman, Data Protection Supervisor etc.)_x000D_
(GA:_5A) OECD (Organisation for Economic Co-operation and Development)_x000D_
(GA:_5B) BIS (Bank for International Settlements)_x000D_
(GA:_5C) IADB (Inter-American Development Bank)_x000D_
(GA:_5D) AfDB (African Development Bank)_x000D_
(GA:_5E) AsDB (Asian Development Bank)_x000D_
(GA:_5F) EBRD (European Bank for Reconstruction and Development)_x000D_
(GA:_5G) IIC (Inter-American Investment Corporation)_x000D_
(GA:_5H) NIB (Nordic Investment Bank)_x000D_
(GA:_5I) ECCB (Eastern Caribbean Central Bank)_x000D_
(GA:_5J) IBEC (International Bank for Economic Co-operation)_x000D_
(GA:_5K) IIB (International Investment Bank)_x000D_
(GA:_5L) CDB (Caribbean Development Bank)_x000D_
(GA:_5M) AMF (Arab Monetary Fund)_x000D_
(GA:_5N) BADEA (Banque arabe pour le développement économique en Afrique)_x000D_
(GA:_5O) BCEAO (Banque Centrale des Etats de l'Afrique de l'Ouest)_x000D_
(GA:_5P) CASDB (Central African States Development Bank)_x000D_
(GA:_5Q) African Development Fund_x000D_
(GA:_5R) Asian Development Fund_x000D_
(GA:_5S) Fonds spécial unifié de développement_x000D_
(GA:_5T) CABEI (Central American Bank for Economic Integration)_x000D_
(GA:_5U) ADC (Andean Development Corporation)_x000D_
(GA:_5V) Other International Organisations (financial institutions)_x000D_
(GA:_5W) BEAC (Banque des Etats de l'Afrique Centrale)_x000D_
(GA:_5X) CEMAC (Communauté Économique et Monétaire de l'Afrique Centrale)_x000D_
(GA:_5Y) ECCU (Eastern Caribbean Currency Union)_x000D_
(GA:_5Z) Other International Financial Organisations_x000D_
(GA:_6A) Other International Organisations (non-financial institutions)_x000D_
(GA:_6B) NATO (North Atlantic Treaty Organisation)_x000D_
(GA:_6C) Council of Europe_x000D_
(GA:_6D) ICRC (International Committee of the Red Cross)_x000D_
(GA:_6E) ESA (European Space Agency)_x000D_
(GA:_6F) EPO (European Patent Office)_x000D_
(GA:_6G) EUROCONTROL (European Organisation for the Safety of Air Navigation)_x000D_
(GA:_6H) EUTELSAT (European Telecommunications Satellite Organisation)_x000D_
(GA:_6I) WAEMU (West African Economic and Monetary Union)_x000D_
(GA:_6J) INTELSAT (International Telecommunications Satellite Organisation)_x000D_
(GA:_6K) EBU/UER (European Broadcasting Union/Union européenne de radio-télévision)_x000D_
(GA:_6L) EUMETSAT (European Organisation for the Exploitation of Meteorological Satellites)_x000D_
(GA:_6M) ESO (European Southern Observatory)_x000D_
(GA:_6N) ECMWF (European Centre for Medium-Range Weather Forecasts)_x000D_
(GA:_6O) EMBL (European Molecular Biology Laboratory)_x000D_
(GA:_6P) CERN (European Organisation for Nuclear Research)_x000D_
(GA:_6Q) IOM (International Organisation for Migration)_x000D_
(GA:_6R) IDB (Islamic Development Bank)_x000D_
(GA:_6S) EDB (Eurasian Development Bank)_x000D_
(GA:_6T) Paris Club Creditor Institutions_x000D_
(GA:_6U) CEB (Council of Europe Development Bank)_x000D_
(GA:_6Z) Other International Non-Financial Organisations_x000D_
(GA:_7Z) International Organisations excluding European Union Institutions_x000D_
(GA:_8A) International Union of Credit and Investment Insurers_x000D_
(GA:_7Y) European Financial Stability Facility (EFSF)_x000D_
(GA:_9B) Multilateral Lending Agencies_x000D_
(GA:IMF.CL_AREA.1G) ICSID (International Centre for Settlement of Investment Disputes)_x000D_
(GA:IMF.CL_AREA.1W) World Bank Group Bank Group_x000D_
(GA:IMF.CL_AREA.4U) EURATOM_x000D_
(GA:IMF.CL_AREA.7G) Black Sea Trade and Development Banks_x000D_
(GA:IMF.CL_AREA.7H) AFREXIMBANK (African Export-Import Bank)_x000D_
(GA:IMF.CL_AREA.7I) BLADEX (Banco Latino Americano De Comercio Exterior)_x000D_
(GA:IMF.CL_AREA.7J) FLAR (Fondo Latino Americano de Reservas)_x000D_
(GA:IMF.CL_AREA.7K) Fonds Belgo-Congolais d'Amortissement et de Gestion_x000D_
(GA:IMF.CL_AREA.7L) IFFIm (International Finance Facility for Immunisation)_x000D_
(GA:IMF.CL_AREA.7M) EUROFIMA (European Company for the Financing of Railroad Rolling Stock)_x000D_
(GA:IMF.CL_AREA.9B) International organization excluding the BIS and the IMF_x000D_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8" authorId="0" shapeId="0">
      <text>
        <r>
          <rPr>
            <sz val="9"/>
            <color indexed="81"/>
            <rFont val="Tahoma"/>
            <family val="2"/>
          </rPr>
          <t>DataPointVID 429050_x000D_
DataPointID 429050_x000D_
Metric  =  Is a currency in which transactions / contracts are denominated [bi]_x000D_
Currency in which the transaction / contract is denominated  =  Euro_x000D_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P18" authorId="0" shapeId="0">
      <text>
        <r>
          <rPr>
            <sz val="9"/>
            <color indexed="81"/>
            <rFont val="Tahoma"/>
            <family val="2"/>
          </rPr>
          <t>DataPointVID 429051_x000D_
DataPointID 429051_x000D_
Metric  =  Is a currency in which transactions / contracts are denominated [bi]_x000D_
Currency in which the transaction / contract is denominated  =  Pound Sterling_x000D_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Q18" authorId="0" shapeId="0">
      <text>
        <r>
          <rPr>
            <sz val="9"/>
            <color indexed="81"/>
            <rFont val="Tahoma"/>
            <family val="2"/>
          </rPr>
          <t>DataPointVID 429054_x000D_
DataPointID 429054_x000D_
Metric  =  Is a currency in which transactions / contracts are denominated [bi]_x000D_
Currency in which the transaction / contract is denominated  =  US Dollar_x000D_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R18" authorId="0" shapeId="0">
      <text>
        <r>
          <rPr>
            <sz val="9"/>
            <color indexed="81"/>
            <rFont val="Tahoma"/>
            <family val="2"/>
          </rPr>
          <t>DataPointVID 429053_x000D_
DataPointID 429053_x000D_
Metric  =  Is a currency in which transactions / contracts are denominated [bi]_x000D_
Currency in which the transaction / contract is denominated  =  Swiss Franc_x000D_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S18" authorId="0" shapeId="0">
      <text>
        <r>
          <rPr>
            <sz val="9"/>
            <color indexed="81"/>
            <rFont val="Tahoma"/>
            <family val="2"/>
          </rPr>
          <t>DataPointVID 429052_x000D_
DataPointID 429052_x000D_
Metric  =  Is a currency in which transactions / contracts are denominated [bi]_x000D_
Currency in which the transaction / contract is denominated  = 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T18" authorId="0" shapeId="0">
      <text>
        <r>
          <rPr>
            <sz val="9"/>
            <color indexed="81"/>
            <rFont val="Tahoma"/>
            <family val="2"/>
          </rPr>
          <t>DataPointVID 429075_x000D_
DataPointID 429075_x000D_
Metric  =  Currency in which the transaction / contract is denominated (string) [si]_x000D_
Currency in which the transaction / contract is denominated  =  Currencies other than Euro, Pound Sterling, US Dollar, Swiss Franc, Yen_x000D_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U18" authorId="0" shapeId="0">
      <text>
        <r>
          <rPr>
            <sz val="9"/>
            <color indexed="81"/>
            <rFont val="Tahoma"/>
            <family val="2"/>
          </rPr>
          <t>DataPointVID 428398_x000D_
DataPointID 428398_x000D_
Metric  =  Comments required. FMI services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V18" authorId="0" shapeId="0">
      <text>
        <r>
          <rPr>
            <sz val="9"/>
            <color indexed="81"/>
            <rFont val="Tahoma"/>
            <family val="2"/>
          </rPr>
          <t>DataPointVID 429055_x000D_
DataPointID 429055_x000D_
Metric  =  Comment required. Services provided to FMI / representative institution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W18" authorId="0" shapeId="0">
      <text>
        <r>
          <rPr>
            <sz val="9"/>
            <color indexed="81"/>
            <rFont val="Tahoma"/>
            <family val="2"/>
          </rPr>
          <t>DataPointVID 429078_x000D_
DataPointID 429078_x000D_
Metric  =  Communication provider is FMI proprietary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X18" authorId="0" shapeId="0">
      <text>
        <r>
          <rPr>
            <sz val="9"/>
            <color indexed="81"/>
            <rFont val="Tahoma"/>
            <family val="2"/>
          </rPr>
          <t>DataPointVID 429079_x000D_
DataPointID 429079_x000D_
Metric  =  Communication provider is SWIFT [bi]_x000D_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Y18" authorId="0" shapeId="0">
      <text>
        <r>
          <rPr>
            <sz val="9"/>
            <color indexed="81"/>
            <rFont val="Tahoma"/>
            <family val="2"/>
          </rPr>
          <t>DataPointVID 429056_x000D_
DataPointID 429056_x000D_
Metric  =  Communication service provider other than FMI proprietary and SWIFT (name)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Z18" authorId="0" shapeId="0">
      <text>
        <r>
          <rPr>
            <sz val="9"/>
            <color indexed="81"/>
            <rFont val="Tahoma"/>
            <family val="2"/>
          </rPr>
          <t>DataPointVID 429057_x000D_
DataPointID 429057_x000D_
Metric  =  Comments required. Name of other service provider enabling access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A18" authorId="0" shapeId="0">
      <text>
        <r>
          <rPr>
            <sz val="9"/>
            <color indexed="81"/>
            <rFont val="Tahoma"/>
            <family val="2"/>
          </rPr>
          <t>DataPointVID 429080_x000D_
DataPointID 429080_x000D_
Metric  =  Comments required. Other services needed for acces to FMI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  <comment ref="AB18" authorId="0" shapeId="0">
      <text>
        <r>
          <rPr>
            <sz val="9"/>
            <color indexed="81"/>
            <rFont val="Tahoma"/>
            <family val="2"/>
          </rPr>
          <t>DataPointVID 429077_x000D_
DataPointID 429077_x000D_
Metric  =  Comments required. Point of contact(s) at FMI/ intermediary for matters related to resolution of the entity [si]_x000D_
Financial market infrastructure  =  &lt;Key value&gt;_x000D_
FMI system Type  =  &lt;Key value&gt;_x000D_
Intermediary facilitating access to a FMI  =  &lt;Key value&gt;_x000D_
Legal entity (FMI to CF)  =  &lt;Key value&gt;</t>
        </r>
      </text>
    </comment>
  </commentList>
</comments>
</file>

<file path=xl/comments2.xml><?xml version="1.0" encoding="utf-8"?>
<comments xmlns="http://schemas.openxmlformats.org/spreadsheetml/2006/main">
  <authors>
    <author>Haizhen Li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Location of critical function  =  &lt;Key value&gt; [GA8_1 ex. x0]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Link [ti]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7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7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8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8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19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1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1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19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0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0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1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1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2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2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3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3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4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4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5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5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5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6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6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6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7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7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7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8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8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8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29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2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2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29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29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0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0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1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1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1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2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2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2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3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3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3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  <comment ref="C34" authorId="0" shapeId="0">
      <text>
        <r>
          <rPr>
            <sz val="9"/>
            <color indexed="81"/>
            <rFont val="Tahoma"/>
            <family val="2"/>
          </rPr>
          <t>Critical function  (FMI to CF)  =  &lt;Key value&gt; [TA2 ex. x92]_x000D_
Location of critical function  =  &lt;Key value&gt; [GA8_1 ex. x0]_x000D_
ID representing combination of user, FMI, system type and intermediary  =  &lt;Key value&gt;</t>
        </r>
      </text>
    </comment>
    <comment ref="D3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3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[GA8_1 ex. default (x0:Not applicable/All geographical areas)]:_x000D_
_x000D_
(GA:x1) All countries_x000D_
(GA:AL) ALBANIA_x000D_
(GA:AT) AUSTRIA_x000D_
(GA:BE) BELGIUM_x000D_
(GA:BG) BULGARIA_x000D_
(GA:CY) CYPRUS_x000D_
(GA:CZ) CZECH REPUBLIC_x000D_
(GA:DK) DENMARK_x000D_
(GA:EE) ESTONIA_x000D_
(GA:FI) FINLAND_x000D_
(GA:FR) FRANCE_x000D_
(GA:DE) GERMANY_x000D_
(GA:GR) GREECE_x000D_
(GA:HU) HUNGARY_x000D_
(GA:IE) IRELAND_x000D_
(GA:IT) ITALY_x000D_
(GA:JP) JAPAN_x000D_
(GA:XK) KOSOVO_x000D_
(GA:LV) LATVIA_x000D_
(GA:LT) LITHUANIA_x000D_
(GA:LU) LUXEMBOURG_x000D_
(GA:MK) NORTH MACEDONIA_x000D_
(GA:MT) MALTA_x000D_
(GA:NL) NETHERLANDS_x000D_
(GA:NO) NORWAY_x000D_
(GA:PL) POLAND_x000D_
(GA:PT) PORTUGAL_x000D_
(GA:RO) ROMANIA_x000D_
(GA:RU) RUSSIAN FEDERATION_x000D_
(GA:RS) SERBIA_x000D_
(GA:SK) SLOVAKIA_x000D_
(GA:SI) SLOVENIA_x000D_
(GA:ES) SPAIN_x000D_
(GA:SE) SWEDEN_x000D_
(GA:CH) SWITZERLAND_x000D_
(GA:TR) TURKEY_x000D_
(GA:UA) UKRAINE_x000D_
(GA:GB) UNITED KINGDOM_x000D_
(GA:US) UNITED STATES_x000D_
(GA:AF) AFGHANISTAN_x000D_
(GA:AX) ÅLAND ISLANDS_x000D_
(GA:DZ) ALGERIA_x000D_
(GA:AS) AMERICAN SAMOA_x000D_
(GA:AD) ANDORRA_x000D_
(GA:AO) ANGOLA_x000D_
(GA:AI) ANGUILLA_x000D_
(GA:AQ) ANTARCTICA_x000D_
(GA:AG) ANTIGUA AND BARBUDA_x000D_
(GA:AR) ARGENTINA_x000D_
(GA:AM) ARMENIA_x000D_
(GA:AW) ARUBA_x000D_
(GA:AU) AUSTRALIA_x000D_
(GA:AZ) AZERBAIJAN_x000D_
(GA:BS) BAHAMAS_x000D_
(GA:BH) BAHRAIN_x000D_
(GA:BD) BANGLADESH_x000D_
(GA:BB) BARBADOS_x000D_
(GA:BY) BELARUS_x000D_
(GA:BZ) BELIZE_x000D_
(GA:BJ) BENIN_x000D_
(GA:BM) BERMUDA_x000D_
(GA:BT) BHUTAN_x000D_
(GA:BO) BOLIVIA, PLURINATIONAL STATE OF_x000D_
(GA:BQ) BONAIRE, SINT EUSTATIUS AND SABA_x000D_
(GA:BA) BOSNIA AND HERZEGOVINA_x000D_
(GA:BW) BOTSWANA_x000D_
(GA:BV) BOUVET ISLAND_x000D_
(GA:BR) BRAZIL_x000D_
(GA:IO) BRITISH INDIAN OCEAN TERRITORY_x000D_
(GA:BN) BRUNEI DARUSSALAM_x000D_
(GA:BF) BURKINA FASO_x000D_
(GA:BI) BURUNDI_x000D_
(GA:KH) CAMBODIA_x000D_
(GA:CM) CAMEROON_x000D_
(GA:CA) CANADA_x000D_
(GA:CV) CAPE VERDE_x000D_
(GA:KY) CAYMAN ISLANDS_x000D_
(GA:CF) CENTRAL AFRICAN REPUBLIC_x000D_
(GA:TD) CHAD_x000D_
(GA:CL) CHILE_x000D_
(GA:CN) CHINA_x000D_
(GA:CX) CHRISTMAS ISLAND_x000D_
(GA:CC) COCOS (KEELING) ISLANDS_x000D_
(GA:CO) COLOMBIA_x000D_
(GA:KM) COMOROS_x000D_
(GA:CG) CONGO_x000D_
(GA:CD) CONGO, THE DEMOCRATIC REPUBLIC OF THE_x000D_
(GA:CK) COOK ISLANDS_x000D_
(GA:CR) COSTA RICA_x000D_
(GA:CI) CÔTE D'IVOIRE_x000D_
(GA:HR) CROATIA_x000D_
(GA:CU) CUBA_x000D_
(GA:CW) CURAÇAO_x000D_
(GA:DJ) DJIBOUTI_x000D_
(GA:DM) DOMINICA_x000D_
(GA:DO) DOMINICAN REPUBLIC_x000D_
(GA:EC) ECUADOR_x000D_
(GA:EG) EGYPT_x000D_
(GA:SV) EL SALVADOR_x000D_
(GA:GQ) EQUATORIAL GUINEA_x000D_
(GA:ER) ERITREA_x000D_
(GA:ET) ETHIOPIA_x000D_
(GA:FK) FALKLAND ISLANDS (MALVINAS)_x000D_
(GA:FO) FAROE ISLANDS_x000D_
(GA:FJ) FIJI_x000D_
(GA:GF) FRENCH GUIANA_x000D_
(GA:PF) FRENCH POLYNESIA_x000D_
(GA:TF) FRENCH SOUTHERN TERRITORIES_x000D_
(GA:GA) GABON_x000D_
(GA:GM) GAMBIA_x000D_
(GA:GE) GEORGIA_x000D_
(GA:GH) GHANA_x000D_
(GA:GI) GIBRALTAR_x000D_
(GA:GL) GREENLAND_x000D_
(GA:GD) GRENADA_x000D_
(GA:GP) GUADELOUPE_x000D_
(GA:GU) GUAM_x000D_
(GA:GT) GUATEMALA_x000D_
(GA:GG) GUERNSEY_x000D_
(GA:GN) GUINEA_x000D_
(GA:GW) GUINEA-BISSAU_x000D_
(GA:GY) GUYANA_x000D_
(GA:HT) HAITI_x000D_
(GA:HM) HEARD ISLAND AND MCDONALD ISLANDS_x000D_
(GA:VA) HOLY SEE (VATICAN CITY STATE)_x000D_
(GA:HN) HONDURAS_x000D_
(GA:HK) HONG KONG_x000D_
(GA:IS) ICELAND_x000D_
(GA:IN) INDIA_x000D_
(GA:ID) INDONESIA_x000D_
(GA:IR) IRAN, ISLAMIC REPUBLIC OF_x000D_
(GA:IQ) IRAQ_x000D_
(GA:IM) ISLE OF MAN_x000D_
(GA:IL) ISRAEL_x000D_
(GA:JM) JAMAICA_x000D_
(GA:JE) JERSEY_x000D_
(GA:JO) JORDAN_x000D_
(GA:KZ) KAZAKHSTAN_x000D_
(GA:KE) KENYA_x000D_
(GA:KI) KIRIBATI_x000D_
(GA:KP) KOREA, DEMOCRATIC PEOPLE'S REPUBLIC OF_x000D_
(GA:KR) KOREA, REPUBLIC OF_x000D_
(GA:KW) KUWAIT_x000D_
(GA:KG) KYRGYZSTAN_x000D_
(GA:LA) LAO PEOPLE'S DEMOCRATIC REPUBLIC_x000D_
(GA:LB) LEBANON_x000D_
(GA:LS) LESOTHO_x000D_
(GA:LR) LIBERIA_x000D_
(GA:LY) LIBYA_x000D_
(GA:LI) LIECHTENSTEIN_x000D_
(GA:MO) MACAO_x000D_
(GA:MG) MADAGASCAR_x000D_
(GA:MW) MALAWI_x000D_
(GA:MY) MALAYSIA_x000D_
(GA:MV) MALDIVES_x000D_
(GA:ML) MALI_x000D_
(GA:MH) MARSHALL ISLANDS_x000D_
(GA:MQ) MARTINIQUE_x000D_
(GA:MR) MAURITANIA_x000D_
(GA:MU) MAURITIUS_x000D_
(GA:YT) MAYOTTE_x000D_
(GA:MX) MEXICO_x000D_
(GA:FM) MICRONESIA, FEDERATED STATES OF_x000D_
(GA:MD) MOLDOVA, REPUBLIC OF_x000D_
(GA:MC) MONACO_x000D_
(GA:MN) MONGOLIA_x000D_
(GA:ME) MONTENEGRO_x000D_
(GA:MS) MONTSERRAT_x000D_
(GA:MA) MOROCCO_x000D_
(GA:MZ) MOZAMBIQUE_x000D_
(GA:MM) MYANMAR_x000D_
(GA:NA) NAMIBIA_x000D_
(GA:NR) NAURU_x000D_
(GA:NP) NEPAL_x000D_
(GA:NC) NEW CALEDONIA_x000D_
(GA:NZ) NEW ZEALAND_x000D_
(GA:NI) NICARAGUA_x000D_
(GA:NE) NIGER_x000D_
(GA:NG) NIGERIA_x000D_
(GA:NU) NIUE_x000D_
(GA:NF) NORFOLK ISLAND_x000D_
(GA:MP) NORTHERN MARIANA ISLANDS_x000D_
(GA:OM) OMAN_x000D_
(GA:PK) PAKISTAN_x000D_
(GA:PW) PALAU_x000D_
(GA:PS) PALESTINIAN TERRITORY, OCCUPIED_x000D_
(GA:PA) PANAMA_x000D_
(GA:PG) PAPUA NEW GUINEA_x000D_
(GA:PY) PARAGUAY_x000D_
(GA:PE) PERU_x000D_
(GA:PH) PHILIPPINES_x000D_
(GA:PN) PITCAIRN_x000D_
(GA:PR) PUERTO RICO_x000D_
(GA:QA) QATAR_x000D_
(GA:RE) RÉUNION_x000D_
(GA:RW) RWANDA_x000D_
(GA:BL) SAINT BARTHÉLEMY_x000D_
(GA:SH) SAINT HELENA, ASCENSION AND TRISTAN DA CUNHA_x000D_
(GA:KN) SAINT KITTS AND NEVIS_x000D_
(GA:LC) SAINT LUCIA_x000D_
(GA:MF) SAINT MARTIN (FRENCH PART)_x000D_
(GA:PM) SAINT PIERRE AND MIQUELON_x000D_
(GA:VC) SAINT VINCENT AND THE GRENADINES_x000D_
(GA:WS) SAMOA_x000D_
(GA:SM) SAN MARINO_x000D_
(GA:ST) SAO TOME AND PRINCIPE_x000D_
(GA:SA) SAUDI ARABIA_x000D_
(GA:SN) SENEGAL_x000D_
(GA:SC) SEYCHELLES_x000D_
(GA:SL) SIERRA LEONE_x000D_
(GA:SG) SINGAPORE_x000D_
(GA:SX) SINT MAARTEN (DUTCH PART)_x000D_
(GA:SB) SOLOMON ISLANDS_x000D_
(GA:SO) SOMALIA_x000D_
(GA:ZA) SOUTH AFRICA_x000D_
(GA:GS) SOUTH GEORGIA AND THE SOUTH SANDWICH ISLANDS_x000D_
(GA:SS) SOUTH SUDAN_x000D_
(GA:LK) SRI LANKA_x000D_
(GA:SD) SUDAN_x000D_
(GA:SR) SURINAME_x000D_
(GA:SJ) SVALBARD AND JAN MAYEN_x000D_
(GA:SZ) SWAZILAND_x000D_
(GA:SY) SYRIAN ARAB REPUBLIC_x000D_
(GA:TW) TAIWAN, PROVINCE OF CHINA_x000D_
(GA:TJ) TAJIKISTAN_x000D_
(GA:TZ) TANZANIA, UNITED REPUBLIC OF_x000D_
(GA:TH) THAILAND_x000D_
(GA:TL) TIMOR-LESTE_x000D_
(GA:TG) TOGO_x000D_
(GA:TK) TOKELAU_x000D_
(GA:TO) TONGA_x000D_
(GA:TT) TRINIDAD AND TOBAGO_x000D_
(GA:TN) TUNISIA_x000D_
(GA:TM) TURKMENISTAN_x000D_
(GA:TC) TURKS AND CAICOS ISLANDS_x000D_
(GA:TV) TUVALU_x000D_
(GA:UG) UGANDA_x000D_
(GA:AE) UNITED ARAB EMIRATES_x000D_
(GA:UM) UNITED STATES MINOR OUTLYING ISLANDS_x000D_
(GA:UY) URUGUAY_x000D_
(GA:UZ) UZBEKISTAN_x000D_
(GA:VU) VANUATU_x000D_
(GA:VE) VENEZUELA, BOLIVARIAN REPUBLIC OF_x000D_
(GA:VN) VIET NAM_x000D_
(GA:VG) VIRGIN ISLANDS, BRITISH_x000D_
(GA:VI) VIRGIN ISLANDS, U.S._x000D_
(GA:WF) WALLIS AND FUTUNA_x000D_
(GA:EH) WESTERN SAHARA_x000D_
(GA:YE) YEMEN_x000D_
(GA:ZM) ZAMBIA_x000D_
(GA:ZW) ZIMBABWE_x000D_
(GA:x28) Other Countries_x000D_
(GA:x32) European Economic Area (EEA)_x000D_
(GA:x33) European Union (EU)_x000D_
(GA:x36) Countries other than country of incorporation of the reporting institution / location of critical function_x000D_
(GA:x37) Country sub-region_x000D_
</t>
        </r>
      </text>
    </comment>
    <comment ref="F34" authorId="0" shapeId="0">
      <text>
        <r>
          <rPr>
            <sz val="9"/>
            <color indexed="81"/>
            <rFont val="Tahoma"/>
            <family val="2"/>
          </rPr>
          <t xml:space="preserve">The &lt;Key value&gt; (combination of all &lt;Key value&gt; columns when more than one) must uniquely specify each row._x000D_
Value restricted to subset [TA2 ex. (x92:Hierarchy root for Type of activity)]:_x000D_
_x000D_
(TA:x54) 1.1 - Deposits: Households_x000D_
(TA:x55) 1.2 - Deposits: Non-financial corporations - SMEs_x000D_
(TA:x56) 1.3 - Deposits: Non-financial corporations - non-SMEs_x000D_
(TA:x57) 1.4 - Deposits: General Governments_x000D_
(TA:x58) 1.5 - Deposits: Other sectors / counterparties (1)_x000D_
(TA:x59) 1.6 - Deposits: Other sectors / counterparties (2)_x000D_
(TA:x60) 1.7 - Deposits: Other sectors / counterparties (3)_x000D_
(TA:x61) 2.1 - Lending: Households - lending for house purchase_x000D_
(TA:x62) 2.2 - Lending: Households - other lending_x000D_
(TA:x63) 2.3 - Lending: Non-financial corporations - SMEs_x000D_
(TA:x64) 2.4 - Lending: Non-financial corporations - non-SMEs_x000D_
(TA:x65) 2.5 - Lending: General Governments_x000D_
(TA:x66) 2.6 - Lending: Other sectors / counterparties (1)_x000D_
(TA:x67) 2.7 - Lending: Other sectors / counterparties (2)_x000D_
(TA:x68) 2.8 - Lending: Other sectors / counterparties (3)_x000D_
(TA:x69) 3.1 - Payment, Cash, Settlement, Clearing, Custody: Payment services to MFIs_x000D_
(TA:x70) 3.2 - Payment, Cash, Settlement, Clearing, Custody: Payment services to non-MFIs_x000D_
(TA:x71) 3.3 - Payment, Cash, Settlement, Clearing, Custody: Cash services_x000D_
(TA:x72) 3.4 - Payment, Cash, Settlement, Clearing, Custody: Securities settlement services_x000D_
(TA:x73) 3.5 - Payment, Cash, Settlement, Clearing, Custody: CCP clearing services_x000D_
(TA:x74) 3.6 - Payment, Cash, Settlement, Clearing, Custody: Custody services_x000D_
(TA:x75) 3.7 - Payment, Cash, Settlement, Clearing, Custody: Other services / activities / functions (1)_x000D_
(TA:x76) 3.8 - Payment, Cash, Settlement, Clearing, Custody: Other services / activities / functions (2)_x000D_
(TA:x77) 3.9 - Payment, Cash, Settlement, Clearing, Custody: Other services / activities / functions (3)_x000D_
(TA:x78) 4.1 - Capital Markets: Derivatives held for trading - OTC_x000D_
(TA:x79) 4.2 - Capital Markets: Derivatives held for trading - non-OTC_x000D_
(TA:x80) 4.3 - Capital Markets: Secondary markets / trading_x000D_
(TA:x81) 4.4 - Capital Markets: Primary Markets / underwriting_x000D_
(TA:x82) 4.5 - Capital Markets: Other services / activities / functions (1)_x000D_
(TA:x83) 4.6 - Capital Markets: Other services / activities / functions (2)_x000D_
(TA:x84) 4.7 - Capital Markets: Other services / activities / functions (3)_x000D_
(TA:x85) 5.1 - Wholesale Funding: Borrowing_x000D_
(TA:x86) 5.2 - Wholesale Funding: Derivatives (assets)_x000D_
(TA:x87) 5.3 - Wholesale Funding: Lending_x000D_
(TA:x88) 5.4 - Wholesale Funding: Derivatives (liabilities)_x000D_
(TA:x89) 5.5 - Wholesale Funding: Other product types (1)_x000D_
(TA:x90) 5.6 - Wholesale Funding: Other product types (2)_x000D_
(TA:x91) 5.7 - Wholesale Funding: Other product types (3)_x000D_
</t>
        </r>
      </text>
    </comment>
    <comment ref="G34" authorId="0" shapeId="0">
      <text>
        <r>
          <rPr>
            <sz val="9"/>
            <color indexed="81"/>
            <rFont val="Tahoma"/>
            <family val="2"/>
          </rPr>
          <t>DataPointVID 429082_x000D_
DataPointID 429082_x000D_
Metric  =  Link [ti]_x000D_
Critical function  (FMI to CF)  =  &lt;Key value&gt;_x000D_
ID representing combination of user, FMI, system type and intermediary  =  &lt;Key value&gt;_x000D_
Location of critical function  =  &lt;Key value&gt;</t>
        </r>
      </text>
    </comment>
  </commentList>
</comments>
</file>

<file path=xl/comments3.xml><?xml version="1.0" encoding="utf-8"?>
<comments xmlns="http://schemas.openxmlformats.org/spreadsheetml/2006/main">
  <authors>
    <author>Haizhen Li</author>
  </authors>
  <commentList>
    <comment ref="D6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6" authorId="0" shapeId="0">
      <text>
        <r>
          <rPr>
            <sz val="9"/>
            <color indexed="81"/>
            <rFont val="Tahoma"/>
            <family val="2"/>
          </rPr>
          <t>Metric  =  Core business line name [si]</t>
        </r>
      </text>
    </comment>
    <comment ref="F6" authorId="0" shapeId="0">
      <text>
        <r>
          <rPr>
            <sz val="9"/>
            <color indexed="81"/>
            <rFont val="Tahoma"/>
            <family val="2"/>
          </rPr>
          <t>Business line (FMI-User to CBL)  =  &lt;Key value&gt;</t>
        </r>
      </text>
    </comment>
    <comment ref="G6" authorId="0" shapeId="0">
      <text>
        <r>
          <rPr>
            <sz val="9"/>
            <color indexed="81"/>
            <rFont val="Tahoma"/>
            <family val="2"/>
          </rPr>
          <t>Metric  =  Link [ti]</t>
        </r>
      </text>
    </comment>
    <comment ref="C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Business line (FMI-User to CBL)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DataPointVID 428393_x000D_
DataPointID 428393_x000D_
Metric  =  Core business line name [si]_x000D_
Business line (FMI-User to CBL)  =  &lt;Key value&gt;_x000D_
ID representing combination of user, FMI, system type and intermediary  =  &lt;Key value&gt;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429081_x000D_
DataPointID 429081_x000D_
Metric  =  Link [ti]_x000D_
Business line (FMI-User to CBL)  =  &lt;Key value&gt;_x000D_
ID representing combination of user, FMI, system type and intermediary  =  &lt;Key value&gt;</t>
        </r>
      </text>
    </comment>
  </commentList>
</comments>
</file>

<file path=xl/comments4.xml><?xml version="1.0" encoding="utf-8"?>
<comments xmlns="http://schemas.openxmlformats.org/spreadsheetml/2006/main">
  <authors>
    <author>Haizhen Li</author>
  </authors>
  <commentList>
    <comment ref="D7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</t>
        </r>
      </text>
    </comment>
    <comment ref="E7" authorId="0" shapeId="0">
      <text>
        <r>
          <rPr>
            <sz val="9"/>
            <color indexed="81"/>
            <rFont val="Tahoma"/>
            <family val="2"/>
          </rPr>
          <t>Segment (CCP)  =  &lt;Key value&gt;</t>
        </r>
      </text>
    </comment>
    <comment ref="F7" authorId="0" shapeId="0">
      <text>
        <r>
          <rPr>
            <sz val="9"/>
            <color indexed="81"/>
            <rFont val="Tahoma"/>
            <family val="2"/>
          </rPr>
          <t>Metric  =  Contribution to default fund [mi]_x000D_
Base  =  Memorandum items</t>
        </r>
      </text>
    </comment>
    <comment ref="G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Type of account  =  Proprietary account</t>
        </r>
      </text>
    </comment>
    <comment ref="H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Counterparty nature  =  Client_x000D_
Type of account  =  Client account.Omnibus account</t>
        </r>
      </text>
    </comment>
    <comment ref="I7" authorId="0" shapeId="0">
      <text>
        <r>
          <rPr>
            <sz val="9"/>
            <color indexed="81"/>
            <rFont val="Tahoma"/>
            <family val="2"/>
          </rPr>
          <t>Metric  =  Value of positions [mi]_x000D_
Base  =  Memorandum items_x000D_
Counterparty nature  =  Client_x000D_
Type of account  =  Client account.Segregated account</t>
        </r>
      </text>
    </comment>
    <comment ref="J7" authorId="0" shapeId="0">
      <text>
        <r>
          <rPr>
            <sz val="9"/>
            <color indexed="81"/>
            <rFont val="Tahoma"/>
            <family val="2"/>
          </rPr>
          <t>Metric  =  Number of counterparties [ii]_x000D_
Counterparty nature  =  Client_x000D_
Type of account  =  Client account.Omnibus account</t>
        </r>
      </text>
    </comment>
    <comment ref="K7" authorId="0" shapeId="0">
      <text>
        <r>
          <rPr>
            <sz val="9"/>
            <color indexed="81"/>
            <rFont val="Tahoma"/>
            <family val="2"/>
          </rPr>
          <t>Metric  =  Number of counterparties [ii]_x000D_
Counterparty nature  =  Client_x000D_
Type of account  =  Client account.Segregated account</t>
        </r>
      </text>
    </comment>
    <comment ref="L7" authorId="0" shapeId="0">
      <text>
        <r>
          <rPr>
            <sz val="9"/>
            <color indexed="81"/>
            <rFont val="Tahoma"/>
            <family val="2"/>
          </rPr>
          <t>Metric  =  Nominal amount of transactions [mi]_x000D_
Type of account  =  Proprietary account</t>
        </r>
      </text>
    </comment>
    <comment ref="M7" authorId="0" shapeId="0">
      <text>
        <r>
          <rPr>
            <sz val="9"/>
            <color indexed="81"/>
            <rFont val="Tahoma"/>
            <family val="2"/>
          </rPr>
          <t>Metric  =  Nominal amount of transactions [mi]_x000D_
Type of account  =  Client account</t>
        </r>
      </text>
    </comment>
    <comment ref="N7" authorId="0" shapeId="0">
      <text>
        <r>
          <rPr>
            <sz val="9"/>
            <color indexed="81"/>
            <rFont val="Tahoma"/>
            <family val="2"/>
          </rPr>
          <t>Metric  =  Nominal amount [mi]_x000D_
Base  =  Memorandum items_x000D_
Main category  =  Loan commitments received_x000D_
Counterparty nature  =  FMI, representative institution, other liquidity provider</t>
        </r>
      </text>
    </comment>
    <comment ref="O7" authorId="0" shapeId="0">
      <text>
        <r>
          <rPr>
            <sz val="9"/>
            <color indexed="81"/>
            <rFont val="Tahoma"/>
            <family val="2"/>
          </rPr>
          <t>Metric  =  Peak amount of intraday liquidity or collateral requirements [mi]</t>
        </r>
      </text>
    </comment>
    <comment ref="P7" authorId="0" shapeId="0">
      <text>
        <r>
          <rPr>
            <sz val="9"/>
            <color indexed="81"/>
            <rFont val="Tahoma"/>
            <family val="2"/>
          </rPr>
          <t>Metric  =  Estimated amount of additional liquidity or collateral requirements in a stress situation [mi]</t>
        </r>
      </text>
    </comment>
    <comment ref="Q7" authorId="0" shapeId="0">
      <text>
        <r>
          <rPr>
            <sz val="9"/>
            <color indexed="81"/>
            <rFont val="Tahoma"/>
            <family val="2"/>
          </rPr>
          <t>Metric  =  Reference period for daily averages (first day) [di]</t>
        </r>
      </text>
    </comment>
    <comment ref="R7" authorId="0" shapeId="0">
      <text>
        <r>
          <rPr>
            <sz val="9"/>
            <color indexed="81"/>
            <rFont val="Tahoma"/>
            <family val="2"/>
          </rPr>
          <t>Metric  =  Reference period for daily averages (last day) [di]</t>
        </r>
      </text>
    </comment>
    <comment ref="C8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8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8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8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8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8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8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8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8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8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8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8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8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8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8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9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9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9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9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9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9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9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9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9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9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9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9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9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9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9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0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0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0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0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0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0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0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0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0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0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0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0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0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0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0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1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1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1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1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1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1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1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1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1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1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1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1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1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1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1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2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2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2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2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2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2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2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2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3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3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3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3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3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3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3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3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3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3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3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3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3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3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3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4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4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4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4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4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4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4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4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4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4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4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4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4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4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4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5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5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5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5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5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5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5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5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5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5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5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5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5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5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5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  <comment ref="C16" authorId="0" shapeId="0">
      <text>
        <r>
          <rPr>
            <sz val="9"/>
            <color indexed="81"/>
            <rFont val="Tahoma"/>
            <family val="2"/>
          </rPr>
          <t>ID representing combination of user, FMI, system type and intermediary  =  &lt;Key value&gt;_x000D_
Segment (CCP)  =  &lt;Key value&gt;</t>
        </r>
      </text>
    </comment>
    <comment ref="D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E16" authorId="0" shapeId="0">
      <text>
        <r>
          <rPr>
            <sz val="9"/>
            <color indexed="81"/>
            <rFont val="Tahoma"/>
            <family val="2"/>
          </rPr>
          <t>The &lt;Key value&gt; (combination of all &lt;Key value&gt; columns when more than one) must uniquely specify each row.</t>
        </r>
      </text>
    </comment>
    <comment ref="F16" authorId="0" shapeId="0">
      <text>
        <r>
          <rPr>
            <sz val="9"/>
            <color indexed="81"/>
            <rFont val="Tahoma"/>
            <family val="2"/>
          </rPr>
          <t>DataPointVID 429058_x000D_
DataPointID 429058_x000D_
Metric  =  Contribution to default fund [mi]_x000D_
Base  =  Memorandum items_x000D_
Segment (CCP)  =  &lt;Key value&gt;_x000D_
ID representing combination of user, FMI, system type and intermediary  =  &lt;Key value&gt;</t>
        </r>
      </text>
    </comment>
    <comment ref="G16" authorId="0" shapeId="0">
      <text>
        <r>
          <rPr>
            <sz val="9"/>
            <color indexed="81"/>
            <rFont val="Tahoma"/>
            <family val="2"/>
          </rPr>
          <t>DataPointVID 429061_x000D_
DataPointID 429061_x000D_
Metric  =  Value of positions [mi]_x000D_
Base  =  Memorandum items_x000D_
Segment (CCP)  =  &lt;Key value&gt;_x000D_
ID representing combination of user, FMI, system type and intermediary  =  &lt;Key value&gt;_x000D_
Type of account  =  Proprietary account</t>
        </r>
      </text>
    </comment>
    <comment ref="H16" authorId="0" shapeId="0">
      <text>
        <r>
          <rPr>
            <sz val="9"/>
            <color indexed="81"/>
            <rFont val="Tahoma"/>
            <family val="2"/>
          </rPr>
          <t>DataPointVID 429059_x000D_
DataPointID 429059_x000D_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I16" authorId="0" shapeId="0">
      <text>
        <r>
          <rPr>
            <sz val="9"/>
            <color indexed="81"/>
            <rFont val="Tahoma"/>
            <family val="2"/>
          </rPr>
          <t>DataPointVID 429060_x000D_
DataPointID 429060_x000D_
Metric  =  Value of positions [mi]_x000D_
Base  =  Memorandum items_x000D_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J16" authorId="0" shapeId="0">
      <text>
        <r>
          <rPr>
            <sz val="9"/>
            <color indexed="81"/>
            <rFont val="Tahoma"/>
            <family val="2"/>
          </rPr>
          <t>DataPointVID 423835_x000D_
DataPointID 423835_x000D_
Metric  =  Number of counterparties [ii]_x000D_
Segment (CCP)  =  &lt;Key value&gt;_x000D_
Counterparty nature  =  Client_x000D_
ID representing combination of user, FMI, system type and intermediary  =  &lt;Key value&gt;_x000D_
Type of account  =  Client account.Omnibus account</t>
        </r>
      </text>
    </comment>
    <comment ref="K16" authorId="0" shapeId="0">
      <text>
        <r>
          <rPr>
            <sz val="9"/>
            <color indexed="81"/>
            <rFont val="Tahoma"/>
            <family val="2"/>
          </rPr>
          <t>DataPointVID 423836_x000D_
DataPointID 423836_x000D_
Metric  =  Number of counterparties [ii]_x000D_
Segment (CCP)  =  &lt;Key value&gt;_x000D_
Counterparty nature  =  Client_x000D_
ID representing combination of user, FMI, system type and intermediary  =  &lt;Key value&gt;_x000D_
Type of account  =  Client account.Segregated account</t>
        </r>
      </text>
    </comment>
    <comment ref="L16" authorId="0" shapeId="0">
      <text>
        <r>
          <rPr>
            <sz val="9"/>
            <color indexed="81"/>
            <rFont val="Tahoma"/>
            <family val="2"/>
          </rPr>
          <t>DataPointVID 429062_x000D_
DataPointID 429062_x000D_
Metric  =  Nominal amount of transactions [mi]_x000D_
Segment (CCP)  =  &lt;Key value&gt;_x000D_
ID representing combination of user, FMI, system type and intermediary  =  &lt;Key value&gt;_x000D_
Type of account  =  Proprietary account</t>
        </r>
      </text>
    </comment>
    <comment ref="M16" authorId="0" shapeId="0">
      <text>
        <r>
          <rPr>
            <sz val="9"/>
            <color indexed="81"/>
            <rFont val="Tahoma"/>
            <family val="2"/>
          </rPr>
          <t>DataPointVID 429063_x000D_
DataPointID 429063_x000D_
Metric  =  Nominal amount of transactions [mi]_x000D_
Segment (CCP)  =  &lt;Key value&gt;_x000D_
ID representing combination of user, FMI, system type and intermediary  =  &lt;Key value&gt;_x000D_
Type of account  =  Client account</t>
        </r>
      </text>
    </comment>
    <comment ref="N16" authorId="0" shapeId="0">
      <text>
        <r>
          <rPr>
            <sz val="9"/>
            <color indexed="81"/>
            <rFont val="Tahoma"/>
            <family val="2"/>
          </rPr>
          <t>DataPointVID 424266_x000D_
DataPointID 424266_x000D_
Metric  =  Nominal amount [mi]_x000D_
Base  =  Memorandum items_x000D_
Segment (CCP)  =  &lt;Key value&gt;_x000D_
Counterparty nature  =  FMI, representative institution, other liquidity provider_x000D_
ID representing combination of user, FMI, system type and intermediary  =  &lt;Key value&gt;_x000D_
Main category  =  Loan commitments received</t>
        </r>
      </text>
    </comment>
    <comment ref="O16" authorId="0" shapeId="0">
      <text>
        <r>
          <rPr>
            <sz val="9"/>
            <color indexed="81"/>
            <rFont val="Tahoma"/>
            <family val="2"/>
          </rPr>
          <t>DataPointVID 429064_x000D_
DataPointID 429064_x000D_
Metric  =  Peak amount of intraday liquidity or collateral requirements [mi]_x000D_
Segment (CCP)  =  &lt;Key value&gt;_x000D_
ID representing combination of user, FMI, system type and intermediary  =  &lt;Key value&gt;</t>
        </r>
      </text>
    </comment>
    <comment ref="P16" authorId="0" shapeId="0">
      <text>
        <r>
          <rPr>
            <sz val="9"/>
            <color indexed="81"/>
            <rFont val="Tahoma"/>
            <family val="2"/>
          </rPr>
          <t>DataPointVID 429065_x000D_
DataPointID 429065_x000D_
Metric  =  Estimated amount of additional liquidity or collateral requirements in a stress situation [mi]_x000D_
Segment (CCP)  =  &lt;Key value&gt;_x000D_
ID representing combination of user, FMI, system type and intermediary  =  &lt;Key value&gt;</t>
        </r>
      </text>
    </comment>
    <comment ref="Q16" authorId="0" shapeId="0">
      <text>
        <r>
          <rPr>
            <sz val="9"/>
            <color indexed="81"/>
            <rFont val="Tahoma"/>
            <family val="2"/>
          </rPr>
          <t>DataPointVID 429045_x000D_
DataPointID 429045_x000D_
Metric  =  Reference period for daily averages (first day) [di]_x000D_
Segment (CCP)  =  &lt;Key value&gt;_x000D_
ID representing combination of user, FMI, system type and intermediary  =  &lt;Key value&gt;</t>
        </r>
      </text>
    </comment>
    <comment ref="R16" authorId="0" shapeId="0">
      <text>
        <r>
          <rPr>
            <sz val="9"/>
            <color indexed="81"/>
            <rFont val="Tahoma"/>
            <family val="2"/>
          </rPr>
          <t>DataPointVID 429047_x000D_
DataPointID 429047_x000D_
Metric  =  Reference period for daily averages (last day) [di]_x000D_
Segment (CCP)  =  &lt;Key value&gt;_x000D_
ID representing combination of user, FMI, system type and intermediary  =  &lt;Key value&gt;</t>
        </r>
      </text>
    </comment>
  </commentList>
</comments>
</file>

<file path=xl/sharedStrings.xml><?xml version="1.0" encoding="utf-8"?>
<sst xmlns="http://schemas.openxmlformats.org/spreadsheetml/2006/main" count="362" uniqueCount="147">
  <si>
    <t>T 31.00 - FMI services - Mapping to critical functions</t>
  </si>
  <si>
    <t>Columns</t>
  </si>
  <si>
    <t>ID representing combination of user, system type, FMI and intermediary</t>
  </si>
  <si>
    <t>Critical functions</t>
  </si>
  <si>
    <t>Link (true)</t>
  </si>
  <si>
    <t>Country</t>
  </si>
  <si>
    <t>Critical function ID</t>
  </si>
  <si>
    <t>0010</t>
  </si>
  <si>
    <t>0020</t>
  </si>
  <si>
    <t>0030</t>
  </si>
  <si>
    <t>0040</t>
  </si>
  <si>
    <t>Rows</t>
  </si>
  <si>
    <t>Users, FMIs and intermediaries - critical functions</t>
  </si>
  <si>
    <t>999</t>
  </si>
  <si>
    <t>T 30.00 - FMI services - Providers and users</t>
  </si>
  <si>
    <t>ID representing combination of user, FMI, system type and intermediary</t>
  </si>
  <si>
    <t>User</t>
  </si>
  <si>
    <t>Provider</t>
  </si>
  <si>
    <t>Communication</t>
  </si>
  <si>
    <t>Entity name</t>
  </si>
  <si>
    <t>Entity code</t>
  </si>
  <si>
    <t>FMI</t>
  </si>
  <si>
    <t>Intermediary</t>
  </si>
  <si>
    <t>Main services and governing law</t>
  </si>
  <si>
    <t>Service providers</t>
  </si>
  <si>
    <t>Point of contact(s) at FMI/ intermediary for matters related to resolution of the entity</t>
  </si>
  <si>
    <t>System type</t>
  </si>
  <si>
    <t>FMI name (included in predefined list)</t>
  </si>
  <si>
    <t>FMI name (not included in predefined list)</t>
  </si>
  <si>
    <t>FMI code</t>
  </si>
  <si>
    <t>Participation mode</t>
  </si>
  <si>
    <t>Intermediary name</t>
  </si>
  <si>
    <t>Intermediary code</t>
  </si>
  <si>
    <t>Governing law</t>
  </si>
  <si>
    <t>Currencies relevant for reporting entity</t>
  </si>
  <si>
    <t>Services provided by FMI / representative institution</t>
  </si>
  <si>
    <t>Services provided to FMI / representative institution</t>
  </si>
  <si>
    <t>Comunication service providers</t>
  </si>
  <si>
    <t>Other service providers enabling access to FMI</t>
  </si>
  <si>
    <t>EUR</t>
  </si>
  <si>
    <t>GBP</t>
  </si>
  <si>
    <t>USD</t>
  </si>
  <si>
    <t>CHF</t>
  </si>
  <si>
    <t>JPY</t>
  </si>
  <si>
    <t>Other currencies</t>
  </si>
  <si>
    <t>FMI proprietary</t>
  </si>
  <si>
    <t>SWIFT</t>
  </si>
  <si>
    <t>Other communication service providers (name)</t>
  </si>
  <si>
    <t>Other service providers (name)</t>
  </si>
  <si>
    <t>Services necessary to reporting entity</t>
  </si>
  <si>
    <t>0050</t>
  </si>
  <si>
    <t>0060</t>
  </si>
  <si>
    <t>0070</t>
  </si>
  <si>
    <t>0080</t>
  </si>
  <si>
    <t>0090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</si>
  <si>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</si>
  <si>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</si>
  <si>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</si>
  <si>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</si>
  <si>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</si>
  <si>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</si>
  <si>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</si>
  <si>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</si>
  <si>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</si>
  <si>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</si>
  <si>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</si>
  <si>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</si>
  <si>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</si>
  <si>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</si>
  <si>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</si>
  <si>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</si>
  <si>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Users, FMIs, Intermediaries and System Types</t>
  </si>
  <si>
    <t>T 33.00 - FMI services - Key metrics</t>
  </si>
  <si>
    <t>Segment (only for CCPs)</t>
  </si>
  <si>
    <t>Key metrics</t>
  </si>
  <si>
    <t>Reference period for averages (if different from instructions)</t>
  </si>
  <si>
    <t>Contribution to default fund</t>
  </si>
  <si>
    <t>Value of positions on proprietary accounts</t>
  </si>
  <si>
    <t>Value of positions on client omnibus accounts</t>
  </si>
  <si>
    <t>Value of positions on client segregated accounts</t>
  </si>
  <si>
    <t>Number of clients covered by omnibus accounts</t>
  </si>
  <si>
    <t>Number of clients covered by segregated accounts</t>
  </si>
  <si>
    <t>Value of transactions on proprietary accounts</t>
  </si>
  <si>
    <t>Value of transactions on client accounts</t>
  </si>
  <si>
    <t>Credit line</t>
  </si>
  <si>
    <t>Peak of (intraday) liquidity or collateral requirements</t>
  </si>
  <si>
    <t>Estimated additional liquidity or collateral requirements in a stress situation</t>
  </si>
  <si>
    <t>First day</t>
  </si>
  <si>
    <t>Last day</t>
  </si>
  <si>
    <t>Users, FMIs and intermediaries - Key metrics</t>
  </si>
  <si>
    <t>T 32.00 - FMI services - Mapping to core business lines</t>
  </si>
  <si>
    <t>Core business line</t>
  </si>
  <si>
    <t>Core business line ID</t>
  </si>
  <si>
    <t>Users, FMIs and intermediaries - core business lines</t>
  </si>
  <si>
    <t>Table of Contents</t>
  </si>
  <si>
    <t>SPAIN</t>
  </si>
  <si>
    <t>Banco Santander Totta SA</t>
  </si>
  <si>
    <t>549300URJH9VSI58CS32</t>
  </si>
  <si>
    <t>CCP-Derivatives</t>
  </si>
  <si>
    <t>LCH SA</t>
  </si>
  <si>
    <t>R1IO4YJ0O79SMWVCHB58</t>
  </si>
  <si>
    <t>Indirect</t>
  </si>
  <si>
    <t>Banco Santander, S.A.</t>
  </si>
  <si>
    <t>Execution &amp; Clearing; Securities Settlement</t>
  </si>
  <si>
    <t>liquidity provider; custody</t>
  </si>
  <si>
    <t>Mónica Braga;Technician;00351226158495;monica.braga@lchclearnet.com</t>
  </si>
  <si>
    <t>(I)CSD</t>
  </si>
  <si>
    <t>INTERBOLSA</t>
  </si>
  <si>
    <t>529900LG70TCAGWCXT47</t>
  </si>
  <si>
    <t>Direct</t>
  </si>
  <si>
    <t>PORTUGAL</t>
  </si>
  <si>
    <t>custody</t>
  </si>
  <si>
    <t>Amélia Peralta;Senior Account Manager;00351226158400;amelia.peralta@interbolsa.pt</t>
  </si>
  <si>
    <t>Euroclear Bank</t>
  </si>
  <si>
    <t>549300OZ46BRLZ8Y6F65</t>
  </si>
  <si>
    <t>BELGIUM</t>
  </si>
  <si>
    <t>liquidity provider</t>
  </si>
  <si>
    <t>Bénédicte Brunet;Account Manager;003223262812;comercial.europe@euroclear.com</t>
  </si>
  <si>
    <t>PS</t>
  </si>
  <si>
    <t>EURO 1</t>
  </si>
  <si>
    <t>2549000PZQFZ0TEPB750</t>
  </si>
  <si>
    <t>FRANCE</t>
  </si>
  <si>
    <t>Payment Services</t>
  </si>
  <si>
    <t>Valentina Liva;Account Manager;003226432785</t>
  </si>
  <si>
    <t>SICOI</t>
  </si>
  <si>
    <t>54930037NWG1CCVQHF93</t>
  </si>
  <si>
    <t>liquidity provider; liquidity provider; other (communication)</t>
  </si>
  <si>
    <t>Cristina de Oliveira Martins;Senior Account Manager;00351217813 050;cristina.martins@sibs.pt</t>
  </si>
  <si>
    <t>STEP 2</t>
  </si>
  <si>
    <t>2549000PZQFZ0TEPB751</t>
  </si>
  <si>
    <t>STEP 1</t>
  </si>
  <si>
    <t>2549000PZQFZ0TEPB752</t>
  </si>
  <si>
    <t>TARGET2</t>
  </si>
  <si>
    <t>2549000PZQFZ0TEPB753</t>
  </si>
  <si>
    <t>Lara Fernandes;Head of Divison;lmfernandes@bportugal.pt;00351213130052</t>
  </si>
  <si>
    <t>969500JXZA2VJ64UCM28</t>
  </si>
  <si>
    <t>Carmen Maria Rey Poza;Data Manager Director;cmrey@gruposantander.com;0034625597940</t>
  </si>
  <si>
    <t>4.1 - Capital Markets: Derivatives held for trading - OTC</t>
  </si>
  <si>
    <t>3.6 - Payment, Cash, Settlement, Clearing, Custody: Custody services</t>
  </si>
  <si>
    <t>3.1 - Payment, Cash, Settlement, Clearing, Custody: Payment services to MFIs</t>
  </si>
  <si>
    <t xml:space="preserve">Corporate Investment Banking (CIB) </t>
  </si>
  <si>
    <t>BL04CIB</t>
  </si>
  <si>
    <t xml:space="preserve">Commercial banking - Retail;Commercial banking - SMEs;Commercial banking - Corporate;Corporate Investment Banking (CIB) </t>
  </si>
  <si>
    <t>BL01RET;BL02SME;BL03CORP;BL04CIB</t>
  </si>
  <si>
    <t>2022-01-01</t>
  </si>
  <si>
    <t>2022-12-31</t>
  </si>
  <si>
    <t>3.2 - Payment, Cash, Settlement, Clearing, Custody: Payment services to non-MFIs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</si>
</sst>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Calibri"/>
      <family val="2"/>
      <scheme val="minor"/>
    </font>
    <font>
      <sz val="9"/>
      <color indexed="21"/>
      <name val="Calibri"/>
      <family val="2"/>
      <scheme val="minor"/>
    </font>
    <font>
      <sz val="9"/>
      <color indexed="11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16"/>
      <name val="Calibri"/>
      <family val="2"/>
      <scheme val="minor"/>
    </font>
    <font>
      <sz val="9"/>
      <color indexed="17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8"/>
      <name val="Tahoma"/>
      <family val="2"/>
    </font>
    <font>
      <sz val="9"/>
      <color indexed="29"/>
      <name val="Calibri"/>
      <family val="2"/>
      <scheme val="minor"/>
    </font>
    <font>
      <sz val="9"/>
      <color indexed="25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6" xfId="0" quotePrefix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textRotation="90"/>
    </xf>
    <xf numFmtId="0" fontId="0" fillId="2" borderId="4" xfId="0" applyFill="1" applyBorder="1" applyAlignment="1">
      <alignment horizontal="left" vertical="center" wrapText="1"/>
    </xf>
    <xf numFmtId="0" fontId="0" fillId="2" borderId="6" xfId="0" quotePrefix="1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2" borderId="11" xfId="0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0" fillId="0" borderId="0" xfId="0"/>
    <xf numFmtId="4" fontId="3" fillId="0" borderId="8" xfId="0" applyNumberFormat="1" applyFont="1" applyBorder="1" applyAlignment="1">
      <alignment horizontal="center" vertical="center" wrapText="1"/>
    </xf>
    <xf numFmtId="4" fontId="3" fillId="0" borderId="9" xfId="0" applyNumberFormat="1" applyFont="1" applyBorder="1" applyAlignment="1">
      <alignment horizontal="center" vertical="center" wrapText="1"/>
    </xf>
    <xf numFmtId="0" fontId="14" fillId="0" borderId="0" xfId="0" applyFont="1"/>
    <xf numFmtId="0" fontId="0" fillId="0" borderId="0" xfId="0"/>
    <xf numFmtId="0" fontId="0" fillId="2" borderId="3" xfId="0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10" fontId="0" fillId="0" borderId="0" xfId="1" applyNumberFormat="1" applyFont="1" applyAlignment="1">
      <alignment wrapText="1"/>
    </xf>
    <xf numFmtId="10" fontId="0" fillId="0" borderId="0" xfId="1" applyNumberFormat="1" applyFont="1"/>
    <xf numFmtId="10" fontId="12" fillId="0" borderId="0" xfId="1" applyNumberFormat="1" applyFont="1" applyAlignment="1">
      <alignment horizontal="left" vertical="top" wrapText="1"/>
    </xf>
    <xf numFmtId="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ord_Financeira_Arquivo/9999_12_RESOLUCAO/Resolution%20Pack/BANCO%20DE%20PORTUGAL/FR%202022/2.%20TEMPLATES/FMI/0991_resolfmi_con_20211231_3.1.1_SG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T 30.00"/>
      <sheetName val="T 31.00"/>
      <sheetName val="T 32.00"/>
      <sheetName val="T 33.00"/>
    </sheetNames>
    <sheetDataSet>
      <sheetData sheetId="0"/>
      <sheetData sheetId="1">
        <row r="10">
          <cell r="D10">
            <v>1</v>
          </cell>
        </row>
      </sheetData>
      <sheetData sheetId="2">
        <row r="8">
          <cell r="D8">
            <v>1</v>
          </cell>
        </row>
      </sheetData>
      <sheetData sheetId="3">
        <row r="7">
          <cell r="D7">
            <v>1</v>
          </cell>
        </row>
      </sheetData>
      <sheetData sheetId="4">
        <row r="8">
          <cell r="D8">
            <v>1</v>
          </cell>
          <cell r="E8" t="str">
            <v>Derivatives</v>
          </cell>
          <cell r="F8">
            <v>0</v>
          </cell>
        </row>
        <row r="9">
          <cell r="D9">
            <v>2</v>
          </cell>
          <cell r="E9" t="str">
            <v>NA</v>
          </cell>
          <cell r="F9">
            <v>0</v>
          </cell>
        </row>
        <row r="10">
          <cell r="D10">
            <v>3</v>
          </cell>
          <cell r="E10" t="str">
            <v>NA</v>
          </cell>
          <cell r="F10">
            <v>0</v>
          </cell>
        </row>
        <row r="11">
          <cell r="D11">
            <v>4</v>
          </cell>
          <cell r="E11" t="str">
            <v>NA</v>
          </cell>
          <cell r="F11">
            <v>0</v>
          </cell>
        </row>
        <row r="12">
          <cell r="D12">
            <v>5</v>
          </cell>
          <cell r="E12" t="str">
            <v>NA</v>
          </cell>
          <cell r="F12">
            <v>0</v>
          </cell>
        </row>
        <row r="13">
          <cell r="D13">
            <v>6</v>
          </cell>
          <cell r="E13" t="str">
            <v>NA</v>
          </cell>
          <cell r="F13">
            <v>0</v>
          </cell>
        </row>
        <row r="14">
          <cell r="D14">
            <v>7</v>
          </cell>
          <cell r="E14" t="str">
            <v>NA</v>
          </cell>
          <cell r="F14">
            <v>0</v>
          </cell>
        </row>
        <row r="15">
          <cell r="D15">
            <v>8</v>
          </cell>
          <cell r="E15" t="str">
            <v>NA</v>
          </cell>
          <cell r="F15">
            <v>0</v>
          </cell>
        </row>
        <row r="16">
          <cell r="D16">
            <v>9</v>
          </cell>
          <cell r="E16" t="str">
            <v>NA</v>
          </cell>
          <cell r="F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"/>
  <sheetViews>
    <sheetView workbookViewId="0">
      <selection sqref="A1:C1"/>
    </sheetView>
  </sheetViews>
  <sheetFormatPr defaultRowHeight="15" x14ac:dyDescent="0.25"/>
  <sheetData>
    <row r="1" spans="1:3" ht="19.5" x14ac:dyDescent="0.3">
      <c r="A1" s="25" t="s">
        <v>94</v>
      </c>
      <c r="B1" s="26"/>
      <c r="C1" s="26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F18"/>
  <sheetViews>
    <sheetView topLeftCell="A9" workbookViewId="0">
      <selection activeCell="AB18" sqref="D10:AB18"/>
    </sheetView>
  </sheetViews>
  <sheetFormatPr defaultRowHeight="15" x14ac:dyDescent="0.25"/>
  <cols>
    <col min="1" max="1" width="5.7109375" customWidth="1"/>
    <col min="2" max="2" width="38.5703125" bestFit="1" customWidth="1"/>
    <col min="3" max="3" width="4" bestFit="1" customWidth="1"/>
    <col min="4" max="28" width="20.7109375" customWidth="1"/>
    <col min="29" max="29" width="22.42578125" bestFit="1" customWidth="1"/>
    <col min="30" max="31" width="25.7109375" customWidth="1"/>
    <col min="32" max="32" width="23.5703125" bestFit="1" customWidth="1"/>
  </cols>
  <sheetData>
    <row r="1" spans="1:32" ht="14.45" customHeight="1" x14ac:dyDescent="0.25">
      <c r="A1" s="30" t="s">
        <v>14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1"/>
      <c r="AD1" s="1"/>
      <c r="AE1" s="1"/>
      <c r="AF1" s="1"/>
    </row>
    <row r="2" spans="1:32" ht="14.45" customHeight="1" x14ac:dyDescent="0.25">
      <c r="AC2" s="1"/>
      <c r="AD2" s="1"/>
      <c r="AE2" s="1"/>
      <c r="AF2" s="1"/>
    </row>
    <row r="3" spans="1:32" ht="14.45" customHeight="1" x14ac:dyDescent="0.25">
      <c r="AC3" s="1"/>
      <c r="AD3" s="1"/>
      <c r="AE3" s="1"/>
      <c r="AF3" s="1"/>
    </row>
    <row r="4" spans="1:32" ht="14.45" customHeight="1" x14ac:dyDescent="0.25">
      <c r="D4" s="32" t="s">
        <v>1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1"/>
      <c r="AD4" s="1"/>
      <c r="AE4" s="1"/>
      <c r="AF4" s="1"/>
    </row>
    <row r="5" spans="1:32" ht="57.6" customHeight="1" x14ac:dyDescent="0.25">
      <c r="D5" s="2" t="s">
        <v>15</v>
      </c>
      <c r="E5" s="27" t="s">
        <v>16</v>
      </c>
      <c r="F5" s="29"/>
      <c r="G5" s="27" t="s">
        <v>17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9"/>
      <c r="AB5" s="4" t="s">
        <v>18</v>
      </c>
      <c r="AC5" s="1"/>
      <c r="AD5" s="1"/>
      <c r="AE5" s="1"/>
      <c r="AF5" s="1"/>
    </row>
    <row r="6" spans="1:32" ht="57.6" customHeight="1" x14ac:dyDescent="0.25">
      <c r="D6" s="15"/>
      <c r="E6" s="2" t="s">
        <v>19</v>
      </c>
      <c r="F6" s="2" t="s">
        <v>20</v>
      </c>
      <c r="G6" s="27" t="s">
        <v>21</v>
      </c>
      <c r="H6" s="28"/>
      <c r="I6" s="28"/>
      <c r="J6" s="28"/>
      <c r="K6" s="29"/>
      <c r="L6" s="27" t="s">
        <v>22</v>
      </c>
      <c r="M6" s="29"/>
      <c r="N6" s="27" t="s">
        <v>23</v>
      </c>
      <c r="O6" s="28"/>
      <c r="P6" s="28"/>
      <c r="Q6" s="28"/>
      <c r="R6" s="28"/>
      <c r="S6" s="28"/>
      <c r="T6" s="28"/>
      <c r="U6" s="28"/>
      <c r="V6" s="29"/>
      <c r="W6" s="27" t="s">
        <v>24</v>
      </c>
      <c r="X6" s="28"/>
      <c r="Y6" s="28"/>
      <c r="Z6" s="28"/>
      <c r="AA6" s="29"/>
      <c r="AB6" s="2" t="s">
        <v>25</v>
      </c>
      <c r="AC6" s="1"/>
      <c r="AD6" s="1"/>
      <c r="AE6" s="1"/>
      <c r="AF6" s="1"/>
    </row>
    <row r="7" spans="1:32" ht="43.15" customHeight="1" x14ac:dyDescent="0.25">
      <c r="D7" s="15"/>
      <c r="E7" s="15"/>
      <c r="F7" s="15"/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2" t="s">
        <v>32</v>
      </c>
      <c r="N7" s="2" t="s">
        <v>33</v>
      </c>
      <c r="O7" s="27" t="s">
        <v>34</v>
      </c>
      <c r="P7" s="28"/>
      <c r="Q7" s="28"/>
      <c r="R7" s="28"/>
      <c r="S7" s="28"/>
      <c r="T7" s="29"/>
      <c r="U7" s="2" t="s">
        <v>35</v>
      </c>
      <c r="V7" s="2" t="s">
        <v>36</v>
      </c>
      <c r="W7" s="27" t="s">
        <v>37</v>
      </c>
      <c r="X7" s="28"/>
      <c r="Y7" s="29"/>
      <c r="Z7" s="27" t="s">
        <v>38</v>
      </c>
      <c r="AA7" s="29"/>
      <c r="AB7" s="15"/>
    </row>
    <row r="8" spans="1:32" ht="43.15" customHeight="1" x14ac:dyDescent="0.25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 t="s">
        <v>39</v>
      </c>
      <c r="P8" s="4" t="s">
        <v>40</v>
      </c>
      <c r="Q8" s="4" t="s">
        <v>41</v>
      </c>
      <c r="R8" s="4" t="s">
        <v>42</v>
      </c>
      <c r="S8" s="4" t="s">
        <v>43</v>
      </c>
      <c r="T8" s="4" t="s">
        <v>44</v>
      </c>
      <c r="U8" s="3"/>
      <c r="V8" s="3"/>
      <c r="W8" s="4" t="s">
        <v>45</v>
      </c>
      <c r="X8" s="4" t="s">
        <v>46</v>
      </c>
      <c r="Y8" s="4" t="s">
        <v>47</v>
      </c>
      <c r="Z8" s="4" t="s">
        <v>48</v>
      </c>
      <c r="AA8" s="4" t="s">
        <v>49</v>
      </c>
      <c r="AB8" s="3"/>
    </row>
    <row r="9" spans="1:32" ht="15" customHeight="1" thickBot="1" x14ac:dyDescent="0.3">
      <c r="D9" s="5" t="s">
        <v>7</v>
      </c>
      <c r="E9" s="5" t="s">
        <v>8</v>
      </c>
      <c r="F9" s="5" t="s">
        <v>9</v>
      </c>
      <c r="G9" s="5" t="s">
        <v>10</v>
      </c>
      <c r="H9" s="5" t="s">
        <v>50</v>
      </c>
      <c r="I9" s="5" t="s">
        <v>51</v>
      </c>
      <c r="J9" s="5" t="s">
        <v>52</v>
      </c>
      <c r="K9" s="5" t="s">
        <v>53</v>
      </c>
      <c r="L9" s="5" t="s">
        <v>54</v>
      </c>
      <c r="M9" s="5" t="s">
        <v>55</v>
      </c>
      <c r="N9" s="5" t="s">
        <v>56</v>
      </c>
      <c r="O9" s="5" t="s">
        <v>57</v>
      </c>
      <c r="P9" s="5" t="s">
        <v>58</v>
      </c>
      <c r="Q9" s="5" t="s">
        <v>59</v>
      </c>
      <c r="R9" s="5" t="s">
        <v>60</v>
      </c>
      <c r="S9" s="5" t="s">
        <v>61</v>
      </c>
      <c r="T9" s="5" t="s">
        <v>62</v>
      </c>
      <c r="U9" s="5" t="s">
        <v>63</v>
      </c>
      <c r="V9" s="5" t="s">
        <v>64</v>
      </c>
      <c r="W9" s="5" t="s">
        <v>65</v>
      </c>
      <c r="X9" s="5" t="s">
        <v>66</v>
      </c>
      <c r="Y9" s="5" t="s">
        <v>67</v>
      </c>
      <c r="Z9" s="5" t="s">
        <v>68</v>
      </c>
      <c r="AA9" s="5" t="s">
        <v>69</v>
      </c>
      <c r="AB9" s="5" t="s">
        <v>70</v>
      </c>
      <c r="AC9" s="1"/>
      <c r="AD9" s="1"/>
      <c r="AE9" s="1"/>
      <c r="AF9" s="1"/>
    </row>
    <row r="10" spans="1:32" ht="30" customHeight="1" thickBot="1" x14ac:dyDescent="0.3">
      <c r="A10" s="6" t="s">
        <v>11</v>
      </c>
      <c r="B10" s="7" t="s">
        <v>71</v>
      </c>
      <c r="C10" s="8" t="s">
        <v>13</v>
      </c>
      <c r="D10" s="9">
        <v>1</v>
      </c>
      <c r="E10" s="10" t="s">
        <v>96</v>
      </c>
      <c r="F10" s="10" t="s">
        <v>97</v>
      </c>
      <c r="G10" s="10" t="s">
        <v>98</v>
      </c>
      <c r="H10" s="10" t="s">
        <v>99</v>
      </c>
      <c r="I10" s="10">
        <v>0</v>
      </c>
      <c r="J10" s="10" t="s">
        <v>100</v>
      </c>
      <c r="K10" s="10" t="s">
        <v>101</v>
      </c>
      <c r="L10" s="10" t="s">
        <v>102</v>
      </c>
      <c r="M10" s="16">
        <v>0</v>
      </c>
      <c r="N10" s="10" t="s">
        <v>95</v>
      </c>
      <c r="O10" s="10" t="b">
        <v>1</v>
      </c>
      <c r="P10" s="10" t="b">
        <v>0</v>
      </c>
      <c r="Q10" s="10" t="b">
        <v>0</v>
      </c>
      <c r="R10" s="10" t="b">
        <v>0</v>
      </c>
      <c r="S10" s="10" t="b">
        <v>0</v>
      </c>
      <c r="T10" s="10" t="b">
        <v>0</v>
      </c>
      <c r="U10" s="10" t="s">
        <v>103</v>
      </c>
      <c r="V10" s="10" t="s">
        <v>104</v>
      </c>
      <c r="W10" s="10" t="b">
        <v>1</v>
      </c>
      <c r="X10" s="10" t="b">
        <v>0</v>
      </c>
      <c r="Y10" s="10" t="b">
        <v>0</v>
      </c>
      <c r="Z10" s="10">
        <v>0</v>
      </c>
      <c r="AA10" s="10">
        <v>0</v>
      </c>
      <c r="AB10" s="11" t="s">
        <v>105</v>
      </c>
      <c r="AC10" s="17"/>
      <c r="AD10" s="18"/>
      <c r="AE10" s="19"/>
      <c r="AF10" s="20"/>
    </row>
    <row r="11" spans="1:32" ht="60.75" thickBot="1" x14ac:dyDescent="0.3">
      <c r="C11" s="8" t="s">
        <v>13</v>
      </c>
      <c r="D11" s="9">
        <v>2</v>
      </c>
      <c r="E11" s="10" t="s">
        <v>96</v>
      </c>
      <c r="F11" s="10" t="s">
        <v>97</v>
      </c>
      <c r="G11" s="10" t="s">
        <v>106</v>
      </c>
      <c r="H11" s="10" t="s">
        <v>107</v>
      </c>
      <c r="I11" s="10">
        <v>0</v>
      </c>
      <c r="J11" s="10" t="s">
        <v>108</v>
      </c>
      <c r="K11" s="10" t="s">
        <v>109</v>
      </c>
      <c r="L11" s="10">
        <v>0</v>
      </c>
      <c r="M11" s="16">
        <v>0</v>
      </c>
      <c r="N11" s="10" t="s">
        <v>110</v>
      </c>
      <c r="O11" s="10" t="b">
        <v>1</v>
      </c>
      <c r="P11" s="10" t="b">
        <v>0</v>
      </c>
      <c r="Q11" s="10" t="b">
        <v>0</v>
      </c>
      <c r="R11" s="10" t="b">
        <v>0</v>
      </c>
      <c r="S11" s="10" t="b">
        <v>0</v>
      </c>
      <c r="T11" s="10" t="b">
        <v>0</v>
      </c>
      <c r="U11" s="10" t="s">
        <v>103</v>
      </c>
      <c r="V11" s="10" t="s">
        <v>111</v>
      </c>
      <c r="W11" s="10" t="b">
        <v>1</v>
      </c>
      <c r="X11" s="10" t="b">
        <v>0</v>
      </c>
      <c r="Y11" s="10" t="b">
        <v>0</v>
      </c>
      <c r="Z11" s="10">
        <v>0</v>
      </c>
      <c r="AA11" s="10">
        <v>0</v>
      </c>
      <c r="AB11" s="11" t="s">
        <v>112</v>
      </c>
    </row>
    <row r="12" spans="1:32" ht="60.75" thickBot="1" x14ac:dyDescent="0.3">
      <c r="C12" s="8" t="s">
        <v>13</v>
      </c>
      <c r="D12" s="9">
        <v>3</v>
      </c>
      <c r="E12" s="10" t="s">
        <v>96</v>
      </c>
      <c r="F12" s="10" t="s">
        <v>97</v>
      </c>
      <c r="G12" s="10" t="s">
        <v>106</v>
      </c>
      <c r="H12" s="10" t="s">
        <v>113</v>
      </c>
      <c r="I12" s="10">
        <v>0</v>
      </c>
      <c r="J12" s="10" t="s">
        <v>114</v>
      </c>
      <c r="K12" s="10" t="s">
        <v>109</v>
      </c>
      <c r="L12" s="10">
        <v>0</v>
      </c>
      <c r="M12" s="16">
        <v>0</v>
      </c>
      <c r="N12" s="10" t="s">
        <v>115</v>
      </c>
      <c r="O12" s="10" t="b">
        <v>1</v>
      </c>
      <c r="P12" s="10" t="b">
        <v>0</v>
      </c>
      <c r="Q12" s="10" t="b">
        <v>0</v>
      </c>
      <c r="R12" s="10" t="b">
        <v>0</v>
      </c>
      <c r="S12" s="10" t="b">
        <v>0</v>
      </c>
      <c r="T12" s="10" t="b">
        <v>0</v>
      </c>
      <c r="U12" s="10" t="s">
        <v>103</v>
      </c>
      <c r="V12" s="10" t="s">
        <v>116</v>
      </c>
      <c r="W12" s="10" t="b">
        <v>1</v>
      </c>
      <c r="X12" s="10" t="b">
        <v>0</v>
      </c>
      <c r="Y12" s="10" t="b">
        <v>0</v>
      </c>
      <c r="Z12" s="10">
        <v>0</v>
      </c>
      <c r="AA12" s="10">
        <v>0</v>
      </c>
      <c r="AB12" s="11" t="s">
        <v>117</v>
      </c>
    </row>
    <row r="13" spans="1:32" ht="24.75" thickBot="1" x14ac:dyDescent="0.3">
      <c r="C13" s="8" t="s">
        <v>13</v>
      </c>
      <c r="D13" s="9">
        <v>4</v>
      </c>
      <c r="E13" s="10" t="s">
        <v>96</v>
      </c>
      <c r="F13" s="10" t="s">
        <v>97</v>
      </c>
      <c r="G13" s="10" t="s">
        <v>118</v>
      </c>
      <c r="H13" s="10" t="s">
        <v>119</v>
      </c>
      <c r="I13" s="10">
        <v>0</v>
      </c>
      <c r="J13" s="10" t="s">
        <v>120</v>
      </c>
      <c r="K13" s="10" t="s">
        <v>109</v>
      </c>
      <c r="L13" s="10">
        <v>0</v>
      </c>
      <c r="M13" s="16">
        <v>0</v>
      </c>
      <c r="N13" s="10" t="s">
        <v>121</v>
      </c>
      <c r="O13" s="10" t="b">
        <v>1</v>
      </c>
      <c r="P13" s="10" t="b">
        <v>0</v>
      </c>
      <c r="Q13" s="10" t="b">
        <v>0</v>
      </c>
      <c r="R13" s="10" t="b">
        <v>0</v>
      </c>
      <c r="S13" s="10" t="b">
        <v>0</v>
      </c>
      <c r="T13" s="10" t="b">
        <v>0</v>
      </c>
      <c r="U13" s="10" t="s">
        <v>122</v>
      </c>
      <c r="V13" s="10" t="s">
        <v>116</v>
      </c>
      <c r="W13" s="10" t="b">
        <v>1</v>
      </c>
      <c r="X13" s="10" t="b">
        <v>0</v>
      </c>
      <c r="Y13" s="10" t="b">
        <v>0</v>
      </c>
      <c r="Z13" s="10">
        <v>0</v>
      </c>
      <c r="AA13" s="10">
        <v>0</v>
      </c>
      <c r="AB13" s="11" t="s">
        <v>123</v>
      </c>
    </row>
    <row r="14" spans="1:32" ht="60.75" thickBot="1" x14ac:dyDescent="0.3">
      <c r="C14" s="8" t="s">
        <v>13</v>
      </c>
      <c r="D14" s="9">
        <v>5</v>
      </c>
      <c r="E14" s="10" t="s">
        <v>96</v>
      </c>
      <c r="F14" s="10" t="s">
        <v>97</v>
      </c>
      <c r="G14" s="10" t="s">
        <v>118</v>
      </c>
      <c r="H14" s="10" t="s">
        <v>124</v>
      </c>
      <c r="I14" s="10">
        <v>0</v>
      </c>
      <c r="J14" s="10" t="s">
        <v>125</v>
      </c>
      <c r="K14" s="10" t="s">
        <v>109</v>
      </c>
      <c r="L14" s="10">
        <v>0</v>
      </c>
      <c r="M14" s="16">
        <v>0</v>
      </c>
      <c r="N14" s="10" t="s">
        <v>110</v>
      </c>
      <c r="O14" s="10" t="b">
        <v>1</v>
      </c>
      <c r="P14" s="10" t="b">
        <v>0</v>
      </c>
      <c r="Q14" s="10" t="b">
        <v>0</v>
      </c>
      <c r="R14" s="10" t="b">
        <v>0</v>
      </c>
      <c r="S14" s="10" t="b">
        <v>0</v>
      </c>
      <c r="T14" s="10" t="b">
        <v>0</v>
      </c>
      <c r="U14" s="10" t="s">
        <v>122</v>
      </c>
      <c r="V14" s="10" t="s">
        <v>126</v>
      </c>
      <c r="W14" s="10" t="b">
        <v>1</v>
      </c>
      <c r="X14" s="10" t="b">
        <v>0</v>
      </c>
      <c r="Y14" s="10" t="b">
        <v>0</v>
      </c>
      <c r="Z14" s="10">
        <v>0</v>
      </c>
      <c r="AA14" s="10">
        <v>0</v>
      </c>
      <c r="AB14" s="11" t="s">
        <v>127</v>
      </c>
    </row>
    <row r="15" spans="1:32" ht="24.75" thickBot="1" x14ac:dyDescent="0.3">
      <c r="C15" s="8" t="s">
        <v>13</v>
      </c>
      <c r="D15" s="9">
        <v>6</v>
      </c>
      <c r="E15" s="10" t="s">
        <v>96</v>
      </c>
      <c r="F15" s="10" t="s">
        <v>97</v>
      </c>
      <c r="G15" s="10" t="s">
        <v>118</v>
      </c>
      <c r="H15" s="10" t="s">
        <v>128</v>
      </c>
      <c r="I15" s="10">
        <v>0</v>
      </c>
      <c r="J15" s="10" t="s">
        <v>129</v>
      </c>
      <c r="K15" s="10" t="s">
        <v>109</v>
      </c>
      <c r="L15" s="10">
        <v>0</v>
      </c>
      <c r="M15" s="16">
        <v>0</v>
      </c>
      <c r="N15" s="10" t="s">
        <v>121</v>
      </c>
      <c r="O15" s="10" t="b">
        <v>1</v>
      </c>
      <c r="P15" s="10" t="b">
        <v>0</v>
      </c>
      <c r="Q15" s="10" t="b">
        <v>0</v>
      </c>
      <c r="R15" s="10" t="b">
        <v>0</v>
      </c>
      <c r="S15" s="10" t="b">
        <v>0</v>
      </c>
      <c r="T15" s="10" t="b">
        <v>0</v>
      </c>
      <c r="U15" s="10" t="s">
        <v>122</v>
      </c>
      <c r="V15" s="10" t="s">
        <v>116</v>
      </c>
      <c r="W15" s="10" t="b">
        <v>1</v>
      </c>
      <c r="X15" s="10" t="b">
        <v>0</v>
      </c>
      <c r="Y15" s="10" t="b">
        <v>0</v>
      </c>
      <c r="Z15" s="10">
        <v>0</v>
      </c>
      <c r="AA15" s="10">
        <v>0</v>
      </c>
      <c r="AB15" s="11" t="s">
        <v>123</v>
      </c>
    </row>
    <row r="16" spans="1:32" ht="24.75" thickBot="1" x14ac:dyDescent="0.3">
      <c r="C16" s="8" t="s">
        <v>13</v>
      </c>
      <c r="D16" s="9">
        <v>7</v>
      </c>
      <c r="E16" s="10" t="s">
        <v>96</v>
      </c>
      <c r="F16" s="10" t="s">
        <v>97</v>
      </c>
      <c r="G16" s="10" t="s">
        <v>118</v>
      </c>
      <c r="H16" s="10" t="s">
        <v>130</v>
      </c>
      <c r="I16" s="10">
        <v>0</v>
      </c>
      <c r="J16" s="10" t="s">
        <v>131</v>
      </c>
      <c r="K16" s="10" t="s">
        <v>109</v>
      </c>
      <c r="L16" s="10">
        <v>0</v>
      </c>
      <c r="M16" s="16">
        <v>0</v>
      </c>
      <c r="N16" s="10" t="s">
        <v>121</v>
      </c>
      <c r="O16" s="10" t="b">
        <v>1</v>
      </c>
      <c r="P16" s="10" t="b">
        <v>0</v>
      </c>
      <c r="Q16" s="10" t="b">
        <v>0</v>
      </c>
      <c r="R16" s="10" t="b">
        <v>0</v>
      </c>
      <c r="S16" s="10" t="b">
        <v>0</v>
      </c>
      <c r="T16" s="10" t="b">
        <v>0</v>
      </c>
      <c r="U16" s="10" t="s">
        <v>122</v>
      </c>
      <c r="V16" s="10" t="s">
        <v>116</v>
      </c>
      <c r="W16" s="10" t="b">
        <v>1</v>
      </c>
      <c r="X16" s="10" t="b">
        <v>0</v>
      </c>
      <c r="Y16" s="10" t="b">
        <v>0</v>
      </c>
      <c r="Z16" s="10">
        <v>0</v>
      </c>
      <c r="AA16" s="10">
        <v>0</v>
      </c>
      <c r="AB16" s="11" t="s">
        <v>123</v>
      </c>
    </row>
    <row r="17" spans="3:28" ht="48.75" thickBot="1" x14ac:dyDescent="0.3">
      <c r="C17" s="8" t="s">
        <v>13</v>
      </c>
      <c r="D17" s="9">
        <v>8</v>
      </c>
      <c r="E17" s="10" t="s">
        <v>96</v>
      </c>
      <c r="F17" s="10" t="s">
        <v>97</v>
      </c>
      <c r="G17" s="10" t="s">
        <v>118</v>
      </c>
      <c r="H17" s="10" t="s">
        <v>132</v>
      </c>
      <c r="I17" s="10">
        <v>0</v>
      </c>
      <c r="J17" s="10" t="s">
        <v>133</v>
      </c>
      <c r="K17" s="10" t="s">
        <v>109</v>
      </c>
      <c r="L17" s="10">
        <v>0</v>
      </c>
      <c r="M17" s="16">
        <v>0</v>
      </c>
      <c r="N17" s="10" t="s">
        <v>110</v>
      </c>
      <c r="O17" s="10" t="b">
        <v>1</v>
      </c>
      <c r="P17" s="10" t="b">
        <v>0</v>
      </c>
      <c r="Q17" s="10" t="b">
        <v>0</v>
      </c>
      <c r="R17" s="10" t="b">
        <v>0</v>
      </c>
      <c r="S17" s="10" t="b">
        <v>0</v>
      </c>
      <c r="T17" s="10" t="b">
        <v>0</v>
      </c>
      <c r="U17" s="10" t="s">
        <v>122</v>
      </c>
      <c r="V17" s="10" t="s">
        <v>116</v>
      </c>
      <c r="W17" s="10" t="b">
        <v>1</v>
      </c>
      <c r="X17" s="10" t="b">
        <v>0</v>
      </c>
      <c r="Y17" s="10" t="b">
        <v>0</v>
      </c>
      <c r="Z17" s="10">
        <v>0</v>
      </c>
      <c r="AA17" s="10">
        <v>0</v>
      </c>
      <c r="AB17" s="11" t="s">
        <v>134</v>
      </c>
    </row>
    <row r="18" spans="3:28" ht="60.75" thickBot="1" x14ac:dyDescent="0.3">
      <c r="C18" s="8" t="s">
        <v>13</v>
      </c>
      <c r="D18" s="9">
        <v>9</v>
      </c>
      <c r="E18" s="10" t="s">
        <v>96</v>
      </c>
      <c r="F18" s="10" t="s">
        <v>97</v>
      </c>
      <c r="G18" s="10" t="s">
        <v>118</v>
      </c>
      <c r="H18" s="10" t="s">
        <v>132</v>
      </c>
      <c r="I18" s="10">
        <v>0</v>
      </c>
      <c r="J18" s="10" t="s">
        <v>135</v>
      </c>
      <c r="K18" s="10" t="s">
        <v>101</v>
      </c>
      <c r="L18" s="10" t="s">
        <v>102</v>
      </c>
      <c r="M18" s="16">
        <v>0</v>
      </c>
      <c r="N18" s="10" t="s">
        <v>95</v>
      </c>
      <c r="O18" s="10" t="b">
        <v>0</v>
      </c>
      <c r="P18" s="10" t="b">
        <v>1</v>
      </c>
      <c r="Q18" s="10" t="b">
        <v>1</v>
      </c>
      <c r="R18" s="10" t="b">
        <v>0</v>
      </c>
      <c r="S18" s="10" t="b">
        <v>0</v>
      </c>
      <c r="T18" s="10" t="b">
        <v>0</v>
      </c>
      <c r="U18" s="10" t="s">
        <v>122</v>
      </c>
      <c r="V18" s="10" t="s">
        <v>116</v>
      </c>
      <c r="W18" s="10" t="b">
        <v>0</v>
      </c>
      <c r="X18" s="10" t="b">
        <v>1</v>
      </c>
      <c r="Y18" s="10" t="b">
        <v>0</v>
      </c>
      <c r="Z18" s="10">
        <v>0</v>
      </c>
      <c r="AA18" s="10">
        <v>0</v>
      </c>
      <c r="AB18" s="11" t="s">
        <v>136</v>
      </c>
    </row>
  </sheetData>
  <mergeCells count="11">
    <mergeCell ref="O7:T7"/>
    <mergeCell ref="W7:Y7"/>
    <mergeCell ref="Z7:AA7"/>
    <mergeCell ref="A1:AB1"/>
    <mergeCell ref="D4:AB4"/>
    <mergeCell ref="E5:F5"/>
    <mergeCell ref="G5:AA5"/>
    <mergeCell ref="G6:K6"/>
    <mergeCell ref="L6:M6"/>
    <mergeCell ref="N6:V6"/>
    <mergeCell ref="W6:AA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34"/>
  <sheetViews>
    <sheetView topLeftCell="C25" workbookViewId="0">
      <selection activeCell="F29" sqref="F29:F34"/>
    </sheetView>
  </sheetViews>
  <sheetFormatPr defaultRowHeight="15" x14ac:dyDescent="0.25"/>
  <cols>
    <col min="1" max="1" width="5.7109375" customWidth="1"/>
    <col min="2" max="2" width="41.7109375" customWidth="1"/>
    <col min="3" max="3" width="4" bestFit="1" customWidth="1"/>
    <col min="4" max="7" width="20.7109375" customWidth="1"/>
    <col min="8" max="10" width="25.7109375" customWidth="1"/>
  </cols>
  <sheetData>
    <row r="1" spans="1:10" ht="14.45" customHeight="1" x14ac:dyDescent="0.25">
      <c r="A1" s="30" t="s">
        <v>0</v>
      </c>
      <c r="B1" s="31"/>
      <c r="C1" s="31"/>
      <c r="D1" s="31"/>
      <c r="E1" s="31"/>
      <c r="F1" s="31"/>
      <c r="G1" s="31"/>
      <c r="H1" s="1"/>
      <c r="I1" s="1"/>
      <c r="J1" s="1"/>
    </row>
    <row r="2" spans="1:10" ht="14.45" customHeight="1" x14ac:dyDescent="0.25">
      <c r="H2" s="1"/>
      <c r="I2" s="1"/>
      <c r="J2" s="1"/>
    </row>
    <row r="3" spans="1:10" ht="14.45" customHeight="1" x14ac:dyDescent="0.25">
      <c r="H3" s="1"/>
      <c r="I3" s="1"/>
      <c r="J3" s="1"/>
    </row>
    <row r="4" spans="1:10" ht="14.45" customHeight="1" x14ac:dyDescent="0.25">
      <c r="D4" s="32" t="s">
        <v>1</v>
      </c>
      <c r="E4" s="32"/>
      <c r="F4" s="32"/>
      <c r="G4" s="32"/>
      <c r="H4" s="1"/>
      <c r="I4" s="1"/>
      <c r="J4" s="1"/>
    </row>
    <row r="5" spans="1:10" ht="57.6" customHeight="1" x14ac:dyDescent="0.25">
      <c r="D5" s="2" t="s">
        <v>2</v>
      </c>
      <c r="E5" s="27" t="s">
        <v>3</v>
      </c>
      <c r="F5" s="29"/>
      <c r="G5" s="2" t="s">
        <v>4</v>
      </c>
    </row>
    <row r="6" spans="1:10" ht="14.45" customHeight="1" x14ac:dyDescent="0.25">
      <c r="D6" s="3"/>
      <c r="E6" s="4" t="s">
        <v>5</v>
      </c>
      <c r="F6" s="4" t="s">
        <v>6</v>
      </c>
      <c r="G6" s="3"/>
    </row>
    <row r="7" spans="1:10" ht="15" customHeight="1" thickBot="1" x14ac:dyDescent="0.3">
      <c r="D7" s="5" t="s">
        <v>7</v>
      </c>
      <c r="E7" s="5" t="s">
        <v>8</v>
      </c>
      <c r="F7" s="5" t="s">
        <v>9</v>
      </c>
      <c r="G7" s="5" t="s">
        <v>10</v>
      </c>
      <c r="H7" s="1"/>
      <c r="I7" s="1"/>
      <c r="J7" s="1"/>
    </row>
    <row r="8" spans="1:10" ht="30" customHeight="1" thickBot="1" x14ac:dyDescent="0.3">
      <c r="A8" s="6" t="s">
        <v>11</v>
      </c>
      <c r="B8" s="7" t="s">
        <v>12</v>
      </c>
      <c r="C8" s="8" t="s">
        <v>13</v>
      </c>
      <c r="D8" s="9">
        <v>1</v>
      </c>
      <c r="E8" s="10" t="s">
        <v>110</v>
      </c>
      <c r="F8" s="10" t="s">
        <v>137</v>
      </c>
      <c r="G8" s="11" t="b">
        <v>1</v>
      </c>
      <c r="H8" s="12"/>
      <c r="I8" s="13"/>
      <c r="J8" s="14"/>
    </row>
    <row r="9" spans="1:10" ht="48.75" thickBot="1" x14ac:dyDescent="0.3">
      <c r="C9" s="8" t="s">
        <v>13</v>
      </c>
      <c r="D9" s="9">
        <v>2</v>
      </c>
      <c r="E9" s="10" t="s">
        <v>110</v>
      </c>
      <c r="F9" s="10" t="s">
        <v>138</v>
      </c>
      <c r="G9" s="11" t="b">
        <v>1</v>
      </c>
    </row>
    <row r="10" spans="1:10" ht="48.75" thickBot="1" x14ac:dyDescent="0.3">
      <c r="C10" s="8" t="s">
        <v>13</v>
      </c>
      <c r="D10" s="9">
        <v>3</v>
      </c>
      <c r="E10" s="10" t="s">
        <v>110</v>
      </c>
      <c r="F10" s="10" t="s">
        <v>138</v>
      </c>
      <c r="G10" s="11" t="b">
        <v>1</v>
      </c>
    </row>
    <row r="11" spans="1:10" ht="48.75" thickBot="1" x14ac:dyDescent="0.3">
      <c r="C11" s="8" t="s">
        <v>13</v>
      </c>
      <c r="D11" s="9">
        <v>4</v>
      </c>
      <c r="E11" s="10" t="s">
        <v>110</v>
      </c>
      <c r="F11" s="10" t="s">
        <v>139</v>
      </c>
      <c r="G11" s="11" t="b">
        <v>1</v>
      </c>
    </row>
    <row r="12" spans="1:10" ht="48.75" thickBot="1" x14ac:dyDescent="0.3">
      <c r="C12" s="8" t="s">
        <v>13</v>
      </c>
      <c r="D12" s="9">
        <v>5</v>
      </c>
      <c r="E12" s="10" t="s">
        <v>110</v>
      </c>
      <c r="F12" s="10" t="s">
        <v>139</v>
      </c>
      <c r="G12" s="11" t="b">
        <v>1</v>
      </c>
    </row>
    <row r="13" spans="1:10" ht="48.75" thickBot="1" x14ac:dyDescent="0.3">
      <c r="C13" s="8" t="s">
        <v>13</v>
      </c>
      <c r="D13" s="9">
        <v>6</v>
      </c>
      <c r="E13" s="10" t="s">
        <v>110</v>
      </c>
      <c r="F13" s="10" t="s">
        <v>139</v>
      </c>
      <c r="G13" s="11" t="b">
        <v>1</v>
      </c>
    </row>
    <row r="14" spans="1:10" ht="48.75" thickBot="1" x14ac:dyDescent="0.3">
      <c r="C14" s="8" t="s">
        <v>13</v>
      </c>
      <c r="D14" s="9">
        <v>7</v>
      </c>
      <c r="E14" s="10" t="s">
        <v>110</v>
      </c>
      <c r="F14" s="10" t="s">
        <v>139</v>
      </c>
      <c r="G14" s="11" t="b">
        <v>1</v>
      </c>
    </row>
    <row r="15" spans="1:10" ht="48.75" thickBot="1" x14ac:dyDescent="0.3">
      <c r="C15" s="8" t="s">
        <v>13</v>
      </c>
      <c r="D15" s="9">
        <v>8</v>
      </c>
      <c r="E15" s="10" t="s">
        <v>110</v>
      </c>
      <c r="F15" s="10" t="s">
        <v>139</v>
      </c>
      <c r="G15" s="11" t="b">
        <v>1</v>
      </c>
    </row>
    <row r="16" spans="1:10" ht="48.75" thickBot="1" x14ac:dyDescent="0.3">
      <c r="C16" s="8" t="s">
        <v>13</v>
      </c>
      <c r="D16" s="9">
        <v>9</v>
      </c>
      <c r="E16" s="10" t="s">
        <v>110</v>
      </c>
      <c r="F16" s="10" t="s">
        <v>139</v>
      </c>
      <c r="G16" s="11" t="b">
        <v>1</v>
      </c>
    </row>
    <row r="17" spans="3:7" s="22" customFormat="1" ht="48.75" thickBot="1" x14ac:dyDescent="0.3">
      <c r="C17" s="8" t="s">
        <v>13</v>
      </c>
      <c r="D17" s="9">
        <v>4</v>
      </c>
      <c r="E17" s="10" t="s">
        <v>110</v>
      </c>
      <c r="F17" s="10" t="s">
        <v>139</v>
      </c>
      <c r="G17" s="11" t="b">
        <v>1</v>
      </c>
    </row>
    <row r="18" spans="3:7" s="22" customFormat="1" ht="48.75" thickBot="1" x14ac:dyDescent="0.3">
      <c r="C18" s="8" t="s">
        <v>13</v>
      </c>
      <c r="D18" s="9">
        <v>5</v>
      </c>
      <c r="E18" s="10" t="s">
        <v>110</v>
      </c>
      <c r="F18" s="10" t="s">
        <v>139</v>
      </c>
      <c r="G18" s="11" t="b">
        <v>1</v>
      </c>
    </row>
    <row r="19" spans="3:7" s="22" customFormat="1" ht="48.75" thickBot="1" x14ac:dyDescent="0.3">
      <c r="C19" s="8" t="s">
        <v>13</v>
      </c>
      <c r="D19" s="9">
        <v>6</v>
      </c>
      <c r="E19" s="10" t="s">
        <v>110</v>
      </c>
      <c r="F19" s="10" t="s">
        <v>139</v>
      </c>
      <c r="G19" s="11" t="b">
        <v>1</v>
      </c>
    </row>
    <row r="20" spans="3:7" s="22" customFormat="1" ht="48.75" thickBot="1" x14ac:dyDescent="0.3">
      <c r="C20" s="8" t="s">
        <v>13</v>
      </c>
      <c r="D20" s="9">
        <v>7</v>
      </c>
      <c r="E20" s="10" t="s">
        <v>110</v>
      </c>
      <c r="F20" s="10" t="s">
        <v>139</v>
      </c>
      <c r="G20" s="11" t="b">
        <v>1</v>
      </c>
    </row>
    <row r="21" spans="3:7" s="22" customFormat="1" ht="48.75" thickBot="1" x14ac:dyDescent="0.3">
      <c r="C21" s="8" t="s">
        <v>13</v>
      </c>
      <c r="D21" s="9">
        <v>8</v>
      </c>
      <c r="E21" s="10" t="s">
        <v>110</v>
      </c>
      <c r="F21" s="10" t="s">
        <v>139</v>
      </c>
      <c r="G21" s="11" t="b">
        <v>1</v>
      </c>
    </row>
    <row r="22" spans="3:7" s="22" customFormat="1" ht="48.75" thickBot="1" x14ac:dyDescent="0.3">
      <c r="C22" s="8" t="s">
        <v>13</v>
      </c>
      <c r="D22" s="9">
        <v>9</v>
      </c>
      <c r="E22" s="10" t="s">
        <v>110</v>
      </c>
      <c r="F22" s="10" t="s">
        <v>139</v>
      </c>
      <c r="G22" s="11" t="b">
        <v>1</v>
      </c>
    </row>
    <row r="23" spans="3:7" s="22" customFormat="1" ht="48.75" thickBot="1" x14ac:dyDescent="0.3">
      <c r="C23" s="8" t="s">
        <v>13</v>
      </c>
      <c r="D23" s="9">
        <v>4</v>
      </c>
      <c r="E23" s="10" t="s">
        <v>110</v>
      </c>
      <c r="F23" s="10" t="s">
        <v>139</v>
      </c>
      <c r="G23" s="11" t="b">
        <v>1</v>
      </c>
    </row>
    <row r="24" spans="3:7" s="22" customFormat="1" ht="48.75" thickBot="1" x14ac:dyDescent="0.3">
      <c r="C24" s="8" t="s">
        <v>13</v>
      </c>
      <c r="D24" s="9">
        <v>5</v>
      </c>
      <c r="E24" s="10" t="s">
        <v>110</v>
      </c>
      <c r="F24" s="10" t="s">
        <v>139</v>
      </c>
      <c r="G24" s="11" t="b">
        <v>1</v>
      </c>
    </row>
    <row r="25" spans="3:7" s="22" customFormat="1" ht="48.75" thickBot="1" x14ac:dyDescent="0.3">
      <c r="C25" s="8" t="s">
        <v>13</v>
      </c>
      <c r="D25" s="9">
        <v>6</v>
      </c>
      <c r="E25" s="10" t="s">
        <v>110</v>
      </c>
      <c r="F25" s="10" t="s">
        <v>139</v>
      </c>
      <c r="G25" s="11" t="b">
        <v>1</v>
      </c>
    </row>
    <row r="26" spans="3:7" s="22" customFormat="1" ht="48.75" thickBot="1" x14ac:dyDescent="0.3">
      <c r="C26" s="8" t="s">
        <v>13</v>
      </c>
      <c r="D26" s="9">
        <v>7</v>
      </c>
      <c r="E26" s="10" t="s">
        <v>110</v>
      </c>
      <c r="F26" s="10" t="s">
        <v>139</v>
      </c>
      <c r="G26" s="11" t="b">
        <v>1</v>
      </c>
    </row>
    <row r="27" spans="3:7" s="22" customFormat="1" ht="48.75" thickBot="1" x14ac:dyDescent="0.3">
      <c r="C27" s="8" t="s">
        <v>13</v>
      </c>
      <c r="D27" s="9">
        <v>8</v>
      </c>
      <c r="E27" s="10" t="s">
        <v>110</v>
      </c>
      <c r="F27" s="10" t="s">
        <v>139</v>
      </c>
      <c r="G27" s="11" t="b">
        <v>1</v>
      </c>
    </row>
    <row r="28" spans="3:7" s="22" customFormat="1" ht="48.75" thickBot="1" x14ac:dyDescent="0.3">
      <c r="C28" s="8" t="s">
        <v>13</v>
      </c>
      <c r="D28" s="9">
        <v>9</v>
      </c>
      <c r="E28" s="10" t="s">
        <v>110</v>
      </c>
      <c r="F28" s="10" t="s">
        <v>139</v>
      </c>
      <c r="G28" s="11" t="b">
        <v>1</v>
      </c>
    </row>
    <row r="29" spans="3:7" s="22" customFormat="1" ht="48.75" thickBot="1" x14ac:dyDescent="0.3">
      <c r="C29" s="8" t="s">
        <v>13</v>
      </c>
      <c r="D29" s="9">
        <v>4</v>
      </c>
      <c r="E29" s="10" t="s">
        <v>110</v>
      </c>
      <c r="F29" s="10" t="s">
        <v>146</v>
      </c>
      <c r="G29" s="11" t="b">
        <v>1</v>
      </c>
    </row>
    <row r="30" spans="3:7" s="22" customFormat="1" ht="48.75" thickBot="1" x14ac:dyDescent="0.3">
      <c r="C30" s="8" t="s">
        <v>13</v>
      </c>
      <c r="D30" s="9">
        <v>5</v>
      </c>
      <c r="E30" s="10" t="s">
        <v>110</v>
      </c>
      <c r="F30" s="10" t="s">
        <v>146</v>
      </c>
      <c r="G30" s="11" t="b">
        <v>1</v>
      </c>
    </row>
    <row r="31" spans="3:7" s="22" customFormat="1" ht="48.75" thickBot="1" x14ac:dyDescent="0.3">
      <c r="C31" s="8" t="s">
        <v>13</v>
      </c>
      <c r="D31" s="9">
        <v>6</v>
      </c>
      <c r="E31" s="10" t="s">
        <v>110</v>
      </c>
      <c r="F31" s="10" t="s">
        <v>146</v>
      </c>
      <c r="G31" s="11" t="b">
        <v>1</v>
      </c>
    </row>
    <row r="32" spans="3:7" s="22" customFormat="1" ht="48.75" thickBot="1" x14ac:dyDescent="0.3">
      <c r="C32" s="8" t="s">
        <v>13</v>
      </c>
      <c r="D32" s="9">
        <v>7</v>
      </c>
      <c r="E32" s="10" t="s">
        <v>110</v>
      </c>
      <c r="F32" s="10" t="s">
        <v>146</v>
      </c>
      <c r="G32" s="11" t="b">
        <v>1</v>
      </c>
    </row>
    <row r="33" spans="3:7" s="22" customFormat="1" ht="48.75" thickBot="1" x14ac:dyDescent="0.3">
      <c r="C33" s="8" t="s">
        <v>13</v>
      </c>
      <c r="D33" s="9">
        <v>8</v>
      </c>
      <c r="E33" s="10" t="s">
        <v>110</v>
      </c>
      <c r="F33" s="10" t="s">
        <v>146</v>
      </c>
      <c r="G33" s="11" t="b">
        <v>1</v>
      </c>
    </row>
    <row r="34" spans="3:7" s="22" customFormat="1" ht="48.75" thickBot="1" x14ac:dyDescent="0.3">
      <c r="C34" s="8" t="s">
        <v>13</v>
      </c>
      <c r="D34" s="9">
        <v>9</v>
      </c>
      <c r="E34" s="10" t="s">
        <v>110</v>
      </c>
      <c r="F34" s="10" t="s">
        <v>146</v>
      </c>
      <c r="G34" s="11" t="b">
        <v>1</v>
      </c>
    </row>
  </sheetData>
  <autoFilter ref="A7:J16"/>
  <mergeCells count="3">
    <mergeCell ref="A1:G1"/>
    <mergeCell ref="D4:G4"/>
    <mergeCell ref="E5:F5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I15"/>
  <sheetViews>
    <sheetView topLeftCell="A6" workbookViewId="0">
      <selection activeCell="D6" sqref="D6"/>
    </sheetView>
  </sheetViews>
  <sheetFormatPr defaultRowHeight="15" x14ac:dyDescent="0.25"/>
  <cols>
    <col min="1" max="1" width="5.7109375" customWidth="1"/>
    <col min="2" max="2" width="43.28515625" bestFit="1" customWidth="1"/>
    <col min="3" max="3" width="4" bestFit="1" customWidth="1"/>
    <col min="4" max="7" width="20.7109375" customWidth="1"/>
    <col min="8" max="9" width="25.7109375" customWidth="1"/>
  </cols>
  <sheetData>
    <row r="1" spans="1:9" ht="14.45" customHeight="1" x14ac:dyDescent="0.25">
      <c r="A1" s="30" t="s">
        <v>90</v>
      </c>
      <c r="B1" s="31"/>
      <c r="C1" s="31"/>
      <c r="D1" s="31"/>
      <c r="E1" s="31"/>
      <c r="F1" s="31"/>
      <c r="G1" s="31"/>
      <c r="H1" s="1"/>
      <c r="I1" s="1"/>
    </row>
    <row r="2" spans="1:9" ht="14.45" customHeight="1" x14ac:dyDescent="0.25">
      <c r="H2" s="1"/>
      <c r="I2" s="1"/>
    </row>
    <row r="3" spans="1:9" ht="14.45" customHeight="1" x14ac:dyDescent="0.25">
      <c r="H3" s="1"/>
      <c r="I3" s="1"/>
    </row>
    <row r="4" spans="1:9" ht="14.45" customHeight="1" x14ac:dyDescent="0.25">
      <c r="D4" s="32" t="s">
        <v>1</v>
      </c>
      <c r="E4" s="32"/>
      <c r="F4" s="32"/>
      <c r="G4" s="32"/>
    </row>
    <row r="5" spans="1:9" ht="57.6" customHeight="1" x14ac:dyDescent="0.25">
      <c r="D5" s="4" t="s">
        <v>2</v>
      </c>
      <c r="E5" s="4" t="s">
        <v>91</v>
      </c>
      <c r="F5" s="4" t="s">
        <v>92</v>
      </c>
      <c r="G5" s="4" t="s">
        <v>4</v>
      </c>
    </row>
    <row r="6" spans="1:9" ht="15" customHeight="1" thickBot="1" x14ac:dyDescent="0.3">
      <c r="D6" s="5" t="s">
        <v>7</v>
      </c>
      <c r="E6" s="5" t="s">
        <v>8</v>
      </c>
      <c r="F6" s="5" t="s">
        <v>9</v>
      </c>
      <c r="G6" s="5" t="s">
        <v>10</v>
      </c>
      <c r="H6" s="1"/>
      <c r="I6" s="1"/>
    </row>
    <row r="7" spans="1:9" ht="30" customHeight="1" thickBot="1" x14ac:dyDescent="0.3">
      <c r="A7" s="6" t="s">
        <v>11</v>
      </c>
      <c r="B7" s="7" t="s">
        <v>93</v>
      </c>
      <c r="C7" s="8" t="s">
        <v>13</v>
      </c>
      <c r="D7" s="9">
        <v>1</v>
      </c>
      <c r="E7" s="10" t="s">
        <v>140</v>
      </c>
      <c r="F7" s="10" t="s">
        <v>141</v>
      </c>
      <c r="G7" s="11" t="b">
        <v>1</v>
      </c>
      <c r="H7" s="14"/>
      <c r="I7" s="21"/>
    </row>
    <row r="8" spans="1:9" ht="84.75" thickBot="1" x14ac:dyDescent="0.3">
      <c r="C8" s="8" t="s">
        <v>13</v>
      </c>
      <c r="D8" s="9">
        <v>2</v>
      </c>
      <c r="E8" s="10" t="s">
        <v>142</v>
      </c>
      <c r="F8" s="10" t="s">
        <v>143</v>
      </c>
      <c r="G8" s="11" t="b">
        <v>1</v>
      </c>
    </row>
    <row r="9" spans="1:9" ht="24.75" thickBot="1" x14ac:dyDescent="0.3">
      <c r="C9" s="8" t="s">
        <v>13</v>
      </c>
      <c r="D9" s="9">
        <v>3</v>
      </c>
      <c r="E9" s="10" t="s">
        <v>140</v>
      </c>
      <c r="F9" s="10" t="s">
        <v>141</v>
      </c>
      <c r="G9" s="11" t="b">
        <v>1</v>
      </c>
    </row>
    <row r="10" spans="1:9" ht="84.75" thickBot="1" x14ac:dyDescent="0.3">
      <c r="C10" s="8" t="s">
        <v>13</v>
      </c>
      <c r="D10" s="9">
        <v>4</v>
      </c>
      <c r="E10" s="10" t="s">
        <v>142</v>
      </c>
      <c r="F10" s="10" t="s">
        <v>143</v>
      </c>
      <c r="G10" s="11" t="b">
        <v>1</v>
      </c>
    </row>
    <row r="11" spans="1:9" ht="84.75" thickBot="1" x14ac:dyDescent="0.3">
      <c r="C11" s="8" t="s">
        <v>13</v>
      </c>
      <c r="D11" s="9">
        <v>5</v>
      </c>
      <c r="E11" s="10" t="s">
        <v>142</v>
      </c>
      <c r="F11" s="10" t="s">
        <v>143</v>
      </c>
      <c r="G11" s="11" t="b">
        <v>1</v>
      </c>
    </row>
    <row r="12" spans="1:9" ht="84.75" thickBot="1" x14ac:dyDescent="0.3">
      <c r="C12" s="8" t="s">
        <v>13</v>
      </c>
      <c r="D12" s="9">
        <v>6</v>
      </c>
      <c r="E12" s="10" t="s">
        <v>142</v>
      </c>
      <c r="F12" s="10" t="s">
        <v>143</v>
      </c>
      <c r="G12" s="11" t="b">
        <v>1</v>
      </c>
    </row>
    <row r="13" spans="1:9" ht="84.75" thickBot="1" x14ac:dyDescent="0.3">
      <c r="C13" s="8" t="s">
        <v>13</v>
      </c>
      <c r="D13" s="9">
        <v>7</v>
      </c>
      <c r="E13" s="10" t="s">
        <v>142</v>
      </c>
      <c r="F13" s="10" t="s">
        <v>143</v>
      </c>
      <c r="G13" s="11" t="b">
        <v>1</v>
      </c>
    </row>
    <row r="14" spans="1:9" ht="84.75" thickBot="1" x14ac:dyDescent="0.3">
      <c r="C14" s="8" t="s">
        <v>13</v>
      </c>
      <c r="D14" s="9">
        <v>8</v>
      </c>
      <c r="E14" s="10" t="s">
        <v>142</v>
      </c>
      <c r="F14" s="10" t="s">
        <v>143</v>
      </c>
      <c r="G14" s="11" t="b">
        <v>1</v>
      </c>
    </row>
    <row r="15" spans="1:9" ht="84.75" thickBot="1" x14ac:dyDescent="0.3">
      <c r="C15" s="8" t="s">
        <v>13</v>
      </c>
      <c r="D15" s="9">
        <v>9</v>
      </c>
      <c r="E15" s="10" t="s">
        <v>142</v>
      </c>
      <c r="F15" s="10" t="s">
        <v>143</v>
      </c>
      <c r="G15" s="11" t="b">
        <v>1</v>
      </c>
    </row>
  </sheetData>
  <mergeCells count="2">
    <mergeCell ref="A1:G1"/>
    <mergeCell ref="D4:G4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V16"/>
  <sheetViews>
    <sheetView tabSelected="1" topLeftCell="N1" workbookViewId="0">
      <selection activeCell="U9" sqref="U9"/>
    </sheetView>
  </sheetViews>
  <sheetFormatPr defaultRowHeight="15" x14ac:dyDescent="0.25"/>
  <cols>
    <col min="1" max="1" width="5.7109375" customWidth="1"/>
    <col min="2" max="2" width="37.42578125" bestFit="1" customWidth="1"/>
    <col min="3" max="3" width="4" bestFit="1" customWidth="1"/>
    <col min="4" max="18" width="20.7109375" customWidth="1"/>
    <col min="19" max="19" width="25.7109375" customWidth="1"/>
    <col min="20" max="20" width="17" style="34" bestFit="1" customWidth="1"/>
    <col min="21" max="22" width="12.42578125" bestFit="1" customWidth="1"/>
  </cols>
  <sheetData>
    <row r="1" spans="1:22" ht="14.45" customHeight="1" x14ac:dyDescent="0.25">
      <c r="A1" s="30" t="s">
        <v>72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1"/>
      <c r="T1" s="33"/>
    </row>
    <row r="2" spans="1:22" ht="14.45" customHeight="1" x14ac:dyDescent="0.25">
      <c r="S2" s="1"/>
      <c r="T2" s="33"/>
    </row>
    <row r="3" spans="1:22" ht="14.45" customHeight="1" x14ac:dyDescent="0.25">
      <c r="S3" s="1"/>
      <c r="T3" s="33"/>
    </row>
    <row r="4" spans="1:22" ht="14.45" customHeight="1" x14ac:dyDescent="0.25">
      <c r="D4" s="32" t="s">
        <v>1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1"/>
      <c r="T4" s="33"/>
    </row>
    <row r="5" spans="1:22" ht="57.6" customHeight="1" x14ac:dyDescent="0.25">
      <c r="D5" s="2" t="s">
        <v>2</v>
      </c>
      <c r="E5" s="2" t="s">
        <v>73</v>
      </c>
      <c r="F5" s="27" t="s">
        <v>74</v>
      </c>
      <c r="G5" s="28"/>
      <c r="H5" s="28"/>
      <c r="I5" s="28"/>
      <c r="J5" s="28"/>
      <c r="K5" s="28"/>
      <c r="L5" s="28"/>
      <c r="M5" s="28"/>
      <c r="N5" s="28"/>
      <c r="O5" s="28"/>
      <c r="P5" s="29"/>
      <c r="Q5" s="27" t="s">
        <v>75</v>
      </c>
      <c r="R5" s="29"/>
    </row>
    <row r="6" spans="1:22" ht="57.6" customHeight="1" x14ac:dyDescent="0.25">
      <c r="D6" s="3"/>
      <c r="E6" s="3"/>
      <c r="F6" s="4" t="s">
        <v>76</v>
      </c>
      <c r="G6" s="4" t="s">
        <v>77</v>
      </c>
      <c r="H6" s="4" t="s">
        <v>78</v>
      </c>
      <c r="I6" s="4" t="s">
        <v>79</v>
      </c>
      <c r="J6" s="4" t="s">
        <v>80</v>
      </c>
      <c r="K6" s="4" t="s">
        <v>81</v>
      </c>
      <c r="L6" s="4" t="s">
        <v>82</v>
      </c>
      <c r="M6" s="4" t="s">
        <v>83</v>
      </c>
      <c r="N6" s="4" t="s">
        <v>84</v>
      </c>
      <c r="O6" s="4" t="s">
        <v>85</v>
      </c>
      <c r="P6" s="4" t="s">
        <v>86</v>
      </c>
      <c r="Q6" s="4" t="s">
        <v>87</v>
      </c>
      <c r="R6" s="4" t="s">
        <v>88</v>
      </c>
    </row>
    <row r="7" spans="1:22" ht="15" customHeight="1" thickBot="1" x14ac:dyDescent="0.3">
      <c r="D7" s="5" t="s">
        <v>7</v>
      </c>
      <c r="E7" s="5" t="s">
        <v>8</v>
      </c>
      <c r="F7" s="5" t="s">
        <v>9</v>
      </c>
      <c r="G7" s="5" t="s">
        <v>10</v>
      </c>
      <c r="H7" s="5" t="s">
        <v>50</v>
      </c>
      <c r="I7" s="5" t="s">
        <v>51</v>
      </c>
      <c r="J7" s="5" t="s">
        <v>52</v>
      </c>
      <c r="K7" s="5" t="s">
        <v>53</v>
      </c>
      <c r="L7" s="5" t="s">
        <v>54</v>
      </c>
      <c r="M7" s="5" t="s">
        <v>55</v>
      </c>
      <c r="N7" s="5" t="s">
        <v>56</v>
      </c>
      <c r="O7" s="5" t="s">
        <v>57</v>
      </c>
      <c r="P7" s="5" t="s">
        <v>58</v>
      </c>
      <c r="Q7" s="5" t="s">
        <v>59</v>
      </c>
      <c r="R7" s="5" t="s">
        <v>60</v>
      </c>
      <c r="S7" s="1"/>
      <c r="T7" s="33"/>
    </row>
    <row r="8" spans="1:22" ht="30" customHeight="1" thickBot="1" x14ac:dyDescent="0.3">
      <c r="A8" s="6" t="s">
        <v>11</v>
      </c>
      <c r="B8" s="7" t="s">
        <v>89</v>
      </c>
      <c r="C8" s="8" t="s">
        <v>13</v>
      </c>
      <c r="D8" s="9">
        <f>+'[1]T 33.00'!D8</f>
        <v>1</v>
      </c>
      <c r="E8" s="10" t="str">
        <f>+'[1]T 33.00'!E8</f>
        <v>Derivatives</v>
      </c>
      <c r="F8" s="10">
        <f>+'[1]T 33.00'!F8</f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16493654999.893496</v>
      </c>
      <c r="M8" s="23">
        <v>693311388.11916912</v>
      </c>
      <c r="N8" s="10">
        <v>0</v>
      </c>
      <c r="O8" s="10">
        <v>0</v>
      </c>
      <c r="P8" s="10">
        <v>230889648.03150001</v>
      </c>
      <c r="Q8" s="10" t="s">
        <v>144</v>
      </c>
      <c r="R8" s="11" t="s">
        <v>145</v>
      </c>
      <c r="S8" s="14" t="str">
        <f>+'T 30.00'!H10</f>
        <v>LCH SA</v>
      </c>
      <c r="T8" s="35">
        <v>0.02</v>
      </c>
      <c r="U8" s="36">
        <f>+M8*T8</f>
        <v>13866227.762383383</v>
      </c>
      <c r="V8" s="36">
        <f>+U8+U10</f>
        <v>40185307.418431781</v>
      </c>
    </row>
    <row r="9" spans="1:22" ht="15.75" thickBot="1" x14ac:dyDescent="0.3">
      <c r="C9" s="8" t="s">
        <v>13</v>
      </c>
      <c r="D9" s="9">
        <f>+'[1]T 33.00'!D9</f>
        <v>2</v>
      </c>
      <c r="E9" s="10" t="str">
        <f>+'[1]T 33.00'!E9</f>
        <v>NA</v>
      </c>
      <c r="F9" s="10">
        <f>+'[1]T 33.00'!F9</f>
        <v>0</v>
      </c>
      <c r="G9" s="23">
        <v>3655187839.7100515</v>
      </c>
      <c r="H9" s="23">
        <v>0</v>
      </c>
      <c r="I9" s="23">
        <v>273547137690.04306</v>
      </c>
      <c r="J9" s="23">
        <v>0</v>
      </c>
      <c r="K9" s="23">
        <v>0</v>
      </c>
      <c r="L9" s="23">
        <v>14290048013.9781</v>
      </c>
      <c r="M9" s="23">
        <v>562742618.23049438</v>
      </c>
      <c r="N9" s="23">
        <v>0</v>
      </c>
      <c r="O9" s="23">
        <v>0</v>
      </c>
      <c r="P9" s="23">
        <v>0</v>
      </c>
      <c r="Q9" s="23" t="s">
        <v>144</v>
      </c>
      <c r="R9" s="24" t="s">
        <v>145</v>
      </c>
      <c r="S9" s="14" t="str">
        <f>+'T 30.00'!H11</f>
        <v>INTERBOLSA</v>
      </c>
      <c r="T9" s="34">
        <v>7.0000000000000007E-2</v>
      </c>
      <c r="U9" s="36">
        <f>+M9*T9</f>
        <v>39391983.27613461</v>
      </c>
    </row>
    <row r="10" spans="1:22" ht="15.75" thickBot="1" x14ac:dyDescent="0.3">
      <c r="C10" s="8" t="s">
        <v>13</v>
      </c>
      <c r="D10" s="9">
        <f>+'[1]T 33.00'!D10</f>
        <v>3</v>
      </c>
      <c r="E10" s="10" t="str">
        <f>+'[1]T 33.00'!E10</f>
        <v>NA</v>
      </c>
      <c r="F10" s="10">
        <f>+'[1]T 33.00'!F10</f>
        <v>0</v>
      </c>
      <c r="G10" s="23">
        <v>16473004038.056282</v>
      </c>
      <c r="H10" s="23">
        <v>0</v>
      </c>
      <c r="I10" s="23">
        <v>4295758098.7685623</v>
      </c>
      <c r="J10" s="23">
        <v>0</v>
      </c>
      <c r="K10" s="23">
        <v>0</v>
      </c>
      <c r="L10" s="23">
        <v>2827024356.8480773</v>
      </c>
      <c r="M10" s="23">
        <v>1754605310.4032266</v>
      </c>
      <c r="N10" s="23">
        <v>0</v>
      </c>
      <c r="O10" s="23">
        <v>0</v>
      </c>
      <c r="P10" s="23">
        <v>12152086.738499999</v>
      </c>
      <c r="Q10" s="23" t="s">
        <v>144</v>
      </c>
      <c r="R10" s="24" t="s">
        <v>145</v>
      </c>
      <c r="S10" s="14" t="str">
        <f>+'T 30.00'!H12</f>
        <v>Euroclear Bank</v>
      </c>
      <c r="T10" s="34">
        <v>1.4999999999999999E-2</v>
      </c>
      <c r="U10" s="36">
        <f>+M10*T10</f>
        <v>26319079.656048398</v>
      </c>
    </row>
    <row r="11" spans="1:22" ht="15.75" thickBot="1" x14ac:dyDescent="0.3">
      <c r="C11" s="8" t="s">
        <v>13</v>
      </c>
      <c r="D11" s="9">
        <f>+'[1]T 33.00'!D11</f>
        <v>4</v>
      </c>
      <c r="E11" s="10" t="str">
        <f>+'[1]T 33.00'!E11</f>
        <v>NA</v>
      </c>
      <c r="F11" s="10">
        <f>+'[1]T 33.00'!F11</f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34602833.913237482</v>
      </c>
      <c r="M11" s="23">
        <v>253069534.42371824</v>
      </c>
      <c r="N11" s="10">
        <v>130000000</v>
      </c>
      <c r="O11" s="10">
        <v>0</v>
      </c>
      <c r="P11" s="10">
        <v>0</v>
      </c>
      <c r="Q11" s="10" t="s">
        <v>144</v>
      </c>
      <c r="R11" s="11" t="s">
        <v>145</v>
      </c>
      <c r="S11" s="14" t="str">
        <f>+'T 30.00'!H13</f>
        <v>EURO 1</v>
      </c>
    </row>
    <row r="12" spans="1:22" ht="15.75" thickBot="1" x14ac:dyDescent="0.3">
      <c r="C12" s="8" t="s">
        <v>13</v>
      </c>
      <c r="D12" s="9">
        <f>+'[1]T 33.00'!D12</f>
        <v>5</v>
      </c>
      <c r="E12" s="10" t="str">
        <f>+'[1]T 33.00'!E12</f>
        <v>NA</v>
      </c>
      <c r="F12" s="10">
        <f>+'[1]T 33.00'!F12</f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23">
        <v>74095622339.715134</v>
      </c>
      <c r="N12" s="10">
        <v>130000000</v>
      </c>
      <c r="O12" s="10">
        <v>0</v>
      </c>
      <c r="P12" s="10">
        <v>0</v>
      </c>
      <c r="Q12" s="10" t="s">
        <v>144</v>
      </c>
      <c r="R12" s="11" t="s">
        <v>145</v>
      </c>
      <c r="S12" s="14" t="str">
        <f>+'T 30.00'!H14</f>
        <v>SICOI</v>
      </c>
    </row>
    <row r="13" spans="1:22" ht="15.75" thickBot="1" x14ac:dyDescent="0.3">
      <c r="C13" s="8" t="s">
        <v>13</v>
      </c>
      <c r="D13" s="9">
        <f>+'[1]T 33.00'!D13</f>
        <v>6</v>
      </c>
      <c r="E13" s="10" t="str">
        <f>+'[1]T 33.00'!E13</f>
        <v>NA</v>
      </c>
      <c r="F13" s="10">
        <f>+'[1]T 33.00'!F13</f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23">
        <v>28808585731.965214</v>
      </c>
      <c r="N13" s="10">
        <v>130000000</v>
      </c>
      <c r="O13" s="10">
        <v>0</v>
      </c>
      <c r="P13" s="10">
        <v>0</v>
      </c>
      <c r="Q13" s="10" t="s">
        <v>144</v>
      </c>
      <c r="R13" s="11" t="s">
        <v>145</v>
      </c>
      <c r="S13" s="14" t="str">
        <f>+'T 30.00'!H15</f>
        <v>STEP 2</v>
      </c>
    </row>
    <row r="14" spans="1:22" ht="15.75" thickBot="1" x14ac:dyDescent="0.3">
      <c r="C14" s="8" t="s">
        <v>13</v>
      </c>
      <c r="D14" s="9">
        <f>+'[1]T 33.00'!D14</f>
        <v>7</v>
      </c>
      <c r="E14" s="10" t="str">
        <f>+'[1]T 33.00'!E14</f>
        <v>NA</v>
      </c>
      <c r="F14" s="10">
        <f>+'[1]T 33.00'!F14</f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7298708.2449528007</v>
      </c>
      <c r="M14" s="23">
        <v>613497931.39396155</v>
      </c>
      <c r="N14" s="10">
        <v>130000000</v>
      </c>
      <c r="O14" s="10">
        <v>0</v>
      </c>
      <c r="P14" s="10">
        <v>0</v>
      </c>
      <c r="Q14" s="10" t="s">
        <v>144</v>
      </c>
      <c r="R14" s="11" t="s">
        <v>145</v>
      </c>
      <c r="S14" s="14" t="str">
        <f>+'T 30.00'!H16</f>
        <v>STEP 1</v>
      </c>
    </row>
    <row r="15" spans="1:22" ht="15.75" thickBot="1" x14ac:dyDescent="0.3">
      <c r="C15" s="8" t="s">
        <v>13</v>
      </c>
      <c r="D15" s="9">
        <f>+'[1]T 33.00'!D15</f>
        <v>8</v>
      </c>
      <c r="E15" s="10" t="str">
        <f>+'[1]T 33.00'!E15</f>
        <v>NA</v>
      </c>
      <c r="F15" s="10">
        <f>+'[1]T 33.00'!F15</f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24021761504.670704</v>
      </c>
      <c r="M15" s="23">
        <v>54392215444.809349</v>
      </c>
      <c r="N15" s="10">
        <v>130000000</v>
      </c>
      <c r="O15" s="10">
        <v>0</v>
      </c>
      <c r="P15" s="10">
        <v>0</v>
      </c>
      <c r="Q15" s="10" t="s">
        <v>144</v>
      </c>
      <c r="R15" s="11" t="s">
        <v>145</v>
      </c>
      <c r="S15" s="14" t="str">
        <f>+'T 30.00'!H17</f>
        <v>TARGET2</v>
      </c>
    </row>
    <row r="16" spans="1:22" ht="15.75" thickBot="1" x14ac:dyDescent="0.3">
      <c r="C16" s="8" t="s">
        <v>13</v>
      </c>
      <c r="D16" s="9">
        <f>+'[1]T 33.00'!D16</f>
        <v>9</v>
      </c>
      <c r="E16" s="10" t="str">
        <f>+'[1]T 33.00'!E16</f>
        <v>NA</v>
      </c>
      <c r="F16" s="10">
        <f>+'[1]T 33.00'!F16</f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23">
        <v>5708516.0606699819</v>
      </c>
      <c r="N16" s="10">
        <v>0</v>
      </c>
      <c r="O16" s="10">
        <v>0</v>
      </c>
      <c r="P16" s="10">
        <v>0</v>
      </c>
      <c r="Q16" s="10" t="s">
        <v>144</v>
      </c>
      <c r="R16" s="11" t="s">
        <v>145</v>
      </c>
      <c r="S16" s="14" t="str">
        <f>+'T 30.00'!H18</f>
        <v>TARGET2</v>
      </c>
    </row>
  </sheetData>
  <mergeCells count="4">
    <mergeCell ref="A1:R1"/>
    <mergeCell ref="D4:R4"/>
    <mergeCell ref="F5:P5"/>
    <mergeCell ref="Q5:R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1" ma:contentTypeDescription="Create a new document." ma:contentTypeScope="" ma:versionID="4520a66c86f4eaaa1d01b429527c1a6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11f8748a3bccf771b9b52b6839416c4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C700BB-70F0-46C1-AFB6-EE263824E402}"/>
</file>

<file path=customXml/itemProps2.xml><?xml version="1.0" encoding="utf-8"?>
<ds:datastoreItem xmlns:ds="http://schemas.openxmlformats.org/officeDocument/2006/customXml" ds:itemID="{28544D7F-E0AF-49F3-8FF9-C0A5E79A2D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CB4A98-671C-4C79-B8A1-A79DE1049C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TOC</vt:lpstr>
      <vt:lpstr>T 30.00</vt:lpstr>
      <vt:lpstr>T 31.00</vt:lpstr>
      <vt:lpstr>T 32.00</vt:lpstr>
      <vt:lpstr>T 33.00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Carmo, Marco</dc:creator>
  <cp:lastModifiedBy>Pedro Nuno Capelão Pinto Mendes</cp:lastModifiedBy>
  <dcterms:created xsi:type="dcterms:W3CDTF">2022-12-13T15:22:18Z</dcterms:created>
  <dcterms:modified xsi:type="dcterms:W3CDTF">2023-06-02T13:36:52Z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2023-02-06T11:19:22Z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693849e5-cdf3-4cb5-ad14-dafa9d809389</vt:lpwstr>
  </property>
  <property fmtid="{D5CDD505-2E9C-101B-9397-08002B2CF9AE}" pid="8" name="MSIP_Label_0c2abd79-57a9-4473-8700-c843f76a1e37_ContentBits">
    <vt:lpwstr>0</vt:lpwstr>
  </property>
  <property fmtid="{D5CDD505-2E9C-101B-9397-08002B2CF9AE}" pid="9" name="Order">
    <vt:r8>1581300</vt:r8>
  </property>
  <property fmtid="{D5CDD505-2E9C-101B-9397-08002B2CF9AE}" pid="10" name="ContentTypeId">
    <vt:lpwstr>0x0101000B6B9A5E792D2446B8986FAE34BEC557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