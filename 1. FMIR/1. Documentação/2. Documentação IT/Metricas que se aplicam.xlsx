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FMIR\"/>
    </mc:Choice>
  </mc:AlternateContent>
  <bookViews>
    <workbookView xWindow="0" yWindow="0" windowWidth="19185" windowHeight="2250"/>
  </bookViews>
  <sheets>
    <sheet name="Sheet1" sheetId="5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7" i="5" l="1"/>
  <c r="S16" i="5"/>
  <c r="S15" i="5"/>
  <c r="S14" i="5"/>
  <c r="S13" i="5"/>
  <c r="S12" i="5"/>
  <c r="S11" i="5"/>
  <c r="S10" i="5"/>
  <c r="S8" i="5"/>
</calcChain>
</file>

<file path=xl/comments1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Segment (CCP)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Contribution to default fund [mi]_x000D_
Base  =  Memorandum items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Type of account  =  Proprietary account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account.Omnibus account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account.Segregated account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account.Omnibus account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account.Segregated account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Proprietary account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Client account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Nominal amount [mi]_x000D_
Base  =  Memorandum items_x000D_
Main category  =  Loan commitments received_x000D_
Counterparty nature  =  FMI, representative institution, other liquidity provider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Peak amount of intraday liquidity or collateral requirements [mi]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Estimated amount of additional liquidity or collateral requirements in a stress situation [mi]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Reference period for daily averages (first day) [di]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Reference period for daily averages (last day) [di]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8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8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8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8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8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8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8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8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8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8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8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0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0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0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0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0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1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1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1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2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2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3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3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3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3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3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3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4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4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4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4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4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4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5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5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5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5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5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5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5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6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6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6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6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H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I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J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K17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L17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7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7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7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7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7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</commentList>
</comments>
</file>

<file path=xl/sharedStrings.xml><?xml version="1.0" encoding="utf-8"?>
<sst xmlns="http://schemas.openxmlformats.org/spreadsheetml/2006/main" count="48" uniqueCount="39">
  <si>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</si>
  <si>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</si>
  <si>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</si>
  <si>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</si>
  <si>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</si>
  <si>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</si>
  <si>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</si>
  <si>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</si>
  <si>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</si>
  <si>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</si>
  <si>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</si>
  <si>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</si>
  <si>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</si>
  <si>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</si>
  <si>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</si>
  <si>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Contribution to default fund</t>
  </si>
  <si>
    <t>Value of positions on proprietary accounts</t>
  </si>
  <si>
    <t>Value of positions on client omnibus accounts</t>
  </si>
  <si>
    <t>Value of positions on client segregated accounts</t>
  </si>
  <si>
    <t>Number of clients covered by omnibus accounts</t>
  </si>
  <si>
    <t>Number of clients covered by segregated accounts</t>
  </si>
  <si>
    <t>Value of transactions on proprietary accounts</t>
  </si>
  <si>
    <t>Value of transactions on client accounts</t>
  </si>
  <si>
    <t>Credit line</t>
  </si>
  <si>
    <t>Peak of (intraday) liquidity or collateral requirements</t>
  </si>
  <si>
    <t>Estimated additional liquidity or collateral requirements in a stress situation</t>
  </si>
  <si>
    <t>First day</t>
  </si>
  <si>
    <t>Last day</t>
  </si>
  <si>
    <t>T 33.00 - FMI services - Key metrics</t>
  </si>
  <si>
    <t>Columns</t>
  </si>
  <si>
    <t>ID representing combination of user, system type, FMI and intermediary</t>
  </si>
  <si>
    <t>Segment (only for CCPs)</t>
  </si>
  <si>
    <t>Key metrics</t>
  </si>
  <si>
    <t>Reference period for averages (if different from instructions)</t>
  </si>
  <si>
    <t>Rows</t>
  </si>
  <si>
    <t>Users, FMIs and intermediaries - Key metrics</t>
  </si>
  <si>
    <t>999</t>
  </si>
  <si>
    <t>MTM</t>
  </si>
  <si>
    <t>EUREX Clearing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</si>
</sst>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quotePrefix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left" vertical="center" wrapText="1"/>
    </xf>
    <xf numFmtId="0" fontId="0" fillId="3" borderId="1" xfId="0" quotePrefix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3" borderId="0" xfId="0" applyFont="1" applyFill="1" applyBorder="1" applyAlignment="1">
      <alignment horizontal="center" vertical="center" textRotation="90"/>
    </xf>
    <xf numFmtId="0" fontId="0" fillId="3" borderId="0" xfId="0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4" fontId="2" fillId="6" borderId="10" xfId="0" applyNumberFormat="1" applyFont="1" applyFill="1" applyBorder="1" applyAlignment="1">
      <alignment horizontal="center" vertical="center" wrapText="1"/>
    </xf>
    <xf numFmtId="4" fontId="2" fillId="4" borderId="10" xfId="0" applyNumberFormat="1" applyFont="1" applyFill="1" applyBorder="1" applyAlignment="1">
      <alignment horizontal="center" vertical="center" wrapText="1"/>
    </xf>
    <xf numFmtId="4" fontId="2" fillId="2" borderId="10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4" fontId="2" fillId="5" borderId="10" xfId="0" applyNumberFormat="1" applyFont="1" applyFill="1" applyBorder="1" applyAlignment="1">
      <alignment horizontal="center" vertical="center" wrapText="1"/>
    </xf>
    <xf numFmtId="4" fontId="2" fillId="5" borderId="6" xfId="0" applyNumberFormat="1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Users/E804022/Desktop/Documenta&#231;&#227;o/NEW%20REPORTS/FMIR/0991_RESOL_FMIR_CON_20221231_3.2_SGPS_com_val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T 30.00"/>
      <sheetName val="T 31.00"/>
      <sheetName val="T 32.00"/>
      <sheetName val="T 33.00"/>
    </sheetNames>
    <sheetDataSet>
      <sheetData sheetId="0"/>
      <sheetData sheetId="1">
        <row r="10">
          <cell r="H10" t="str">
            <v>LCH SA</v>
          </cell>
        </row>
        <row r="11">
          <cell r="H11" t="str">
            <v>INTERBOLSA</v>
          </cell>
        </row>
        <row r="12">
          <cell r="H12" t="str">
            <v>Euroclear Bank</v>
          </cell>
        </row>
        <row r="13">
          <cell r="H13" t="str">
            <v>EURO 1</v>
          </cell>
        </row>
        <row r="14">
          <cell r="H14" t="str">
            <v>SICOI</v>
          </cell>
        </row>
        <row r="15">
          <cell r="H15" t="str">
            <v>STEP 2</v>
          </cell>
        </row>
        <row r="16">
          <cell r="H16" t="str">
            <v>STEP 1</v>
          </cell>
        </row>
        <row r="17">
          <cell r="H17" t="str">
            <v>TARGET2</v>
          </cell>
        </row>
        <row r="18">
          <cell r="H18" t="str">
            <v>TARGET2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7"/>
  <sheetViews>
    <sheetView tabSelected="1" zoomScale="68" zoomScaleNormal="70" workbookViewId="0">
      <selection activeCell="I31" sqref="I31"/>
    </sheetView>
  </sheetViews>
  <sheetFormatPr defaultRowHeight="15" x14ac:dyDescent="0.25"/>
  <cols>
    <col min="1" max="1" width="5.7109375" customWidth="1"/>
    <col min="2" max="2" width="37.42578125" bestFit="1" customWidth="1"/>
    <col min="3" max="3" width="4" bestFit="1" customWidth="1"/>
    <col min="4" max="18" width="20.7109375" customWidth="1"/>
    <col min="19" max="19" width="25.7109375" customWidth="1"/>
  </cols>
  <sheetData>
    <row r="1" spans="1:19" x14ac:dyDescent="0.25">
      <c r="A1" s="25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1"/>
    </row>
    <row r="2" spans="1:19" x14ac:dyDescent="0.25">
      <c r="S2" s="1"/>
    </row>
    <row r="3" spans="1:19" x14ac:dyDescent="0.25">
      <c r="S3" s="1"/>
    </row>
    <row r="4" spans="1:19" x14ac:dyDescent="0.25">
      <c r="D4" s="27" t="s">
        <v>29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1"/>
    </row>
    <row r="5" spans="1:19" ht="60" x14ac:dyDescent="0.25">
      <c r="D5" s="2" t="s">
        <v>30</v>
      </c>
      <c r="E5" s="2" t="s">
        <v>31</v>
      </c>
      <c r="F5" s="28" t="s">
        <v>32</v>
      </c>
      <c r="G5" s="29"/>
      <c r="H5" s="29"/>
      <c r="I5" s="29"/>
      <c r="J5" s="29"/>
      <c r="K5" s="29"/>
      <c r="L5" s="29"/>
      <c r="M5" s="29"/>
      <c r="N5" s="29"/>
      <c r="O5" s="29"/>
      <c r="P5" s="30"/>
      <c r="Q5" s="28" t="s">
        <v>33</v>
      </c>
      <c r="R5" s="30"/>
    </row>
    <row r="6" spans="1:19" ht="60" x14ac:dyDescent="0.25">
      <c r="D6" s="3"/>
      <c r="E6" s="3"/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</row>
    <row r="7" spans="1:19" ht="15.75" thickBot="1" x14ac:dyDescent="0.3">
      <c r="D7" s="5" t="s">
        <v>0</v>
      </c>
      <c r="E7" s="5" t="s">
        <v>1</v>
      </c>
      <c r="F7" s="5" t="s">
        <v>2</v>
      </c>
      <c r="G7" s="5" t="s">
        <v>3</v>
      </c>
      <c r="H7" s="5" t="s">
        <v>4</v>
      </c>
      <c r="I7" s="5" t="s">
        <v>5</v>
      </c>
      <c r="J7" s="5" t="s">
        <v>6</v>
      </c>
      <c r="K7" s="5" t="s">
        <v>7</v>
      </c>
      <c r="L7" s="5" t="s">
        <v>8</v>
      </c>
      <c r="M7" s="5" t="s">
        <v>9</v>
      </c>
      <c r="N7" s="5" t="s">
        <v>10</v>
      </c>
      <c r="O7" s="5" t="s">
        <v>11</v>
      </c>
      <c r="P7" s="5" t="s">
        <v>12</v>
      </c>
      <c r="Q7" s="5" t="s">
        <v>13</v>
      </c>
      <c r="R7" s="5" t="s">
        <v>14</v>
      </c>
      <c r="S7" s="1"/>
    </row>
    <row r="8" spans="1:19" ht="30.75" thickBot="1" x14ac:dyDescent="0.3">
      <c r="A8" s="6" t="s">
        <v>34</v>
      </c>
      <c r="B8" s="7" t="s">
        <v>35</v>
      </c>
      <c r="C8" s="8" t="s">
        <v>36</v>
      </c>
      <c r="D8" s="9">
        <v>1</v>
      </c>
      <c r="E8" s="20"/>
      <c r="F8" s="24">
        <v>0</v>
      </c>
      <c r="G8" s="20"/>
      <c r="H8" s="16"/>
      <c r="I8" s="16"/>
      <c r="J8" s="16"/>
      <c r="K8" s="16"/>
      <c r="L8" s="14" t="s">
        <v>37</v>
      </c>
      <c r="M8" s="17"/>
      <c r="N8" s="16"/>
      <c r="O8" s="16"/>
      <c r="P8" s="16"/>
      <c r="Q8" s="20"/>
      <c r="R8" s="21"/>
      <c r="S8" s="10" t="str">
        <f>+'[1]T 30.00'!H10</f>
        <v>LCH SA</v>
      </c>
    </row>
    <row r="9" spans="1:19" ht="15.75" thickBot="1" x14ac:dyDescent="0.3">
      <c r="A9" s="11"/>
      <c r="B9" s="12"/>
      <c r="C9" s="8">
        <v>999</v>
      </c>
      <c r="D9" s="9">
        <v>2</v>
      </c>
      <c r="E9" s="20"/>
      <c r="F9" s="24">
        <v>0</v>
      </c>
      <c r="G9" s="20"/>
      <c r="H9" s="16"/>
      <c r="I9" s="16"/>
      <c r="J9" s="16"/>
      <c r="K9" s="16"/>
      <c r="L9" s="14" t="s">
        <v>37</v>
      </c>
      <c r="M9" s="17"/>
      <c r="N9" s="16"/>
      <c r="O9" s="16"/>
      <c r="P9" s="16"/>
      <c r="Q9" s="20"/>
      <c r="R9" s="21"/>
      <c r="S9" s="10" t="s">
        <v>38</v>
      </c>
    </row>
    <row r="10" spans="1:19" ht="15.75" thickBot="1" x14ac:dyDescent="0.3">
      <c r="C10" s="8" t="s">
        <v>36</v>
      </c>
      <c r="D10" s="9">
        <v>3</v>
      </c>
      <c r="E10" s="15"/>
      <c r="F10" s="15"/>
      <c r="G10" s="18"/>
      <c r="H10" s="18"/>
      <c r="I10" s="18"/>
      <c r="J10" s="18"/>
      <c r="K10" s="18"/>
      <c r="L10" s="18"/>
      <c r="M10" s="18"/>
      <c r="N10" s="22">
        <v>0</v>
      </c>
      <c r="O10" s="17"/>
      <c r="P10" s="17"/>
      <c r="Q10" s="22"/>
      <c r="R10" s="23"/>
      <c r="S10" s="10" t="str">
        <f>+'[1]T 30.00'!H11</f>
        <v>INTERBOLSA</v>
      </c>
    </row>
    <row r="11" spans="1:19" ht="15.75" thickBot="1" x14ac:dyDescent="0.3">
      <c r="C11" s="8" t="s">
        <v>36</v>
      </c>
      <c r="D11" s="9">
        <v>4</v>
      </c>
      <c r="E11" s="15"/>
      <c r="F11" s="15"/>
      <c r="G11" s="18"/>
      <c r="H11" s="18"/>
      <c r="I11" s="18"/>
      <c r="J11" s="18"/>
      <c r="K11" s="18"/>
      <c r="L11" s="18"/>
      <c r="M11" s="18"/>
      <c r="N11" s="22">
        <v>0</v>
      </c>
      <c r="O11" s="17"/>
      <c r="P11" s="17"/>
      <c r="Q11" s="22"/>
      <c r="R11" s="23"/>
      <c r="S11" s="10" t="str">
        <f>+'[1]T 30.00'!H12</f>
        <v>Euroclear Bank</v>
      </c>
    </row>
    <row r="12" spans="1:19" ht="15.75" thickBot="1" x14ac:dyDescent="0.3">
      <c r="C12" s="8" t="s">
        <v>36</v>
      </c>
      <c r="D12" s="9">
        <v>5</v>
      </c>
      <c r="E12" s="15"/>
      <c r="F12" s="15"/>
      <c r="G12" s="15"/>
      <c r="H12" s="15"/>
      <c r="I12" s="15"/>
      <c r="J12" s="15"/>
      <c r="K12" s="15"/>
      <c r="L12" s="13"/>
      <c r="M12" s="19"/>
      <c r="N12" s="14"/>
      <c r="O12" s="16"/>
      <c r="P12" s="16"/>
      <c r="Q12" s="20"/>
      <c r="R12" s="21"/>
      <c r="S12" s="10" t="str">
        <f>+'[1]T 30.00'!H13</f>
        <v>EURO 1</v>
      </c>
    </row>
    <row r="13" spans="1:19" ht="15.75" thickBot="1" x14ac:dyDescent="0.3">
      <c r="C13" s="8" t="s">
        <v>36</v>
      </c>
      <c r="D13" s="9">
        <v>6</v>
      </c>
      <c r="E13" s="15"/>
      <c r="F13" s="15"/>
      <c r="G13" s="15"/>
      <c r="H13" s="15"/>
      <c r="I13" s="15"/>
      <c r="J13" s="15"/>
      <c r="K13" s="15"/>
      <c r="L13" s="14"/>
      <c r="M13" s="18"/>
      <c r="N13" s="14"/>
      <c r="O13" s="16"/>
      <c r="P13" s="16"/>
      <c r="Q13" s="20"/>
      <c r="R13" s="21"/>
      <c r="S13" s="10" t="str">
        <f>+'[1]T 30.00'!H14</f>
        <v>SICOI</v>
      </c>
    </row>
    <row r="14" spans="1:19" ht="15.75" thickBot="1" x14ac:dyDescent="0.3">
      <c r="C14" s="8" t="s">
        <v>36</v>
      </c>
      <c r="D14" s="9">
        <v>7</v>
      </c>
      <c r="E14" s="15"/>
      <c r="F14" s="15"/>
      <c r="G14" s="15"/>
      <c r="H14" s="15"/>
      <c r="I14" s="15"/>
      <c r="J14" s="15"/>
      <c r="K14" s="15"/>
      <c r="L14" s="13"/>
      <c r="M14" s="19"/>
      <c r="N14" s="14"/>
      <c r="O14" s="16"/>
      <c r="P14" s="16"/>
      <c r="Q14" s="20"/>
      <c r="R14" s="21"/>
      <c r="S14" s="10" t="str">
        <f>+'[1]T 30.00'!H15</f>
        <v>STEP 2</v>
      </c>
    </row>
    <row r="15" spans="1:19" ht="15.75" thickBot="1" x14ac:dyDescent="0.3">
      <c r="C15" s="8" t="s">
        <v>36</v>
      </c>
      <c r="D15" s="9">
        <v>8</v>
      </c>
      <c r="E15" s="15"/>
      <c r="F15" s="15"/>
      <c r="G15" s="15"/>
      <c r="H15" s="15"/>
      <c r="I15" s="15"/>
      <c r="J15" s="15"/>
      <c r="K15" s="15"/>
      <c r="L15" s="13"/>
      <c r="M15" s="19"/>
      <c r="N15" s="14"/>
      <c r="O15" s="16"/>
      <c r="P15" s="16"/>
      <c r="Q15" s="20"/>
      <c r="R15" s="21"/>
      <c r="S15" s="10" t="str">
        <f>+'[1]T 30.00'!H16</f>
        <v>STEP 1</v>
      </c>
    </row>
    <row r="16" spans="1:19" ht="15.75" thickBot="1" x14ac:dyDescent="0.3">
      <c r="C16" s="8" t="s">
        <v>36</v>
      </c>
      <c r="D16" s="9">
        <v>9</v>
      </c>
      <c r="E16" s="15"/>
      <c r="F16" s="15"/>
      <c r="G16" s="15"/>
      <c r="H16" s="15"/>
      <c r="I16" s="15"/>
      <c r="J16" s="15"/>
      <c r="K16" s="15"/>
      <c r="L16" s="13"/>
      <c r="M16" s="19"/>
      <c r="N16" s="14"/>
      <c r="O16" s="16"/>
      <c r="P16" s="16"/>
      <c r="Q16" s="20"/>
      <c r="R16" s="21"/>
      <c r="S16" s="10" t="str">
        <f>+'[1]T 30.00'!H17</f>
        <v>TARGET2</v>
      </c>
    </row>
    <row r="17" spans="3:19" ht="15.75" thickBot="1" x14ac:dyDescent="0.3">
      <c r="C17" s="8" t="s">
        <v>36</v>
      </c>
      <c r="D17" s="9">
        <v>10</v>
      </c>
      <c r="E17" s="15"/>
      <c r="F17" s="15"/>
      <c r="G17" s="15"/>
      <c r="H17" s="15"/>
      <c r="I17" s="15"/>
      <c r="J17" s="15"/>
      <c r="K17" s="15"/>
      <c r="L17" s="13"/>
      <c r="M17" s="19"/>
      <c r="N17" s="20">
        <v>0</v>
      </c>
      <c r="O17" s="16"/>
      <c r="P17" s="16"/>
      <c r="Q17" s="20"/>
      <c r="R17" s="21"/>
      <c r="S17" s="10" t="str">
        <f>+'[1]T 30.00'!H18</f>
        <v>TARGET2</v>
      </c>
    </row>
  </sheetData>
  <mergeCells count="4">
    <mergeCell ref="A1:R1"/>
    <mergeCell ref="D4:R4"/>
    <mergeCell ref="F5:P5"/>
    <mergeCell ref="Q5:R5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399B4-6F1E-4EAC-98D4-158A626CA6ED}"/>
</file>

<file path=customXml/itemProps2.xml><?xml version="1.0" encoding="utf-8"?>
<ds:datastoreItem xmlns:ds="http://schemas.openxmlformats.org/officeDocument/2006/customXml" ds:itemID="{6F397B53-586F-497C-B3A1-18EFEBCEDDCA}"/>
</file>

<file path=customXml/itemProps3.xml><?xml version="1.0" encoding="utf-8"?>
<ds:datastoreItem xmlns:ds="http://schemas.openxmlformats.org/officeDocument/2006/customXml" ds:itemID="{34DC2D2C-D902-4475-B7A7-14DA7C99C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Luís Filipe da Silva Pragosa</cp:lastModifiedBy>
  <dcterms:created xsi:type="dcterms:W3CDTF">2023-07-31T13:21:11Z</dcterms:created>
  <dcterms:modified xsi:type="dcterms:W3CDTF">2023-10-23T17:47:16Z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2023-07-31T14:52:33Z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19954b8a-189e-449e-b1b4-3421d6f3c9a7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