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1. FMIR\1. Documentação\2. Documentação IT\"/>
    </mc:Choice>
  </mc:AlternateContent>
  <bookViews>
    <workbookView xWindow="0" yWindow="0" windowWidth="19200" windowHeight="7050" activeTab="1"/>
  </bookViews>
  <sheets>
    <sheet name="Valores agregados" sheetId="4" r:id="rId1"/>
    <sheet name="Valores desagregados" sheetId="1" r:id="rId2"/>
    <sheet name="RESUMO" sheetId="2" r:id="rId3"/>
    <sheet name="DETALHE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2" i="1"/>
  <c r="K67" i="1" l="1"/>
  <c r="J67" i="1"/>
  <c r="K57" i="1"/>
  <c r="J57" i="1"/>
  <c r="K46" i="1"/>
  <c r="J46" i="1"/>
  <c r="K35" i="1"/>
  <c r="J35" i="1"/>
  <c r="K24" i="1"/>
  <c r="J24" i="1"/>
  <c r="K13" i="1"/>
  <c r="J13" i="1"/>
  <c r="K2" i="1"/>
  <c r="J2" i="1"/>
  <c r="D98" i="1" l="1"/>
  <c r="C98" i="1"/>
  <c r="C100" i="1" s="1"/>
  <c r="D87" i="1"/>
  <c r="C87" i="1"/>
  <c r="C89" i="1" s="1"/>
  <c r="D76" i="1"/>
  <c r="C76" i="1"/>
  <c r="C78" i="1" s="1"/>
  <c r="D65" i="1"/>
  <c r="C65" i="1"/>
  <c r="C67" i="1" s="1"/>
  <c r="D54" i="1"/>
  <c r="C54" i="1"/>
  <c r="C56" i="1" s="1"/>
  <c r="D43" i="1"/>
  <c r="C43" i="1"/>
  <c r="C45" i="1" s="1"/>
  <c r="D32" i="1"/>
  <c r="C32" i="1"/>
  <c r="C34" i="1" s="1"/>
  <c r="C21" i="1"/>
  <c r="D21" i="1"/>
  <c r="D10" i="1"/>
  <c r="C10" i="1"/>
  <c r="C12" i="1" s="1"/>
  <c r="E100" i="1"/>
  <c r="E89" i="1"/>
  <c r="E78" i="1"/>
  <c r="E67" i="1"/>
  <c r="E56" i="1"/>
  <c r="E45" i="1"/>
  <c r="E34" i="1"/>
  <c r="E23" i="1"/>
  <c r="E12" i="1"/>
  <c r="C23" i="1" l="1"/>
</calcChain>
</file>

<file path=xl/sharedStrings.xml><?xml version="1.0" encoding="utf-8"?>
<sst xmlns="http://schemas.openxmlformats.org/spreadsheetml/2006/main" count="360" uniqueCount="165">
  <si>
    <t>Data</t>
  </si>
  <si>
    <t>SUM TOTAL cd_contabilidade</t>
  </si>
  <si>
    <t>SUM TOTAL cd_cartoes</t>
  </si>
  <si>
    <t>Banco de Portugal
Total Movimentos a Débito</t>
  </si>
  <si>
    <t>SIBS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</si>
  <si>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</si>
  <si>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</si>
  <si>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</si>
  <si>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</si>
  <si>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</si>
  <si>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</si>
  <si>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</si>
  <si>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</si>
  <si>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?</t>
  </si>
  <si>
    <t>2023-09</t>
  </si>
  <si>
    <t>cd_contabilidade,cgt06_histparc 
cgyd06c0_clacon</t>
  </si>
  <si>
    <t>cd_contabilidade,cgt06_histparc 
sum(cgyd06c0_imph)</t>
  </si>
  <si>
    <t>cd_contabilidade,cgt06_histparc 
sum(cgyd06c0_impd)</t>
  </si>
  <si>
    <t>CD_CARTOES,crt12 Cartoes Credito (indori=1)</t>
  </si>
  <si>
    <t>CD_CARTOES,crt90 Cartoes Debito (indori=1)</t>
  </si>
  <si>
    <t>SIBS?</t>
  </si>
  <si>
    <t>Y00</t>
  </si>
  <si>
    <t>Y02</t>
  </si>
  <si>
    <t>Y03</t>
  </si>
  <si>
    <t>Y04</t>
  </si>
  <si>
    <t>Y05</t>
  </si>
  <si>
    <t>Y06</t>
  </si>
  <si>
    <t>Y07</t>
  </si>
  <si>
    <t>SUM Credito</t>
  </si>
  <si>
    <t>SUM Debito</t>
  </si>
  <si>
    <t>Query Usada</t>
  </si>
  <si>
    <t>select substr(data_date_part,1,7) as data_date, cgyd06c0_clacon, sum(cgyd06c0_impd), sum(cgyd06c0_imph)
from cd_contabilidade.cgt06_histparc where data_date_part like '2023%' 
and cgyd06c0_nucta='589913012' 
group by cgyd06c0_clacon, data_date
order by data_date, cgyd06c0_clacon</t>
  </si>
  <si>
    <t>select a.data_date, cred, deb
FROM
(SELECT substr(data_date_part,1,7) as data_date, SUM(ABS(CAST(impfac as DECIMAL(30,2)))) as cred from cd_cartoes.crt12 
where data_date_part like '2023%' and indori = ' 1' group by data_date ) as a 
LEFT JOIN 
(SELECT substr(data_date_part,1,7) as data_date, SUM(CAST(impfac as DECIMAL(30,2))) as deb from cd_cartoes.crt90 
where data_date_part like '2023%' and indori = ' 1' group by data_date ) as b
ON a.data_date = b.data_date
order by data_date</t>
  </si>
  <si>
    <t>Regras</t>
  </si>
  <si>
    <t>Levantamentos ATM's</t>
  </si>
  <si>
    <t>CX</t>
  </si>
  <si>
    <t>Conta Ficheiro Origens</t>
  </si>
  <si>
    <t>Conta Dep Num</t>
  </si>
  <si>
    <t>Y04 - total credor</t>
  </si>
  <si>
    <t>Y05 - total devedor</t>
  </si>
  <si>
    <t>Conta Real Time</t>
  </si>
  <si>
    <t>GET</t>
  </si>
  <si>
    <t>DO's</t>
  </si>
  <si>
    <t xml:space="preserve">Banco Portugal </t>
  </si>
  <si>
    <t>Conta Compensação BP</t>
  </si>
  <si>
    <t>Conta Ficheiro Movimentos</t>
  </si>
  <si>
    <t>Conta Batch</t>
  </si>
  <si>
    <t>Y00 - total credor</t>
  </si>
  <si>
    <t>Y06 - total credor</t>
  </si>
  <si>
    <t>Y01 - total devedor</t>
  </si>
  <si>
    <t>Y07 - total devedor</t>
  </si>
  <si>
    <t>Comissões BST P&amp;L</t>
  </si>
  <si>
    <t>DO's GetNet</t>
  </si>
  <si>
    <t>Liquidação finaceira</t>
  </si>
  <si>
    <t>Conta Ficheiro Destinos</t>
  </si>
  <si>
    <t>Y02 - total credor</t>
  </si>
  <si>
    <t>Y03 - total devedor</t>
  </si>
  <si>
    <t>RESUME DO CIRCUITO DA COMPENSAÇÃO MULTIBANCO</t>
  </si>
  <si>
    <t xml:space="preserve">  TOTAIS COMPENSAÇÃO</t>
  </si>
  <si>
    <t>11 - BP</t>
  </si>
  <si>
    <t>589913012 - CIR(BP)</t>
  </si>
  <si>
    <t>589913011 - DST</t>
  </si>
  <si>
    <t>589913022 - MOV</t>
  </si>
  <si>
    <t>589913013 - ORI</t>
  </si>
  <si>
    <t>B</t>
  </si>
  <si>
    <t>C</t>
  </si>
  <si>
    <t>F</t>
  </si>
  <si>
    <t>A</t>
  </si>
  <si>
    <t>D</t>
  </si>
  <si>
    <t>E</t>
  </si>
  <si>
    <t xml:space="preserve"> total compensação credor</t>
  </si>
  <si>
    <t>Y01</t>
  </si>
  <si>
    <t>total compensação devedor</t>
  </si>
  <si>
    <r>
      <t xml:space="preserve">total ficheiro </t>
    </r>
    <r>
      <rPr>
        <b/>
        <sz val="8"/>
        <rFont val="Tahoma"/>
        <family val="2"/>
      </rPr>
      <t>D</t>
    </r>
    <r>
      <rPr>
        <sz val="8"/>
        <rFont val="Tahoma"/>
        <family val="2"/>
      </rPr>
      <t>e</t>
    </r>
    <r>
      <rPr>
        <b/>
        <sz val="8"/>
        <rFont val="Tahoma"/>
        <family val="2"/>
      </rPr>
      <t>ST</t>
    </r>
    <r>
      <rPr>
        <sz val="8"/>
        <rFont val="Tahoma"/>
        <family val="2"/>
      </rPr>
      <t>inos credor</t>
    </r>
  </si>
  <si>
    <r>
      <t xml:space="preserve">total ficheiro </t>
    </r>
    <r>
      <rPr>
        <b/>
        <sz val="8"/>
        <rFont val="Tahoma"/>
        <family val="2"/>
      </rPr>
      <t>D</t>
    </r>
    <r>
      <rPr>
        <sz val="8"/>
        <rFont val="Tahoma"/>
        <family val="2"/>
      </rPr>
      <t>e</t>
    </r>
    <r>
      <rPr>
        <b/>
        <sz val="8"/>
        <rFont val="Tahoma"/>
        <family val="2"/>
      </rPr>
      <t>ST</t>
    </r>
    <r>
      <rPr>
        <sz val="8"/>
        <rFont val="Tahoma"/>
        <family val="2"/>
      </rPr>
      <t>inos devedor</t>
    </r>
  </si>
  <si>
    <r>
      <t xml:space="preserve">total ficheiro </t>
    </r>
    <r>
      <rPr>
        <b/>
        <sz val="8"/>
        <rFont val="Tahoma"/>
        <family val="2"/>
      </rPr>
      <t>ORI</t>
    </r>
    <r>
      <rPr>
        <sz val="8"/>
        <rFont val="Tahoma"/>
        <family val="2"/>
      </rPr>
      <t>gens credor</t>
    </r>
  </si>
  <si>
    <r>
      <t xml:space="preserve">total ficheiro </t>
    </r>
    <r>
      <rPr>
        <b/>
        <sz val="8"/>
        <rFont val="Tahoma"/>
        <family val="2"/>
      </rPr>
      <t>ORI</t>
    </r>
    <r>
      <rPr>
        <sz val="8"/>
        <rFont val="Tahoma"/>
        <family val="2"/>
      </rPr>
      <t>gens devedor</t>
    </r>
  </si>
  <si>
    <r>
      <t xml:space="preserve">total ficheiro </t>
    </r>
    <r>
      <rPr>
        <b/>
        <sz val="8"/>
        <rFont val="Tahoma"/>
        <family val="2"/>
      </rPr>
      <t>MOV</t>
    </r>
    <r>
      <rPr>
        <sz val="8"/>
        <rFont val="Tahoma"/>
        <family val="2"/>
      </rPr>
      <t>imentos credor</t>
    </r>
  </si>
  <si>
    <r>
      <t xml:space="preserve">total ficheiro </t>
    </r>
    <r>
      <rPr>
        <b/>
        <sz val="8"/>
        <rFont val="Tahoma"/>
        <family val="2"/>
      </rPr>
      <t>MOV</t>
    </r>
    <r>
      <rPr>
        <sz val="8"/>
        <rFont val="Tahoma"/>
        <family val="2"/>
      </rPr>
      <t>imentos devedor</t>
    </r>
  </si>
  <si>
    <r>
      <t xml:space="preserve"> A  /  B   -  </t>
    </r>
    <r>
      <rPr>
        <b/>
        <sz val="10"/>
        <rFont val="Tahoma"/>
        <family val="2"/>
      </rPr>
      <t>FICHEIRO DESTINOS</t>
    </r>
  </si>
  <si>
    <t>movimentos recebidos para DO's e comissionamento</t>
  </si>
  <si>
    <t>exemplo</t>
  </si>
  <si>
    <t>589913018 - batch</t>
  </si>
  <si>
    <t>589913000 - RT</t>
  </si>
  <si>
    <t>A) levantamentos - batch</t>
  </si>
  <si>
    <t>CR14 YBN</t>
  </si>
  <si>
    <t>CR10 YBN</t>
  </si>
  <si>
    <t>Custos</t>
  </si>
  <si>
    <t>A) levantamentos - RT</t>
  </si>
  <si>
    <t>CR12 YBN</t>
  </si>
  <si>
    <t>OP08 YBN</t>
  </si>
  <si>
    <t>A) custo</t>
  </si>
  <si>
    <t>CR10 ???</t>
  </si>
  <si>
    <t>B) estorno levantamentos - batch</t>
  </si>
  <si>
    <t>CR15 YBN</t>
  </si>
  <si>
    <t>CR11 YBN</t>
  </si>
  <si>
    <t>PROVEITOS</t>
  </si>
  <si>
    <t>B) estorno levantamentos - RT</t>
  </si>
  <si>
    <t>CR13 YBN</t>
  </si>
  <si>
    <t>OP06 YBN</t>
  </si>
  <si>
    <t>B) proveito</t>
  </si>
  <si>
    <t>CR10 ***</t>
  </si>
  <si>
    <t>32XXX - DO</t>
  </si>
  <si>
    <r>
      <t xml:space="preserve"> C  /  D   -  </t>
    </r>
    <r>
      <rPr>
        <b/>
        <sz val="10"/>
        <rFont val="Tahoma"/>
        <family val="2"/>
      </rPr>
      <t>FICHEIRO MOVIMENTOS</t>
    </r>
  </si>
  <si>
    <t>movimentos recebidos para DO's comerciantes, clearings e comissionamento</t>
  </si>
  <si>
    <t>D) anulação fecho TPA - batch</t>
  </si>
  <si>
    <t>CR15 MVA</t>
  </si>
  <si>
    <t>CR11 MVA</t>
  </si>
  <si>
    <t>D) anulação fecho TPA - RT</t>
  </si>
  <si>
    <t>CR13 MVA</t>
  </si>
  <si>
    <t>OP08 MVA</t>
  </si>
  <si>
    <t>D) custo</t>
  </si>
  <si>
    <t>CR10 MRP</t>
  </si>
  <si>
    <t>C) fecho TPA - batch</t>
  </si>
  <si>
    <t>CR14MVA</t>
  </si>
  <si>
    <t>CR10 MVA</t>
  </si>
  <si>
    <t>CR14 MVA</t>
  </si>
  <si>
    <t>C) fecho TPA - RT</t>
  </si>
  <si>
    <t>CR12 MVA</t>
  </si>
  <si>
    <t>OP06 MVA</t>
  </si>
  <si>
    <t>C) proveito</t>
  </si>
  <si>
    <t>CR10 MRC</t>
  </si>
  <si>
    <r>
      <t xml:space="preserve"> E  /  F   -  </t>
    </r>
    <r>
      <rPr>
        <b/>
        <sz val="10"/>
        <rFont val="Tahoma"/>
        <family val="2"/>
      </rPr>
      <t>FICHEIRO ORIGENS</t>
    </r>
  </si>
  <si>
    <t>movimentos de ATM's - depósitos, levantamentos e tarifário interbancário</t>
  </si>
  <si>
    <t>58503 - CIR (DEP)</t>
  </si>
  <si>
    <t>589913014 - CIR (LEV)</t>
  </si>
  <si>
    <t>F) importâncias depositos</t>
  </si>
  <si>
    <t>CR10 YEN</t>
  </si>
  <si>
    <t>G</t>
  </si>
  <si>
    <t>PROVEITOS/CUSTOS</t>
  </si>
  <si>
    <t>F) tarifas interbancarias</t>
  </si>
  <si>
    <t>CR10 YES</t>
  </si>
  <si>
    <t>E) levantamentos nacionais</t>
  </si>
  <si>
    <t>CR10 YEP</t>
  </si>
  <si>
    <t>H</t>
  </si>
  <si>
    <t>E) levantamentos internacionais</t>
  </si>
  <si>
    <t>CR10 YEQ</t>
  </si>
  <si>
    <t>E) tarifas interbancarias</t>
  </si>
  <si>
    <t>CR10 YET</t>
  </si>
  <si>
    <t>G - Depósito de Numerário - ATM</t>
  </si>
  <si>
    <t>Máquinas</t>
  </si>
  <si>
    <t>1090 - CAIXA</t>
  </si>
  <si>
    <t>Sib's</t>
  </si>
  <si>
    <t>conf TOTAIS  - Ficheiro ORIGENS</t>
  </si>
  <si>
    <t>Balcão</t>
  </si>
  <si>
    <t>fecho contab do atm</t>
  </si>
  <si>
    <t>GB15 DAM</t>
  </si>
  <si>
    <t>clientes</t>
  </si>
  <si>
    <t>crédito em DO</t>
  </si>
  <si>
    <t>OP06 DAM</t>
  </si>
  <si>
    <t>OP06 ATM</t>
  </si>
  <si>
    <t>conf credito à DO Sib's</t>
  </si>
  <si>
    <t>CR12 DAM</t>
  </si>
  <si>
    <t>*</t>
  </si>
  <si>
    <t>esta conta fecha pelos montantes informados no RMB</t>
  </si>
  <si>
    <t>CR12 ATM</t>
  </si>
  <si>
    <t>H - Levantamentos nacionais e Internacionais - ATM</t>
  </si>
  <si>
    <t>10001 - CX (ATM)</t>
  </si>
  <si>
    <t>fecho maq - total levantamentos</t>
  </si>
  <si>
    <t>GB15 31A</t>
  </si>
  <si>
    <t xml:space="preserve">abre maq - carregamento </t>
  </si>
  <si>
    <t>GB15 33B</t>
  </si>
  <si>
    <t>DIF CGT06</t>
  </si>
  <si>
    <t>DIF Origem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</si>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</sst>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color indexed="18"/>
      <name val="Calibri"/>
      <family val="2"/>
    </font>
    <font>
      <sz val="10"/>
      <color indexed="12"/>
      <name val="Calibri"/>
      <family val="2"/>
    </font>
    <font>
      <b/>
      <sz val="10"/>
      <color indexed="58"/>
      <name val="Calibri"/>
      <family val="2"/>
    </font>
    <font>
      <b/>
      <sz val="10"/>
      <name val="Calibri"/>
      <family val="2"/>
    </font>
    <font>
      <b/>
      <sz val="10"/>
      <color indexed="9"/>
      <name val="Calibri"/>
      <family val="2"/>
    </font>
    <font>
      <b/>
      <sz val="10"/>
      <color indexed="10"/>
      <name val="Calibri"/>
      <family val="2"/>
    </font>
    <font>
      <b/>
      <sz val="10"/>
      <color indexed="19"/>
      <name val="Calibri"/>
      <family val="2"/>
    </font>
    <font>
      <b/>
      <sz val="11"/>
      <color indexed="12"/>
      <name val="Tahoma"/>
      <family val="2"/>
    </font>
    <font>
      <sz val="10"/>
      <name val="Tahoma"/>
      <family val="2"/>
    </font>
    <font>
      <b/>
      <sz val="10"/>
      <color indexed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color indexed="10"/>
      <name val="Tahoma"/>
      <family val="2"/>
    </font>
    <font>
      <b/>
      <sz val="8"/>
      <color indexed="12"/>
      <name val="Tahoma"/>
      <family val="2"/>
    </font>
    <font>
      <b/>
      <sz val="10"/>
      <color indexed="10"/>
      <name val="Tahoma"/>
      <family val="2"/>
    </font>
    <font>
      <sz val="10"/>
      <color indexed="12"/>
      <name val="Tahoma"/>
      <family val="2"/>
    </font>
    <font>
      <b/>
      <sz val="8"/>
      <color indexed="53"/>
      <name val="Tahoma"/>
      <family val="2"/>
    </font>
    <font>
      <b/>
      <sz val="10"/>
      <color indexed="53"/>
      <name val="Tahoma"/>
      <family val="2"/>
    </font>
    <font>
      <b/>
      <sz val="11"/>
      <color indexed="53"/>
      <name val="Tahoma"/>
      <family val="2"/>
    </font>
    <font>
      <b/>
      <sz val="11"/>
      <name val="Tahoma"/>
      <family val="2"/>
    </font>
    <font>
      <sz val="10"/>
      <color indexed="10"/>
      <name val="Tahoma"/>
      <family val="2"/>
    </font>
    <font>
      <sz val="8"/>
      <color indexed="1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18"/>
      </left>
      <right style="double">
        <color indexed="18"/>
      </right>
      <top style="double">
        <color indexed="18"/>
      </top>
      <bottom/>
      <diagonal/>
    </border>
    <border>
      <left style="double">
        <color indexed="18"/>
      </left>
      <right style="double">
        <color indexed="18"/>
      </right>
      <top style="double">
        <color indexed="18"/>
      </top>
      <bottom style="double">
        <color indexed="18"/>
      </bottom>
      <diagonal/>
    </border>
    <border>
      <left style="double">
        <color indexed="18"/>
      </left>
      <right style="double">
        <color indexed="18"/>
      </right>
      <top/>
      <bottom style="double">
        <color indexed="18"/>
      </bottom>
      <diagonal/>
    </border>
    <border>
      <left style="double">
        <color indexed="58"/>
      </left>
      <right style="double">
        <color indexed="58"/>
      </right>
      <top style="double">
        <color indexed="58"/>
      </top>
      <bottom/>
      <diagonal/>
    </border>
    <border>
      <left style="double">
        <color indexed="58"/>
      </left>
      <right style="double">
        <color indexed="58"/>
      </right>
      <top/>
      <bottom style="double">
        <color indexed="58"/>
      </bottom>
      <diagonal/>
    </border>
    <border>
      <left style="double">
        <color indexed="58"/>
      </left>
      <right style="double">
        <color indexed="58"/>
      </right>
      <top style="double">
        <color indexed="58"/>
      </top>
      <bottom style="double">
        <color indexed="58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 style="double">
        <color indexed="10"/>
      </right>
      <top/>
      <bottom style="double">
        <color indexed="10"/>
      </bottom>
      <diagonal/>
    </border>
    <border>
      <left style="double">
        <color indexed="19"/>
      </left>
      <right style="double">
        <color indexed="19"/>
      </right>
      <top style="double">
        <color indexed="19"/>
      </top>
      <bottom style="double">
        <color indexed="19"/>
      </bottom>
      <diagonal/>
    </border>
    <border>
      <left style="double">
        <color indexed="19"/>
      </left>
      <right style="double">
        <color indexed="19"/>
      </right>
      <top style="double">
        <color indexed="19"/>
      </top>
      <bottom/>
      <diagonal/>
    </border>
    <border>
      <left style="double">
        <color indexed="19"/>
      </left>
      <right style="double">
        <color indexed="19"/>
      </right>
      <top/>
      <bottom style="double">
        <color indexed="1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9">
    <xf numFmtId="0" fontId="0" fillId="0" borderId="0" xfId="0"/>
    <xf numFmtId="4" fontId="0" fillId="0" borderId="0" xfId="0" applyNumberFormat="1"/>
    <xf numFmtId="4" fontId="0" fillId="4" borderId="1" xfId="0" applyNumberFormat="1" applyFill="1" applyBorder="1" applyAlignment="1">
      <alignment horizontal="center" vertical="center"/>
    </xf>
    <xf numFmtId="4" fontId="0" fillId="4" borderId="4" xfId="0" applyNumberFormat="1" applyFill="1" applyBorder="1" applyAlignment="1">
      <alignment horizontal="center" vertical="center"/>
    </xf>
    <xf numFmtId="4" fontId="0" fillId="4" borderId="5" xfId="0" applyNumberFormat="1" applyFill="1" applyBorder="1" applyAlignment="1">
      <alignment horizontal="center" vertical="center"/>
    </xf>
    <xf numFmtId="4" fontId="0" fillId="4" borderId="6" xfId="0" applyNumberFormat="1" applyFill="1" applyBorder="1" applyAlignment="1">
      <alignment horizontal="center" vertical="center"/>
    </xf>
    <xf numFmtId="4" fontId="0" fillId="4" borderId="14" xfId="0" applyNumberFormat="1" applyFill="1" applyBorder="1" applyAlignment="1">
      <alignment horizontal="center" vertical="center"/>
    </xf>
    <xf numFmtId="4" fontId="0" fillId="4" borderId="20" xfId="0" applyNumberFormat="1" applyFill="1" applyBorder="1" applyAlignment="1">
      <alignment horizontal="center" vertical="center"/>
    </xf>
    <xf numFmtId="4" fontId="1" fillId="4" borderId="2" xfId="0" applyNumberFormat="1" applyFont="1" applyFill="1" applyBorder="1" applyAlignment="1">
      <alignment horizontal="center" vertical="center"/>
    </xf>
    <xf numFmtId="4" fontId="1" fillId="4" borderId="3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4" fontId="0" fillId="4" borderId="21" xfId="0" applyNumberForma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4" fillId="7" borderId="25" xfId="1" applyFont="1" applyFill="1" applyBorder="1" applyAlignment="1">
      <alignment horizontal="center"/>
    </xf>
    <xf numFmtId="0" fontId="4" fillId="7" borderId="26" xfId="1" applyFont="1" applyFill="1" applyBorder="1" applyAlignment="1">
      <alignment horizontal="center"/>
    </xf>
    <xf numFmtId="0" fontId="4" fillId="7" borderId="27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6" fillId="8" borderId="28" xfId="1" applyFont="1" applyFill="1" applyBorder="1" applyAlignment="1">
      <alignment horizontal="center"/>
    </xf>
    <xf numFmtId="0" fontId="6" fillId="8" borderId="29" xfId="1" applyFont="1" applyFill="1" applyBorder="1" applyAlignment="1">
      <alignment horizontal="center"/>
    </xf>
    <xf numFmtId="0" fontId="6" fillId="8" borderId="30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8" fillId="9" borderId="31" xfId="1" applyFont="1" applyFill="1" applyBorder="1" applyAlignment="1">
      <alignment horizontal="center"/>
    </xf>
    <xf numFmtId="0" fontId="9" fillId="0" borderId="31" xfId="1" applyFont="1" applyBorder="1" applyAlignment="1">
      <alignment horizontal="center"/>
    </xf>
    <xf numFmtId="0" fontId="5" fillId="0" borderId="0" xfId="1" applyFont="1" applyAlignment="1">
      <alignment horizontal="center" vertical="top"/>
    </xf>
    <xf numFmtId="0" fontId="8" fillId="9" borderId="32" xfId="1" applyFont="1" applyFill="1" applyBorder="1" applyAlignment="1">
      <alignment horizontal="center"/>
    </xf>
    <xf numFmtId="0" fontId="9" fillId="0" borderId="32" xfId="1" applyFont="1" applyBorder="1" applyAlignment="1">
      <alignment horizontal="center"/>
    </xf>
    <xf numFmtId="0" fontId="10" fillId="10" borderId="33" xfId="1" applyFont="1" applyFill="1" applyBorder="1" applyAlignment="1">
      <alignment horizontal="center"/>
    </xf>
    <xf numFmtId="0" fontId="10" fillId="10" borderId="0" xfId="1" applyFont="1" applyFill="1" applyAlignment="1">
      <alignment horizontal="center"/>
    </xf>
    <xf numFmtId="0" fontId="10" fillId="10" borderId="34" xfId="1" applyFont="1" applyFill="1" applyBorder="1" applyAlignment="1">
      <alignment horizontal="center"/>
    </xf>
    <xf numFmtId="0" fontId="10" fillId="10" borderId="35" xfId="1" applyFont="1" applyFill="1" applyBorder="1" applyAlignment="1">
      <alignment horizontal="center"/>
    </xf>
    <xf numFmtId="0" fontId="12" fillId="0" borderId="0" xfId="1" applyFont="1"/>
    <xf numFmtId="0" fontId="13" fillId="0" borderId="0" xfId="1" applyFont="1"/>
    <xf numFmtId="0" fontId="15" fillId="0" borderId="0" xfId="1" applyFont="1"/>
    <xf numFmtId="0" fontId="16" fillId="0" borderId="0" xfId="1" applyFont="1" applyAlignment="1">
      <alignment horizontal="center"/>
    </xf>
    <xf numFmtId="0" fontId="17" fillId="0" borderId="39" xfId="1" applyFont="1" applyBorder="1" applyAlignment="1">
      <alignment horizontal="center"/>
    </xf>
    <xf numFmtId="0" fontId="17" fillId="0" borderId="40" xfId="1" applyFont="1" applyBorder="1" applyAlignment="1">
      <alignment horizontal="center"/>
    </xf>
    <xf numFmtId="0" fontId="17" fillId="0" borderId="0" xfId="1" applyFont="1"/>
    <xf numFmtId="0" fontId="18" fillId="0" borderId="39" xfId="1" applyFont="1" applyBorder="1" applyAlignment="1">
      <alignment horizontal="center"/>
    </xf>
    <xf numFmtId="0" fontId="18" fillId="0" borderId="40" xfId="1" applyFont="1" applyBorder="1" applyAlignment="1">
      <alignment horizontal="center"/>
    </xf>
    <xf numFmtId="0" fontId="19" fillId="0" borderId="0" xfId="1" applyFont="1" applyAlignment="1">
      <alignment horizontal="center"/>
    </xf>
    <xf numFmtId="0" fontId="17" fillId="0" borderId="41" xfId="1" applyFont="1" applyBorder="1" applyAlignment="1">
      <alignment horizontal="center"/>
    </xf>
    <xf numFmtId="0" fontId="17" fillId="0" borderId="42" xfId="1" applyFont="1" applyBorder="1" applyAlignment="1">
      <alignment horizontal="center"/>
    </xf>
    <xf numFmtId="0" fontId="18" fillId="0" borderId="42" xfId="1" applyFont="1" applyBorder="1" applyAlignment="1">
      <alignment horizontal="center"/>
    </xf>
    <xf numFmtId="0" fontId="18" fillId="0" borderId="41" xfId="1" applyFont="1" applyBorder="1" applyAlignment="1">
      <alignment horizontal="center"/>
    </xf>
    <xf numFmtId="0" fontId="19" fillId="0" borderId="0" xfId="1" applyFont="1"/>
    <xf numFmtId="0" fontId="17" fillId="0" borderId="40" xfId="1" applyFont="1" applyBorder="1" applyAlignment="1">
      <alignment horizontal="right"/>
    </xf>
    <xf numFmtId="0" fontId="15" fillId="0" borderId="43" xfId="1" applyFont="1" applyBorder="1"/>
    <xf numFmtId="0" fontId="12" fillId="0" borderId="39" xfId="1" applyFont="1" applyBorder="1"/>
    <xf numFmtId="0" fontId="17" fillId="0" borderId="42" xfId="1" applyFont="1" applyBorder="1" applyAlignment="1">
      <alignment horizontal="right"/>
    </xf>
    <xf numFmtId="0" fontId="12" fillId="0" borderId="41" xfId="1" applyFont="1" applyBorder="1"/>
    <xf numFmtId="0" fontId="17" fillId="0" borderId="0" xfId="1" applyFont="1" applyAlignment="1">
      <alignment horizontal="right"/>
    </xf>
    <xf numFmtId="0" fontId="17" fillId="0" borderId="44" xfId="1" applyFont="1" applyBorder="1" applyAlignment="1">
      <alignment horizontal="right"/>
    </xf>
    <xf numFmtId="0" fontId="15" fillId="0" borderId="38" xfId="1" applyFont="1" applyBorder="1"/>
    <xf numFmtId="0" fontId="12" fillId="0" borderId="45" xfId="1" applyFont="1" applyBorder="1"/>
    <xf numFmtId="0" fontId="19" fillId="0" borderId="0" xfId="1" applyFont="1" applyAlignment="1">
      <alignment horizontal="right"/>
    </xf>
    <xf numFmtId="0" fontId="18" fillId="0" borderId="0" xfId="1" applyFont="1"/>
    <xf numFmtId="0" fontId="14" fillId="0" borderId="0" xfId="1" applyFont="1"/>
    <xf numFmtId="0" fontId="14" fillId="0" borderId="42" xfId="1" applyFont="1" applyBorder="1" applyAlignment="1">
      <alignment horizontal="center"/>
    </xf>
    <xf numFmtId="0" fontId="14" fillId="0" borderId="41" xfId="1" applyFont="1" applyBorder="1" applyAlignment="1">
      <alignment horizontal="center"/>
    </xf>
    <xf numFmtId="0" fontId="18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14" fillId="0" borderId="39" xfId="1" applyFont="1" applyBorder="1" applyAlignment="1">
      <alignment horizontal="center"/>
    </xf>
    <xf numFmtId="0" fontId="14" fillId="0" borderId="40" xfId="1" applyFont="1" applyBorder="1" applyAlignment="1">
      <alignment horizontal="center"/>
    </xf>
    <xf numFmtId="0" fontId="20" fillId="0" borderId="0" xfId="1" applyFont="1" applyAlignment="1">
      <alignment horizontal="center"/>
    </xf>
    <xf numFmtId="0" fontId="21" fillId="0" borderId="42" xfId="1" applyFont="1" applyBorder="1" applyAlignment="1">
      <alignment horizontal="center"/>
    </xf>
    <xf numFmtId="0" fontId="14" fillId="0" borderId="41" xfId="1" applyFont="1" applyBorder="1" applyAlignment="1">
      <alignment horizontal="center" vertical="center"/>
    </xf>
    <xf numFmtId="0" fontId="21" fillId="0" borderId="41" xfId="1" applyFont="1" applyBorder="1" applyAlignment="1">
      <alignment horizontal="center"/>
    </xf>
    <xf numFmtId="0" fontId="17" fillId="0" borderId="0" xfId="1" applyFont="1" applyAlignment="1">
      <alignment vertical="center" shrinkToFit="1"/>
    </xf>
    <xf numFmtId="0" fontId="22" fillId="0" borderId="40" xfId="1" applyFont="1" applyBorder="1"/>
    <xf numFmtId="0" fontId="23" fillId="0" borderId="43" xfId="1" applyFont="1" applyBorder="1" applyAlignment="1">
      <alignment vertical="center"/>
    </xf>
    <xf numFmtId="0" fontId="24" fillId="0" borderId="43" xfId="1" applyFont="1" applyBorder="1" applyAlignment="1">
      <alignment vertical="center"/>
    </xf>
    <xf numFmtId="0" fontId="12" fillId="0" borderId="43" xfId="1" applyFont="1" applyBorder="1"/>
    <xf numFmtId="0" fontId="12" fillId="0" borderId="42" xfId="1" applyFont="1" applyBorder="1"/>
    <xf numFmtId="0" fontId="18" fillId="0" borderId="42" xfId="1" applyFont="1" applyBorder="1"/>
    <xf numFmtId="0" fontId="14" fillId="0" borderId="42" xfId="1" applyFont="1" applyBorder="1"/>
    <xf numFmtId="0" fontId="15" fillId="0" borderId="42" xfId="1" applyFont="1" applyBorder="1"/>
    <xf numFmtId="0" fontId="25" fillId="0" borderId="0" xfId="1" applyFont="1"/>
    <xf numFmtId="0" fontId="26" fillId="0" borderId="0" xfId="1" applyFont="1"/>
    <xf numFmtId="0" fontId="25" fillId="0" borderId="41" xfId="1" applyFont="1" applyBorder="1"/>
    <xf numFmtId="0" fontId="22" fillId="0" borderId="42" xfId="1" applyFont="1" applyBorder="1"/>
    <xf numFmtId="0" fontId="23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15" fillId="0" borderId="42" xfId="1" applyFont="1" applyBorder="1" applyAlignment="1">
      <alignment horizontal="left"/>
    </xf>
    <xf numFmtId="0" fontId="12" fillId="0" borderId="44" xfId="1" applyFont="1" applyBorder="1"/>
    <xf numFmtId="0" fontId="12" fillId="0" borderId="38" xfId="1" applyFont="1" applyBorder="1"/>
    <xf numFmtId="4" fontId="0" fillId="4" borderId="2" xfId="0" applyNumberFormat="1" applyFill="1" applyBorder="1" applyAlignment="1">
      <alignment horizontal="center" vertical="center"/>
    </xf>
    <xf numFmtId="4" fontId="0" fillId="4" borderId="51" xfId="0" applyNumberFormat="1" applyFill="1" applyBorder="1" applyAlignment="1">
      <alignment horizontal="center" vertical="center"/>
    </xf>
    <xf numFmtId="4" fontId="0" fillId="4" borderId="3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4" fontId="0" fillId="4" borderId="52" xfId="0" applyNumberFormat="1" applyFill="1" applyBorder="1" applyAlignment="1">
      <alignment horizontal="center" vertical="center"/>
    </xf>
    <xf numFmtId="4" fontId="0" fillId="4" borderId="7" xfId="0" applyNumberForma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 wrapText="1"/>
    </xf>
    <xf numFmtId="0" fontId="1" fillId="4" borderId="54" xfId="0" applyFont="1" applyFill="1" applyBorder="1" applyAlignment="1">
      <alignment horizontal="center" vertical="center" wrapText="1"/>
    </xf>
    <xf numFmtId="0" fontId="1" fillId="4" borderId="55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4" fontId="0" fillId="3" borderId="14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4" fontId="0" fillId="3" borderId="52" xfId="0" applyNumberFormat="1" applyFill="1" applyBorder="1" applyAlignment="1">
      <alignment horizontal="center" vertical="center"/>
    </xf>
    <xf numFmtId="4" fontId="0" fillId="2" borderId="14" xfId="0" applyNumberForma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4" fontId="0" fillId="2" borderId="52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/>
    </xf>
    <xf numFmtId="4" fontId="0" fillId="0" borderId="21" xfId="0" applyNumberFormat="1" applyBorder="1" applyAlignment="1">
      <alignment horizontal="center"/>
    </xf>
    <xf numFmtId="0" fontId="0" fillId="0" borderId="50" xfId="0" applyBorder="1" applyAlignment="1">
      <alignment horizontal="center"/>
    </xf>
    <xf numFmtId="4" fontId="0" fillId="5" borderId="22" xfId="0" applyNumberFormat="1" applyFill="1" applyBorder="1" applyAlignment="1">
      <alignment horizontal="center" vertical="center"/>
    </xf>
    <xf numFmtId="4" fontId="0" fillId="5" borderId="23" xfId="0" applyNumberFormat="1" applyFill="1" applyBorder="1" applyAlignment="1">
      <alignment horizontal="center" vertical="center"/>
    </xf>
    <xf numFmtId="4" fontId="0" fillId="5" borderId="24" xfId="0" applyNumberFormat="1" applyFill="1" applyBorder="1" applyAlignment="1">
      <alignment horizontal="center" vertical="center"/>
    </xf>
    <xf numFmtId="4" fontId="0" fillId="2" borderId="53" xfId="0" applyNumberFormat="1" applyFill="1" applyBorder="1" applyAlignment="1">
      <alignment horizontal="center" vertical="center"/>
    </xf>
    <xf numFmtId="4" fontId="0" fillId="2" borderId="58" xfId="0" applyNumberFormat="1" applyFill="1" applyBorder="1" applyAlignment="1">
      <alignment horizontal="center" vertical="center"/>
    </xf>
    <xf numFmtId="4" fontId="0" fillId="2" borderId="59" xfId="0" applyNumberFormat="1" applyFill="1" applyBorder="1" applyAlignment="1">
      <alignment horizontal="center" vertical="center"/>
    </xf>
    <xf numFmtId="4" fontId="0" fillId="2" borderId="55" xfId="0" applyNumberFormat="1" applyFill="1" applyBorder="1" applyAlignment="1">
      <alignment horizontal="center" vertical="center"/>
    </xf>
    <xf numFmtId="4" fontId="0" fillId="2" borderId="56" xfId="0" applyNumberFormat="1" applyFill="1" applyBorder="1" applyAlignment="1">
      <alignment horizontal="center" vertical="center"/>
    </xf>
    <xf numFmtId="4" fontId="0" fillId="2" borderId="57" xfId="0" applyNumberFormat="1" applyFill="1" applyBorder="1" applyAlignment="1">
      <alignment horizontal="center" vertical="center"/>
    </xf>
    <xf numFmtId="4" fontId="0" fillId="3" borderId="48" xfId="0" applyNumberFormat="1" applyFill="1" applyBorder="1" applyAlignment="1">
      <alignment horizontal="center" vertical="center" wrapText="1"/>
    </xf>
    <xf numFmtId="4" fontId="0" fillId="3" borderId="11" xfId="0" applyNumberFormat="1" applyFill="1" applyBorder="1" applyAlignment="1">
      <alignment horizontal="center" vertical="center" wrapText="1"/>
    </xf>
    <xf numFmtId="4" fontId="0" fillId="3" borderId="12" xfId="0" applyNumberForma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0" xfId="0" applyBorder="1" applyAlignment="1">
      <alignment horizontal="center"/>
    </xf>
    <xf numFmtId="4" fontId="0" fillId="2" borderId="2" xfId="0" applyNumberFormat="1" applyFill="1" applyBorder="1" applyAlignment="1">
      <alignment horizontal="center" vertical="center"/>
    </xf>
    <xf numFmtId="4" fontId="0" fillId="2" borderId="4" xfId="0" applyNumberFormat="1" applyFill="1" applyBorder="1" applyAlignment="1">
      <alignment horizontal="center" vertical="center"/>
    </xf>
    <xf numFmtId="4" fontId="0" fillId="2" borderId="6" xfId="0" applyNumberFormat="1" applyFill="1" applyBorder="1" applyAlignment="1">
      <alignment horizontal="center" vertical="center"/>
    </xf>
    <xf numFmtId="4" fontId="0" fillId="2" borderId="3" xfId="0" applyNumberFormat="1" applyFill="1" applyBorder="1" applyAlignment="1">
      <alignment horizontal="center" vertical="center"/>
    </xf>
    <xf numFmtId="4" fontId="0" fillId="2" borderId="5" xfId="0" applyNumberFormat="1" applyFill="1" applyBorder="1" applyAlignment="1">
      <alignment horizontal="center" vertical="center"/>
    </xf>
    <xf numFmtId="4" fontId="0" fillId="2" borderId="7" xfId="0" applyNumberFormat="1" applyFill="1" applyBorder="1" applyAlignment="1">
      <alignment horizontal="center" vertical="center"/>
    </xf>
    <xf numFmtId="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9" xfId="0" applyBorder="1" applyAlignment="1">
      <alignment horizontal="left" vertical="center" wrapText="1"/>
    </xf>
    <xf numFmtId="0" fontId="0" fillId="0" borderId="37" xfId="0" applyBorder="1" applyAlignment="1">
      <alignment horizontal="left" vertic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17" fillId="0" borderId="39" xfId="1" applyFont="1" applyBorder="1" applyAlignment="1">
      <alignment horizontal="center" vertical="center"/>
    </xf>
    <xf numFmtId="0" fontId="17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horizontal="center" vertical="center" shrinkToFit="1"/>
    </xf>
    <xf numFmtId="0" fontId="11" fillId="7" borderId="19" xfId="1" applyFont="1" applyFill="1" applyBorder="1" applyAlignment="1">
      <alignment horizontal="center"/>
    </xf>
    <xf numFmtId="0" fontId="11" fillId="7" borderId="36" xfId="1" applyFont="1" applyFill="1" applyBorder="1" applyAlignment="1">
      <alignment horizontal="center"/>
    </xf>
    <xf numFmtId="0" fontId="11" fillId="7" borderId="37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20</xdr:row>
      <xdr:rowOff>152400</xdr:rowOff>
    </xdr:from>
    <xdr:to>
      <xdr:col>6</xdr:col>
      <xdr:colOff>571500</xdr:colOff>
      <xdr:row>21</xdr:row>
      <xdr:rowOff>152400</xdr:rowOff>
    </xdr:to>
    <xdr:sp macro="" textlink="">
      <xdr:nvSpPr>
        <xdr:cNvPr id="2" name="Line 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 flipV="1">
          <a:off x="5476875" y="3663950"/>
          <a:ext cx="523875" cy="177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21</xdr:row>
      <xdr:rowOff>171450</xdr:rowOff>
    </xdr:from>
    <xdr:to>
      <xdr:col>6</xdr:col>
      <xdr:colOff>552450</xdr:colOff>
      <xdr:row>23</xdr:row>
      <xdr:rowOff>104775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>
          <a:off x="5486400" y="3860800"/>
          <a:ext cx="495300" cy="288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21</xdr:row>
      <xdr:rowOff>171450</xdr:rowOff>
    </xdr:from>
    <xdr:to>
      <xdr:col>6</xdr:col>
      <xdr:colOff>571500</xdr:colOff>
      <xdr:row>26</xdr:row>
      <xdr:rowOff>0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>
          <a:off x="5486400" y="3860800"/>
          <a:ext cx="514350" cy="711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</xdr:colOff>
      <xdr:row>24</xdr:row>
      <xdr:rowOff>104775</xdr:rowOff>
    </xdr:from>
    <xdr:to>
      <xdr:col>8</xdr:col>
      <xdr:colOff>466725</xdr:colOff>
      <xdr:row>24</xdr:row>
      <xdr:rowOff>104775</xdr:rowOff>
    </xdr:to>
    <xdr:sp macro="" textlink="">
      <xdr:nvSpPr>
        <xdr:cNvPr id="5" name="Line 1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7483475" y="4327525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152400</xdr:colOff>
      <xdr:row>21</xdr:row>
      <xdr:rowOff>95250</xdr:rowOff>
    </xdr:from>
    <xdr:to>
      <xdr:col>8</xdr:col>
      <xdr:colOff>514350</xdr:colOff>
      <xdr:row>21</xdr:row>
      <xdr:rowOff>95250</xdr:rowOff>
    </xdr:to>
    <xdr:sp macro="" textlink="">
      <xdr:nvSpPr>
        <xdr:cNvPr id="6" name="Line 1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7531100" y="378460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10</xdr:row>
      <xdr:rowOff>152400</xdr:rowOff>
    </xdr:from>
    <xdr:to>
      <xdr:col>6</xdr:col>
      <xdr:colOff>571500</xdr:colOff>
      <xdr:row>14</xdr:row>
      <xdr:rowOff>9525</xdr:rowOff>
    </xdr:to>
    <xdr:sp macro="" textlink="">
      <xdr:nvSpPr>
        <xdr:cNvPr id="7" name="Line 1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 flipV="1">
          <a:off x="5438775" y="1885950"/>
          <a:ext cx="561975" cy="568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14</xdr:row>
      <xdr:rowOff>38100</xdr:rowOff>
    </xdr:from>
    <xdr:to>
      <xdr:col>6</xdr:col>
      <xdr:colOff>571500</xdr:colOff>
      <xdr:row>16</xdr:row>
      <xdr:rowOff>57150</xdr:rowOff>
    </xdr:to>
    <xdr:sp macro="" textlink="">
      <xdr:nvSpPr>
        <xdr:cNvPr id="8" name="Line 1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>
          <a:off x="5467350" y="2482850"/>
          <a:ext cx="533400" cy="374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</xdr:colOff>
      <xdr:row>14</xdr:row>
      <xdr:rowOff>104775</xdr:rowOff>
    </xdr:from>
    <xdr:to>
      <xdr:col>8</xdr:col>
      <xdr:colOff>466725</xdr:colOff>
      <xdr:row>14</xdr:row>
      <xdr:rowOff>104775</xdr:rowOff>
    </xdr:to>
    <xdr:sp macro="" textlink="">
      <xdr:nvSpPr>
        <xdr:cNvPr id="9" name="Line 1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ShapeType="1"/>
        </xdr:cNvSpPr>
      </xdr:nvSpPr>
      <xdr:spPr bwMode="auto">
        <a:xfrm>
          <a:off x="7483475" y="2549525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152400</xdr:colOff>
      <xdr:row>11</xdr:row>
      <xdr:rowOff>95250</xdr:rowOff>
    </xdr:from>
    <xdr:to>
      <xdr:col>8</xdr:col>
      <xdr:colOff>514350</xdr:colOff>
      <xdr:row>11</xdr:row>
      <xdr:rowOff>95250</xdr:rowOff>
    </xdr:to>
    <xdr:sp macro="" textlink="">
      <xdr:nvSpPr>
        <xdr:cNvPr id="10" name="Line 1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ShapeType="1"/>
        </xdr:cNvSpPr>
      </xdr:nvSpPr>
      <xdr:spPr bwMode="auto">
        <a:xfrm>
          <a:off x="7531100" y="200660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95250</xdr:colOff>
      <xdr:row>13</xdr:row>
      <xdr:rowOff>152400</xdr:rowOff>
    </xdr:from>
    <xdr:to>
      <xdr:col>6</xdr:col>
      <xdr:colOff>561975</xdr:colOff>
      <xdr:row>14</xdr:row>
      <xdr:rowOff>9525</xdr:rowOff>
    </xdr:to>
    <xdr:sp macro="" textlink="">
      <xdr:nvSpPr>
        <xdr:cNvPr id="11" name="Line 1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 flipV="1">
          <a:off x="5524500" y="2419350"/>
          <a:ext cx="466725" cy="3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123825</xdr:colOff>
      <xdr:row>13</xdr:row>
      <xdr:rowOff>171450</xdr:rowOff>
    </xdr:from>
    <xdr:to>
      <xdr:col>4</xdr:col>
      <xdr:colOff>495300</xdr:colOff>
      <xdr:row>13</xdr:row>
      <xdr:rowOff>171450</xdr:rowOff>
    </xdr:to>
    <xdr:sp macro="" textlink="">
      <xdr:nvSpPr>
        <xdr:cNvPr id="12" name="Line 20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3317875" y="2438400"/>
          <a:ext cx="371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8</xdr:row>
      <xdr:rowOff>123825</xdr:rowOff>
    </xdr:from>
    <xdr:to>
      <xdr:col>4</xdr:col>
      <xdr:colOff>514350</xdr:colOff>
      <xdr:row>13</xdr:row>
      <xdr:rowOff>38100</xdr:rowOff>
    </xdr:to>
    <xdr:sp macro="" textlink="">
      <xdr:nvSpPr>
        <xdr:cNvPr id="13" name="Line 2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ShapeType="1"/>
        </xdr:cNvSpPr>
      </xdr:nvSpPr>
      <xdr:spPr bwMode="auto">
        <a:xfrm flipV="1">
          <a:off x="3279775" y="1501775"/>
          <a:ext cx="428625" cy="803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14</xdr:row>
      <xdr:rowOff>104775</xdr:rowOff>
    </xdr:from>
    <xdr:to>
      <xdr:col>4</xdr:col>
      <xdr:colOff>514350</xdr:colOff>
      <xdr:row>20</xdr:row>
      <xdr:rowOff>95250</xdr:rowOff>
    </xdr:to>
    <xdr:sp macro="" textlink="">
      <xdr:nvSpPr>
        <xdr:cNvPr id="14" name="Line 2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ShapeType="1"/>
        </xdr:cNvSpPr>
      </xdr:nvSpPr>
      <xdr:spPr bwMode="auto">
        <a:xfrm>
          <a:off x="3232150" y="2549525"/>
          <a:ext cx="476250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123825</xdr:colOff>
      <xdr:row>14</xdr:row>
      <xdr:rowOff>19050</xdr:rowOff>
    </xdr:from>
    <xdr:to>
      <xdr:col>2</xdr:col>
      <xdr:colOff>476250</xdr:colOff>
      <xdr:row>14</xdr:row>
      <xdr:rowOff>19050</xdr:rowOff>
    </xdr:to>
    <xdr:sp macro="" textlink="">
      <xdr:nvSpPr>
        <xdr:cNvPr id="15" name="Line 2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ShapeType="1"/>
        </xdr:cNvSpPr>
      </xdr:nvSpPr>
      <xdr:spPr bwMode="auto">
        <a:xfrm>
          <a:off x="1317625" y="2463800"/>
          <a:ext cx="352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66675</xdr:colOff>
      <xdr:row>5</xdr:row>
      <xdr:rowOff>76200</xdr:rowOff>
    </xdr:from>
    <xdr:to>
      <xdr:col>6</xdr:col>
      <xdr:colOff>542925</xdr:colOff>
      <xdr:row>7</xdr:row>
      <xdr:rowOff>142875</xdr:rowOff>
    </xdr:to>
    <xdr:sp macro="" textlink="">
      <xdr:nvSpPr>
        <xdr:cNvPr id="16" name="Line 2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ShapeType="1"/>
        </xdr:cNvSpPr>
      </xdr:nvSpPr>
      <xdr:spPr bwMode="auto">
        <a:xfrm flipV="1">
          <a:off x="5495925" y="920750"/>
          <a:ext cx="476250" cy="422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76200</xdr:colOff>
      <xdr:row>8</xdr:row>
      <xdr:rowOff>0</xdr:rowOff>
    </xdr:from>
    <xdr:to>
      <xdr:col>6</xdr:col>
      <xdr:colOff>523875</xdr:colOff>
      <xdr:row>8</xdr:row>
      <xdr:rowOff>47625</xdr:rowOff>
    </xdr:to>
    <xdr:sp macro="" textlink="">
      <xdr:nvSpPr>
        <xdr:cNvPr id="17" name="Line 2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ShapeType="1"/>
        </xdr:cNvSpPr>
      </xdr:nvSpPr>
      <xdr:spPr bwMode="auto">
        <a:xfrm>
          <a:off x="5505450" y="1377950"/>
          <a:ext cx="447675" cy="47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390525</xdr:colOff>
      <xdr:row>20</xdr:row>
      <xdr:rowOff>9525</xdr:rowOff>
    </xdr:from>
    <xdr:to>
      <xdr:col>20</xdr:col>
      <xdr:colOff>142875</xdr:colOff>
      <xdr:row>20</xdr:row>
      <xdr:rowOff>9525</xdr:rowOff>
    </xdr:to>
    <xdr:sp macro="" textlink="">
      <xdr:nvSpPr>
        <xdr:cNvPr id="18" name="Line 2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ShapeType="1"/>
        </xdr:cNvSpPr>
      </xdr:nvSpPr>
      <xdr:spPr bwMode="auto">
        <a:xfrm>
          <a:off x="14919325" y="3521075"/>
          <a:ext cx="393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390525</xdr:colOff>
      <xdr:row>20</xdr:row>
      <xdr:rowOff>9525</xdr:rowOff>
    </xdr:from>
    <xdr:to>
      <xdr:col>20</xdr:col>
      <xdr:colOff>142875</xdr:colOff>
      <xdr:row>20</xdr:row>
      <xdr:rowOff>9525</xdr:rowOff>
    </xdr:to>
    <xdr:sp macro="" textlink="">
      <xdr:nvSpPr>
        <xdr:cNvPr id="19" name="Line 3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ShapeType="1"/>
        </xdr:cNvSpPr>
      </xdr:nvSpPr>
      <xdr:spPr bwMode="auto">
        <a:xfrm>
          <a:off x="14919325" y="3521075"/>
          <a:ext cx="393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85725</xdr:colOff>
      <xdr:row>4</xdr:row>
      <xdr:rowOff>76200</xdr:rowOff>
    </xdr:from>
    <xdr:to>
      <xdr:col>8</xdr:col>
      <xdr:colOff>485775</xdr:colOff>
      <xdr:row>4</xdr:row>
      <xdr:rowOff>76200</xdr:rowOff>
    </xdr:to>
    <xdr:sp macro="" textlink="">
      <xdr:nvSpPr>
        <xdr:cNvPr id="20" name="Line 3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ShapeType="1"/>
        </xdr:cNvSpPr>
      </xdr:nvSpPr>
      <xdr:spPr bwMode="auto">
        <a:xfrm>
          <a:off x="7464425" y="742950"/>
          <a:ext cx="400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</xdr:colOff>
      <xdr:row>7</xdr:row>
      <xdr:rowOff>95250</xdr:rowOff>
    </xdr:from>
    <xdr:to>
      <xdr:col>8</xdr:col>
      <xdr:colOff>476250</xdr:colOff>
      <xdr:row>7</xdr:row>
      <xdr:rowOff>95250</xdr:rowOff>
    </xdr:to>
    <xdr:sp macro="" textlink="">
      <xdr:nvSpPr>
        <xdr:cNvPr id="21" name="Line 3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ShapeType="1"/>
        </xdr:cNvSpPr>
      </xdr:nvSpPr>
      <xdr:spPr bwMode="auto">
        <a:xfrm>
          <a:off x="7483475" y="1295400"/>
          <a:ext cx="371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9524</xdr:colOff>
      <xdr:row>14</xdr:row>
      <xdr:rowOff>9525</xdr:rowOff>
    </xdr:from>
    <xdr:to>
      <xdr:col>6</xdr:col>
      <xdr:colOff>571499</xdr:colOff>
      <xdr:row>18</xdr:row>
      <xdr:rowOff>0</xdr:rowOff>
    </xdr:to>
    <xdr:sp macro="" textlink="">
      <xdr:nvSpPr>
        <xdr:cNvPr id="22" name="Line 10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ShapeType="1"/>
        </xdr:cNvSpPr>
      </xdr:nvSpPr>
      <xdr:spPr bwMode="auto">
        <a:xfrm>
          <a:off x="5438774" y="2454275"/>
          <a:ext cx="561975" cy="701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5</xdr:row>
      <xdr:rowOff>0</xdr:rowOff>
    </xdr:from>
    <xdr:to>
      <xdr:col>2</xdr:col>
      <xdr:colOff>295275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>
          <a:off x="1577975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5</xdr:row>
      <xdr:rowOff>0</xdr:rowOff>
    </xdr:from>
    <xdr:to>
      <xdr:col>5</xdr:col>
      <xdr:colOff>304800</xdr:colOff>
      <xdr:row>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>
          <a:off x="2895600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295275</xdr:colOff>
      <xdr:row>5</xdr:row>
      <xdr:rowOff>0</xdr:rowOff>
    </xdr:from>
    <xdr:to>
      <xdr:col>6</xdr:col>
      <xdr:colOff>180975</xdr:colOff>
      <xdr:row>5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 bwMode="auto">
        <a:xfrm>
          <a:off x="3419475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5</xdr:row>
      <xdr:rowOff>0</xdr:rowOff>
    </xdr:from>
    <xdr:to>
      <xdr:col>8</xdr:col>
      <xdr:colOff>304800</xdr:colOff>
      <xdr:row>5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ShapeType="1"/>
        </xdr:cNvSpPr>
      </xdr:nvSpPr>
      <xdr:spPr bwMode="auto">
        <a:xfrm>
          <a:off x="4368800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276225</xdr:colOff>
      <xdr:row>5</xdr:row>
      <xdr:rowOff>0</xdr:rowOff>
    </xdr:from>
    <xdr:to>
      <xdr:col>3</xdr:col>
      <xdr:colOff>180975</xdr:colOff>
      <xdr:row>5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ShapeType="1"/>
        </xdr:cNvSpPr>
      </xdr:nvSpPr>
      <xdr:spPr bwMode="auto">
        <a:xfrm>
          <a:off x="1889125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304800</xdr:colOff>
      <xdr:row>5</xdr:row>
      <xdr:rowOff>0</xdr:rowOff>
    </xdr:from>
    <xdr:to>
      <xdr:col>11</xdr:col>
      <xdr:colOff>304800</xdr:colOff>
      <xdr:row>5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ShapeType="1"/>
        </xdr:cNvSpPr>
      </xdr:nvSpPr>
      <xdr:spPr bwMode="auto">
        <a:xfrm>
          <a:off x="5842000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5</xdr:row>
      <xdr:rowOff>0</xdr:rowOff>
    </xdr:from>
    <xdr:to>
      <xdr:col>5</xdr:col>
      <xdr:colOff>295275</xdr:colOff>
      <xdr:row>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ShapeType="1"/>
        </xdr:cNvSpPr>
      </xdr:nvSpPr>
      <xdr:spPr bwMode="auto">
        <a:xfrm>
          <a:off x="2886075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285750</xdr:colOff>
      <xdr:row>5</xdr:row>
      <xdr:rowOff>0</xdr:rowOff>
    </xdr:from>
    <xdr:to>
      <xdr:col>11</xdr:col>
      <xdr:colOff>285750</xdr:colOff>
      <xdr:row>5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ShapeType="1"/>
        </xdr:cNvSpPr>
      </xdr:nvSpPr>
      <xdr:spPr bwMode="auto">
        <a:xfrm flipV="1">
          <a:off x="5822950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5</xdr:row>
      <xdr:rowOff>0</xdr:rowOff>
    </xdr:from>
    <xdr:to>
      <xdr:col>12</xdr:col>
      <xdr:colOff>0</xdr:colOff>
      <xdr:row>5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ShapeType="1"/>
        </xdr:cNvSpPr>
      </xdr:nvSpPr>
      <xdr:spPr bwMode="auto">
        <a:xfrm>
          <a:off x="6178550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5</xdr:row>
      <xdr:rowOff>0</xdr:rowOff>
    </xdr:from>
    <xdr:to>
      <xdr:col>8</xdr:col>
      <xdr:colOff>295275</xdr:colOff>
      <xdr:row>5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ShapeType="1"/>
        </xdr:cNvSpPr>
      </xdr:nvSpPr>
      <xdr:spPr bwMode="auto">
        <a:xfrm>
          <a:off x="4359275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5</xdr:row>
      <xdr:rowOff>0</xdr:rowOff>
    </xdr:from>
    <xdr:to>
      <xdr:col>10</xdr:col>
      <xdr:colOff>0</xdr:colOff>
      <xdr:row>5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ShapeType="1"/>
        </xdr:cNvSpPr>
      </xdr:nvSpPr>
      <xdr:spPr bwMode="auto">
        <a:xfrm>
          <a:off x="4895850" y="850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10</xdr:row>
      <xdr:rowOff>0</xdr:rowOff>
    </xdr:from>
    <xdr:to>
      <xdr:col>4</xdr:col>
      <xdr:colOff>285750</xdr:colOff>
      <xdr:row>10</xdr:row>
      <xdr:rowOff>0</xdr:rowOff>
    </xdr:to>
    <xdr:sp macro="" textlink="">
      <xdr:nvSpPr>
        <xdr:cNvPr id="13" name="Line 25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ShapeType="1"/>
        </xdr:cNvSpPr>
      </xdr:nvSpPr>
      <xdr:spPr bwMode="auto">
        <a:xfrm flipV="1">
          <a:off x="2178050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10</xdr:row>
      <xdr:rowOff>0</xdr:rowOff>
    </xdr:from>
    <xdr:to>
      <xdr:col>5</xdr:col>
      <xdr:colOff>295275</xdr:colOff>
      <xdr:row>10</xdr:row>
      <xdr:rowOff>0</xdr:rowOff>
    </xdr:to>
    <xdr:sp macro="" textlink="">
      <xdr:nvSpPr>
        <xdr:cNvPr id="14" name="Line 27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ShapeType="1"/>
        </xdr:cNvSpPr>
      </xdr:nvSpPr>
      <xdr:spPr bwMode="auto">
        <a:xfrm>
          <a:off x="2886075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295275</xdr:colOff>
      <xdr:row>10</xdr:row>
      <xdr:rowOff>0</xdr:rowOff>
    </xdr:from>
    <xdr:to>
      <xdr:col>1</xdr:col>
      <xdr:colOff>295275</xdr:colOff>
      <xdr:row>10</xdr:row>
      <xdr:rowOff>0</xdr:rowOff>
    </xdr:to>
    <xdr:sp macro="" textlink="">
      <xdr:nvSpPr>
        <xdr:cNvPr id="15" name="Line 29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ShapeType="1"/>
        </xdr:cNvSpPr>
      </xdr:nvSpPr>
      <xdr:spPr bwMode="auto">
        <a:xfrm flipV="1">
          <a:off x="936625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276225</xdr:colOff>
      <xdr:row>10</xdr:row>
      <xdr:rowOff>0</xdr:rowOff>
    </xdr:from>
    <xdr:to>
      <xdr:col>4</xdr:col>
      <xdr:colOff>276225</xdr:colOff>
      <xdr:row>10</xdr:row>
      <xdr:rowOff>0</xdr:rowOff>
    </xdr:to>
    <xdr:sp macro="" textlink="">
      <xdr:nvSpPr>
        <xdr:cNvPr id="16" name="Line 3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ShapeType="1"/>
        </xdr:cNvSpPr>
      </xdr:nvSpPr>
      <xdr:spPr bwMode="auto">
        <a:xfrm flipV="1">
          <a:off x="2168525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10</xdr:row>
      <xdr:rowOff>0</xdr:rowOff>
    </xdr:from>
    <xdr:to>
      <xdr:col>5</xdr:col>
      <xdr:colOff>285750</xdr:colOff>
      <xdr:row>10</xdr:row>
      <xdr:rowOff>0</xdr:rowOff>
    </xdr:to>
    <xdr:sp macro="" textlink="">
      <xdr:nvSpPr>
        <xdr:cNvPr id="17" name="Line 3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ShapeType="1"/>
        </xdr:cNvSpPr>
      </xdr:nvSpPr>
      <xdr:spPr bwMode="auto">
        <a:xfrm>
          <a:off x="2876550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10</xdr:row>
      <xdr:rowOff>0</xdr:rowOff>
    </xdr:from>
    <xdr:to>
      <xdr:col>1</xdr:col>
      <xdr:colOff>266700</xdr:colOff>
      <xdr:row>10</xdr:row>
      <xdr:rowOff>0</xdr:rowOff>
    </xdr:to>
    <xdr:sp macro="" textlink="">
      <xdr:nvSpPr>
        <xdr:cNvPr id="18" name="Line 3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ShapeType="1"/>
        </xdr:cNvSpPr>
      </xdr:nvSpPr>
      <xdr:spPr bwMode="auto">
        <a:xfrm flipV="1">
          <a:off x="908050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10</xdr:row>
      <xdr:rowOff>0</xdr:rowOff>
    </xdr:from>
    <xdr:to>
      <xdr:col>8</xdr:col>
      <xdr:colOff>295275</xdr:colOff>
      <xdr:row>10</xdr:row>
      <xdr:rowOff>0</xdr:rowOff>
    </xdr:to>
    <xdr:sp macro="" textlink="">
      <xdr:nvSpPr>
        <xdr:cNvPr id="19" name="Line 47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 noChangeShapeType="1"/>
        </xdr:cNvSpPr>
      </xdr:nvSpPr>
      <xdr:spPr bwMode="auto">
        <a:xfrm flipV="1">
          <a:off x="4359275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276225</xdr:colOff>
      <xdr:row>10</xdr:row>
      <xdr:rowOff>0</xdr:rowOff>
    </xdr:from>
    <xdr:to>
      <xdr:col>8</xdr:col>
      <xdr:colOff>276225</xdr:colOff>
      <xdr:row>10</xdr:row>
      <xdr:rowOff>0</xdr:rowOff>
    </xdr:to>
    <xdr:sp macro="" textlink="">
      <xdr:nvSpPr>
        <xdr:cNvPr id="20" name="Line 48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ShapeType="1"/>
        </xdr:cNvSpPr>
      </xdr:nvSpPr>
      <xdr:spPr bwMode="auto">
        <a:xfrm flipV="1">
          <a:off x="4340225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10</xdr:row>
      <xdr:rowOff>0</xdr:rowOff>
    </xdr:from>
    <xdr:to>
      <xdr:col>9</xdr:col>
      <xdr:colOff>180975</xdr:colOff>
      <xdr:row>10</xdr:row>
      <xdr:rowOff>0</xdr:rowOff>
    </xdr:to>
    <xdr:sp macro="" textlink="">
      <xdr:nvSpPr>
        <xdr:cNvPr id="21" name="Line 5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ShapeType="1"/>
        </xdr:cNvSpPr>
      </xdr:nvSpPr>
      <xdr:spPr bwMode="auto">
        <a:xfrm flipH="1">
          <a:off x="4895850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10</xdr:row>
      <xdr:rowOff>0</xdr:rowOff>
    </xdr:from>
    <xdr:to>
      <xdr:col>8</xdr:col>
      <xdr:colOff>304800</xdr:colOff>
      <xdr:row>10</xdr:row>
      <xdr:rowOff>0</xdr:rowOff>
    </xdr:to>
    <xdr:sp macro="" textlink="">
      <xdr:nvSpPr>
        <xdr:cNvPr id="22" name="Line 5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ShapeType="1"/>
        </xdr:cNvSpPr>
      </xdr:nvSpPr>
      <xdr:spPr bwMode="auto">
        <a:xfrm>
          <a:off x="4368800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314325</xdr:colOff>
      <xdr:row>10</xdr:row>
      <xdr:rowOff>0</xdr:rowOff>
    </xdr:from>
    <xdr:to>
      <xdr:col>4</xdr:col>
      <xdr:colOff>314325</xdr:colOff>
      <xdr:row>10</xdr:row>
      <xdr:rowOff>0</xdr:rowOff>
    </xdr:to>
    <xdr:sp macro="" textlink="">
      <xdr:nvSpPr>
        <xdr:cNvPr id="23" name="Line 54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>
          <a:spLocks noChangeShapeType="1"/>
        </xdr:cNvSpPr>
      </xdr:nvSpPr>
      <xdr:spPr bwMode="auto">
        <a:xfrm flipV="1">
          <a:off x="2206625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10</xdr:row>
      <xdr:rowOff>0</xdr:rowOff>
    </xdr:from>
    <xdr:to>
      <xdr:col>5</xdr:col>
      <xdr:colOff>304800</xdr:colOff>
      <xdr:row>10</xdr:row>
      <xdr:rowOff>0</xdr:rowOff>
    </xdr:to>
    <xdr:sp macro="" textlink="">
      <xdr:nvSpPr>
        <xdr:cNvPr id="24" name="Line 55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ShapeType="1"/>
        </xdr:cNvSpPr>
      </xdr:nvSpPr>
      <xdr:spPr bwMode="auto">
        <a:xfrm>
          <a:off x="2895600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323850</xdr:colOff>
      <xdr:row>10</xdr:row>
      <xdr:rowOff>0</xdr:rowOff>
    </xdr:from>
    <xdr:to>
      <xdr:col>1</xdr:col>
      <xdr:colOff>323850</xdr:colOff>
      <xdr:row>10</xdr:row>
      <xdr:rowOff>0</xdr:rowOff>
    </xdr:to>
    <xdr:sp macro="" textlink="">
      <xdr:nvSpPr>
        <xdr:cNvPr id="25" name="Line 57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ShapeType="1"/>
        </xdr:cNvSpPr>
      </xdr:nvSpPr>
      <xdr:spPr bwMode="auto">
        <a:xfrm flipV="1">
          <a:off x="965200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0</xdr:colOff>
      <xdr:row>10</xdr:row>
      <xdr:rowOff>0</xdr:rowOff>
    </xdr:to>
    <xdr:sp macro="" textlink="">
      <xdr:nvSpPr>
        <xdr:cNvPr id="26" name="Line 61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ShapeType="1"/>
        </xdr:cNvSpPr>
      </xdr:nvSpPr>
      <xdr:spPr bwMode="auto">
        <a:xfrm flipV="1">
          <a:off x="6178550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0</xdr:colOff>
      <xdr:row>10</xdr:row>
      <xdr:rowOff>0</xdr:rowOff>
    </xdr:to>
    <xdr:sp macro="" textlink="">
      <xdr:nvSpPr>
        <xdr:cNvPr id="27" name="Line 6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ShapeType="1"/>
        </xdr:cNvSpPr>
      </xdr:nvSpPr>
      <xdr:spPr bwMode="auto">
        <a:xfrm flipV="1">
          <a:off x="6178550" y="1651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30</xdr:row>
      <xdr:rowOff>0</xdr:rowOff>
    </xdr:from>
    <xdr:to>
      <xdr:col>4</xdr:col>
      <xdr:colOff>285750</xdr:colOff>
      <xdr:row>30</xdr:row>
      <xdr:rowOff>0</xdr:rowOff>
    </xdr:to>
    <xdr:sp macro="" textlink="">
      <xdr:nvSpPr>
        <xdr:cNvPr id="28" name="Line 70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ShapeType="1"/>
        </xdr:cNvSpPr>
      </xdr:nvSpPr>
      <xdr:spPr bwMode="auto">
        <a:xfrm flipV="1">
          <a:off x="2178050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30</xdr:row>
      <xdr:rowOff>0</xdr:rowOff>
    </xdr:from>
    <xdr:to>
      <xdr:col>5</xdr:col>
      <xdr:colOff>295275</xdr:colOff>
      <xdr:row>30</xdr:row>
      <xdr:rowOff>0</xdr:rowOff>
    </xdr:to>
    <xdr:sp macro="" textlink="">
      <xdr:nvSpPr>
        <xdr:cNvPr id="29" name="Line 71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ShapeType="1"/>
        </xdr:cNvSpPr>
      </xdr:nvSpPr>
      <xdr:spPr bwMode="auto">
        <a:xfrm>
          <a:off x="2886075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276225</xdr:colOff>
      <xdr:row>30</xdr:row>
      <xdr:rowOff>0</xdr:rowOff>
    </xdr:from>
    <xdr:to>
      <xdr:col>4</xdr:col>
      <xdr:colOff>276225</xdr:colOff>
      <xdr:row>30</xdr:row>
      <xdr:rowOff>0</xdr:rowOff>
    </xdr:to>
    <xdr:sp macro="" textlink="">
      <xdr:nvSpPr>
        <xdr:cNvPr id="30" name="Line 7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ShapeType="1"/>
        </xdr:cNvSpPr>
      </xdr:nvSpPr>
      <xdr:spPr bwMode="auto">
        <a:xfrm flipV="1">
          <a:off x="2168525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30</xdr:row>
      <xdr:rowOff>0</xdr:rowOff>
    </xdr:from>
    <xdr:to>
      <xdr:col>5</xdr:col>
      <xdr:colOff>285750</xdr:colOff>
      <xdr:row>30</xdr:row>
      <xdr:rowOff>0</xdr:rowOff>
    </xdr:to>
    <xdr:sp macro="" textlink="">
      <xdr:nvSpPr>
        <xdr:cNvPr id="31" name="Line 73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ShapeType="1"/>
        </xdr:cNvSpPr>
      </xdr:nvSpPr>
      <xdr:spPr bwMode="auto">
        <a:xfrm>
          <a:off x="2876550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30</xdr:row>
      <xdr:rowOff>0</xdr:rowOff>
    </xdr:from>
    <xdr:to>
      <xdr:col>8</xdr:col>
      <xdr:colOff>295275</xdr:colOff>
      <xdr:row>30</xdr:row>
      <xdr:rowOff>0</xdr:rowOff>
    </xdr:to>
    <xdr:sp macro="" textlink="">
      <xdr:nvSpPr>
        <xdr:cNvPr id="32" name="Line 74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>
          <a:spLocks noChangeShapeType="1"/>
        </xdr:cNvSpPr>
      </xdr:nvSpPr>
      <xdr:spPr bwMode="auto">
        <a:xfrm flipV="1">
          <a:off x="4359275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276225</xdr:colOff>
      <xdr:row>30</xdr:row>
      <xdr:rowOff>0</xdr:rowOff>
    </xdr:from>
    <xdr:to>
      <xdr:col>8</xdr:col>
      <xdr:colOff>276225</xdr:colOff>
      <xdr:row>30</xdr:row>
      <xdr:rowOff>0</xdr:rowOff>
    </xdr:to>
    <xdr:sp macro="" textlink="">
      <xdr:nvSpPr>
        <xdr:cNvPr id="33" name="Line 75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 noChangeShapeType="1"/>
        </xdr:cNvSpPr>
      </xdr:nvSpPr>
      <xdr:spPr bwMode="auto">
        <a:xfrm flipV="1">
          <a:off x="4340225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30</xdr:row>
      <xdr:rowOff>0</xdr:rowOff>
    </xdr:from>
    <xdr:to>
      <xdr:col>9</xdr:col>
      <xdr:colOff>180975</xdr:colOff>
      <xdr:row>30</xdr:row>
      <xdr:rowOff>0</xdr:rowOff>
    </xdr:to>
    <xdr:sp macro="" textlink="">
      <xdr:nvSpPr>
        <xdr:cNvPr id="34" name="Line 76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ShapeType="1"/>
        </xdr:cNvSpPr>
      </xdr:nvSpPr>
      <xdr:spPr bwMode="auto">
        <a:xfrm flipH="1">
          <a:off x="4895850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30</xdr:row>
      <xdr:rowOff>0</xdr:rowOff>
    </xdr:from>
    <xdr:to>
      <xdr:col>8</xdr:col>
      <xdr:colOff>304800</xdr:colOff>
      <xdr:row>30</xdr:row>
      <xdr:rowOff>0</xdr:rowOff>
    </xdr:to>
    <xdr:sp macro="" textlink="">
      <xdr:nvSpPr>
        <xdr:cNvPr id="35" name="Line 77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>
          <a:spLocks noChangeShapeType="1"/>
        </xdr:cNvSpPr>
      </xdr:nvSpPr>
      <xdr:spPr bwMode="auto">
        <a:xfrm>
          <a:off x="4368800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314325</xdr:colOff>
      <xdr:row>30</xdr:row>
      <xdr:rowOff>0</xdr:rowOff>
    </xdr:from>
    <xdr:to>
      <xdr:col>4</xdr:col>
      <xdr:colOff>314325</xdr:colOff>
      <xdr:row>30</xdr:row>
      <xdr:rowOff>0</xdr:rowOff>
    </xdr:to>
    <xdr:sp macro="" textlink="">
      <xdr:nvSpPr>
        <xdr:cNvPr id="36" name="Line 78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>
          <a:spLocks noChangeShapeType="1"/>
        </xdr:cNvSpPr>
      </xdr:nvSpPr>
      <xdr:spPr bwMode="auto">
        <a:xfrm flipV="1">
          <a:off x="2206625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30</xdr:row>
      <xdr:rowOff>0</xdr:rowOff>
    </xdr:from>
    <xdr:to>
      <xdr:col>5</xdr:col>
      <xdr:colOff>304800</xdr:colOff>
      <xdr:row>30</xdr:row>
      <xdr:rowOff>0</xdr:rowOff>
    </xdr:to>
    <xdr:sp macro="" textlink="">
      <xdr:nvSpPr>
        <xdr:cNvPr id="37" name="Line 79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>
          <a:spLocks noChangeShapeType="1"/>
        </xdr:cNvSpPr>
      </xdr:nvSpPr>
      <xdr:spPr bwMode="auto">
        <a:xfrm>
          <a:off x="2895600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12</xdr:col>
      <xdr:colOff>0</xdr:colOff>
      <xdr:row>30</xdr:row>
      <xdr:rowOff>0</xdr:rowOff>
    </xdr:to>
    <xdr:sp macro="" textlink="">
      <xdr:nvSpPr>
        <xdr:cNvPr id="38" name="Line 80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>
          <a:spLocks noChangeShapeType="1"/>
        </xdr:cNvSpPr>
      </xdr:nvSpPr>
      <xdr:spPr bwMode="auto">
        <a:xfrm flipV="1">
          <a:off x="6178550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12</xdr:col>
      <xdr:colOff>0</xdr:colOff>
      <xdr:row>30</xdr:row>
      <xdr:rowOff>0</xdr:rowOff>
    </xdr:to>
    <xdr:sp macro="" textlink="">
      <xdr:nvSpPr>
        <xdr:cNvPr id="39" name="Line 81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>
          <a:spLocks noChangeShapeType="1"/>
        </xdr:cNvSpPr>
      </xdr:nvSpPr>
      <xdr:spPr bwMode="auto">
        <a:xfrm flipV="1">
          <a:off x="6178550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30</xdr:row>
      <xdr:rowOff>0</xdr:rowOff>
    </xdr:from>
    <xdr:to>
      <xdr:col>5</xdr:col>
      <xdr:colOff>295275</xdr:colOff>
      <xdr:row>30</xdr:row>
      <xdr:rowOff>0</xdr:rowOff>
    </xdr:to>
    <xdr:sp macro="" textlink="">
      <xdr:nvSpPr>
        <xdr:cNvPr id="40" name="Line 82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>
          <a:spLocks noChangeShapeType="1"/>
        </xdr:cNvSpPr>
      </xdr:nvSpPr>
      <xdr:spPr bwMode="auto">
        <a:xfrm flipV="1">
          <a:off x="2886075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276225</xdr:colOff>
      <xdr:row>30</xdr:row>
      <xdr:rowOff>0</xdr:rowOff>
    </xdr:from>
    <xdr:to>
      <xdr:col>5</xdr:col>
      <xdr:colOff>276225</xdr:colOff>
      <xdr:row>30</xdr:row>
      <xdr:rowOff>0</xdr:rowOff>
    </xdr:to>
    <xdr:sp macro="" textlink="">
      <xdr:nvSpPr>
        <xdr:cNvPr id="41" name="Line 83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>
          <a:spLocks noChangeShapeType="1"/>
        </xdr:cNvSpPr>
      </xdr:nvSpPr>
      <xdr:spPr bwMode="auto">
        <a:xfrm flipV="1">
          <a:off x="2867025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30</xdr:row>
      <xdr:rowOff>0</xdr:rowOff>
    </xdr:from>
    <xdr:to>
      <xdr:col>5</xdr:col>
      <xdr:colOff>304800</xdr:colOff>
      <xdr:row>30</xdr:row>
      <xdr:rowOff>0</xdr:rowOff>
    </xdr:to>
    <xdr:sp macro="" textlink="">
      <xdr:nvSpPr>
        <xdr:cNvPr id="42" name="Line 84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 noChangeShapeType="1"/>
        </xdr:cNvSpPr>
      </xdr:nvSpPr>
      <xdr:spPr bwMode="auto">
        <a:xfrm>
          <a:off x="2895600" y="4851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49</xdr:row>
      <xdr:rowOff>0</xdr:rowOff>
    </xdr:from>
    <xdr:to>
      <xdr:col>4</xdr:col>
      <xdr:colOff>285750</xdr:colOff>
      <xdr:row>49</xdr:row>
      <xdr:rowOff>0</xdr:rowOff>
    </xdr:to>
    <xdr:sp macro="" textlink="">
      <xdr:nvSpPr>
        <xdr:cNvPr id="43" name="Line 85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>
          <a:spLocks noChangeShapeType="1"/>
        </xdr:cNvSpPr>
      </xdr:nvSpPr>
      <xdr:spPr bwMode="auto">
        <a:xfrm flipV="1">
          <a:off x="2178050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49</xdr:row>
      <xdr:rowOff>0</xdr:rowOff>
    </xdr:from>
    <xdr:to>
      <xdr:col>5</xdr:col>
      <xdr:colOff>295275</xdr:colOff>
      <xdr:row>49</xdr:row>
      <xdr:rowOff>0</xdr:rowOff>
    </xdr:to>
    <xdr:sp macro="" textlink="">
      <xdr:nvSpPr>
        <xdr:cNvPr id="44" name="Line 86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ShapeType="1"/>
        </xdr:cNvSpPr>
      </xdr:nvSpPr>
      <xdr:spPr bwMode="auto">
        <a:xfrm>
          <a:off x="2886075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276225</xdr:colOff>
      <xdr:row>49</xdr:row>
      <xdr:rowOff>0</xdr:rowOff>
    </xdr:from>
    <xdr:to>
      <xdr:col>4</xdr:col>
      <xdr:colOff>276225</xdr:colOff>
      <xdr:row>49</xdr:row>
      <xdr:rowOff>0</xdr:rowOff>
    </xdr:to>
    <xdr:sp macro="" textlink="">
      <xdr:nvSpPr>
        <xdr:cNvPr id="45" name="Line 87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ShapeType="1"/>
        </xdr:cNvSpPr>
      </xdr:nvSpPr>
      <xdr:spPr bwMode="auto">
        <a:xfrm flipV="1">
          <a:off x="2168525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49</xdr:row>
      <xdr:rowOff>0</xdr:rowOff>
    </xdr:from>
    <xdr:to>
      <xdr:col>5</xdr:col>
      <xdr:colOff>285750</xdr:colOff>
      <xdr:row>49</xdr:row>
      <xdr:rowOff>0</xdr:rowOff>
    </xdr:to>
    <xdr:sp macro="" textlink="">
      <xdr:nvSpPr>
        <xdr:cNvPr id="46" name="Line 88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>
          <a:spLocks noChangeShapeType="1"/>
        </xdr:cNvSpPr>
      </xdr:nvSpPr>
      <xdr:spPr bwMode="auto">
        <a:xfrm>
          <a:off x="2876550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49</xdr:row>
      <xdr:rowOff>0</xdr:rowOff>
    </xdr:from>
    <xdr:to>
      <xdr:col>8</xdr:col>
      <xdr:colOff>295275</xdr:colOff>
      <xdr:row>49</xdr:row>
      <xdr:rowOff>0</xdr:rowOff>
    </xdr:to>
    <xdr:sp macro="" textlink="">
      <xdr:nvSpPr>
        <xdr:cNvPr id="47" name="Line 89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>
          <a:spLocks noChangeShapeType="1"/>
        </xdr:cNvSpPr>
      </xdr:nvSpPr>
      <xdr:spPr bwMode="auto">
        <a:xfrm flipV="1">
          <a:off x="4359275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276225</xdr:colOff>
      <xdr:row>49</xdr:row>
      <xdr:rowOff>0</xdr:rowOff>
    </xdr:from>
    <xdr:to>
      <xdr:col>8</xdr:col>
      <xdr:colOff>276225</xdr:colOff>
      <xdr:row>49</xdr:row>
      <xdr:rowOff>0</xdr:rowOff>
    </xdr:to>
    <xdr:sp macro="" textlink="">
      <xdr:nvSpPr>
        <xdr:cNvPr id="48" name="Line 90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>
          <a:spLocks noChangeShapeType="1"/>
        </xdr:cNvSpPr>
      </xdr:nvSpPr>
      <xdr:spPr bwMode="auto">
        <a:xfrm flipV="1">
          <a:off x="4340225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49</xdr:row>
      <xdr:rowOff>0</xdr:rowOff>
    </xdr:from>
    <xdr:to>
      <xdr:col>9</xdr:col>
      <xdr:colOff>180975</xdr:colOff>
      <xdr:row>49</xdr:row>
      <xdr:rowOff>0</xdr:rowOff>
    </xdr:to>
    <xdr:sp macro="" textlink="">
      <xdr:nvSpPr>
        <xdr:cNvPr id="49" name="Line 91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>
          <a:spLocks noChangeShapeType="1"/>
        </xdr:cNvSpPr>
      </xdr:nvSpPr>
      <xdr:spPr bwMode="auto">
        <a:xfrm flipH="1">
          <a:off x="4895850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49</xdr:row>
      <xdr:rowOff>0</xdr:rowOff>
    </xdr:from>
    <xdr:to>
      <xdr:col>8</xdr:col>
      <xdr:colOff>304800</xdr:colOff>
      <xdr:row>49</xdr:row>
      <xdr:rowOff>0</xdr:rowOff>
    </xdr:to>
    <xdr:sp macro="" textlink="">
      <xdr:nvSpPr>
        <xdr:cNvPr id="50" name="Line 92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>
          <a:spLocks noChangeShapeType="1"/>
        </xdr:cNvSpPr>
      </xdr:nvSpPr>
      <xdr:spPr bwMode="auto">
        <a:xfrm>
          <a:off x="4368800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314325</xdr:colOff>
      <xdr:row>49</xdr:row>
      <xdr:rowOff>0</xdr:rowOff>
    </xdr:from>
    <xdr:to>
      <xdr:col>4</xdr:col>
      <xdr:colOff>314325</xdr:colOff>
      <xdr:row>49</xdr:row>
      <xdr:rowOff>0</xdr:rowOff>
    </xdr:to>
    <xdr:sp macro="" textlink="">
      <xdr:nvSpPr>
        <xdr:cNvPr id="51" name="Line 93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ShapeType="1"/>
        </xdr:cNvSpPr>
      </xdr:nvSpPr>
      <xdr:spPr bwMode="auto">
        <a:xfrm flipV="1">
          <a:off x="2206625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49</xdr:row>
      <xdr:rowOff>0</xdr:rowOff>
    </xdr:from>
    <xdr:to>
      <xdr:col>5</xdr:col>
      <xdr:colOff>304800</xdr:colOff>
      <xdr:row>49</xdr:row>
      <xdr:rowOff>0</xdr:rowOff>
    </xdr:to>
    <xdr:sp macro="" textlink="">
      <xdr:nvSpPr>
        <xdr:cNvPr id="52" name="Line 94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ShapeType="1"/>
        </xdr:cNvSpPr>
      </xdr:nvSpPr>
      <xdr:spPr bwMode="auto">
        <a:xfrm>
          <a:off x="2895600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49</xdr:row>
      <xdr:rowOff>0</xdr:rowOff>
    </xdr:from>
    <xdr:to>
      <xdr:col>12</xdr:col>
      <xdr:colOff>0</xdr:colOff>
      <xdr:row>49</xdr:row>
      <xdr:rowOff>0</xdr:rowOff>
    </xdr:to>
    <xdr:sp macro="" textlink="">
      <xdr:nvSpPr>
        <xdr:cNvPr id="53" name="Line 95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ShapeType="1"/>
        </xdr:cNvSpPr>
      </xdr:nvSpPr>
      <xdr:spPr bwMode="auto">
        <a:xfrm flipV="1">
          <a:off x="6178550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49</xdr:row>
      <xdr:rowOff>0</xdr:rowOff>
    </xdr:from>
    <xdr:to>
      <xdr:col>12</xdr:col>
      <xdr:colOff>0</xdr:colOff>
      <xdr:row>49</xdr:row>
      <xdr:rowOff>0</xdr:rowOff>
    </xdr:to>
    <xdr:sp macro="" textlink="">
      <xdr:nvSpPr>
        <xdr:cNvPr id="54" name="Line 96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>
          <a:spLocks noChangeShapeType="1"/>
        </xdr:cNvSpPr>
      </xdr:nvSpPr>
      <xdr:spPr bwMode="auto">
        <a:xfrm flipV="1">
          <a:off x="6178550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49</xdr:row>
      <xdr:rowOff>0</xdr:rowOff>
    </xdr:from>
    <xdr:to>
      <xdr:col>5</xdr:col>
      <xdr:colOff>295275</xdr:colOff>
      <xdr:row>49</xdr:row>
      <xdr:rowOff>0</xdr:rowOff>
    </xdr:to>
    <xdr:sp macro="" textlink="">
      <xdr:nvSpPr>
        <xdr:cNvPr id="55" name="Line 97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ShapeType="1"/>
        </xdr:cNvSpPr>
      </xdr:nvSpPr>
      <xdr:spPr bwMode="auto">
        <a:xfrm flipV="1">
          <a:off x="2886075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276225</xdr:colOff>
      <xdr:row>49</xdr:row>
      <xdr:rowOff>0</xdr:rowOff>
    </xdr:from>
    <xdr:to>
      <xdr:col>5</xdr:col>
      <xdr:colOff>276225</xdr:colOff>
      <xdr:row>49</xdr:row>
      <xdr:rowOff>0</xdr:rowOff>
    </xdr:to>
    <xdr:sp macro="" textlink="">
      <xdr:nvSpPr>
        <xdr:cNvPr id="56" name="Line 98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ShapeType="1"/>
        </xdr:cNvSpPr>
      </xdr:nvSpPr>
      <xdr:spPr bwMode="auto">
        <a:xfrm flipV="1">
          <a:off x="2867025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49</xdr:row>
      <xdr:rowOff>0</xdr:rowOff>
    </xdr:from>
    <xdr:to>
      <xdr:col>5</xdr:col>
      <xdr:colOff>304800</xdr:colOff>
      <xdr:row>49</xdr:row>
      <xdr:rowOff>0</xdr:rowOff>
    </xdr:to>
    <xdr:sp macro="" textlink="">
      <xdr:nvSpPr>
        <xdr:cNvPr id="57" name="Line 99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ShapeType="1"/>
        </xdr:cNvSpPr>
      </xdr:nvSpPr>
      <xdr:spPr bwMode="auto">
        <a:xfrm>
          <a:off x="2895600" y="7893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285750</xdr:colOff>
      <xdr:row>71</xdr:row>
      <xdr:rowOff>0</xdr:rowOff>
    </xdr:from>
    <xdr:to>
      <xdr:col>4</xdr:col>
      <xdr:colOff>285750</xdr:colOff>
      <xdr:row>71</xdr:row>
      <xdr:rowOff>0</xdr:rowOff>
    </xdr:to>
    <xdr:sp macro="" textlink="">
      <xdr:nvSpPr>
        <xdr:cNvPr id="58" name="Line 100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>
          <a:spLocks noChangeShapeType="1"/>
        </xdr:cNvSpPr>
      </xdr:nvSpPr>
      <xdr:spPr bwMode="auto">
        <a:xfrm flipV="1">
          <a:off x="2178050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71</xdr:row>
      <xdr:rowOff>0</xdr:rowOff>
    </xdr:from>
    <xdr:to>
      <xdr:col>5</xdr:col>
      <xdr:colOff>295275</xdr:colOff>
      <xdr:row>71</xdr:row>
      <xdr:rowOff>0</xdr:rowOff>
    </xdr:to>
    <xdr:sp macro="" textlink="">
      <xdr:nvSpPr>
        <xdr:cNvPr id="59" name="Line 10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ShapeType="1"/>
        </xdr:cNvSpPr>
      </xdr:nvSpPr>
      <xdr:spPr bwMode="auto">
        <a:xfrm>
          <a:off x="2886075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276225</xdr:colOff>
      <xdr:row>71</xdr:row>
      <xdr:rowOff>0</xdr:rowOff>
    </xdr:from>
    <xdr:to>
      <xdr:col>4</xdr:col>
      <xdr:colOff>276225</xdr:colOff>
      <xdr:row>71</xdr:row>
      <xdr:rowOff>0</xdr:rowOff>
    </xdr:to>
    <xdr:sp macro="" textlink="">
      <xdr:nvSpPr>
        <xdr:cNvPr id="60" name="Line 102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>
          <a:spLocks noChangeShapeType="1"/>
        </xdr:cNvSpPr>
      </xdr:nvSpPr>
      <xdr:spPr bwMode="auto">
        <a:xfrm flipV="1">
          <a:off x="2168525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71</xdr:row>
      <xdr:rowOff>0</xdr:rowOff>
    </xdr:from>
    <xdr:to>
      <xdr:col>5</xdr:col>
      <xdr:colOff>285750</xdr:colOff>
      <xdr:row>71</xdr:row>
      <xdr:rowOff>0</xdr:rowOff>
    </xdr:to>
    <xdr:sp macro="" textlink="">
      <xdr:nvSpPr>
        <xdr:cNvPr id="61" name="Line 103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>
          <a:spLocks noChangeShapeType="1"/>
        </xdr:cNvSpPr>
      </xdr:nvSpPr>
      <xdr:spPr bwMode="auto">
        <a:xfrm>
          <a:off x="2876550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295275</xdr:colOff>
      <xdr:row>71</xdr:row>
      <xdr:rowOff>0</xdr:rowOff>
    </xdr:from>
    <xdr:to>
      <xdr:col>8</xdr:col>
      <xdr:colOff>295275</xdr:colOff>
      <xdr:row>71</xdr:row>
      <xdr:rowOff>0</xdr:rowOff>
    </xdr:to>
    <xdr:sp macro="" textlink="">
      <xdr:nvSpPr>
        <xdr:cNvPr id="62" name="Line 104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>
          <a:spLocks noChangeShapeType="1"/>
        </xdr:cNvSpPr>
      </xdr:nvSpPr>
      <xdr:spPr bwMode="auto">
        <a:xfrm flipV="1">
          <a:off x="4359275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276225</xdr:colOff>
      <xdr:row>71</xdr:row>
      <xdr:rowOff>0</xdr:rowOff>
    </xdr:from>
    <xdr:to>
      <xdr:col>8</xdr:col>
      <xdr:colOff>276225</xdr:colOff>
      <xdr:row>71</xdr:row>
      <xdr:rowOff>0</xdr:rowOff>
    </xdr:to>
    <xdr:sp macro="" textlink="">
      <xdr:nvSpPr>
        <xdr:cNvPr id="63" name="Line 105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>
          <a:spLocks noChangeShapeType="1"/>
        </xdr:cNvSpPr>
      </xdr:nvSpPr>
      <xdr:spPr bwMode="auto">
        <a:xfrm flipV="1">
          <a:off x="4340225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71</xdr:row>
      <xdr:rowOff>0</xdr:rowOff>
    </xdr:from>
    <xdr:to>
      <xdr:col>9</xdr:col>
      <xdr:colOff>180975</xdr:colOff>
      <xdr:row>71</xdr:row>
      <xdr:rowOff>0</xdr:rowOff>
    </xdr:to>
    <xdr:sp macro="" textlink="">
      <xdr:nvSpPr>
        <xdr:cNvPr id="64" name="Line 106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ShapeType="1"/>
        </xdr:cNvSpPr>
      </xdr:nvSpPr>
      <xdr:spPr bwMode="auto">
        <a:xfrm flipH="1">
          <a:off x="4895850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304800</xdr:colOff>
      <xdr:row>71</xdr:row>
      <xdr:rowOff>0</xdr:rowOff>
    </xdr:from>
    <xdr:to>
      <xdr:col>8</xdr:col>
      <xdr:colOff>304800</xdr:colOff>
      <xdr:row>71</xdr:row>
      <xdr:rowOff>0</xdr:rowOff>
    </xdr:to>
    <xdr:sp macro="" textlink="">
      <xdr:nvSpPr>
        <xdr:cNvPr id="65" name="Line 107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ShapeType="1"/>
        </xdr:cNvSpPr>
      </xdr:nvSpPr>
      <xdr:spPr bwMode="auto">
        <a:xfrm>
          <a:off x="4368800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314325</xdr:colOff>
      <xdr:row>71</xdr:row>
      <xdr:rowOff>0</xdr:rowOff>
    </xdr:from>
    <xdr:to>
      <xdr:col>4</xdr:col>
      <xdr:colOff>314325</xdr:colOff>
      <xdr:row>71</xdr:row>
      <xdr:rowOff>0</xdr:rowOff>
    </xdr:to>
    <xdr:sp macro="" textlink="">
      <xdr:nvSpPr>
        <xdr:cNvPr id="66" name="Line 108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ShapeType="1"/>
        </xdr:cNvSpPr>
      </xdr:nvSpPr>
      <xdr:spPr bwMode="auto">
        <a:xfrm flipV="1">
          <a:off x="2206625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71</xdr:row>
      <xdr:rowOff>0</xdr:rowOff>
    </xdr:from>
    <xdr:to>
      <xdr:col>5</xdr:col>
      <xdr:colOff>304800</xdr:colOff>
      <xdr:row>71</xdr:row>
      <xdr:rowOff>0</xdr:rowOff>
    </xdr:to>
    <xdr:sp macro="" textlink="">
      <xdr:nvSpPr>
        <xdr:cNvPr id="67" name="Line 109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ShapeType="1"/>
        </xdr:cNvSpPr>
      </xdr:nvSpPr>
      <xdr:spPr bwMode="auto">
        <a:xfrm>
          <a:off x="2895600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71</xdr:row>
      <xdr:rowOff>0</xdr:rowOff>
    </xdr:from>
    <xdr:to>
      <xdr:col>12</xdr:col>
      <xdr:colOff>0</xdr:colOff>
      <xdr:row>71</xdr:row>
      <xdr:rowOff>0</xdr:rowOff>
    </xdr:to>
    <xdr:sp macro="" textlink="">
      <xdr:nvSpPr>
        <xdr:cNvPr id="68" name="Line 110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ShapeType="1"/>
        </xdr:cNvSpPr>
      </xdr:nvSpPr>
      <xdr:spPr bwMode="auto">
        <a:xfrm flipV="1">
          <a:off x="6178550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71</xdr:row>
      <xdr:rowOff>0</xdr:rowOff>
    </xdr:from>
    <xdr:to>
      <xdr:col>12</xdr:col>
      <xdr:colOff>0</xdr:colOff>
      <xdr:row>71</xdr:row>
      <xdr:rowOff>0</xdr:rowOff>
    </xdr:to>
    <xdr:sp macro="" textlink="">
      <xdr:nvSpPr>
        <xdr:cNvPr id="69" name="Line 111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>
          <a:spLocks noChangeShapeType="1"/>
        </xdr:cNvSpPr>
      </xdr:nvSpPr>
      <xdr:spPr bwMode="auto">
        <a:xfrm flipV="1">
          <a:off x="6178550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71</xdr:row>
      <xdr:rowOff>0</xdr:rowOff>
    </xdr:from>
    <xdr:to>
      <xdr:col>5</xdr:col>
      <xdr:colOff>295275</xdr:colOff>
      <xdr:row>71</xdr:row>
      <xdr:rowOff>0</xdr:rowOff>
    </xdr:to>
    <xdr:sp macro="" textlink="">
      <xdr:nvSpPr>
        <xdr:cNvPr id="70" name="Line 112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>
          <a:spLocks noChangeShapeType="1"/>
        </xdr:cNvSpPr>
      </xdr:nvSpPr>
      <xdr:spPr bwMode="auto">
        <a:xfrm flipV="1">
          <a:off x="2886075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276225</xdr:colOff>
      <xdr:row>71</xdr:row>
      <xdr:rowOff>0</xdr:rowOff>
    </xdr:from>
    <xdr:to>
      <xdr:col>5</xdr:col>
      <xdr:colOff>276225</xdr:colOff>
      <xdr:row>71</xdr:row>
      <xdr:rowOff>0</xdr:rowOff>
    </xdr:to>
    <xdr:sp macro="" textlink="">
      <xdr:nvSpPr>
        <xdr:cNvPr id="71" name="Line 113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>
          <a:spLocks noChangeShapeType="1"/>
        </xdr:cNvSpPr>
      </xdr:nvSpPr>
      <xdr:spPr bwMode="auto">
        <a:xfrm flipV="1">
          <a:off x="2867025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71</xdr:row>
      <xdr:rowOff>0</xdr:rowOff>
    </xdr:from>
    <xdr:to>
      <xdr:col>5</xdr:col>
      <xdr:colOff>304800</xdr:colOff>
      <xdr:row>71</xdr:row>
      <xdr:rowOff>0</xdr:rowOff>
    </xdr:to>
    <xdr:sp macro="" textlink="">
      <xdr:nvSpPr>
        <xdr:cNvPr id="72" name="Line 114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>
          <a:spLocks noChangeShapeType="1"/>
        </xdr:cNvSpPr>
      </xdr:nvSpPr>
      <xdr:spPr bwMode="auto">
        <a:xfrm>
          <a:off x="2895600" y="11410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7" sqref="F7"/>
    </sheetView>
  </sheetViews>
  <sheetFormatPr defaultColWidth="25.5703125" defaultRowHeight="15" x14ac:dyDescent="0.25"/>
  <cols>
    <col min="1" max="1" width="9.42578125" customWidth="1"/>
    <col min="3" max="3" width="20.140625" bestFit="1" customWidth="1"/>
  </cols>
  <sheetData>
    <row r="1" spans="1:5" ht="30.75" thickBot="1" x14ac:dyDescent="0.3">
      <c r="A1" s="114" t="s">
        <v>0</v>
      </c>
      <c r="B1" s="115" t="s">
        <v>1</v>
      </c>
      <c r="C1" s="116" t="s">
        <v>2</v>
      </c>
      <c r="D1" s="117" t="s">
        <v>3</v>
      </c>
      <c r="E1" s="118" t="s">
        <v>4</v>
      </c>
    </row>
    <row r="2" spans="1:5" x14ac:dyDescent="0.25">
      <c r="A2" s="102" t="s">
        <v>5</v>
      </c>
      <c r="B2" s="6">
        <v>4402086693.6300001</v>
      </c>
      <c r="C2" s="108">
        <v>1550886475.77</v>
      </c>
      <c r="D2" s="105">
        <v>1837621387</v>
      </c>
      <c r="E2" s="113"/>
    </row>
    <row r="3" spans="1:5" x14ac:dyDescent="0.25">
      <c r="A3" s="103" t="s">
        <v>6</v>
      </c>
      <c r="B3" s="2">
        <v>3988208343.5799999</v>
      </c>
      <c r="C3" s="109">
        <v>1546968489.26</v>
      </c>
      <c r="D3" s="106">
        <v>1756021028</v>
      </c>
      <c r="E3" s="111"/>
    </row>
    <row r="4" spans="1:5" x14ac:dyDescent="0.25">
      <c r="A4" s="103" t="s">
        <v>7</v>
      </c>
      <c r="B4" s="2">
        <v>4527452529.6099997</v>
      </c>
      <c r="C4" s="109">
        <v>1855676294.9300001</v>
      </c>
      <c r="D4" s="106">
        <v>2044375207</v>
      </c>
      <c r="E4" s="111"/>
    </row>
    <row r="5" spans="1:5" x14ac:dyDescent="0.25">
      <c r="A5" s="103" t="s">
        <v>8</v>
      </c>
      <c r="B5" s="2">
        <v>4096315164.5600004</v>
      </c>
      <c r="C5" s="109">
        <v>1628811885.9899998</v>
      </c>
      <c r="D5" s="106">
        <v>1875899467</v>
      </c>
      <c r="E5" s="111"/>
    </row>
    <row r="6" spans="1:5" x14ac:dyDescent="0.25">
      <c r="A6" s="103" t="s">
        <v>9</v>
      </c>
      <c r="B6" s="2">
        <v>4988276050.2000008</v>
      </c>
      <c r="C6" s="109">
        <v>1756991838.9400001</v>
      </c>
      <c r="D6" s="106">
        <v>2086679552</v>
      </c>
      <c r="E6" s="111"/>
    </row>
    <row r="7" spans="1:5" x14ac:dyDescent="0.25">
      <c r="A7" s="103" t="s">
        <v>10</v>
      </c>
      <c r="B7" s="2">
        <v>4552230354.21</v>
      </c>
      <c r="C7" s="109">
        <v>1852332282.99</v>
      </c>
      <c r="D7" s="106">
        <v>1931182577</v>
      </c>
      <c r="E7" s="111"/>
    </row>
    <row r="8" spans="1:5" x14ac:dyDescent="0.25">
      <c r="A8" s="103" t="s">
        <v>11</v>
      </c>
      <c r="B8" s="2">
        <v>5068076284.6299992</v>
      </c>
      <c r="C8" s="109">
        <v>1713587159.5900002</v>
      </c>
      <c r="D8" s="106">
        <v>2077817448</v>
      </c>
      <c r="E8" s="111"/>
    </row>
    <row r="9" spans="1:5" x14ac:dyDescent="0.25">
      <c r="A9" s="103" t="s">
        <v>12</v>
      </c>
      <c r="B9" s="2">
        <v>5029017826.4700003</v>
      </c>
      <c r="C9" s="109">
        <v>1858157616.3</v>
      </c>
      <c r="D9" s="106" t="s">
        <v>13</v>
      </c>
      <c r="E9" s="111"/>
    </row>
    <row r="10" spans="1:5" ht="15.75" thickBot="1" x14ac:dyDescent="0.3">
      <c r="A10" s="104" t="s">
        <v>14</v>
      </c>
      <c r="B10" s="92">
        <v>3489511370</v>
      </c>
      <c r="C10" s="110">
        <v>1297142185.1100001</v>
      </c>
      <c r="D10" s="107" t="s">
        <v>13</v>
      </c>
      <c r="E10" s="11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Views>
    <sheetView tabSelected="1" topLeftCell="C1" zoomScale="85" zoomScaleNormal="85" workbookViewId="0">
      <selection activeCell="N1" sqref="N1"/>
    </sheetView>
  </sheetViews>
  <sheetFormatPr defaultRowHeight="15" x14ac:dyDescent="0.25"/>
  <cols>
    <col min="1" max="1" width="26.85546875" bestFit="1" customWidth="1"/>
    <col min="2" max="2" width="29.140625" customWidth="1"/>
    <col min="3" max="3" width="29.28515625" customWidth="1"/>
    <col min="4" max="4" width="27.5703125" customWidth="1"/>
    <col min="5" max="5" width="24.42578125" customWidth="1"/>
    <col min="6" max="6" width="23.28515625" customWidth="1"/>
    <col min="7" max="7" width="27.85546875" customWidth="1"/>
    <col min="10" max="10" width="15.28515625" bestFit="1" customWidth="1"/>
    <col min="11" max="11" width="20.5703125" customWidth="1"/>
  </cols>
  <sheetData>
    <row r="1" spans="1:14" ht="45.75" thickBot="1" x14ac:dyDescent="0.3">
      <c r="A1" s="94" t="s">
        <v>0</v>
      </c>
      <c r="B1" s="95" t="s">
        <v>15</v>
      </c>
      <c r="C1" s="96" t="s">
        <v>16</v>
      </c>
      <c r="D1" s="97" t="s">
        <v>17</v>
      </c>
      <c r="E1" s="98" t="s">
        <v>18</v>
      </c>
      <c r="F1" s="99" t="s">
        <v>19</v>
      </c>
      <c r="G1" s="100" t="s">
        <v>3</v>
      </c>
      <c r="H1" s="101" t="s">
        <v>20</v>
      </c>
      <c r="J1" t="s">
        <v>162</v>
      </c>
      <c r="K1" t="s">
        <v>163</v>
      </c>
      <c r="N1" t="s">
        <v>164</v>
      </c>
    </row>
    <row r="2" spans="1:14" x14ac:dyDescent="0.25">
      <c r="A2" s="121" t="s">
        <v>5</v>
      </c>
      <c r="B2" s="88" t="s">
        <v>21</v>
      </c>
      <c r="C2" s="89">
        <v>549830499.21000004</v>
      </c>
      <c r="D2" s="90">
        <v>0</v>
      </c>
      <c r="E2" s="124">
        <v>172929644.13999999</v>
      </c>
      <c r="F2" s="127">
        <v>1377956831.6300001</v>
      </c>
      <c r="G2" s="130">
        <v>1837621387</v>
      </c>
      <c r="H2" s="91"/>
      <c r="J2" s="1">
        <f>G2-C10</f>
        <v>-88506710.210000038</v>
      </c>
      <c r="K2" s="1">
        <f>G2-E12</f>
        <v>286734911.23000002</v>
      </c>
      <c r="M2">
        <f>(J2/G2)*100</f>
        <v>-4.8163735378859105</v>
      </c>
    </row>
    <row r="3" spans="1:14" x14ac:dyDescent="0.25">
      <c r="A3" s="122"/>
      <c r="B3" s="3" t="s">
        <v>22</v>
      </c>
      <c r="C3" s="2">
        <v>0</v>
      </c>
      <c r="D3" s="4">
        <v>419678816.00999999</v>
      </c>
      <c r="E3" s="125"/>
      <c r="F3" s="128"/>
      <c r="G3" s="131"/>
      <c r="H3" s="10"/>
      <c r="M3" t="e">
        <f t="shared" ref="M3:M66" si="0">(J3/G3)*100</f>
        <v>#DIV/0!</v>
      </c>
    </row>
    <row r="4" spans="1:14" x14ac:dyDescent="0.25">
      <c r="A4" s="122"/>
      <c r="B4" s="3" t="s">
        <v>23</v>
      </c>
      <c r="C4" s="2">
        <v>1827104064.76</v>
      </c>
      <c r="D4" s="4">
        <v>0</v>
      </c>
      <c r="E4" s="125"/>
      <c r="F4" s="128"/>
      <c r="G4" s="131"/>
      <c r="H4" s="10"/>
      <c r="M4" t="e">
        <f t="shared" si="0"/>
        <v>#DIV/0!</v>
      </c>
    </row>
    <row r="5" spans="1:14" x14ac:dyDescent="0.25">
      <c r="A5" s="122"/>
      <c r="B5" s="3" t="s">
        <v>24</v>
      </c>
      <c r="C5" s="2">
        <v>0</v>
      </c>
      <c r="D5" s="4">
        <v>424904346.66000003</v>
      </c>
      <c r="E5" s="125"/>
      <c r="F5" s="128"/>
      <c r="G5" s="131"/>
      <c r="H5" s="10"/>
      <c r="M5" t="e">
        <f t="shared" si="0"/>
        <v>#DIV/0!</v>
      </c>
    </row>
    <row r="6" spans="1:14" x14ac:dyDescent="0.25">
      <c r="A6" s="122"/>
      <c r="B6" s="3" t="s">
        <v>25</v>
      </c>
      <c r="C6" s="2">
        <v>58821610.640000001</v>
      </c>
      <c r="D6" s="4">
        <v>0</v>
      </c>
      <c r="E6" s="125"/>
      <c r="F6" s="128"/>
      <c r="G6" s="131"/>
      <c r="H6" s="10"/>
      <c r="M6" t="e">
        <f t="shared" si="0"/>
        <v>#DIV/0!</v>
      </c>
    </row>
    <row r="7" spans="1:14" x14ac:dyDescent="0.25">
      <c r="A7" s="122"/>
      <c r="B7" s="3" t="s">
        <v>26</v>
      </c>
      <c r="C7" s="2">
        <v>0</v>
      </c>
      <c r="D7" s="4">
        <v>1631375433.75</v>
      </c>
      <c r="E7" s="125"/>
      <c r="F7" s="128"/>
      <c r="G7" s="131"/>
      <c r="H7" s="10"/>
      <c r="M7" t="e">
        <f t="shared" si="0"/>
        <v>#DIV/0!</v>
      </c>
    </row>
    <row r="8" spans="1:14" ht="15.75" thickBot="1" x14ac:dyDescent="0.3">
      <c r="A8" s="123"/>
      <c r="B8" s="5" t="s">
        <v>27</v>
      </c>
      <c r="C8" s="92">
        <v>40202421.810000002</v>
      </c>
      <c r="D8" s="93">
        <v>0</v>
      </c>
      <c r="E8" s="126"/>
      <c r="F8" s="129"/>
      <c r="G8" s="132"/>
      <c r="H8" s="11"/>
      <c r="M8" t="e">
        <f t="shared" si="0"/>
        <v>#DIV/0!</v>
      </c>
    </row>
    <row r="9" spans="1:14" x14ac:dyDescent="0.25">
      <c r="A9" s="1"/>
      <c r="B9" s="1"/>
      <c r="C9" s="8" t="s">
        <v>28</v>
      </c>
      <c r="D9" s="9" t="s">
        <v>29</v>
      </c>
      <c r="E9" s="1"/>
      <c r="F9" s="1"/>
      <c r="M9" t="e">
        <f t="shared" si="0"/>
        <v>#DIV/0!</v>
      </c>
    </row>
    <row r="10" spans="1:14" ht="15.75" thickBot="1" x14ac:dyDescent="0.3">
      <c r="C10" s="12">
        <f>SUM(C3:C8)</f>
        <v>1926128097.21</v>
      </c>
      <c r="D10" s="7">
        <f>SUM(D3:D8)</f>
        <v>2475958596.4200001</v>
      </c>
      <c r="M10" t="e">
        <f t="shared" si="0"/>
        <v>#DIV/0!</v>
      </c>
    </row>
    <row r="11" spans="1:14" x14ac:dyDescent="0.25">
      <c r="C11" s="133" t="s">
        <v>1</v>
      </c>
      <c r="D11" s="134"/>
      <c r="E11" s="133" t="s">
        <v>2</v>
      </c>
      <c r="F11" s="135"/>
      <c r="M11" t="e">
        <f t="shared" si="0"/>
        <v>#DIV/0!</v>
      </c>
    </row>
    <row r="12" spans="1:14" ht="15.75" thickBot="1" x14ac:dyDescent="0.3">
      <c r="C12" s="119">
        <f>SUM(C10:D10)</f>
        <v>4402086693.6300001</v>
      </c>
      <c r="D12" s="120"/>
      <c r="E12" s="119">
        <f>SUM(E2:F8)</f>
        <v>1550886475.77</v>
      </c>
      <c r="F12" s="136"/>
      <c r="M12" t="e">
        <f t="shared" si="0"/>
        <v>#DIV/0!</v>
      </c>
    </row>
    <row r="13" spans="1:14" x14ac:dyDescent="0.25">
      <c r="A13" s="121" t="s">
        <v>6</v>
      </c>
      <c r="B13" s="88" t="s">
        <v>21</v>
      </c>
      <c r="C13" s="89">
        <v>475802474.10000002</v>
      </c>
      <c r="D13" s="90">
        <v>0</v>
      </c>
      <c r="E13" s="137">
        <v>171963698.53999999</v>
      </c>
      <c r="F13" s="140">
        <v>1375004790.72</v>
      </c>
      <c r="G13" s="130">
        <v>1756021028</v>
      </c>
      <c r="H13" s="91"/>
      <c r="J13" s="1">
        <f>G13-C21</f>
        <v>-181906.74000000954</v>
      </c>
      <c r="K13" s="1">
        <f>G13-E23</f>
        <v>209052538.74000001</v>
      </c>
      <c r="M13">
        <f t="shared" si="0"/>
        <v>-1.0359029709751831E-2</v>
      </c>
    </row>
    <row r="14" spans="1:14" x14ac:dyDescent="0.25">
      <c r="A14" s="122"/>
      <c r="B14" s="3" t="s">
        <v>22</v>
      </c>
      <c r="C14" s="2">
        <v>0</v>
      </c>
      <c r="D14" s="4">
        <v>399642877.56999999</v>
      </c>
      <c r="E14" s="138"/>
      <c r="F14" s="141"/>
      <c r="G14" s="131"/>
      <c r="H14" s="10"/>
      <c r="M14" t="e">
        <f t="shared" si="0"/>
        <v>#DIV/0!</v>
      </c>
    </row>
    <row r="15" spans="1:14" x14ac:dyDescent="0.25">
      <c r="A15" s="122"/>
      <c r="B15" s="3" t="s">
        <v>23</v>
      </c>
      <c r="C15" s="2">
        <v>1677035576.9400001</v>
      </c>
      <c r="D15" s="4">
        <v>0</v>
      </c>
      <c r="E15" s="138"/>
      <c r="F15" s="141"/>
      <c r="G15" s="131"/>
      <c r="H15" s="10"/>
      <c r="M15" t="e">
        <f t="shared" si="0"/>
        <v>#DIV/0!</v>
      </c>
    </row>
    <row r="16" spans="1:14" x14ac:dyDescent="0.25">
      <c r="A16" s="122"/>
      <c r="B16" s="3" t="s">
        <v>24</v>
      </c>
      <c r="C16" s="2">
        <v>0</v>
      </c>
      <c r="D16" s="4">
        <v>388565026.04000002</v>
      </c>
      <c r="E16" s="138"/>
      <c r="F16" s="141"/>
      <c r="G16" s="131"/>
      <c r="H16" s="10"/>
      <c r="M16" t="e">
        <f t="shared" si="0"/>
        <v>#DIV/0!</v>
      </c>
    </row>
    <row r="17" spans="1:13" x14ac:dyDescent="0.25">
      <c r="A17" s="122"/>
      <c r="B17" s="3" t="s">
        <v>25</v>
      </c>
      <c r="C17" s="2">
        <v>49978560.460000001</v>
      </c>
      <c r="D17" s="4">
        <v>0</v>
      </c>
      <c r="E17" s="138"/>
      <c r="F17" s="141"/>
      <c r="G17" s="131"/>
      <c r="H17" s="10"/>
      <c r="M17" t="e">
        <f t="shared" si="0"/>
        <v>#DIV/0!</v>
      </c>
    </row>
    <row r="18" spans="1:13" x14ac:dyDescent="0.25">
      <c r="A18" s="122"/>
      <c r="B18" s="3" t="s">
        <v>26</v>
      </c>
      <c r="C18" s="2">
        <v>0</v>
      </c>
      <c r="D18" s="4">
        <v>1443797505.23</v>
      </c>
      <c r="E18" s="138"/>
      <c r="F18" s="141"/>
      <c r="G18" s="131"/>
      <c r="H18" s="10"/>
      <c r="M18" t="e">
        <f t="shared" si="0"/>
        <v>#DIV/0!</v>
      </c>
    </row>
    <row r="19" spans="1:13" ht="15.75" thickBot="1" x14ac:dyDescent="0.3">
      <c r="A19" s="123"/>
      <c r="B19" s="5" t="s">
        <v>27</v>
      </c>
      <c r="C19" s="92">
        <v>29188797.34</v>
      </c>
      <c r="D19" s="93">
        <v>0</v>
      </c>
      <c r="E19" s="139"/>
      <c r="F19" s="142"/>
      <c r="G19" s="132"/>
      <c r="H19" s="11"/>
      <c r="M19" t="e">
        <f t="shared" si="0"/>
        <v>#DIV/0!</v>
      </c>
    </row>
    <row r="20" spans="1:13" x14ac:dyDescent="0.25">
      <c r="A20" s="1"/>
      <c r="B20" s="1"/>
      <c r="C20" s="8" t="s">
        <v>28</v>
      </c>
      <c r="D20" s="9" t="s">
        <v>29</v>
      </c>
      <c r="E20" s="1"/>
      <c r="F20" s="1"/>
      <c r="M20" t="e">
        <f t="shared" si="0"/>
        <v>#DIV/0!</v>
      </c>
    </row>
    <row r="21" spans="1:13" ht="15.75" thickBot="1" x14ac:dyDescent="0.3">
      <c r="C21" s="12">
        <f>SUM(C14:C19)</f>
        <v>1756202934.74</v>
      </c>
      <c r="D21" s="7">
        <f>SUM(D14:D19)</f>
        <v>2232005408.8400002</v>
      </c>
      <c r="M21" t="e">
        <f t="shared" si="0"/>
        <v>#DIV/0!</v>
      </c>
    </row>
    <row r="22" spans="1:13" x14ac:dyDescent="0.25">
      <c r="C22" s="133" t="s">
        <v>1</v>
      </c>
      <c r="D22" s="134"/>
      <c r="E22" s="133" t="s">
        <v>2</v>
      </c>
      <c r="F22" s="135"/>
      <c r="M22" t="e">
        <f t="shared" si="0"/>
        <v>#DIV/0!</v>
      </c>
    </row>
    <row r="23" spans="1:13" ht="15.75" thickBot="1" x14ac:dyDescent="0.3">
      <c r="C23" s="119">
        <f>SUM(C21:D21)</f>
        <v>3988208343.5799999</v>
      </c>
      <c r="D23" s="120"/>
      <c r="E23" s="119">
        <f>SUM(E13:F19)</f>
        <v>1546968489.26</v>
      </c>
      <c r="F23" s="136"/>
      <c r="M23" t="e">
        <f t="shared" si="0"/>
        <v>#DIV/0!</v>
      </c>
    </row>
    <row r="24" spans="1:13" x14ac:dyDescent="0.25">
      <c r="A24" s="121" t="s">
        <v>7</v>
      </c>
      <c r="B24" s="88" t="s">
        <v>21</v>
      </c>
      <c r="C24" s="89">
        <v>440089323.20999998</v>
      </c>
      <c r="D24" s="90">
        <v>0</v>
      </c>
      <c r="E24" s="124">
        <v>198519077.28</v>
      </c>
      <c r="F24" s="127">
        <v>1657157217.6500001</v>
      </c>
      <c r="G24" s="130">
        <v>2044375207</v>
      </c>
      <c r="H24" s="91"/>
      <c r="J24" s="1">
        <f>G24-C32</f>
        <v>693603.79999995232</v>
      </c>
      <c r="K24" s="1">
        <f>G24-E34</f>
        <v>188698912.06999993</v>
      </c>
      <c r="M24">
        <f t="shared" si="0"/>
        <v>3.3927421816945968E-2</v>
      </c>
    </row>
    <row r="25" spans="1:13" x14ac:dyDescent="0.25">
      <c r="A25" s="122"/>
      <c r="B25" s="3" t="s">
        <v>22</v>
      </c>
      <c r="C25" s="2">
        <v>0</v>
      </c>
      <c r="D25" s="4">
        <v>437964581.26999998</v>
      </c>
      <c r="E25" s="125"/>
      <c r="F25" s="128"/>
      <c r="G25" s="131"/>
      <c r="H25" s="10"/>
      <c r="M25" t="e">
        <f t="shared" si="0"/>
        <v>#DIV/0!</v>
      </c>
    </row>
    <row r="26" spans="1:13" x14ac:dyDescent="0.25">
      <c r="A26" s="122"/>
      <c r="B26" s="3" t="s">
        <v>23</v>
      </c>
      <c r="C26" s="2">
        <v>1950952158.1600001</v>
      </c>
      <c r="D26" s="4">
        <v>0</v>
      </c>
      <c r="E26" s="125"/>
      <c r="F26" s="128"/>
      <c r="G26" s="131"/>
      <c r="H26" s="10"/>
      <c r="M26" t="e">
        <f t="shared" si="0"/>
        <v>#DIV/0!</v>
      </c>
    </row>
    <row r="27" spans="1:13" x14ac:dyDescent="0.25">
      <c r="A27" s="122"/>
      <c r="B27" s="3" t="s">
        <v>24</v>
      </c>
      <c r="C27" s="2">
        <v>0</v>
      </c>
      <c r="D27" s="4">
        <v>443401603.94999999</v>
      </c>
      <c r="E27" s="125"/>
      <c r="F27" s="128"/>
      <c r="G27" s="131"/>
      <c r="H27" s="10"/>
      <c r="M27" t="e">
        <f t="shared" si="0"/>
        <v>#DIV/0!</v>
      </c>
    </row>
    <row r="28" spans="1:13" x14ac:dyDescent="0.25">
      <c r="A28" s="122"/>
      <c r="B28" s="3" t="s">
        <v>25</v>
      </c>
      <c r="C28" s="2">
        <v>56615745</v>
      </c>
      <c r="D28" s="4">
        <v>0</v>
      </c>
      <c r="E28" s="125"/>
      <c r="F28" s="128"/>
      <c r="G28" s="131"/>
      <c r="H28" s="10"/>
      <c r="M28" t="e">
        <f t="shared" si="0"/>
        <v>#DIV/0!</v>
      </c>
    </row>
    <row r="29" spans="1:13" x14ac:dyDescent="0.25">
      <c r="A29" s="122"/>
      <c r="B29" s="3" t="s">
        <v>26</v>
      </c>
      <c r="C29" s="2">
        <v>0</v>
      </c>
      <c r="D29" s="4">
        <v>1602404741.1900001</v>
      </c>
      <c r="E29" s="125"/>
      <c r="F29" s="128"/>
      <c r="G29" s="131"/>
      <c r="H29" s="10"/>
      <c r="M29" t="e">
        <f t="shared" si="0"/>
        <v>#DIV/0!</v>
      </c>
    </row>
    <row r="30" spans="1:13" ht="15.75" thickBot="1" x14ac:dyDescent="0.3">
      <c r="A30" s="123"/>
      <c r="B30" s="5" t="s">
        <v>27</v>
      </c>
      <c r="C30" s="92">
        <v>36113700.039999999</v>
      </c>
      <c r="D30" s="93">
        <v>0</v>
      </c>
      <c r="E30" s="126"/>
      <c r="F30" s="129"/>
      <c r="G30" s="132"/>
      <c r="H30" s="11"/>
      <c r="M30" t="e">
        <f t="shared" si="0"/>
        <v>#DIV/0!</v>
      </c>
    </row>
    <row r="31" spans="1:13" x14ac:dyDescent="0.25">
      <c r="A31" s="1"/>
      <c r="B31" s="1"/>
      <c r="C31" s="8" t="s">
        <v>28</v>
      </c>
      <c r="D31" s="9" t="s">
        <v>29</v>
      </c>
      <c r="E31" s="1"/>
      <c r="F31" s="1"/>
      <c r="M31" t="e">
        <f t="shared" si="0"/>
        <v>#DIV/0!</v>
      </c>
    </row>
    <row r="32" spans="1:13" ht="15.75" thickBot="1" x14ac:dyDescent="0.3">
      <c r="C32" s="12">
        <f>SUM(C25:C30)</f>
        <v>2043681603.2</v>
      </c>
      <c r="D32" s="7">
        <f>SUM(D25:D30)</f>
        <v>2483770926.4099998</v>
      </c>
      <c r="M32" t="e">
        <f t="shared" si="0"/>
        <v>#DIV/0!</v>
      </c>
    </row>
    <row r="33" spans="1:13" x14ac:dyDescent="0.25">
      <c r="C33" s="133" t="s">
        <v>1</v>
      </c>
      <c r="D33" s="134"/>
      <c r="E33" s="133" t="s">
        <v>2</v>
      </c>
      <c r="F33" s="135"/>
      <c r="M33" t="e">
        <f t="shared" si="0"/>
        <v>#DIV/0!</v>
      </c>
    </row>
    <row r="34" spans="1:13" ht="15.75" thickBot="1" x14ac:dyDescent="0.3">
      <c r="C34" s="119">
        <f>SUM(C32:D32)</f>
        <v>4527452529.6099997</v>
      </c>
      <c r="D34" s="120"/>
      <c r="E34" s="119">
        <f>SUM(E24:F30)</f>
        <v>1855676294.9300001</v>
      </c>
      <c r="F34" s="136"/>
      <c r="M34" t="e">
        <f t="shared" si="0"/>
        <v>#DIV/0!</v>
      </c>
    </row>
    <row r="35" spans="1:13" x14ac:dyDescent="0.25">
      <c r="A35" s="121" t="s">
        <v>8</v>
      </c>
      <c r="B35" s="88" t="s">
        <v>21</v>
      </c>
      <c r="C35" s="89">
        <v>531823323.66000003</v>
      </c>
      <c r="D35" s="90">
        <v>0</v>
      </c>
      <c r="E35" s="137">
        <v>184053011.38999999</v>
      </c>
      <c r="F35" s="140">
        <v>1444758874.5999999</v>
      </c>
      <c r="G35" s="130">
        <v>1875899467</v>
      </c>
      <c r="H35" s="91"/>
      <c r="J35" s="1">
        <f>G35-C43</f>
        <v>93653546.549999952</v>
      </c>
      <c r="K35" s="1">
        <f>G35-E45</f>
        <v>247087581.01000023</v>
      </c>
      <c r="M35">
        <f t="shared" si="0"/>
        <v>4.992460853980293</v>
      </c>
    </row>
    <row r="36" spans="1:13" x14ac:dyDescent="0.25">
      <c r="A36" s="122"/>
      <c r="B36" s="3" t="s">
        <v>22</v>
      </c>
      <c r="C36" s="2">
        <v>0</v>
      </c>
      <c r="D36" s="4">
        <v>374569318.88</v>
      </c>
      <c r="E36" s="138"/>
      <c r="F36" s="141"/>
      <c r="G36" s="131"/>
      <c r="H36" s="10"/>
      <c r="M36" t="e">
        <f t="shared" si="0"/>
        <v>#DIV/0!</v>
      </c>
    </row>
    <row r="37" spans="1:13" x14ac:dyDescent="0.25">
      <c r="A37" s="122"/>
      <c r="B37" s="3" t="s">
        <v>23</v>
      </c>
      <c r="C37" s="2">
        <v>1691872737.3099999</v>
      </c>
      <c r="D37" s="4">
        <v>0</v>
      </c>
      <c r="E37" s="138"/>
      <c r="F37" s="141"/>
      <c r="G37" s="131"/>
      <c r="H37" s="10"/>
      <c r="M37" t="e">
        <f t="shared" si="0"/>
        <v>#DIV/0!</v>
      </c>
    </row>
    <row r="38" spans="1:13" x14ac:dyDescent="0.25">
      <c r="A38" s="122"/>
      <c r="B38" s="3" t="s">
        <v>24</v>
      </c>
      <c r="C38" s="2">
        <v>0</v>
      </c>
      <c r="D38" s="4">
        <v>411297124.82999998</v>
      </c>
      <c r="E38" s="138"/>
      <c r="F38" s="141"/>
      <c r="G38" s="131"/>
      <c r="H38" s="10"/>
      <c r="M38" t="e">
        <f t="shared" si="0"/>
        <v>#DIV/0!</v>
      </c>
    </row>
    <row r="39" spans="1:13" x14ac:dyDescent="0.25">
      <c r="A39" s="122"/>
      <c r="B39" s="3" t="s">
        <v>25</v>
      </c>
      <c r="C39" s="2">
        <v>49876570.960000001</v>
      </c>
      <c r="D39" s="4">
        <v>0</v>
      </c>
      <c r="E39" s="138"/>
      <c r="F39" s="141"/>
      <c r="G39" s="131"/>
      <c r="H39" s="10"/>
      <c r="M39" t="e">
        <f t="shared" si="0"/>
        <v>#DIV/0!</v>
      </c>
    </row>
    <row r="40" spans="1:13" x14ac:dyDescent="0.25">
      <c r="A40" s="122"/>
      <c r="B40" s="3" t="s">
        <v>26</v>
      </c>
      <c r="C40" s="2">
        <v>0</v>
      </c>
      <c r="D40" s="4">
        <v>1528202800.4000001</v>
      </c>
      <c r="E40" s="138"/>
      <c r="F40" s="141"/>
      <c r="G40" s="131"/>
      <c r="H40" s="10"/>
      <c r="M40" t="e">
        <f t="shared" si="0"/>
        <v>#DIV/0!</v>
      </c>
    </row>
    <row r="41" spans="1:13" ht="15.75" thickBot="1" x14ac:dyDescent="0.3">
      <c r="A41" s="123"/>
      <c r="B41" s="5" t="s">
        <v>27</v>
      </c>
      <c r="C41" s="92">
        <v>40496612.18</v>
      </c>
      <c r="D41" s="93">
        <v>0</v>
      </c>
      <c r="E41" s="139"/>
      <c r="F41" s="142"/>
      <c r="G41" s="132"/>
      <c r="H41" s="11"/>
      <c r="M41" t="e">
        <f t="shared" si="0"/>
        <v>#DIV/0!</v>
      </c>
    </row>
    <row r="42" spans="1:13" x14ac:dyDescent="0.25">
      <c r="A42" s="1"/>
      <c r="B42" s="1"/>
      <c r="C42" s="8" t="s">
        <v>28</v>
      </c>
      <c r="D42" s="9" t="s">
        <v>29</v>
      </c>
      <c r="E42" s="1"/>
      <c r="F42" s="1"/>
      <c r="M42" t="e">
        <f t="shared" si="0"/>
        <v>#DIV/0!</v>
      </c>
    </row>
    <row r="43" spans="1:13" ht="15.75" thickBot="1" x14ac:dyDescent="0.3">
      <c r="C43" s="12">
        <f>SUM(C36:C41)</f>
        <v>1782245920.45</v>
      </c>
      <c r="D43" s="7">
        <f>SUM(D36:D41)</f>
        <v>2314069244.1100001</v>
      </c>
      <c r="M43" t="e">
        <f t="shared" si="0"/>
        <v>#DIV/0!</v>
      </c>
    </row>
    <row r="44" spans="1:13" x14ac:dyDescent="0.25">
      <c r="C44" s="133" t="s">
        <v>1</v>
      </c>
      <c r="D44" s="134"/>
      <c r="E44" s="133" t="s">
        <v>2</v>
      </c>
      <c r="F44" s="135"/>
      <c r="M44" t="e">
        <f t="shared" si="0"/>
        <v>#DIV/0!</v>
      </c>
    </row>
    <row r="45" spans="1:13" ht="15.75" thickBot="1" x14ac:dyDescent="0.3">
      <c r="C45" s="119">
        <f>SUM(C43:D43)</f>
        <v>4096315164.5600004</v>
      </c>
      <c r="D45" s="120"/>
      <c r="E45" s="143">
        <f>SUM(E35:F41)</f>
        <v>1628811885.9899998</v>
      </c>
      <c r="F45" s="144"/>
      <c r="M45" t="e">
        <f t="shared" si="0"/>
        <v>#DIV/0!</v>
      </c>
    </row>
    <row r="46" spans="1:13" x14ac:dyDescent="0.25">
      <c r="A46" s="121" t="s">
        <v>9</v>
      </c>
      <c r="B46" s="88" t="s">
        <v>21</v>
      </c>
      <c r="C46" s="89">
        <v>554833553.98000002</v>
      </c>
      <c r="D46" s="90">
        <v>0</v>
      </c>
      <c r="E46" s="137">
        <v>191760388.16</v>
      </c>
      <c r="F46" s="140">
        <v>1565231450.78</v>
      </c>
      <c r="G46" s="130">
        <v>2086679552</v>
      </c>
      <c r="H46" s="91"/>
      <c r="J46" s="1">
        <f>G46-C54</f>
        <v>-130041696.11000013</v>
      </c>
      <c r="K46" s="1">
        <f>G46-E56</f>
        <v>329687713.05999994</v>
      </c>
      <c r="M46">
        <f t="shared" si="0"/>
        <v>-6.2319916819695811</v>
      </c>
    </row>
    <row r="47" spans="1:13" x14ac:dyDescent="0.25">
      <c r="A47" s="122"/>
      <c r="B47" s="3" t="s">
        <v>22</v>
      </c>
      <c r="C47" s="2">
        <v>0</v>
      </c>
      <c r="D47" s="4">
        <v>451142350.19999999</v>
      </c>
      <c r="E47" s="138"/>
      <c r="F47" s="141"/>
      <c r="G47" s="131"/>
      <c r="H47" s="10"/>
      <c r="M47" t="e">
        <f t="shared" si="0"/>
        <v>#DIV/0!</v>
      </c>
    </row>
    <row r="48" spans="1:13" x14ac:dyDescent="0.25">
      <c r="A48" s="122"/>
      <c r="B48" s="3" t="s">
        <v>23</v>
      </c>
      <c r="C48" s="2">
        <v>2108384994.6400001</v>
      </c>
      <c r="D48" s="4">
        <v>0</v>
      </c>
      <c r="E48" s="138"/>
      <c r="F48" s="141"/>
      <c r="G48" s="131"/>
      <c r="H48" s="10"/>
      <c r="M48" t="e">
        <f t="shared" si="0"/>
        <v>#DIV/0!</v>
      </c>
    </row>
    <row r="49" spans="1:13" x14ac:dyDescent="0.25">
      <c r="A49" s="122"/>
      <c r="B49" s="3" t="s">
        <v>24</v>
      </c>
      <c r="C49" s="2">
        <v>0</v>
      </c>
      <c r="D49" s="4">
        <v>491407951.89999998</v>
      </c>
      <c r="E49" s="138"/>
      <c r="F49" s="141"/>
      <c r="G49" s="131"/>
      <c r="H49" s="10"/>
      <c r="M49" t="e">
        <f t="shared" si="0"/>
        <v>#DIV/0!</v>
      </c>
    </row>
    <row r="50" spans="1:13" x14ac:dyDescent="0.25">
      <c r="A50" s="122"/>
      <c r="B50" s="3" t="s">
        <v>25</v>
      </c>
      <c r="C50" s="2">
        <v>57127235.799999997</v>
      </c>
      <c r="D50" s="4">
        <v>0</v>
      </c>
      <c r="E50" s="138"/>
      <c r="F50" s="141"/>
      <c r="G50" s="131"/>
      <c r="H50" s="10"/>
      <c r="M50" t="e">
        <f t="shared" si="0"/>
        <v>#DIV/0!</v>
      </c>
    </row>
    <row r="51" spans="1:13" x14ac:dyDescent="0.25">
      <c r="A51" s="122"/>
      <c r="B51" s="3" t="s">
        <v>26</v>
      </c>
      <c r="C51" s="2">
        <v>0</v>
      </c>
      <c r="D51" s="4">
        <v>1829004499.99</v>
      </c>
      <c r="E51" s="138"/>
      <c r="F51" s="141"/>
      <c r="G51" s="131"/>
      <c r="H51" s="10"/>
      <c r="M51" t="e">
        <f t="shared" si="0"/>
        <v>#DIV/0!</v>
      </c>
    </row>
    <row r="52" spans="1:13" ht="15.75" thickBot="1" x14ac:dyDescent="0.3">
      <c r="A52" s="123"/>
      <c r="B52" s="5" t="s">
        <v>27</v>
      </c>
      <c r="C52" s="92">
        <v>51209017.670000002</v>
      </c>
      <c r="D52" s="93">
        <v>0</v>
      </c>
      <c r="E52" s="139"/>
      <c r="F52" s="142"/>
      <c r="G52" s="132"/>
      <c r="H52" s="11"/>
      <c r="M52" t="e">
        <f t="shared" si="0"/>
        <v>#DIV/0!</v>
      </c>
    </row>
    <row r="53" spans="1:13" x14ac:dyDescent="0.25">
      <c r="A53" s="1"/>
      <c r="B53" s="1"/>
      <c r="C53" s="8" t="s">
        <v>28</v>
      </c>
      <c r="D53" s="9" t="s">
        <v>29</v>
      </c>
      <c r="E53" s="1"/>
      <c r="F53" s="1"/>
      <c r="M53" t="e">
        <f t="shared" si="0"/>
        <v>#DIV/0!</v>
      </c>
    </row>
    <row r="54" spans="1:13" ht="15.75" thickBot="1" x14ac:dyDescent="0.3">
      <c r="C54" s="12">
        <f>SUM(C47:C52)</f>
        <v>2216721248.1100001</v>
      </c>
      <c r="D54" s="7">
        <f>SUM(D47:D52)</f>
        <v>2771554802.0900002</v>
      </c>
      <c r="M54" t="e">
        <f t="shared" si="0"/>
        <v>#DIV/0!</v>
      </c>
    </row>
    <row r="55" spans="1:13" x14ac:dyDescent="0.25">
      <c r="C55" s="133" t="s">
        <v>1</v>
      </c>
      <c r="D55" s="134"/>
      <c r="E55" s="133" t="s">
        <v>2</v>
      </c>
      <c r="F55" s="135"/>
      <c r="M55" t="e">
        <f t="shared" si="0"/>
        <v>#DIV/0!</v>
      </c>
    </row>
    <row r="56" spans="1:13" ht="15.75" thickBot="1" x14ac:dyDescent="0.3">
      <c r="C56" s="119">
        <f>SUM(C54:D54)</f>
        <v>4988276050.2000008</v>
      </c>
      <c r="D56" s="120"/>
      <c r="E56" s="143">
        <f>SUM(E46:F52)</f>
        <v>1756991838.9400001</v>
      </c>
      <c r="F56" s="144"/>
      <c r="M56" t="e">
        <f t="shared" si="0"/>
        <v>#DIV/0!</v>
      </c>
    </row>
    <row r="57" spans="1:13" x14ac:dyDescent="0.25">
      <c r="A57" s="121" t="s">
        <v>10</v>
      </c>
      <c r="B57" s="88" t="s">
        <v>21</v>
      </c>
      <c r="C57" s="89">
        <v>634071711.59000003</v>
      </c>
      <c r="D57" s="90">
        <v>0</v>
      </c>
      <c r="E57" s="137">
        <v>208065639.28999999</v>
      </c>
      <c r="F57" s="140">
        <v>1644266643.7</v>
      </c>
      <c r="G57" s="130">
        <v>1931182577</v>
      </c>
      <c r="H57" s="91"/>
      <c r="J57" s="1">
        <f>G57-C65</f>
        <v>-27896744.310000181</v>
      </c>
      <c r="K57" s="1">
        <f>G57-E67</f>
        <v>78850294.00999999</v>
      </c>
      <c r="M57">
        <f t="shared" si="0"/>
        <v>-1.4445420460108149</v>
      </c>
    </row>
    <row r="58" spans="1:13" x14ac:dyDescent="0.25">
      <c r="A58" s="122"/>
      <c r="B58" s="3" t="s">
        <v>22</v>
      </c>
      <c r="C58" s="2">
        <v>0</v>
      </c>
      <c r="D58" s="4">
        <v>412024443.64999998</v>
      </c>
      <c r="E58" s="138"/>
      <c r="F58" s="141"/>
      <c r="G58" s="131"/>
      <c r="H58" s="10"/>
      <c r="M58" t="e">
        <f t="shared" si="0"/>
        <v>#DIV/0!</v>
      </c>
    </row>
    <row r="59" spans="1:13" x14ac:dyDescent="0.25">
      <c r="A59" s="122"/>
      <c r="B59" s="3" t="s">
        <v>23</v>
      </c>
      <c r="C59" s="2">
        <v>1854868420.9400001</v>
      </c>
      <c r="D59" s="4">
        <v>0</v>
      </c>
      <c r="E59" s="138"/>
      <c r="F59" s="141"/>
      <c r="G59" s="131"/>
      <c r="H59" s="10"/>
      <c r="M59" t="e">
        <f t="shared" si="0"/>
        <v>#DIV/0!</v>
      </c>
    </row>
    <row r="60" spans="1:13" x14ac:dyDescent="0.25">
      <c r="A60" s="122"/>
      <c r="B60" s="3" t="s">
        <v>24</v>
      </c>
      <c r="C60" s="2">
        <v>0</v>
      </c>
      <c r="D60" s="4">
        <v>454717551.60000002</v>
      </c>
      <c r="E60" s="138"/>
      <c r="F60" s="141"/>
      <c r="G60" s="131"/>
      <c r="H60" s="10"/>
      <c r="M60" t="e">
        <f t="shared" si="0"/>
        <v>#DIV/0!</v>
      </c>
    </row>
    <row r="61" spans="1:13" x14ac:dyDescent="0.25">
      <c r="A61" s="122"/>
      <c r="B61" s="3" t="s">
        <v>25</v>
      </c>
      <c r="C61" s="2">
        <v>47860476.68</v>
      </c>
      <c r="D61" s="4">
        <v>0</v>
      </c>
      <c r="E61" s="138"/>
      <c r="F61" s="141"/>
      <c r="G61" s="131"/>
      <c r="H61" s="10"/>
      <c r="M61" t="e">
        <f t="shared" si="0"/>
        <v>#DIV/0!</v>
      </c>
    </row>
    <row r="62" spans="1:13" x14ac:dyDescent="0.25">
      <c r="A62" s="122"/>
      <c r="B62" s="3" t="s">
        <v>26</v>
      </c>
      <c r="C62" s="2">
        <v>0</v>
      </c>
      <c r="D62" s="4">
        <v>1726409037.6500001</v>
      </c>
      <c r="E62" s="138"/>
      <c r="F62" s="141"/>
      <c r="G62" s="131"/>
      <c r="H62" s="10"/>
      <c r="M62" t="e">
        <f t="shared" si="0"/>
        <v>#DIV/0!</v>
      </c>
    </row>
    <row r="63" spans="1:13" ht="15.75" thickBot="1" x14ac:dyDescent="0.3">
      <c r="A63" s="123"/>
      <c r="B63" s="5" t="s">
        <v>27</v>
      </c>
      <c r="C63" s="92">
        <v>56350423.689999998</v>
      </c>
      <c r="D63" s="93">
        <v>0</v>
      </c>
      <c r="E63" s="139"/>
      <c r="F63" s="142"/>
      <c r="G63" s="132"/>
      <c r="H63" s="11"/>
      <c r="M63" t="e">
        <f t="shared" si="0"/>
        <v>#DIV/0!</v>
      </c>
    </row>
    <row r="64" spans="1:13" x14ac:dyDescent="0.25">
      <c r="A64" s="1"/>
      <c r="B64" s="1"/>
      <c r="C64" s="8" t="s">
        <v>28</v>
      </c>
      <c r="D64" s="9" t="s">
        <v>29</v>
      </c>
      <c r="E64" s="1"/>
      <c r="F64" s="1"/>
      <c r="M64" t="e">
        <f t="shared" si="0"/>
        <v>#DIV/0!</v>
      </c>
    </row>
    <row r="65" spans="1:13" ht="15.75" thickBot="1" x14ac:dyDescent="0.3">
      <c r="C65" s="12">
        <f>SUM(C58:C63)</f>
        <v>1959079321.3100002</v>
      </c>
      <c r="D65" s="7">
        <f>SUM(D58:D63)</f>
        <v>2593151032.9000001</v>
      </c>
      <c r="M65" t="e">
        <f t="shared" si="0"/>
        <v>#DIV/0!</v>
      </c>
    </row>
    <row r="66" spans="1:13" x14ac:dyDescent="0.25">
      <c r="C66" s="133" t="s">
        <v>1</v>
      </c>
      <c r="D66" s="134"/>
      <c r="E66" s="133" t="s">
        <v>2</v>
      </c>
      <c r="F66" s="135"/>
      <c r="M66" t="e">
        <f t="shared" si="0"/>
        <v>#DIV/0!</v>
      </c>
    </row>
    <row r="67" spans="1:13" ht="15.75" thickBot="1" x14ac:dyDescent="0.3">
      <c r="C67" s="119">
        <f>SUM(C65:D65)</f>
        <v>4552230354.21</v>
      </c>
      <c r="D67" s="120"/>
      <c r="E67" s="143">
        <f>SUM(E57:F63)</f>
        <v>1852332282.99</v>
      </c>
      <c r="F67" s="144"/>
      <c r="J67" s="1">
        <f>G68-C76</f>
        <v>-61986286.349999905</v>
      </c>
      <c r="K67" s="1">
        <f>G68-E78</f>
        <v>364230288.40999985</v>
      </c>
      <c r="M67" t="e">
        <f t="shared" ref="M67" si="1">(J67/G67)*100</f>
        <v>#DIV/0!</v>
      </c>
    </row>
    <row r="68" spans="1:13" x14ac:dyDescent="0.25">
      <c r="A68" s="121" t="s">
        <v>11</v>
      </c>
      <c r="B68" s="88" t="s">
        <v>21</v>
      </c>
      <c r="C68" s="89">
        <v>788468815.92999995</v>
      </c>
      <c r="D68" s="90">
        <v>0</v>
      </c>
      <c r="E68" s="137">
        <v>194324470.18000001</v>
      </c>
      <c r="F68" s="140">
        <v>1519262689.4100001</v>
      </c>
      <c r="G68" s="130">
        <v>2077817448</v>
      </c>
      <c r="H68" s="91"/>
    </row>
    <row r="69" spans="1:13" x14ac:dyDescent="0.25">
      <c r="A69" s="122"/>
      <c r="B69" s="3" t="s">
        <v>22</v>
      </c>
      <c r="C69" s="2">
        <v>0</v>
      </c>
      <c r="D69" s="4">
        <v>444646097.75999999</v>
      </c>
      <c r="E69" s="138"/>
      <c r="F69" s="141"/>
      <c r="G69" s="131"/>
      <c r="H69" s="10"/>
    </row>
    <row r="70" spans="1:13" x14ac:dyDescent="0.25">
      <c r="A70" s="122"/>
      <c r="B70" s="3" t="s">
        <v>23</v>
      </c>
      <c r="C70" s="2">
        <v>2008098090.74</v>
      </c>
      <c r="D70" s="4">
        <v>0</v>
      </c>
      <c r="E70" s="138"/>
      <c r="F70" s="141"/>
      <c r="G70" s="131"/>
      <c r="H70" s="10"/>
    </row>
    <row r="71" spans="1:13" x14ac:dyDescent="0.25">
      <c r="A71" s="122"/>
      <c r="B71" s="3" t="s">
        <v>24</v>
      </c>
      <c r="C71" s="2">
        <v>0</v>
      </c>
      <c r="D71" s="4">
        <v>507230055.01999998</v>
      </c>
      <c r="E71" s="138"/>
      <c r="F71" s="141"/>
      <c r="G71" s="131"/>
      <c r="H71" s="10"/>
    </row>
    <row r="72" spans="1:13" x14ac:dyDescent="0.25">
      <c r="A72" s="122"/>
      <c r="B72" s="3" t="s">
        <v>25</v>
      </c>
      <c r="C72" s="2">
        <v>49059531.600000001</v>
      </c>
      <c r="D72" s="4">
        <v>0</v>
      </c>
      <c r="E72" s="138"/>
      <c r="F72" s="141"/>
      <c r="G72" s="131"/>
      <c r="H72" s="10"/>
    </row>
    <row r="73" spans="1:13" x14ac:dyDescent="0.25">
      <c r="A73" s="122"/>
      <c r="B73" s="3" t="s">
        <v>26</v>
      </c>
      <c r="C73" s="2">
        <v>0</v>
      </c>
      <c r="D73" s="4">
        <v>1976396397.5</v>
      </c>
      <c r="E73" s="138"/>
      <c r="F73" s="141"/>
      <c r="G73" s="131"/>
      <c r="H73" s="10"/>
    </row>
    <row r="74" spans="1:13" ht="15.75" thickBot="1" x14ac:dyDescent="0.3">
      <c r="A74" s="123"/>
      <c r="B74" s="5" t="s">
        <v>27</v>
      </c>
      <c r="C74" s="92">
        <v>82646112.010000005</v>
      </c>
      <c r="D74" s="93">
        <v>0</v>
      </c>
      <c r="E74" s="139"/>
      <c r="F74" s="142"/>
      <c r="G74" s="132"/>
      <c r="H74" s="11"/>
    </row>
    <row r="75" spans="1:13" x14ac:dyDescent="0.25">
      <c r="A75" s="1"/>
      <c r="B75" s="1"/>
      <c r="C75" s="8" t="s">
        <v>28</v>
      </c>
      <c r="D75" s="9" t="s">
        <v>29</v>
      </c>
      <c r="E75" s="1"/>
      <c r="F75" s="1"/>
    </row>
    <row r="76" spans="1:13" ht="15.75" thickBot="1" x14ac:dyDescent="0.3">
      <c r="C76" s="12">
        <f>SUM(C69:C74)</f>
        <v>2139803734.3499999</v>
      </c>
      <c r="D76" s="7">
        <f>SUM(D69:D74)</f>
        <v>2928272550.2799997</v>
      </c>
    </row>
    <row r="77" spans="1:13" x14ac:dyDescent="0.25">
      <c r="C77" s="133" t="s">
        <v>1</v>
      </c>
      <c r="D77" s="134"/>
      <c r="E77" s="133" t="s">
        <v>2</v>
      </c>
      <c r="F77" s="135"/>
    </row>
    <row r="78" spans="1:13" ht="15.75" thickBot="1" x14ac:dyDescent="0.3">
      <c r="C78" s="119">
        <f>SUM(C76:D76)</f>
        <v>5068076284.6299992</v>
      </c>
      <c r="D78" s="120"/>
      <c r="E78" s="143">
        <f>SUM(E68:F74)</f>
        <v>1713587159.5900002</v>
      </c>
      <c r="F78" s="144"/>
    </row>
    <row r="79" spans="1:13" x14ac:dyDescent="0.25">
      <c r="A79" s="121" t="s">
        <v>12</v>
      </c>
      <c r="B79" s="88" t="s">
        <v>21</v>
      </c>
      <c r="C79" s="89">
        <v>764924516.26999998</v>
      </c>
      <c r="D79" s="90">
        <v>0</v>
      </c>
      <c r="E79" s="137">
        <v>213726389.84999999</v>
      </c>
      <c r="F79" s="140">
        <v>1644431226.45</v>
      </c>
      <c r="G79" s="130" t="s">
        <v>13</v>
      </c>
      <c r="H79" s="91"/>
    </row>
    <row r="80" spans="1:13" x14ac:dyDescent="0.25">
      <c r="A80" s="122"/>
      <c r="B80" s="3" t="s">
        <v>22</v>
      </c>
      <c r="C80" s="2">
        <v>0</v>
      </c>
      <c r="D80" s="4">
        <v>425329911.07999998</v>
      </c>
      <c r="E80" s="138"/>
      <c r="F80" s="141"/>
      <c r="G80" s="131"/>
      <c r="H80" s="10"/>
    </row>
    <row r="81" spans="1:8" x14ac:dyDescent="0.25">
      <c r="A81" s="122"/>
      <c r="B81" s="3" t="s">
        <v>23</v>
      </c>
      <c r="C81" s="2">
        <v>1965151654.1900001</v>
      </c>
      <c r="D81" s="4">
        <v>0</v>
      </c>
      <c r="E81" s="138"/>
      <c r="F81" s="141"/>
      <c r="G81" s="131"/>
      <c r="H81" s="10"/>
    </row>
    <row r="82" spans="1:8" x14ac:dyDescent="0.25">
      <c r="A82" s="122"/>
      <c r="B82" s="3" t="s">
        <v>24</v>
      </c>
      <c r="C82" s="2">
        <v>0</v>
      </c>
      <c r="D82" s="4">
        <v>488220433.48000002</v>
      </c>
      <c r="E82" s="138"/>
      <c r="F82" s="141"/>
      <c r="G82" s="131"/>
      <c r="H82" s="10"/>
    </row>
    <row r="83" spans="1:8" x14ac:dyDescent="0.25">
      <c r="A83" s="122"/>
      <c r="B83" s="3" t="s">
        <v>25</v>
      </c>
      <c r="C83" s="2">
        <v>51577336.479999997</v>
      </c>
      <c r="D83" s="4">
        <v>0</v>
      </c>
      <c r="E83" s="138"/>
      <c r="F83" s="141"/>
      <c r="G83" s="131"/>
      <c r="H83" s="10"/>
    </row>
    <row r="84" spans="1:8" x14ac:dyDescent="0.25">
      <c r="A84" s="122"/>
      <c r="B84" s="3" t="s">
        <v>26</v>
      </c>
      <c r="C84" s="2">
        <v>0</v>
      </c>
      <c r="D84" s="4">
        <v>1983420826.8099999</v>
      </c>
      <c r="E84" s="138"/>
      <c r="F84" s="141"/>
      <c r="G84" s="131"/>
      <c r="H84" s="10"/>
    </row>
    <row r="85" spans="1:8" ht="15.75" thickBot="1" x14ac:dyDescent="0.3">
      <c r="A85" s="123"/>
      <c r="B85" s="5" t="s">
        <v>27</v>
      </c>
      <c r="C85" s="92">
        <v>115317664.43000001</v>
      </c>
      <c r="D85" s="93">
        <v>0</v>
      </c>
      <c r="E85" s="139"/>
      <c r="F85" s="142"/>
      <c r="G85" s="132"/>
      <c r="H85" s="11"/>
    </row>
    <row r="86" spans="1:8" x14ac:dyDescent="0.25">
      <c r="A86" s="1"/>
      <c r="B86" s="1"/>
      <c r="C86" s="8" t="s">
        <v>28</v>
      </c>
      <c r="D86" s="9" t="s">
        <v>29</v>
      </c>
      <c r="E86" s="1"/>
      <c r="F86" s="1"/>
    </row>
    <row r="87" spans="1:8" ht="15.75" thickBot="1" x14ac:dyDescent="0.3">
      <c r="C87" s="12">
        <f>SUM(C80:C85)</f>
        <v>2132046655.1000001</v>
      </c>
      <c r="D87" s="7">
        <f>SUM(D80:D85)</f>
        <v>2896971171.3699999</v>
      </c>
    </row>
    <row r="88" spans="1:8" x14ac:dyDescent="0.25">
      <c r="C88" s="133" t="s">
        <v>1</v>
      </c>
      <c r="D88" s="134"/>
      <c r="E88" s="133" t="s">
        <v>2</v>
      </c>
      <c r="F88" s="135"/>
    </row>
    <row r="89" spans="1:8" ht="15.75" thickBot="1" x14ac:dyDescent="0.3">
      <c r="C89" s="119">
        <f>SUM(C87:D87)</f>
        <v>5029017826.4700003</v>
      </c>
      <c r="D89" s="120"/>
      <c r="E89" s="143">
        <f>SUM(E79:F85)</f>
        <v>1858157616.3</v>
      </c>
      <c r="F89" s="144"/>
    </row>
    <row r="90" spans="1:8" x14ac:dyDescent="0.25">
      <c r="A90" s="121" t="s">
        <v>14</v>
      </c>
      <c r="B90" s="88" t="s">
        <v>21</v>
      </c>
      <c r="C90" s="89">
        <v>519723035.86000001</v>
      </c>
      <c r="D90" s="90">
        <v>0</v>
      </c>
      <c r="E90" s="137">
        <v>152442056.38999999</v>
      </c>
      <c r="F90" s="140">
        <v>1144700128.72</v>
      </c>
      <c r="G90" s="130" t="s">
        <v>13</v>
      </c>
      <c r="H90" s="91"/>
    </row>
    <row r="91" spans="1:8" x14ac:dyDescent="0.25">
      <c r="A91" s="122"/>
      <c r="B91" s="3" t="s">
        <v>22</v>
      </c>
      <c r="C91" s="2">
        <v>0</v>
      </c>
      <c r="D91" s="4">
        <v>309170618.79000002</v>
      </c>
      <c r="E91" s="138"/>
      <c r="F91" s="141"/>
      <c r="G91" s="131"/>
      <c r="H91" s="10"/>
    </row>
    <row r="92" spans="1:8" x14ac:dyDescent="0.25">
      <c r="A92" s="122"/>
      <c r="B92" s="3" t="s">
        <v>23</v>
      </c>
      <c r="C92" s="2">
        <v>1380256468.4000001</v>
      </c>
      <c r="D92" s="4">
        <v>0</v>
      </c>
      <c r="E92" s="138"/>
      <c r="F92" s="141"/>
      <c r="G92" s="131"/>
      <c r="H92" s="10"/>
    </row>
    <row r="93" spans="1:8" x14ac:dyDescent="0.25">
      <c r="A93" s="122"/>
      <c r="B93" s="3" t="s">
        <v>24</v>
      </c>
      <c r="C93" s="2">
        <v>0</v>
      </c>
      <c r="D93" s="4">
        <v>324779420.26999998</v>
      </c>
      <c r="E93" s="138"/>
      <c r="F93" s="141"/>
      <c r="G93" s="131"/>
      <c r="H93" s="10"/>
    </row>
    <row r="94" spans="1:8" x14ac:dyDescent="0.25">
      <c r="A94" s="122"/>
      <c r="B94" s="3" t="s">
        <v>25</v>
      </c>
      <c r="C94" s="2">
        <v>34435165.899999999</v>
      </c>
      <c r="D94" s="4">
        <v>0</v>
      </c>
      <c r="E94" s="138"/>
      <c r="F94" s="141"/>
      <c r="G94" s="131"/>
      <c r="H94" s="10"/>
    </row>
    <row r="95" spans="1:8" x14ac:dyDescent="0.25">
      <c r="A95" s="122"/>
      <c r="B95" s="3" t="s">
        <v>26</v>
      </c>
      <c r="C95" s="2">
        <v>0</v>
      </c>
      <c r="D95" s="4">
        <v>1370667163.8699999</v>
      </c>
      <c r="E95" s="138"/>
      <c r="F95" s="141"/>
      <c r="G95" s="131"/>
      <c r="H95" s="10"/>
    </row>
    <row r="96" spans="1:8" ht="15.75" thickBot="1" x14ac:dyDescent="0.3">
      <c r="A96" s="123"/>
      <c r="B96" s="5" t="s">
        <v>27</v>
      </c>
      <c r="C96" s="92">
        <v>70202532.769999996</v>
      </c>
      <c r="D96" s="93">
        <v>0</v>
      </c>
      <c r="E96" s="139"/>
      <c r="F96" s="142"/>
      <c r="G96" s="132"/>
      <c r="H96" s="11"/>
    </row>
    <row r="97" spans="1:6" x14ac:dyDescent="0.25">
      <c r="A97" s="1"/>
      <c r="B97" s="1"/>
      <c r="C97" s="8" t="s">
        <v>28</v>
      </c>
      <c r="D97" s="9" t="s">
        <v>29</v>
      </c>
      <c r="E97" s="1"/>
      <c r="F97" s="1"/>
    </row>
    <row r="98" spans="1:6" ht="15.75" thickBot="1" x14ac:dyDescent="0.3">
      <c r="C98" s="12">
        <f>SUM(C91:C96)</f>
        <v>1484894167.0700002</v>
      </c>
      <c r="D98" s="7">
        <f>SUM(D91:D96)</f>
        <v>2004617202.9299998</v>
      </c>
    </row>
    <row r="99" spans="1:6" x14ac:dyDescent="0.25">
      <c r="C99" s="133" t="s">
        <v>1</v>
      </c>
      <c r="D99" s="134"/>
      <c r="E99" s="149" t="s">
        <v>2</v>
      </c>
      <c r="F99" s="150"/>
    </row>
    <row r="100" spans="1:6" ht="15.75" thickBot="1" x14ac:dyDescent="0.3">
      <c r="C100" s="143">
        <f>SUM(C98:D98)</f>
        <v>3489511370</v>
      </c>
      <c r="D100" s="151"/>
      <c r="E100" s="143">
        <f>SUM(E90:F96)</f>
        <v>1297142185.1100001</v>
      </c>
      <c r="F100" s="144"/>
    </row>
    <row r="105" spans="1:6" ht="15.75" thickBot="1" x14ac:dyDescent="0.3"/>
    <row r="106" spans="1:6" ht="15.75" thickBot="1" x14ac:dyDescent="0.3">
      <c r="C106" s="145" t="s">
        <v>30</v>
      </c>
      <c r="D106" s="146"/>
      <c r="E106" s="145" t="s">
        <v>30</v>
      </c>
      <c r="F106" s="146"/>
    </row>
    <row r="107" spans="1:6" ht="225.95" customHeight="1" thickBot="1" x14ac:dyDescent="0.3">
      <c r="C107" s="147" t="s">
        <v>31</v>
      </c>
      <c r="D107" s="148"/>
      <c r="E107" s="147" t="s">
        <v>32</v>
      </c>
      <c r="F107" s="148"/>
    </row>
  </sheetData>
  <mergeCells count="76">
    <mergeCell ref="C106:D106"/>
    <mergeCell ref="C107:D107"/>
    <mergeCell ref="E106:F106"/>
    <mergeCell ref="E107:F107"/>
    <mergeCell ref="G90:G96"/>
    <mergeCell ref="C99:D99"/>
    <mergeCell ref="E99:F99"/>
    <mergeCell ref="C100:D100"/>
    <mergeCell ref="E100:F100"/>
    <mergeCell ref="C89:D89"/>
    <mergeCell ref="E89:F89"/>
    <mergeCell ref="A90:A96"/>
    <mergeCell ref="E90:E96"/>
    <mergeCell ref="F90:F96"/>
    <mergeCell ref="A79:A85"/>
    <mergeCell ref="E79:E85"/>
    <mergeCell ref="F79:F85"/>
    <mergeCell ref="G79:G85"/>
    <mergeCell ref="C88:D88"/>
    <mergeCell ref="E88:F88"/>
    <mergeCell ref="G68:G74"/>
    <mergeCell ref="C77:D77"/>
    <mergeCell ref="E77:F77"/>
    <mergeCell ref="C78:D78"/>
    <mergeCell ref="E78:F78"/>
    <mergeCell ref="C67:D67"/>
    <mergeCell ref="E67:F67"/>
    <mergeCell ref="A68:A74"/>
    <mergeCell ref="E68:E74"/>
    <mergeCell ref="F68:F74"/>
    <mergeCell ref="A57:A63"/>
    <mergeCell ref="E57:E63"/>
    <mergeCell ref="F57:F63"/>
    <mergeCell ref="G57:G63"/>
    <mergeCell ref="C66:D66"/>
    <mergeCell ref="E66:F66"/>
    <mergeCell ref="G46:G52"/>
    <mergeCell ref="C55:D55"/>
    <mergeCell ref="E55:F55"/>
    <mergeCell ref="C56:D56"/>
    <mergeCell ref="E56:F56"/>
    <mergeCell ref="C45:D45"/>
    <mergeCell ref="E45:F45"/>
    <mergeCell ref="A46:A52"/>
    <mergeCell ref="E46:E52"/>
    <mergeCell ref="F46:F52"/>
    <mergeCell ref="A35:A41"/>
    <mergeCell ref="E35:E41"/>
    <mergeCell ref="F35:F41"/>
    <mergeCell ref="G35:G41"/>
    <mergeCell ref="C44:D44"/>
    <mergeCell ref="E44:F44"/>
    <mergeCell ref="G24:G30"/>
    <mergeCell ref="C33:D33"/>
    <mergeCell ref="E33:F33"/>
    <mergeCell ref="C34:D34"/>
    <mergeCell ref="E34:F34"/>
    <mergeCell ref="C23:D23"/>
    <mergeCell ref="E23:F23"/>
    <mergeCell ref="A24:A30"/>
    <mergeCell ref="E24:E30"/>
    <mergeCell ref="F24:F30"/>
    <mergeCell ref="A13:A19"/>
    <mergeCell ref="E13:E19"/>
    <mergeCell ref="F13:F19"/>
    <mergeCell ref="G13:G19"/>
    <mergeCell ref="C22:D22"/>
    <mergeCell ref="E22:F22"/>
    <mergeCell ref="C12:D12"/>
    <mergeCell ref="A2:A8"/>
    <mergeCell ref="E2:E8"/>
    <mergeCell ref="F2:F8"/>
    <mergeCell ref="G2:G8"/>
    <mergeCell ref="C11:D11"/>
    <mergeCell ref="E11:F11"/>
    <mergeCell ref="E12:F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B2:J26"/>
  <sheetViews>
    <sheetView showGridLines="0" zoomScale="120" zoomScaleNormal="120" workbookViewId="0">
      <selection activeCell="D15" sqref="D15"/>
    </sheetView>
  </sheetViews>
  <sheetFormatPr defaultColWidth="9.140625" defaultRowHeight="12.75" x14ac:dyDescent="0.2"/>
  <cols>
    <col min="1" max="1" width="3.85546875" style="14" bestFit="1" customWidth="1"/>
    <col min="2" max="2" width="13.28515625" style="14" customWidth="1"/>
    <col min="3" max="3" width="9.140625" style="14"/>
    <col min="4" max="4" width="19.42578125" style="14" bestFit="1" customWidth="1"/>
    <col min="5" max="5" width="9.140625" style="14"/>
    <col min="6" max="6" width="22.85546875" style="14" bestFit="1" customWidth="1"/>
    <col min="7" max="7" width="9.140625" style="14"/>
    <col min="8" max="8" width="18.7109375" style="14" customWidth="1"/>
    <col min="9" max="9" width="9.140625" style="14"/>
    <col min="10" max="10" width="10.5703125" style="14" customWidth="1"/>
    <col min="11" max="16384" width="9.140625" style="14"/>
  </cols>
  <sheetData>
    <row r="2" spans="2:10" s="13" customFormat="1" x14ac:dyDescent="0.2">
      <c r="B2" s="13">
        <v>176</v>
      </c>
      <c r="D2" s="13">
        <v>176</v>
      </c>
      <c r="F2" s="13">
        <v>176</v>
      </c>
      <c r="H2" s="13" t="s">
        <v>33</v>
      </c>
      <c r="J2" s="13" t="s">
        <v>33</v>
      </c>
    </row>
    <row r="4" spans="2:10" ht="13.5" thickBot="1" x14ac:dyDescent="0.25"/>
    <row r="5" spans="2:10" ht="14.25" thickTop="1" thickBot="1" x14ac:dyDescent="0.25">
      <c r="H5" s="15" t="s">
        <v>34</v>
      </c>
      <c r="J5" s="16" t="s">
        <v>35</v>
      </c>
    </row>
    <row r="6" spans="2:10" ht="14.25" thickTop="1" thickBot="1" x14ac:dyDescent="0.25">
      <c r="H6" s="17">
        <v>589913014</v>
      </c>
    </row>
    <row r="7" spans="2:10" ht="14.25" thickTop="1" thickBot="1" x14ac:dyDescent="0.25"/>
    <row r="8" spans="2:10" ht="14.25" thickTop="1" thickBot="1" x14ac:dyDescent="0.25">
      <c r="F8" s="15" t="s">
        <v>36</v>
      </c>
      <c r="H8" s="15" t="s">
        <v>37</v>
      </c>
      <c r="J8" s="16" t="s">
        <v>35</v>
      </c>
    </row>
    <row r="9" spans="2:10" ht="14.25" thickTop="1" thickBot="1" x14ac:dyDescent="0.25">
      <c r="F9" s="17">
        <v>589913013</v>
      </c>
      <c r="H9" s="17">
        <v>58503</v>
      </c>
    </row>
    <row r="10" spans="2:10" ht="14.25" thickTop="1" thickBot="1" x14ac:dyDescent="0.25">
      <c r="F10" s="18" t="s">
        <v>38</v>
      </c>
    </row>
    <row r="11" spans="2:10" ht="14.25" thickTop="1" thickBot="1" x14ac:dyDescent="0.25">
      <c r="E11" s="19"/>
      <c r="F11" s="18" t="s">
        <v>39</v>
      </c>
      <c r="H11" s="20" t="s">
        <v>40</v>
      </c>
    </row>
    <row r="12" spans="2:10" ht="14.25" thickTop="1" thickBot="1" x14ac:dyDescent="0.25">
      <c r="B12" s="14" t="s">
        <v>41</v>
      </c>
      <c r="F12" s="13"/>
      <c r="H12" s="21">
        <v>589913000</v>
      </c>
      <c r="J12" s="22" t="s">
        <v>42</v>
      </c>
    </row>
    <row r="13" spans="2:10" ht="14.25" thickTop="1" thickBot="1" x14ac:dyDescent="0.25">
      <c r="J13" s="23"/>
    </row>
    <row r="14" spans="2:10" ht="14.25" thickTop="1" thickBot="1" x14ac:dyDescent="0.25">
      <c r="B14" s="24" t="s">
        <v>43</v>
      </c>
      <c r="C14" s="18"/>
      <c r="D14" s="25" t="s">
        <v>44</v>
      </c>
      <c r="E14" s="26"/>
      <c r="F14" s="20" t="s">
        <v>45</v>
      </c>
      <c r="H14" s="20" t="s">
        <v>46</v>
      </c>
    </row>
    <row r="15" spans="2:10" ht="14.25" thickTop="1" thickBot="1" x14ac:dyDescent="0.25">
      <c r="B15" s="27">
        <v>11</v>
      </c>
      <c r="C15" s="18"/>
      <c r="D15" s="28">
        <v>589913012</v>
      </c>
      <c r="E15" s="26"/>
      <c r="F15" s="21">
        <v>589913022</v>
      </c>
      <c r="H15" s="21">
        <v>589913018</v>
      </c>
      <c r="J15" s="22" t="s">
        <v>42</v>
      </c>
    </row>
    <row r="16" spans="2:10" ht="14.25" thickTop="1" thickBot="1" x14ac:dyDescent="0.25">
      <c r="D16" s="18" t="s">
        <v>47</v>
      </c>
      <c r="F16" s="18" t="s">
        <v>48</v>
      </c>
    </row>
    <row r="17" spans="4:10" ht="14.25" thickTop="1" thickBot="1" x14ac:dyDescent="0.25">
      <c r="D17" s="18" t="s">
        <v>49</v>
      </c>
      <c r="E17" s="19"/>
      <c r="F17" s="18" t="s">
        <v>50</v>
      </c>
      <c r="H17" s="22" t="s">
        <v>51</v>
      </c>
    </row>
    <row r="18" spans="4:10" ht="14.25" thickTop="1" thickBot="1" x14ac:dyDescent="0.25">
      <c r="H18" s="29" t="s">
        <v>51</v>
      </c>
      <c r="J18" s="29" t="s">
        <v>52</v>
      </c>
    </row>
    <row r="19" spans="4:10" ht="14.25" thickTop="1" thickBot="1" x14ac:dyDescent="0.25">
      <c r="H19" s="30" t="s">
        <v>53</v>
      </c>
      <c r="J19" s="29" t="s">
        <v>52</v>
      </c>
    </row>
    <row r="20" spans="4:10" ht="14.25" thickTop="1" thickBot="1" x14ac:dyDescent="0.25"/>
    <row r="21" spans="4:10" ht="14.25" thickTop="1" thickBot="1" x14ac:dyDescent="0.25">
      <c r="H21" s="31" t="s">
        <v>40</v>
      </c>
    </row>
    <row r="22" spans="4:10" ht="14.25" thickTop="1" thickBot="1" x14ac:dyDescent="0.25">
      <c r="F22" s="31" t="s">
        <v>54</v>
      </c>
      <c r="H22" s="32">
        <v>589913000</v>
      </c>
      <c r="J22" s="29" t="s">
        <v>42</v>
      </c>
    </row>
    <row r="23" spans="4:10" ht="14.25" thickTop="1" thickBot="1" x14ac:dyDescent="0.25">
      <c r="F23" s="32">
        <v>589913011</v>
      </c>
      <c r="J23" s="23"/>
    </row>
    <row r="24" spans="4:10" ht="14.25" thickTop="1" thickBot="1" x14ac:dyDescent="0.25">
      <c r="F24" s="18" t="s">
        <v>55</v>
      </c>
      <c r="H24" s="31" t="s">
        <v>46</v>
      </c>
    </row>
    <row r="25" spans="4:10" ht="14.25" thickTop="1" thickBot="1" x14ac:dyDescent="0.25">
      <c r="F25" s="18" t="s">
        <v>56</v>
      </c>
      <c r="H25" s="32">
        <v>589913018</v>
      </c>
      <c r="J25" s="29" t="s">
        <v>42</v>
      </c>
    </row>
    <row r="26" spans="4:10" ht="13.5" thickTop="1" x14ac:dyDescent="0.2"/>
  </sheetData>
  <pageMargins left="0.75" right="0.75" top="1" bottom="1" header="0" footer="0"/>
  <pageSetup paperSize="9" orientation="landscape" r:id="rId1"/>
  <headerFooter alignWithMargins="0">
    <oddHeader>&amp;F&amp;L&amp;"Calibri"&amp;10&amp;K000000Confidential&amp;1#</oddHeader>
    <oddFooter>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1:T113"/>
  <sheetViews>
    <sheetView workbookViewId="0">
      <selection activeCell="K15" sqref="K15:N18"/>
    </sheetView>
  </sheetViews>
  <sheetFormatPr defaultColWidth="9.140625" defaultRowHeight="12.75" x14ac:dyDescent="0.2"/>
  <cols>
    <col min="1" max="2" width="9.140625" style="33"/>
    <col min="3" max="3" width="6" style="33" customWidth="1"/>
    <col min="4" max="4" width="2.7109375" style="33" customWidth="1"/>
    <col min="5" max="5" width="10" style="33" customWidth="1"/>
    <col min="6" max="6" width="9.140625" style="33"/>
    <col min="7" max="7" width="2.7109375" style="33" customWidth="1"/>
    <col min="8" max="9" width="9.140625" style="33"/>
    <col min="10" max="10" width="2.7109375" style="33" customWidth="1"/>
    <col min="11" max="12" width="9.140625" style="33"/>
    <col min="13" max="13" width="2.7109375" style="33" customWidth="1"/>
    <col min="14" max="15" width="9.140625" style="33"/>
    <col min="16" max="16" width="2" style="33" customWidth="1"/>
    <col min="17" max="17" width="8.85546875" style="33" customWidth="1"/>
    <col min="18" max="19" width="9.140625" style="33"/>
    <col min="20" max="20" width="10.7109375" style="33" customWidth="1"/>
    <col min="21" max="16384" width="9.140625" style="33"/>
  </cols>
  <sheetData>
    <row r="1" spans="1:20" ht="17.25" customHeight="1" thickBot="1" x14ac:dyDescent="0.25">
      <c r="A1" s="156" t="s">
        <v>57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8"/>
    </row>
    <row r="5" spans="1:20" x14ac:dyDescent="0.2">
      <c r="A5" s="34" t="s">
        <v>58</v>
      </c>
    </row>
    <row r="7" spans="1:20" ht="13.5" thickBot="1" x14ac:dyDescent="0.25">
      <c r="B7" s="152" t="s">
        <v>59</v>
      </c>
      <c r="C7" s="152"/>
      <c r="D7" s="35"/>
      <c r="E7" s="152" t="s">
        <v>60</v>
      </c>
      <c r="F7" s="152"/>
      <c r="G7" s="35"/>
      <c r="H7" s="152" t="s">
        <v>61</v>
      </c>
      <c r="I7" s="152"/>
      <c r="J7" s="35"/>
      <c r="K7" s="152" t="s">
        <v>62</v>
      </c>
      <c r="L7" s="152"/>
      <c r="M7" s="35"/>
      <c r="N7" s="152" t="s">
        <v>63</v>
      </c>
      <c r="O7" s="152"/>
      <c r="P7" s="36"/>
    </row>
    <row r="8" spans="1:20" x14ac:dyDescent="0.2">
      <c r="B8" s="37" t="s">
        <v>21</v>
      </c>
      <c r="C8" s="38"/>
      <c r="D8" s="39"/>
      <c r="E8" s="37"/>
      <c r="F8" s="38" t="s">
        <v>21</v>
      </c>
      <c r="G8" s="39"/>
      <c r="H8" s="40" t="s">
        <v>64</v>
      </c>
      <c r="I8" s="38" t="s">
        <v>22</v>
      </c>
      <c r="J8" s="39"/>
      <c r="K8" s="40" t="s">
        <v>65</v>
      </c>
      <c r="L8" s="38" t="s">
        <v>26</v>
      </c>
      <c r="M8" s="39"/>
      <c r="N8" s="37" t="s">
        <v>25</v>
      </c>
      <c r="O8" s="41" t="s">
        <v>66</v>
      </c>
      <c r="P8" s="42"/>
    </row>
    <row r="9" spans="1:20" x14ac:dyDescent="0.2">
      <c r="B9" s="43"/>
      <c r="C9" s="44"/>
      <c r="D9" s="39"/>
      <c r="E9" s="43" t="s">
        <v>22</v>
      </c>
      <c r="F9" s="44" t="s">
        <v>23</v>
      </c>
      <c r="G9" s="39"/>
      <c r="H9" s="43" t="s">
        <v>23</v>
      </c>
      <c r="I9" s="45" t="s">
        <v>67</v>
      </c>
      <c r="J9" s="39"/>
      <c r="K9" s="43" t="s">
        <v>27</v>
      </c>
      <c r="L9" s="45" t="s">
        <v>68</v>
      </c>
      <c r="M9" s="39"/>
      <c r="N9" s="46" t="s">
        <v>69</v>
      </c>
      <c r="O9" s="44" t="s">
        <v>24</v>
      </c>
      <c r="P9" s="42"/>
    </row>
    <row r="10" spans="1:20" x14ac:dyDescent="0.2">
      <c r="B10" s="43"/>
      <c r="C10" s="44"/>
      <c r="D10" s="39"/>
      <c r="E10" s="43" t="s">
        <v>24</v>
      </c>
      <c r="F10" s="44" t="s">
        <v>25</v>
      </c>
      <c r="G10" s="39"/>
      <c r="H10" s="43"/>
      <c r="I10" s="39"/>
      <c r="J10" s="39"/>
      <c r="K10" s="43"/>
      <c r="L10" s="39"/>
      <c r="M10" s="39"/>
      <c r="N10" s="43"/>
      <c r="O10" s="39"/>
      <c r="P10" s="47"/>
    </row>
    <row r="11" spans="1:20" ht="13.5" thickBot="1" x14ac:dyDescent="0.25">
      <c r="B11" s="39"/>
      <c r="C11" s="39"/>
      <c r="D11" s="39"/>
      <c r="E11" s="43" t="s">
        <v>26</v>
      </c>
      <c r="F11" s="44" t="s">
        <v>27</v>
      </c>
      <c r="G11" s="39"/>
      <c r="H11" s="39"/>
      <c r="I11" s="39"/>
      <c r="J11" s="39"/>
      <c r="K11" s="39"/>
      <c r="L11" s="39"/>
      <c r="M11" s="39"/>
      <c r="N11" s="39"/>
      <c r="O11" s="39"/>
      <c r="P11" s="47"/>
    </row>
    <row r="12" spans="1:20" x14ac:dyDescent="0.2">
      <c r="K12" s="48" t="s">
        <v>21</v>
      </c>
      <c r="L12" s="49" t="s">
        <v>70</v>
      </c>
      <c r="M12" s="49"/>
      <c r="N12" s="49"/>
      <c r="O12" s="50"/>
    </row>
    <row r="13" spans="1:20" x14ac:dyDescent="0.2">
      <c r="K13" s="51" t="s">
        <v>71</v>
      </c>
      <c r="L13" s="35" t="s">
        <v>72</v>
      </c>
      <c r="M13" s="35"/>
      <c r="N13" s="35"/>
      <c r="O13" s="52"/>
    </row>
    <row r="14" spans="1:20" x14ac:dyDescent="0.2">
      <c r="K14" s="51" t="s">
        <v>22</v>
      </c>
      <c r="L14" s="35" t="s">
        <v>73</v>
      </c>
      <c r="M14" s="35"/>
      <c r="N14" s="35"/>
      <c r="O14" s="52"/>
    </row>
    <row r="15" spans="1:20" x14ac:dyDescent="0.2">
      <c r="K15" s="51" t="s">
        <v>23</v>
      </c>
      <c r="L15" s="35" t="s">
        <v>74</v>
      </c>
      <c r="M15" s="35"/>
      <c r="N15" s="35"/>
      <c r="O15" s="52"/>
      <c r="Q15" s="53"/>
      <c r="R15" s="35"/>
      <c r="S15" s="35"/>
      <c r="T15" s="35"/>
    </row>
    <row r="16" spans="1:20" x14ac:dyDescent="0.2">
      <c r="K16" s="51" t="s">
        <v>24</v>
      </c>
      <c r="L16" s="35" t="s">
        <v>75</v>
      </c>
      <c r="M16" s="35"/>
      <c r="N16" s="35"/>
      <c r="O16" s="52"/>
      <c r="Q16" s="53"/>
      <c r="R16" s="35"/>
      <c r="S16" s="35"/>
      <c r="T16" s="35"/>
    </row>
    <row r="17" spans="1:20" x14ac:dyDescent="0.2">
      <c r="K17" s="51" t="s">
        <v>25</v>
      </c>
      <c r="L17" s="35" t="s">
        <v>76</v>
      </c>
      <c r="M17" s="35"/>
      <c r="N17" s="35"/>
      <c r="O17" s="52"/>
      <c r="Q17" s="53"/>
      <c r="R17" s="35"/>
      <c r="S17" s="35"/>
      <c r="T17" s="35"/>
    </row>
    <row r="18" spans="1:20" x14ac:dyDescent="0.2">
      <c r="K18" s="51" t="s">
        <v>26</v>
      </c>
      <c r="L18" s="35" t="s">
        <v>77</v>
      </c>
      <c r="M18" s="35"/>
      <c r="N18" s="35"/>
      <c r="O18" s="52"/>
      <c r="Q18" s="53"/>
      <c r="R18" s="35"/>
      <c r="S18" s="35"/>
      <c r="T18" s="35"/>
    </row>
    <row r="19" spans="1:20" ht="13.5" thickBot="1" x14ac:dyDescent="0.25">
      <c r="K19" s="54" t="s">
        <v>27</v>
      </c>
      <c r="L19" s="55" t="s">
        <v>78</v>
      </c>
      <c r="M19" s="55"/>
      <c r="N19" s="55"/>
      <c r="O19" s="56"/>
      <c r="Q19" s="53"/>
      <c r="R19" s="35"/>
      <c r="S19" s="35"/>
      <c r="T19" s="35"/>
    </row>
    <row r="20" spans="1:20" x14ac:dyDescent="0.2">
      <c r="Q20" s="53"/>
      <c r="R20" s="35"/>
      <c r="S20" s="35"/>
      <c r="T20" s="35"/>
    </row>
    <row r="21" spans="1:20" x14ac:dyDescent="0.2">
      <c r="B21" s="57"/>
      <c r="Q21" s="53"/>
      <c r="R21" s="35"/>
      <c r="S21" s="35"/>
      <c r="T21" s="35"/>
    </row>
    <row r="22" spans="1:20" x14ac:dyDescent="0.2">
      <c r="B22" s="57"/>
      <c r="Q22" s="53"/>
      <c r="R22" s="35"/>
      <c r="S22" s="35"/>
      <c r="T22" s="35"/>
    </row>
    <row r="23" spans="1:20" x14ac:dyDescent="0.2">
      <c r="B23" s="57"/>
    </row>
    <row r="24" spans="1:20" x14ac:dyDescent="0.2">
      <c r="A24" s="34" t="s">
        <v>79</v>
      </c>
    </row>
    <row r="25" spans="1:20" s="35" customFormat="1" x14ac:dyDescent="0.2">
      <c r="A25" s="58" t="s">
        <v>80</v>
      </c>
      <c r="N25" s="33"/>
      <c r="O25" s="33"/>
      <c r="Q25" s="33"/>
      <c r="R25" s="33"/>
    </row>
    <row r="26" spans="1:20" x14ac:dyDescent="0.2">
      <c r="B26" s="34"/>
    </row>
    <row r="27" spans="1:20" x14ac:dyDescent="0.2">
      <c r="E27" s="57"/>
      <c r="Q27" s="35"/>
      <c r="R27" s="35"/>
    </row>
    <row r="28" spans="1:20" ht="13.5" thickBot="1" x14ac:dyDescent="0.25">
      <c r="A28" s="59" t="s">
        <v>81</v>
      </c>
      <c r="E28" s="152" t="s">
        <v>61</v>
      </c>
      <c r="F28" s="152"/>
      <c r="G28" s="35"/>
      <c r="H28" s="152" t="s">
        <v>82</v>
      </c>
      <c r="I28" s="152"/>
      <c r="J28" s="35"/>
      <c r="K28" s="152" t="s">
        <v>83</v>
      </c>
      <c r="L28" s="152"/>
      <c r="M28" s="35"/>
    </row>
    <row r="29" spans="1:20" ht="13.5" thickBot="1" x14ac:dyDescent="0.25">
      <c r="A29" s="35" t="s">
        <v>84</v>
      </c>
      <c r="C29" s="35"/>
      <c r="D29" s="35"/>
      <c r="E29" s="154" t="s">
        <v>23</v>
      </c>
      <c r="F29" s="60" t="s">
        <v>85</v>
      </c>
      <c r="G29" s="39"/>
      <c r="H29" s="61" t="s">
        <v>85</v>
      </c>
      <c r="I29" s="60" t="s">
        <v>86</v>
      </c>
      <c r="J29" s="39"/>
      <c r="K29" s="46"/>
      <c r="L29" s="45"/>
      <c r="M29" s="62"/>
      <c r="Q29" s="152" t="s">
        <v>87</v>
      </c>
      <c r="R29" s="152"/>
    </row>
    <row r="30" spans="1:20" x14ac:dyDescent="0.2">
      <c r="A30" s="35" t="s">
        <v>88</v>
      </c>
      <c r="C30" s="35"/>
      <c r="D30" s="35"/>
      <c r="E30" s="154"/>
      <c r="F30" s="63" t="s">
        <v>89</v>
      </c>
      <c r="G30" s="39"/>
      <c r="H30" s="61"/>
      <c r="I30" s="63"/>
      <c r="J30" s="39"/>
      <c r="K30" s="61" t="s">
        <v>89</v>
      </c>
      <c r="L30" s="63" t="s">
        <v>90</v>
      </c>
      <c r="M30" s="62"/>
      <c r="N30" s="35"/>
      <c r="O30" s="35"/>
      <c r="Q30" s="64"/>
      <c r="R30" s="65"/>
    </row>
    <row r="31" spans="1:20" x14ac:dyDescent="0.2">
      <c r="A31" s="35" t="s">
        <v>91</v>
      </c>
      <c r="C31" s="35"/>
      <c r="D31" s="35"/>
      <c r="E31" s="154"/>
      <c r="F31" s="63" t="s">
        <v>92</v>
      </c>
      <c r="G31" s="39"/>
      <c r="H31" s="61"/>
      <c r="I31" s="63"/>
      <c r="J31" s="39"/>
      <c r="K31" s="61"/>
      <c r="L31" s="63"/>
      <c r="M31" s="62"/>
      <c r="Q31" s="63" t="s">
        <v>92</v>
      </c>
      <c r="R31" s="60"/>
    </row>
    <row r="32" spans="1:20" ht="13.5" thickBot="1" x14ac:dyDescent="0.25">
      <c r="A32" s="35" t="s">
        <v>93</v>
      </c>
      <c r="C32" s="35"/>
      <c r="E32" s="61" t="s">
        <v>94</v>
      </c>
      <c r="F32" s="155" t="s">
        <v>22</v>
      </c>
      <c r="G32" s="39"/>
      <c r="H32" s="61" t="s">
        <v>95</v>
      </c>
      <c r="I32" s="63" t="s">
        <v>94</v>
      </c>
      <c r="J32" s="39"/>
      <c r="K32" s="61"/>
      <c r="L32" s="63"/>
      <c r="M32" s="62"/>
      <c r="N32" s="152" t="s">
        <v>96</v>
      </c>
      <c r="O32" s="152"/>
      <c r="Q32" s="61"/>
      <c r="R32" s="63"/>
    </row>
    <row r="33" spans="1:18" x14ac:dyDescent="0.2">
      <c r="A33" s="35" t="s">
        <v>97</v>
      </c>
      <c r="C33" s="35"/>
      <c r="E33" s="61" t="s">
        <v>98</v>
      </c>
      <c r="F33" s="155"/>
      <c r="G33" s="39"/>
      <c r="H33" s="62"/>
      <c r="I33" s="62"/>
      <c r="J33" s="39"/>
      <c r="K33" s="61" t="s">
        <v>99</v>
      </c>
      <c r="L33" s="63" t="s">
        <v>98</v>
      </c>
      <c r="M33" s="62"/>
      <c r="N33" s="40"/>
      <c r="O33" s="41"/>
      <c r="Q33" s="62"/>
      <c r="R33" s="62"/>
    </row>
    <row r="34" spans="1:18" x14ac:dyDescent="0.2">
      <c r="A34" s="35" t="s">
        <v>100</v>
      </c>
      <c r="E34" s="61" t="s">
        <v>101</v>
      </c>
      <c r="F34" s="155"/>
      <c r="G34" s="39"/>
      <c r="H34" s="39"/>
      <c r="I34" s="39"/>
      <c r="J34" s="39"/>
      <c r="M34" s="39"/>
      <c r="N34" s="61"/>
      <c r="O34" s="63" t="s">
        <v>101</v>
      </c>
    </row>
    <row r="35" spans="1:18" ht="13.5" thickBot="1" x14ac:dyDescent="0.25">
      <c r="H35" s="152" t="s">
        <v>102</v>
      </c>
      <c r="I35" s="152"/>
      <c r="N35" s="61"/>
      <c r="O35" s="63"/>
    </row>
    <row r="36" spans="1:18" x14ac:dyDescent="0.2">
      <c r="H36" s="64" t="s">
        <v>86</v>
      </c>
      <c r="I36" s="65"/>
      <c r="K36" s="66"/>
      <c r="L36" s="66"/>
      <c r="N36" s="63"/>
      <c r="O36" s="63"/>
    </row>
    <row r="37" spans="1:18" x14ac:dyDescent="0.2">
      <c r="H37" s="61" t="s">
        <v>90</v>
      </c>
      <c r="I37" s="60"/>
      <c r="J37" s="66"/>
      <c r="K37" s="66"/>
      <c r="L37" s="66"/>
      <c r="M37" s="66"/>
      <c r="N37" s="62"/>
      <c r="O37" s="62"/>
    </row>
    <row r="38" spans="1:18" x14ac:dyDescent="0.2">
      <c r="H38" s="61"/>
      <c r="I38" s="60" t="s">
        <v>99</v>
      </c>
      <c r="J38" s="66"/>
      <c r="K38" s="66"/>
      <c r="L38" s="66"/>
      <c r="M38" s="66"/>
      <c r="N38" s="62"/>
      <c r="O38" s="62"/>
    </row>
    <row r="39" spans="1:18" x14ac:dyDescent="0.2">
      <c r="I39" s="60" t="s">
        <v>95</v>
      </c>
      <c r="J39" s="66"/>
      <c r="M39" s="66"/>
      <c r="N39" s="39"/>
      <c r="O39" s="62"/>
    </row>
    <row r="40" spans="1:18" x14ac:dyDescent="0.2">
      <c r="I40" s="63"/>
      <c r="J40" s="66"/>
      <c r="M40" s="66"/>
      <c r="N40" s="39"/>
      <c r="O40" s="62"/>
    </row>
    <row r="41" spans="1:18" x14ac:dyDescent="0.2">
      <c r="I41" s="63"/>
      <c r="J41" s="66"/>
      <c r="M41" s="66"/>
      <c r="N41" s="39"/>
      <c r="O41" s="62"/>
    </row>
    <row r="42" spans="1:18" x14ac:dyDescent="0.2">
      <c r="I42" s="63"/>
      <c r="J42" s="66"/>
      <c r="M42" s="66"/>
      <c r="N42" s="39"/>
      <c r="O42" s="62"/>
    </row>
    <row r="43" spans="1:18" x14ac:dyDescent="0.2">
      <c r="A43" s="34" t="s">
        <v>103</v>
      </c>
    </row>
    <row r="44" spans="1:18" s="35" customFormat="1" x14ac:dyDescent="0.2">
      <c r="A44" s="58" t="s">
        <v>104</v>
      </c>
      <c r="N44" s="33"/>
      <c r="O44" s="33"/>
      <c r="Q44" s="33"/>
      <c r="R44" s="33"/>
    </row>
    <row r="45" spans="1:18" x14ac:dyDescent="0.2">
      <c r="B45" s="34"/>
    </row>
    <row r="46" spans="1:18" x14ac:dyDescent="0.2">
      <c r="E46" s="57"/>
      <c r="Q46" s="35"/>
      <c r="R46" s="35"/>
    </row>
    <row r="47" spans="1:18" ht="13.5" thickBot="1" x14ac:dyDescent="0.25">
      <c r="A47" s="59" t="s">
        <v>81</v>
      </c>
      <c r="E47" s="152" t="s">
        <v>62</v>
      </c>
      <c r="F47" s="152"/>
      <c r="G47" s="35"/>
      <c r="H47" s="152" t="s">
        <v>82</v>
      </c>
      <c r="I47" s="152"/>
      <c r="J47" s="35"/>
      <c r="K47" s="152" t="s">
        <v>83</v>
      </c>
      <c r="L47" s="152"/>
      <c r="M47" s="35"/>
    </row>
    <row r="48" spans="1:18" ht="13.5" thickBot="1" x14ac:dyDescent="0.25">
      <c r="A48" s="35" t="s">
        <v>105</v>
      </c>
      <c r="C48" s="35"/>
      <c r="D48" s="35"/>
      <c r="E48" s="154" t="s">
        <v>27</v>
      </c>
      <c r="F48" s="60" t="s">
        <v>106</v>
      </c>
      <c r="G48" s="39"/>
      <c r="H48" s="61" t="s">
        <v>106</v>
      </c>
      <c r="I48" s="60" t="s">
        <v>107</v>
      </c>
      <c r="J48" s="39"/>
      <c r="K48" s="46"/>
      <c r="L48" s="45"/>
      <c r="M48" s="62"/>
      <c r="Q48" s="152" t="s">
        <v>87</v>
      </c>
      <c r="R48" s="152"/>
    </row>
    <row r="49" spans="1:18" x14ac:dyDescent="0.2">
      <c r="A49" s="35" t="s">
        <v>108</v>
      </c>
      <c r="C49" s="35"/>
      <c r="D49" s="35"/>
      <c r="E49" s="154"/>
      <c r="F49" s="63" t="s">
        <v>109</v>
      </c>
      <c r="G49" s="39"/>
      <c r="H49" s="61"/>
      <c r="I49" s="63"/>
      <c r="J49" s="39"/>
      <c r="K49" s="61" t="s">
        <v>109</v>
      </c>
      <c r="L49" s="63" t="s">
        <v>110</v>
      </c>
      <c r="M49" s="62"/>
      <c r="N49" s="35"/>
      <c r="O49" s="35"/>
      <c r="Q49" s="64"/>
      <c r="R49" s="65"/>
    </row>
    <row r="50" spans="1:18" x14ac:dyDescent="0.2">
      <c r="A50" s="35" t="s">
        <v>111</v>
      </c>
      <c r="C50" s="35"/>
      <c r="D50" s="35"/>
      <c r="E50" s="154"/>
      <c r="F50" s="63" t="s">
        <v>112</v>
      </c>
      <c r="G50" s="39"/>
      <c r="H50" s="61"/>
      <c r="I50" s="63"/>
      <c r="J50" s="39"/>
      <c r="K50" s="61"/>
      <c r="L50" s="63"/>
      <c r="M50" s="62"/>
      <c r="Q50" s="61" t="s">
        <v>112</v>
      </c>
      <c r="R50" s="63"/>
    </row>
    <row r="51" spans="1:18" ht="13.5" thickBot="1" x14ac:dyDescent="0.25">
      <c r="A51" s="35" t="s">
        <v>113</v>
      </c>
      <c r="C51" s="35"/>
      <c r="E51" s="61" t="s">
        <v>114</v>
      </c>
      <c r="F51" s="155" t="s">
        <v>26</v>
      </c>
      <c r="G51" s="39"/>
      <c r="H51" s="61" t="s">
        <v>115</v>
      </c>
      <c r="I51" s="63" t="s">
        <v>116</v>
      </c>
      <c r="J51" s="39"/>
      <c r="K51" s="61"/>
      <c r="L51" s="63"/>
      <c r="M51" s="62"/>
      <c r="N51" s="152" t="s">
        <v>96</v>
      </c>
      <c r="O51" s="152"/>
      <c r="Q51" s="61"/>
      <c r="R51" s="63"/>
    </row>
    <row r="52" spans="1:18" x14ac:dyDescent="0.2">
      <c r="A52" s="35" t="s">
        <v>117</v>
      </c>
      <c r="C52" s="35"/>
      <c r="E52" s="61" t="s">
        <v>118</v>
      </c>
      <c r="F52" s="155"/>
      <c r="G52" s="39"/>
      <c r="H52" s="62"/>
      <c r="I52" s="62"/>
      <c r="J52" s="39"/>
      <c r="K52" s="61" t="s">
        <v>119</v>
      </c>
      <c r="L52" s="63" t="s">
        <v>118</v>
      </c>
      <c r="M52" s="62"/>
      <c r="N52" s="40"/>
      <c r="O52" s="65"/>
      <c r="Q52" s="62"/>
      <c r="R52" s="62"/>
    </row>
    <row r="53" spans="1:18" x14ac:dyDescent="0.2">
      <c r="A53" s="35" t="s">
        <v>120</v>
      </c>
      <c r="E53" s="61" t="s">
        <v>121</v>
      </c>
      <c r="F53" s="155"/>
      <c r="G53" s="39"/>
      <c r="H53" s="39"/>
      <c r="I53" s="39"/>
      <c r="J53" s="39"/>
      <c r="M53" s="39"/>
      <c r="N53" s="61"/>
      <c r="O53" s="63" t="s">
        <v>121</v>
      </c>
    </row>
    <row r="54" spans="1:18" ht="13.5" thickBot="1" x14ac:dyDescent="0.25">
      <c r="H54" s="152" t="s">
        <v>102</v>
      </c>
      <c r="I54" s="152"/>
      <c r="N54" s="61"/>
      <c r="O54" s="63"/>
    </row>
    <row r="55" spans="1:18" x14ac:dyDescent="0.2">
      <c r="H55" s="64"/>
      <c r="I55" s="65" t="s">
        <v>115</v>
      </c>
      <c r="K55" s="66"/>
      <c r="L55" s="66"/>
      <c r="N55" s="63"/>
      <c r="O55" s="63"/>
    </row>
    <row r="56" spans="1:18" x14ac:dyDescent="0.2">
      <c r="H56" s="61"/>
      <c r="I56" s="60" t="s">
        <v>119</v>
      </c>
      <c r="J56" s="66"/>
      <c r="K56" s="66"/>
      <c r="L56" s="66"/>
      <c r="M56" s="66"/>
      <c r="N56" s="62"/>
      <c r="O56" s="62"/>
    </row>
    <row r="57" spans="1:18" x14ac:dyDescent="0.2">
      <c r="H57" s="61" t="s">
        <v>107</v>
      </c>
      <c r="I57" s="60"/>
      <c r="J57" s="66"/>
      <c r="K57" s="66"/>
      <c r="L57" s="66"/>
      <c r="M57" s="66"/>
      <c r="N57" s="62"/>
      <c r="O57" s="62"/>
    </row>
    <row r="58" spans="1:18" x14ac:dyDescent="0.2">
      <c r="H58" s="61" t="s">
        <v>110</v>
      </c>
      <c r="I58" s="60"/>
      <c r="J58" s="66"/>
      <c r="M58" s="66"/>
      <c r="N58" s="39"/>
      <c r="O58" s="62"/>
    </row>
    <row r="59" spans="1:18" x14ac:dyDescent="0.2">
      <c r="H59" s="63"/>
      <c r="I59" s="63"/>
      <c r="J59" s="66"/>
      <c r="M59" s="66"/>
      <c r="N59" s="39"/>
      <c r="O59" s="62"/>
    </row>
    <row r="60" spans="1:18" x14ac:dyDescent="0.2">
      <c r="H60" s="63"/>
      <c r="I60" s="63"/>
      <c r="J60" s="66"/>
      <c r="M60" s="66"/>
      <c r="N60" s="39"/>
      <c r="O60" s="62"/>
    </row>
    <row r="61" spans="1:18" x14ac:dyDescent="0.2">
      <c r="H61" s="63"/>
      <c r="I61" s="63"/>
      <c r="J61" s="66"/>
      <c r="M61" s="66"/>
      <c r="N61" s="39"/>
      <c r="O61" s="62"/>
    </row>
    <row r="62" spans="1:18" x14ac:dyDescent="0.2">
      <c r="H62" s="63"/>
      <c r="I62" s="63"/>
      <c r="J62" s="66"/>
      <c r="M62" s="66"/>
      <c r="N62" s="39"/>
      <c r="O62" s="62"/>
    </row>
    <row r="63" spans="1:18" x14ac:dyDescent="0.2">
      <c r="N63" s="66"/>
      <c r="O63" s="66"/>
    </row>
    <row r="65" spans="1:18" x14ac:dyDescent="0.2">
      <c r="A65" s="34" t="s">
        <v>122</v>
      </c>
    </row>
    <row r="66" spans="1:18" s="35" customFormat="1" x14ac:dyDescent="0.2">
      <c r="A66" s="58" t="s">
        <v>123</v>
      </c>
      <c r="N66" s="33"/>
      <c r="O66" s="33"/>
      <c r="Q66" s="33"/>
      <c r="R66" s="33"/>
    </row>
    <row r="67" spans="1:18" x14ac:dyDescent="0.2">
      <c r="B67" s="34"/>
    </row>
    <row r="68" spans="1:18" x14ac:dyDescent="0.2">
      <c r="E68" s="57"/>
      <c r="Q68" s="35"/>
      <c r="R68" s="35"/>
    </row>
    <row r="69" spans="1:18" ht="13.5" thickBot="1" x14ac:dyDescent="0.25">
      <c r="A69" s="59" t="s">
        <v>81</v>
      </c>
      <c r="E69" s="152" t="s">
        <v>63</v>
      </c>
      <c r="F69" s="152"/>
      <c r="G69" s="35"/>
      <c r="H69" s="152" t="s">
        <v>124</v>
      </c>
      <c r="I69" s="152"/>
      <c r="J69" s="35"/>
      <c r="K69" s="152" t="s">
        <v>125</v>
      </c>
      <c r="L69" s="152"/>
      <c r="M69" s="35"/>
    </row>
    <row r="70" spans="1:18" ht="13.5" thickBot="1" x14ac:dyDescent="0.25">
      <c r="A70" s="35" t="s">
        <v>126</v>
      </c>
      <c r="C70" s="35"/>
      <c r="D70" s="35"/>
      <c r="E70" s="153" t="s">
        <v>25</v>
      </c>
      <c r="F70" s="60" t="s">
        <v>127</v>
      </c>
      <c r="G70" s="39"/>
      <c r="H70" s="61" t="s">
        <v>127</v>
      </c>
      <c r="I70" s="67" t="s">
        <v>128</v>
      </c>
      <c r="J70" s="39"/>
      <c r="K70" s="46"/>
      <c r="L70" s="45"/>
      <c r="M70" s="62"/>
      <c r="N70" s="152" t="s">
        <v>129</v>
      </c>
      <c r="O70" s="152"/>
    </row>
    <row r="71" spans="1:18" x14ac:dyDescent="0.2">
      <c r="A71" s="35" t="s">
        <v>130</v>
      </c>
      <c r="C71" s="35"/>
      <c r="D71" s="35"/>
      <c r="E71" s="154"/>
      <c r="F71" s="63" t="s">
        <v>131</v>
      </c>
      <c r="G71" s="39"/>
      <c r="H71" s="61"/>
      <c r="I71" s="63"/>
      <c r="J71" s="39"/>
      <c r="K71" s="61"/>
      <c r="L71" s="63"/>
      <c r="M71" s="62"/>
      <c r="N71" s="64" t="s">
        <v>131</v>
      </c>
      <c r="O71" s="65"/>
    </row>
    <row r="72" spans="1:18" x14ac:dyDescent="0.2">
      <c r="A72" s="35" t="s">
        <v>132</v>
      </c>
      <c r="C72" s="35"/>
      <c r="D72" s="35"/>
      <c r="E72" s="68" t="s">
        <v>133</v>
      </c>
      <c r="F72" s="155" t="s">
        <v>24</v>
      </c>
      <c r="G72" s="39"/>
      <c r="H72" s="63"/>
      <c r="I72" s="63"/>
      <c r="J72" s="39"/>
      <c r="K72" s="69" t="s">
        <v>134</v>
      </c>
      <c r="L72" s="63" t="s">
        <v>133</v>
      </c>
      <c r="M72" s="62"/>
      <c r="N72" s="61"/>
      <c r="O72" s="63"/>
    </row>
    <row r="73" spans="1:18" x14ac:dyDescent="0.2">
      <c r="A73" s="35" t="s">
        <v>135</v>
      </c>
      <c r="C73" s="35"/>
      <c r="E73" s="61" t="s">
        <v>136</v>
      </c>
      <c r="F73" s="155"/>
      <c r="G73" s="39"/>
      <c r="H73" s="63"/>
      <c r="I73" s="63"/>
      <c r="J73" s="39"/>
      <c r="K73" s="69" t="s">
        <v>134</v>
      </c>
      <c r="L73" s="63" t="s">
        <v>136</v>
      </c>
      <c r="M73" s="62"/>
      <c r="N73" s="61"/>
      <c r="O73" s="63"/>
    </row>
    <row r="74" spans="1:18" x14ac:dyDescent="0.2">
      <c r="A74" s="35" t="s">
        <v>137</v>
      </c>
      <c r="C74" s="35"/>
      <c r="E74" s="61" t="s">
        <v>138</v>
      </c>
      <c r="F74" s="155"/>
      <c r="G74" s="39"/>
      <c r="H74" s="62"/>
      <c r="I74" s="62"/>
      <c r="J74" s="39"/>
      <c r="K74" s="63"/>
      <c r="L74" s="63"/>
      <c r="M74" s="62"/>
      <c r="N74" s="61"/>
      <c r="O74" s="63" t="s">
        <v>138</v>
      </c>
    </row>
    <row r="75" spans="1:18" x14ac:dyDescent="0.2">
      <c r="A75" s="35"/>
      <c r="E75" s="63"/>
      <c r="F75" s="70"/>
      <c r="G75" s="39"/>
      <c r="H75" s="39"/>
      <c r="I75" s="39"/>
      <c r="J75" s="39"/>
      <c r="M75" s="39"/>
    </row>
    <row r="77" spans="1:18" x14ac:dyDescent="0.2">
      <c r="N77" s="63"/>
      <c r="O77" s="63"/>
    </row>
    <row r="78" spans="1:18" x14ac:dyDescent="0.2">
      <c r="M78" s="66"/>
      <c r="N78" s="62"/>
      <c r="O78" s="62"/>
    </row>
    <row r="79" spans="1:18" x14ac:dyDescent="0.2">
      <c r="M79" s="66"/>
      <c r="N79" s="62"/>
      <c r="O79" s="62"/>
    </row>
    <row r="80" spans="1:18" x14ac:dyDescent="0.2">
      <c r="M80" s="66"/>
      <c r="N80" s="39"/>
      <c r="O80" s="62"/>
    </row>
    <row r="83" spans="1:18" ht="13.5" thickBot="1" x14ac:dyDescent="0.25"/>
    <row r="84" spans="1:18" ht="14.25" x14ac:dyDescent="0.2">
      <c r="A84" s="71" t="s">
        <v>139</v>
      </c>
      <c r="B84" s="72"/>
      <c r="C84" s="72"/>
      <c r="D84" s="72"/>
      <c r="E84" s="72"/>
      <c r="F84" s="73"/>
      <c r="G84" s="73"/>
      <c r="H84" s="73"/>
      <c r="I84" s="73"/>
      <c r="J84" s="74"/>
      <c r="K84" s="74"/>
      <c r="L84" s="74"/>
      <c r="M84" s="74"/>
      <c r="N84" s="74"/>
      <c r="O84" s="74"/>
      <c r="P84" s="74"/>
      <c r="Q84" s="74"/>
      <c r="R84" s="50"/>
    </row>
    <row r="85" spans="1:18" x14ac:dyDescent="0.2">
      <c r="A85" s="75"/>
      <c r="R85" s="52"/>
    </row>
    <row r="86" spans="1:18" ht="13.5" thickBot="1" x14ac:dyDescent="0.25">
      <c r="A86" s="76" t="s">
        <v>140</v>
      </c>
      <c r="E86" s="152" t="s">
        <v>124</v>
      </c>
      <c r="F86" s="152"/>
      <c r="H86" s="152" t="s">
        <v>141</v>
      </c>
      <c r="I86" s="152"/>
      <c r="R86" s="52"/>
    </row>
    <row r="87" spans="1:18" x14ac:dyDescent="0.2">
      <c r="A87" s="77" t="s">
        <v>142</v>
      </c>
      <c r="E87" s="64"/>
      <c r="F87" s="65"/>
      <c r="H87" s="64"/>
      <c r="I87" s="65"/>
      <c r="R87" s="52"/>
    </row>
    <row r="88" spans="1:18" x14ac:dyDescent="0.2">
      <c r="A88" s="78" t="s">
        <v>143</v>
      </c>
      <c r="E88" s="61" t="s">
        <v>127</v>
      </c>
      <c r="F88" s="60"/>
      <c r="H88" s="61"/>
      <c r="I88" s="60"/>
      <c r="R88" s="52"/>
    </row>
    <row r="89" spans="1:18" x14ac:dyDescent="0.2">
      <c r="A89" s="77" t="s">
        <v>144</v>
      </c>
      <c r="E89" s="61"/>
      <c r="F89" s="45"/>
      <c r="H89" s="61"/>
      <c r="I89" s="45"/>
      <c r="R89" s="52"/>
    </row>
    <row r="90" spans="1:18" x14ac:dyDescent="0.2">
      <c r="A90" s="78" t="s">
        <v>145</v>
      </c>
      <c r="E90" s="61"/>
      <c r="F90" s="63" t="s">
        <v>146</v>
      </c>
      <c r="H90" s="61" t="s">
        <v>146</v>
      </c>
      <c r="I90" s="63"/>
      <c r="R90" s="52"/>
    </row>
    <row r="91" spans="1:18" x14ac:dyDescent="0.2">
      <c r="A91" s="78"/>
      <c r="E91" s="61"/>
      <c r="F91" s="63"/>
      <c r="H91" s="63"/>
      <c r="I91" s="63"/>
      <c r="R91" s="52"/>
    </row>
    <row r="92" spans="1:18" ht="13.5" thickBot="1" x14ac:dyDescent="0.25">
      <c r="A92" s="76" t="s">
        <v>147</v>
      </c>
      <c r="E92" s="61"/>
      <c r="F92" s="63"/>
      <c r="H92" s="152" t="s">
        <v>102</v>
      </c>
      <c r="I92" s="152"/>
      <c r="K92" s="152" t="s">
        <v>61</v>
      </c>
      <c r="L92" s="152"/>
      <c r="R92" s="52"/>
    </row>
    <row r="93" spans="1:18" x14ac:dyDescent="0.2">
      <c r="A93" s="78" t="s">
        <v>148</v>
      </c>
      <c r="E93" s="61" t="s">
        <v>149</v>
      </c>
      <c r="F93" s="63"/>
      <c r="H93" s="64"/>
      <c r="I93" s="65" t="s">
        <v>149</v>
      </c>
      <c r="K93" s="64"/>
      <c r="L93" s="65"/>
      <c r="R93" s="52"/>
    </row>
    <row r="94" spans="1:18" x14ac:dyDescent="0.2">
      <c r="A94" s="78"/>
      <c r="E94" s="61" t="s">
        <v>150</v>
      </c>
      <c r="F94" s="63"/>
      <c r="H94" s="61"/>
      <c r="I94" s="60" t="s">
        <v>150</v>
      </c>
      <c r="K94" s="61"/>
      <c r="L94" s="60"/>
      <c r="R94" s="52"/>
    </row>
    <row r="95" spans="1:18" x14ac:dyDescent="0.2">
      <c r="A95" s="78" t="s">
        <v>151</v>
      </c>
      <c r="E95" s="61"/>
      <c r="F95" s="63" t="s">
        <v>152</v>
      </c>
      <c r="H95" s="61"/>
      <c r="I95" s="60"/>
      <c r="K95" s="61" t="s">
        <v>152</v>
      </c>
      <c r="L95" s="60"/>
      <c r="M95" s="79" t="s">
        <v>153</v>
      </c>
      <c r="N95" s="80" t="s">
        <v>154</v>
      </c>
      <c r="O95" s="79"/>
      <c r="P95" s="79"/>
      <c r="Q95" s="79"/>
      <c r="R95" s="81"/>
    </row>
    <row r="96" spans="1:18" x14ac:dyDescent="0.2">
      <c r="A96" s="75"/>
      <c r="E96" s="61"/>
      <c r="F96" s="63" t="s">
        <v>155</v>
      </c>
      <c r="H96" s="61"/>
      <c r="I96" s="45"/>
      <c r="K96" s="61" t="s">
        <v>155</v>
      </c>
      <c r="L96" s="45"/>
      <c r="R96" s="52"/>
    </row>
    <row r="97" spans="1:18" x14ac:dyDescent="0.2">
      <c r="A97" s="75"/>
      <c r="E97" s="63"/>
      <c r="F97" s="63"/>
      <c r="R97" s="52"/>
    </row>
    <row r="98" spans="1:18" x14ac:dyDescent="0.2">
      <c r="A98" s="75"/>
      <c r="E98" s="63"/>
      <c r="F98" s="63"/>
      <c r="R98" s="52"/>
    </row>
    <row r="99" spans="1:18" ht="14.25" x14ac:dyDescent="0.2">
      <c r="A99" s="82" t="s">
        <v>156</v>
      </c>
      <c r="B99" s="83"/>
      <c r="C99" s="83"/>
      <c r="D99" s="83"/>
      <c r="E99" s="83"/>
      <c r="F99" s="83"/>
      <c r="G99" s="83"/>
      <c r="H99" s="84"/>
      <c r="I99" s="84"/>
      <c r="R99" s="52"/>
    </row>
    <row r="100" spans="1:18" x14ac:dyDescent="0.2">
      <c r="A100" s="75"/>
      <c r="R100" s="52"/>
    </row>
    <row r="101" spans="1:18" ht="13.5" thickBot="1" x14ac:dyDescent="0.25">
      <c r="A101" s="76" t="s">
        <v>140</v>
      </c>
      <c r="E101" s="152" t="s">
        <v>125</v>
      </c>
      <c r="F101" s="152"/>
      <c r="R101" s="52"/>
    </row>
    <row r="102" spans="1:18" x14ac:dyDescent="0.2">
      <c r="A102" s="77" t="s">
        <v>142</v>
      </c>
      <c r="E102" s="46"/>
      <c r="F102" s="45"/>
      <c r="R102" s="52"/>
    </row>
    <row r="103" spans="1:18" x14ac:dyDescent="0.2">
      <c r="A103" s="78" t="s">
        <v>143</v>
      </c>
      <c r="E103" s="46"/>
      <c r="F103" s="63" t="s">
        <v>133</v>
      </c>
      <c r="R103" s="52"/>
    </row>
    <row r="104" spans="1:18" x14ac:dyDescent="0.2">
      <c r="A104" s="78"/>
      <c r="E104" s="46"/>
      <c r="F104" s="63" t="s">
        <v>136</v>
      </c>
      <c r="R104" s="52"/>
    </row>
    <row r="105" spans="1:18" ht="13.5" thickBot="1" x14ac:dyDescent="0.25">
      <c r="A105" s="77" t="s">
        <v>144</v>
      </c>
      <c r="E105" s="46"/>
      <c r="F105" s="63"/>
      <c r="H105" s="152" t="s">
        <v>157</v>
      </c>
      <c r="I105" s="152"/>
      <c r="K105" s="152" t="s">
        <v>141</v>
      </c>
      <c r="L105" s="152"/>
      <c r="R105" s="52"/>
    </row>
    <row r="106" spans="1:18" x14ac:dyDescent="0.2">
      <c r="A106" s="85" t="s">
        <v>158</v>
      </c>
      <c r="E106" s="61" t="s">
        <v>159</v>
      </c>
      <c r="F106" s="63"/>
      <c r="H106" s="64"/>
      <c r="I106" s="65" t="s">
        <v>159</v>
      </c>
      <c r="K106" s="64"/>
      <c r="L106" s="65"/>
      <c r="R106" s="52"/>
    </row>
    <row r="107" spans="1:18" x14ac:dyDescent="0.2">
      <c r="A107" s="78" t="s">
        <v>160</v>
      </c>
      <c r="E107" s="61"/>
      <c r="F107" s="63"/>
      <c r="H107" s="61" t="s">
        <v>161</v>
      </c>
      <c r="I107" s="60"/>
      <c r="K107" s="61"/>
      <c r="L107" s="60" t="s">
        <v>161</v>
      </c>
      <c r="R107" s="52"/>
    </row>
    <row r="108" spans="1:18" x14ac:dyDescent="0.2">
      <c r="A108" s="76"/>
      <c r="E108" s="61"/>
      <c r="F108" s="63"/>
      <c r="H108" s="61"/>
      <c r="I108" s="45"/>
      <c r="K108" s="61"/>
      <c r="L108" s="45"/>
      <c r="R108" s="52"/>
    </row>
    <row r="109" spans="1:18" x14ac:dyDescent="0.2">
      <c r="A109" s="78"/>
      <c r="R109" s="52"/>
    </row>
    <row r="110" spans="1:18" x14ac:dyDescent="0.2">
      <c r="A110" s="78"/>
      <c r="R110" s="52"/>
    </row>
    <row r="111" spans="1:18" x14ac:dyDescent="0.2">
      <c r="A111" s="75"/>
      <c r="R111" s="52"/>
    </row>
    <row r="112" spans="1:18" x14ac:dyDescent="0.2">
      <c r="A112" s="75"/>
      <c r="R112" s="52"/>
    </row>
    <row r="113" spans="1:18" ht="13.5" thickBot="1" x14ac:dyDescent="0.25">
      <c r="A113" s="86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56"/>
    </row>
  </sheetData>
  <mergeCells count="35">
    <mergeCell ref="A1:S1"/>
    <mergeCell ref="B7:C7"/>
    <mergeCell ref="E7:F7"/>
    <mergeCell ref="H7:I7"/>
    <mergeCell ref="K7:L7"/>
    <mergeCell ref="N7:O7"/>
    <mergeCell ref="Q48:R48"/>
    <mergeCell ref="E28:F28"/>
    <mergeCell ref="H28:I28"/>
    <mergeCell ref="K28:L28"/>
    <mergeCell ref="E29:E31"/>
    <mergeCell ref="Q29:R29"/>
    <mergeCell ref="F32:F34"/>
    <mergeCell ref="N32:O32"/>
    <mergeCell ref="H35:I35"/>
    <mergeCell ref="E47:F47"/>
    <mergeCell ref="H47:I47"/>
    <mergeCell ref="K47:L47"/>
    <mergeCell ref="E48:E50"/>
    <mergeCell ref="F51:F53"/>
    <mergeCell ref="N51:O51"/>
    <mergeCell ref="H54:I54"/>
    <mergeCell ref="E69:F69"/>
    <mergeCell ref="H69:I69"/>
    <mergeCell ref="K69:L69"/>
    <mergeCell ref="E101:F101"/>
    <mergeCell ref="H105:I105"/>
    <mergeCell ref="K105:L105"/>
    <mergeCell ref="E70:E71"/>
    <mergeCell ref="N70:O70"/>
    <mergeCell ref="F72:F74"/>
    <mergeCell ref="E86:F86"/>
    <mergeCell ref="H86:I86"/>
    <mergeCell ref="H92:I92"/>
    <mergeCell ref="K92:L92"/>
  </mergeCells>
  <pageMargins left="0.75" right="0.75" top="0.57999999999999996" bottom="0.46" header="0" footer="0"/>
  <pageSetup paperSize="9" orientation="landscape" r:id="rId1"/>
  <headerFooter alignWithMargins="0">
    <oddHeader>&amp;F&amp;L&amp;"Calibri"&amp;10&amp;K000000Confidential&amp;1#</oddHeader>
    <oddFooter>&amp;R&amp;P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76c42d233f396c620dfe843c8ada89d5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ee5843f5cb2ee2b6912e5b34715a9ac2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6DBB9-1DA2-4751-A02D-85A70829C0AC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ad20f8b-9281-4829-a9aa-2b5a878ba2cc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8D69885-F051-48F3-A407-317677D70E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129254-0A9F-4D75-BCDD-5CF32C3263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Valores agregados</vt:lpstr>
      <vt:lpstr>Valores desagregados</vt:lpstr>
      <vt:lpstr>RESUMO</vt:lpstr>
      <vt:lpstr>DETALHE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Duarte Cardoso Rodrigues</dc:creator>
  <cp:keywords/>
  <dc:description/>
  <cp:lastModifiedBy>Luís Filipe da Silva Pragosa</cp:lastModifiedBy>
  <cp:revision/>
  <dcterms:created xsi:type="dcterms:W3CDTF">2023-09-22T14:44:31Z</dcterms:created>
  <dcterms:modified xsi:type="dcterms:W3CDTF">2024-01-17T12:17:24Z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MSIP_Label_3c41c091-3cbc-4dba-8b59-ce62f19500db_Enabled">
    <vt:lpwstr>true</vt:lpwstr>
  </property>
  <property fmtid="{D5CDD505-2E9C-101B-9397-08002B2CF9AE}" pid="4" name="MSIP_Label_3c41c091-3cbc-4dba-8b59-ce62f19500db_SetDate">
    <vt:lpwstr>2024-01-17T12:17:23Z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iteId">
    <vt:lpwstr>35595a02-4d6d-44ac-99e1-f9ab4cd872db</vt:lpwstr>
  </property>
  <property fmtid="{D5CDD505-2E9C-101B-9397-08002B2CF9AE}" pid="8" name="MSIP_Label_3c41c091-3cbc-4dba-8b59-ce62f19500db_ActionId">
    <vt:lpwstr>e8dfb07e-aa7c-4189-aaf6-bb9be9d843ec</vt:lpwstr>
  </property>
  <property fmtid="{D5CDD505-2E9C-101B-9397-08002B2CF9AE}" pid="9" name="MSIP_Label_3c41c091-3cbc-4dba-8b59-ce62f19500db_ContentBits">
    <vt:lpwstr>1</vt:lpwstr>
  </property>
</Properties>
</file>