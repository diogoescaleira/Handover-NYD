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58309\OneDrive - Santander Office 365\FMIR_LDR_Valuation\FMIR\"/>
    </mc:Choice>
  </mc:AlternateContent>
  <bookViews>
    <workbookView xWindow="0" yWindow="0" windowWidth="19200" windowHeight="7050"/>
  </bookViews>
  <sheets>
    <sheet name="Valores desagreg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" i="1" l="1"/>
  <c r="G52" i="1"/>
  <c r="G42" i="1"/>
  <c r="G32" i="1"/>
  <c r="G22" i="1"/>
  <c r="G12" i="1"/>
  <c r="G2" i="1"/>
  <c r="E91" i="1" l="1"/>
  <c r="D89" i="1"/>
  <c r="C89" i="1"/>
  <c r="C91" i="1" s="1"/>
  <c r="E81" i="1"/>
  <c r="D79" i="1"/>
  <c r="C81" i="1" s="1"/>
  <c r="C79" i="1"/>
  <c r="E71" i="1"/>
  <c r="D69" i="1"/>
  <c r="C69" i="1"/>
  <c r="C71" i="1" s="1"/>
  <c r="E61" i="1"/>
  <c r="D59" i="1"/>
  <c r="C61" i="1" s="1"/>
  <c r="C59" i="1"/>
  <c r="E51" i="1"/>
  <c r="D49" i="1"/>
  <c r="C49" i="1"/>
  <c r="C51" i="1" s="1"/>
  <c r="E41" i="1"/>
  <c r="C41" i="1"/>
  <c r="D39" i="1"/>
  <c r="C39" i="1"/>
  <c r="E31" i="1"/>
  <c r="D29" i="1"/>
  <c r="C29" i="1"/>
  <c r="C31" i="1" s="1"/>
  <c r="E21" i="1"/>
  <c r="D19" i="1"/>
  <c r="C19" i="1"/>
  <c r="C21" i="1" s="1"/>
  <c r="C9" i="1"/>
  <c r="D9" i="1"/>
  <c r="E11" i="1" l="1"/>
  <c r="C11" i="1" l="1"/>
</calcChain>
</file>

<file path=xl/sharedStrings.xml><?xml version="1.0" encoding="utf-8"?>
<sst xmlns="http://schemas.openxmlformats.org/spreadsheetml/2006/main" count="107" uniqueCount="27">
  <si>
    <t>2023-07</t>
  </si>
  <si>
    <t>cd_contabilidade,cgt06_histparc 
cgyd06c0_clacon</t>
  </si>
  <si>
    <t>cd_contabilidade,cgt06_histparc 
sum(cgyd06c0_imph)</t>
  </si>
  <si>
    <t>cd_contabilidade,cgt06_histparc 
sum(cgyd06c0_impd)</t>
  </si>
  <si>
    <t>SUM Credito</t>
  </si>
  <si>
    <t>SUM Debito</t>
  </si>
  <si>
    <t>Banco de Portugal
Total Movimentos a Débito</t>
  </si>
  <si>
    <t>2023-01</t>
  </si>
  <si>
    <t>2023-02</t>
  </si>
  <si>
    <t>2023-03</t>
  </si>
  <si>
    <t>2023-04</t>
  </si>
  <si>
    <t>2023-05</t>
  </si>
  <si>
    <t>2023-06</t>
  </si>
  <si>
    <t>2023-08</t>
  </si>
  <si>
    <t>2023-09</t>
  </si>
  <si>
    <t>SUM TOTAL cd_contabilidade</t>
  </si>
  <si>
    <t>Data</t>
  </si>
  <si>
    <t>CIQ</t>
  </si>
  <si>
    <t>CIC</t>
  </si>
  <si>
    <t>CIG</t>
  </si>
  <si>
    <t>CIS</t>
  </si>
  <si>
    <t>CIT</t>
  </si>
  <si>
    <t>CIH</t>
  </si>
  <si>
    <t>Banco de Portugal
Total Movimentos a Crédito</t>
  </si>
  <si>
    <t>SUM TOTAL Banco de Portugal</t>
  </si>
  <si>
    <t>Query Usada</t>
  </si>
  <si>
    <t>select substr(data_date_part,1,7) as data_date, cgyd06c0_clacon, sum(cgyd06c0_impd), sum(cgyd06c0_imph)
from cd_contabilidade.cgt06_histparc where data_date_part like '2023%' 
and cgyd06c0_nucta='589911210' 
group by cgyd06c0_clacon, data_date
order by data_date, cgyd06c0_clacon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</si>
</sst>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4" fontId="0" fillId="0" borderId="0" xfId="0" applyNumberFormat="1"/>
    <xf numFmtId="4" fontId="0" fillId="3" borderId="1" xfId="0" applyNumberFormat="1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4" fontId="0" fillId="3" borderId="6" xfId="0" applyNumberFormat="1" applyFill="1" applyBorder="1" applyAlignment="1">
      <alignment horizontal="center" vertical="center"/>
    </xf>
    <xf numFmtId="4" fontId="0" fillId="3" borderId="12" xfId="0" applyNumberFormat="1" applyFill="1" applyBorder="1" applyAlignment="1">
      <alignment horizontal="center" vertical="center"/>
    </xf>
    <xf numFmtId="4" fontId="0" fillId="3" borderId="15" xfId="0" applyNumberForma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4" fontId="1" fillId="3" borderId="10" xfId="0" applyNumberFormat="1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4" fontId="0" fillId="3" borderId="23" xfId="0" applyNumberFormat="1" applyFill="1" applyBorder="1" applyAlignment="1">
      <alignment horizontal="center" vertical="center"/>
    </xf>
    <xf numFmtId="4" fontId="0" fillId="3" borderId="24" xfId="0" applyNumberFormat="1" applyFill="1" applyBorder="1" applyAlignment="1">
      <alignment horizontal="center" vertical="center"/>
    </xf>
    <xf numFmtId="4" fontId="1" fillId="3" borderId="25" xfId="0" applyNumberFormat="1" applyFont="1" applyFill="1" applyBorder="1" applyAlignment="1">
      <alignment horizontal="center" vertical="center"/>
    </xf>
    <xf numFmtId="4" fontId="0" fillId="3" borderId="26" xfId="0" applyNumberForma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4" fontId="0" fillId="5" borderId="2" xfId="0" applyNumberFormat="1" applyFill="1" applyBorder="1" applyAlignment="1">
      <alignment horizontal="center" vertical="center"/>
    </xf>
    <xf numFmtId="4" fontId="0" fillId="5" borderId="14" xfId="0" applyNumberFormat="1" applyFill="1" applyBorder="1" applyAlignment="1">
      <alignment horizontal="center" vertical="center"/>
    </xf>
    <xf numFmtId="4" fontId="0" fillId="5" borderId="22" xfId="0" applyNumberFormat="1" applyFill="1" applyBorder="1" applyAlignment="1">
      <alignment horizontal="center" vertical="center"/>
    </xf>
    <xf numFmtId="4" fontId="0" fillId="5" borderId="4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 vertical="center"/>
    </xf>
    <xf numFmtId="4" fontId="0" fillId="5" borderId="23" xfId="0" applyNumberFormat="1" applyFill="1" applyBorder="1" applyAlignment="1">
      <alignment horizontal="center" vertical="center"/>
    </xf>
    <xf numFmtId="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" fontId="0" fillId="4" borderId="20" xfId="0" applyNumberFormat="1" applyFill="1" applyBorder="1" applyAlignment="1">
      <alignment horizontal="center" vertical="center"/>
    </xf>
    <xf numFmtId="4" fontId="0" fillId="4" borderId="8" xfId="0" applyNumberFormat="1" applyFill="1" applyBorder="1" applyAlignment="1">
      <alignment horizontal="center" vertical="center"/>
    </xf>
    <xf numFmtId="4" fontId="0" fillId="4" borderId="9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" fontId="0" fillId="2" borderId="2" xfId="0" applyNumberFormat="1" applyFont="1" applyFill="1" applyBorder="1" applyAlignment="1">
      <alignment horizontal="center" vertical="center" wrapText="1"/>
    </xf>
    <xf numFmtId="4" fontId="0" fillId="2" borderId="4" xfId="0" applyNumberFormat="1" applyFont="1" applyFill="1" applyBorder="1" applyAlignment="1">
      <alignment horizontal="center" vertical="center" wrapText="1"/>
    </xf>
    <xf numFmtId="4" fontId="0" fillId="2" borderId="6" xfId="0" applyNumberFormat="1" applyFont="1" applyFill="1" applyBorder="1" applyAlignment="1">
      <alignment horizontal="center" vertical="center" wrapText="1"/>
    </xf>
    <xf numFmtId="4" fontId="0" fillId="2" borderId="3" xfId="0" applyNumberFormat="1" applyFill="1" applyBorder="1" applyAlignment="1">
      <alignment horizontal="center" vertical="center" wrapText="1"/>
    </xf>
    <xf numFmtId="4" fontId="0" fillId="2" borderId="5" xfId="0" applyNumberFormat="1" applyFill="1" applyBorder="1" applyAlignment="1">
      <alignment horizontal="center" vertical="center" wrapText="1"/>
    </xf>
    <xf numFmtId="4" fontId="0" fillId="2" borderId="7" xfId="0" applyNumberFormat="1" applyFill="1" applyBorder="1" applyAlignment="1">
      <alignment horizontal="center" vertical="center" wrapText="1"/>
    </xf>
    <xf numFmtId="4" fontId="0" fillId="4" borderId="13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zoomScaleNormal="100" workbookViewId="0">
      <selection activeCell="G14" sqref="G14"/>
    </sheetView>
  </sheetViews>
  <sheetFormatPr defaultRowHeight="15" x14ac:dyDescent="0.25"/>
  <cols>
    <col min="1" max="1" width="26.85546875" bestFit="1" customWidth="1"/>
    <col min="2" max="2" width="29.140625" customWidth="1"/>
    <col min="3" max="3" width="29.28515625" customWidth="1"/>
    <col min="4" max="4" width="27.5703125" customWidth="1"/>
    <col min="5" max="6" width="26.28515625" customWidth="1"/>
  </cols>
  <sheetData>
    <row r="1" spans="1:7" ht="45.75" thickBot="1" x14ac:dyDescent="0.3">
      <c r="A1" s="9" t="s">
        <v>16</v>
      </c>
      <c r="B1" s="10" t="s">
        <v>1</v>
      </c>
      <c r="C1" s="11" t="s">
        <v>2</v>
      </c>
      <c r="D1" s="7" t="s">
        <v>3</v>
      </c>
      <c r="E1" s="16" t="s">
        <v>23</v>
      </c>
      <c r="F1" s="17" t="s">
        <v>6</v>
      </c>
    </row>
    <row r="2" spans="1:7" x14ac:dyDescent="0.25">
      <c r="A2" s="26" t="s">
        <v>7</v>
      </c>
      <c r="B2" s="18" t="s">
        <v>22</v>
      </c>
      <c r="C2" s="19">
        <v>1004621.01</v>
      </c>
      <c r="D2" s="20">
        <v>0</v>
      </c>
      <c r="E2" s="33">
        <v>4422391</v>
      </c>
      <c r="F2" s="36">
        <v>4284081</v>
      </c>
      <c r="G2" s="1">
        <f>F2-C9</f>
        <v>-0.84999999962747097</v>
      </c>
    </row>
    <row r="3" spans="1:7" x14ac:dyDescent="0.25">
      <c r="A3" s="27"/>
      <c r="B3" s="21" t="s">
        <v>21</v>
      </c>
      <c r="C3" s="22">
        <v>0</v>
      </c>
      <c r="D3" s="23">
        <v>849794.63</v>
      </c>
      <c r="E3" s="34"/>
      <c r="F3" s="37"/>
    </row>
    <row r="4" spans="1:7" x14ac:dyDescent="0.25">
      <c r="A4" s="27"/>
      <c r="B4" s="3" t="s">
        <v>17</v>
      </c>
      <c r="C4" s="2">
        <v>2495091.2999999998</v>
      </c>
      <c r="D4" s="12">
        <v>0</v>
      </c>
      <c r="E4" s="34"/>
      <c r="F4" s="37"/>
    </row>
    <row r="5" spans="1:7" x14ac:dyDescent="0.25">
      <c r="A5" s="27"/>
      <c r="B5" s="3" t="s">
        <v>18</v>
      </c>
      <c r="C5" s="2">
        <v>1788990.55</v>
      </c>
      <c r="D5" s="12">
        <v>0</v>
      </c>
      <c r="E5" s="34"/>
      <c r="F5" s="37"/>
    </row>
    <row r="6" spans="1:7" x14ac:dyDescent="0.25">
      <c r="A6" s="27"/>
      <c r="B6" s="3" t="s">
        <v>19</v>
      </c>
      <c r="C6" s="2">
        <v>0</v>
      </c>
      <c r="D6" s="12">
        <v>2793611.56</v>
      </c>
      <c r="E6" s="34"/>
      <c r="F6" s="37"/>
    </row>
    <row r="7" spans="1:7" ht="15.75" thickBot="1" x14ac:dyDescent="0.3">
      <c r="A7" s="28"/>
      <c r="B7" s="4" t="s">
        <v>20</v>
      </c>
      <c r="C7" s="6">
        <v>0</v>
      </c>
      <c r="D7" s="13">
        <v>1645296.67</v>
      </c>
      <c r="E7" s="34"/>
      <c r="F7" s="37"/>
    </row>
    <row r="8" spans="1:7" x14ac:dyDescent="0.25">
      <c r="A8" s="1"/>
      <c r="B8" s="1"/>
      <c r="C8" s="8" t="s">
        <v>4</v>
      </c>
      <c r="D8" s="14" t="s">
        <v>5</v>
      </c>
      <c r="E8" s="34"/>
      <c r="F8" s="37"/>
    </row>
    <row r="9" spans="1:7" ht="15.75" thickBot="1" x14ac:dyDescent="0.3">
      <c r="C9" s="5">
        <f>SUM(C4:C7)</f>
        <v>4284081.8499999996</v>
      </c>
      <c r="D9" s="15">
        <f>SUM(D4:D7)</f>
        <v>4438908.2300000004</v>
      </c>
      <c r="E9" s="35"/>
      <c r="F9" s="38"/>
    </row>
    <row r="10" spans="1:7" x14ac:dyDescent="0.25">
      <c r="C10" s="29" t="s">
        <v>15</v>
      </c>
      <c r="D10" s="30"/>
      <c r="E10" s="31" t="s">
        <v>24</v>
      </c>
      <c r="F10" s="32"/>
    </row>
    <row r="11" spans="1:7" ht="15.75" thickBot="1" x14ac:dyDescent="0.3">
      <c r="C11" s="24">
        <f>SUM(C9:D9)</f>
        <v>8722990.0800000001</v>
      </c>
      <c r="D11" s="25"/>
      <c r="E11" s="24">
        <f>SUM(E2:F7)</f>
        <v>8706472</v>
      </c>
      <c r="F11" s="25"/>
    </row>
    <row r="12" spans="1:7" x14ac:dyDescent="0.25">
      <c r="A12" s="39" t="s">
        <v>8</v>
      </c>
      <c r="B12" s="18" t="s">
        <v>22</v>
      </c>
      <c r="C12" s="19">
        <v>1374861.61</v>
      </c>
      <c r="D12" s="20">
        <v>0</v>
      </c>
      <c r="E12" s="33">
        <v>3700386</v>
      </c>
      <c r="F12" s="36">
        <v>3337628</v>
      </c>
      <c r="G12" s="1">
        <f>F12-C19</f>
        <v>-0.91000000014901161</v>
      </c>
    </row>
    <row r="13" spans="1:7" x14ac:dyDescent="0.25">
      <c r="A13" s="27"/>
      <c r="B13" s="21" t="s">
        <v>21</v>
      </c>
      <c r="C13" s="22">
        <v>0</v>
      </c>
      <c r="D13" s="23">
        <v>989877.73</v>
      </c>
      <c r="E13" s="34"/>
      <c r="F13" s="37"/>
    </row>
    <row r="14" spans="1:7" x14ac:dyDescent="0.25">
      <c r="A14" s="27"/>
      <c r="B14" s="3" t="s">
        <v>17</v>
      </c>
      <c r="C14" s="2">
        <v>2469371.94</v>
      </c>
      <c r="D14" s="12">
        <v>0</v>
      </c>
      <c r="E14" s="34"/>
      <c r="F14" s="37"/>
    </row>
    <row r="15" spans="1:7" x14ac:dyDescent="0.25">
      <c r="A15" s="27"/>
      <c r="B15" s="3" t="s">
        <v>18</v>
      </c>
      <c r="C15" s="2">
        <v>868256.97</v>
      </c>
      <c r="D15" s="12">
        <v>0</v>
      </c>
      <c r="E15" s="34"/>
      <c r="F15" s="37"/>
    </row>
    <row r="16" spans="1:7" x14ac:dyDescent="0.25">
      <c r="A16" s="27"/>
      <c r="B16" s="3" t="s">
        <v>19</v>
      </c>
      <c r="C16" s="2">
        <v>0</v>
      </c>
      <c r="D16" s="12">
        <v>2243118.58</v>
      </c>
      <c r="E16" s="34"/>
      <c r="F16" s="37"/>
    </row>
    <row r="17" spans="1:7" ht="15.75" thickBot="1" x14ac:dyDescent="0.3">
      <c r="A17" s="28"/>
      <c r="B17" s="4" t="s">
        <v>20</v>
      </c>
      <c r="C17" s="6">
        <v>0</v>
      </c>
      <c r="D17" s="13">
        <v>1479494.21</v>
      </c>
      <c r="E17" s="34"/>
      <c r="F17" s="37"/>
    </row>
    <row r="18" spans="1:7" x14ac:dyDescent="0.25">
      <c r="A18" s="1"/>
      <c r="B18" s="1"/>
      <c r="C18" s="8" t="s">
        <v>4</v>
      </c>
      <c r="D18" s="14" t="s">
        <v>5</v>
      </c>
      <c r="E18" s="34"/>
      <c r="F18" s="37"/>
    </row>
    <row r="19" spans="1:7" ht="15.75" thickBot="1" x14ac:dyDescent="0.3">
      <c r="C19" s="5">
        <f>SUM(C14:C17)</f>
        <v>3337628.91</v>
      </c>
      <c r="D19" s="15">
        <f>SUM(D14:D17)</f>
        <v>3722612.79</v>
      </c>
      <c r="E19" s="35"/>
      <c r="F19" s="38"/>
    </row>
    <row r="20" spans="1:7" x14ac:dyDescent="0.25">
      <c r="C20" s="29" t="s">
        <v>15</v>
      </c>
      <c r="D20" s="30"/>
      <c r="E20" s="31" t="s">
        <v>24</v>
      </c>
      <c r="F20" s="32"/>
    </row>
    <row r="21" spans="1:7" ht="15.75" thickBot="1" x14ac:dyDescent="0.3">
      <c r="C21" s="24">
        <f>SUM(C19:D19)</f>
        <v>7060241.7000000002</v>
      </c>
      <c r="D21" s="25"/>
      <c r="E21" s="24">
        <f>SUM(E12:F17)</f>
        <v>7038014</v>
      </c>
      <c r="F21" s="25"/>
    </row>
    <row r="22" spans="1:7" x14ac:dyDescent="0.25">
      <c r="A22" s="39" t="s">
        <v>9</v>
      </c>
      <c r="B22" s="18" t="s">
        <v>22</v>
      </c>
      <c r="C22" s="19">
        <v>1617056.54</v>
      </c>
      <c r="D22" s="20">
        <v>0</v>
      </c>
      <c r="E22" s="33">
        <v>4276537</v>
      </c>
      <c r="F22" s="36">
        <v>3124365</v>
      </c>
      <c r="G22" s="1">
        <f>F22-C29</f>
        <v>-0.41999999992549419</v>
      </c>
    </row>
    <row r="23" spans="1:7" x14ac:dyDescent="0.25">
      <c r="A23" s="27"/>
      <c r="B23" s="21" t="s">
        <v>21</v>
      </c>
      <c r="C23" s="22">
        <v>0</v>
      </c>
      <c r="D23" s="23">
        <v>414833.02</v>
      </c>
      <c r="E23" s="34"/>
      <c r="F23" s="37"/>
    </row>
    <row r="24" spans="1:7" x14ac:dyDescent="0.25">
      <c r="A24" s="27"/>
      <c r="B24" s="3" t="s">
        <v>17</v>
      </c>
      <c r="C24" s="2">
        <v>1781037.12</v>
      </c>
      <c r="D24" s="12">
        <v>0</v>
      </c>
      <c r="E24" s="34"/>
      <c r="F24" s="37"/>
    </row>
    <row r="25" spans="1:7" x14ac:dyDescent="0.25">
      <c r="A25" s="27"/>
      <c r="B25" s="3" t="s">
        <v>18</v>
      </c>
      <c r="C25" s="2">
        <v>1343328.3</v>
      </c>
      <c r="D25" s="12">
        <v>0</v>
      </c>
      <c r="E25" s="34"/>
      <c r="F25" s="37"/>
    </row>
    <row r="26" spans="1:7" x14ac:dyDescent="0.25">
      <c r="A26" s="27"/>
      <c r="B26" s="3" t="s">
        <v>19</v>
      </c>
      <c r="C26" s="2">
        <v>0</v>
      </c>
      <c r="D26" s="12">
        <v>2960384.84</v>
      </c>
      <c r="E26" s="34"/>
      <c r="F26" s="37"/>
    </row>
    <row r="27" spans="1:7" ht="15.75" thickBot="1" x14ac:dyDescent="0.3">
      <c r="A27" s="28"/>
      <c r="B27" s="4" t="s">
        <v>20</v>
      </c>
      <c r="C27" s="6">
        <v>0</v>
      </c>
      <c r="D27" s="13">
        <v>1366204.1</v>
      </c>
      <c r="E27" s="34"/>
      <c r="F27" s="37"/>
    </row>
    <row r="28" spans="1:7" x14ac:dyDescent="0.25">
      <c r="A28" s="1"/>
      <c r="B28" s="1"/>
      <c r="C28" s="8" t="s">
        <v>4</v>
      </c>
      <c r="D28" s="14" t="s">
        <v>5</v>
      </c>
      <c r="E28" s="34"/>
      <c r="F28" s="37"/>
    </row>
    <row r="29" spans="1:7" ht="15.75" thickBot="1" x14ac:dyDescent="0.3">
      <c r="C29" s="5">
        <f>SUM(C24:C27)</f>
        <v>3124365.42</v>
      </c>
      <c r="D29" s="15">
        <f>SUM(D24:D27)</f>
        <v>4326588.9399999995</v>
      </c>
      <c r="E29" s="35"/>
      <c r="F29" s="38"/>
    </row>
    <row r="30" spans="1:7" x14ac:dyDescent="0.25">
      <c r="C30" s="29" t="s">
        <v>15</v>
      </c>
      <c r="D30" s="30"/>
      <c r="E30" s="31" t="s">
        <v>24</v>
      </c>
      <c r="F30" s="32"/>
    </row>
    <row r="31" spans="1:7" ht="15.75" thickBot="1" x14ac:dyDescent="0.3">
      <c r="C31" s="24">
        <f>SUM(C29:D29)</f>
        <v>7450954.3599999994</v>
      </c>
      <c r="D31" s="25"/>
      <c r="E31" s="24">
        <f>SUM(E22:F27)</f>
        <v>7400902</v>
      </c>
      <c r="F31" s="25"/>
    </row>
    <row r="32" spans="1:7" x14ac:dyDescent="0.25">
      <c r="A32" s="39" t="s">
        <v>10</v>
      </c>
      <c r="B32" s="18" t="s">
        <v>22</v>
      </c>
      <c r="C32" s="19">
        <v>839147.85</v>
      </c>
      <c r="D32" s="20">
        <v>0</v>
      </c>
      <c r="E32" s="33">
        <v>3724760</v>
      </c>
      <c r="F32" s="36">
        <v>3183588</v>
      </c>
      <c r="G32" s="1">
        <f>F32-C39</f>
        <v>-0.87000000011175871</v>
      </c>
    </row>
    <row r="33" spans="1:7" x14ac:dyDescent="0.25">
      <c r="A33" s="27"/>
      <c r="B33" s="21" t="s">
        <v>21</v>
      </c>
      <c r="C33" s="22">
        <v>0</v>
      </c>
      <c r="D33" s="23">
        <v>272976.69</v>
      </c>
      <c r="E33" s="34"/>
      <c r="F33" s="37"/>
    </row>
    <row r="34" spans="1:7" x14ac:dyDescent="0.25">
      <c r="A34" s="27"/>
      <c r="B34" s="3" t="s">
        <v>17</v>
      </c>
      <c r="C34" s="2">
        <v>2040584.2</v>
      </c>
      <c r="D34" s="12">
        <v>0</v>
      </c>
      <c r="E34" s="34"/>
      <c r="F34" s="37"/>
    </row>
    <row r="35" spans="1:7" x14ac:dyDescent="0.25">
      <c r="A35" s="27"/>
      <c r="B35" s="3" t="s">
        <v>18</v>
      </c>
      <c r="C35" s="2">
        <v>1143004.67</v>
      </c>
      <c r="D35" s="12">
        <v>0</v>
      </c>
      <c r="E35" s="34"/>
      <c r="F35" s="37"/>
    </row>
    <row r="36" spans="1:7" x14ac:dyDescent="0.25">
      <c r="A36" s="27"/>
      <c r="B36" s="3" t="s">
        <v>19</v>
      </c>
      <c r="C36" s="2">
        <v>0</v>
      </c>
      <c r="D36" s="12">
        <v>1982152.52</v>
      </c>
      <c r="E36" s="34"/>
      <c r="F36" s="37"/>
    </row>
    <row r="37" spans="1:7" ht="15.75" thickBot="1" x14ac:dyDescent="0.3">
      <c r="A37" s="28"/>
      <c r="B37" s="4" t="s">
        <v>20</v>
      </c>
      <c r="C37" s="6">
        <v>0</v>
      </c>
      <c r="D37" s="13">
        <v>1767607.51</v>
      </c>
      <c r="E37" s="34"/>
      <c r="F37" s="37"/>
    </row>
    <row r="38" spans="1:7" x14ac:dyDescent="0.25">
      <c r="A38" s="1"/>
      <c r="B38" s="1"/>
      <c r="C38" s="8" t="s">
        <v>4</v>
      </c>
      <c r="D38" s="14" t="s">
        <v>5</v>
      </c>
      <c r="E38" s="34"/>
      <c r="F38" s="37"/>
    </row>
    <row r="39" spans="1:7" ht="15.75" thickBot="1" x14ac:dyDescent="0.3">
      <c r="C39" s="5">
        <f>SUM(C34:C37)</f>
        <v>3183588.87</v>
      </c>
      <c r="D39" s="15">
        <f>SUM(D34:D37)</f>
        <v>3749760.0300000003</v>
      </c>
      <c r="E39" s="35"/>
      <c r="F39" s="38"/>
    </row>
    <row r="40" spans="1:7" x14ac:dyDescent="0.25">
      <c r="C40" s="29" t="s">
        <v>15</v>
      </c>
      <c r="D40" s="30"/>
      <c r="E40" s="31" t="s">
        <v>24</v>
      </c>
      <c r="F40" s="32"/>
    </row>
    <row r="41" spans="1:7" ht="15.75" thickBot="1" x14ac:dyDescent="0.3">
      <c r="C41" s="24">
        <f>SUM(C39:D39)</f>
        <v>6933348.9000000004</v>
      </c>
      <c r="D41" s="25"/>
      <c r="E41" s="24">
        <f>SUM(E32:F37)</f>
        <v>6908348</v>
      </c>
      <c r="F41" s="25"/>
    </row>
    <row r="42" spans="1:7" x14ac:dyDescent="0.25">
      <c r="A42" s="39" t="s">
        <v>11</v>
      </c>
      <c r="B42" s="18" t="s">
        <v>22</v>
      </c>
      <c r="C42" s="19">
        <v>436666.37</v>
      </c>
      <c r="D42" s="20">
        <v>0</v>
      </c>
      <c r="E42" s="33">
        <v>3968189</v>
      </c>
      <c r="F42" s="36">
        <v>4689832</v>
      </c>
      <c r="G42" s="1">
        <f>F42-C49</f>
        <v>-0.44000000040978193</v>
      </c>
    </row>
    <row r="43" spans="1:7" x14ac:dyDescent="0.25">
      <c r="A43" s="27"/>
      <c r="B43" s="21" t="s">
        <v>21</v>
      </c>
      <c r="C43" s="22">
        <v>0</v>
      </c>
      <c r="D43" s="23">
        <v>1100475.97</v>
      </c>
      <c r="E43" s="34"/>
      <c r="F43" s="37"/>
    </row>
    <row r="44" spans="1:7" x14ac:dyDescent="0.25">
      <c r="A44" s="27"/>
      <c r="B44" s="3" t="s">
        <v>17</v>
      </c>
      <c r="C44" s="2">
        <v>3615273.74</v>
      </c>
      <c r="D44" s="12">
        <v>0</v>
      </c>
      <c r="E44" s="34"/>
      <c r="F44" s="37"/>
    </row>
    <row r="45" spans="1:7" x14ac:dyDescent="0.25">
      <c r="A45" s="27"/>
      <c r="B45" s="3" t="s">
        <v>18</v>
      </c>
      <c r="C45" s="2">
        <v>1074558.7</v>
      </c>
      <c r="D45" s="12">
        <v>0</v>
      </c>
      <c r="E45" s="34"/>
      <c r="F45" s="37"/>
    </row>
    <row r="46" spans="1:7" x14ac:dyDescent="0.25">
      <c r="A46" s="27"/>
      <c r="B46" s="3" t="s">
        <v>19</v>
      </c>
      <c r="C46" s="2">
        <v>0</v>
      </c>
      <c r="D46" s="12">
        <v>1511225.07</v>
      </c>
      <c r="E46" s="34"/>
      <c r="F46" s="37"/>
    </row>
    <row r="47" spans="1:7" ht="15.75" thickBot="1" x14ac:dyDescent="0.3">
      <c r="A47" s="28"/>
      <c r="B47" s="4" t="s">
        <v>20</v>
      </c>
      <c r="C47" s="6">
        <v>0</v>
      </c>
      <c r="D47" s="13">
        <v>2514797.77</v>
      </c>
      <c r="E47" s="34"/>
      <c r="F47" s="37"/>
    </row>
    <row r="48" spans="1:7" x14ac:dyDescent="0.25">
      <c r="A48" s="1"/>
      <c r="B48" s="1"/>
      <c r="C48" s="8" t="s">
        <v>4</v>
      </c>
      <c r="D48" s="14" t="s">
        <v>5</v>
      </c>
      <c r="E48" s="34"/>
      <c r="F48" s="37"/>
    </row>
    <row r="49" spans="1:7" ht="15.75" thickBot="1" x14ac:dyDescent="0.3">
      <c r="C49" s="5">
        <f>SUM(C44:C47)</f>
        <v>4689832.4400000004</v>
      </c>
      <c r="D49" s="15">
        <f>SUM(D44:D47)</f>
        <v>4026022.84</v>
      </c>
      <c r="E49" s="35"/>
      <c r="F49" s="38"/>
    </row>
    <row r="50" spans="1:7" x14ac:dyDescent="0.25">
      <c r="C50" s="29" t="s">
        <v>15</v>
      </c>
      <c r="D50" s="30"/>
      <c r="E50" s="31" t="s">
        <v>24</v>
      </c>
      <c r="F50" s="32"/>
    </row>
    <row r="51" spans="1:7" ht="15.75" thickBot="1" x14ac:dyDescent="0.3">
      <c r="C51" s="24">
        <f>SUM(C49:D49)</f>
        <v>8715855.2800000012</v>
      </c>
      <c r="D51" s="25"/>
      <c r="E51" s="24">
        <f>SUM(E42:F47)</f>
        <v>8658021</v>
      </c>
      <c r="F51" s="25"/>
    </row>
    <row r="52" spans="1:7" x14ac:dyDescent="0.25">
      <c r="A52" s="39" t="s">
        <v>12</v>
      </c>
      <c r="B52" s="18" t="s">
        <v>22</v>
      </c>
      <c r="C52" s="19">
        <v>899561.72</v>
      </c>
      <c r="D52" s="20">
        <v>0</v>
      </c>
      <c r="E52" s="33">
        <v>4036856</v>
      </c>
      <c r="F52" s="36">
        <v>4636340</v>
      </c>
      <c r="G52" s="1">
        <f>F52-C59</f>
        <v>-0.26999999955296516</v>
      </c>
    </row>
    <row r="53" spans="1:7" x14ac:dyDescent="0.25">
      <c r="A53" s="27"/>
      <c r="B53" s="21" t="s">
        <v>21</v>
      </c>
      <c r="C53" s="22">
        <v>0</v>
      </c>
      <c r="D53" s="23">
        <v>1492505.86</v>
      </c>
      <c r="E53" s="34"/>
      <c r="F53" s="37"/>
    </row>
    <row r="54" spans="1:7" x14ac:dyDescent="0.25">
      <c r="A54" s="27"/>
      <c r="B54" s="3" t="s">
        <v>17</v>
      </c>
      <c r="C54" s="2">
        <v>3319979.62</v>
      </c>
      <c r="D54" s="12">
        <v>0</v>
      </c>
      <c r="E54" s="34"/>
      <c r="F54" s="37"/>
    </row>
    <row r="55" spans="1:7" x14ac:dyDescent="0.25">
      <c r="A55" s="27"/>
      <c r="B55" s="3" t="s">
        <v>18</v>
      </c>
      <c r="C55" s="2">
        <v>1316360.6499999999</v>
      </c>
      <c r="D55" s="12">
        <v>0</v>
      </c>
      <c r="E55" s="34"/>
      <c r="F55" s="37"/>
    </row>
    <row r="56" spans="1:7" x14ac:dyDescent="0.25">
      <c r="A56" s="27"/>
      <c r="B56" s="3" t="s">
        <v>19</v>
      </c>
      <c r="C56" s="2">
        <v>0</v>
      </c>
      <c r="D56" s="12">
        <v>2215922.37</v>
      </c>
      <c r="E56" s="34"/>
      <c r="F56" s="37"/>
    </row>
    <row r="57" spans="1:7" ht="15.75" thickBot="1" x14ac:dyDescent="0.3">
      <c r="A57" s="28"/>
      <c r="B57" s="4" t="s">
        <v>20</v>
      </c>
      <c r="C57" s="6">
        <v>0</v>
      </c>
      <c r="D57" s="13">
        <v>1827473.76</v>
      </c>
      <c r="E57" s="34"/>
      <c r="F57" s="37"/>
    </row>
    <row r="58" spans="1:7" x14ac:dyDescent="0.25">
      <c r="A58" s="1"/>
      <c r="B58" s="1"/>
      <c r="C58" s="8" t="s">
        <v>4</v>
      </c>
      <c r="D58" s="14" t="s">
        <v>5</v>
      </c>
      <c r="E58" s="34"/>
      <c r="F58" s="37"/>
    </row>
    <row r="59" spans="1:7" ht="15.75" thickBot="1" x14ac:dyDescent="0.3">
      <c r="C59" s="5">
        <f>SUM(C54:C57)</f>
        <v>4636340.2699999996</v>
      </c>
      <c r="D59" s="15">
        <f>SUM(D54:D57)</f>
        <v>4043396.13</v>
      </c>
      <c r="E59" s="35"/>
      <c r="F59" s="38"/>
    </row>
    <row r="60" spans="1:7" x14ac:dyDescent="0.25">
      <c r="C60" s="29" t="s">
        <v>15</v>
      </c>
      <c r="D60" s="30"/>
      <c r="E60" s="31" t="s">
        <v>24</v>
      </c>
      <c r="F60" s="32"/>
    </row>
    <row r="61" spans="1:7" ht="15.75" thickBot="1" x14ac:dyDescent="0.3">
      <c r="C61" s="24">
        <f>SUM(C59:D59)</f>
        <v>8679736.3999999985</v>
      </c>
      <c r="D61" s="25"/>
      <c r="E61" s="24">
        <f>SUM(E52:F57)</f>
        <v>8673196</v>
      </c>
      <c r="F61" s="25"/>
    </row>
    <row r="62" spans="1:7" x14ac:dyDescent="0.25">
      <c r="A62" s="39" t="s">
        <v>0</v>
      </c>
      <c r="B62" s="18" t="s">
        <v>22</v>
      </c>
      <c r="C62" s="19">
        <v>1601715.1</v>
      </c>
      <c r="D62" s="20">
        <v>0</v>
      </c>
      <c r="E62" s="33">
        <v>4888960</v>
      </c>
      <c r="F62" s="36">
        <v>3742609</v>
      </c>
      <c r="G62" s="1">
        <f>F62-C69</f>
        <v>-0.29999999981373549</v>
      </c>
    </row>
    <row r="63" spans="1:7" x14ac:dyDescent="0.25">
      <c r="A63" s="27"/>
      <c r="B63" s="21" t="s">
        <v>21</v>
      </c>
      <c r="C63" s="22">
        <v>0</v>
      </c>
      <c r="D63" s="23">
        <v>354092.16</v>
      </c>
      <c r="E63" s="34"/>
      <c r="F63" s="37"/>
    </row>
    <row r="64" spans="1:7" x14ac:dyDescent="0.25">
      <c r="A64" s="27"/>
      <c r="B64" s="3" t="s">
        <v>17</v>
      </c>
      <c r="C64" s="2">
        <v>2262840.04</v>
      </c>
      <c r="D64" s="12">
        <v>0</v>
      </c>
      <c r="E64" s="34"/>
      <c r="F64" s="37"/>
    </row>
    <row r="65" spans="1:6" x14ac:dyDescent="0.25">
      <c r="A65" s="27"/>
      <c r="B65" s="3" t="s">
        <v>18</v>
      </c>
      <c r="C65" s="2">
        <v>1479769.26</v>
      </c>
      <c r="D65" s="12">
        <v>0</v>
      </c>
      <c r="E65" s="34"/>
      <c r="F65" s="37"/>
    </row>
    <row r="66" spans="1:6" x14ac:dyDescent="0.25">
      <c r="A66" s="27"/>
      <c r="B66" s="3" t="s">
        <v>19</v>
      </c>
      <c r="C66" s="2">
        <v>0</v>
      </c>
      <c r="D66" s="12">
        <v>3081484.36</v>
      </c>
      <c r="E66" s="34"/>
      <c r="F66" s="37"/>
    </row>
    <row r="67" spans="1:6" ht="15.75" thickBot="1" x14ac:dyDescent="0.3">
      <c r="A67" s="28"/>
      <c r="B67" s="4" t="s">
        <v>20</v>
      </c>
      <c r="C67" s="6">
        <v>0</v>
      </c>
      <c r="D67" s="13">
        <v>1908747.88</v>
      </c>
      <c r="E67" s="34"/>
      <c r="F67" s="37"/>
    </row>
    <row r="68" spans="1:6" x14ac:dyDescent="0.25">
      <c r="A68" s="1"/>
      <c r="B68" s="1"/>
      <c r="C68" s="8" t="s">
        <v>4</v>
      </c>
      <c r="D68" s="14" t="s">
        <v>5</v>
      </c>
      <c r="E68" s="34"/>
      <c r="F68" s="37"/>
    </row>
    <row r="69" spans="1:6" ht="15.75" thickBot="1" x14ac:dyDescent="0.3">
      <c r="C69" s="5">
        <f>SUM(C64:C67)</f>
        <v>3742609.3</v>
      </c>
      <c r="D69" s="15">
        <f>SUM(D64:D67)</f>
        <v>4990232.24</v>
      </c>
      <c r="E69" s="35"/>
      <c r="F69" s="38"/>
    </row>
    <row r="70" spans="1:6" x14ac:dyDescent="0.25">
      <c r="C70" s="29" t="s">
        <v>15</v>
      </c>
      <c r="D70" s="30"/>
      <c r="E70" s="31" t="s">
        <v>24</v>
      </c>
      <c r="F70" s="32"/>
    </row>
    <row r="71" spans="1:6" ht="15.75" thickBot="1" x14ac:dyDescent="0.3">
      <c r="C71" s="24">
        <f>SUM(C69:D69)</f>
        <v>8732841.5399999991</v>
      </c>
      <c r="D71" s="25"/>
      <c r="E71" s="24">
        <f>SUM(E62:F67)</f>
        <v>8631569</v>
      </c>
      <c r="F71" s="25"/>
    </row>
    <row r="72" spans="1:6" x14ac:dyDescent="0.25">
      <c r="A72" s="39" t="s">
        <v>13</v>
      </c>
      <c r="B72" s="18" t="s">
        <v>22</v>
      </c>
      <c r="C72" s="19">
        <v>2023413.79</v>
      </c>
      <c r="D72" s="20">
        <v>0</v>
      </c>
      <c r="E72" s="33"/>
      <c r="F72" s="36"/>
    </row>
    <row r="73" spans="1:6" x14ac:dyDescent="0.25">
      <c r="A73" s="27"/>
      <c r="B73" s="21" t="s">
        <v>21</v>
      </c>
      <c r="C73" s="22">
        <v>0</v>
      </c>
      <c r="D73" s="23">
        <v>927899.32</v>
      </c>
      <c r="E73" s="34"/>
      <c r="F73" s="37"/>
    </row>
    <row r="74" spans="1:6" x14ac:dyDescent="0.25">
      <c r="A74" s="27"/>
      <c r="B74" s="3" t="s">
        <v>17</v>
      </c>
      <c r="C74" s="2">
        <v>1560557.96</v>
      </c>
      <c r="D74" s="12">
        <v>0</v>
      </c>
      <c r="E74" s="34"/>
      <c r="F74" s="37"/>
    </row>
    <row r="75" spans="1:6" x14ac:dyDescent="0.25">
      <c r="A75" s="27"/>
      <c r="B75" s="3" t="s">
        <v>18</v>
      </c>
      <c r="C75" s="2">
        <v>2039612.24</v>
      </c>
      <c r="D75" s="12">
        <v>0</v>
      </c>
      <c r="E75" s="34"/>
      <c r="F75" s="37"/>
    </row>
    <row r="76" spans="1:6" x14ac:dyDescent="0.25">
      <c r="A76" s="27"/>
      <c r="B76" s="3" t="s">
        <v>19</v>
      </c>
      <c r="C76" s="2">
        <v>0</v>
      </c>
      <c r="D76" s="12">
        <v>4063026.03</v>
      </c>
      <c r="E76" s="34"/>
      <c r="F76" s="37"/>
    </row>
    <row r="77" spans="1:6" ht="15.75" thickBot="1" x14ac:dyDescent="0.3">
      <c r="A77" s="28"/>
      <c r="B77" s="4" t="s">
        <v>20</v>
      </c>
      <c r="C77" s="6">
        <v>0</v>
      </c>
      <c r="D77" s="13">
        <v>632658.64</v>
      </c>
      <c r="E77" s="34"/>
      <c r="F77" s="37"/>
    </row>
    <row r="78" spans="1:6" x14ac:dyDescent="0.25">
      <c r="A78" s="1"/>
      <c r="B78" s="1"/>
      <c r="C78" s="8" t="s">
        <v>4</v>
      </c>
      <c r="D78" s="14" t="s">
        <v>5</v>
      </c>
      <c r="E78" s="34"/>
      <c r="F78" s="37"/>
    </row>
    <row r="79" spans="1:6" ht="15.75" thickBot="1" x14ac:dyDescent="0.3">
      <c r="C79" s="5">
        <f>SUM(C74:C77)</f>
        <v>3600170.2</v>
      </c>
      <c r="D79" s="15">
        <f>SUM(D74:D77)</f>
        <v>4695684.67</v>
      </c>
      <c r="E79" s="35"/>
      <c r="F79" s="38"/>
    </row>
    <row r="80" spans="1:6" x14ac:dyDescent="0.25">
      <c r="C80" s="29" t="s">
        <v>15</v>
      </c>
      <c r="D80" s="30"/>
      <c r="E80" s="31" t="s">
        <v>24</v>
      </c>
      <c r="F80" s="32"/>
    </row>
    <row r="81" spans="1:6" ht="15.75" thickBot="1" x14ac:dyDescent="0.3">
      <c r="C81" s="24">
        <f>SUM(C79:D79)</f>
        <v>8295854.8700000001</v>
      </c>
      <c r="D81" s="25"/>
      <c r="E81" s="24">
        <f>SUM(E72:F77)</f>
        <v>0</v>
      </c>
      <c r="F81" s="25"/>
    </row>
    <row r="82" spans="1:6" x14ac:dyDescent="0.25">
      <c r="A82" s="39" t="s">
        <v>14</v>
      </c>
      <c r="B82" s="18" t="s">
        <v>22</v>
      </c>
      <c r="C82" s="19">
        <v>1170416.03</v>
      </c>
      <c r="D82" s="20">
        <v>0</v>
      </c>
      <c r="E82" s="33"/>
      <c r="F82" s="36"/>
    </row>
    <row r="83" spans="1:6" x14ac:dyDescent="0.25">
      <c r="A83" s="27"/>
      <c r="B83" s="21" t="s">
        <v>21</v>
      </c>
      <c r="C83" s="22">
        <v>0</v>
      </c>
      <c r="D83" s="23">
        <v>405979.37</v>
      </c>
      <c r="E83" s="34"/>
      <c r="F83" s="37"/>
    </row>
    <row r="84" spans="1:6" x14ac:dyDescent="0.25">
      <c r="A84" s="27"/>
      <c r="B84" s="3" t="s">
        <v>17</v>
      </c>
      <c r="C84" s="2">
        <v>2252692.2200000002</v>
      </c>
      <c r="D84" s="12">
        <v>0</v>
      </c>
      <c r="E84" s="34"/>
      <c r="F84" s="37"/>
    </row>
    <row r="85" spans="1:6" x14ac:dyDescent="0.25">
      <c r="A85" s="27"/>
      <c r="B85" s="3" t="s">
        <v>18</v>
      </c>
      <c r="C85" s="2">
        <v>1139439.1399999999</v>
      </c>
      <c r="D85" s="12">
        <v>0</v>
      </c>
      <c r="E85" s="34"/>
      <c r="F85" s="37"/>
    </row>
    <row r="86" spans="1:6" x14ac:dyDescent="0.25">
      <c r="A86" s="27"/>
      <c r="B86" s="3" t="s">
        <v>19</v>
      </c>
      <c r="C86" s="2">
        <v>0</v>
      </c>
      <c r="D86" s="12">
        <v>2309855.17</v>
      </c>
      <c r="E86" s="34"/>
      <c r="F86" s="37"/>
    </row>
    <row r="87" spans="1:6" ht="15.75" thickBot="1" x14ac:dyDescent="0.3">
      <c r="A87" s="28"/>
      <c r="B87" s="4" t="s">
        <v>20</v>
      </c>
      <c r="C87" s="6">
        <v>0</v>
      </c>
      <c r="D87" s="13">
        <v>1846712.85</v>
      </c>
      <c r="E87" s="34"/>
      <c r="F87" s="37"/>
    </row>
    <row r="88" spans="1:6" x14ac:dyDescent="0.25">
      <c r="A88" s="1"/>
      <c r="B88" s="1"/>
      <c r="C88" s="8" t="s">
        <v>4</v>
      </c>
      <c r="D88" s="14" t="s">
        <v>5</v>
      </c>
      <c r="E88" s="34"/>
      <c r="F88" s="37"/>
    </row>
    <row r="89" spans="1:6" ht="15.75" thickBot="1" x14ac:dyDescent="0.3">
      <c r="C89" s="5">
        <f>SUM(C84:C87)</f>
        <v>3392131.3600000003</v>
      </c>
      <c r="D89" s="15">
        <f>SUM(D84:D87)</f>
        <v>4156568.02</v>
      </c>
      <c r="E89" s="35"/>
      <c r="F89" s="38"/>
    </row>
    <row r="90" spans="1:6" x14ac:dyDescent="0.25">
      <c r="C90" s="29" t="s">
        <v>15</v>
      </c>
      <c r="D90" s="30"/>
      <c r="E90" s="31" t="s">
        <v>24</v>
      </c>
      <c r="F90" s="32"/>
    </row>
    <row r="91" spans="1:6" ht="15.75" thickBot="1" x14ac:dyDescent="0.3">
      <c r="C91" s="24">
        <f>SUM(C89:D89)</f>
        <v>7548699.3800000008</v>
      </c>
      <c r="D91" s="25"/>
      <c r="E91" s="24">
        <f>SUM(E82:F87)</f>
        <v>0</v>
      </c>
      <c r="F91" s="25"/>
    </row>
    <row r="96" spans="1:6" ht="15.75" thickBot="1" x14ac:dyDescent="0.3"/>
    <row r="97" spans="3:4" ht="15.75" thickBot="1" x14ac:dyDescent="0.3">
      <c r="C97" s="42" t="s">
        <v>25</v>
      </c>
      <c r="D97" s="43"/>
    </row>
    <row r="98" spans="3:4" ht="126" customHeight="1" thickBot="1" x14ac:dyDescent="0.3">
      <c r="C98" s="40" t="s">
        <v>26</v>
      </c>
      <c r="D98" s="41"/>
    </row>
  </sheetData>
  <mergeCells count="65">
    <mergeCell ref="C98:D98"/>
    <mergeCell ref="C80:D80"/>
    <mergeCell ref="C81:D81"/>
    <mergeCell ref="E81:F81"/>
    <mergeCell ref="E82:E89"/>
    <mergeCell ref="F82:F89"/>
    <mergeCell ref="E90:F90"/>
    <mergeCell ref="E91:F91"/>
    <mergeCell ref="C90:D90"/>
    <mergeCell ref="C91:D91"/>
    <mergeCell ref="C97:D97"/>
    <mergeCell ref="A62:A67"/>
    <mergeCell ref="E62:E69"/>
    <mergeCell ref="F62:F69"/>
    <mergeCell ref="A82:A87"/>
    <mergeCell ref="C70:D70"/>
    <mergeCell ref="C71:D71"/>
    <mergeCell ref="A72:A77"/>
    <mergeCell ref="E70:F70"/>
    <mergeCell ref="E71:F71"/>
    <mergeCell ref="E72:E79"/>
    <mergeCell ref="F72:F79"/>
    <mergeCell ref="E80:F80"/>
    <mergeCell ref="E52:E59"/>
    <mergeCell ref="F52:F59"/>
    <mergeCell ref="A52:A57"/>
    <mergeCell ref="C60:D60"/>
    <mergeCell ref="C61:D61"/>
    <mergeCell ref="E60:F60"/>
    <mergeCell ref="E61:F61"/>
    <mergeCell ref="A42:A47"/>
    <mergeCell ref="E42:E49"/>
    <mergeCell ref="F42:F49"/>
    <mergeCell ref="C50:D50"/>
    <mergeCell ref="C51:D51"/>
    <mergeCell ref="E50:F50"/>
    <mergeCell ref="E51:F51"/>
    <mergeCell ref="E32:E39"/>
    <mergeCell ref="F32:F39"/>
    <mergeCell ref="A32:A37"/>
    <mergeCell ref="C40:D40"/>
    <mergeCell ref="C41:D41"/>
    <mergeCell ref="E40:F40"/>
    <mergeCell ref="E41:F41"/>
    <mergeCell ref="A22:A27"/>
    <mergeCell ref="E22:E29"/>
    <mergeCell ref="F22:F29"/>
    <mergeCell ref="C30:D30"/>
    <mergeCell ref="C31:D31"/>
    <mergeCell ref="E30:F30"/>
    <mergeCell ref="E31:F31"/>
    <mergeCell ref="C21:D21"/>
    <mergeCell ref="A12:A17"/>
    <mergeCell ref="C20:D20"/>
    <mergeCell ref="E12:E19"/>
    <mergeCell ref="F12:F19"/>
    <mergeCell ref="E20:F20"/>
    <mergeCell ref="E21:F21"/>
    <mergeCell ref="C11:D11"/>
    <mergeCell ref="A2:A7"/>
    <mergeCell ref="C10:D10"/>
    <mergeCell ref="E10:F10"/>
    <mergeCell ref="E11:F11"/>
    <mergeCell ref="E2:E9"/>
    <mergeCell ref="F2:F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76c42d233f396c620dfe843c8ada89d5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ee5843f5cb2ee2b6912e5b34715a9ac2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292455-05DB-4609-ADEE-F397203F0A35}"/>
</file>

<file path=customXml/itemProps2.xml><?xml version="1.0" encoding="utf-8"?>
<ds:datastoreItem xmlns:ds="http://schemas.openxmlformats.org/officeDocument/2006/customXml" ds:itemID="{CD2B14AB-A5F0-450A-8781-C042D63DB31D}"/>
</file>

<file path=customXml/itemProps3.xml><?xml version="1.0" encoding="utf-8"?>
<ds:datastoreItem xmlns:ds="http://schemas.openxmlformats.org/officeDocument/2006/customXml" ds:itemID="{49CD1ACF-FB29-477B-AEF1-14EF72E0C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 desagregados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Duarte Cardoso Rodrigues</dc:creator>
  <cp:lastModifiedBy>Luís Filipe da Silva Pragosa</cp:lastModifiedBy>
  <dcterms:created xsi:type="dcterms:W3CDTF">2023-09-22T14:44:31Z</dcterms:created>
  <dcterms:modified xsi:type="dcterms:W3CDTF">2023-11-23T17:12:38Z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2023-11-23T17:12:38Z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d15c70fd-73dd-41fb-b3f7-39d98d468339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0x0101000B6B9A5E792D2446B8986FAE34BEC557</vt:lpwstr>
  </property>
</Properties>
</file>