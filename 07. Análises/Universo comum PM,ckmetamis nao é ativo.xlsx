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7. Análises/"/>
    </mc:Choice>
  </mc:AlternateContent>
  <xr:revisionPtr revIDLastSave="0" documentId="8_{A02F89C1-05E1-415A-B90B-8D3B8C00F8BB}" xr6:coauthVersionLast="47" xr6:coauthVersionMax="47" xr10:uidLastSave="{00000000-0000-0000-0000-000000000000}"/>
  <bookViews>
    <workbookView xWindow="-110" yWindow="-110" windowWidth="19420" windowHeight="10420" activeTab="4" xr2:uid="{00000000-000D-0000-FFFF-FFFF00000000}"/>
  </bookViews>
  <sheets>
    <sheet name="Sheet" sheetId="1" r:id="rId1"/>
    <sheet name="Sheet2" sheetId="3" state="hidden" r:id="rId2"/>
    <sheet name="Sheet3" sheetId="4" r:id="rId3"/>
    <sheet name="Detalhe ckmetamis" sheetId="6" r:id="rId4"/>
    <sheet name="ckmetamis em falta" sheetId="8" r:id="rId5"/>
    <sheet name="Sheet1" sheetId="7" r:id="rId6"/>
  </sheets>
  <definedNames>
    <definedName name="_xlnm._FilterDatabase" localSheetId="3" hidden="1">'Detalhe ckmetamis'!$B$8:$F$111</definedName>
    <definedName name="_xlnm._FilterDatabase" localSheetId="2" hidden="1">Sheet3!$A$1:$C$39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8" l="1"/>
  <c r="J12" i="8"/>
  <c r="J11" i="8"/>
  <c r="J10" i="8"/>
  <c r="J9" i="8"/>
  <c r="J8" i="8"/>
  <c r="J7" i="8"/>
  <c r="I16" i="8"/>
  <c r="I15" i="8"/>
  <c r="I14" i="8"/>
  <c r="I13" i="8"/>
  <c r="I12" i="8"/>
  <c r="I11" i="8"/>
  <c r="I10" i="8"/>
  <c r="I9" i="8"/>
  <c r="I8" i="8"/>
  <c r="I7" i="8"/>
  <c r="O24" i="1" a="1"/>
  <c r="O24" i="1" s="1"/>
  <c r="O23" i="1" a="1"/>
  <c r="O23" i="1" s="1"/>
  <c r="O22" i="1" a="1"/>
  <c r="O22" i="1" s="1"/>
  <c r="O21" i="1" a="1"/>
  <c r="O21" i="1" s="1"/>
  <c r="O20" i="1" a="1"/>
  <c r="O20" i="1" s="1"/>
  <c r="O19" i="1" a="1"/>
  <c r="O19" i="1" s="1"/>
  <c r="O18" i="1" a="1"/>
  <c r="O18" i="1" s="1"/>
  <c r="O17" i="1" a="1"/>
  <c r="O17" i="1" s="1"/>
  <c r="O16" i="1" a="1"/>
  <c r="O16" i="1" s="1"/>
  <c r="O15" i="1" a="1"/>
  <c r="O15" i="1" s="1"/>
  <c r="O14" i="1" a="1"/>
  <c r="O14" i="1" s="1"/>
  <c r="O13" i="1" a="1"/>
  <c r="O13" i="1" s="1"/>
  <c r="O12" i="1" a="1"/>
  <c r="O12" i="1" s="1"/>
  <c r="O11" i="1" a="1"/>
  <c r="O11" i="1" s="1"/>
  <c r="O10" i="1" a="1"/>
  <c r="O10" i="1" s="1"/>
  <c r="O9" i="1" a="1"/>
  <c r="O9" i="1" s="1"/>
  <c r="O8" i="1" a="1"/>
  <c r="O8" i="1" s="1"/>
  <c r="O7" i="1" a="1"/>
  <c r="O7" i="1" s="1"/>
  <c r="O6" i="1" a="1"/>
  <c r="O6" i="1" s="1"/>
  <c r="O5" i="1" a="1"/>
  <c r="O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<sst xmlns="http://schemas.openxmlformats.org/spreadsheetml/2006/main" count="916" uniqueCount="139">
  <si>
    <t>univ</t>
  </si>
  <si>
    <t>ref_date</t>
  </si>
  <si>
    <t>ambito</t>
  </si>
  <si>
    <t>segmento</t>
  </si>
  <si>
    <t>instrmnt_id</t>
  </si>
  <si>
    <t>cempcta</t>
  </si>
  <si>
    <t>ckbalcao</t>
  </si>
  <si>
    <t>cknumcta</t>
  </si>
  <si>
    <t>zdeposit_mis</t>
  </si>
  <si>
    <t>ckarea</t>
  </si>
  <si>
    <t>bsnss_area</t>
  </si>
  <si>
    <t>ckmetamis</t>
  </si>
  <si>
    <t>COMUM PM</t>
  </si>
  <si>
    <t>2025-01-31</t>
  </si>
  <si>
    <t>GD</t>
  </si>
  <si>
    <t>ESTR</t>
  </si>
  <si>
    <t>82000020210000346001520250013427</t>
  </si>
  <si>
    <t>31</t>
  </si>
  <si>
    <t>0000</t>
  </si>
  <si>
    <t>20210000346</t>
  </si>
  <si>
    <t>V00500C68695I31</t>
  </si>
  <si>
    <t>NULL</t>
  </si>
  <si>
    <t>ANALISE</t>
  </si>
  <si>
    <t>82000020210000171001520240616328</t>
  </si>
  <si>
    <t>20210000171</t>
  </si>
  <si>
    <t>V00500C16548I51</t>
  </si>
  <si>
    <t>82000020210000346001520240581088</t>
  </si>
  <si>
    <t>V00500C19900I74</t>
  </si>
  <si>
    <t>82000020220000261001520250017911</t>
  </si>
  <si>
    <t>20220000261</t>
  </si>
  <si>
    <t>V00500000C456I2</t>
  </si>
  <si>
    <t>82000020240000766001520240655214</t>
  </si>
  <si>
    <t>20240000766</t>
  </si>
  <si>
    <t>V0050000C1250I2</t>
  </si>
  <si>
    <t>82000020210000346001520250033068</t>
  </si>
  <si>
    <t>V0050C19903I387</t>
  </si>
  <si>
    <t>31641600005800001PTOTEMOE0035000</t>
  </si>
  <si>
    <t>6416</t>
  </si>
  <si>
    <t>00005800001</t>
  </si>
  <si>
    <t>PTOTEMOE0035000</t>
  </si>
  <si>
    <t>82000020180003566000009000641544</t>
  </si>
  <si>
    <t>20180003566</t>
  </si>
  <si>
    <t>V005000C15754I5</t>
  </si>
  <si>
    <t>31000311607554029116075540290000</t>
  </si>
  <si>
    <t>0003</t>
  </si>
  <si>
    <t>11607554029</t>
  </si>
  <si>
    <t>116075540290000</t>
  </si>
  <si>
    <t>82000020240000772001520240676048</t>
  </si>
  <si>
    <t>20240000772</t>
  </si>
  <si>
    <t>001520240676048</t>
  </si>
  <si>
    <t>82000020220000128001520240514314</t>
  </si>
  <si>
    <t>20220000128</t>
  </si>
  <si>
    <t>001520240514314</t>
  </si>
  <si>
    <t>82000020210000346001520250003226</t>
  </si>
  <si>
    <t>V0050119990I406</t>
  </si>
  <si>
    <t>82000020090004009001520250040411</t>
  </si>
  <si>
    <t>20090004009</t>
  </si>
  <si>
    <t>V00510C64286I19</t>
  </si>
  <si>
    <t>82000020240000764001520240678742</t>
  </si>
  <si>
    <t>20240000764</t>
  </si>
  <si>
    <t>V0050C121362I11</t>
  </si>
  <si>
    <t>82000020210000346001520250025223</t>
  </si>
  <si>
    <t>V0050117622I295</t>
  </si>
  <si>
    <t>82000020230000339001520250038923</t>
  </si>
  <si>
    <t>20230000339</t>
  </si>
  <si>
    <t>V0051C117043I10</t>
  </si>
  <si>
    <t>31663600350249966363603502499660</t>
  </si>
  <si>
    <t>6636</t>
  </si>
  <si>
    <t>00350249966</t>
  </si>
  <si>
    <t>036360350249966</t>
  </si>
  <si>
    <t>82000020210000346001520240582593</t>
  </si>
  <si>
    <t>V0050C12272I433</t>
  </si>
  <si>
    <t>82000020210000346001520240670046</t>
  </si>
  <si>
    <t>V0050C64071I123</t>
  </si>
  <si>
    <t>82000020210000070001520240617504</t>
  </si>
  <si>
    <t>20210000070</t>
  </si>
  <si>
    <t>V00500C53795I34</t>
  </si>
  <si>
    <t>zdeposit</t>
  </si>
  <si>
    <t>AAAAAA</t>
  </si>
  <si>
    <t>SO0711</t>
  </si>
  <si>
    <t>SO0721</t>
  </si>
  <si>
    <t>SO0503</t>
  </si>
  <si>
    <t>SO20T1</t>
  </si>
  <si>
    <t>ckmetamis CT207</t>
  </si>
  <si>
    <t>Notas</t>
  </si>
  <si>
    <t>Apesar de ser produto de ativo, não o é para âmbito GD.</t>
  </si>
  <si>
    <t>1. Contratos do universo PM com chave MIS associada. No entanto o produto associado a essa chave MIS não é de ativo para âmbito GD.</t>
  </si>
  <si>
    <t>metaproduto</t>
  </si>
  <si>
    <t>tipo_conta_local</t>
  </si>
  <si>
    <t>SO0702</t>
  </si>
  <si>
    <t>Ativo</t>
  </si>
  <si>
    <t>ALM</t>
  </si>
  <si>
    <t>SO0722</t>
  </si>
  <si>
    <t>SMES</t>
  </si>
  <si>
    <t>BDR</t>
  </si>
  <si>
    <t>RORAC</t>
  </si>
  <si>
    <t>SO201A</t>
  </si>
  <si>
    <t>SO202A</t>
  </si>
  <si>
    <t>SO0303</t>
  </si>
  <si>
    <t>PI0104</t>
  </si>
  <si>
    <t>PI0102</t>
  </si>
  <si>
    <t>PI0262</t>
  </si>
  <si>
    <t>PI0108</t>
  </si>
  <si>
    <t>PI0275</t>
  </si>
  <si>
    <t>PI0101</t>
  </si>
  <si>
    <t>SO0501</t>
  </si>
  <si>
    <t>PI0103</t>
  </si>
  <si>
    <t>UP0000</t>
  </si>
  <si>
    <t>GGGGGG</t>
  </si>
  <si>
    <t>SO0505</t>
  </si>
  <si>
    <t>SO202P</t>
  </si>
  <si>
    <t>PI0207</t>
  </si>
  <si>
    <t>SO201P</t>
  </si>
  <si>
    <t>INFORM</t>
  </si>
  <si>
    <t>PI0113</t>
  </si>
  <si>
    <t>Passivo</t>
  </si>
  <si>
    <t>31000311591402029000000000000000</t>
  </si>
  <si>
    <t>INSTRMNT_ID</t>
  </si>
  <si>
    <t>CHAVE_MIS</t>
  </si>
  <si>
    <t>31000040144033650000000000000000</t>
  </si>
  <si>
    <t>tem um saldo devedor na contabilidade</t>
  </si>
  <si>
    <t>Observações</t>
  </si>
  <si>
    <t># Registos</t>
  </si>
  <si>
    <t>1) ckmetamis dos contratos que apresentam chave MIS mas que não conseguimos cruzar com o universo de rentabilidade filtrado por produto de ativo</t>
  </si>
  <si>
    <t>ckmetamis em falta</t>
  </si>
  <si>
    <t>Âmbito</t>
  </si>
  <si>
    <t>Incluir na tabela de parametrização ct831</t>
  </si>
  <si>
    <t>Parametrizado na CT831</t>
  </si>
  <si>
    <t>Comum com email LCM, mas pai já se encontra parametrizado</t>
  </si>
  <si>
    <t xml:space="preserve">generico de ativo </t>
  </si>
  <si>
    <t xml:space="preserve">remessas doc. De exportacao </t>
  </si>
  <si>
    <t>emprestimos moratoria</t>
  </si>
  <si>
    <t>Serviços</t>
  </si>
  <si>
    <t>outros servios renting</t>
  </si>
  <si>
    <t>outr serv. Factoring exportacao</t>
  </si>
  <si>
    <t>importacao</t>
  </si>
  <si>
    <t>outros serviços factoring nacional</t>
  </si>
  <si>
    <t xml:space="preserve">intermediario de negócio. Não pertence balanço </t>
  </si>
  <si>
    <t>vai entrar como ativo patrimonial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</si>
</sst>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0" fillId="0" borderId="0" xfId="0" applyNumberFormat="1"/>
    <xf numFmtId="0" fontId="0" fillId="0" borderId="1" xfId="0" applyBorder="1"/>
    <xf numFmtId="0" fontId="1" fillId="2" borderId="1" xfId="0" applyFont="1" applyFill="1" applyBorder="1"/>
    <xf numFmtId="0" fontId="2" fillId="0" borderId="2" xfId="0" applyFont="1" applyBorder="1"/>
    <xf numFmtId="0" fontId="0" fillId="0" borderId="2" xfId="0" applyBorder="1"/>
    <xf numFmtId="0" fontId="2" fillId="3" borderId="1" xfId="0" applyFont="1" applyFill="1" applyBorder="1"/>
    <xf numFmtId="0" fontId="0" fillId="4" borderId="0" xfId="0" applyFill="1"/>
    <xf numFmtId="0" fontId="0" fillId="0" borderId="0" xfId="0" quotePrefix="1"/>
    <xf numFmtId="0" fontId="0" fillId="0" borderId="3" xfId="0" applyBorder="1"/>
    <xf numFmtId="0" fontId="0" fillId="5" borderId="3" xfId="0" applyFill="1" applyBorder="1"/>
    <xf numFmtId="0" fontId="0" fillId="4" borderId="3" xfId="0" applyFill="1" applyBorder="1"/>
    <xf numFmtId="0" fontId="1" fillId="2" borderId="3" xfId="0" applyFont="1" applyFill="1" applyBorder="1"/>
    <xf numFmtId="0" fontId="0" fillId="2" borderId="0" xfId="0" applyFill="1"/>
    <xf numFmtId="0" fontId="0" fillId="0" borderId="3" xfId="0" applyFill="1" applyBorder="1"/>
    <xf numFmtId="0" fontId="1" fillId="2" borderId="3" xfId="0" applyFont="1" applyFill="1" applyBorder="1" applyAlignment="1">
      <alignment horizontal="center" vertical="center"/>
    </xf>
    <xf numFmtId="3" fontId="0" fillId="0" borderId="3" xfId="0" applyNumberFormat="1" applyBorder="1"/>
    <xf numFmtId="3" fontId="0" fillId="5" borderId="3" xfId="0" applyNumberFormat="1" applyFill="1" applyBorder="1"/>
    <xf numFmtId="0" fontId="0" fillId="0" borderId="3" xfId="0" applyBorder="1" applyAlignment="1">
      <alignment wrapText="1"/>
    </xf>
    <xf numFmtId="0" fontId="0" fillId="6" borderId="3" xfId="0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141111</xdr:colOff>
      <xdr:row>0</xdr:row>
      <xdr:rowOff>97013</xdr:rowOff>
    </xdr:from>
    <xdr:to>
      <xdr:col>2</xdr:col>
      <xdr:colOff>942916</xdr:colOff>
      <xdr:row>2</xdr:row>
      <xdr:rowOff>37587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E1B4A231-B39B-4B19-B5F0-BF3F0DB9A3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1111" y="97013"/>
          <a:ext cx="1771944" cy="310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76200</xdr:colOff>
      <xdr:row>0</xdr:row>
      <xdr:rowOff>168275</xdr:rowOff>
    </xdr:from>
    <xdr:to>
      <xdr:col>1</xdr:col>
      <xdr:colOff>1208755</xdr:colOff>
      <xdr:row>2</xdr:row>
      <xdr:rowOff>47625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2F8677A6-226F-44EA-A1D2-C5D3A52A35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" y="168275"/>
          <a:ext cx="1389730" cy="241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24"/>
  <sheetViews>
    <sheetView showGridLines="0" workbookViewId="0">
      <selection activeCell="F27" sqref="F27"/>
    </sheetView>
  </sheetViews>
  <sheetFormatPr defaultColWidth="11.54296875" defaultRowHeight="14.5" x14ac:dyDescent="0.35"/>
  <cols>
    <col min="1" max="1" width="3.81640625" customWidth="1"/>
    <col min="2" max="2" width="11.1796875" bestFit="1" customWidth="1"/>
    <col min="3" max="3" width="10.36328125" bestFit="1" customWidth="1"/>
    <col min="4" max="4" width="6.81640625" bestFit="1" customWidth="1"/>
    <col min="5" max="5" width="9" bestFit="1" customWidth="1"/>
    <col min="6" max="6" width="35" bestFit="1" customWidth="1"/>
    <col min="7" max="7" width="8" bestFit="1" customWidth="1"/>
    <col min="8" max="8" width="8.1796875" bestFit="1" customWidth="1"/>
    <col min="9" max="9" width="12" bestFit="1" customWidth="1"/>
    <col min="10" max="10" width="17.54296875" bestFit="1" customWidth="1"/>
    <col min="11" max="11" width="6.453125" hidden="1" customWidth="1"/>
    <col min="12" max="12" width="10" hidden="1" customWidth="1"/>
    <col min="13" max="13" width="9.81640625" hidden="1" customWidth="1"/>
    <col min="14" max="14" width="3.81640625" customWidth="1"/>
    <col min="15" max="15" width="15.81640625" bestFit="1" customWidth="1"/>
    <col min="16" max="16" width="50.08984375" bestFit="1" customWidth="1"/>
  </cols>
  <sheetData>
    <row r="2" spans="2:16" x14ac:dyDescent="0.35">
      <c r="B2" s="4" t="s">
        <v>86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4" spans="2:16" x14ac:dyDescent="0.35"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  <c r="O4" s="6" t="s">
        <v>83</v>
      </c>
      <c r="P4" s="6" t="s">
        <v>84</v>
      </c>
    </row>
    <row r="5" spans="2:16" x14ac:dyDescent="0.35">
      <c r="B5" s="2" t="s">
        <v>12</v>
      </c>
      <c r="C5" s="2" t="s">
        <v>13</v>
      </c>
      <c r="D5" s="2" t="s">
        <v>14</v>
      </c>
      <c r="E5" s="2" t="s">
        <v>15</v>
      </c>
      <c r="F5" s="2" t="s">
        <v>16</v>
      </c>
      <c r="G5" s="2" t="s">
        <v>17</v>
      </c>
      <c r="H5" s="2" t="s">
        <v>18</v>
      </c>
      <c r="I5" s="2" t="s">
        <v>19</v>
      </c>
      <c r="J5" s="2" t="s">
        <v>20</v>
      </c>
      <c r="K5" s="2" t="s">
        <v>21</v>
      </c>
      <c r="L5" s="2" t="s">
        <v>22</v>
      </c>
      <c r="M5" s="2" t="s">
        <v>21</v>
      </c>
      <c r="O5" s="2" t="str" cm="1">
        <f t="array" ref="O5">INDEX(Sheet2!$A$1:$E$21,MATCH(1,(Sheet2!$B$1:$B$21=Sheet!H5)*(Sheet!I5=Sheet2!$C$1:$C$21)*(Sheet2!$D$1:$D$21=Sheet!J5),0),5)</f>
        <v>SO0711</v>
      </c>
      <c r="P5" s="2" t="s">
        <v>85</v>
      </c>
    </row>
    <row r="6" spans="2:16" x14ac:dyDescent="0.35">
      <c r="B6" s="2" t="s">
        <v>12</v>
      </c>
      <c r="C6" s="2" t="s">
        <v>13</v>
      </c>
      <c r="D6" s="2" t="s">
        <v>14</v>
      </c>
      <c r="E6" s="2" t="s">
        <v>15</v>
      </c>
      <c r="F6" s="2" t="s">
        <v>23</v>
      </c>
      <c r="G6" s="2" t="s">
        <v>17</v>
      </c>
      <c r="H6" s="2" t="s">
        <v>18</v>
      </c>
      <c r="I6" s="2" t="s">
        <v>24</v>
      </c>
      <c r="J6" s="2" t="s">
        <v>25</v>
      </c>
      <c r="K6" s="2" t="s">
        <v>21</v>
      </c>
      <c r="L6" s="2" t="s">
        <v>22</v>
      </c>
      <c r="M6" s="2" t="s">
        <v>21</v>
      </c>
      <c r="O6" s="2" t="str" cm="1">
        <f t="array" ref="O6">INDEX(Sheet2!$A$1:$E$21,MATCH(1,(Sheet2!$B$1:$B$21=Sheet!H6)*(Sheet!I6=Sheet2!$C$1:$C$21)*(Sheet2!$D$1:$D$21=Sheet!J6),0),5)</f>
        <v>SO0711</v>
      </c>
      <c r="P6" s="2" t="s">
        <v>85</v>
      </c>
    </row>
    <row r="7" spans="2:16" x14ac:dyDescent="0.35">
      <c r="B7" s="2" t="s">
        <v>12</v>
      </c>
      <c r="C7" s="2" t="s">
        <v>13</v>
      </c>
      <c r="D7" s="2" t="s">
        <v>14</v>
      </c>
      <c r="E7" s="2" t="s">
        <v>15</v>
      </c>
      <c r="F7" s="2" t="s">
        <v>26</v>
      </c>
      <c r="G7" s="2" t="s">
        <v>17</v>
      </c>
      <c r="H7" s="2" t="s">
        <v>18</v>
      </c>
      <c r="I7" s="2" t="s">
        <v>19</v>
      </c>
      <c r="J7" s="2" t="s">
        <v>27</v>
      </c>
      <c r="K7" s="2" t="s">
        <v>21</v>
      </c>
      <c r="L7" s="2" t="s">
        <v>22</v>
      </c>
      <c r="M7" s="2" t="s">
        <v>21</v>
      </c>
      <c r="O7" s="2" t="str" cm="1">
        <f t="array" ref="O7">INDEX(Sheet2!$A$1:$E$21,MATCH(1,(Sheet2!$B$1:$B$21=Sheet!H7)*(Sheet!I7=Sheet2!$C$1:$C$21)*(Sheet2!$D$1:$D$21=Sheet!J7),0),5)</f>
        <v>SO0711</v>
      </c>
      <c r="P7" s="2" t="s">
        <v>85</v>
      </c>
    </row>
    <row r="8" spans="2:16" x14ac:dyDescent="0.35">
      <c r="B8" s="2" t="s">
        <v>12</v>
      </c>
      <c r="C8" s="2" t="s">
        <v>13</v>
      </c>
      <c r="D8" s="2" t="s">
        <v>14</v>
      </c>
      <c r="E8" s="2" t="s">
        <v>15</v>
      </c>
      <c r="F8" s="2" t="s">
        <v>28</v>
      </c>
      <c r="G8" s="2" t="s">
        <v>17</v>
      </c>
      <c r="H8" s="2" t="s">
        <v>18</v>
      </c>
      <c r="I8" s="2" t="s">
        <v>29</v>
      </c>
      <c r="J8" s="2" t="s">
        <v>30</v>
      </c>
      <c r="K8" s="2" t="s">
        <v>21</v>
      </c>
      <c r="L8" s="2" t="s">
        <v>22</v>
      </c>
      <c r="M8" s="2" t="s">
        <v>21</v>
      </c>
      <c r="O8" s="2" t="str" cm="1">
        <f t="array" ref="O8">INDEX(Sheet2!$A$1:$E$21,MATCH(1,(Sheet2!$B$1:$B$21=Sheet!H8)*(Sheet!I8=Sheet2!$C$1:$C$21)*(Sheet2!$D$1:$D$21=Sheet!J8),0),5)</f>
        <v>SO0711</v>
      </c>
      <c r="P8" s="2" t="s">
        <v>85</v>
      </c>
    </row>
    <row r="9" spans="2:16" x14ac:dyDescent="0.35">
      <c r="B9" s="2" t="s">
        <v>12</v>
      </c>
      <c r="C9" s="2" t="s">
        <v>13</v>
      </c>
      <c r="D9" s="2" t="s">
        <v>14</v>
      </c>
      <c r="E9" s="2" t="s">
        <v>15</v>
      </c>
      <c r="F9" s="2" t="s">
        <v>31</v>
      </c>
      <c r="G9" s="2" t="s">
        <v>17</v>
      </c>
      <c r="H9" s="2" t="s">
        <v>18</v>
      </c>
      <c r="I9" s="2" t="s">
        <v>32</v>
      </c>
      <c r="J9" s="2" t="s">
        <v>33</v>
      </c>
      <c r="K9" s="2" t="s">
        <v>21</v>
      </c>
      <c r="L9" s="2" t="s">
        <v>22</v>
      </c>
      <c r="M9" s="2" t="s">
        <v>21</v>
      </c>
      <c r="O9" s="2" t="str" cm="1">
        <f t="array" ref="O9">INDEX(Sheet2!$A$1:$E$21,MATCH(1,(Sheet2!$B$1:$B$21=Sheet!H9)*(Sheet!I9=Sheet2!$C$1:$C$21)*(Sheet2!$D$1:$D$21=Sheet!J9),0),5)</f>
        <v>SO0711</v>
      </c>
      <c r="P9" s="2" t="s">
        <v>85</v>
      </c>
    </row>
    <row r="10" spans="2:16" x14ac:dyDescent="0.35">
      <c r="B10" s="2" t="s">
        <v>12</v>
      </c>
      <c r="C10" s="2" t="s">
        <v>13</v>
      </c>
      <c r="D10" s="2" t="s">
        <v>14</v>
      </c>
      <c r="E10" s="2" t="s">
        <v>15</v>
      </c>
      <c r="F10" s="2" t="s">
        <v>34</v>
      </c>
      <c r="G10" s="2" t="s">
        <v>17</v>
      </c>
      <c r="H10" s="2" t="s">
        <v>18</v>
      </c>
      <c r="I10" s="2" t="s">
        <v>19</v>
      </c>
      <c r="J10" s="2" t="s">
        <v>35</v>
      </c>
      <c r="K10" s="2" t="s">
        <v>21</v>
      </c>
      <c r="L10" s="2" t="s">
        <v>22</v>
      </c>
      <c r="M10" s="2" t="s">
        <v>21</v>
      </c>
      <c r="O10" s="2" t="str" cm="1">
        <f t="array" ref="O10">INDEX(Sheet2!$A$1:$E$21,MATCH(1,(Sheet2!$B$1:$B$21=Sheet!H10)*(Sheet!I10=Sheet2!$C$1:$C$21)*(Sheet2!$D$1:$D$21=Sheet!J10),0),5)</f>
        <v>SO0711</v>
      </c>
      <c r="P10" s="2" t="s">
        <v>85</v>
      </c>
    </row>
    <row r="11" spans="2:16" x14ac:dyDescent="0.35">
      <c r="B11" s="2" t="s">
        <v>12</v>
      </c>
      <c r="C11" s="2" t="s">
        <v>13</v>
      </c>
      <c r="D11" s="2" t="s">
        <v>14</v>
      </c>
      <c r="E11" s="2" t="s">
        <v>15</v>
      </c>
      <c r="F11" s="2" t="s">
        <v>36</v>
      </c>
      <c r="G11" s="2" t="s">
        <v>17</v>
      </c>
      <c r="H11" s="2" t="s">
        <v>37</v>
      </c>
      <c r="I11" s="2" t="s">
        <v>38</v>
      </c>
      <c r="J11" s="2" t="s">
        <v>39</v>
      </c>
      <c r="K11" s="2" t="s">
        <v>21</v>
      </c>
      <c r="L11" s="2" t="s">
        <v>22</v>
      </c>
      <c r="M11" s="2" t="s">
        <v>21</v>
      </c>
      <c r="O11" s="2" t="str" cm="1">
        <f t="array" ref="O11">INDEX(Sheet2!$A$1:$E$21,MATCH(1,(Sheet2!$B$1:$B$21=Sheet!H11)*(Sheet!I11=Sheet2!$C$1:$C$21)*(Sheet2!$D$1:$D$21=Sheet!J11),0),5)</f>
        <v>SO20T1</v>
      </c>
      <c r="P11" s="2" t="s">
        <v>85</v>
      </c>
    </row>
    <row r="12" spans="2:16" x14ac:dyDescent="0.35">
      <c r="B12" s="2" t="s">
        <v>12</v>
      </c>
      <c r="C12" s="2" t="s">
        <v>13</v>
      </c>
      <c r="D12" s="2" t="s">
        <v>14</v>
      </c>
      <c r="E12" s="2" t="s">
        <v>15</v>
      </c>
      <c r="F12" s="2" t="s">
        <v>40</v>
      </c>
      <c r="G12" s="2" t="s">
        <v>17</v>
      </c>
      <c r="H12" s="2" t="s">
        <v>18</v>
      </c>
      <c r="I12" s="2" t="s">
        <v>41</v>
      </c>
      <c r="J12" s="2" t="s">
        <v>42</v>
      </c>
      <c r="K12" s="2" t="s">
        <v>21</v>
      </c>
      <c r="L12" s="2" t="s">
        <v>22</v>
      </c>
      <c r="M12" s="2" t="s">
        <v>21</v>
      </c>
      <c r="O12" s="2" t="str" cm="1">
        <f t="array" ref="O12">INDEX(Sheet2!$A$1:$E$21,MATCH(1,(Sheet2!$B$1:$B$21=Sheet!H12)*(Sheet!I12=Sheet2!$C$1:$C$21)*(Sheet2!$D$1:$D$21=Sheet!J12),0),5)</f>
        <v>SO0711</v>
      </c>
      <c r="P12" s="2" t="s">
        <v>85</v>
      </c>
    </row>
    <row r="13" spans="2:16" x14ac:dyDescent="0.35">
      <c r="B13" s="2" t="s">
        <v>12</v>
      </c>
      <c r="C13" s="2" t="s">
        <v>13</v>
      </c>
      <c r="D13" s="2" t="s">
        <v>14</v>
      </c>
      <c r="E13" s="2" t="s">
        <v>15</v>
      </c>
      <c r="F13" s="2" t="s">
        <v>43</v>
      </c>
      <c r="G13" s="2" t="s">
        <v>17</v>
      </c>
      <c r="H13" s="2" t="s">
        <v>44</v>
      </c>
      <c r="I13" s="2" t="s">
        <v>45</v>
      </c>
      <c r="J13" s="2" t="s">
        <v>46</v>
      </c>
      <c r="K13" s="2" t="s">
        <v>21</v>
      </c>
      <c r="L13" s="2" t="s">
        <v>22</v>
      </c>
      <c r="M13" s="2" t="s">
        <v>21</v>
      </c>
      <c r="O13" s="2" t="str" cm="1">
        <f t="array" ref="O13">INDEX(Sheet2!$A$1:$E$21,MATCH(1,(Sheet2!$B$1:$B$21=Sheet!H13)*(Sheet!I13=Sheet2!$C$1:$C$21)*(Sheet2!$D$1:$D$21=Sheet!J13),0),5)</f>
        <v>AAAAAA</v>
      </c>
      <c r="P13" s="2" t="s">
        <v>85</v>
      </c>
    </row>
    <row r="14" spans="2:16" x14ac:dyDescent="0.35">
      <c r="B14" s="2" t="s">
        <v>12</v>
      </c>
      <c r="C14" s="2" t="s">
        <v>13</v>
      </c>
      <c r="D14" s="2" t="s">
        <v>14</v>
      </c>
      <c r="E14" s="2" t="s">
        <v>15</v>
      </c>
      <c r="F14" s="2" t="s">
        <v>47</v>
      </c>
      <c r="G14" s="2" t="s">
        <v>17</v>
      </c>
      <c r="H14" s="2" t="s">
        <v>18</v>
      </c>
      <c r="I14" s="2" t="s">
        <v>48</v>
      </c>
      <c r="J14" s="2" t="s">
        <v>49</v>
      </c>
      <c r="K14" s="2" t="s">
        <v>21</v>
      </c>
      <c r="L14" s="2" t="s">
        <v>22</v>
      </c>
      <c r="M14" s="2" t="s">
        <v>21</v>
      </c>
      <c r="O14" s="2" t="str" cm="1">
        <f t="array" ref="O14">INDEX(Sheet2!$A$1:$E$21,MATCH(1,(Sheet2!$B$1:$B$21=Sheet!H14)*(Sheet!I14=Sheet2!$C$1:$C$21)*(Sheet2!$D$1:$D$21=Sheet!J14),0),5)</f>
        <v>SO0721</v>
      </c>
      <c r="P14" s="2" t="s">
        <v>85</v>
      </c>
    </row>
    <row r="15" spans="2:16" x14ac:dyDescent="0.35">
      <c r="B15" s="2" t="s">
        <v>12</v>
      </c>
      <c r="C15" s="2" t="s">
        <v>13</v>
      </c>
      <c r="D15" s="2" t="s">
        <v>14</v>
      </c>
      <c r="E15" s="2" t="s">
        <v>15</v>
      </c>
      <c r="F15" s="2" t="s">
        <v>50</v>
      </c>
      <c r="G15" s="2" t="s">
        <v>17</v>
      </c>
      <c r="H15" s="2" t="s">
        <v>18</v>
      </c>
      <c r="I15" s="2" t="s">
        <v>51</v>
      </c>
      <c r="J15" s="2" t="s">
        <v>52</v>
      </c>
      <c r="K15" s="2" t="s">
        <v>21</v>
      </c>
      <c r="L15" s="2" t="s">
        <v>22</v>
      </c>
      <c r="M15" s="2" t="s">
        <v>21</v>
      </c>
      <c r="O15" s="2" t="str" cm="1">
        <f t="array" ref="O15">INDEX(Sheet2!$A$1:$E$21,MATCH(1,(Sheet2!$B$1:$B$21=Sheet!H15)*(Sheet!I15=Sheet2!$C$1:$C$21)*(Sheet2!$D$1:$D$21=Sheet!J15),0),5)</f>
        <v>SO0721</v>
      </c>
      <c r="P15" s="2" t="s">
        <v>85</v>
      </c>
    </row>
    <row r="16" spans="2:16" x14ac:dyDescent="0.35">
      <c r="B16" s="2" t="s">
        <v>12</v>
      </c>
      <c r="C16" s="2" t="s">
        <v>13</v>
      </c>
      <c r="D16" s="2" t="s">
        <v>14</v>
      </c>
      <c r="E16" s="2" t="s">
        <v>15</v>
      </c>
      <c r="F16" s="2" t="s">
        <v>53</v>
      </c>
      <c r="G16" s="2" t="s">
        <v>17</v>
      </c>
      <c r="H16" s="2" t="s">
        <v>18</v>
      </c>
      <c r="I16" s="2" t="s">
        <v>19</v>
      </c>
      <c r="J16" s="2" t="s">
        <v>54</v>
      </c>
      <c r="K16" s="2" t="s">
        <v>21</v>
      </c>
      <c r="L16" s="2" t="s">
        <v>22</v>
      </c>
      <c r="M16" s="2" t="s">
        <v>21</v>
      </c>
      <c r="O16" s="2" t="str" cm="1">
        <f t="array" ref="O16">INDEX(Sheet2!$A$1:$E$21,MATCH(1,(Sheet2!$B$1:$B$21=Sheet!H16)*(Sheet!I16=Sheet2!$C$1:$C$21)*(Sheet2!$D$1:$D$21=Sheet!J16),0),5)</f>
        <v>SO0711</v>
      </c>
      <c r="P16" s="2" t="s">
        <v>85</v>
      </c>
    </row>
    <row r="17" spans="2:16" x14ac:dyDescent="0.35">
      <c r="B17" s="2" t="s">
        <v>12</v>
      </c>
      <c r="C17" s="2" t="s">
        <v>13</v>
      </c>
      <c r="D17" s="2" t="s">
        <v>14</v>
      </c>
      <c r="E17" s="2" t="s">
        <v>15</v>
      </c>
      <c r="F17" s="2" t="s">
        <v>55</v>
      </c>
      <c r="G17" s="2" t="s">
        <v>17</v>
      </c>
      <c r="H17" s="2" t="s">
        <v>18</v>
      </c>
      <c r="I17" s="2" t="s">
        <v>56</v>
      </c>
      <c r="J17" s="2" t="s">
        <v>57</v>
      </c>
      <c r="K17" s="2" t="s">
        <v>21</v>
      </c>
      <c r="L17" s="2" t="s">
        <v>22</v>
      </c>
      <c r="M17" s="2" t="s">
        <v>21</v>
      </c>
      <c r="O17" s="2" t="str" cm="1">
        <f t="array" ref="O17">INDEX(Sheet2!$A$1:$E$21,MATCH(1,(Sheet2!$B$1:$B$21=Sheet!H17)*(Sheet!I17=Sheet2!$C$1:$C$21)*(Sheet2!$D$1:$D$21=Sheet!J17),0),5)</f>
        <v>SO0721</v>
      </c>
      <c r="P17" s="2" t="s">
        <v>85</v>
      </c>
    </row>
    <row r="18" spans="2:16" x14ac:dyDescent="0.35">
      <c r="B18" s="2" t="s">
        <v>12</v>
      </c>
      <c r="C18" s="2" t="s">
        <v>13</v>
      </c>
      <c r="D18" s="2" t="s">
        <v>14</v>
      </c>
      <c r="E18" s="2" t="s">
        <v>15</v>
      </c>
      <c r="F18" s="2" t="s">
        <v>58</v>
      </c>
      <c r="G18" s="2" t="s">
        <v>17</v>
      </c>
      <c r="H18" s="2" t="s">
        <v>18</v>
      </c>
      <c r="I18" s="2" t="s">
        <v>59</v>
      </c>
      <c r="J18" s="2" t="s">
        <v>60</v>
      </c>
      <c r="K18" s="2" t="s">
        <v>21</v>
      </c>
      <c r="L18" s="2" t="s">
        <v>22</v>
      </c>
      <c r="M18" s="2" t="s">
        <v>21</v>
      </c>
      <c r="O18" s="2" t="str" cm="1">
        <f t="array" ref="O18">INDEX(Sheet2!$A$1:$E$21,MATCH(1,(Sheet2!$B$1:$B$21=Sheet!H18)*(Sheet!I18=Sheet2!$C$1:$C$21)*(Sheet2!$D$1:$D$21=Sheet!J18),0),5)</f>
        <v>SO0711</v>
      </c>
      <c r="P18" s="2" t="s">
        <v>85</v>
      </c>
    </row>
    <row r="19" spans="2:16" x14ac:dyDescent="0.35">
      <c r="B19" s="2" t="s">
        <v>12</v>
      </c>
      <c r="C19" s="2" t="s">
        <v>13</v>
      </c>
      <c r="D19" s="2" t="s">
        <v>14</v>
      </c>
      <c r="E19" s="2" t="s">
        <v>15</v>
      </c>
      <c r="F19" s="2" t="s">
        <v>61</v>
      </c>
      <c r="G19" s="2" t="s">
        <v>17</v>
      </c>
      <c r="H19" s="2" t="s">
        <v>18</v>
      </c>
      <c r="I19" s="2" t="s">
        <v>19</v>
      </c>
      <c r="J19" s="2" t="s">
        <v>62</v>
      </c>
      <c r="K19" s="2" t="s">
        <v>21</v>
      </c>
      <c r="L19" s="2" t="s">
        <v>22</v>
      </c>
      <c r="M19" s="2" t="s">
        <v>21</v>
      </c>
      <c r="O19" s="2" t="str" cm="1">
        <f t="array" ref="O19">INDEX(Sheet2!$A$1:$E$21,MATCH(1,(Sheet2!$B$1:$B$21=Sheet!H19)*(Sheet!I19=Sheet2!$C$1:$C$21)*(Sheet2!$D$1:$D$21=Sheet!J19),0),5)</f>
        <v>SO0711</v>
      </c>
      <c r="P19" s="2" t="s">
        <v>85</v>
      </c>
    </row>
    <row r="20" spans="2:16" x14ac:dyDescent="0.35">
      <c r="B20" s="2" t="s">
        <v>12</v>
      </c>
      <c r="C20" s="2" t="s">
        <v>13</v>
      </c>
      <c r="D20" s="2" t="s">
        <v>14</v>
      </c>
      <c r="E20" s="2" t="s">
        <v>15</v>
      </c>
      <c r="F20" s="2" t="s">
        <v>63</v>
      </c>
      <c r="G20" s="2" t="s">
        <v>17</v>
      </c>
      <c r="H20" s="2" t="s">
        <v>18</v>
      </c>
      <c r="I20" s="2" t="s">
        <v>64</v>
      </c>
      <c r="J20" s="2" t="s">
        <v>65</v>
      </c>
      <c r="K20" s="2" t="s">
        <v>21</v>
      </c>
      <c r="L20" s="2" t="s">
        <v>22</v>
      </c>
      <c r="M20" s="2" t="s">
        <v>21</v>
      </c>
      <c r="O20" s="2" t="str" cm="1">
        <f t="array" ref="O20">INDEX(Sheet2!$A$1:$E$21,MATCH(1,(Sheet2!$B$1:$B$21=Sheet!H20)*(Sheet!I20=Sheet2!$C$1:$C$21)*(Sheet2!$D$1:$D$21=Sheet!J20),0),5)</f>
        <v>SO0721</v>
      </c>
      <c r="P20" s="2" t="s">
        <v>85</v>
      </c>
    </row>
    <row r="21" spans="2:16" x14ac:dyDescent="0.35">
      <c r="B21" s="2" t="s">
        <v>12</v>
      </c>
      <c r="C21" s="2" t="s">
        <v>13</v>
      </c>
      <c r="D21" s="2" t="s">
        <v>14</v>
      </c>
      <c r="E21" s="2" t="s">
        <v>15</v>
      </c>
      <c r="F21" s="2" t="s">
        <v>66</v>
      </c>
      <c r="G21" s="2" t="s">
        <v>17</v>
      </c>
      <c r="H21" s="2" t="s">
        <v>67</v>
      </c>
      <c r="I21" s="2" t="s">
        <v>68</v>
      </c>
      <c r="J21" s="2" t="s">
        <v>69</v>
      </c>
      <c r="K21" s="2" t="s">
        <v>21</v>
      </c>
      <c r="L21" s="2" t="s">
        <v>22</v>
      </c>
      <c r="M21" s="2" t="s">
        <v>21</v>
      </c>
      <c r="O21" s="2" t="str" cm="1">
        <f t="array" ref="O21">INDEX(Sheet2!$A$1:$E$21,MATCH(1,(Sheet2!$B$1:$B$21=Sheet!H21)*(Sheet!I21=Sheet2!$C$1:$C$21)*(Sheet2!$D$1:$D$21=Sheet!J21),0),5)</f>
        <v>SO0503</v>
      </c>
      <c r="P21" s="2" t="s">
        <v>85</v>
      </c>
    </row>
    <row r="22" spans="2:16" x14ac:dyDescent="0.35">
      <c r="B22" s="2" t="s">
        <v>12</v>
      </c>
      <c r="C22" s="2" t="s">
        <v>13</v>
      </c>
      <c r="D22" s="2" t="s">
        <v>14</v>
      </c>
      <c r="E22" s="2" t="s">
        <v>15</v>
      </c>
      <c r="F22" s="2" t="s">
        <v>70</v>
      </c>
      <c r="G22" s="2" t="s">
        <v>17</v>
      </c>
      <c r="H22" s="2" t="s">
        <v>18</v>
      </c>
      <c r="I22" s="2" t="s">
        <v>19</v>
      </c>
      <c r="J22" s="2" t="s">
        <v>71</v>
      </c>
      <c r="K22" s="2" t="s">
        <v>21</v>
      </c>
      <c r="L22" s="2" t="s">
        <v>22</v>
      </c>
      <c r="M22" s="2" t="s">
        <v>21</v>
      </c>
      <c r="O22" s="2" t="str" cm="1">
        <f t="array" ref="O22">INDEX(Sheet2!$A$1:$E$21,MATCH(1,(Sheet2!$B$1:$B$21=Sheet!H22)*(Sheet!I22=Sheet2!$C$1:$C$21)*(Sheet2!$D$1:$D$21=Sheet!J22),0),5)</f>
        <v>SO0711</v>
      </c>
      <c r="P22" s="2" t="s">
        <v>85</v>
      </c>
    </row>
    <row r="23" spans="2:16" x14ac:dyDescent="0.35">
      <c r="B23" s="2" t="s">
        <v>12</v>
      </c>
      <c r="C23" s="2" t="s">
        <v>13</v>
      </c>
      <c r="D23" s="2" t="s">
        <v>14</v>
      </c>
      <c r="E23" s="2" t="s">
        <v>15</v>
      </c>
      <c r="F23" s="2" t="s">
        <v>72</v>
      </c>
      <c r="G23" s="2" t="s">
        <v>17</v>
      </c>
      <c r="H23" s="2" t="s">
        <v>18</v>
      </c>
      <c r="I23" s="2" t="s">
        <v>19</v>
      </c>
      <c r="J23" s="2" t="s">
        <v>73</v>
      </c>
      <c r="K23" s="2" t="s">
        <v>21</v>
      </c>
      <c r="L23" s="2" t="s">
        <v>22</v>
      </c>
      <c r="M23" s="2" t="s">
        <v>21</v>
      </c>
      <c r="O23" s="2" t="str" cm="1">
        <f t="array" ref="O23">INDEX(Sheet2!$A$1:$E$21,MATCH(1,(Sheet2!$B$1:$B$21=Sheet!H23)*(Sheet!I23=Sheet2!$C$1:$C$21)*(Sheet2!$D$1:$D$21=Sheet!J23),0),5)</f>
        <v>SO0711</v>
      </c>
      <c r="P23" s="2" t="s">
        <v>85</v>
      </c>
    </row>
    <row r="24" spans="2:16" x14ac:dyDescent="0.35">
      <c r="B24" s="2" t="s">
        <v>12</v>
      </c>
      <c r="C24" s="2" t="s">
        <v>13</v>
      </c>
      <c r="D24" s="2" t="s">
        <v>14</v>
      </c>
      <c r="E24" s="2" t="s">
        <v>15</v>
      </c>
      <c r="F24" s="2" t="s">
        <v>74</v>
      </c>
      <c r="G24" s="2" t="s">
        <v>17</v>
      </c>
      <c r="H24" s="2" t="s">
        <v>18</v>
      </c>
      <c r="I24" s="2" t="s">
        <v>75</v>
      </c>
      <c r="J24" s="2" t="s">
        <v>76</v>
      </c>
      <c r="K24" s="2" t="s">
        <v>21</v>
      </c>
      <c r="L24" s="2" t="s">
        <v>22</v>
      </c>
      <c r="M24" s="2" t="s">
        <v>21</v>
      </c>
      <c r="O24" s="2" t="str" cm="1">
        <f t="array" ref="O24">INDEX(Sheet2!$A$1:$E$21,MATCH(1,(Sheet2!$B$1:$B$21=Sheet!H24)*(Sheet!I24=Sheet2!$C$1:$C$21)*(Sheet2!$D$1:$D$21=Sheet!J24),0),5)</f>
        <v>SO0711</v>
      </c>
      <c r="P24" s="2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6EC67-2413-48CE-951F-01FBAC5D0009}">
  <dimension ref="A1:I21"/>
  <sheetViews>
    <sheetView workbookViewId="0">
      <selection activeCell="G11" sqref="G11"/>
    </sheetView>
  </sheetViews>
  <sheetFormatPr defaultRowHeight="14.5" x14ac:dyDescent="0.35"/>
  <cols>
    <col min="1" max="6" width="8.90625" style="1"/>
  </cols>
  <sheetData>
    <row r="1" spans="1:9" x14ac:dyDescent="0.35">
      <c r="A1" s="1" t="s">
        <v>5</v>
      </c>
      <c r="B1" s="1" t="s">
        <v>6</v>
      </c>
      <c r="C1" s="1" t="s">
        <v>7</v>
      </c>
      <c r="D1" s="1" t="s">
        <v>77</v>
      </c>
      <c r="E1" s="1" t="s">
        <v>11</v>
      </c>
    </row>
    <row r="2" spans="1:9" x14ac:dyDescent="0.35">
      <c r="A2" s="1" t="s">
        <v>17</v>
      </c>
      <c r="B2" s="1" t="s">
        <v>18</v>
      </c>
      <c r="C2" s="1" t="s">
        <v>29</v>
      </c>
      <c r="D2" s="1" t="s">
        <v>30</v>
      </c>
      <c r="E2" s="1" t="s">
        <v>79</v>
      </c>
      <c r="I2" s="1"/>
    </row>
    <row r="3" spans="1:9" x14ac:dyDescent="0.35">
      <c r="A3" s="1" t="s">
        <v>17</v>
      </c>
      <c r="B3" s="1" t="s">
        <v>18</v>
      </c>
      <c r="C3" s="1" t="s">
        <v>19</v>
      </c>
      <c r="D3" s="1" t="s">
        <v>54</v>
      </c>
      <c r="E3" s="1" t="s">
        <v>79</v>
      </c>
      <c r="I3" s="1"/>
    </row>
    <row r="4" spans="1:9" x14ac:dyDescent="0.35">
      <c r="A4" s="1" t="s">
        <v>17</v>
      </c>
      <c r="B4" s="1" t="s">
        <v>18</v>
      </c>
      <c r="C4" s="1" t="s">
        <v>32</v>
      </c>
      <c r="D4" s="1" t="s">
        <v>33</v>
      </c>
      <c r="E4" s="1" t="s">
        <v>79</v>
      </c>
      <c r="I4" s="1"/>
    </row>
    <row r="5" spans="1:9" x14ac:dyDescent="0.35">
      <c r="A5" s="1" t="s">
        <v>17</v>
      </c>
      <c r="B5" s="1" t="s">
        <v>18</v>
      </c>
      <c r="C5" s="1" t="s">
        <v>51</v>
      </c>
      <c r="D5" s="1" t="s">
        <v>52</v>
      </c>
      <c r="E5" s="1" t="s">
        <v>80</v>
      </c>
      <c r="I5" s="1"/>
    </row>
    <row r="6" spans="1:9" x14ac:dyDescent="0.35">
      <c r="A6" s="1" t="s">
        <v>17</v>
      </c>
      <c r="B6" s="1" t="s">
        <v>18</v>
      </c>
      <c r="C6" s="1" t="s">
        <v>59</v>
      </c>
      <c r="D6" s="1" t="s">
        <v>60</v>
      </c>
      <c r="E6" s="1" t="s">
        <v>79</v>
      </c>
      <c r="I6" s="1"/>
    </row>
    <row r="7" spans="1:9" x14ac:dyDescent="0.35">
      <c r="A7" s="1" t="s">
        <v>17</v>
      </c>
      <c r="B7" s="1" t="s">
        <v>18</v>
      </c>
      <c r="C7" s="1" t="s">
        <v>41</v>
      </c>
      <c r="D7" s="1" t="s">
        <v>42</v>
      </c>
      <c r="E7" s="1" t="s">
        <v>79</v>
      </c>
    </row>
    <row r="8" spans="1:9" x14ac:dyDescent="0.35">
      <c r="A8" s="1" t="s">
        <v>17</v>
      </c>
      <c r="B8" s="1" t="s">
        <v>18</v>
      </c>
      <c r="C8" s="1" t="s">
        <v>19</v>
      </c>
      <c r="D8" s="1" t="s">
        <v>20</v>
      </c>
      <c r="E8" s="1" t="s">
        <v>79</v>
      </c>
    </row>
    <row r="9" spans="1:9" x14ac:dyDescent="0.35">
      <c r="A9" s="1" t="s">
        <v>17</v>
      </c>
      <c r="B9" s="1" t="s">
        <v>67</v>
      </c>
      <c r="C9" s="1" t="s">
        <v>68</v>
      </c>
      <c r="D9" s="1" t="s">
        <v>69</v>
      </c>
      <c r="E9" s="1" t="s">
        <v>81</v>
      </c>
    </row>
    <row r="10" spans="1:9" x14ac:dyDescent="0.35">
      <c r="A10" s="1" t="s">
        <v>17</v>
      </c>
      <c r="B10" s="1" t="s">
        <v>18</v>
      </c>
      <c r="C10" s="1" t="s">
        <v>64</v>
      </c>
      <c r="D10" s="1" t="s">
        <v>65</v>
      </c>
      <c r="E10" s="1" t="s">
        <v>80</v>
      </c>
    </row>
    <row r="11" spans="1:9" x14ac:dyDescent="0.35">
      <c r="A11" s="1" t="s">
        <v>17</v>
      </c>
      <c r="B11" s="1" t="s">
        <v>18</v>
      </c>
      <c r="C11" s="1" t="s">
        <v>56</v>
      </c>
      <c r="D11" s="1" t="s">
        <v>57</v>
      </c>
      <c r="E11" s="1" t="s">
        <v>80</v>
      </c>
    </row>
    <row r="12" spans="1:9" x14ac:dyDescent="0.35">
      <c r="A12" s="1" t="s">
        <v>17</v>
      </c>
      <c r="B12" s="1" t="s">
        <v>18</v>
      </c>
      <c r="C12" s="1" t="s">
        <v>19</v>
      </c>
      <c r="D12" s="1" t="s">
        <v>35</v>
      </c>
      <c r="E12" s="1" t="s">
        <v>79</v>
      </c>
    </row>
    <row r="13" spans="1:9" x14ac:dyDescent="0.35">
      <c r="A13" s="1" t="s">
        <v>17</v>
      </c>
      <c r="B13" s="1" t="s">
        <v>18</v>
      </c>
      <c r="C13" s="1" t="s">
        <v>75</v>
      </c>
      <c r="D13" s="1" t="s">
        <v>76</v>
      </c>
      <c r="E13" s="1" t="s">
        <v>79</v>
      </c>
    </row>
    <row r="14" spans="1:9" x14ac:dyDescent="0.35">
      <c r="A14" s="1" t="s">
        <v>17</v>
      </c>
      <c r="B14" s="1" t="s">
        <v>18</v>
      </c>
      <c r="C14" s="1" t="s">
        <v>19</v>
      </c>
      <c r="D14" s="1" t="s">
        <v>73</v>
      </c>
      <c r="E14" s="1" t="s">
        <v>79</v>
      </c>
    </row>
    <row r="15" spans="1:9" x14ac:dyDescent="0.35">
      <c r="A15" s="1" t="s">
        <v>17</v>
      </c>
      <c r="B15" s="1" t="s">
        <v>44</v>
      </c>
      <c r="C15" s="1" t="s">
        <v>45</v>
      </c>
      <c r="D15" s="1" t="s">
        <v>46</v>
      </c>
      <c r="E15" s="1" t="s">
        <v>78</v>
      </c>
    </row>
    <row r="16" spans="1:9" x14ac:dyDescent="0.35">
      <c r="A16" s="1" t="s">
        <v>17</v>
      </c>
      <c r="B16" s="1" t="s">
        <v>37</v>
      </c>
      <c r="C16" s="1" t="s">
        <v>38</v>
      </c>
      <c r="D16" s="1" t="s">
        <v>39</v>
      </c>
      <c r="E16" s="1" t="s">
        <v>82</v>
      </c>
    </row>
    <row r="17" spans="1:5" x14ac:dyDescent="0.35">
      <c r="A17" s="1" t="s">
        <v>17</v>
      </c>
      <c r="B17" s="1" t="s">
        <v>18</v>
      </c>
      <c r="C17" s="1" t="s">
        <v>24</v>
      </c>
      <c r="D17" s="1" t="s">
        <v>25</v>
      </c>
      <c r="E17" s="1" t="s">
        <v>79</v>
      </c>
    </row>
    <row r="18" spans="1:5" x14ac:dyDescent="0.35">
      <c r="A18" s="1" t="s">
        <v>17</v>
      </c>
      <c r="B18" s="1" t="s">
        <v>18</v>
      </c>
      <c r="C18" s="1" t="s">
        <v>19</v>
      </c>
      <c r="D18" s="1" t="s">
        <v>71</v>
      </c>
      <c r="E18" s="1" t="s">
        <v>79</v>
      </c>
    </row>
    <row r="19" spans="1:5" x14ac:dyDescent="0.35">
      <c r="A19" s="1" t="s">
        <v>17</v>
      </c>
      <c r="B19" s="1" t="s">
        <v>18</v>
      </c>
      <c r="C19" s="1" t="s">
        <v>19</v>
      </c>
      <c r="D19" s="1" t="s">
        <v>27</v>
      </c>
      <c r="E19" s="1" t="s">
        <v>79</v>
      </c>
    </row>
    <row r="20" spans="1:5" x14ac:dyDescent="0.35">
      <c r="A20" s="1" t="s">
        <v>17</v>
      </c>
      <c r="B20" s="1" t="s">
        <v>18</v>
      </c>
      <c r="C20" s="1" t="s">
        <v>48</v>
      </c>
      <c r="D20" s="1" t="s">
        <v>49</v>
      </c>
      <c r="E20" s="1" t="s">
        <v>80</v>
      </c>
    </row>
    <row r="21" spans="1:5" x14ac:dyDescent="0.35">
      <c r="A21" s="1" t="s">
        <v>17</v>
      </c>
      <c r="B21" s="1" t="s">
        <v>18</v>
      </c>
      <c r="C21" s="1" t="s">
        <v>19</v>
      </c>
      <c r="D21" s="1" t="s">
        <v>62</v>
      </c>
      <c r="E21" s="1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92ECD-2645-4758-968F-43B189A52B63}">
  <dimension ref="A1:G39"/>
  <sheetViews>
    <sheetView workbookViewId="0">
      <selection activeCell="G2" sqref="G2:G14"/>
    </sheetView>
  </sheetViews>
  <sheetFormatPr defaultRowHeight="14.5" x14ac:dyDescent="0.35"/>
  <cols>
    <col min="1" max="1" width="11.81640625" bestFit="1" customWidth="1"/>
    <col min="2" max="2" width="14.90625" bestFit="1" customWidth="1"/>
    <col min="3" max="3" width="6.81640625" bestFit="1" customWidth="1"/>
  </cols>
  <sheetData>
    <row r="1" spans="1:7" x14ac:dyDescent="0.35">
      <c r="A1" t="s">
        <v>87</v>
      </c>
      <c r="B1" t="s">
        <v>88</v>
      </c>
      <c r="C1" t="s">
        <v>2</v>
      </c>
    </row>
    <row r="2" spans="1:7" x14ac:dyDescent="0.35">
      <c r="A2" t="s">
        <v>78</v>
      </c>
      <c r="B2" t="s">
        <v>90</v>
      </c>
      <c r="C2" t="s">
        <v>91</v>
      </c>
      <c r="G2" t="s">
        <v>78</v>
      </c>
    </row>
    <row r="3" spans="1:7" x14ac:dyDescent="0.35">
      <c r="A3" t="s">
        <v>78</v>
      </c>
      <c r="B3" t="s">
        <v>90</v>
      </c>
      <c r="C3" t="s">
        <v>94</v>
      </c>
      <c r="G3" t="s">
        <v>98</v>
      </c>
    </row>
    <row r="4" spans="1:7" x14ac:dyDescent="0.35">
      <c r="A4" t="s">
        <v>98</v>
      </c>
      <c r="B4" t="s">
        <v>90</v>
      </c>
      <c r="C4" t="s">
        <v>91</v>
      </c>
      <c r="G4" t="s">
        <v>81</v>
      </c>
    </row>
    <row r="5" spans="1:7" x14ac:dyDescent="0.35">
      <c r="A5" t="s">
        <v>98</v>
      </c>
      <c r="B5" t="s">
        <v>90</v>
      </c>
      <c r="C5" t="s">
        <v>95</v>
      </c>
      <c r="G5" t="s">
        <v>89</v>
      </c>
    </row>
    <row r="6" spans="1:7" x14ac:dyDescent="0.35">
      <c r="A6" t="s">
        <v>98</v>
      </c>
      <c r="B6" t="s">
        <v>90</v>
      </c>
      <c r="C6" t="s">
        <v>94</v>
      </c>
      <c r="G6" t="s">
        <v>79</v>
      </c>
    </row>
    <row r="7" spans="1:7" x14ac:dyDescent="0.35">
      <c r="A7" t="s">
        <v>98</v>
      </c>
      <c r="B7" t="s">
        <v>90</v>
      </c>
      <c r="C7" t="s">
        <v>93</v>
      </c>
      <c r="G7" t="s">
        <v>80</v>
      </c>
    </row>
    <row r="8" spans="1:7" x14ac:dyDescent="0.35">
      <c r="A8" t="s">
        <v>81</v>
      </c>
      <c r="B8" t="s">
        <v>90</v>
      </c>
      <c r="C8" t="s">
        <v>95</v>
      </c>
      <c r="G8" t="s">
        <v>92</v>
      </c>
    </row>
    <row r="9" spans="1:7" x14ac:dyDescent="0.35">
      <c r="A9" t="s">
        <v>81</v>
      </c>
      <c r="B9" t="s">
        <v>90</v>
      </c>
      <c r="C9" t="s">
        <v>93</v>
      </c>
      <c r="G9" t="s">
        <v>96</v>
      </c>
    </row>
    <row r="10" spans="1:7" x14ac:dyDescent="0.35">
      <c r="A10" t="s">
        <v>81</v>
      </c>
      <c r="B10" t="s">
        <v>90</v>
      </c>
      <c r="C10" t="s">
        <v>94</v>
      </c>
      <c r="G10" t="s">
        <v>97</v>
      </c>
    </row>
    <row r="11" spans="1:7" x14ac:dyDescent="0.35">
      <c r="A11" t="s">
        <v>81</v>
      </c>
      <c r="B11" t="s">
        <v>90</v>
      </c>
      <c r="C11" t="s">
        <v>91</v>
      </c>
      <c r="G11" t="s">
        <v>82</v>
      </c>
    </row>
    <row r="12" spans="1:7" x14ac:dyDescent="0.35">
      <c r="A12" t="s">
        <v>89</v>
      </c>
      <c r="B12" t="s">
        <v>90</v>
      </c>
      <c r="C12" t="s">
        <v>91</v>
      </c>
    </row>
    <row r="13" spans="1:7" x14ac:dyDescent="0.35">
      <c r="A13" t="s">
        <v>89</v>
      </c>
      <c r="B13" t="s">
        <v>90</v>
      </c>
      <c r="C13" t="s">
        <v>93</v>
      </c>
    </row>
    <row r="14" spans="1:7" x14ac:dyDescent="0.35">
      <c r="A14" t="s">
        <v>89</v>
      </c>
      <c r="B14" t="s">
        <v>90</v>
      </c>
      <c r="C14" t="s">
        <v>95</v>
      </c>
    </row>
    <row r="15" spans="1:7" x14ac:dyDescent="0.35">
      <c r="A15" t="s">
        <v>89</v>
      </c>
      <c r="B15" t="s">
        <v>90</v>
      </c>
      <c r="C15" t="s">
        <v>94</v>
      </c>
    </row>
    <row r="16" spans="1:7" x14ac:dyDescent="0.35">
      <c r="A16" t="s">
        <v>79</v>
      </c>
      <c r="B16" t="s">
        <v>90</v>
      </c>
      <c r="C16" t="s">
        <v>91</v>
      </c>
    </row>
    <row r="17" spans="1:3" x14ac:dyDescent="0.35">
      <c r="A17" t="s">
        <v>79</v>
      </c>
      <c r="B17" t="s">
        <v>90</v>
      </c>
      <c r="C17" t="s">
        <v>95</v>
      </c>
    </row>
    <row r="18" spans="1:3" x14ac:dyDescent="0.35">
      <c r="A18" t="s">
        <v>79</v>
      </c>
      <c r="B18" t="s">
        <v>90</v>
      </c>
      <c r="C18" t="s">
        <v>94</v>
      </c>
    </row>
    <row r="19" spans="1:3" x14ac:dyDescent="0.35">
      <c r="A19" t="s">
        <v>79</v>
      </c>
      <c r="B19" t="s">
        <v>90</v>
      </c>
      <c r="C19" t="s">
        <v>93</v>
      </c>
    </row>
    <row r="20" spans="1:3" x14ac:dyDescent="0.35">
      <c r="A20" t="s">
        <v>80</v>
      </c>
      <c r="B20" t="s">
        <v>90</v>
      </c>
      <c r="C20" t="s">
        <v>94</v>
      </c>
    </row>
    <row r="21" spans="1:3" x14ac:dyDescent="0.35">
      <c r="A21" t="s">
        <v>80</v>
      </c>
      <c r="B21" t="s">
        <v>90</v>
      </c>
      <c r="C21" t="s">
        <v>95</v>
      </c>
    </row>
    <row r="22" spans="1:3" x14ac:dyDescent="0.35">
      <c r="A22" t="s">
        <v>80</v>
      </c>
      <c r="B22" t="s">
        <v>90</v>
      </c>
      <c r="C22" t="s">
        <v>93</v>
      </c>
    </row>
    <row r="23" spans="1:3" x14ac:dyDescent="0.35">
      <c r="A23" t="s">
        <v>80</v>
      </c>
      <c r="B23" t="s">
        <v>90</v>
      </c>
      <c r="C23" t="s">
        <v>91</v>
      </c>
    </row>
    <row r="24" spans="1:3" x14ac:dyDescent="0.35">
      <c r="A24" t="s">
        <v>92</v>
      </c>
      <c r="B24" t="s">
        <v>90</v>
      </c>
      <c r="C24" t="s">
        <v>93</v>
      </c>
    </row>
    <row r="25" spans="1:3" x14ac:dyDescent="0.35">
      <c r="A25" t="s">
        <v>92</v>
      </c>
      <c r="B25" t="s">
        <v>90</v>
      </c>
      <c r="C25" t="s">
        <v>91</v>
      </c>
    </row>
    <row r="26" spans="1:3" x14ac:dyDescent="0.35">
      <c r="A26" t="s">
        <v>92</v>
      </c>
      <c r="B26" t="s">
        <v>90</v>
      </c>
      <c r="C26" t="s">
        <v>95</v>
      </c>
    </row>
    <row r="27" spans="1:3" x14ac:dyDescent="0.35">
      <c r="A27" t="s">
        <v>92</v>
      </c>
      <c r="B27" t="s">
        <v>90</v>
      </c>
      <c r="C27" t="s">
        <v>94</v>
      </c>
    </row>
    <row r="28" spans="1:3" x14ac:dyDescent="0.35">
      <c r="A28" s="7" t="s">
        <v>96</v>
      </c>
      <c r="B28" t="s">
        <v>90</v>
      </c>
      <c r="C28" t="s">
        <v>91</v>
      </c>
    </row>
    <row r="29" spans="1:3" x14ac:dyDescent="0.35">
      <c r="A29" s="7" t="s">
        <v>96</v>
      </c>
      <c r="B29" t="s">
        <v>90</v>
      </c>
      <c r="C29" t="s">
        <v>93</v>
      </c>
    </row>
    <row r="30" spans="1:3" x14ac:dyDescent="0.35">
      <c r="A30" s="7" t="s">
        <v>96</v>
      </c>
      <c r="B30" t="s">
        <v>90</v>
      </c>
      <c r="C30" t="s">
        <v>95</v>
      </c>
    </row>
    <row r="31" spans="1:3" x14ac:dyDescent="0.35">
      <c r="A31" s="7" t="s">
        <v>96</v>
      </c>
      <c r="B31" t="s">
        <v>90</v>
      </c>
      <c r="C31" t="s">
        <v>94</v>
      </c>
    </row>
    <row r="32" spans="1:3" x14ac:dyDescent="0.35">
      <c r="A32" t="s">
        <v>97</v>
      </c>
      <c r="B32" t="s">
        <v>90</v>
      </c>
      <c r="C32" t="s">
        <v>93</v>
      </c>
    </row>
    <row r="33" spans="1:3" x14ac:dyDescent="0.35">
      <c r="A33" t="s">
        <v>97</v>
      </c>
      <c r="B33" t="s">
        <v>90</v>
      </c>
      <c r="C33" t="s">
        <v>94</v>
      </c>
    </row>
    <row r="34" spans="1:3" x14ac:dyDescent="0.35">
      <c r="A34" t="s">
        <v>97</v>
      </c>
      <c r="B34" t="s">
        <v>90</v>
      </c>
      <c r="C34" t="s">
        <v>95</v>
      </c>
    </row>
    <row r="35" spans="1:3" x14ac:dyDescent="0.35">
      <c r="A35" t="s">
        <v>97</v>
      </c>
      <c r="B35" t="s">
        <v>90</v>
      </c>
      <c r="C35" t="s">
        <v>91</v>
      </c>
    </row>
    <row r="36" spans="1:3" x14ac:dyDescent="0.35">
      <c r="A36" t="s">
        <v>82</v>
      </c>
      <c r="B36" t="s">
        <v>90</v>
      </c>
      <c r="C36" t="s">
        <v>93</v>
      </c>
    </row>
    <row r="37" spans="1:3" x14ac:dyDescent="0.35">
      <c r="A37" t="s">
        <v>82</v>
      </c>
      <c r="B37" t="s">
        <v>90</v>
      </c>
      <c r="C37" t="s">
        <v>91</v>
      </c>
    </row>
    <row r="38" spans="1:3" x14ac:dyDescent="0.35">
      <c r="A38" t="s">
        <v>82</v>
      </c>
      <c r="B38" t="s">
        <v>90</v>
      </c>
      <c r="C38" t="s">
        <v>94</v>
      </c>
    </row>
    <row r="39" spans="1:3" x14ac:dyDescent="0.35">
      <c r="A39" t="s">
        <v>82</v>
      </c>
      <c r="B39" t="s">
        <v>90</v>
      </c>
      <c r="C39" t="s">
        <v>95</v>
      </c>
    </row>
  </sheetData>
  <autoFilter ref="A1:C39" xr:uid="{3DF92ECD-2645-4758-968F-43B189A52B63}">
    <sortState xmlns:xlrd2="http://schemas.microsoft.com/office/spreadsheetml/2017/richdata2" ref="A2:C39">
      <sortCondition ref="A1:A39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B7403-2F91-4654-8780-485BF6C22E78}">
  <sheetPr filterMode="1"/>
  <dimension ref="A4:K111"/>
  <sheetViews>
    <sheetView showGridLines="0" topLeftCell="A7" zoomScale="90" zoomScaleNormal="90" workbookViewId="0">
      <selection activeCell="B9" sqref="B9"/>
    </sheetView>
  </sheetViews>
  <sheetFormatPr defaultRowHeight="14.5" x14ac:dyDescent="0.35"/>
  <cols>
    <col min="1" max="1" width="3.6328125" customWidth="1"/>
    <col min="2" max="2" width="10.1796875" customWidth="1"/>
    <col min="3" max="3" width="19.7265625" bestFit="1" customWidth="1"/>
    <col min="4" max="4" width="11.36328125" bestFit="1" customWidth="1"/>
    <col min="5" max="5" width="12.453125" bestFit="1" customWidth="1"/>
    <col min="6" max="6" width="53.54296875" bestFit="1" customWidth="1"/>
  </cols>
  <sheetData>
    <row r="4" spans="1:11" ht="3" customHeight="1" x14ac:dyDescent="0.35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</row>
    <row r="6" spans="1:11" x14ac:dyDescent="0.35">
      <c r="B6" s="4" t="s">
        <v>123</v>
      </c>
      <c r="C6" s="4"/>
      <c r="D6" s="4"/>
      <c r="E6" s="4"/>
      <c r="F6" s="4"/>
      <c r="G6" s="4"/>
      <c r="H6" s="4"/>
      <c r="I6" s="4"/>
      <c r="J6" s="4"/>
      <c r="K6" s="4"/>
    </row>
    <row r="8" spans="1:11" x14ac:dyDescent="0.35">
      <c r="B8" s="15" t="s">
        <v>11</v>
      </c>
      <c r="C8" s="15" t="s">
        <v>88</v>
      </c>
      <c r="D8" s="15" t="s">
        <v>125</v>
      </c>
      <c r="E8" s="15" t="s">
        <v>122</v>
      </c>
      <c r="F8" s="15" t="s">
        <v>121</v>
      </c>
    </row>
    <row r="9" spans="1:11" x14ac:dyDescent="0.35">
      <c r="B9" s="9" t="s">
        <v>78</v>
      </c>
      <c r="C9" s="9" t="s">
        <v>90</v>
      </c>
      <c r="D9" s="9" t="s">
        <v>91</v>
      </c>
      <c r="E9" s="16">
        <v>1226</v>
      </c>
      <c r="F9" s="18" t="s">
        <v>126</v>
      </c>
    </row>
    <row r="10" spans="1:11" x14ac:dyDescent="0.35">
      <c r="B10" s="9" t="s">
        <v>78</v>
      </c>
      <c r="C10" s="9" t="s">
        <v>90</v>
      </c>
      <c r="D10" s="9" t="s">
        <v>94</v>
      </c>
      <c r="E10" s="16">
        <v>1226</v>
      </c>
      <c r="F10" s="18" t="s">
        <v>126</v>
      </c>
    </row>
    <row r="11" spans="1:11" hidden="1" x14ac:dyDescent="0.35">
      <c r="B11" s="9" t="s">
        <v>108</v>
      </c>
      <c r="C11" s="9" t="s">
        <v>115</v>
      </c>
      <c r="D11" s="9" t="s">
        <v>94</v>
      </c>
      <c r="E11" s="16">
        <v>2</v>
      </c>
      <c r="F11" s="9"/>
    </row>
    <row r="12" spans="1:11" hidden="1" x14ac:dyDescent="0.35">
      <c r="B12" s="9" t="s">
        <v>108</v>
      </c>
      <c r="C12" s="9" t="s">
        <v>115</v>
      </c>
      <c r="D12" s="9" t="s">
        <v>93</v>
      </c>
      <c r="E12" s="16">
        <v>2</v>
      </c>
      <c r="F12" s="9"/>
    </row>
    <row r="13" spans="1:11" hidden="1" x14ac:dyDescent="0.35">
      <c r="B13" s="9" t="s">
        <v>108</v>
      </c>
      <c r="C13" s="9" t="s">
        <v>115</v>
      </c>
      <c r="D13" s="9" t="s">
        <v>95</v>
      </c>
      <c r="E13" s="16">
        <v>2</v>
      </c>
      <c r="F13" s="9"/>
    </row>
    <row r="14" spans="1:11" hidden="1" x14ac:dyDescent="0.35">
      <c r="B14" s="9" t="s">
        <v>108</v>
      </c>
      <c r="C14" s="9" t="s">
        <v>115</v>
      </c>
      <c r="D14" s="9" t="s">
        <v>91</v>
      </c>
      <c r="E14" s="16">
        <v>2</v>
      </c>
      <c r="F14" s="9"/>
    </row>
    <row r="15" spans="1:11" hidden="1" x14ac:dyDescent="0.35">
      <c r="B15" s="9" t="s">
        <v>113</v>
      </c>
      <c r="C15" s="9" t="s">
        <v>115</v>
      </c>
      <c r="D15" s="9" t="s">
        <v>91</v>
      </c>
      <c r="E15" s="16">
        <v>90</v>
      </c>
      <c r="F15" s="9"/>
    </row>
    <row r="16" spans="1:11" hidden="1" x14ac:dyDescent="0.35">
      <c r="B16" s="9" t="s">
        <v>113</v>
      </c>
      <c r="C16" s="9" t="s">
        <v>115</v>
      </c>
      <c r="D16" s="9" t="s">
        <v>95</v>
      </c>
      <c r="E16" s="16">
        <v>90</v>
      </c>
      <c r="F16" s="9"/>
    </row>
    <row r="17" spans="2:6" hidden="1" x14ac:dyDescent="0.35">
      <c r="B17" s="9" t="s">
        <v>113</v>
      </c>
      <c r="C17" s="9" t="s">
        <v>115</v>
      </c>
      <c r="D17" s="9" t="s">
        <v>94</v>
      </c>
      <c r="E17" s="16">
        <v>90</v>
      </c>
      <c r="F17" s="9"/>
    </row>
    <row r="18" spans="2:6" hidden="1" x14ac:dyDescent="0.35">
      <c r="B18" s="9" t="s">
        <v>113</v>
      </c>
      <c r="C18" s="9" t="s">
        <v>115</v>
      </c>
      <c r="D18" s="9" t="s">
        <v>93</v>
      </c>
      <c r="E18" s="16">
        <v>90</v>
      </c>
      <c r="F18" s="9"/>
    </row>
    <row r="19" spans="2:6" hidden="1" x14ac:dyDescent="0.35">
      <c r="B19" s="9" t="s">
        <v>21</v>
      </c>
      <c r="C19" s="9" t="s">
        <v>21</v>
      </c>
      <c r="D19" s="9" t="s">
        <v>21</v>
      </c>
      <c r="E19" s="16">
        <v>12</v>
      </c>
      <c r="F19" s="9"/>
    </row>
    <row r="20" spans="2:6" hidden="1" x14ac:dyDescent="0.35">
      <c r="B20" s="9" t="s">
        <v>104</v>
      </c>
      <c r="C20" s="9" t="s">
        <v>115</v>
      </c>
      <c r="D20" s="9" t="s">
        <v>93</v>
      </c>
      <c r="E20" s="16">
        <v>2</v>
      </c>
      <c r="F20" s="9"/>
    </row>
    <row r="21" spans="2:6" hidden="1" x14ac:dyDescent="0.35">
      <c r="B21" s="9" t="s">
        <v>104</v>
      </c>
      <c r="C21" s="9" t="s">
        <v>115</v>
      </c>
      <c r="D21" s="9" t="s">
        <v>91</v>
      </c>
      <c r="E21" s="16">
        <v>2</v>
      </c>
      <c r="F21" s="9"/>
    </row>
    <row r="22" spans="2:6" hidden="1" x14ac:dyDescent="0.35">
      <c r="B22" s="9" t="s">
        <v>104</v>
      </c>
      <c r="C22" s="9" t="s">
        <v>115</v>
      </c>
      <c r="D22" s="9" t="s">
        <v>95</v>
      </c>
      <c r="E22" s="16">
        <v>2</v>
      </c>
      <c r="F22" s="9"/>
    </row>
    <row r="23" spans="2:6" hidden="1" x14ac:dyDescent="0.35">
      <c r="B23" s="9" t="s">
        <v>104</v>
      </c>
      <c r="C23" s="9" t="s">
        <v>115</v>
      </c>
      <c r="D23" s="9" t="s">
        <v>94</v>
      </c>
      <c r="E23" s="16">
        <v>2</v>
      </c>
      <c r="F23" s="9"/>
    </row>
    <row r="24" spans="2:6" hidden="1" x14ac:dyDescent="0.35">
      <c r="B24" s="9" t="s">
        <v>100</v>
      </c>
      <c r="C24" s="9" t="s">
        <v>115</v>
      </c>
      <c r="D24" s="9" t="s">
        <v>94</v>
      </c>
      <c r="E24" s="16">
        <v>14</v>
      </c>
      <c r="F24" s="9"/>
    </row>
    <row r="25" spans="2:6" hidden="1" x14ac:dyDescent="0.35">
      <c r="B25" s="9" t="s">
        <v>100</v>
      </c>
      <c r="C25" s="9" t="s">
        <v>115</v>
      </c>
      <c r="D25" s="9" t="s">
        <v>93</v>
      </c>
      <c r="E25" s="16">
        <v>14</v>
      </c>
      <c r="F25" s="9"/>
    </row>
    <row r="26" spans="2:6" hidden="1" x14ac:dyDescent="0.35">
      <c r="B26" s="9" t="s">
        <v>100</v>
      </c>
      <c r="C26" s="9" t="s">
        <v>115</v>
      </c>
      <c r="D26" s="9" t="s">
        <v>91</v>
      </c>
      <c r="E26" s="16">
        <v>14</v>
      </c>
      <c r="F26" s="9"/>
    </row>
    <row r="27" spans="2:6" hidden="1" x14ac:dyDescent="0.35">
      <c r="B27" s="9" t="s">
        <v>100</v>
      </c>
      <c r="C27" s="9" t="s">
        <v>115</v>
      </c>
      <c r="D27" s="9" t="s">
        <v>95</v>
      </c>
      <c r="E27" s="16">
        <v>14</v>
      </c>
      <c r="F27" s="9"/>
    </row>
    <row r="28" spans="2:6" hidden="1" x14ac:dyDescent="0.35">
      <c r="B28" s="9" t="s">
        <v>106</v>
      </c>
      <c r="C28" s="9" t="s">
        <v>115</v>
      </c>
      <c r="D28" s="9" t="s">
        <v>95</v>
      </c>
      <c r="E28" s="16">
        <v>30</v>
      </c>
      <c r="F28" s="9"/>
    </row>
    <row r="29" spans="2:6" hidden="1" x14ac:dyDescent="0.35">
      <c r="B29" s="9" t="s">
        <v>106</v>
      </c>
      <c r="C29" s="9" t="s">
        <v>115</v>
      </c>
      <c r="D29" s="9" t="s">
        <v>94</v>
      </c>
      <c r="E29" s="16">
        <v>30</v>
      </c>
      <c r="F29" s="9"/>
    </row>
    <row r="30" spans="2:6" hidden="1" x14ac:dyDescent="0.35">
      <c r="B30" s="9" t="s">
        <v>106</v>
      </c>
      <c r="C30" s="9" t="s">
        <v>115</v>
      </c>
      <c r="D30" s="9" t="s">
        <v>93</v>
      </c>
      <c r="E30" s="16">
        <v>30</v>
      </c>
      <c r="F30" s="9"/>
    </row>
    <row r="31" spans="2:6" hidden="1" x14ac:dyDescent="0.35">
      <c r="B31" s="9" t="s">
        <v>106</v>
      </c>
      <c r="C31" s="9" t="s">
        <v>115</v>
      </c>
      <c r="D31" s="9" t="s">
        <v>91</v>
      </c>
      <c r="E31" s="16">
        <v>30</v>
      </c>
      <c r="F31" s="9"/>
    </row>
    <row r="32" spans="2:6" hidden="1" x14ac:dyDescent="0.35">
      <c r="B32" s="9" t="s">
        <v>99</v>
      </c>
      <c r="C32" s="9" t="s">
        <v>115</v>
      </c>
      <c r="D32" s="9" t="s">
        <v>91</v>
      </c>
      <c r="E32" s="16">
        <v>24</v>
      </c>
      <c r="F32" s="9"/>
    </row>
    <row r="33" spans="2:6" hidden="1" x14ac:dyDescent="0.35">
      <c r="B33" s="9" t="s">
        <v>99</v>
      </c>
      <c r="C33" s="9" t="s">
        <v>115</v>
      </c>
      <c r="D33" s="9" t="s">
        <v>93</v>
      </c>
      <c r="E33" s="16">
        <v>24</v>
      </c>
      <c r="F33" s="9"/>
    </row>
    <row r="34" spans="2:6" hidden="1" x14ac:dyDescent="0.35">
      <c r="B34" s="9" t="s">
        <v>99</v>
      </c>
      <c r="C34" s="9" t="s">
        <v>115</v>
      </c>
      <c r="D34" s="9" t="s">
        <v>94</v>
      </c>
      <c r="E34" s="16">
        <v>24</v>
      </c>
      <c r="F34" s="9"/>
    </row>
    <row r="35" spans="2:6" hidden="1" x14ac:dyDescent="0.35">
      <c r="B35" s="9" t="s">
        <v>99</v>
      </c>
      <c r="C35" s="9" t="s">
        <v>115</v>
      </c>
      <c r="D35" s="9" t="s">
        <v>95</v>
      </c>
      <c r="E35" s="16">
        <v>24</v>
      </c>
      <c r="F35" s="9"/>
    </row>
    <row r="36" spans="2:6" hidden="1" x14ac:dyDescent="0.35">
      <c r="B36" s="9" t="s">
        <v>102</v>
      </c>
      <c r="C36" s="9" t="s">
        <v>115</v>
      </c>
      <c r="D36" s="9" t="s">
        <v>95</v>
      </c>
      <c r="E36" s="16">
        <v>1</v>
      </c>
      <c r="F36" s="9"/>
    </row>
    <row r="37" spans="2:6" hidden="1" x14ac:dyDescent="0.35">
      <c r="B37" s="9" t="s">
        <v>102</v>
      </c>
      <c r="C37" s="9" t="s">
        <v>115</v>
      </c>
      <c r="D37" s="9" t="s">
        <v>91</v>
      </c>
      <c r="E37" s="16">
        <v>1</v>
      </c>
      <c r="F37" s="9"/>
    </row>
    <row r="38" spans="2:6" hidden="1" x14ac:dyDescent="0.35">
      <c r="B38" s="9" t="s">
        <v>102</v>
      </c>
      <c r="C38" s="9" t="s">
        <v>115</v>
      </c>
      <c r="D38" s="9" t="s">
        <v>94</v>
      </c>
      <c r="E38" s="16">
        <v>1</v>
      </c>
      <c r="F38" s="9"/>
    </row>
    <row r="39" spans="2:6" hidden="1" x14ac:dyDescent="0.35">
      <c r="B39" s="9" t="s">
        <v>102</v>
      </c>
      <c r="C39" s="9" t="s">
        <v>115</v>
      </c>
      <c r="D39" s="9" t="s">
        <v>93</v>
      </c>
      <c r="E39" s="16">
        <v>1</v>
      </c>
      <c r="F39" s="9"/>
    </row>
    <row r="40" spans="2:6" hidden="1" x14ac:dyDescent="0.35">
      <c r="B40" s="9" t="s">
        <v>114</v>
      </c>
      <c r="C40" s="9" t="s">
        <v>115</v>
      </c>
      <c r="D40" s="9" t="s">
        <v>94</v>
      </c>
      <c r="E40" s="16">
        <v>29</v>
      </c>
      <c r="F40" s="9"/>
    </row>
    <row r="41" spans="2:6" hidden="1" x14ac:dyDescent="0.35">
      <c r="B41" s="9" t="s">
        <v>114</v>
      </c>
      <c r="C41" s="9" t="s">
        <v>115</v>
      </c>
      <c r="D41" s="9" t="s">
        <v>95</v>
      </c>
      <c r="E41" s="16">
        <v>29</v>
      </c>
      <c r="F41" s="9"/>
    </row>
    <row r="42" spans="2:6" hidden="1" x14ac:dyDescent="0.35">
      <c r="B42" s="9" t="s">
        <v>114</v>
      </c>
      <c r="C42" s="9" t="s">
        <v>115</v>
      </c>
      <c r="D42" s="9" t="s">
        <v>93</v>
      </c>
      <c r="E42" s="16">
        <v>29</v>
      </c>
      <c r="F42" s="9"/>
    </row>
    <row r="43" spans="2:6" hidden="1" x14ac:dyDescent="0.35">
      <c r="B43" s="9" t="s">
        <v>114</v>
      </c>
      <c r="C43" s="9" t="s">
        <v>115</v>
      </c>
      <c r="D43" s="9" t="s">
        <v>91</v>
      </c>
      <c r="E43" s="16">
        <v>29</v>
      </c>
      <c r="F43" s="9"/>
    </row>
    <row r="44" spans="2:6" hidden="1" x14ac:dyDescent="0.35">
      <c r="B44" s="9" t="s">
        <v>111</v>
      </c>
      <c r="C44" s="9" t="s">
        <v>115</v>
      </c>
      <c r="D44" s="9" t="s">
        <v>91</v>
      </c>
      <c r="E44" s="16">
        <v>13</v>
      </c>
      <c r="F44" s="9"/>
    </row>
    <row r="45" spans="2:6" hidden="1" x14ac:dyDescent="0.35">
      <c r="B45" s="9" t="s">
        <v>111</v>
      </c>
      <c r="C45" s="9" t="s">
        <v>115</v>
      </c>
      <c r="D45" s="9" t="s">
        <v>95</v>
      </c>
      <c r="E45" s="16">
        <v>13</v>
      </c>
      <c r="F45" s="9"/>
    </row>
    <row r="46" spans="2:6" hidden="1" x14ac:dyDescent="0.35">
      <c r="B46" s="9" t="s">
        <v>111</v>
      </c>
      <c r="C46" s="9" t="s">
        <v>115</v>
      </c>
      <c r="D46" s="9" t="s">
        <v>94</v>
      </c>
      <c r="E46" s="16">
        <v>13</v>
      </c>
      <c r="F46" s="9"/>
    </row>
    <row r="47" spans="2:6" hidden="1" x14ac:dyDescent="0.35">
      <c r="B47" s="9" t="s">
        <v>111</v>
      </c>
      <c r="C47" s="9" t="s">
        <v>115</v>
      </c>
      <c r="D47" s="9" t="s">
        <v>93</v>
      </c>
      <c r="E47" s="16">
        <v>13</v>
      </c>
      <c r="F47" s="9"/>
    </row>
    <row r="48" spans="2:6" hidden="1" x14ac:dyDescent="0.35">
      <c r="B48" s="9" t="s">
        <v>101</v>
      </c>
      <c r="C48" s="9" t="s">
        <v>115</v>
      </c>
      <c r="D48" s="9" t="s">
        <v>94</v>
      </c>
      <c r="E48" s="16">
        <v>75</v>
      </c>
      <c r="F48" s="9"/>
    </row>
    <row r="49" spans="2:6" hidden="1" x14ac:dyDescent="0.35">
      <c r="B49" s="9" t="s">
        <v>101</v>
      </c>
      <c r="C49" s="9" t="s">
        <v>115</v>
      </c>
      <c r="D49" s="9" t="s">
        <v>91</v>
      </c>
      <c r="E49" s="16">
        <v>75</v>
      </c>
      <c r="F49" s="9"/>
    </row>
    <row r="50" spans="2:6" hidden="1" x14ac:dyDescent="0.35">
      <c r="B50" s="9" t="s">
        <v>101</v>
      </c>
      <c r="C50" s="9" t="s">
        <v>115</v>
      </c>
      <c r="D50" s="9" t="s">
        <v>93</v>
      </c>
      <c r="E50" s="16">
        <v>75</v>
      </c>
      <c r="F50" s="9"/>
    </row>
    <row r="51" spans="2:6" hidden="1" x14ac:dyDescent="0.35">
      <c r="B51" s="9" t="s">
        <v>101</v>
      </c>
      <c r="C51" s="9" t="s">
        <v>115</v>
      </c>
      <c r="D51" s="9" t="s">
        <v>95</v>
      </c>
      <c r="E51" s="16">
        <v>75</v>
      </c>
      <c r="F51" s="9"/>
    </row>
    <row r="52" spans="2:6" hidden="1" x14ac:dyDescent="0.35">
      <c r="B52" s="9" t="s">
        <v>103</v>
      </c>
      <c r="C52" s="9" t="s">
        <v>115</v>
      </c>
      <c r="D52" s="9" t="s">
        <v>91</v>
      </c>
      <c r="E52" s="16">
        <v>12</v>
      </c>
      <c r="F52" s="9"/>
    </row>
    <row r="53" spans="2:6" hidden="1" x14ac:dyDescent="0.35">
      <c r="B53" s="9" t="s">
        <v>103</v>
      </c>
      <c r="C53" s="9" t="s">
        <v>115</v>
      </c>
      <c r="D53" s="9" t="s">
        <v>94</v>
      </c>
      <c r="E53" s="16">
        <v>12</v>
      </c>
      <c r="F53" s="9"/>
    </row>
    <row r="54" spans="2:6" hidden="1" x14ac:dyDescent="0.35">
      <c r="B54" s="9" t="s">
        <v>103</v>
      </c>
      <c r="C54" s="9" t="s">
        <v>115</v>
      </c>
      <c r="D54" s="9" t="s">
        <v>93</v>
      </c>
      <c r="E54" s="16">
        <v>12</v>
      </c>
      <c r="F54" s="9"/>
    </row>
    <row r="55" spans="2:6" hidden="1" x14ac:dyDescent="0.35">
      <c r="B55" s="9" t="s">
        <v>103</v>
      </c>
      <c r="C55" s="9" t="s">
        <v>115</v>
      </c>
      <c r="D55" s="9" t="s">
        <v>95</v>
      </c>
      <c r="E55" s="16">
        <v>12</v>
      </c>
      <c r="F55" s="9"/>
    </row>
    <row r="56" spans="2:6" x14ac:dyDescent="0.35">
      <c r="B56" s="9" t="s">
        <v>98</v>
      </c>
      <c r="C56" s="9" t="s">
        <v>90</v>
      </c>
      <c r="D56" s="9" t="s">
        <v>91</v>
      </c>
      <c r="E56" s="16">
        <v>2</v>
      </c>
      <c r="F56" s="18" t="s">
        <v>126</v>
      </c>
    </row>
    <row r="57" spans="2:6" x14ac:dyDescent="0.35">
      <c r="B57" s="9" t="s">
        <v>98</v>
      </c>
      <c r="C57" s="9" t="s">
        <v>90</v>
      </c>
      <c r="D57" s="9" t="s">
        <v>93</v>
      </c>
      <c r="E57" s="16">
        <v>2</v>
      </c>
      <c r="F57" s="18" t="s">
        <v>126</v>
      </c>
    </row>
    <row r="58" spans="2:6" x14ac:dyDescent="0.35">
      <c r="B58" s="9" t="s">
        <v>98</v>
      </c>
      <c r="C58" s="9" t="s">
        <v>90</v>
      </c>
      <c r="D58" s="9" t="s">
        <v>94</v>
      </c>
      <c r="E58" s="16">
        <v>2</v>
      </c>
      <c r="F58" s="18" t="s">
        <v>126</v>
      </c>
    </row>
    <row r="59" spans="2:6" x14ac:dyDescent="0.35">
      <c r="B59" s="9" t="s">
        <v>98</v>
      </c>
      <c r="C59" s="9" t="s">
        <v>90</v>
      </c>
      <c r="D59" s="9" t="s">
        <v>95</v>
      </c>
      <c r="E59" s="16">
        <v>2</v>
      </c>
      <c r="F59" s="18" t="s">
        <v>126</v>
      </c>
    </row>
    <row r="60" spans="2:6" hidden="1" x14ac:dyDescent="0.35">
      <c r="B60" s="9" t="s">
        <v>105</v>
      </c>
      <c r="C60" s="9" t="s">
        <v>115</v>
      </c>
      <c r="D60" s="9" t="s">
        <v>91</v>
      </c>
      <c r="E60" s="16">
        <v>1</v>
      </c>
      <c r="F60" s="9"/>
    </row>
    <row r="61" spans="2:6" hidden="1" x14ac:dyDescent="0.35">
      <c r="B61" s="9" t="s">
        <v>105</v>
      </c>
      <c r="C61" s="9" t="s">
        <v>115</v>
      </c>
      <c r="D61" s="9" t="s">
        <v>95</v>
      </c>
      <c r="E61" s="16">
        <v>1</v>
      </c>
      <c r="F61" s="9"/>
    </row>
    <row r="62" spans="2:6" hidden="1" x14ac:dyDescent="0.35">
      <c r="B62" s="9" t="s">
        <v>105</v>
      </c>
      <c r="C62" s="9" t="s">
        <v>115</v>
      </c>
      <c r="D62" s="9" t="s">
        <v>93</v>
      </c>
      <c r="E62" s="16">
        <v>1</v>
      </c>
      <c r="F62" s="9"/>
    </row>
    <row r="63" spans="2:6" hidden="1" x14ac:dyDescent="0.35">
      <c r="B63" s="9" t="s">
        <v>105</v>
      </c>
      <c r="C63" s="9" t="s">
        <v>115</v>
      </c>
      <c r="D63" s="9" t="s">
        <v>94</v>
      </c>
      <c r="E63" s="16">
        <v>1</v>
      </c>
      <c r="F63" s="9"/>
    </row>
    <row r="64" spans="2:6" x14ac:dyDescent="0.35">
      <c r="B64" s="9" t="s">
        <v>81</v>
      </c>
      <c r="C64" s="9" t="s">
        <v>90</v>
      </c>
      <c r="D64" s="9" t="s">
        <v>95</v>
      </c>
      <c r="E64" s="16">
        <v>1723</v>
      </c>
      <c r="F64" s="18" t="s">
        <v>126</v>
      </c>
    </row>
    <row r="65" spans="2:6" x14ac:dyDescent="0.35">
      <c r="B65" s="9" t="s">
        <v>81</v>
      </c>
      <c r="C65" s="9" t="s">
        <v>90</v>
      </c>
      <c r="D65" s="9" t="s">
        <v>94</v>
      </c>
      <c r="E65" s="16">
        <v>1723</v>
      </c>
      <c r="F65" s="18" t="s">
        <v>126</v>
      </c>
    </row>
    <row r="66" spans="2:6" x14ac:dyDescent="0.35">
      <c r="B66" s="9" t="s">
        <v>81</v>
      </c>
      <c r="C66" s="9" t="s">
        <v>90</v>
      </c>
      <c r="D66" s="9" t="s">
        <v>91</v>
      </c>
      <c r="E66" s="16">
        <v>1723</v>
      </c>
      <c r="F66" s="18" t="s">
        <v>126</v>
      </c>
    </row>
    <row r="67" spans="2:6" x14ac:dyDescent="0.35">
      <c r="B67" s="9" t="s">
        <v>81</v>
      </c>
      <c r="C67" s="9" t="s">
        <v>90</v>
      </c>
      <c r="D67" s="9" t="s">
        <v>93</v>
      </c>
      <c r="E67" s="16">
        <v>1723</v>
      </c>
      <c r="F67" s="18" t="s">
        <v>126</v>
      </c>
    </row>
    <row r="68" spans="2:6" hidden="1" x14ac:dyDescent="0.35">
      <c r="B68" s="9" t="s">
        <v>109</v>
      </c>
      <c r="C68" s="9" t="s">
        <v>115</v>
      </c>
      <c r="D68" s="9" t="s">
        <v>94</v>
      </c>
      <c r="E68" s="16">
        <v>1</v>
      </c>
      <c r="F68" s="9"/>
    </row>
    <row r="69" spans="2:6" hidden="1" x14ac:dyDescent="0.35">
      <c r="B69" s="9" t="s">
        <v>109</v>
      </c>
      <c r="C69" s="9" t="s">
        <v>115</v>
      </c>
      <c r="D69" s="9" t="s">
        <v>91</v>
      </c>
      <c r="E69" s="16">
        <v>1</v>
      </c>
      <c r="F69" s="9"/>
    </row>
    <row r="70" spans="2:6" hidden="1" x14ac:dyDescent="0.35">
      <c r="B70" s="9" t="s">
        <v>109</v>
      </c>
      <c r="C70" s="9" t="s">
        <v>115</v>
      </c>
      <c r="D70" s="9" t="s">
        <v>95</v>
      </c>
      <c r="E70" s="16">
        <v>1</v>
      </c>
      <c r="F70" s="9"/>
    </row>
    <row r="71" spans="2:6" hidden="1" x14ac:dyDescent="0.35">
      <c r="B71" s="9" t="s">
        <v>109</v>
      </c>
      <c r="C71" s="9" t="s">
        <v>115</v>
      </c>
      <c r="D71" s="9" t="s">
        <v>93</v>
      </c>
      <c r="E71" s="16">
        <v>1</v>
      </c>
      <c r="F71" s="9"/>
    </row>
    <row r="72" spans="2:6" x14ac:dyDescent="0.35">
      <c r="B72" s="9" t="s">
        <v>89</v>
      </c>
      <c r="C72" s="9" t="s">
        <v>90</v>
      </c>
      <c r="D72" s="9" t="s">
        <v>93</v>
      </c>
      <c r="E72" s="16">
        <v>1</v>
      </c>
      <c r="F72" s="18" t="s">
        <v>126</v>
      </c>
    </row>
    <row r="73" spans="2:6" x14ac:dyDescent="0.35">
      <c r="B73" s="9" t="s">
        <v>89</v>
      </c>
      <c r="C73" s="9" t="s">
        <v>90</v>
      </c>
      <c r="D73" s="9" t="s">
        <v>91</v>
      </c>
      <c r="E73" s="16">
        <v>1</v>
      </c>
      <c r="F73" s="18" t="s">
        <v>126</v>
      </c>
    </row>
    <row r="74" spans="2:6" x14ac:dyDescent="0.35">
      <c r="B74" s="9" t="s">
        <v>89</v>
      </c>
      <c r="C74" s="9" t="s">
        <v>90</v>
      </c>
      <c r="D74" s="9" t="s">
        <v>95</v>
      </c>
      <c r="E74" s="16">
        <v>1</v>
      </c>
      <c r="F74" s="18" t="s">
        <v>126</v>
      </c>
    </row>
    <row r="75" spans="2:6" x14ac:dyDescent="0.35">
      <c r="B75" s="9" t="s">
        <v>89</v>
      </c>
      <c r="C75" s="9" t="s">
        <v>90</v>
      </c>
      <c r="D75" s="9" t="s">
        <v>94</v>
      </c>
      <c r="E75" s="16">
        <v>1</v>
      </c>
      <c r="F75" s="18" t="s">
        <v>126</v>
      </c>
    </row>
    <row r="76" spans="2:6" x14ac:dyDescent="0.35">
      <c r="B76" s="9" t="s">
        <v>79</v>
      </c>
      <c r="C76" s="9" t="s">
        <v>90</v>
      </c>
      <c r="D76" s="9" t="s">
        <v>95</v>
      </c>
      <c r="E76" s="16">
        <v>107399</v>
      </c>
      <c r="F76" s="18" t="s">
        <v>126</v>
      </c>
    </row>
    <row r="77" spans="2:6" x14ac:dyDescent="0.35">
      <c r="B77" s="9" t="s">
        <v>79</v>
      </c>
      <c r="C77" s="9" t="s">
        <v>90</v>
      </c>
      <c r="D77" s="9" t="s">
        <v>91</v>
      </c>
      <c r="E77" s="16">
        <v>107399</v>
      </c>
      <c r="F77" s="18" t="s">
        <v>126</v>
      </c>
    </row>
    <row r="78" spans="2:6" x14ac:dyDescent="0.35">
      <c r="B78" s="9" t="s">
        <v>79</v>
      </c>
      <c r="C78" s="9" t="s">
        <v>90</v>
      </c>
      <c r="D78" s="9" t="s">
        <v>94</v>
      </c>
      <c r="E78" s="16">
        <v>107399</v>
      </c>
      <c r="F78" s="18" t="s">
        <v>126</v>
      </c>
    </row>
    <row r="79" spans="2:6" x14ac:dyDescent="0.35">
      <c r="B79" s="9" t="s">
        <v>79</v>
      </c>
      <c r="C79" s="9" t="s">
        <v>90</v>
      </c>
      <c r="D79" s="9" t="s">
        <v>93</v>
      </c>
      <c r="E79" s="16">
        <v>107399</v>
      </c>
      <c r="F79" s="18" t="s">
        <v>126</v>
      </c>
    </row>
    <row r="80" spans="2:6" x14ac:dyDescent="0.35">
      <c r="B80" s="9" t="s">
        <v>80</v>
      </c>
      <c r="C80" s="9" t="s">
        <v>90</v>
      </c>
      <c r="D80" s="9" t="s">
        <v>93</v>
      </c>
      <c r="E80" s="16">
        <v>19758</v>
      </c>
      <c r="F80" s="18" t="s">
        <v>126</v>
      </c>
    </row>
    <row r="81" spans="2:6" x14ac:dyDescent="0.35">
      <c r="B81" s="9" t="s">
        <v>80</v>
      </c>
      <c r="C81" s="9" t="s">
        <v>90</v>
      </c>
      <c r="D81" s="9" t="s">
        <v>94</v>
      </c>
      <c r="E81" s="16">
        <v>19758</v>
      </c>
      <c r="F81" s="18" t="s">
        <v>126</v>
      </c>
    </row>
    <row r="82" spans="2:6" x14ac:dyDescent="0.35">
      <c r="B82" s="9" t="s">
        <v>80</v>
      </c>
      <c r="C82" s="9" t="s">
        <v>90</v>
      </c>
      <c r="D82" s="9" t="s">
        <v>91</v>
      </c>
      <c r="E82" s="16">
        <v>19758</v>
      </c>
      <c r="F82" s="18" t="s">
        <v>126</v>
      </c>
    </row>
    <row r="83" spans="2:6" x14ac:dyDescent="0.35">
      <c r="B83" s="9" t="s">
        <v>80</v>
      </c>
      <c r="C83" s="9" t="s">
        <v>90</v>
      </c>
      <c r="D83" s="9" t="s">
        <v>95</v>
      </c>
      <c r="E83" s="16">
        <v>19758</v>
      </c>
      <c r="F83" s="18" t="s">
        <v>126</v>
      </c>
    </row>
    <row r="84" spans="2:6" x14ac:dyDescent="0.35">
      <c r="B84" s="9" t="s">
        <v>92</v>
      </c>
      <c r="C84" s="9" t="s">
        <v>90</v>
      </c>
      <c r="D84" s="9" t="s">
        <v>95</v>
      </c>
      <c r="E84" s="16">
        <v>6</v>
      </c>
      <c r="F84" s="18" t="s">
        <v>126</v>
      </c>
    </row>
    <row r="85" spans="2:6" x14ac:dyDescent="0.35">
      <c r="B85" s="9" t="s">
        <v>92</v>
      </c>
      <c r="C85" s="9" t="s">
        <v>90</v>
      </c>
      <c r="D85" s="9" t="s">
        <v>94</v>
      </c>
      <c r="E85" s="16">
        <v>6</v>
      </c>
      <c r="F85" s="18" t="s">
        <v>126</v>
      </c>
    </row>
    <row r="86" spans="2:6" x14ac:dyDescent="0.35">
      <c r="B86" s="9" t="s">
        <v>92</v>
      </c>
      <c r="C86" s="9" t="s">
        <v>90</v>
      </c>
      <c r="D86" s="9" t="s">
        <v>91</v>
      </c>
      <c r="E86" s="16">
        <v>6</v>
      </c>
      <c r="F86" s="18" t="s">
        <v>126</v>
      </c>
    </row>
    <row r="87" spans="2:6" x14ac:dyDescent="0.35">
      <c r="B87" s="9" t="s">
        <v>92</v>
      </c>
      <c r="C87" s="9" t="s">
        <v>90</v>
      </c>
      <c r="D87" s="9" t="s">
        <v>93</v>
      </c>
      <c r="E87" s="16">
        <v>6</v>
      </c>
      <c r="F87" s="18" t="s">
        <v>126</v>
      </c>
    </row>
    <row r="88" spans="2:6" x14ac:dyDescent="0.35">
      <c r="B88" s="10" t="s">
        <v>96</v>
      </c>
      <c r="C88" s="10" t="s">
        <v>90</v>
      </c>
      <c r="D88" s="10" t="s">
        <v>93</v>
      </c>
      <c r="E88" s="17">
        <v>12</v>
      </c>
      <c r="F88" s="14" t="s">
        <v>127</v>
      </c>
    </row>
    <row r="89" spans="2:6" x14ac:dyDescent="0.35">
      <c r="B89" s="10" t="s">
        <v>96</v>
      </c>
      <c r="C89" s="10" t="s">
        <v>90</v>
      </c>
      <c r="D89" s="10" t="s">
        <v>94</v>
      </c>
      <c r="E89" s="17">
        <v>12</v>
      </c>
      <c r="F89" s="14" t="s">
        <v>127</v>
      </c>
    </row>
    <row r="90" spans="2:6" x14ac:dyDescent="0.35">
      <c r="B90" s="10" t="s">
        <v>96</v>
      </c>
      <c r="C90" s="10" t="s">
        <v>90</v>
      </c>
      <c r="D90" s="10" t="s">
        <v>91</v>
      </c>
      <c r="E90" s="17">
        <v>12</v>
      </c>
      <c r="F90" s="14" t="s">
        <v>127</v>
      </c>
    </row>
    <row r="91" spans="2:6" x14ac:dyDescent="0.35">
      <c r="B91" s="10" t="s">
        <v>96</v>
      </c>
      <c r="C91" s="10" t="s">
        <v>90</v>
      </c>
      <c r="D91" s="10" t="s">
        <v>95</v>
      </c>
      <c r="E91" s="17">
        <v>12</v>
      </c>
      <c r="F91" s="14" t="s">
        <v>127</v>
      </c>
    </row>
    <row r="92" spans="2:6" hidden="1" x14ac:dyDescent="0.35">
      <c r="B92" s="11" t="s">
        <v>112</v>
      </c>
      <c r="C92" s="9" t="s">
        <v>115</v>
      </c>
      <c r="D92" s="9" t="s">
        <v>94</v>
      </c>
      <c r="E92" s="16">
        <v>4</v>
      </c>
      <c r="F92" s="14"/>
    </row>
    <row r="93" spans="2:6" hidden="1" x14ac:dyDescent="0.35">
      <c r="B93" s="11" t="s">
        <v>112</v>
      </c>
      <c r="C93" s="9" t="s">
        <v>115</v>
      </c>
      <c r="D93" s="9" t="s">
        <v>91</v>
      </c>
      <c r="E93" s="16">
        <v>4</v>
      </c>
      <c r="F93" s="14"/>
    </row>
    <row r="94" spans="2:6" hidden="1" x14ac:dyDescent="0.35">
      <c r="B94" s="11" t="s">
        <v>112</v>
      </c>
      <c r="C94" s="9" t="s">
        <v>115</v>
      </c>
      <c r="D94" s="9" t="s">
        <v>93</v>
      </c>
      <c r="E94" s="16">
        <v>4</v>
      </c>
      <c r="F94" s="14"/>
    </row>
    <row r="95" spans="2:6" hidden="1" x14ac:dyDescent="0.35">
      <c r="B95" s="11" t="s">
        <v>112</v>
      </c>
      <c r="C95" s="9" t="s">
        <v>115</v>
      </c>
      <c r="D95" s="9" t="s">
        <v>95</v>
      </c>
      <c r="E95" s="16">
        <v>4</v>
      </c>
      <c r="F95" s="14"/>
    </row>
    <row r="96" spans="2:6" x14ac:dyDescent="0.35">
      <c r="B96" s="10" t="s">
        <v>97</v>
      </c>
      <c r="C96" s="10" t="s">
        <v>90</v>
      </c>
      <c r="D96" s="10" t="s">
        <v>93</v>
      </c>
      <c r="E96" s="17">
        <v>107</v>
      </c>
      <c r="F96" s="14" t="s">
        <v>127</v>
      </c>
    </row>
    <row r="97" spans="2:6" x14ac:dyDescent="0.35">
      <c r="B97" s="10" t="s">
        <v>97</v>
      </c>
      <c r="C97" s="10" t="s">
        <v>90</v>
      </c>
      <c r="D97" s="10" t="s">
        <v>91</v>
      </c>
      <c r="E97" s="17">
        <v>107</v>
      </c>
      <c r="F97" s="14" t="s">
        <v>127</v>
      </c>
    </row>
    <row r="98" spans="2:6" x14ac:dyDescent="0.35">
      <c r="B98" s="10" t="s">
        <v>97</v>
      </c>
      <c r="C98" s="10" t="s">
        <v>90</v>
      </c>
      <c r="D98" s="10" t="s">
        <v>95</v>
      </c>
      <c r="E98" s="17">
        <v>107</v>
      </c>
      <c r="F98" s="14" t="s">
        <v>127</v>
      </c>
    </row>
    <row r="99" spans="2:6" x14ac:dyDescent="0.35">
      <c r="B99" s="10" t="s">
        <v>97</v>
      </c>
      <c r="C99" s="10" t="s">
        <v>90</v>
      </c>
      <c r="D99" s="10" t="s">
        <v>94</v>
      </c>
      <c r="E99" s="17">
        <v>107</v>
      </c>
      <c r="F99" s="14" t="s">
        <v>127</v>
      </c>
    </row>
    <row r="100" spans="2:6" hidden="1" x14ac:dyDescent="0.35">
      <c r="B100" s="11" t="s">
        <v>110</v>
      </c>
      <c r="C100" s="9" t="s">
        <v>115</v>
      </c>
      <c r="D100" s="9" t="s">
        <v>95</v>
      </c>
      <c r="E100" s="16">
        <v>16</v>
      </c>
      <c r="F100" s="14"/>
    </row>
    <row r="101" spans="2:6" hidden="1" x14ac:dyDescent="0.35">
      <c r="B101" s="11" t="s">
        <v>110</v>
      </c>
      <c r="C101" s="9" t="s">
        <v>115</v>
      </c>
      <c r="D101" s="9" t="s">
        <v>93</v>
      </c>
      <c r="E101" s="16">
        <v>16</v>
      </c>
      <c r="F101" s="14"/>
    </row>
    <row r="102" spans="2:6" hidden="1" x14ac:dyDescent="0.35">
      <c r="B102" s="11" t="s">
        <v>110</v>
      </c>
      <c r="C102" s="9" t="s">
        <v>115</v>
      </c>
      <c r="D102" s="9" t="s">
        <v>91</v>
      </c>
      <c r="E102" s="16">
        <v>16</v>
      </c>
      <c r="F102" s="14"/>
    </row>
    <row r="103" spans="2:6" hidden="1" x14ac:dyDescent="0.35">
      <c r="B103" s="11" t="s">
        <v>110</v>
      </c>
      <c r="C103" s="9" t="s">
        <v>115</v>
      </c>
      <c r="D103" s="9" t="s">
        <v>94</v>
      </c>
      <c r="E103" s="16">
        <v>16</v>
      </c>
      <c r="F103" s="14"/>
    </row>
    <row r="104" spans="2:6" x14ac:dyDescent="0.35">
      <c r="B104" s="10" t="s">
        <v>82</v>
      </c>
      <c r="C104" s="10" t="s">
        <v>90</v>
      </c>
      <c r="D104" s="10" t="s">
        <v>93</v>
      </c>
      <c r="E104" s="17">
        <v>8</v>
      </c>
      <c r="F104" s="19" t="s">
        <v>128</v>
      </c>
    </row>
    <row r="105" spans="2:6" x14ac:dyDescent="0.35">
      <c r="B105" s="10" t="s">
        <v>82</v>
      </c>
      <c r="C105" s="10" t="s">
        <v>90</v>
      </c>
      <c r="D105" s="10" t="s">
        <v>91</v>
      </c>
      <c r="E105" s="17">
        <v>8</v>
      </c>
      <c r="F105" s="19" t="s">
        <v>128</v>
      </c>
    </row>
    <row r="106" spans="2:6" x14ac:dyDescent="0.35">
      <c r="B106" s="10" t="s">
        <v>82</v>
      </c>
      <c r="C106" s="10" t="s">
        <v>90</v>
      </c>
      <c r="D106" s="10" t="s">
        <v>95</v>
      </c>
      <c r="E106" s="17">
        <v>8</v>
      </c>
      <c r="F106" s="19" t="s">
        <v>128</v>
      </c>
    </row>
    <row r="107" spans="2:6" x14ac:dyDescent="0.35">
      <c r="B107" s="10" t="s">
        <v>82</v>
      </c>
      <c r="C107" s="10" t="s">
        <v>90</v>
      </c>
      <c r="D107" s="10" t="s">
        <v>94</v>
      </c>
      <c r="E107" s="17">
        <v>8</v>
      </c>
      <c r="F107" s="19" t="s">
        <v>128</v>
      </c>
    </row>
    <row r="108" spans="2:6" hidden="1" x14ac:dyDescent="0.35">
      <c r="B108" s="9" t="s">
        <v>107</v>
      </c>
      <c r="C108" s="9" t="s">
        <v>115</v>
      </c>
      <c r="D108" s="9" t="s">
        <v>93</v>
      </c>
      <c r="E108" s="16">
        <v>7</v>
      </c>
      <c r="F108" s="9"/>
    </row>
    <row r="109" spans="2:6" hidden="1" x14ac:dyDescent="0.35">
      <c r="B109" s="9" t="s">
        <v>107</v>
      </c>
      <c r="C109" s="9" t="s">
        <v>115</v>
      </c>
      <c r="D109" s="9" t="s">
        <v>95</v>
      </c>
      <c r="E109" s="16">
        <v>7</v>
      </c>
      <c r="F109" s="9"/>
    </row>
    <row r="110" spans="2:6" hidden="1" x14ac:dyDescent="0.35">
      <c r="B110" s="9" t="s">
        <v>107</v>
      </c>
      <c r="C110" s="9" t="s">
        <v>115</v>
      </c>
      <c r="D110" s="9" t="s">
        <v>94</v>
      </c>
      <c r="E110" s="16">
        <v>7</v>
      </c>
      <c r="F110" s="9"/>
    </row>
    <row r="111" spans="2:6" hidden="1" x14ac:dyDescent="0.35">
      <c r="B111" s="9" t="s">
        <v>107</v>
      </c>
      <c r="C111" s="9" t="s">
        <v>115</v>
      </c>
      <c r="D111" s="9" t="s">
        <v>91</v>
      </c>
      <c r="E111" s="16">
        <v>7</v>
      </c>
      <c r="F111" s="9"/>
    </row>
  </sheetData>
  <autoFilter ref="B8:F111" xr:uid="{49FB7403-2F91-4654-8780-485BF6C22E78}">
    <filterColumn colId="1">
      <filters>
        <filter val="Ativo"/>
      </filters>
    </filterColumn>
  </autoFilter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72505-D705-4BF6-89A5-ACB7519ED0D1}">
  <dimension ref="A4:J16"/>
  <sheetViews>
    <sheetView showGridLines="0" tabSelected="1" workbookViewId="0">
      <selection activeCell="G5" sqref="G5"/>
    </sheetView>
  </sheetViews>
  <sheetFormatPr defaultColWidth="8.7265625" defaultRowHeight="14.5" x14ac:dyDescent="0.35"/>
  <cols>
    <col min="1" max="1" width="3.6328125" customWidth="1"/>
    <col min="2" max="2" width="18.54296875" customWidth="1"/>
    <col min="3" max="3" width="8.7265625" customWidth="1"/>
  </cols>
  <sheetData>
    <row r="4" spans="1:10" ht="3" customHeight="1" x14ac:dyDescent="0.35">
      <c r="A4" s="13"/>
      <c r="B4" s="13"/>
    </row>
    <row r="6" spans="1:10" x14ac:dyDescent="0.35">
      <c r="B6" s="12" t="s">
        <v>124</v>
      </c>
    </row>
    <row r="7" spans="1:10" x14ac:dyDescent="0.35">
      <c r="B7" s="9" t="s">
        <v>78</v>
      </c>
      <c r="C7" t="s">
        <v>129</v>
      </c>
      <c r="D7" s="8" t="s">
        <v>138</v>
      </c>
      <c r="H7" t="s">
        <v>89</v>
      </c>
      <c r="I7" t="str">
        <f>+VLOOKUP(H7,$B$7:$B$13,1,TRUE)</f>
        <v>SO0702</v>
      </c>
      <c r="J7" t="e">
        <f>+VLOOKUP(B7,$H$7:$H$16,1,TRUE)</f>
        <v>#N/A</v>
      </c>
    </row>
    <row r="8" spans="1:10" x14ac:dyDescent="0.35">
      <c r="B8" s="9" t="s">
        <v>98</v>
      </c>
      <c r="C8" t="s">
        <v>131</v>
      </c>
      <c r="D8" t="s">
        <v>132</v>
      </c>
      <c r="H8" s="20" t="s">
        <v>82</v>
      </c>
      <c r="I8" t="str">
        <f t="shared" ref="I8:I16" si="0">+VLOOKUP(H8,$B$7:$B$13,1,TRUE)</f>
        <v>SO0722</v>
      </c>
      <c r="J8" t="e">
        <f t="shared" ref="J8:J16" si="1">+VLOOKUP(B8,$H$7:$H$16,1,TRUE)</f>
        <v>#N/A</v>
      </c>
    </row>
    <row r="9" spans="1:10" x14ac:dyDescent="0.35">
      <c r="B9" s="9" t="s">
        <v>81</v>
      </c>
      <c r="C9" t="s">
        <v>130</v>
      </c>
      <c r="D9" t="s">
        <v>132</v>
      </c>
      <c r="H9" t="s">
        <v>81</v>
      </c>
      <c r="I9" t="str">
        <f t="shared" si="0"/>
        <v>SO0503</v>
      </c>
      <c r="J9" t="e">
        <f t="shared" si="1"/>
        <v>#N/A</v>
      </c>
    </row>
    <row r="10" spans="1:10" x14ac:dyDescent="0.35">
      <c r="B10" s="9" t="s">
        <v>89</v>
      </c>
      <c r="C10" t="s">
        <v>132</v>
      </c>
      <c r="D10" t="s">
        <v>133</v>
      </c>
      <c r="E10" t="s">
        <v>137</v>
      </c>
      <c r="H10" t="s">
        <v>80</v>
      </c>
      <c r="I10" t="str">
        <f t="shared" si="0"/>
        <v>SO0721</v>
      </c>
      <c r="J10" t="str">
        <f t="shared" si="1"/>
        <v>SO0702</v>
      </c>
    </row>
    <row r="11" spans="1:10" x14ac:dyDescent="0.35">
      <c r="B11" s="9" t="s">
        <v>79</v>
      </c>
      <c r="C11" t="s">
        <v>132</v>
      </c>
      <c r="D11" t="s">
        <v>136</v>
      </c>
      <c r="H11" t="s">
        <v>79</v>
      </c>
      <c r="I11" t="str">
        <f t="shared" si="0"/>
        <v>SO0711</v>
      </c>
      <c r="J11" t="str">
        <f t="shared" si="1"/>
        <v>SO0711</v>
      </c>
    </row>
    <row r="12" spans="1:10" x14ac:dyDescent="0.35">
      <c r="B12" s="9" t="s">
        <v>80</v>
      </c>
      <c r="C12" t="s">
        <v>132</v>
      </c>
      <c r="D12" t="s">
        <v>134</v>
      </c>
      <c r="H12" t="s">
        <v>96</v>
      </c>
      <c r="I12" t="str">
        <f t="shared" si="0"/>
        <v>SO0722</v>
      </c>
      <c r="J12" t="str">
        <f t="shared" si="1"/>
        <v>AAAAAA</v>
      </c>
    </row>
    <row r="13" spans="1:10" x14ac:dyDescent="0.35">
      <c r="B13" s="9" t="s">
        <v>92</v>
      </c>
      <c r="C13" t="s">
        <v>132</v>
      </c>
      <c r="D13" s="8" t="s">
        <v>135</v>
      </c>
      <c r="H13" t="s">
        <v>97</v>
      </c>
      <c r="I13" t="str">
        <f t="shared" si="0"/>
        <v>SO0722</v>
      </c>
      <c r="J13" t="str">
        <f t="shared" si="1"/>
        <v>SO0722</v>
      </c>
    </row>
    <row r="14" spans="1:10" x14ac:dyDescent="0.35">
      <c r="H14" t="s">
        <v>78</v>
      </c>
      <c r="I14" t="str">
        <f t="shared" si="0"/>
        <v>AAAAAA</v>
      </c>
    </row>
    <row r="15" spans="1:10" x14ac:dyDescent="0.35">
      <c r="H15" t="s">
        <v>92</v>
      </c>
      <c r="I15" t="str">
        <f t="shared" si="0"/>
        <v>SO0722</v>
      </c>
    </row>
    <row r="16" spans="1:10" x14ac:dyDescent="0.35">
      <c r="H16" t="s">
        <v>98</v>
      </c>
      <c r="I16" t="str">
        <f t="shared" si="0"/>
        <v>SO0303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2F0A6-2385-46E9-896C-46DD8E499DC4}">
  <dimension ref="A1:F16"/>
  <sheetViews>
    <sheetView topLeftCell="B1" workbookViewId="0">
      <selection activeCell="F4" sqref="F4"/>
    </sheetView>
  </sheetViews>
  <sheetFormatPr defaultRowHeight="14.5" x14ac:dyDescent="0.35"/>
  <cols>
    <col min="4" max="4" width="33.6328125" bestFit="1" customWidth="1"/>
    <col min="5" max="5" width="36.6328125" bestFit="1" customWidth="1"/>
  </cols>
  <sheetData>
    <row r="1" spans="1:6" x14ac:dyDescent="0.35">
      <c r="A1" t="s">
        <v>108</v>
      </c>
    </row>
    <row r="2" spans="1:6" x14ac:dyDescent="0.35">
      <c r="A2" t="s">
        <v>113</v>
      </c>
      <c r="D2" t="s">
        <v>117</v>
      </c>
      <c r="E2" t="s">
        <v>118</v>
      </c>
    </row>
    <row r="3" spans="1:6" x14ac:dyDescent="0.35">
      <c r="A3" t="s">
        <v>104</v>
      </c>
      <c r="D3" s="8" t="s">
        <v>116</v>
      </c>
      <c r="E3" s="8" t="s">
        <v>116</v>
      </c>
      <c r="F3" t="s">
        <v>120</v>
      </c>
    </row>
    <row r="4" spans="1:6" x14ac:dyDescent="0.35">
      <c r="A4" t="s">
        <v>100</v>
      </c>
      <c r="D4" s="8" t="s">
        <v>119</v>
      </c>
      <c r="E4" s="8" t="s">
        <v>119</v>
      </c>
    </row>
    <row r="5" spans="1:6" x14ac:dyDescent="0.35">
      <c r="A5" t="s">
        <v>106</v>
      </c>
    </row>
    <row r="6" spans="1:6" x14ac:dyDescent="0.35">
      <c r="A6" t="s">
        <v>99</v>
      </c>
    </row>
    <row r="7" spans="1:6" x14ac:dyDescent="0.35">
      <c r="A7" t="s">
        <v>102</v>
      </c>
    </row>
    <row r="8" spans="1:6" x14ac:dyDescent="0.35">
      <c r="A8" t="s">
        <v>114</v>
      </c>
    </row>
    <row r="9" spans="1:6" x14ac:dyDescent="0.35">
      <c r="A9" t="s">
        <v>111</v>
      </c>
    </row>
    <row r="10" spans="1:6" x14ac:dyDescent="0.35">
      <c r="A10" t="s">
        <v>101</v>
      </c>
    </row>
    <row r="11" spans="1:6" x14ac:dyDescent="0.35">
      <c r="A11" t="s">
        <v>103</v>
      </c>
    </row>
    <row r="12" spans="1:6" x14ac:dyDescent="0.35">
      <c r="A12" t="s">
        <v>105</v>
      </c>
    </row>
    <row r="13" spans="1:6" x14ac:dyDescent="0.35">
      <c r="A13" t="s">
        <v>109</v>
      </c>
    </row>
    <row r="14" spans="1:6" x14ac:dyDescent="0.35">
      <c r="A14" s="7" t="s">
        <v>112</v>
      </c>
    </row>
    <row r="15" spans="1:6" x14ac:dyDescent="0.35">
      <c r="A15" s="7" t="s">
        <v>110</v>
      </c>
    </row>
    <row r="16" spans="1:6" x14ac:dyDescent="0.35">
      <c r="A16" t="s">
        <v>107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DBA4A1FC-80C8-443A-A0E8-5E3B860E016E}"/>
</file>

<file path=customXml/itemProps2.xml><?xml version="1.0" encoding="utf-8"?>
<ds:datastoreItem xmlns:ds="http://schemas.openxmlformats.org/officeDocument/2006/customXml" ds:itemID="{0A37D739-82D5-4163-80FB-891C2AA5FA40}"/>
</file>

<file path=customXml/itemProps3.xml><?xml version="1.0" encoding="utf-8"?>
<ds:datastoreItem xmlns:ds="http://schemas.openxmlformats.org/officeDocument/2006/customXml" ds:itemID="{5170CC32-9113-4C59-9693-5F792BB916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</vt:lpstr>
      <vt:lpstr>Sheet2</vt:lpstr>
      <vt:lpstr>Sheet3</vt:lpstr>
      <vt:lpstr>Detalhe ckmetamis</vt:lpstr>
      <vt:lpstr>ckmetamis em falta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Rita Maia Matias</cp:lastModifiedBy>
  <cp:revision/>
  <dcterms:created xsi:type="dcterms:W3CDTF">2025-03-16T04:48:38Z</dcterms:created>
  <dcterms:modified xsi:type="dcterms:W3CDTF">2025-04-03T17:37:20Z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2025-03-21T11:35:16Z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ad817037-a9d6-4c41-9a49-2b1a52f2f932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