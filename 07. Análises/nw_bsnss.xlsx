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"/>
    </mc:Choice>
  </mc:AlternateContent>
  <xr:revisionPtr revIDLastSave="0" documentId="8_{88C2593C-4EFD-4123-93BF-C7E67DAAF4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" l="1"/>
  <c r="G51" i="1"/>
  <c r="G50" i="1"/>
  <c r="G41" i="1"/>
  <c r="G40" i="1"/>
  <c r="G39" i="1"/>
  <c r="G29" i="1"/>
  <c r="G28" i="1"/>
  <c r="G27" i="1"/>
  <c r="G12" i="1"/>
  <c r="G11" i="1"/>
  <c r="G10" i="1"/>
</calcChain>
</file>

<file path=xl/sharedStrings.xml><?xml version="1.0" encoding="utf-8"?>
<sst xmlns="http://schemas.openxmlformats.org/spreadsheetml/2006/main" count="179" uniqueCount="45">
  <si>
    <t>cempcta</t>
  </si>
  <si>
    <t>ckbalcao</t>
  </si>
  <si>
    <t>cknumcta</t>
  </si>
  <si>
    <t>zdeposit</t>
  </si>
  <si>
    <t>ckmetamis</t>
  </si>
  <si>
    <t>ckarea</t>
  </si>
  <si>
    <t>dinioper</t>
  </si>
  <si>
    <t>c001_patrm</t>
  </si>
  <si>
    <t>c008_patrm</t>
  </si>
  <si>
    <t>c011_patrm</t>
  </si>
  <si>
    <t>c134_patrm</t>
  </si>
  <si>
    <t>31</t>
  </si>
  <si>
    <t>0051</t>
  </si>
  <si>
    <t>33077780011</t>
  </si>
  <si>
    <t>000000000000000</t>
  </si>
  <si>
    <t>AI0803</t>
  </si>
  <si>
    <t>AN01010201</t>
  </si>
  <si>
    <t>2024-11-25</t>
  </si>
  <si>
    <t>1a condição</t>
  </si>
  <si>
    <t>2a condição</t>
  </si>
  <si>
    <t>3a condição</t>
  </si>
  <si>
    <t>0003</t>
  </si>
  <si>
    <t>27639780020</t>
  </si>
  <si>
    <t>PI0102</t>
  </si>
  <si>
    <t>AN02020100</t>
  </si>
  <si>
    <t>NULL</t>
  </si>
  <si>
    <t>AI0707</t>
  </si>
  <si>
    <t>AN02020300</t>
  </si>
  <si>
    <t>Descob.DO Geral Empresas</t>
  </si>
  <si>
    <t>D.O. Geral Empresas</t>
  </si>
  <si>
    <t>Exemplo 1 - COMUM PM</t>
  </si>
  <si>
    <t>Exemplo 2 - COMUM PM</t>
  </si>
  <si>
    <t>Exemplo 3 - CANCELADOS</t>
  </si>
  <si>
    <t>00205077007</t>
  </si>
  <si>
    <t>100088898060001</t>
  </si>
  <si>
    <t>AO0312</t>
  </si>
  <si>
    <t>AN01020210</t>
  </si>
  <si>
    <t>2025-01-17</t>
  </si>
  <si>
    <t>o contrato não existia em dezembro</t>
  </si>
  <si>
    <t>Exemplo 4 - CANCELADOS</t>
  </si>
  <si>
    <t>novo contrato em janeiro (e sendo cancelados estava marcado com "M", o que faz sentido)</t>
  </si>
  <si>
    <t>46659017020</t>
  </si>
  <si>
    <t>AI0705</t>
  </si>
  <si>
    <t>AN01010500</t>
  </si>
  <si>
    <t>2018-04-10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</si>
</sst>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7" fontId="0" fillId="0" borderId="0" xfId="0" applyNumberFormat="1"/>
    <xf numFmtId="4" fontId="0" fillId="0" borderId="0" xfId="0" applyNumberFormat="1"/>
    <xf numFmtId="0" fontId="1" fillId="0" borderId="0" xfId="0" applyFont="1"/>
    <xf numFmtId="0" fontId="0" fillId="2" borderId="0" xfId="0" applyFill="1"/>
    <xf numFmtId="49" fontId="0" fillId="0" borderId="0" xfId="0" applyNumberFormat="1"/>
    <xf numFmtId="49" fontId="0" fillId="3" borderId="0" xfId="0" applyNumberFormat="1" applyFill="1"/>
    <xf numFmtId="4" fontId="0" fillId="3" borderId="0" xfId="0" applyNumberFormat="1" applyFill="1"/>
    <xf numFmtId="0" fontId="2" fillId="0" borderId="0" xfId="0" quotePrefix="1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52"/>
  <sheetViews>
    <sheetView tabSelected="1" workbookViewId="0">
      <selection activeCell="L49" sqref="L49"/>
    </sheetView>
  </sheetViews>
  <sheetFormatPr defaultColWidth="11.5546875" defaultRowHeight="14.4" x14ac:dyDescent="0.3"/>
  <cols>
    <col min="1" max="1" width="3.77734375" customWidth="1"/>
    <col min="5" max="5" width="12" bestFit="1" customWidth="1"/>
    <col min="6" max="6" width="16.109375" bestFit="1" customWidth="1"/>
  </cols>
  <sheetData>
    <row r="2" spans="2:13" x14ac:dyDescent="0.3">
      <c r="B2" s="3" t="s">
        <v>30</v>
      </c>
    </row>
    <row r="4" spans="2:13" x14ac:dyDescent="0.3"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</row>
    <row r="5" spans="2:13" x14ac:dyDescent="0.3">
      <c r="B5" s="1">
        <v>45627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s="2">
        <v>4145.66</v>
      </c>
      <c r="K5" s="2">
        <v>0</v>
      </c>
      <c r="L5" s="2">
        <v>237.96</v>
      </c>
      <c r="M5" s="2">
        <v>749.8</v>
      </c>
    </row>
    <row r="6" spans="2:13" x14ac:dyDescent="0.3">
      <c r="B6" s="1">
        <v>45658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s="2">
        <v>1318.4</v>
      </c>
      <c r="K6" s="2"/>
      <c r="L6" s="2"/>
      <c r="M6" s="2">
        <v>3901.89</v>
      </c>
    </row>
    <row r="7" spans="2:13" x14ac:dyDescent="0.3">
      <c r="B7" s="1">
        <v>45689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 s="2">
        <v>972.01</v>
      </c>
      <c r="K7" s="2"/>
      <c r="L7" s="2"/>
      <c r="M7" s="2">
        <v>4040.91</v>
      </c>
    </row>
    <row r="10" spans="2:13" x14ac:dyDescent="0.3">
      <c r="F10" t="s">
        <v>18</v>
      </c>
      <c r="G10" t="b">
        <f>(K6+L6)+(K7+L7)&gt;0</f>
        <v>0</v>
      </c>
    </row>
    <row r="11" spans="2:13" x14ac:dyDescent="0.3">
      <c r="F11" s="4" t="s">
        <v>19</v>
      </c>
      <c r="G11" s="4" t="b">
        <f>(J6+M6)-(J5+M5)&gt;0</f>
        <v>1</v>
      </c>
    </row>
    <row r="12" spans="2:13" x14ac:dyDescent="0.3">
      <c r="F12" t="s">
        <v>20</v>
      </c>
      <c r="G12" t="b">
        <f>+(J7+M7)-(J6+M6)&gt;0</f>
        <v>0</v>
      </c>
    </row>
    <row r="15" spans="2:13" x14ac:dyDescent="0.3">
      <c r="B15" s="3" t="s">
        <v>31</v>
      </c>
    </row>
    <row r="17" spans="2:14" x14ac:dyDescent="0.3">
      <c r="C17" t="s">
        <v>0</v>
      </c>
      <c r="D17" t="s">
        <v>1</v>
      </c>
      <c r="E17" t="s">
        <v>2</v>
      </c>
      <c r="F17" t="s">
        <v>3</v>
      </c>
      <c r="G17" t="s">
        <v>4</v>
      </c>
      <c r="H17" t="s">
        <v>5</v>
      </c>
      <c r="I17" t="s">
        <v>6</v>
      </c>
      <c r="J17" t="s">
        <v>7</v>
      </c>
      <c r="K17" t="s">
        <v>8</v>
      </c>
      <c r="L17" t="s">
        <v>9</v>
      </c>
      <c r="M17" t="s">
        <v>10</v>
      </c>
    </row>
    <row r="18" spans="2:14" x14ac:dyDescent="0.3">
      <c r="B18" s="1">
        <v>45627</v>
      </c>
      <c r="C18" s="5" t="s">
        <v>11</v>
      </c>
      <c r="D18" s="5" t="s">
        <v>21</v>
      </c>
      <c r="E18" s="5" t="s">
        <v>22</v>
      </c>
      <c r="F18" s="5" t="s">
        <v>14</v>
      </c>
      <c r="G18" s="5" t="s">
        <v>23</v>
      </c>
      <c r="H18" s="5" t="s">
        <v>24</v>
      </c>
      <c r="I18" s="5" t="s">
        <v>25</v>
      </c>
      <c r="J18" s="2" t="s">
        <v>25</v>
      </c>
      <c r="K18" s="2" t="s">
        <v>25</v>
      </c>
      <c r="L18" s="2" t="s">
        <v>25</v>
      </c>
      <c r="M18" s="2" t="s">
        <v>25</v>
      </c>
      <c r="N18" s="8" t="s">
        <v>29</v>
      </c>
    </row>
    <row r="19" spans="2:14" x14ac:dyDescent="0.3">
      <c r="B19" s="1">
        <v>45627</v>
      </c>
      <c r="C19" s="6" t="s">
        <v>11</v>
      </c>
      <c r="D19" s="6" t="s">
        <v>21</v>
      </c>
      <c r="E19" s="6" t="s">
        <v>22</v>
      </c>
      <c r="F19" s="6" t="s">
        <v>14</v>
      </c>
      <c r="G19" s="6" t="s">
        <v>26</v>
      </c>
      <c r="H19" s="6" t="s">
        <v>27</v>
      </c>
      <c r="I19" s="6" t="s">
        <v>25</v>
      </c>
      <c r="J19" s="7">
        <v>0</v>
      </c>
      <c r="K19" s="7">
        <v>0</v>
      </c>
      <c r="L19" s="7">
        <v>0</v>
      </c>
      <c r="M19" s="7">
        <v>0.01</v>
      </c>
      <c r="N19" s="8" t="s">
        <v>28</v>
      </c>
    </row>
    <row r="20" spans="2:14" x14ac:dyDescent="0.3">
      <c r="B20" s="1">
        <v>45658</v>
      </c>
      <c r="C20" s="6" t="s">
        <v>11</v>
      </c>
      <c r="D20" s="6" t="s">
        <v>21</v>
      </c>
      <c r="E20" s="6" t="s">
        <v>22</v>
      </c>
      <c r="F20" s="6" t="s">
        <v>14</v>
      </c>
      <c r="G20" s="6" t="s">
        <v>26</v>
      </c>
      <c r="H20" s="6" t="s">
        <v>27</v>
      </c>
      <c r="I20" s="6" t="s">
        <v>25</v>
      </c>
      <c r="J20" s="7">
        <v>0</v>
      </c>
      <c r="K20" s="7">
        <v>0</v>
      </c>
      <c r="L20" s="7">
        <v>0</v>
      </c>
      <c r="M20" s="7">
        <v>0.01</v>
      </c>
      <c r="N20" s="8" t="s">
        <v>28</v>
      </c>
    </row>
    <row r="21" spans="2:14" x14ac:dyDescent="0.3">
      <c r="B21" s="1">
        <v>45658</v>
      </c>
      <c r="C21" s="5" t="s">
        <v>11</v>
      </c>
      <c r="D21" s="5" t="s">
        <v>21</v>
      </c>
      <c r="E21" s="5" t="s">
        <v>22</v>
      </c>
      <c r="F21" s="5" t="s">
        <v>14</v>
      </c>
      <c r="G21" s="5" t="s">
        <v>23</v>
      </c>
      <c r="H21" s="5" t="s">
        <v>24</v>
      </c>
      <c r="I21" s="5" t="s">
        <v>25</v>
      </c>
      <c r="J21" s="2" t="s">
        <v>25</v>
      </c>
      <c r="K21" s="2" t="s">
        <v>25</v>
      </c>
      <c r="L21" s="2" t="s">
        <v>25</v>
      </c>
      <c r="M21" s="2" t="s">
        <v>25</v>
      </c>
      <c r="N21" s="8" t="s">
        <v>29</v>
      </c>
    </row>
    <row r="22" spans="2:14" x14ac:dyDescent="0.3">
      <c r="B22" s="1">
        <v>45689</v>
      </c>
      <c r="C22" s="5" t="s">
        <v>11</v>
      </c>
      <c r="D22" s="5" t="s">
        <v>21</v>
      </c>
      <c r="E22" s="5" t="s">
        <v>22</v>
      </c>
      <c r="F22" s="5" t="s">
        <v>14</v>
      </c>
      <c r="G22" s="5" t="s">
        <v>23</v>
      </c>
      <c r="H22" s="5" t="s">
        <v>24</v>
      </c>
      <c r="I22" s="5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8" t="s">
        <v>29</v>
      </c>
    </row>
    <row r="23" spans="2:14" x14ac:dyDescent="0.3">
      <c r="B23" s="1">
        <v>45689</v>
      </c>
      <c r="C23" s="6" t="s">
        <v>11</v>
      </c>
      <c r="D23" s="6" t="s">
        <v>21</v>
      </c>
      <c r="E23" s="6" t="s">
        <v>22</v>
      </c>
      <c r="F23" s="6" t="s">
        <v>14</v>
      </c>
      <c r="G23" s="6" t="s">
        <v>26</v>
      </c>
      <c r="H23" s="6" t="s">
        <v>27</v>
      </c>
      <c r="I23" s="6" t="s">
        <v>25</v>
      </c>
      <c r="J23" s="7">
        <v>0</v>
      </c>
      <c r="K23" s="7">
        <v>0</v>
      </c>
      <c r="L23" s="7">
        <v>0</v>
      </c>
      <c r="M23" s="7">
        <v>0.01</v>
      </c>
      <c r="N23" s="8" t="s">
        <v>28</v>
      </c>
    </row>
    <row r="24" spans="2:14" x14ac:dyDescent="0.3">
      <c r="N24" s="5"/>
    </row>
    <row r="25" spans="2:14" x14ac:dyDescent="0.3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2:14" x14ac:dyDescent="0.3">
      <c r="F26" s="5" t="s">
        <v>27</v>
      </c>
    </row>
    <row r="27" spans="2:14" x14ac:dyDescent="0.3">
      <c r="F27" t="s">
        <v>18</v>
      </c>
      <c r="G27" t="b">
        <f>(K19+L19)+(K20+L20)&gt;0</f>
        <v>0</v>
      </c>
    </row>
    <row r="28" spans="2:14" x14ac:dyDescent="0.3">
      <c r="F28" s="9" t="s">
        <v>19</v>
      </c>
      <c r="G28" s="9" t="b">
        <f>(J20+M20)-(J19+M19)&gt;0</f>
        <v>0</v>
      </c>
    </row>
    <row r="29" spans="2:14" x14ac:dyDescent="0.3">
      <c r="F29" t="s">
        <v>20</v>
      </c>
      <c r="G29" t="b">
        <f>+(J23+M23)-(J20+M20)&gt;0</f>
        <v>0</v>
      </c>
    </row>
    <row r="32" spans="2:14" x14ac:dyDescent="0.3">
      <c r="B32" s="3" t="s">
        <v>32</v>
      </c>
    </row>
    <row r="34" spans="2:16" x14ac:dyDescent="0.3">
      <c r="C34" s="5" t="s">
        <v>0</v>
      </c>
      <c r="D34" s="5" t="s">
        <v>1</v>
      </c>
      <c r="E34" s="5" t="s">
        <v>2</v>
      </c>
      <c r="F34" s="5" t="s">
        <v>3</v>
      </c>
      <c r="G34" s="5" t="s">
        <v>4</v>
      </c>
      <c r="H34" s="5" t="s">
        <v>5</v>
      </c>
      <c r="I34" s="5" t="s">
        <v>6</v>
      </c>
      <c r="J34" s="5" t="s">
        <v>7</v>
      </c>
      <c r="K34" s="5" t="s">
        <v>8</v>
      </c>
      <c r="L34" s="5" t="s">
        <v>9</v>
      </c>
      <c r="M34" s="5" t="s">
        <v>10</v>
      </c>
      <c r="N34" s="5"/>
      <c r="O34" s="5"/>
      <c r="P34" s="5"/>
    </row>
    <row r="35" spans="2:16" x14ac:dyDescent="0.3">
      <c r="B35" s="1">
        <v>45627</v>
      </c>
      <c r="N35" s="5" t="s">
        <v>38</v>
      </c>
      <c r="O35" s="5"/>
      <c r="P35" s="5"/>
    </row>
    <row r="36" spans="2:16" x14ac:dyDescent="0.3">
      <c r="B36" s="1">
        <v>45658</v>
      </c>
      <c r="C36" s="5" t="s">
        <v>11</v>
      </c>
      <c r="D36" s="5" t="s">
        <v>21</v>
      </c>
      <c r="E36" s="5" t="s">
        <v>33</v>
      </c>
      <c r="F36" s="5" t="s">
        <v>34</v>
      </c>
      <c r="G36" s="5" t="s">
        <v>35</v>
      </c>
      <c r="H36" s="5" t="s">
        <v>36</v>
      </c>
      <c r="I36" s="5" t="s">
        <v>37</v>
      </c>
      <c r="J36" s="2">
        <v>10687.24</v>
      </c>
      <c r="K36" s="2">
        <v>22086.97</v>
      </c>
      <c r="L36" s="2">
        <v>0</v>
      </c>
      <c r="M36" s="2">
        <v>0</v>
      </c>
      <c r="N36" s="5"/>
      <c r="O36" s="5"/>
      <c r="P36" s="5"/>
    </row>
    <row r="37" spans="2:16" x14ac:dyDescent="0.3">
      <c r="B37" s="1">
        <v>45689</v>
      </c>
      <c r="C37" s="5" t="s">
        <v>11</v>
      </c>
      <c r="D37" s="5" t="s">
        <v>21</v>
      </c>
      <c r="E37" s="5" t="s">
        <v>33</v>
      </c>
      <c r="F37" s="5" t="s">
        <v>34</v>
      </c>
      <c r="G37" s="5" t="s">
        <v>35</v>
      </c>
      <c r="H37" s="5" t="s">
        <v>36</v>
      </c>
      <c r="I37" s="5" t="s">
        <v>37</v>
      </c>
      <c r="J37" s="2">
        <v>14987.58</v>
      </c>
      <c r="K37" s="2">
        <v>0</v>
      </c>
      <c r="L37" s="2">
        <v>0</v>
      </c>
      <c r="M37" s="2">
        <v>0</v>
      </c>
      <c r="N37" s="5"/>
      <c r="O37" s="5"/>
      <c r="P37" s="5"/>
    </row>
    <row r="38" spans="2:16" x14ac:dyDescent="0.3">
      <c r="B38" s="5"/>
      <c r="N38" s="5"/>
      <c r="O38" s="5"/>
      <c r="P38" s="5"/>
    </row>
    <row r="39" spans="2:16" x14ac:dyDescent="0.3">
      <c r="B39" s="5"/>
      <c r="C39" s="5"/>
      <c r="D39" s="5"/>
      <c r="E39" s="5"/>
      <c r="F39" s="4" t="s">
        <v>18</v>
      </c>
      <c r="G39" s="4" t="b">
        <f>(K35+L35)+(K36+L36)&gt;0</f>
        <v>1</v>
      </c>
      <c r="H39" s="5" t="s">
        <v>40</v>
      </c>
      <c r="I39" s="5"/>
      <c r="J39" s="5"/>
      <c r="K39" s="5"/>
      <c r="L39" s="5"/>
      <c r="M39" s="5"/>
      <c r="N39" s="5"/>
      <c r="O39" s="5"/>
      <c r="P39" s="5"/>
    </row>
    <row r="40" spans="2:16" x14ac:dyDescent="0.3">
      <c r="F40" s="9" t="s">
        <v>19</v>
      </c>
      <c r="G40" s="9" t="b">
        <f>(J36+M36)-(J35+M35)&gt;0</f>
        <v>1</v>
      </c>
    </row>
    <row r="41" spans="2:16" x14ac:dyDescent="0.3">
      <c r="F41" t="s">
        <v>20</v>
      </c>
      <c r="G41" t="b">
        <f>+(J37+M37)-(J36+M36)&gt;0</f>
        <v>1</v>
      </c>
    </row>
    <row r="43" spans="2:16" x14ac:dyDescent="0.3">
      <c r="B43" s="3" t="s">
        <v>39</v>
      </c>
    </row>
    <row r="45" spans="2:16" x14ac:dyDescent="0.3">
      <c r="C45" s="5" t="s">
        <v>0</v>
      </c>
      <c r="D45" s="5" t="s">
        <v>1</v>
      </c>
      <c r="E45" s="5" t="s">
        <v>2</v>
      </c>
      <c r="F45" s="5" t="s">
        <v>3</v>
      </c>
      <c r="G45" s="5" t="s">
        <v>4</v>
      </c>
      <c r="H45" s="5" t="s">
        <v>5</v>
      </c>
      <c r="I45" s="5" t="s">
        <v>6</v>
      </c>
      <c r="J45" s="5" t="s">
        <v>7</v>
      </c>
      <c r="K45" s="5" t="s">
        <v>8</v>
      </c>
      <c r="L45" s="5" t="s">
        <v>9</v>
      </c>
      <c r="M45" s="5" t="s">
        <v>10</v>
      </c>
      <c r="N45" s="5"/>
    </row>
    <row r="46" spans="2:16" x14ac:dyDescent="0.3">
      <c r="B46" s="1">
        <v>45627</v>
      </c>
      <c r="C46" s="5" t="s">
        <v>11</v>
      </c>
      <c r="D46" s="5" t="s">
        <v>21</v>
      </c>
      <c r="E46" s="5" t="s">
        <v>41</v>
      </c>
      <c r="F46" s="5" t="s">
        <v>14</v>
      </c>
      <c r="G46" s="5" t="s">
        <v>42</v>
      </c>
      <c r="H46" s="5" t="s">
        <v>43</v>
      </c>
      <c r="I46" s="5" t="s">
        <v>44</v>
      </c>
      <c r="J46" s="2">
        <v>3.13</v>
      </c>
      <c r="K46" s="2">
        <v>6.07</v>
      </c>
      <c r="L46" s="2">
        <v>0</v>
      </c>
      <c r="M46" s="2">
        <v>0</v>
      </c>
      <c r="N46" s="5"/>
    </row>
    <row r="47" spans="2:16" x14ac:dyDescent="0.3">
      <c r="B47" s="1">
        <v>45658</v>
      </c>
      <c r="C47" s="5" t="s">
        <v>11</v>
      </c>
      <c r="D47" s="5" t="s">
        <v>21</v>
      </c>
      <c r="E47" s="5" t="s">
        <v>41</v>
      </c>
      <c r="F47" s="5" t="s">
        <v>14</v>
      </c>
      <c r="G47" s="5" t="s">
        <v>42</v>
      </c>
      <c r="H47" s="5" t="s">
        <v>43</v>
      </c>
      <c r="I47" s="5" t="s">
        <v>44</v>
      </c>
      <c r="J47" s="2">
        <v>7.43</v>
      </c>
      <c r="K47" s="2">
        <v>0</v>
      </c>
      <c r="L47" s="2">
        <v>0.7</v>
      </c>
      <c r="M47" s="2">
        <v>0</v>
      </c>
      <c r="N47" s="5"/>
    </row>
    <row r="48" spans="2:16" x14ac:dyDescent="0.3">
      <c r="B48" s="1">
        <v>45689</v>
      </c>
      <c r="C48" s="5" t="s">
        <v>11</v>
      </c>
      <c r="D48" s="5" t="s">
        <v>21</v>
      </c>
      <c r="E48" s="5" t="s">
        <v>41</v>
      </c>
      <c r="F48" s="5" t="s">
        <v>14</v>
      </c>
      <c r="G48" t="s">
        <v>42</v>
      </c>
      <c r="H48" t="s">
        <v>43</v>
      </c>
      <c r="I48" s="5" t="s">
        <v>44</v>
      </c>
      <c r="J48" s="2">
        <v>0.48</v>
      </c>
      <c r="K48" s="2">
        <v>0</v>
      </c>
      <c r="L48" s="2">
        <v>0</v>
      </c>
      <c r="M48" s="2">
        <v>0</v>
      </c>
      <c r="N48" s="5"/>
    </row>
    <row r="50" spans="6:7" x14ac:dyDescent="0.3">
      <c r="F50" s="4" t="s">
        <v>18</v>
      </c>
      <c r="G50" s="4" t="b">
        <f>(K46+L46)+(K47+L47)&gt;0</f>
        <v>1</v>
      </c>
    </row>
    <row r="51" spans="6:7" x14ac:dyDescent="0.3">
      <c r="F51" s="9" t="s">
        <v>19</v>
      </c>
      <c r="G51" s="9" t="b">
        <f>(J47+M47)-(J46+M46)&gt;0</f>
        <v>1</v>
      </c>
    </row>
    <row r="52" spans="6:7" x14ac:dyDescent="0.3">
      <c r="F52" t="s">
        <v>20</v>
      </c>
      <c r="G52" t="b">
        <f>+(J48+M48)-(J47+M47)&gt;0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46620F9-B552-423F-B7B6-F47152E4AB47}"/>
</file>

<file path=customXml/itemProps2.xml><?xml version="1.0" encoding="utf-8"?>
<ds:datastoreItem xmlns:ds="http://schemas.openxmlformats.org/officeDocument/2006/customXml" ds:itemID="{A973ED11-E78D-4BED-8C36-B16828F733C5}"/>
</file>

<file path=customXml/itemProps3.xml><?xml version="1.0" encoding="utf-8"?>
<ds:datastoreItem xmlns:ds="http://schemas.openxmlformats.org/officeDocument/2006/customXml" ds:itemID="{EB999D5B-E564-4F8E-B2CE-E7885C8376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2025-03-16T04:48:38Z</dcterms:created>
  <dcterms:modified xsi:type="dcterms:W3CDTF">2025-05-16T17:30:14Z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2025-05-16T11:02:20Z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56938abd-8d48-42ee-bd98-cbb234cf62b7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