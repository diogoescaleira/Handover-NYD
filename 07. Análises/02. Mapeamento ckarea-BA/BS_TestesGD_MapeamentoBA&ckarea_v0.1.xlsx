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2. Mapeamento ckarea-BA/"/>
    </mc:Choice>
  </mc:AlternateContent>
  <xr:revisionPtr revIDLastSave="33" documentId="8_{3CA90577-B2B1-4DDD-BD90-9C5AF8735FC3}" xr6:coauthVersionLast="47" xr6:coauthVersionMax="47" xr10:uidLastSave="{0AB6139C-BBBE-4384-989D-453FCF11941B}"/>
  <bookViews>
    <workbookView xWindow="-120" yWindow="-16320" windowWidth="29040" windowHeight="15840" activeTab="1" xr2:uid="{AEF70761-B42C-4950-A00E-110E4D323A7E}"/>
  </bookViews>
  <sheets>
    <sheet name="Mapeamento" sheetId="1" r:id="rId1"/>
    <sheet name="Auxiliar" sheetId="2" r:id="rId2"/>
    <sheet name="Mapeamento ckarea filhos FC" sheetId="3" r:id="rId3"/>
  </sheets>
  <definedNames>
    <definedName name="_xlnm._FilterDatabase" localSheetId="1" hidden="1">Auxiliar!$A$1:$B$88</definedName>
    <definedName name="_xlnm._FilterDatabase" localSheetId="0" hidden="1">Mapeamento!$B$9:$F$39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3" l="1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<sst xmlns="http://schemas.openxmlformats.org/spreadsheetml/2006/main" count="550" uniqueCount="224">
  <si>
    <t>Code</t>
  </si>
  <si>
    <t>Description</t>
  </si>
  <si>
    <t>BA1</t>
  </si>
  <si>
    <t>Private Banking</t>
  </si>
  <si>
    <t>BA2</t>
  </si>
  <si>
    <t>Individuals</t>
  </si>
  <si>
    <t>BA3</t>
  </si>
  <si>
    <t>Companies</t>
  </si>
  <si>
    <t>BA4</t>
  </si>
  <si>
    <t>SMEs</t>
  </si>
  <si>
    <t>BA5</t>
  </si>
  <si>
    <t>Institutions</t>
  </si>
  <si>
    <t>BA6</t>
  </si>
  <si>
    <t>Consumer</t>
  </si>
  <si>
    <t>BA7</t>
  </si>
  <si>
    <t>M &amp; A - Mergers and Acquisitions</t>
  </si>
  <si>
    <t>BA8</t>
  </si>
  <si>
    <t>ECM - Equity Capital Markets</t>
  </si>
  <si>
    <t>BA9</t>
  </si>
  <si>
    <t>Corporate Equity Derivatives</t>
  </si>
  <si>
    <t>BA10</t>
  </si>
  <si>
    <t>Project and Acquisition Finance</t>
  </si>
  <si>
    <t>BA11</t>
  </si>
  <si>
    <t>BA12</t>
  </si>
  <si>
    <t>Debt Capital Markets - DCM</t>
  </si>
  <si>
    <t>BA13</t>
  </si>
  <si>
    <t>ABF - Asset based finance</t>
  </si>
  <si>
    <t>BA14</t>
  </si>
  <si>
    <t>Leveraged Finance</t>
  </si>
  <si>
    <t>BA15</t>
  </si>
  <si>
    <t>Cash Management</t>
  </si>
  <si>
    <t>BA16</t>
  </si>
  <si>
    <t>Core Funding/ Basic financing</t>
  </si>
  <si>
    <t>BA17</t>
  </si>
  <si>
    <t>BA18</t>
  </si>
  <si>
    <t>Export &amp; Agency Finance</t>
  </si>
  <si>
    <t>BA20</t>
  </si>
  <si>
    <t>ACPM</t>
  </si>
  <si>
    <t>BA21</t>
  </si>
  <si>
    <t>Financial Management</t>
  </si>
  <si>
    <t>BA22</t>
  </si>
  <si>
    <t>Other Corporate Activities (Holding)</t>
  </si>
  <si>
    <t>BA23</t>
  </si>
  <si>
    <t>FX - Foreign Exchange</t>
  </si>
  <si>
    <t>BA24</t>
  </si>
  <si>
    <t>Rates</t>
  </si>
  <si>
    <t>BA25</t>
  </si>
  <si>
    <t>Securitization Products</t>
  </si>
  <si>
    <t>BA26</t>
  </si>
  <si>
    <t>Securitization Finance</t>
  </si>
  <si>
    <t>BA27</t>
  </si>
  <si>
    <t>Bond Syndicate</t>
  </si>
  <si>
    <t>BA28</t>
  </si>
  <si>
    <t>Equity Derivatives</t>
  </si>
  <si>
    <t>BA29</t>
  </si>
  <si>
    <t>Commodities</t>
  </si>
  <si>
    <t>BA30</t>
  </si>
  <si>
    <t>Cash Equity</t>
  </si>
  <si>
    <t>BA31</t>
  </si>
  <si>
    <t>XVA - X-Value Adjustment</t>
  </si>
  <si>
    <t xml:space="preserve">Guia Corporativo </t>
  </si>
  <si>
    <t>Área de Negócio</t>
  </si>
  <si>
    <t>Código</t>
  </si>
  <si>
    <t>Descrição</t>
  </si>
  <si>
    <t>BC1015</t>
  </si>
  <si>
    <t>Observações</t>
  </si>
  <si>
    <t>BC1014</t>
  </si>
  <si>
    <t>AN01020210</t>
  </si>
  <si>
    <t>AN01040220</t>
  </si>
  <si>
    <t>AN02050600</t>
  </si>
  <si>
    <t>AN02050800</t>
  </si>
  <si>
    <t>AN02030300</t>
  </si>
  <si>
    <t>AN02030400</t>
  </si>
  <si>
    <t>AN02030200</t>
  </si>
  <si>
    <t>AN02010200</t>
  </si>
  <si>
    <t>AN02030600</t>
  </si>
  <si>
    <t>AN02020100</t>
  </si>
  <si>
    <t>AN02020200</t>
  </si>
  <si>
    <t>AN02020400</t>
  </si>
  <si>
    <t>AN02030045</t>
  </si>
  <si>
    <t>AC05</t>
  </si>
  <si>
    <t>AN04030000</t>
  </si>
  <si>
    <t>AN02040100</t>
  </si>
  <si>
    <t>AN02040200</t>
  </si>
  <si>
    <t>AN02040300</t>
  </si>
  <si>
    <t>AN02040400</t>
  </si>
  <si>
    <t>AN02040600</t>
  </si>
  <si>
    <t>AN02050100</t>
  </si>
  <si>
    <t>AN02040700</t>
  </si>
  <si>
    <t>AN02050400</t>
  </si>
  <si>
    <t>AN02030900</t>
  </si>
  <si>
    <t>BP</t>
  </si>
  <si>
    <t xml:space="preserve">Código </t>
  </si>
  <si>
    <t>AN</t>
  </si>
  <si>
    <t>WM</t>
  </si>
  <si>
    <t>AN01010100</t>
  </si>
  <si>
    <t>AN01050000</t>
  </si>
  <si>
    <t>GA</t>
  </si>
  <si>
    <t>AN03010000</t>
  </si>
  <si>
    <t>AN03020000</t>
  </si>
  <si>
    <t>SE</t>
  </si>
  <si>
    <t>AN03030000</t>
  </si>
  <si>
    <t>PIW</t>
  </si>
  <si>
    <t>AN03040000</t>
  </si>
  <si>
    <t>AN03050000</t>
  </si>
  <si>
    <t>BC</t>
  </si>
  <si>
    <t>BC00</t>
  </si>
  <si>
    <t>AN01010201</t>
  </si>
  <si>
    <t>AN01010500</t>
  </si>
  <si>
    <t>AN01020410</t>
  </si>
  <si>
    <t>AN01020200</t>
  </si>
  <si>
    <t>BC10</t>
  </si>
  <si>
    <t>AN01060010</t>
  </si>
  <si>
    <t>FC</t>
  </si>
  <si>
    <t>AN06010000</t>
  </si>
  <si>
    <t>AN06020000</t>
  </si>
  <si>
    <t>AN06030000</t>
  </si>
  <si>
    <t>PYM</t>
  </si>
  <si>
    <t>CA</t>
  </si>
  <si>
    <t>CA00</t>
  </si>
  <si>
    <t>AN07020000</t>
  </si>
  <si>
    <t>AN07030000</t>
  </si>
  <si>
    <t>AN07040000</t>
  </si>
  <si>
    <t>AN07050000</t>
  </si>
  <si>
    <t>GT</t>
  </si>
  <si>
    <t>AN08010000</t>
  </si>
  <si>
    <t>AN08020000</t>
  </si>
  <si>
    <t>AN08030000</t>
  </si>
  <si>
    <t>AN08040000</t>
  </si>
  <si>
    <t>GB</t>
  </si>
  <si>
    <t>GB05A</t>
  </si>
  <si>
    <t>GB0510</t>
  </si>
  <si>
    <t>AN02050500</t>
  </si>
  <si>
    <t>AN02050900</t>
  </si>
  <si>
    <t>GB05</t>
  </si>
  <si>
    <t>AN02030800</t>
  </si>
  <si>
    <t>GB0560</t>
  </si>
  <si>
    <t>GB10</t>
  </si>
  <si>
    <t>AN02020300</t>
  </si>
  <si>
    <t>GB20</t>
  </si>
  <si>
    <t>GB2001</t>
  </si>
  <si>
    <t>AN02040500</t>
  </si>
  <si>
    <t>AN02030500</t>
  </si>
  <si>
    <t>AC</t>
  </si>
  <si>
    <t>AN04010100</t>
  </si>
  <si>
    <t>AN04010400</t>
  </si>
  <si>
    <t>AN04010500</t>
  </si>
  <si>
    <t>AN04010600</t>
  </si>
  <si>
    <t>AN04010700</t>
  </si>
  <si>
    <t>AC10</t>
  </si>
  <si>
    <t>AN04020000</t>
  </si>
  <si>
    <t>AC1010</t>
  </si>
  <si>
    <t>EL</t>
  </si>
  <si>
    <t>English Description</t>
  </si>
  <si>
    <t>Total Business Area</t>
  </si>
  <si>
    <t>Wealth Management and Insurance</t>
  </si>
  <si>
    <t>Private Wealth</t>
  </si>
  <si>
    <t>Private Banking Rest</t>
  </si>
  <si>
    <t>Asset Management</t>
  </si>
  <si>
    <t>Investment Funds</t>
  </si>
  <si>
    <t>Pension Funds</t>
  </si>
  <si>
    <t>Insurance</t>
  </si>
  <si>
    <t>Insurance.</t>
  </si>
  <si>
    <t>Investment Platforms Wealth</t>
  </si>
  <si>
    <t>IPUS</t>
  </si>
  <si>
    <t>Legacy</t>
  </si>
  <si>
    <t>Retail and Commercial</t>
  </si>
  <si>
    <t>Retail</t>
  </si>
  <si>
    <t>Select</t>
  </si>
  <si>
    <t>Classic</t>
  </si>
  <si>
    <t>SME I</t>
  </si>
  <si>
    <t>SMEs II</t>
  </si>
  <si>
    <t>Commercial</t>
  </si>
  <si>
    <t>OB &amp; Other</t>
  </si>
  <si>
    <t>DCB</t>
  </si>
  <si>
    <t>Auto Consumer</t>
  </si>
  <si>
    <t>No Auto Consumer</t>
  </si>
  <si>
    <t>Other DCB</t>
  </si>
  <si>
    <t>Payments</t>
  </si>
  <si>
    <t>Cards</t>
  </si>
  <si>
    <t>Cards sum cero</t>
  </si>
  <si>
    <t>Cards Load</t>
  </si>
  <si>
    <t>Cards Cancel R&amp;C</t>
  </si>
  <si>
    <t>Cards Cancel DCB</t>
  </si>
  <si>
    <t>Platform Cards</t>
  </si>
  <si>
    <t>PagoNxt</t>
  </si>
  <si>
    <t>Business Other PagoNxt</t>
  </si>
  <si>
    <t>Business PagoNxt Ebury</t>
  </si>
  <si>
    <t>Business PagoNxt Payment</t>
  </si>
  <si>
    <t>Business PagoNxt Merchant</t>
  </si>
  <si>
    <t>CIB</t>
  </si>
  <si>
    <t>Global Banking</t>
  </si>
  <si>
    <t>ECM - Equity Capital Markets &amp; Others</t>
  </si>
  <si>
    <t>ECM - Equity Capital Markets.</t>
  </si>
  <si>
    <t>EPCM - Equity Private Capital Markets</t>
  </si>
  <si>
    <t>Structured Finance</t>
  </si>
  <si>
    <t>Project and Acquisition Finance.</t>
  </si>
  <si>
    <t>ABF</t>
  </si>
  <si>
    <t>Capital Finance</t>
  </si>
  <si>
    <t>IG/EM Debt</t>
  </si>
  <si>
    <t>DCM</t>
  </si>
  <si>
    <t>Syndicated Loans</t>
  </si>
  <si>
    <t>GTB - Global Transaction Banking</t>
  </si>
  <si>
    <t>Financiación Básica</t>
  </si>
  <si>
    <t>Trade &amp; WCS</t>
  </si>
  <si>
    <t>Global Markets</t>
  </si>
  <si>
    <t>FX</t>
  </si>
  <si>
    <t>Credit</t>
  </si>
  <si>
    <t>XVA</t>
  </si>
  <si>
    <t>Global Structuring</t>
  </si>
  <si>
    <t>Corporate Activities</t>
  </si>
  <si>
    <t>ALCO</t>
  </si>
  <si>
    <t>Balance Hedge</t>
  </si>
  <si>
    <t>Funding</t>
  </si>
  <si>
    <t>Strategic Hedge</t>
  </si>
  <si>
    <t>Intragroup Funding</t>
  </si>
  <si>
    <t>Other</t>
  </si>
  <si>
    <t>Pool of Funds</t>
  </si>
  <si>
    <t>Intra-Group Reassignment</t>
  </si>
  <si>
    <t>Syndicated loans</t>
  </si>
  <si>
    <t>Trade &amp; WCS (Working Capital Solutions)</t>
  </si>
  <si>
    <t>Deixar nota relativamente ao BA19 estar rasurado</t>
  </si>
  <si>
    <t>A BA8 tambem poderá ser mapeeada a partir do código ckarea = AN02050500 que corresponde a ECM - Equity Capital Markets.</t>
  </si>
  <si>
    <t>1. Mapeamento das Business Areas com as respetivas ckareas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</si>
</sst>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sz val="10"/>
      <name val="Santander Text"/>
      <family val="2"/>
    </font>
    <font>
      <sz val="11"/>
      <color theme="1"/>
      <name val="Santander Text"/>
      <family val="2"/>
    </font>
    <font>
      <sz val="10"/>
      <color theme="1"/>
      <name val="Santander Text"/>
      <family val="2"/>
    </font>
    <font>
      <b/>
      <sz val="10"/>
      <name val="Santander Text"/>
      <family val="2"/>
    </font>
    <font>
      <sz val="10"/>
      <name val="Arial"/>
      <family val="2"/>
    </font>
    <font>
      <b/>
      <sz val="10"/>
      <color indexed="9"/>
      <name val="Santander Text"/>
      <family val="2"/>
    </font>
    <font>
      <sz val="10"/>
      <color indexed="8"/>
      <name val="Santander Text"/>
      <family val="2"/>
    </font>
    <font>
      <b/>
      <sz val="10"/>
      <color theme="1"/>
      <name val="Santander Text"/>
      <family val="2"/>
    </font>
    <font>
      <b/>
      <sz val="10"/>
      <color theme="0"/>
      <name val="Santander Text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164" fontId="6" fillId="5" borderId="3" xfId="1" applyNumberFormat="1" applyFont="1" applyFill="1" applyBorder="1" applyAlignment="1">
      <alignment horizontal="center" vertical="center"/>
    </xf>
    <xf numFmtId="0" fontId="1" fillId="0" borderId="0" xfId="2" applyFont="1" applyAlignment="1">
      <alignment horizontal="left"/>
    </xf>
    <xf numFmtId="0" fontId="1" fillId="0" borderId="0" xfId="2" applyFont="1"/>
    <xf numFmtId="0" fontId="1" fillId="6" borderId="0" xfId="2" applyFont="1" applyFill="1"/>
    <xf numFmtId="0" fontId="2" fillId="0" borderId="0" xfId="0" applyFont="1"/>
    <xf numFmtId="0" fontId="1" fillId="0" borderId="0" xfId="3" applyFont="1"/>
    <xf numFmtId="0" fontId="2" fillId="6" borderId="0" xfId="0" applyFont="1" applyFill="1"/>
    <xf numFmtId="0" fontId="7" fillId="0" borderId="0" xfId="4" applyFont="1"/>
    <xf numFmtId="0" fontId="6" fillId="5" borderId="3" xfId="1" applyFont="1" applyFill="1" applyBorder="1" applyAlignment="1">
      <alignment horizontal="center" vertical="center"/>
    </xf>
    <xf numFmtId="0" fontId="1" fillId="0" borderId="0" xfId="2" applyFont="1" applyAlignment="1">
      <alignment horizontal="left" indent="1"/>
    </xf>
    <xf numFmtId="0" fontId="1" fillId="0" borderId="0" xfId="2" applyFont="1" applyAlignment="1">
      <alignment horizontal="left" indent="2"/>
    </xf>
    <xf numFmtId="0" fontId="1" fillId="0" borderId="0" xfId="2" applyFont="1" applyAlignment="1">
      <alignment horizontal="left" indent="3"/>
    </xf>
    <xf numFmtId="0" fontId="1" fillId="6" borderId="0" xfId="2" applyFont="1" applyFill="1" applyAlignment="1">
      <alignment horizontal="left" indent="2"/>
    </xf>
    <xf numFmtId="0" fontId="1" fillId="6" borderId="0" xfId="2" applyFont="1" applyFill="1" applyAlignment="1">
      <alignment horizontal="left" indent="3"/>
    </xf>
    <xf numFmtId="0" fontId="2" fillId="0" borderId="0" xfId="0" applyFont="1" applyAlignment="1">
      <alignment horizontal="left" indent="1"/>
    </xf>
    <xf numFmtId="0" fontId="1" fillId="0" borderId="0" xfId="2" applyFont="1" applyAlignment="1">
      <alignment horizontal="left" indent="4"/>
    </xf>
    <xf numFmtId="0" fontId="1" fillId="7" borderId="0" xfId="2" applyFont="1" applyFill="1" applyAlignment="1">
      <alignment horizontal="left" indent="4"/>
    </xf>
    <xf numFmtId="0" fontId="4" fillId="0" borderId="0" xfId="2" applyFont="1" applyAlignment="1">
      <alignment horizontal="left" indent="1"/>
    </xf>
    <xf numFmtId="0" fontId="4" fillId="0" borderId="0" xfId="2" applyFont="1" applyAlignment="1">
      <alignment horizontal="left" indent="2"/>
    </xf>
    <xf numFmtId="0" fontId="4" fillId="0" borderId="0" xfId="2" applyFont="1" applyAlignment="1">
      <alignment horizontal="left" indent="3"/>
    </xf>
    <xf numFmtId="0" fontId="1" fillId="7" borderId="0" xfId="2" applyFont="1" applyFill="1" applyAlignment="1">
      <alignment horizontal="left" indent="3"/>
    </xf>
    <xf numFmtId="0" fontId="4" fillId="7" borderId="0" xfId="2" applyFont="1" applyFill="1" applyAlignment="1">
      <alignment horizontal="left" indent="2"/>
    </xf>
    <xf numFmtId="0" fontId="1" fillId="6" borderId="0" xfId="2" applyFont="1" applyFill="1" applyAlignment="1">
      <alignment horizontal="left" indent="4"/>
    </xf>
    <xf numFmtId="0" fontId="4" fillId="6" borderId="0" xfId="2" applyFont="1" applyFill="1" applyAlignment="1">
      <alignment horizontal="left" indent="3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8" fillId="0" borderId="2" xfId="0" applyFont="1" applyBorder="1"/>
    <xf numFmtId="0" fontId="3" fillId="4" borderId="1" xfId="0" applyFont="1" applyFill="1" applyBorder="1"/>
    <xf numFmtId="0" fontId="3" fillId="0" borderId="1" xfId="0" applyFont="1" applyBorder="1" applyAlignment="1">
      <alignment wrapText="1"/>
    </xf>
    <xf numFmtId="0" fontId="1" fillId="9" borderId="0" xfId="3" applyFont="1" applyFill="1"/>
    <xf numFmtId="0" fontId="9" fillId="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/>
    <xf numFmtId="0" fontId="1" fillId="10" borderId="0" xfId="3" applyFont="1" applyFill="1"/>
    <xf numFmtId="0" fontId="1" fillId="10" borderId="0" xfId="2" applyFont="1" applyFill="1" applyAlignment="1">
      <alignment horizontal="left" indent="3"/>
    </xf>
    <xf numFmtId="0" fontId="1" fillId="10" borderId="0" xfId="2" applyFont="1" applyFill="1" applyAlignment="1">
      <alignment horizontal="left" indent="4"/>
    </xf>
    <xf numFmtId="0" fontId="1" fillId="10" borderId="0" xfId="2" applyFont="1" applyFill="1"/>
    <xf numFmtId="0" fontId="1" fillId="10" borderId="0" xfId="2" applyFont="1" applyFill="1" applyAlignment="1">
      <alignment horizontal="left" indent="2"/>
    </xf>
    <xf numFmtId="0" fontId="1" fillId="10" borderId="0" xfId="2" applyFont="1" applyFill="1" applyAlignment="1">
      <alignment horizontal="left" indent="1"/>
    </xf>
  </cellXfs>
  <cellStyles count="5">
    <cellStyle name="l]_x000d__x000a_Path=M:\RIOCEN01_x000d__x000a_Name=Carlos Emilio Brousse_x000d__x000a_DDEApps=nsf,nsg,nsh,ntf,ns2,ors,org_x000d__x000a_SmartIcons=Todos_x000d__x000a_ 2_Jerarquias_MIS_Consolidado0312v3_CODIFICADA" xfId="1" xr:uid="{6990F427-3A96-452C-A627-9BA2D4659279}"/>
    <cellStyle name="Normal" xfId="0" builtinId="0"/>
    <cellStyle name="Normal 2 2" xfId="3" xr:uid="{8CE4690C-756C-444B-98F1-C947F8E5B7F8}"/>
    <cellStyle name="Normal 3 2" xfId="4" xr:uid="{E216946F-4274-4177-97DA-A7258010259B}"/>
    <cellStyle name="Normal 7" xfId="2" xr:uid="{5BF03F79-5391-40DD-8F9C-C18CF19F4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101600</xdr:rowOff>
    </xdr:from>
    <xdr:to>
      <xdr:col>2</xdr:col>
      <xdr:colOff>990070</xdr:colOff>
      <xdr:row>1</xdr:row>
      <xdr:rowOff>141976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AE7C8BA-E219-4E24-9A7E-24A0B74951D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01600"/>
          <a:ext cx="1494895" cy="25310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8</xdr:row>
      <xdr:rowOff>142875</xdr:rowOff>
    </xdr:from>
    <xdr:to>
      <xdr:col>25</xdr:col>
      <xdr:colOff>1587</xdr:colOff>
      <xdr:row>16</xdr:row>
      <xdr:rowOff>47846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D7FF5-2943-CA79-EABE-219A24A8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4225" y="1647825"/>
          <a:ext cx="11374437" cy="1581371"/>
        </a:xfrm>
        <a:prstGeom prst="rect">
          <a:avLst/>
        </a:prstGeom>
      </xdr:spPr>
    </xdr:pic>
    <xdr:clientData/>
  </xdr:twoCellAnchor>
  <xdr:twoCellAnchor editAs="oneCell">
    <xdr:from>
      <xdr:col>6</xdr:col>
      <xdr:colOff>187325</xdr:colOff>
      <xdr:row>16</xdr:row>
      <xdr:rowOff>95250</xdr:rowOff>
    </xdr:from>
    <xdr:to>
      <xdr:col>24</xdr:col>
      <xdr:colOff>303172</xdr:colOff>
      <xdr:row>20</xdr:row>
      <xdr:rowOff>38238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E84AD1-5B3C-F32C-D91A-AF5205E0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2000" y="3276600"/>
          <a:ext cx="11088647" cy="99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590D-41E6-458E-AE7E-5E9B0E3FC1F2}">
  <dimension ref="A4:G41"/>
  <sheetViews>
    <sheetView showGridLines="0" workbookViewId="0">
      <selection activeCell="C7" sqref="C7"/>
    </sheetView>
  </sheetViews>
  <sheetFormatPr defaultColWidth="8.77734375" defaultRowHeight="16.2" x14ac:dyDescent="0.4"/>
  <cols>
    <col min="1" max="1" width="3.6640625" style="31" customWidth="1"/>
    <col min="2" max="2" width="5.5546875" style="31" bestFit="1" customWidth="1"/>
    <col min="3" max="3" width="35.77734375" style="31" bestFit="1" customWidth="1"/>
    <col min="4" max="4" width="14.77734375" style="31" bestFit="1" customWidth="1"/>
    <col min="5" max="5" width="33" style="31" bestFit="1" customWidth="1"/>
    <col min="6" max="6" width="61" style="31" customWidth="1"/>
    <col min="7" max="16384" width="8.77734375" style="31"/>
  </cols>
  <sheetData>
    <row r="4" spans="1:7" ht="3" customHeight="1" x14ac:dyDescent="0.4">
      <c r="A4" s="32"/>
      <c r="B4" s="32"/>
      <c r="C4" s="32"/>
      <c r="D4" s="32"/>
      <c r="E4" s="32"/>
      <c r="F4" s="32"/>
      <c r="G4" s="32"/>
    </row>
    <row r="6" spans="1:7" x14ac:dyDescent="0.4">
      <c r="B6" s="33" t="s">
        <v>223</v>
      </c>
      <c r="C6" s="33"/>
      <c r="D6" s="33"/>
      <c r="E6" s="43"/>
      <c r="F6" s="43"/>
    </row>
    <row r="8" spans="1:7" x14ac:dyDescent="0.4">
      <c r="B8" s="37" t="s">
        <v>60</v>
      </c>
      <c r="C8" s="37"/>
      <c r="D8" s="37" t="s">
        <v>61</v>
      </c>
      <c r="E8" s="37"/>
      <c r="F8" s="38" t="s">
        <v>65</v>
      </c>
    </row>
    <row r="9" spans="1:7" x14ac:dyDescent="0.4">
      <c r="B9" s="3" t="s">
        <v>0</v>
      </c>
      <c r="C9" s="3" t="s">
        <v>1</v>
      </c>
      <c r="D9" s="3" t="s">
        <v>62</v>
      </c>
      <c r="E9" s="3" t="s">
        <v>63</v>
      </c>
      <c r="F9" s="38"/>
    </row>
    <row r="10" spans="1:7" x14ac:dyDescent="0.4">
      <c r="B10" s="1" t="s">
        <v>2</v>
      </c>
      <c r="C10" s="2" t="s">
        <v>3</v>
      </c>
      <c r="D10" s="2" t="s">
        <v>91</v>
      </c>
      <c r="E10" s="2" t="str">
        <f>+VLOOKUP(D10,Auxiliar!$A$2:$B$88,2,FALSE)</f>
        <v>Private Banking</v>
      </c>
      <c r="F10" s="2"/>
    </row>
    <row r="11" spans="1:7" x14ac:dyDescent="0.4">
      <c r="B11" s="1" t="s">
        <v>4</v>
      </c>
      <c r="C11" s="2" t="s">
        <v>5</v>
      </c>
      <c r="D11" s="2" t="s">
        <v>64</v>
      </c>
      <c r="E11" s="2" t="str">
        <f>+VLOOKUP(D11,Auxiliar!$A$2:$B$88,2,FALSE)</f>
        <v>Individuals</v>
      </c>
      <c r="F11" s="2"/>
    </row>
    <row r="12" spans="1:7" x14ac:dyDescent="0.4">
      <c r="B12" s="28" t="s">
        <v>6</v>
      </c>
      <c r="C12" s="29" t="s">
        <v>7</v>
      </c>
      <c r="D12" s="2" t="s">
        <v>67</v>
      </c>
      <c r="E12" s="2" t="str">
        <f>+VLOOKUP(D12,Auxiliar!$A$2:$B$88,2,FALSE)</f>
        <v>Companies</v>
      </c>
      <c r="F12" s="2"/>
    </row>
    <row r="13" spans="1:7" x14ac:dyDescent="0.4">
      <c r="B13" s="28" t="s">
        <v>8</v>
      </c>
      <c r="C13" s="29" t="s">
        <v>9</v>
      </c>
      <c r="D13" s="2" t="s">
        <v>66</v>
      </c>
      <c r="E13" s="2" t="str">
        <f>+VLOOKUP(D13,Auxiliar!$A$2:$B$88,2,FALSE)</f>
        <v>SMEs</v>
      </c>
      <c r="F13" s="2"/>
    </row>
    <row r="14" spans="1:7" x14ac:dyDescent="0.4">
      <c r="B14" s="28" t="s">
        <v>10</v>
      </c>
      <c r="C14" s="29" t="s">
        <v>11</v>
      </c>
      <c r="D14" s="2" t="s">
        <v>68</v>
      </c>
      <c r="E14" s="2" t="str">
        <f>+VLOOKUP(D14,Auxiliar!$A$2:$B$88,2,FALSE)</f>
        <v>Institutions</v>
      </c>
      <c r="F14" s="2"/>
    </row>
    <row r="15" spans="1:7" x14ac:dyDescent="0.4">
      <c r="B15" s="28" t="s">
        <v>12</v>
      </c>
      <c r="C15" s="29" t="s">
        <v>13</v>
      </c>
      <c r="D15" s="34" t="s">
        <v>113</v>
      </c>
      <c r="E15" s="2" t="str">
        <f>+VLOOKUP(D15,Auxiliar!$A$2:$B$88,2,FALSE)</f>
        <v>DCB</v>
      </c>
      <c r="F15" s="2"/>
    </row>
    <row r="16" spans="1:7" x14ac:dyDescent="0.4">
      <c r="B16" s="28" t="s">
        <v>14</v>
      </c>
      <c r="C16" s="29" t="s">
        <v>15</v>
      </c>
      <c r="D16" s="2" t="s">
        <v>69</v>
      </c>
      <c r="E16" s="2" t="str">
        <f>+VLOOKUP(D16,Auxiliar!$A$2:$B$88,2,FALSE)</f>
        <v>M &amp; A - Mergers and Acquisitions</v>
      </c>
      <c r="F16" s="2"/>
    </row>
    <row r="17" spans="2:6" ht="32.4" x14ac:dyDescent="0.4">
      <c r="B17" s="39" t="s">
        <v>16</v>
      </c>
      <c r="C17" s="40" t="s">
        <v>17</v>
      </c>
      <c r="D17" s="41" t="s">
        <v>131</v>
      </c>
      <c r="E17" s="42" t="str">
        <f>+VLOOKUP(D17,Auxiliar!$A$2:$B$88,2,FALSE)</f>
        <v>ECM - Equity Capital Markets &amp; Others</v>
      </c>
      <c r="F17" s="35" t="s">
        <v>222</v>
      </c>
    </row>
    <row r="18" spans="2:6" x14ac:dyDescent="0.4">
      <c r="B18" s="28" t="s">
        <v>18</v>
      </c>
      <c r="C18" s="29" t="s">
        <v>19</v>
      </c>
      <c r="D18" s="2" t="s">
        <v>70</v>
      </c>
      <c r="E18" s="2" t="str">
        <f>+VLOOKUP(D18,Auxiliar!$A$2:$B$88,2,FALSE)</f>
        <v>Corporate Equity Derivatives</v>
      </c>
      <c r="F18" s="2"/>
    </row>
    <row r="19" spans="2:6" x14ac:dyDescent="0.4">
      <c r="B19" s="28" t="s">
        <v>20</v>
      </c>
      <c r="C19" s="29" t="s">
        <v>21</v>
      </c>
      <c r="D19" s="2" t="s">
        <v>71</v>
      </c>
      <c r="E19" s="2" t="str">
        <f>+VLOOKUP(D19,Auxiliar!$A$2:$B$88,2,FALSE)</f>
        <v>Project and Acquisition Finance.</v>
      </c>
      <c r="F19" s="2"/>
    </row>
    <row r="20" spans="2:6" x14ac:dyDescent="0.4">
      <c r="B20" s="28" t="s">
        <v>22</v>
      </c>
      <c r="C20" s="29" t="s">
        <v>219</v>
      </c>
      <c r="D20" s="2" t="s">
        <v>72</v>
      </c>
      <c r="E20" s="2" t="str">
        <f>+VLOOKUP(D20,Auxiliar!$A$2:$B$88,2,FALSE)</f>
        <v>Syndicated Loans</v>
      </c>
      <c r="F20" s="2"/>
    </row>
    <row r="21" spans="2:6" x14ac:dyDescent="0.4">
      <c r="B21" s="28" t="s">
        <v>23</v>
      </c>
      <c r="C21" s="29" t="s">
        <v>24</v>
      </c>
      <c r="D21" s="2" t="s">
        <v>73</v>
      </c>
      <c r="E21" s="2" t="str">
        <f>+VLOOKUP(D21,Auxiliar!$A$2:$B$88,2,FALSE)</f>
        <v>DCM</v>
      </c>
      <c r="F21" s="2"/>
    </row>
    <row r="22" spans="2:6" x14ac:dyDescent="0.4">
      <c r="B22" s="28" t="s">
        <v>25</v>
      </c>
      <c r="C22" s="29" t="s">
        <v>26</v>
      </c>
      <c r="D22" s="2" t="s">
        <v>74</v>
      </c>
      <c r="E22" s="2" t="str">
        <f>+VLOOKUP(D22,Auxiliar!$A$2:$B$88,2,FALSE)</f>
        <v>ABF</v>
      </c>
      <c r="F22" s="2"/>
    </row>
    <row r="23" spans="2:6" x14ac:dyDescent="0.4">
      <c r="B23" s="28" t="s">
        <v>27</v>
      </c>
      <c r="C23" s="29" t="s">
        <v>28</v>
      </c>
      <c r="D23" s="2" t="s">
        <v>75</v>
      </c>
      <c r="E23" s="2" t="str">
        <f>+VLOOKUP(D23,Auxiliar!$A$2:$B$88,2,FALSE)</f>
        <v>Leveraged Finance</v>
      </c>
      <c r="F23" s="2"/>
    </row>
    <row r="24" spans="2:6" x14ac:dyDescent="0.4">
      <c r="B24" s="28" t="s">
        <v>29</v>
      </c>
      <c r="C24" s="29" t="s">
        <v>30</v>
      </c>
      <c r="D24" s="2" t="s">
        <v>76</v>
      </c>
      <c r="E24" s="2" t="str">
        <f>+VLOOKUP(D24,Auxiliar!$A$2:$B$88,2,FALSE)</f>
        <v>Cash Management</v>
      </c>
      <c r="F24" s="2"/>
    </row>
    <row r="25" spans="2:6" x14ac:dyDescent="0.4">
      <c r="B25" s="28" t="s">
        <v>31</v>
      </c>
      <c r="C25" s="29" t="s">
        <v>32</v>
      </c>
      <c r="D25" s="34" t="s">
        <v>138</v>
      </c>
      <c r="E25" s="2" t="str">
        <f>+VLOOKUP(D25,Auxiliar!$A$2:$B$88,2,FALSE)</f>
        <v>Financiación Básica</v>
      </c>
      <c r="F25" s="2"/>
    </row>
    <row r="26" spans="2:6" x14ac:dyDescent="0.4">
      <c r="B26" s="28" t="s">
        <v>33</v>
      </c>
      <c r="C26" s="29" t="s">
        <v>220</v>
      </c>
      <c r="D26" s="2" t="s">
        <v>77</v>
      </c>
      <c r="E26" s="2" t="str">
        <f>+VLOOKUP(D26,Auxiliar!$A$2:$B$88,2,FALSE)</f>
        <v>Trade &amp; WCS</v>
      </c>
      <c r="F26" s="2"/>
    </row>
    <row r="27" spans="2:6" x14ac:dyDescent="0.4">
      <c r="B27" s="28" t="s">
        <v>34</v>
      </c>
      <c r="C27" s="29" t="s">
        <v>35</v>
      </c>
      <c r="D27" s="2" t="s">
        <v>78</v>
      </c>
      <c r="E27" s="2" t="str">
        <f>+VLOOKUP(D27,Auxiliar!$A$2:$B$88,2,FALSE)</f>
        <v>Export &amp; Agency Finance</v>
      </c>
      <c r="F27" s="2"/>
    </row>
    <row r="28" spans="2:6" x14ac:dyDescent="0.4">
      <c r="B28" s="28" t="s">
        <v>36</v>
      </c>
      <c r="C28" s="29" t="s">
        <v>37</v>
      </c>
      <c r="D28" s="2" t="s">
        <v>79</v>
      </c>
      <c r="E28" s="2" t="str">
        <f>+VLOOKUP(D28,Auxiliar!$A$2:$B$88,2,FALSE)</f>
        <v>ACPM</v>
      </c>
      <c r="F28" s="2"/>
    </row>
    <row r="29" spans="2:6" x14ac:dyDescent="0.4">
      <c r="B29" s="28" t="s">
        <v>38</v>
      </c>
      <c r="C29" s="29" t="s">
        <v>39</v>
      </c>
      <c r="D29" s="2" t="s">
        <v>80</v>
      </c>
      <c r="E29" s="2" t="str">
        <f>+VLOOKUP(D29,Auxiliar!$A$2:$B$88,2,FALSE)</f>
        <v>Financial Management</v>
      </c>
      <c r="F29" s="2"/>
    </row>
    <row r="30" spans="2:6" x14ac:dyDescent="0.4">
      <c r="B30" s="28" t="s">
        <v>40</v>
      </c>
      <c r="C30" s="29" t="s">
        <v>41</v>
      </c>
      <c r="D30" s="2" t="s">
        <v>81</v>
      </c>
      <c r="E30" s="2" t="str">
        <f>+VLOOKUP(D30,Auxiliar!$A$2:$B$88,2,FALSE)</f>
        <v>Other Corporate Activities (Holding)</v>
      </c>
      <c r="F30" s="2"/>
    </row>
    <row r="31" spans="2:6" x14ac:dyDescent="0.4">
      <c r="B31" s="28" t="s">
        <v>42</v>
      </c>
      <c r="C31" s="29" t="s">
        <v>43</v>
      </c>
      <c r="D31" s="2" t="s">
        <v>82</v>
      </c>
      <c r="E31" s="2" t="str">
        <f>+VLOOKUP(D31,Auxiliar!$A$2:$B$88,2,FALSE)</f>
        <v>FX</v>
      </c>
      <c r="F31" s="2"/>
    </row>
    <row r="32" spans="2:6" x14ac:dyDescent="0.4">
      <c r="B32" s="28" t="s">
        <v>44</v>
      </c>
      <c r="C32" s="29" t="s">
        <v>45</v>
      </c>
      <c r="D32" s="2" t="s">
        <v>83</v>
      </c>
      <c r="E32" s="2" t="str">
        <f>+VLOOKUP(D32,Auxiliar!$A$2:$B$88,2,FALSE)</f>
        <v>Rates</v>
      </c>
      <c r="F32" s="2"/>
    </row>
    <row r="33" spans="2:6" x14ac:dyDescent="0.4">
      <c r="B33" s="28" t="s">
        <v>46</v>
      </c>
      <c r="C33" s="29" t="s">
        <v>47</v>
      </c>
      <c r="D33" s="2" t="s">
        <v>84</v>
      </c>
      <c r="E33" s="2" t="str">
        <f>+VLOOKUP(D33,Auxiliar!$A$2:$B$88,2,FALSE)</f>
        <v>Securitization Products</v>
      </c>
      <c r="F33" s="2"/>
    </row>
    <row r="34" spans="2:6" x14ac:dyDescent="0.4">
      <c r="B34" s="28" t="s">
        <v>48</v>
      </c>
      <c r="C34" s="29" t="s">
        <v>49</v>
      </c>
      <c r="D34" s="2" t="s">
        <v>85</v>
      </c>
      <c r="E34" s="2" t="str">
        <f>+VLOOKUP(D34,Auxiliar!$A$2:$B$88,2,FALSE)</f>
        <v>Securitization Finance</v>
      </c>
      <c r="F34" s="2"/>
    </row>
    <row r="35" spans="2:6" x14ac:dyDescent="0.4">
      <c r="B35" s="28" t="s">
        <v>50</v>
      </c>
      <c r="C35" s="29" t="s">
        <v>51</v>
      </c>
      <c r="D35" s="2" t="s">
        <v>86</v>
      </c>
      <c r="E35" s="2" t="str">
        <f>+VLOOKUP(D35,Auxiliar!$A$2:$B$88,2,FALSE)</f>
        <v>Bond Syndicate</v>
      </c>
      <c r="F35" s="2"/>
    </row>
    <row r="36" spans="2:6" x14ac:dyDescent="0.4">
      <c r="B36" s="28" t="s">
        <v>52</v>
      </c>
      <c r="C36" s="29" t="s">
        <v>53</v>
      </c>
      <c r="D36" s="2" t="s">
        <v>87</v>
      </c>
      <c r="E36" s="2" t="str">
        <f>+VLOOKUP(D36,Auxiliar!$A$2:$B$88,2,FALSE)</f>
        <v>Equity Derivatives</v>
      </c>
      <c r="F36" s="2"/>
    </row>
    <row r="37" spans="2:6" x14ac:dyDescent="0.4">
      <c r="B37" s="28" t="s">
        <v>54</v>
      </c>
      <c r="C37" s="29" t="s">
        <v>55</v>
      </c>
      <c r="D37" s="2" t="s">
        <v>88</v>
      </c>
      <c r="E37" s="2" t="str">
        <f>+VLOOKUP(D37,Auxiliar!$A$2:$B$88,2,FALSE)</f>
        <v>Commodities</v>
      </c>
      <c r="F37" s="2"/>
    </row>
    <row r="38" spans="2:6" x14ac:dyDescent="0.4">
      <c r="B38" s="28" t="s">
        <v>56</v>
      </c>
      <c r="C38" s="29" t="s">
        <v>57</v>
      </c>
      <c r="D38" s="2" t="s">
        <v>89</v>
      </c>
      <c r="E38" s="2" t="str">
        <f>+VLOOKUP(D38,Auxiliar!$A$2:$B$88,2,FALSE)</f>
        <v>Cash Equity</v>
      </c>
      <c r="F38" s="2"/>
    </row>
    <row r="39" spans="2:6" x14ac:dyDescent="0.4">
      <c r="B39" s="28" t="s">
        <v>58</v>
      </c>
      <c r="C39" s="29" t="s">
        <v>59</v>
      </c>
      <c r="D39" s="2" t="s">
        <v>90</v>
      </c>
      <c r="E39" s="2" t="str">
        <f>+VLOOKUP(D39,Auxiliar!$A$2:$B$88,2,FALSE)</f>
        <v>XVA</v>
      </c>
      <c r="F39" s="2"/>
    </row>
    <row r="41" spans="2:6" x14ac:dyDescent="0.4">
      <c r="C41" s="30" t="s">
        <v>221</v>
      </c>
    </row>
  </sheetData>
  <autoFilter ref="B9:F39" xr:uid="{EF8B590D-41E6-458E-AE7E-5E9B0E3FC1F2}"/>
  <mergeCells count="3">
    <mergeCell ref="B8:C8"/>
    <mergeCell ref="D8:E8"/>
    <mergeCell ref="F8:F9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32F-C487-4770-9247-1F42D1D9D50B}">
  <dimension ref="A1:B88"/>
  <sheetViews>
    <sheetView tabSelected="1" topLeftCell="A8" workbookViewId="0">
      <selection activeCell="A46" sqref="A46:B48"/>
    </sheetView>
  </sheetViews>
  <sheetFormatPr defaultRowHeight="14.4" x14ac:dyDescent="0.3"/>
  <cols>
    <col min="1" max="1" width="12.21875" bestFit="1" customWidth="1"/>
    <col min="2" max="2" width="37.109375" bestFit="1" customWidth="1"/>
  </cols>
  <sheetData>
    <row r="1" spans="1:2" ht="16.8" thickBot="1" x14ac:dyDescent="0.35">
      <c r="A1" s="4" t="s">
        <v>92</v>
      </c>
      <c r="B1" s="12" t="s">
        <v>153</v>
      </c>
    </row>
    <row r="2" spans="1:2" ht="16.2" x14ac:dyDescent="0.4">
      <c r="A2" s="5" t="s">
        <v>93</v>
      </c>
      <c r="B2" s="6" t="s">
        <v>154</v>
      </c>
    </row>
    <row r="3" spans="1:2" ht="16.2" x14ac:dyDescent="0.4">
      <c r="A3" s="5" t="s">
        <v>94</v>
      </c>
      <c r="B3" s="13" t="s">
        <v>155</v>
      </c>
    </row>
    <row r="4" spans="1:2" ht="16.2" x14ac:dyDescent="0.4">
      <c r="A4" s="47" t="s">
        <v>91</v>
      </c>
      <c r="B4" s="48" t="s">
        <v>3</v>
      </c>
    </row>
    <row r="5" spans="1:2" ht="16.2" x14ac:dyDescent="0.4">
      <c r="A5" s="47" t="s">
        <v>95</v>
      </c>
      <c r="B5" s="45" t="s">
        <v>156</v>
      </c>
    </row>
    <row r="6" spans="1:2" ht="16.2" x14ac:dyDescent="0.4">
      <c r="A6" s="47" t="s">
        <v>96</v>
      </c>
      <c r="B6" s="45" t="s">
        <v>157</v>
      </c>
    </row>
    <row r="7" spans="1:2" ht="16.2" x14ac:dyDescent="0.4">
      <c r="A7" s="6" t="s">
        <v>97</v>
      </c>
      <c r="B7" s="14" t="s">
        <v>158</v>
      </c>
    </row>
    <row r="8" spans="1:2" ht="16.2" x14ac:dyDescent="0.4">
      <c r="A8" s="6" t="s">
        <v>98</v>
      </c>
      <c r="B8" s="15" t="s">
        <v>159</v>
      </c>
    </row>
    <row r="9" spans="1:2" ht="16.2" x14ac:dyDescent="0.4">
      <c r="A9" s="6" t="s">
        <v>99</v>
      </c>
      <c r="B9" s="15" t="s">
        <v>160</v>
      </c>
    </row>
    <row r="10" spans="1:2" ht="16.2" x14ac:dyDescent="0.4">
      <c r="A10" s="6" t="s">
        <v>100</v>
      </c>
      <c r="B10" s="14" t="s">
        <v>161</v>
      </c>
    </row>
    <row r="11" spans="1:2" ht="16.2" x14ac:dyDescent="0.4">
      <c r="A11" s="6" t="s">
        <v>101</v>
      </c>
      <c r="B11" s="15" t="s">
        <v>162</v>
      </c>
    </row>
    <row r="12" spans="1:2" ht="16.2" x14ac:dyDescent="0.4">
      <c r="A12" s="7" t="s">
        <v>102</v>
      </c>
      <c r="B12" s="16" t="s">
        <v>163</v>
      </c>
    </row>
    <row r="13" spans="1:2" ht="16.2" x14ac:dyDescent="0.4">
      <c r="A13" s="7" t="s">
        <v>103</v>
      </c>
      <c r="B13" s="17" t="s">
        <v>164</v>
      </c>
    </row>
    <row r="14" spans="1:2" ht="16.2" x14ac:dyDescent="0.4">
      <c r="A14" s="7" t="s">
        <v>104</v>
      </c>
      <c r="B14" s="17" t="s">
        <v>165</v>
      </c>
    </row>
    <row r="15" spans="1:2" ht="17.399999999999999" x14ac:dyDescent="0.45">
      <c r="A15" s="8" t="s">
        <v>105</v>
      </c>
      <c r="B15" s="18" t="s">
        <v>166</v>
      </c>
    </row>
    <row r="16" spans="1:2" ht="16.2" x14ac:dyDescent="0.4">
      <c r="A16" s="9" t="s">
        <v>106</v>
      </c>
      <c r="B16" s="14" t="s">
        <v>167</v>
      </c>
    </row>
    <row r="17" spans="1:2" ht="16.2" x14ac:dyDescent="0.4">
      <c r="A17" s="44" t="s">
        <v>64</v>
      </c>
      <c r="B17" s="45" t="s">
        <v>5</v>
      </c>
    </row>
    <row r="18" spans="1:2" ht="16.2" x14ac:dyDescent="0.4">
      <c r="A18" s="44" t="s">
        <v>107</v>
      </c>
      <c r="B18" s="46" t="s">
        <v>168</v>
      </c>
    </row>
    <row r="19" spans="1:2" ht="16.2" x14ac:dyDescent="0.4">
      <c r="A19" s="44" t="s">
        <v>108</v>
      </c>
      <c r="B19" s="46" t="s">
        <v>169</v>
      </c>
    </row>
    <row r="20" spans="1:2" ht="16.2" x14ac:dyDescent="0.4">
      <c r="A20" s="44" t="s">
        <v>66</v>
      </c>
      <c r="B20" s="45" t="s">
        <v>9</v>
      </c>
    </row>
    <row r="21" spans="1:2" ht="16.2" x14ac:dyDescent="0.4">
      <c r="A21" s="44" t="s">
        <v>109</v>
      </c>
      <c r="B21" s="46" t="s">
        <v>170</v>
      </c>
    </row>
    <row r="22" spans="1:2" ht="16.2" x14ac:dyDescent="0.4">
      <c r="A22" s="44" t="s">
        <v>110</v>
      </c>
      <c r="B22" s="46" t="s">
        <v>171</v>
      </c>
    </row>
    <row r="23" spans="1:2" ht="16.2" x14ac:dyDescent="0.4">
      <c r="A23" s="9" t="s">
        <v>111</v>
      </c>
      <c r="B23" s="14" t="s">
        <v>172</v>
      </c>
    </row>
    <row r="24" spans="1:2" ht="16.2" x14ac:dyDescent="0.4">
      <c r="A24" s="9" t="s">
        <v>67</v>
      </c>
      <c r="B24" s="20" t="s">
        <v>7</v>
      </c>
    </row>
    <row r="25" spans="1:2" ht="16.2" x14ac:dyDescent="0.4">
      <c r="A25" s="9" t="s">
        <v>68</v>
      </c>
      <c r="B25" s="20" t="s">
        <v>11</v>
      </c>
    </row>
    <row r="26" spans="1:2" ht="16.2" x14ac:dyDescent="0.4">
      <c r="A26" s="9" t="s">
        <v>112</v>
      </c>
      <c r="B26" s="14" t="s">
        <v>173</v>
      </c>
    </row>
    <row r="27" spans="1:2" ht="16.2" x14ac:dyDescent="0.4">
      <c r="A27" s="44" t="s">
        <v>113</v>
      </c>
      <c r="B27" s="49" t="s">
        <v>174</v>
      </c>
    </row>
    <row r="28" spans="1:2" ht="16.2" x14ac:dyDescent="0.4">
      <c r="A28" s="44" t="s">
        <v>114</v>
      </c>
      <c r="B28" s="48" t="s">
        <v>175</v>
      </c>
    </row>
    <row r="29" spans="1:2" ht="16.2" x14ac:dyDescent="0.4">
      <c r="A29" s="44" t="s">
        <v>115</v>
      </c>
      <c r="B29" s="48" t="s">
        <v>176</v>
      </c>
    </row>
    <row r="30" spans="1:2" ht="16.2" x14ac:dyDescent="0.4">
      <c r="A30" s="44" t="s">
        <v>116</v>
      </c>
      <c r="B30" s="48" t="s">
        <v>177</v>
      </c>
    </row>
    <row r="31" spans="1:2" ht="16.2" x14ac:dyDescent="0.4">
      <c r="A31" s="9" t="s">
        <v>117</v>
      </c>
      <c r="B31" s="21" t="s">
        <v>178</v>
      </c>
    </row>
    <row r="32" spans="1:2" ht="16.2" x14ac:dyDescent="0.4">
      <c r="A32" s="9" t="s">
        <v>118</v>
      </c>
      <c r="B32" s="22" t="s">
        <v>179</v>
      </c>
    </row>
    <row r="33" spans="1:2" ht="16.2" x14ac:dyDescent="0.4">
      <c r="A33" s="9" t="s">
        <v>119</v>
      </c>
      <c r="B33" s="23" t="s">
        <v>180</v>
      </c>
    </row>
    <row r="34" spans="1:2" ht="16.2" x14ac:dyDescent="0.4">
      <c r="A34" s="9" t="s">
        <v>120</v>
      </c>
      <c r="B34" s="19" t="s">
        <v>181</v>
      </c>
    </row>
    <row r="35" spans="1:2" ht="16.2" x14ac:dyDescent="0.4">
      <c r="A35" s="9" t="s">
        <v>121</v>
      </c>
      <c r="B35" s="19" t="s">
        <v>182</v>
      </c>
    </row>
    <row r="36" spans="1:2" ht="16.2" x14ac:dyDescent="0.4">
      <c r="A36" s="9" t="s">
        <v>122</v>
      </c>
      <c r="B36" s="19" t="s">
        <v>183</v>
      </c>
    </row>
    <row r="37" spans="1:2" ht="16.2" x14ac:dyDescent="0.4">
      <c r="A37" s="9" t="s">
        <v>123</v>
      </c>
      <c r="B37" s="15" t="s">
        <v>184</v>
      </c>
    </row>
    <row r="38" spans="1:2" ht="16.2" x14ac:dyDescent="0.4">
      <c r="A38" s="9" t="s">
        <v>124</v>
      </c>
      <c r="B38" s="22" t="s">
        <v>185</v>
      </c>
    </row>
    <row r="39" spans="1:2" ht="16.2" x14ac:dyDescent="0.4">
      <c r="A39" s="9" t="s">
        <v>125</v>
      </c>
      <c r="B39" s="15" t="s">
        <v>186</v>
      </c>
    </row>
    <row r="40" spans="1:2" ht="16.2" x14ac:dyDescent="0.4">
      <c r="A40" s="9" t="s">
        <v>126</v>
      </c>
      <c r="B40" s="24" t="s">
        <v>187</v>
      </c>
    </row>
    <row r="41" spans="1:2" ht="16.2" x14ac:dyDescent="0.4">
      <c r="A41" s="9" t="s">
        <v>127</v>
      </c>
      <c r="B41" s="24" t="s">
        <v>188</v>
      </c>
    </row>
    <row r="42" spans="1:2" ht="16.2" x14ac:dyDescent="0.4">
      <c r="A42" s="9" t="s">
        <v>128</v>
      </c>
      <c r="B42" s="15" t="s">
        <v>189</v>
      </c>
    </row>
    <row r="43" spans="1:2" ht="16.2" x14ac:dyDescent="0.4">
      <c r="A43" s="6" t="s">
        <v>129</v>
      </c>
      <c r="B43" s="13" t="s">
        <v>190</v>
      </c>
    </row>
    <row r="44" spans="1:2" ht="16.2" x14ac:dyDescent="0.4">
      <c r="A44" s="6" t="s">
        <v>130</v>
      </c>
      <c r="B44" s="25" t="s">
        <v>191</v>
      </c>
    </row>
    <row r="45" spans="1:2" ht="16.2" x14ac:dyDescent="0.4">
      <c r="A45" s="6" t="s">
        <v>69</v>
      </c>
      <c r="B45" s="15" t="s">
        <v>15</v>
      </c>
    </row>
    <row r="46" spans="1:2" ht="16.2" x14ac:dyDescent="0.4">
      <c r="A46" s="6" t="s">
        <v>131</v>
      </c>
      <c r="B46" s="15" t="s">
        <v>192</v>
      </c>
    </row>
    <row r="47" spans="1:2" ht="16.2" x14ac:dyDescent="0.4">
      <c r="A47" s="6" t="s">
        <v>132</v>
      </c>
      <c r="B47" s="19" t="s">
        <v>193</v>
      </c>
    </row>
    <row r="48" spans="1:2" ht="17.399999999999999" x14ac:dyDescent="0.45">
      <c r="A48" s="10" t="s">
        <v>133</v>
      </c>
      <c r="B48" s="26" t="s">
        <v>194</v>
      </c>
    </row>
    <row r="49" spans="1:2" ht="16.2" x14ac:dyDescent="0.4">
      <c r="A49" s="11" t="s">
        <v>70</v>
      </c>
      <c r="B49" s="15" t="s">
        <v>19</v>
      </c>
    </row>
    <row r="50" spans="1:2" ht="16.2" x14ac:dyDescent="0.4">
      <c r="A50" s="6" t="s">
        <v>75</v>
      </c>
      <c r="B50" s="15" t="s">
        <v>28</v>
      </c>
    </row>
    <row r="51" spans="1:2" ht="16.2" x14ac:dyDescent="0.4">
      <c r="A51" s="6" t="s">
        <v>134</v>
      </c>
      <c r="B51" s="24" t="s">
        <v>195</v>
      </c>
    </row>
    <row r="52" spans="1:2" ht="16.2" x14ac:dyDescent="0.4">
      <c r="A52" s="11" t="s">
        <v>71</v>
      </c>
      <c r="B52" s="19" t="s">
        <v>196</v>
      </c>
    </row>
    <row r="53" spans="1:2" ht="16.2" x14ac:dyDescent="0.4">
      <c r="A53" s="6" t="s">
        <v>74</v>
      </c>
      <c r="B53" s="19" t="s">
        <v>197</v>
      </c>
    </row>
    <row r="54" spans="1:2" ht="17.399999999999999" x14ac:dyDescent="0.45">
      <c r="A54" s="10" t="s">
        <v>135</v>
      </c>
      <c r="B54" s="26" t="s">
        <v>198</v>
      </c>
    </row>
    <row r="55" spans="1:2" ht="16.2" x14ac:dyDescent="0.4">
      <c r="A55" s="7" t="s">
        <v>136</v>
      </c>
      <c r="B55" s="27" t="s">
        <v>199</v>
      </c>
    </row>
    <row r="56" spans="1:2" ht="16.2" x14ac:dyDescent="0.4">
      <c r="A56" s="6" t="s">
        <v>73</v>
      </c>
      <c r="B56" s="19" t="s">
        <v>200</v>
      </c>
    </row>
    <row r="57" spans="1:2" ht="16.2" x14ac:dyDescent="0.4">
      <c r="A57" s="6" t="s">
        <v>72</v>
      </c>
      <c r="B57" s="19" t="s">
        <v>201</v>
      </c>
    </row>
    <row r="58" spans="1:2" ht="16.2" x14ac:dyDescent="0.4">
      <c r="A58" s="6" t="s">
        <v>137</v>
      </c>
      <c r="B58" s="22" t="s">
        <v>202</v>
      </c>
    </row>
    <row r="59" spans="1:2" ht="16.2" x14ac:dyDescent="0.4">
      <c r="A59" s="6" t="s">
        <v>76</v>
      </c>
      <c r="B59" s="15" t="s">
        <v>30</v>
      </c>
    </row>
    <row r="60" spans="1:2" ht="16.2" x14ac:dyDescent="0.4">
      <c r="A60" s="6" t="s">
        <v>138</v>
      </c>
      <c r="B60" s="15" t="s">
        <v>203</v>
      </c>
    </row>
    <row r="61" spans="1:2" ht="16.2" x14ac:dyDescent="0.4">
      <c r="A61" s="6" t="s">
        <v>77</v>
      </c>
      <c r="B61" s="15" t="s">
        <v>204</v>
      </c>
    </row>
    <row r="62" spans="1:2" ht="16.2" x14ac:dyDescent="0.4">
      <c r="A62" s="6" t="s">
        <v>78</v>
      </c>
      <c r="B62" s="15" t="s">
        <v>35</v>
      </c>
    </row>
    <row r="63" spans="1:2" ht="16.2" x14ac:dyDescent="0.4">
      <c r="A63" s="6" t="s">
        <v>139</v>
      </c>
      <c r="B63" s="22" t="s">
        <v>205</v>
      </c>
    </row>
    <row r="64" spans="1:2" ht="17.399999999999999" x14ac:dyDescent="0.45">
      <c r="A64" s="10" t="s">
        <v>82</v>
      </c>
      <c r="B64" s="17" t="s">
        <v>206</v>
      </c>
    </row>
    <row r="65" spans="1:2" ht="17.399999999999999" x14ac:dyDescent="0.45">
      <c r="A65" s="10" t="s">
        <v>83</v>
      </c>
      <c r="B65" s="17" t="s">
        <v>45</v>
      </c>
    </row>
    <row r="66" spans="1:2" ht="17.399999999999999" x14ac:dyDescent="0.45">
      <c r="A66" s="10" t="s">
        <v>84</v>
      </c>
      <c r="B66" s="17" t="s">
        <v>47</v>
      </c>
    </row>
    <row r="67" spans="1:2" ht="17.399999999999999" x14ac:dyDescent="0.45">
      <c r="A67" s="10" t="s">
        <v>85</v>
      </c>
      <c r="B67" s="17" t="s">
        <v>49</v>
      </c>
    </row>
    <row r="68" spans="1:2" ht="17.399999999999999" x14ac:dyDescent="0.45">
      <c r="A68" s="10" t="s">
        <v>140</v>
      </c>
      <c r="B68" s="17" t="s">
        <v>207</v>
      </c>
    </row>
    <row r="69" spans="1:2" ht="17.399999999999999" x14ac:dyDescent="0.45">
      <c r="A69" s="10" t="s">
        <v>141</v>
      </c>
      <c r="B69" s="26" t="s">
        <v>207</v>
      </c>
    </row>
    <row r="70" spans="1:2" ht="17.399999999999999" x14ac:dyDescent="0.45">
      <c r="A70" s="10" t="s">
        <v>86</v>
      </c>
      <c r="B70" s="26" t="s">
        <v>51</v>
      </c>
    </row>
    <row r="71" spans="1:2" ht="16.2" x14ac:dyDescent="0.4">
      <c r="A71" s="6" t="s">
        <v>87</v>
      </c>
      <c r="B71" s="15" t="s">
        <v>53</v>
      </c>
    </row>
    <row r="72" spans="1:2" ht="17.399999999999999" x14ac:dyDescent="0.45">
      <c r="A72" s="10" t="s">
        <v>88</v>
      </c>
      <c r="B72" s="17" t="s">
        <v>55</v>
      </c>
    </row>
    <row r="73" spans="1:2" ht="16.2" x14ac:dyDescent="0.4">
      <c r="A73" s="6" t="s">
        <v>89</v>
      </c>
      <c r="B73" s="15" t="s">
        <v>57</v>
      </c>
    </row>
    <row r="74" spans="1:2" ht="16.2" x14ac:dyDescent="0.4">
      <c r="A74" s="6" t="s">
        <v>90</v>
      </c>
      <c r="B74" s="15" t="s">
        <v>208</v>
      </c>
    </row>
    <row r="75" spans="1:2" ht="16.2" x14ac:dyDescent="0.4">
      <c r="A75" s="6" t="s">
        <v>142</v>
      </c>
      <c r="B75" s="22" t="s">
        <v>209</v>
      </c>
    </row>
    <row r="76" spans="1:2" ht="16.2" x14ac:dyDescent="0.4">
      <c r="A76" s="6" t="s">
        <v>79</v>
      </c>
      <c r="B76" s="25" t="s">
        <v>37</v>
      </c>
    </row>
    <row r="77" spans="1:2" ht="16.2" x14ac:dyDescent="0.4">
      <c r="A77" s="6" t="s">
        <v>143</v>
      </c>
      <c r="B77" s="13" t="s">
        <v>210</v>
      </c>
    </row>
    <row r="78" spans="1:2" ht="16.2" x14ac:dyDescent="0.4">
      <c r="A78" s="6" t="s">
        <v>80</v>
      </c>
      <c r="B78" s="14" t="s">
        <v>39</v>
      </c>
    </row>
    <row r="79" spans="1:2" ht="16.2" x14ac:dyDescent="0.4">
      <c r="A79" s="6" t="s">
        <v>144</v>
      </c>
      <c r="B79" s="15" t="s">
        <v>211</v>
      </c>
    </row>
    <row r="80" spans="1:2" ht="16.2" x14ac:dyDescent="0.4">
      <c r="A80" s="6" t="s">
        <v>145</v>
      </c>
      <c r="B80" s="15" t="s">
        <v>212</v>
      </c>
    </row>
    <row r="81" spans="1:2" ht="16.2" x14ac:dyDescent="0.4">
      <c r="A81" s="6" t="s">
        <v>146</v>
      </c>
      <c r="B81" s="15" t="s">
        <v>213</v>
      </c>
    </row>
    <row r="82" spans="1:2" ht="16.2" x14ac:dyDescent="0.4">
      <c r="A82" s="6" t="s">
        <v>147</v>
      </c>
      <c r="B82" s="15" t="s">
        <v>214</v>
      </c>
    </row>
    <row r="83" spans="1:2" ht="16.2" x14ac:dyDescent="0.4">
      <c r="A83" s="6" t="s">
        <v>148</v>
      </c>
      <c r="B83" s="15" t="s">
        <v>215</v>
      </c>
    </row>
    <row r="84" spans="1:2" ht="16.2" x14ac:dyDescent="0.4">
      <c r="A84" s="6" t="s">
        <v>149</v>
      </c>
      <c r="B84" s="14" t="s">
        <v>216</v>
      </c>
    </row>
    <row r="85" spans="1:2" ht="16.2" x14ac:dyDescent="0.4">
      <c r="A85" s="6" t="s">
        <v>150</v>
      </c>
      <c r="B85" s="15" t="s">
        <v>217</v>
      </c>
    </row>
    <row r="86" spans="1:2" ht="16.2" x14ac:dyDescent="0.4">
      <c r="A86" s="6" t="s">
        <v>151</v>
      </c>
      <c r="B86" s="15" t="s">
        <v>216</v>
      </c>
    </row>
    <row r="87" spans="1:2" ht="16.2" x14ac:dyDescent="0.4">
      <c r="A87" s="6" t="s">
        <v>81</v>
      </c>
      <c r="B87" s="19" t="s">
        <v>41</v>
      </c>
    </row>
    <row r="88" spans="1:2" ht="16.2" x14ac:dyDescent="0.4">
      <c r="A88" s="6" t="s">
        <v>152</v>
      </c>
      <c r="B88" s="13" t="s">
        <v>218</v>
      </c>
    </row>
  </sheetData>
  <autoFilter ref="A1:B88" xr:uid="{80C6C32F-C487-4770-9247-1F42D1D9D50B}"/>
  <pageMargins left="0.7" right="0.7" top="0.75" bottom="0.75" header="0.3" footer="0.3"/>
  <headerFooter>
    <oddHeader>&amp;L&amp;"Calibri"&amp;10&amp;K000000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2532-E6E1-461B-9FC4-7FD2240C1789}">
  <dimension ref="B2:M90"/>
  <sheetViews>
    <sheetView topLeftCell="A14" zoomScale="90" zoomScaleNormal="90" workbookViewId="0">
      <selection activeCell="K23" sqref="K23"/>
    </sheetView>
  </sheetViews>
  <sheetFormatPr defaultRowHeight="14.4" x14ac:dyDescent="0.3"/>
  <cols>
    <col min="2" max="2" width="5.21875" bestFit="1" customWidth="1"/>
    <col min="3" max="3" width="34.6640625" bestFit="1" customWidth="1"/>
    <col min="4" max="4" width="11.33203125" bestFit="1" customWidth="1"/>
    <col min="5" max="5" width="32.6640625" bestFit="1" customWidth="1"/>
    <col min="6" max="7" width="11.33203125" bestFit="1" customWidth="1"/>
    <col min="11" max="11" width="11.44140625" bestFit="1" customWidth="1"/>
    <col min="12" max="12" width="31.44140625" bestFit="1" customWidth="1"/>
  </cols>
  <sheetData>
    <row r="2" spans="2:13" ht="16.8" thickBot="1" x14ac:dyDescent="0.45">
      <c r="B2" s="37" t="s">
        <v>60</v>
      </c>
      <c r="C2" s="37"/>
      <c r="D2" s="37" t="s">
        <v>61</v>
      </c>
      <c r="E2" s="37"/>
    </row>
    <row r="3" spans="2:13" ht="16.8" thickBot="1" x14ac:dyDescent="0.45">
      <c r="B3" s="3" t="s">
        <v>0</v>
      </c>
      <c r="C3" s="3" t="s">
        <v>1</v>
      </c>
      <c r="D3" s="3" t="s">
        <v>62</v>
      </c>
      <c r="E3" s="3" t="s">
        <v>63</v>
      </c>
      <c r="K3" s="4" t="s">
        <v>92</v>
      </c>
      <c r="L3" s="12" t="s">
        <v>153</v>
      </c>
    </row>
    <row r="4" spans="2:13" ht="16.2" x14ac:dyDescent="0.4">
      <c r="B4" s="1" t="s">
        <v>2</v>
      </c>
      <c r="C4" s="2" t="s">
        <v>3</v>
      </c>
      <c r="D4" s="2" t="s">
        <v>91</v>
      </c>
      <c r="E4" s="2" t="str">
        <f>+VLOOKUP(D4,Auxiliar!$A$2:$B$88,2,FALSE)</f>
        <v>Private Banking</v>
      </c>
      <c r="F4" s="6" t="s">
        <v>95</v>
      </c>
      <c r="G4" s="6" t="s">
        <v>96</v>
      </c>
      <c r="K4" s="5" t="s">
        <v>93</v>
      </c>
      <c r="L4" s="6" t="s">
        <v>154</v>
      </c>
      <c r="M4" t="e">
        <f>VLOOKUP(K4,$D:$D,1,FALSE)</f>
        <v>#N/A</v>
      </c>
    </row>
    <row r="5" spans="2:13" ht="16.2" x14ac:dyDescent="0.4">
      <c r="B5" s="1" t="s">
        <v>4</v>
      </c>
      <c r="C5" s="2" t="s">
        <v>5</v>
      </c>
      <c r="D5" s="2" t="s">
        <v>64</v>
      </c>
      <c r="E5" s="2" t="str">
        <f>+VLOOKUP(D5,Auxiliar!$A$2:$B$88,2,FALSE)</f>
        <v>Individuals</v>
      </c>
      <c r="K5" s="5" t="s">
        <v>94</v>
      </c>
      <c r="L5" s="13" t="s">
        <v>155</v>
      </c>
      <c r="M5" t="e">
        <f t="shared" ref="M5:M68" si="0">VLOOKUP(K5,$D:$D,1,FALSE)</f>
        <v>#N/A</v>
      </c>
    </row>
    <row r="6" spans="2:13" ht="16.2" x14ac:dyDescent="0.4">
      <c r="B6" s="28" t="s">
        <v>6</v>
      </c>
      <c r="C6" s="29" t="s">
        <v>7</v>
      </c>
      <c r="D6" s="2" t="s">
        <v>67</v>
      </c>
      <c r="E6" s="2" t="str">
        <f>+VLOOKUP(D6,Auxiliar!$A$2:$B$88,2,FALSE)</f>
        <v>Companies</v>
      </c>
      <c r="K6" s="6" t="s">
        <v>91</v>
      </c>
      <c r="L6" s="14" t="s">
        <v>3</v>
      </c>
      <c r="M6" t="str">
        <f t="shared" si="0"/>
        <v>BP</v>
      </c>
    </row>
    <row r="7" spans="2:13" ht="16.2" x14ac:dyDescent="0.4">
      <c r="B7" s="28" t="s">
        <v>8</v>
      </c>
      <c r="C7" s="29" t="s">
        <v>9</v>
      </c>
      <c r="D7" s="2" t="s">
        <v>66</v>
      </c>
      <c r="E7" s="2" t="str">
        <f>+VLOOKUP(D7,Auxiliar!$A$2:$B$88,2,FALSE)</f>
        <v>SMEs</v>
      </c>
      <c r="K7" s="6" t="s">
        <v>95</v>
      </c>
      <c r="L7" s="15" t="s">
        <v>156</v>
      </c>
      <c r="M7" t="e">
        <f t="shared" si="0"/>
        <v>#N/A</v>
      </c>
    </row>
    <row r="8" spans="2:13" ht="16.2" x14ac:dyDescent="0.4">
      <c r="B8" s="28" t="s">
        <v>10</v>
      </c>
      <c r="C8" s="29" t="s">
        <v>11</v>
      </c>
      <c r="D8" s="2" t="s">
        <v>68</v>
      </c>
      <c r="E8" s="2" t="str">
        <f>+VLOOKUP(D8,Auxiliar!$A$2:$B$88,2,FALSE)</f>
        <v>Institutions</v>
      </c>
      <c r="K8" s="6" t="s">
        <v>96</v>
      </c>
      <c r="L8" s="15" t="s">
        <v>157</v>
      </c>
      <c r="M8" t="e">
        <f t="shared" si="0"/>
        <v>#N/A</v>
      </c>
    </row>
    <row r="9" spans="2:13" ht="16.2" x14ac:dyDescent="0.4">
      <c r="B9" s="28" t="s">
        <v>12</v>
      </c>
      <c r="C9" s="29" t="s">
        <v>13</v>
      </c>
      <c r="D9" s="34" t="s">
        <v>113</v>
      </c>
      <c r="E9" s="2" t="str">
        <f>+VLOOKUP(D9,Auxiliar!$A$2:$B$88,2,FALSE)</f>
        <v>DCB</v>
      </c>
      <c r="K9" s="6" t="s">
        <v>97</v>
      </c>
      <c r="L9" s="14" t="s">
        <v>158</v>
      </c>
      <c r="M9" t="e">
        <f t="shared" si="0"/>
        <v>#N/A</v>
      </c>
    </row>
    <row r="10" spans="2:13" ht="16.2" x14ac:dyDescent="0.4">
      <c r="B10" s="28" t="s">
        <v>14</v>
      </c>
      <c r="C10" s="29" t="s">
        <v>15</v>
      </c>
      <c r="D10" s="2" t="s">
        <v>69</v>
      </c>
      <c r="E10" s="2" t="str">
        <f>+VLOOKUP(D10,Auxiliar!$A$2:$B$88,2,FALSE)</f>
        <v>M &amp; A - Mergers and Acquisitions</v>
      </c>
      <c r="K10" s="6" t="s">
        <v>98</v>
      </c>
      <c r="L10" s="15" t="s">
        <v>159</v>
      </c>
      <c r="M10" t="e">
        <f t="shared" si="0"/>
        <v>#N/A</v>
      </c>
    </row>
    <row r="11" spans="2:13" ht="16.2" x14ac:dyDescent="0.4">
      <c r="B11" s="28" t="s">
        <v>16</v>
      </c>
      <c r="C11" s="29" t="s">
        <v>17</v>
      </c>
      <c r="D11" s="34" t="s">
        <v>131</v>
      </c>
      <c r="E11" s="2" t="str">
        <f>+VLOOKUP(D11,Auxiliar!$A$2:$B$88,2,FALSE)</f>
        <v>ECM - Equity Capital Markets &amp; Others</v>
      </c>
      <c r="K11" s="6" t="s">
        <v>99</v>
      </c>
      <c r="L11" s="15" t="s">
        <v>160</v>
      </c>
      <c r="M11" t="e">
        <f t="shared" si="0"/>
        <v>#N/A</v>
      </c>
    </row>
    <row r="12" spans="2:13" ht="16.2" x14ac:dyDescent="0.4">
      <c r="B12" s="28" t="s">
        <v>18</v>
      </c>
      <c r="C12" s="29" t="s">
        <v>19</v>
      </c>
      <c r="D12" s="2" t="s">
        <v>70</v>
      </c>
      <c r="E12" s="2" t="str">
        <f>+VLOOKUP(D12,Auxiliar!$A$2:$B$88,2,FALSE)</f>
        <v>Corporate Equity Derivatives</v>
      </c>
      <c r="K12" s="6" t="s">
        <v>100</v>
      </c>
      <c r="L12" s="14" t="s">
        <v>161</v>
      </c>
      <c r="M12" t="e">
        <f t="shared" si="0"/>
        <v>#N/A</v>
      </c>
    </row>
    <row r="13" spans="2:13" ht="16.2" x14ac:dyDescent="0.4">
      <c r="B13" s="28" t="s">
        <v>20</v>
      </c>
      <c r="C13" s="29" t="s">
        <v>21</v>
      </c>
      <c r="D13" s="2" t="s">
        <v>71</v>
      </c>
      <c r="E13" s="2" t="str">
        <f>+VLOOKUP(D13,Auxiliar!$A$2:$B$88,2,FALSE)</f>
        <v>Project and Acquisition Finance.</v>
      </c>
      <c r="K13" s="6" t="s">
        <v>101</v>
      </c>
      <c r="L13" s="15" t="s">
        <v>162</v>
      </c>
      <c r="M13" t="e">
        <f t="shared" si="0"/>
        <v>#N/A</v>
      </c>
    </row>
    <row r="14" spans="2:13" ht="16.2" x14ac:dyDescent="0.4">
      <c r="B14" s="28" t="s">
        <v>22</v>
      </c>
      <c r="C14" s="29" t="s">
        <v>219</v>
      </c>
      <c r="D14" s="2" t="s">
        <v>72</v>
      </c>
      <c r="E14" s="2" t="str">
        <f>+VLOOKUP(D14,Auxiliar!$A$2:$B$88,2,FALSE)</f>
        <v>Syndicated Loans</v>
      </c>
      <c r="K14" s="7" t="s">
        <v>102</v>
      </c>
      <c r="L14" s="16" t="s">
        <v>163</v>
      </c>
      <c r="M14" t="e">
        <f t="shared" si="0"/>
        <v>#N/A</v>
      </c>
    </row>
    <row r="15" spans="2:13" ht="16.2" x14ac:dyDescent="0.4">
      <c r="B15" s="28" t="s">
        <v>23</v>
      </c>
      <c r="C15" s="29" t="s">
        <v>24</v>
      </c>
      <c r="D15" s="2" t="s">
        <v>73</v>
      </c>
      <c r="E15" s="2" t="str">
        <f>+VLOOKUP(D15,Auxiliar!$A$2:$B$88,2,FALSE)</f>
        <v>DCM</v>
      </c>
      <c r="K15" s="7" t="s">
        <v>103</v>
      </c>
      <c r="L15" s="17" t="s">
        <v>164</v>
      </c>
      <c r="M15" t="e">
        <f t="shared" si="0"/>
        <v>#N/A</v>
      </c>
    </row>
    <row r="16" spans="2:13" ht="16.2" x14ac:dyDescent="0.4">
      <c r="B16" s="28" t="s">
        <v>25</v>
      </c>
      <c r="C16" s="29" t="s">
        <v>26</v>
      </c>
      <c r="D16" s="2" t="s">
        <v>74</v>
      </c>
      <c r="E16" s="2" t="str">
        <f>+VLOOKUP(D16,Auxiliar!$A$2:$B$88,2,FALSE)</f>
        <v>ABF</v>
      </c>
      <c r="K16" s="7" t="s">
        <v>104</v>
      </c>
      <c r="L16" s="17" t="s">
        <v>165</v>
      </c>
      <c r="M16" t="e">
        <f t="shared" si="0"/>
        <v>#N/A</v>
      </c>
    </row>
    <row r="17" spans="2:13" ht="17.399999999999999" x14ac:dyDescent="0.45">
      <c r="B17" s="28" t="s">
        <v>27</v>
      </c>
      <c r="C17" s="29" t="s">
        <v>28</v>
      </c>
      <c r="D17" s="2" t="s">
        <v>75</v>
      </c>
      <c r="E17" s="2" t="str">
        <f>+VLOOKUP(D17,Auxiliar!$A$2:$B$88,2,FALSE)</f>
        <v>Leveraged Finance</v>
      </c>
      <c r="K17" s="8" t="s">
        <v>105</v>
      </c>
      <c r="L17" s="18" t="s">
        <v>166</v>
      </c>
      <c r="M17" t="e">
        <f t="shared" si="0"/>
        <v>#N/A</v>
      </c>
    </row>
    <row r="18" spans="2:13" ht="16.2" x14ac:dyDescent="0.4">
      <c r="B18" s="28" t="s">
        <v>29</v>
      </c>
      <c r="C18" s="29" t="s">
        <v>30</v>
      </c>
      <c r="D18" s="2" t="s">
        <v>76</v>
      </c>
      <c r="E18" s="2" t="str">
        <f>+VLOOKUP(D18,Auxiliar!$A$2:$B$88,2,FALSE)</f>
        <v>Cash Management</v>
      </c>
      <c r="K18" s="9" t="s">
        <v>106</v>
      </c>
      <c r="L18" s="14" t="s">
        <v>167</v>
      </c>
      <c r="M18" t="e">
        <f t="shared" si="0"/>
        <v>#N/A</v>
      </c>
    </row>
    <row r="19" spans="2:13" ht="16.2" x14ac:dyDescent="0.4">
      <c r="B19" s="28" t="s">
        <v>31</v>
      </c>
      <c r="C19" s="29" t="s">
        <v>32</v>
      </c>
      <c r="D19" s="34" t="s">
        <v>138</v>
      </c>
      <c r="E19" s="2" t="str">
        <f>+VLOOKUP(D19,Auxiliar!$A$2:$B$88,2,FALSE)</f>
        <v>Financiación Básica</v>
      </c>
      <c r="K19" s="9" t="s">
        <v>64</v>
      </c>
      <c r="L19" s="15" t="s">
        <v>5</v>
      </c>
      <c r="M19" t="str">
        <f t="shared" si="0"/>
        <v>BC1015</v>
      </c>
    </row>
    <row r="20" spans="2:13" ht="16.2" x14ac:dyDescent="0.4">
      <c r="B20" s="28" t="s">
        <v>33</v>
      </c>
      <c r="C20" s="29" t="s">
        <v>220</v>
      </c>
      <c r="D20" s="2" t="s">
        <v>77</v>
      </c>
      <c r="E20" s="2" t="str">
        <f>+VLOOKUP(D20,Auxiliar!$A$2:$B$88,2,FALSE)</f>
        <v>Trade &amp; WCS</v>
      </c>
      <c r="K20" s="9" t="s">
        <v>107</v>
      </c>
      <c r="L20" s="19" t="s">
        <v>168</v>
      </c>
      <c r="M20" t="e">
        <f t="shared" si="0"/>
        <v>#N/A</v>
      </c>
    </row>
    <row r="21" spans="2:13" ht="16.2" x14ac:dyDescent="0.4">
      <c r="B21" s="28" t="s">
        <v>34</v>
      </c>
      <c r="C21" s="29" t="s">
        <v>35</v>
      </c>
      <c r="D21" s="2" t="s">
        <v>78</v>
      </c>
      <c r="E21" s="2" t="str">
        <f>+VLOOKUP(D21,Auxiliar!$A$2:$B$88,2,FALSE)</f>
        <v>Export &amp; Agency Finance</v>
      </c>
      <c r="K21" s="9" t="s">
        <v>108</v>
      </c>
      <c r="L21" s="19" t="s">
        <v>169</v>
      </c>
      <c r="M21" t="e">
        <f t="shared" si="0"/>
        <v>#N/A</v>
      </c>
    </row>
    <row r="22" spans="2:13" ht="16.2" x14ac:dyDescent="0.4">
      <c r="B22" s="28" t="s">
        <v>36</v>
      </c>
      <c r="C22" s="29" t="s">
        <v>37</v>
      </c>
      <c r="D22" s="2" t="s">
        <v>79</v>
      </c>
      <c r="E22" s="2" t="str">
        <f>+VLOOKUP(D22,Auxiliar!$A$2:$B$88,2,FALSE)</f>
        <v>ACPM</v>
      </c>
      <c r="K22" s="9" t="s">
        <v>66</v>
      </c>
      <c r="L22" s="15" t="s">
        <v>9</v>
      </c>
      <c r="M22" t="str">
        <f t="shared" si="0"/>
        <v>BC1014</v>
      </c>
    </row>
    <row r="23" spans="2:13" ht="16.2" x14ac:dyDescent="0.4">
      <c r="B23" s="28" t="s">
        <v>38</v>
      </c>
      <c r="C23" s="29" t="s">
        <v>39</v>
      </c>
      <c r="D23" s="2" t="s">
        <v>80</v>
      </c>
      <c r="E23" s="2" t="str">
        <f>+VLOOKUP(D23,Auxiliar!$A$2:$B$88,2,FALSE)</f>
        <v>Financial Management</v>
      </c>
      <c r="K23" s="36" t="s">
        <v>109</v>
      </c>
      <c r="L23" s="19" t="s">
        <v>170</v>
      </c>
      <c r="M23" t="e">
        <f t="shared" si="0"/>
        <v>#N/A</v>
      </c>
    </row>
    <row r="24" spans="2:13" ht="16.2" x14ac:dyDescent="0.4">
      <c r="B24" s="28" t="s">
        <v>40</v>
      </c>
      <c r="C24" s="29" t="s">
        <v>41</v>
      </c>
      <c r="D24" s="2" t="s">
        <v>81</v>
      </c>
      <c r="E24" s="2" t="str">
        <f>+VLOOKUP(D24,Auxiliar!$A$2:$B$88,2,FALSE)</f>
        <v>Other Corporate Activities (Holding)</v>
      </c>
      <c r="K24" s="9" t="s">
        <v>110</v>
      </c>
      <c r="L24" s="19" t="s">
        <v>171</v>
      </c>
      <c r="M24" t="e">
        <f t="shared" si="0"/>
        <v>#N/A</v>
      </c>
    </row>
    <row r="25" spans="2:13" ht="16.2" x14ac:dyDescent="0.4">
      <c r="B25" s="28" t="s">
        <v>42</v>
      </c>
      <c r="C25" s="29" t="s">
        <v>43</v>
      </c>
      <c r="D25" s="2" t="s">
        <v>82</v>
      </c>
      <c r="E25" s="2" t="str">
        <f>+VLOOKUP(D25,Auxiliar!$A$2:$B$88,2,FALSE)</f>
        <v>FX</v>
      </c>
      <c r="K25" s="9" t="s">
        <v>111</v>
      </c>
      <c r="L25" s="14" t="s">
        <v>172</v>
      </c>
      <c r="M25" t="e">
        <f t="shared" si="0"/>
        <v>#N/A</v>
      </c>
    </row>
    <row r="26" spans="2:13" ht="16.2" x14ac:dyDescent="0.4">
      <c r="B26" s="28" t="s">
        <v>44</v>
      </c>
      <c r="C26" s="29" t="s">
        <v>45</v>
      </c>
      <c r="D26" s="2" t="s">
        <v>83</v>
      </c>
      <c r="E26" s="2" t="str">
        <f>+VLOOKUP(D26,Auxiliar!$A$2:$B$88,2,FALSE)</f>
        <v>Rates</v>
      </c>
      <c r="K26" s="9" t="s">
        <v>67</v>
      </c>
      <c r="L26" s="20" t="s">
        <v>7</v>
      </c>
      <c r="M26" t="str">
        <f t="shared" si="0"/>
        <v>AN01020210</v>
      </c>
    </row>
    <row r="27" spans="2:13" ht="16.2" x14ac:dyDescent="0.4">
      <c r="B27" s="28" t="s">
        <v>46</v>
      </c>
      <c r="C27" s="29" t="s">
        <v>47</v>
      </c>
      <c r="D27" s="2" t="s">
        <v>84</v>
      </c>
      <c r="E27" s="2" t="str">
        <f>+VLOOKUP(D27,Auxiliar!$A$2:$B$88,2,FALSE)</f>
        <v>Securitization Products</v>
      </c>
      <c r="K27" s="9" t="s">
        <v>68</v>
      </c>
      <c r="L27" s="20" t="s">
        <v>11</v>
      </c>
      <c r="M27" t="str">
        <f t="shared" si="0"/>
        <v>AN01040220</v>
      </c>
    </row>
    <row r="28" spans="2:13" ht="16.2" x14ac:dyDescent="0.4">
      <c r="B28" s="28" t="s">
        <v>48</v>
      </c>
      <c r="C28" s="29" t="s">
        <v>49</v>
      </c>
      <c r="D28" s="2" t="s">
        <v>85</v>
      </c>
      <c r="E28" s="2" t="str">
        <f>+VLOOKUP(D28,Auxiliar!$A$2:$B$88,2,FALSE)</f>
        <v>Securitization Finance</v>
      </c>
      <c r="K28" s="9" t="s">
        <v>112</v>
      </c>
      <c r="L28" s="14" t="s">
        <v>173</v>
      </c>
      <c r="M28" t="e">
        <f t="shared" si="0"/>
        <v>#N/A</v>
      </c>
    </row>
    <row r="29" spans="2:13" ht="16.2" x14ac:dyDescent="0.4">
      <c r="B29" s="28" t="s">
        <v>50</v>
      </c>
      <c r="C29" s="29" t="s">
        <v>51</v>
      </c>
      <c r="D29" s="2" t="s">
        <v>86</v>
      </c>
      <c r="E29" s="2" t="str">
        <f>+VLOOKUP(D29,Auxiliar!$A$2:$B$88,2,FALSE)</f>
        <v>Bond Syndicate</v>
      </c>
      <c r="K29" s="9" t="s">
        <v>113</v>
      </c>
      <c r="L29" s="13" t="s">
        <v>174</v>
      </c>
      <c r="M29" t="str">
        <f t="shared" si="0"/>
        <v>FC</v>
      </c>
    </row>
    <row r="30" spans="2:13" ht="16.2" x14ac:dyDescent="0.4">
      <c r="B30" s="28" t="s">
        <v>52</v>
      </c>
      <c r="C30" s="29" t="s">
        <v>53</v>
      </c>
      <c r="D30" s="2" t="s">
        <v>87</v>
      </c>
      <c r="E30" s="2" t="str">
        <f>+VLOOKUP(D30,Auxiliar!$A$2:$B$88,2,FALSE)</f>
        <v>Equity Derivatives</v>
      </c>
      <c r="K30" s="9" t="s">
        <v>114</v>
      </c>
      <c r="L30" s="14" t="s">
        <v>175</v>
      </c>
      <c r="M30" t="e">
        <f t="shared" si="0"/>
        <v>#N/A</v>
      </c>
    </row>
    <row r="31" spans="2:13" ht="16.2" x14ac:dyDescent="0.4">
      <c r="B31" s="28" t="s">
        <v>54</v>
      </c>
      <c r="C31" s="29" t="s">
        <v>55</v>
      </c>
      <c r="D31" s="2" t="s">
        <v>88</v>
      </c>
      <c r="E31" s="2" t="str">
        <f>+VLOOKUP(D31,Auxiliar!$A$2:$B$88,2,FALSE)</f>
        <v>Commodities</v>
      </c>
      <c r="K31" s="9" t="s">
        <v>115</v>
      </c>
      <c r="L31" s="14" t="s">
        <v>176</v>
      </c>
      <c r="M31" t="e">
        <f t="shared" si="0"/>
        <v>#N/A</v>
      </c>
    </row>
    <row r="32" spans="2:13" ht="16.2" x14ac:dyDescent="0.4">
      <c r="B32" s="28" t="s">
        <v>56</v>
      </c>
      <c r="C32" s="29" t="s">
        <v>57</v>
      </c>
      <c r="D32" s="2" t="s">
        <v>89</v>
      </c>
      <c r="E32" s="2" t="str">
        <f>+VLOOKUP(D32,Auxiliar!$A$2:$B$88,2,FALSE)</f>
        <v>Cash Equity</v>
      </c>
      <c r="K32" s="9" t="s">
        <v>116</v>
      </c>
      <c r="L32" s="14" t="s">
        <v>177</v>
      </c>
      <c r="M32" t="e">
        <f t="shared" si="0"/>
        <v>#N/A</v>
      </c>
    </row>
    <row r="33" spans="2:13" ht="16.2" x14ac:dyDescent="0.4">
      <c r="B33" s="28" t="s">
        <v>58</v>
      </c>
      <c r="C33" s="29" t="s">
        <v>59</v>
      </c>
      <c r="D33" s="2" t="s">
        <v>90</v>
      </c>
      <c r="E33" s="2" t="str">
        <f>+VLOOKUP(D33,Auxiliar!$A$2:$B$88,2,FALSE)</f>
        <v>XVA</v>
      </c>
      <c r="K33" s="9" t="s">
        <v>117</v>
      </c>
      <c r="L33" s="21" t="s">
        <v>178</v>
      </c>
      <c r="M33" t="e">
        <f t="shared" si="0"/>
        <v>#N/A</v>
      </c>
    </row>
    <row r="34" spans="2:13" ht="16.2" x14ac:dyDescent="0.4">
      <c r="K34" s="9" t="s">
        <v>118</v>
      </c>
      <c r="L34" s="22" t="s">
        <v>179</v>
      </c>
      <c r="M34" t="e">
        <f t="shared" si="0"/>
        <v>#N/A</v>
      </c>
    </row>
    <row r="35" spans="2:13" ht="16.2" x14ac:dyDescent="0.4">
      <c r="K35" s="9" t="s">
        <v>119</v>
      </c>
      <c r="L35" s="23" t="s">
        <v>180</v>
      </c>
      <c r="M35" t="e">
        <f t="shared" si="0"/>
        <v>#N/A</v>
      </c>
    </row>
    <row r="36" spans="2:13" ht="16.2" x14ac:dyDescent="0.4">
      <c r="K36" s="9" t="s">
        <v>120</v>
      </c>
      <c r="L36" s="19" t="s">
        <v>181</v>
      </c>
      <c r="M36" t="e">
        <f t="shared" si="0"/>
        <v>#N/A</v>
      </c>
    </row>
    <row r="37" spans="2:13" ht="16.2" x14ac:dyDescent="0.4">
      <c r="K37" s="9" t="s">
        <v>121</v>
      </c>
      <c r="L37" s="19" t="s">
        <v>182</v>
      </c>
      <c r="M37" t="e">
        <f t="shared" si="0"/>
        <v>#N/A</v>
      </c>
    </row>
    <row r="38" spans="2:13" ht="16.2" x14ac:dyDescent="0.4">
      <c r="K38" s="9" t="s">
        <v>122</v>
      </c>
      <c r="L38" s="19" t="s">
        <v>183</v>
      </c>
      <c r="M38" t="e">
        <f t="shared" si="0"/>
        <v>#N/A</v>
      </c>
    </row>
    <row r="39" spans="2:13" ht="16.2" x14ac:dyDescent="0.4">
      <c r="K39" s="9" t="s">
        <v>123</v>
      </c>
      <c r="L39" s="15" t="s">
        <v>184</v>
      </c>
      <c r="M39" t="e">
        <f t="shared" si="0"/>
        <v>#N/A</v>
      </c>
    </row>
    <row r="40" spans="2:13" ht="16.2" x14ac:dyDescent="0.4">
      <c r="K40" s="9" t="s">
        <v>124</v>
      </c>
      <c r="L40" s="22" t="s">
        <v>185</v>
      </c>
      <c r="M40" t="e">
        <f t="shared" si="0"/>
        <v>#N/A</v>
      </c>
    </row>
    <row r="41" spans="2:13" ht="16.2" x14ac:dyDescent="0.4">
      <c r="K41" s="9" t="s">
        <v>125</v>
      </c>
      <c r="L41" s="15" t="s">
        <v>186</v>
      </c>
      <c r="M41" t="e">
        <f t="shared" si="0"/>
        <v>#N/A</v>
      </c>
    </row>
    <row r="42" spans="2:13" ht="16.2" x14ac:dyDescent="0.4">
      <c r="K42" s="9" t="s">
        <v>126</v>
      </c>
      <c r="L42" s="24" t="s">
        <v>187</v>
      </c>
      <c r="M42" t="e">
        <f t="shared" si="0"/>
        <v>#N/A</v>
      </c>
    </row>
    <row r="43" spans="2:13" ht="16.2" x14ac:dyDescent="0.4">
      <c r="K43" s="9" t="s">
        <v>127</v>
      </c>
      <c r="L43" s="24" t="s">
        <v>188</v>
      </c>
      <c r="M43" t="e">
        <f t="shared" si="0"/>
        <v>#N/A</v>
      </c>
    </row>
    <row r="44" spans="2:13" ht="16.2" x14ac:dyDescent="0.4">
      <c r="K44" s="9" t="s">
        <v>128</v>
      </c>
      <c r="L44" s="15" t="s">
        <v>189</v>
      </c>
      <c r="M44" t="e">
        <f t="shared" si="0"/>
        <v>#N/A</v>
      </c>
    </row>
    <row r="45" spans="2:13" ht="16.2" x14ac:dyDescent="0.4">
      <c r="K45" s="6" t="s">
        <v>129</v>
      </c>
      <c r="L45" s="13" t="s">
        <v>190</v>
      </c>
      <c r="M45" t="e">
        <f t="shared" si="0"/>
        <v>#N/A</v>
      </c>
    </row>
    <row r="46" spans="2:13" ht="16.2" x14ac:dyDescent="0.4">
      <c r="K46" s="6" t="s">
        <v>130</v>
      </c>
      <c r="L46" s="25" t="s">
        <v>191</v>
      </c>
      <c r="M46" t="e">
        <f t="shared" si="0"/>
        <v>#N/A</v>
      </c>
    </row>
    <row r="47" spans="2:13" ht="16.2" x14ac:dyDescent="0.4">
      <c r="K47" s="6" t="s">
        <v>69</v>
      </c>
      <c r="L47" s="15" t="s">
        <v>15</v>
      </c>
      <c r="M47" t="str">
        <f t="shared" si="0"/>
        <v>AN02050600</v>
      </c>
    </row>
    <row r="48" spans="2:13" ht="16.2" x14ac:dyDescent="0.4">
      <c r="K48" s="6" t="s">
        <v>131</v>
      </c>
      <c r="L48" s="15" t="s">
        <v>192</v>
      </c>
      <c r="M48" t="str">
        <f t="shared" si="0"/>
        <v>GB0510</v>
      </c>
    </row>
    <row r="49" spans="11:13" ht="16.2" x14ac:dyDescent="0.4">
      <c r="K49" s="6" t="s">
        <v>132</v>
      </c>
      <c r="L49" s="19" t="s">
        <v>193</v>
      </c>
      <c r="M49" t="e">
        <f t="shared" si="0"/>
        <v>#N/A</v>
      </c>
    </row>
    <row r="50" spans="11:13" ht="17.399999999999999" x14ac:dyDescent="0.45">
      <c r="K50" s="10" t="s">
        <v>133</v>
      </c>
      <c r="L50" s="26" t="s">
        <v>194</v>
      </c>
      <c r="M50" t="e">
        <f t="shared" si="0"/>
        <v>#N/A</v>
      </c>
    </row>
    <row r="51" spans="11:13" ht="16.2" x14ac:dyDescent="0.4">
      <c r="K51" s="11" t="s">
        <v>70</v>
      </c>
      <c r="L51" s="15" t="s">
        <v>19</v>
      </c>
      <c r="M51" t="str">
        <f t="shared" si="0"/>
        <v>AN02050800</v>
      </c>
    </row>
    <row r="52" spans="11:13" ht="16.2" x14ac:dyDescent="0.4">
      <c r="K52" s="6" t="s">
        <v>75</v>
      </c>
      <c r="L52" s="15" t="s">
        <v>28</v>
      </c>
      <c r="M52" t="str">
        <f t="shared" si="0"/>
        <v>AN02030600</v>
      </c>
    </row>
    <row r="53" spans="11:13" ht="16.2" x14ac:dyDescent="0.4">
      <c r="K53" s="6" t="s">
        <v>134</v>
      </c>
      <c r="L53" s="24" t="s">
        <v>195</v>
      </c>
      <c r="M53" t="e">
        <f t="shared" si="0"/>
        <v>#N/A</v>
      </c>
    </row>
    <row r="54" spans="11:13" ht="16.2" x14ac:dyDescent="0.4">
      <c r="K54" s="11" t="s">
        <v>71</v>
      </c>
      <c r="L54" s="19" t="s">
        <v>196</v>
      </c>
      <c r="M54" t="str">
        <f t="shared" si="0"/>
        <v>AN02030300</v>
      </c>
    </row>
    <row r="55" spans="11:13" ht="16.2" x14ac:dyDescent="0.4">
      <c r="K55" s="6" t="s">
        <v>74</v>
      </c>
      <c r="L55" s="19" t="s">
        <v>197</v>
      </c>
      <c r="M55" t="str">
        <f t="shared" si="0"/>
        <v>AN02010200</v>
      </c>
    </row>
    <row r="56" spans="11:13" ht="17.399999999999999" x14ac:dyDescent="0.45">
      <c r="K56" s="10" t="s">
        <v>135</v>
      </c>
      <c r="L56" s="26" t="s">
        <v>198</v>
      </c>
      <c r="M56" t="e">
        <f t="shared" si="0"/>
        <v>#N/A</v>
      </c>
    </row>
    <row r="57" spans="11:13" ht="16.2" x14ac:dyDescent="0.4">
      <c r="K57" s="7" t="s">
        <v>136</v>
      </c>
      <c r="L57" s="27" t="s">
        <v>199</v>
      </c>
      <c r="M57" t="e">
        <f t="shared" si="0"/>
        <v>#N/A</v>
      </c>
    </row>
    <row r="58" spans="11:13" ht="16.2" x14ac:dyDescent="0.4">
      <c r="K58" s="6" t="s">
        <v>73</v>
      </c>
      <c r="L58" s="19" t="s">
        <v>200</v>
      </c>
      <c r="M58" t="str">
        <f t="shared" si="0"/>
        <v>AN02030200</v>
      </c>
    </row>
    <row r="59" spans="11:13" ht="16.2" x14ac:dyDescent="0.4">
      <c r="K59" s="6" t="s">
        <v>72</v>
      </c>
      <c r="L59" s="19" t="s">
        <v>201</v>
      </c>
      <c r="M59" t="str">
        <f t="shared" si="0"/>
        <v>AN02030400</v>
      </c>
    </row>
    <row r="60" spans="11:13" ht="16.2" x14ac:dyDescent="0.4">
      <c r="K60" s="6" t="s">
        <v>137</v>
      </c>
      <c r="L60" s="22" t="s">
        <v>202</v>
      </c>
      <c r="M60" t="e">
        <f t="shared" si="0"/>
        <v>#N/A</v>
      </c>
    </row>
    <row r="61" spans="11:13" ht="16.2" x14ac:dyDescent="0.4">
      <c r="K61" s="6" t="s">
        <v>76</v>
      </c>
      <c r="L61" s="15" t="s">
        <v>30</v>
      </c>
      <c r="M61" t="str">
        <f t="shared" si="0"/>
        <v>AN02020100</v>
      </c>
    </row>
    <row r="62" spans="11:13" ht="16.2" x14ac:dyDescent="0.4">
      <c r="K62" s="6" t="s">
        <v>138</v>
      </c>
      <c r="L62" s="15" t="s">
        <v>203</v>
      </c>
      <c r="M62" t="str">
        <f t="shared" si="0"/>
        <v>AN02020300</v>
      </c>
    </row>
    <row r="63" spans="11:13" ht="16.2" x14ac:dyDescent="0.4">
      <c r="K63" s="6" t="s">
        <v>77</v>
      </c>
      <c r="L63" s="15" t="s">
        <v>204</v>
      </c>
      <c r="M63" t="str">
        <f t="shared" si="0"/>
        <v>AN02020200</v>
      </c>
    </row>
    <row r="64" spans="11:13" ht="16.2" x14ac:dyDescent="0.4">
      <c r="K64" s="6" t="s">
        <v>78</v>
      </c>
      <c r="L64" s="15" t="s">
        <v>35</v>
      </c>
      <c r="M64" t="str">
        <f t="shared" si="0"/>
        <v>AN02020400</v>
      </c>
    </row>
    <row r="65" spans="11:13" ht="16.2" x14ac:dyDescent="0.4">
      <c r="K65" s="6" t="s">
        <v>139</v>
      </c>
      <c r="L65" s="22" t="s">
        <v>205</v>
      </c>
      <c r="M65" t="e">
        <f t="shared" si="0"/>
        <v>#N/A</v>
      </c>
    </row>
    <row r="66" spans="11:13" ht="17.399999999999999" x14ac:dyDescent="0.45">
      <c r="K66" s="10" t="s">
        <v>82</v>
      </c>
      <c r="L66" s="17" t="s">
        <v>206</v>
      </c>
      <c r="M66" t="str">
        <f t="shared" si="0"/>
        <v>AN02040100</v>
      </c>
    </row>
    <row r="67" spans="11:13" ht="17.399999999999999" x14ac:dyDescent="0.45">
      <c r="K67" s="10" t="s">
        <v>83</v>
      </c>
      <c r="L67" s="17" t="s">
        <v>45</v>
      </c>
      <c r="M67" t="str">
        <f t="shared" si="0"/>
        <v>AN02040200</v>
      </c>
    </row>
    <row r="68" spans="11:13" ht="17.399999999999999" x14ac:dyDescent="0.45">
      <c r="K68" s="10" t="s">
        <v>84</v>
      </c>
      <c r="L68" s="17" t="s">
        <v>47</v>
      </c>
      <c r="M68" t="str">
        <f t="shared" si="0"/>
        <v>AN02040300</v>
      </c>
    </row>
    <row r="69" spans="11:13" ht="17.399999999999999" x14ac:dyDescent="0.45">
      <c r="K69" s="10" t="s">
        <v>85</v>
      </c>
      <c r="L69" s="17" t="s">
        <v>49</v>
      </c>
      <c r="M69" t="str">
        <f t="shared" ref="M69:M90" si="1">VLOOKUP(K69,$D:$D,1,FALSE)</f>
        <v>AN02040400</v>
      </c>
    </row>
    <row r="70" spans="11:13" ht="17.399999999999999" x14ac:dyDescent="0.45">
      <c r="K70" s="10" t="s">
        <v>140</v>
      </c>
      <c r="L70" s="17" t="s">
        <v>207</v>
      </c>
      <c r="M70" t="e">
        <f t="shared" si="1"/>
        <v>#N/A</v>
      </c>
    </row>
    <row r="71" spans="11:13" ht="17.399999999999999" x14ac:dyDescent="0.45">
      <c r="K71" s="10" t="s">
        <v>141</v>
      </c>
      <c r="L71" s="26" t="s">
        <v>207</v>
      </c>
      <c r="M71" t="e">
        <f t="shared" si="1"/>
        <v>#N/A</v>
      </c>
    </row>
    <row r="72" spans="11:13" ht="17.399999999999999" x14ac:dyDescent="0.45">
      <c r="K72" s="10" t="s">
        <v>86</v>
      </c>
      <c r="L72" s="26" t="s">
        <v>51</v>
      </c>
      <c r="M72" t="str">
        <f t="shared" si="1"/>
        <v>AN02040600</v>
      </c>
    </row>
    <row r="73" spans="11:13" ht="16.2" x14ac:dyDescent="0.4">
      <c r="K73" s="6" t="s">
        <v>87</v>
      </c>
      <c r="L73" s="15" t="s">
        <v>53</v>
      </c>
      <c r="M73" t="str">
        <f t="shared" si="1"/>
        <v>AN02050100</v>
      </c>
    </row>
    <row r="74" spans="11:13" ht="17.399999999999999" x14ac:dyDescent="0.45">
      <c r="K74" s="10" t="s">
        <v>88</v>
      </c>
      <c r="L74" s="17" t="s">
        <v>55</v>
      </c>
      <c r="M74" t="str">
        <f t="shared" si="1"/>
        <v>AN02040700</v>
      </c>
    </row>
    <row r="75" spans="11:13" ht="16.2" x14ac:dyDescent="0.4">
      <c r="K75" s="6" t="s">
        <v>89</v>
      </c>
      <c r="L75" s="15" t="s">
        <v>57</v>
      </c>
      <c r="M75" t="str">
        <f t="shared" si="1"/>
        <v>AN02050400</v>
      </c>
    </row>
    <row r="76" spans="11:13" ht="16.2" x14ac:dyDescent="0.4">
      <c r="K76" s="6" t="s">
        <v>90</v>
      </c>
      <c r="L76" s="15" t="s">
        <v>208</v>
      </c>
      <c r="M76" t="str">
        <f t="shared" si="1"/>
        <v>AN02030900</v>
      </c>
    </row>
    <row r="77" spans="11:13" ht="16.2" x14ac:dyDescent="0.4">
      <c r="K77" s="6" t="s">
        <v>142</v>
      </c>
      <c r="L77" s="22" t="s">
        <v>209</v>
      </c>
      <c r="M77" t="e">
        <f t="shared" si="1"/>
        <v>#N/A</v>
      </c>
    </row>
    <row r="78" spans="11:13" ht="16.2" x14ac:dyDescent="0.4">
      <c r="K78" s="6" t="s">
        <v>79</v>
      </c>
      <c r="L78" s="25" t="s">
        <v>37</v>
      </c>
      <c r="M78" t="str">
        <f t="shared" si="1"/>
        <v>AN02030045</v>
      </c>
    </row>
    <row r="79" spans="11:13" ht="16.2" x14ac:dyDescent="0.4">
      <c r="K79" s="6" t="s">
        <v>143</v>
      </c>
      <c r="L79" s="13" t="s">
        <v>210</v>
      </c>
      <c r="M79" t="e">
        <f t="shared" si="1"/>
        <v>#N/A</v>
      </c>
    </row>
    <row r="80" spans="11:13" ht="16.2" x14ac:dyDescent="0.4">
      <c r="K80" s="6" t="s">
        <v>80</v>
      </c>
      <c r="L80" s="14" t="s">
        <v>39</v>
      </c>
      <c r="M80" t="str">
        <f t="shared" si="1"/>
        <v>AC05</v>
      </c>
    </row>
    <row r="81" spans="11:13" ht="16.2" x14ac:dyDescent="0.4">
      <c r="K81" s="6" t="s">
        <v>144</v>
      </c>
      <c r="L81" s="15" t="s">
        <v>211</v>
      </c>
      <c r="M81" t="e">
        <f t="shared" si="1"/>
        <v>#N/A</v>
      </c>
    </row>
    <row r="82" spans="11:13" ht="16.2" x14ac:dyDescent="0.4">
      <c r="K82" s="6" t="s">
        <v>145</v>
      </c>
      <c r="L82" s="15" t="s">
        <v>212</v>
      </c>
      <c r="M82" t="e">
        <f t="shared" si="1"/>
        <v>#N/A</v>
      </c>
    </row>
    <row r="83" spans="11:13" ht="16.2" x14ac:dyDescent="0.4">
      <c r="K83" s="6" t="s">
        <v>146</v>
      </c>
      <c r="L83" s="15" t="s">
        <v>213</v>
      </c>
      <c r="M83" t="e">
        <f t="shared" si="1"/>
        <v>#N/A</v>
      </c>
    </row>
    <row r="84" spans="11:13" ht="16.2" x14ac:dyDescent="0.4">
      <c r="K84" s="6" t="s">
        <v>147</v>
      </c>
      <c r="L84" s="15" t="s">
        <v>214</v>
      </c>
      <c r="M84" t="e">
        <f t="shared" si="1"/>
        <v>#N/A</v>
      </c>
    </row>
    <row r="85" spans="11:13" ht="16.2" x14ac:dyDescent="0.4">
      <c r="K85" s="6" t="s">
        <v>148</v>
      </c>
      <c r="L85" s="15" t="s">
        <v>215</v>
      </c>
      <c r="M85" t="e">
        <f t="shared" si="1"/>
        <v>#N/A</v>
      </c>
    </row>
    <row r="86" spans="11:13" ht="16.2" x14ac:dyDescent="0.4">
      <c r="K86" s="6" t="s">
        <v>149</v>
      </c>
      <c r="L86" s="14" t="s">
        <v>216</v>
      </c>
      <c r="M86" t="e">
        <f t="shared" si="1"/>
        <v>#N/A</v>
      </c>
    </row>
    <row r="87" spans="11:13" ht="16.2" x14ac:dyDescent="0.4">
      <c r="K87" s="6" t="s">
        <v>150</v>
      </c>
      <c r="L87" s="15" t="s">
        <v>217</v>
      </c>
      <c r="M87" t="e">
        <f t="shared" si="1"/>
        <v>#N/A</v>
      </c>
    </row>
    <row r="88" spans="11:13" ht="16.2" x14ac:dyDescent="0.4">
      <c r="K88" s="6" t="s">
        <v>151</v>
      </c>
      <c r="L88" s="15" t="s">
        <v>216</v>
      </c>
      <c r="M88" t="e">
        <f t="shared" si="1"/>
        <v>#N/A</v>
      </c>
    </row>
    <row r="89" spans="11:13" ht="16.2" x14ac:dyDescent="0.4">
      <c r="K89" s="6" t="s">
        <v>81</v>
      </c>
      <c r="L89" s="19" t="s">
        <v>41</v>
      </c>
      <c r="M89" t="str">
        <f t="shared" si="1"/>
        <v>AN04030000</v>
      </c>
    </row>
    <row r="90" spans="11:13" ht="16.2" x14ac:dyDescent="0.4">
      <c r="K90" s="6" t="s">
        <v>152</v>
      </c>
      <c r="L90" s="13" t="s">
        <v>218</v>
      </c>
      <c r="M90" t="e">
        <f t="shared" si="1"/>
        <v>#N/A</v>
      </c>
    </row>
  </sheetData>
  <mergeCells count="2">
    <mergeCell ref="B2:C2"/>
    <mergeCell ref="D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EE14A6-B393-4A7F-A9DD-7712CFB1E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E033DF-04E1-497E-9DDB-557211974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BFAE3-C03D-4A1C-840C-D7F8661A4A7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Mapeamento</vt:lpstr>
      <vt:lpstr>Auxiliar</vt:lpstr>
      <vt:lpstr>Mapeamento ckarea filhos FC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2025-02-11T11:48:46Z</dcterms:created>
  <dcterms:modified xsi:type="dcterms:W3CDTF">2025-02-19T16:31:02Z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2025-02-11T17:17:19Z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de2cf7cf-4f1b-4594-bf2e-b086aec935b5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