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2. Mapeamento ckarea-BA/"/>
    </mc:Choice>
  </mc:AlternateContent>
  <xr:revisionPtr revIDLastSave="178" documentId="8_{35B9D640-FE52-4CD6-9BA7-D75EB52F78AA}" xr6:coauthVersionLast="47" xr6:coauthVersionMax="47" xr10:uidLastSave="{F9AAC75A-C931-4A25-855C-8A5EC3093792}"/>
  <bookViews>
    <workbookView xWindow="-110" yWindow="-10910" windowWidth="19420" windowHeight="10420" activeTab="1" xr2:uid="{00000000-000D-0000-FFFF-FFFF00000000}"/>
  </bookViews>
  <sheets>
    <sheet name="CT875" sheetId="1" r:id="rId1"/>
    <sheet name="CT010 &amp; CT011" sheetId="3" r:id="rId2"/>
    <sheet name="Mapeamento CKAREA-BA" sheetId="5" r:id="rId3"/>
    <sheet name="Código" sheetId="4" r:id="rId4"/>
  </sheets>
  <definedNames>
    <definedName name="_xlnm._FilterDatabase" localSheetId="1" hidden="1">'CT010 &amp; CT011'!$A$4:$T$91</definedName>
    <definedName name="_xlnm._FilterDatabase" localSheetId="0" hidden="1">'CT875'!$B$2:$M$32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J34" i="5" l="1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</calcChain>
</file>

<file path=xl/sharedStrings.xml><?xml version="1.0" encoding="utf-8"?>
<sst xmlns="http://schemas.openxmlformats.org/spreadsheetml/2006/main" count="1868" uniqueCount="336">
  <si>
    <t>campo</t>
  </si>
  <si>
    <t>valor_campo</t>
  </si>
  <si>
    <t>cnmetanseg</t>
  </si>
  <si>
    <t>ccentro_gestor</t>
  </si>
  <si>
    <t>ckmetamis</t>
  </si>
  <si>
    <t>cmetacom</t>
  </si>
  <si>
    <t>ckarea</t>
  </si>
  <si>
    <t>ordem</t>
  </si>
  <si>
    <t>ckutulmo</t>
  </si>
  <si>
    <t>htimest</t>
  </si>
  <si>
    <t>ref_date</t>
  </si>
  <si>
    <t>cod_visao</t>
  </si>
  <si>
    <t>BSNSS_AREA</t>
  </si>
  <si>
    <t>BA1</t>
  </si>
  <si>
    <t>NULL</t>
  </si>
  <si>
    <t>BP</t>
  </si>
  <si>
    <t>1</t>
  </si>
  <si>
    <t>BA2</t>
  </si>
  <si>
    <t>BC1015</t>
  </si>
  <si>
    <t>BA3</t>
  </si>
  <si>
    <t>BA4</t>
  </si>
  <si>
    <t>BC1014</t>
  </si>
  <si>
    <t>BA5</t>
  </si>
  <si>
    <t>BA6</t>
  </si>
  <si>
    <t>FC</t>
  </si>
  <si>
    <t>BA7</t>
  </si>
  <si>
    <t>2</t>
  </si>
  <si>
    <t>BA8</t>
  </si>
  <si>
    <t>GB0510</t>
  </si>
  <si>
    <t>3</t>
  </si>
  <si>
    <t>BA9</t>
  </si>
  <si>
    <t>4</t>
  </si>
  <si>
    <t>BA10</t>
  </si>
  <si>
    <t>5</t>
  </si>
  <si>
    <t>BA11</t>
  </si>
  <si>
    <t>6</t>
  </si>
  <si>
    <t>BA12</t>
  </si>
  <si>
    <t>7</t>
  </si>
  <si>
    <t>BA13</t>
  </si>
  <si>
    <t>8</t>
  </si>
  <si>
    <t>BA14</t>
  </si>
  <si>
    <t>9</t>
  </si>
  <si>
    <t>BA15</t>
  </si>
  <si>
    <t>10</t>
  </si>
  <si>
    <t>BA16</t>
  </si>
  <si>
    <t>11</t>
  </si>
  <si>
    <t>BA17</t>
  </si>
  <si>
    <t>12</t>
  </si>
  <si>
    <t>BA18</t>
  </si>
  <si>
    <t>13</t>
  </si>
  <si>
    <t>14</t>
  </si>
  <si>
    <t>BA20</t>
  </si>
  <si>
    <t>15</t>
  </si>
  <si>
    <t>BA21</t>
  </si>
  <si>
    <t>AC05</t>
  </si>
  <si>
    <t>16</t>
  </si>
  <si>
    <t>BA22</t>
  </si>
  <si>
    <t>AC10</t>
  </si>
  <si>
    <t>17</t>
  </si>
  <si>
    <t>BA23</t>
  </si>
  <si>
    <t>18</t>
  </si>
  <si>
    <t>BA24</t>
  </si>
  <si>
    <t>19</t>
  </si>
  <si>
    <t>BA25</t>
  </si>
  <si>
    <t>20</t>
  </si>
  <si>
    <t>BA26</t>
  </si>
  <si>
    <t>21</t>
  </si>
  <si>
    <t>BA27</t>
  </si>
  <si>
    <t>GA</t>
  </si>
  <si>
    <t>22</t>
  </si>
  <si>
    <t>BA28</t>
  </si>
  <si>
    <t>SE</t>
  </si>
  <si>
    <t>23</t>
  </si>
  <si>
    <t>BA29</t>
  </si>
  <si>
    <t>AN01060010</t>
  </si>
  <si>
    <t>24</t>
  </si>
  <si>
    <t>BA30</t>
  </si>
  <si>
    <t>25</t>
  </si>
  <si>
    <t>BA31</t>
  </si>
  <si>
    <t>AN02030900</t>
  </si>
  <si>
    <t>AN02030500</t>
  </si>
  <si>
    <t>PYM</t>
  </si>
  <si>
    <t>cod_atributo_dim</t>
  </si>
  <si>
    <t>nome_atributo_dim</t>
  </si>
  <si>
    <t>desc_atributo_dim</t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</si>
  <si>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</si>
  <si>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</si>
  <si>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</si>
  <si>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</si>
  <si>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</si>
  <si>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</si>
  <si>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</si>
  <si>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</si>
  <si>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</si>
  <si>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</si>
  <si>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</si>
  <si>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</si>
  <si>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</si>
  <si>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id_dimensao</t>
  </si>
  <si>
    <t>AC</t>
  </si>
  <si>
    <t>Actividades Corporativas</t>
  </si>
  <si>
    <t>AN</t>
  </si>
  <si>
    <t>Gestión Financiera</t>
  </si>
  <si>
    <t>AN04010100</t>
  </si>
  <si>
    <t>ALCO</t>
  </si>
  <si>
    <t>AN04010400</t>
  </si>
  <si>
    <t>Coberturas de balance</t>
  </si>
  <si>
    <t>AN04010500</t>
  </si>
  <si>
    <t>Financiación</t>
  </si>
  <si>
    <t>AN04010600</t>
  </si>
  <si>
    <t>Coberturas estratégicas</t>
  </si>
  <si>
    <t>AN04010700</t>
  </si>
  <si>
    <t>Financiación intragrupo</t>
  </si>
  <si>
    <t>Resto</t>
  </si>
  <si>
    <t>AC1010</t>
  </si>
  <si>
    <t>Otros</t>
  </si>
  <si>
    <t>AN04030000</t>
  </si>
  <si>
    <t>Resto Actividades Corporativas</t>
  </si>
  <si>
    <t>AN04020000</t>
  </si>
  <si>
    <t>Pool de Fondos</t>
  </si>
  <si>
    <t>Total Área de Negocio</t>
  </si>
  <si>
    <t>OB y Otros</t>
  </si>
  <si>
    <t>BC</t>
  </si>
  <si>
    <t>Retail and Commercial</t>
  </si>
  <si>
    <t>BC00</t>
  </si>
  <si>
    <t>Retail</t>
  </si>
  <si>
    <t>AN01020200</t>
  </si>
  <si>
    <t>Pymes II</t>
  </si>
  <si>
    <t>AN01020410</t>
  </si>
  <si>
    <t>Pymes</t>
  </si>
  <si>
    <t>AN01010201</t>
  </si>
  <si>
    <t>Select</t>
  </si>
  <si>
    <t>AN01010500</t>
  </si>
  <si>
    <t>Classic</t>
  </si>
  <si>
    <t>Particulares</t>
  </si>
  <si>
    <t>BC10</t>
  </si>
  <si>
    <t>Commercial</t>
  </si>
  <si>
    <t>AN01020210</t>
  </si>
  <si>
    <t>Empresas</t>
  </si>
  <si>
    <t>AN01040220</t>
  </si>
  <si>
    <t>Instituciones</t>
  </si>
  <si>
    <t>EL</t>
  </si>
  <si>
    <t>Reasignación del Intragrupo</t>
  </si>
  <si>
    <t>AN06010000</t>
  </si>
  <si>
    <t>Consumo Auto</t>
  </si>
  <si>
    <t>AN06020000</t>
  </si>
  <si>
    <t>Consumo No Auto</t>
  </si>
  <si>
    <t>AN06030000</t>
  </si>
  <si>
    <t>Resto DCB</t>
  </si>
  <si>
    <t>DCB</t>
  </si>
  <si>
    <t>Global Structuring</t>
  </si>
  <si>
    <t>GB</t>
  </si>
  <si>
    <t>XVA</t>
  </si>
  <si>
    <t>GB05</t>
  </si>
  <si>
    <t>AN02030300</t>
  </si>
  <si>
    <t>Project and Acquisition Finance.</t>
  </si>
  <si>
    <t>AN02030200</t>
  </si>
  <si>
    <t>AN02010200</t>
  </si>
  <si>
    <t>AN02030400</t>
  </si>
  <si>
    <t>AN02050600</t>
  </si>
  <si>
    <t>GB05A</t>
  </si>
  <si>
    <t>M &amp; A - Mergers and Acquisitions</t>
  </si>
  <si>
    <t>AN02050500</t>
  </si>
  <si>
    <t>ECM - Equity Capital Markets.</t>
  </si>
  <si>
    <t>AN02050800</t>
  </si>
  <si>
    <t>Corporate Equity Derivatives</t>
  </si>
  <si>
    <t>AN02030600</t>
  </si>
  <si>
    <t>Leveraged Finance</t>
  </si>
  <si>
    <t>GB10</t>
  </si>
  <si>
    <t>GTB - Global Transaction Banking</t>
  </si>
  <si>
    <t>AN02020100</t>
  </si>
  <si>
    <t>Cash Management</t>
  </si>
  <si>
    <t>AN02020300</t>
  </si>
  <si>
    <t>Financiación Básica</t>
  </si>
  <si>
    <t>AN02020200</t>
  </si>
  <si>
    <t>Trade &amp; WCS</t>
  </si>
  <si>
    <t>AN02020400</t>
  </si>
  <si>
    <t>Export &amp; Agency Finance</t>
  </si>
  <si>
    <t>GB20</t>
  </si>
  <si>
    <t>Global Markets</t>
  </si>
  <si>
    <t>AN02050100</t>
  </si>
  <si>
    <t>AN02050400</t>
  </si>
  <si>
    <t>Cash Equity</t>
  </si>
  <si>
    <t>AN02030045</t>
  </si>
  <si>
    <t>ACPM</t>
  </si>
  <si>
    <t>AN07040000</t>
  </si>
  <si>
    <t>Cards Plataforma</t>
  </si>
  <si>
    <t>CA</t>
  </si>
  <si>
    <t>Cards</t>
  </si>
  <si>
    <t>AN07020000</t>
  </si>
  <si>
    <t>CA00</t>
  </si>
  <si>
    <t>AN07030000</t>
  </si>
  <si>
    <t>Cards Anular R&amp;C</t>
  </si>
  <si>
    <t>Cards suma cero</t>
  </si>
  <si>
    <t>AN08010000</t>
  </si>
  <si>
    <t>PagoNxt Resto</t>
  </si>
  <si>
    <t>GT</t>
  </si>
  <si>
    <t>AN08020000</t>
  </si>
  <si>
    <t>AN08030000</t>
  </si>
  <si>
    <t>AN08040000</t>
  </si>
  <si>
    <t>PagoNxt Merchant</t>
  </si>
  <si>
    <t>PagoNxt</t>
  </si>
  <si>
    <t>Payments</t>
  </si>
  <si>
    <t>AN01010100</t>
  </si>
  <si>
    <t>Private Wealth</t>
  </si>
  <si>
    <t>WM</t>
  </si>
  <si>
    <t>AN01050000</t>
  </si>
  <si>
    <t>Resto Banca Privada</t>
  </si>
  <si>
    <t>Banca Privada</t>
  </si>
  <si>
    <t>AN03010000</t>
  </si>
  <si>
    <t>Fondos de Inversión</t>
  </si>
  <si>
    <t>AN03020000</t>
  </si>
  <si>
    <t>Fondos de Pensiones</t>
  </si>
  <si>
    <t>Gestión de Activos</t>
  </si>
  <si>
    <t>AN03030000</t>
  </si>
  <si>
    <t>Seguros.</t>
  </si>
  <si>
    <t>Seguros</t>
  </si>
  <si>
    <t>Wealth Management and Insurance</t>
  </si>
  <si>
    <t>SELECT</t>
  </si>
  <si>
    <t xml:space="preserve">    CT010.COD_ATRIBUTO_DIM, </t>
  </si>
  <si>
    <t xml:space="preserve">    CT010.NOME_ATRIBUTO_DIM, </t>
  </si>
  <si>
    <t xml:space="preserve">    CT010.DESC_ATRIBUTO_DIM, </t>
  </si>
  <si>
    <t xml:space="preserve">    CT011.NIVEL_0, </t>
  </si>
  <si>
    <t xml:space="preserve">    CT011.NIVEL_1, </t>
  </si>
  <si>
    <t xml:space="preserve">    CT011.NIVEL_2, </t>
  </si>
  <si>
    <t xml:space="preserve">    CT011.NIVEL_3, </t>
  </si>
  <si>
    <t xml:space="preserve">    CT011.NIVEL_4, </t>
  </si>
  <si>
    <t xml:space="preserve">    CT011.NIVEL_5, </t>
  </si>
  <si>
    <t xml:space="preserve">    CT011.NIVEL_6, </t>
  </si>
  <si>
    <t xml:space="preserve">    CT011.NIVEL_7, </t>
  </si>
  <si>
    <t xml:space="preserve">    CT011.NIVEL_8, </t>
  </si>
  <si>
    <t xml:space="preserve">    CT011.NIVEL_9, </t>
  </si>
  <si>
    <t xml:space="preserve">    CT011.NIVEL_10, </t>
  </si>
  <si>
    <t xml:space="preserve">    CT011.NIVEL_11, </t>
  </si>
  <si>
    <t xml:space="preserve">    CT011.NIVEL_12,</t>
  </si>
  <si>
    <t xml:space="preserve">    CT011.REF_DATE,</t>
  </si>
  <si>
    <t xml:space="preserve">    CT011.ID_DIMENSAO</t>
  </si>
  <si>
    <t xml:space="preserve">    </t>
  </si>
  <si>
    <t>FROM</t>
  </si>
  <si>
    <t xml:space="preserve">    (</t>
  </si>
  <si>
    <t xml:space="preserve">    SELECT *</t>
  </si>
  <si>
    <t xml:space="preserve">    FROM CD_CAPTOOLS.CT011_DIM_HIER</t>
  </si>
  <si>
    <t xml:space="preserve">    WHERE 1=1 </t>
  </si>
  <si>
    <t xml:space="preserve">    AND REF_DATE = '2024-11-30'</t>
  </si>
  <si>
    <t xml:space="preserve">    AND ID_DIMENSAO = 6</t>
  </si>
  <si>
    <t xml:space="preserve">    ) CT011 </t>
  </si>
  <si>
    <t xml:space="preserve">LEFT JOIN </t>
  </si>
  <si>
    <t xml:space="preserve">    FROM CD_CAPTOOLS.CT010_DIM_VALOR</t>
  </si>
  <si>
    <t xml:space="preserve">    ) CT010</t>
  </si>
  <si>
    <t>ON CT011.NIVEL_12=CT010.COD_ATRIBUTO_DIM</t>
  </si>
  <si>
    <t>ORDER BY NIVEL_0, NIVEL_1 , length(NIVEL_2), length(NIVEL_3), length(NIVEL_4), length(NIVEL_5), length(NIVEL_6), length(NIVEL_7), length(NIVEL_8), length(NIVEL_9), length(NIVEL_10), length(NIVEL_11), length(NIVEL_12)</t>
  </si>
  <si>
    <t>;</t>
  </si>
  <si>
    <t>CKAREA</t>
  </si>
  <si>
    <t>BUSINESS AREA</t>
  </si>
  <si>
    <t>Informação com as novas ckareas (dados de janeiro 2025)</t>
  </si>
  <si>
    <t>Corporate Activities</t>
  </si>
  <si>
    <t>2025-01-31</t>
  </si>
  <si>
    <t>Financial Management</t>
  </si>
  <si>
    <t>Other</t>
  </si>
  <si>
    <t>Other Corporate Activities (Holding)</t>
  </si>
  <si>
    <t>Funding</t>
  </si>
  <si>
    <t>Strategic Hedge</t>
  </si>
  <si>
    <t>Balance Hedge</t>
  </si>
  <si>
    <t>Intragroup Funding</t>
  </si>
  <si>
    <t>Pool of Funds</t>
  </si>
  <si>
    <t>Total Business Area</t>
  </si>
  <si>
    <t>No Auto Consumer</t>
  </si>
  <si>
    <t>Other DCB</t>
  </si>
  <si>
    <t>SMEs</t>
  </si>
  <si>
    <t>Individuals</t>
  </si>
  <si>
    <t>Pymes I</t>
  </si>
  <si>
    <t>SME I</t>
  </si>
  <si>
    <t>SMEs II</t>
  </si>
  <si>
    <t>Institutions</t>
  </si>
  <si>
    <t>Companies</t>
  </si>
  <si>
    <t>OB &amp; Other</t>
  </si>
  <si>
    <t>Intra-Group Reassignment</t>
  </si>
  <si>
    <t>Auto Consumer</t>
  </si>
  <si>
    <t>CIB</t>
  </si>
  <si>
    <t>GB2001</t>
  </si>
  <si>
    <t>Credit</t>
  </si>
  <si>
    <t>AN02040500</t>
  </si>
  <si>
    <t>AN02040600</t>
  </si>
  <si>
    <t>Bond Syndicate</t>
  </si>
  <si>
    <t>AN02040400</t>
  </si>
  <si>
    <t>Securitization Finance</t>
  </si>
  <si>
    <t>AN02040700</t>
  </si>
  <si>
    <t>Commodities</t>
  </si>
  <si>
    <t>Equity Derivatives</t>
  </si>
  <si>
    <t>AN02040300</t>
  </si>
  <si>
    <t>Securitization Products</t>
  </si>
  <si>
    <t>AN02040100</t>
  </si>
  <si>
    <t>FX</t>
  </si>
  <si>
    <t>AN02040200</t>
  </si>
  <si>
    <t>Rates</t>
  </si>
  <si>
    <t>Structured Finance</t>
  </si>
  <si>
    <t>AN02030800</t>
  </si>
  <si>
    <t>Capital Finance</t>
  </si>
  <si>
    <t>ABF</t>
  </si>
  <si>
    <t>Global Banking</t>
  </si>
  <si>
    <t>ECM - Equity Capital Markets &amp; Others</t>
  </si>
  <si>
    <t>GB0560</t>
  </si>
  <si>
    <t>IG/EM Debt</t>
  </si>
  <si>
    <t>Syndicated Loans</t>
  </si>
  <si>
    <t>DCM</t>
  </si>
  <si>
    <t>AN02050900</t>
  </si>
  <si>
    <t>EPCM - Equity Private Capital Markets</t>
  </si>
  <si>
    <t>Cards sum cero</t>
  </si>
  <si>
    <t>Cards Anular DCB</t>
  </si>
  <si>
    <t>Cards Cancel DCB</t>
  </si>
  <si>
    <t>Cards Negocio</t>
  </si>
  <si>
    <t>Cards Load</t>
  </si>
  <si>
    <t>Cards Cancel R&amp;C</t>
  </si>
  <si>
    <t>Business PagoNxt Merchant</t>
  </si>
  <si>
    <t>PagoNxt Ebury</t>
  </si>
  <si>
    <t>Business PagoNxt Ebury</t>
  </si>
  <si>
    <t>PagoNxt Payment</t>
  </si>
  <si>
    <t>Business PagoNxt Payment</t>
  </si>
  <si>
    <t>Business Other PagoNxt</t>
  </si>
  <si>
    <t>AN07050000</t>
  </si>
  <si>
    <t>Platform Cards</t>
  </si>
  <si>
    <t>Private Banking</t>
  </si>
  <si>
    <t>Insurance</t>
  </si>
  <si>
    <t>Asset Management</t>
  </si>
  <si>
    <t>Investment Funds</t>
  </si>
  <si>
    <t>Pension Funds</t>
  </si>
  <si>
    <t>Insurance.</t>
  </si>
  <si>
    <t>Private Banking Rest</t>
  </si>
  <si>
    <t>PIW</t>
  </si>
  <si>
    <t>Plataformas Inversión Wealth</t>
  </si>
  <si>
    <t>Investment Platforms Wealth</t>
  </si>
  <si>
    <t>AN03050000</t>
  </si>
  <si>
    <t>Legacy</t>
  </si>
  <si>
    <t>AN03040000</t>
  </si>
  <si>
    <t>IPUS</t>
  </si>
  <si>
    <t>Mapeamento BA - ckarea com a desagregação por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</si>
</sst>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2" xfId="0" applyFont="1" applyBorder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/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BS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2"/>
  <sheetViews>
    <sheetView showGridLines="0" topLeftCell="B1" workbookViewId="0">
      <selection activeCell="B9" sqref="A9:XFD9"/>
    </sheetView>
  </sheetViews>
  <sheetFormatPr defaultColWidth="11.44140625" defaultRowHeight="14.4" x14ac:dyDescent="0.3"/>
  <cols>
    <col min="1" max="1" width="3.6640625" customWidth="1"/>
    <col min="2" max="2" width="18.109375" bestFit="1" customWidth="1"/>
    <col min="3" max="3" width="12.44140625" bestFit="1" customWidth="1"/>
    <col min="4" max="4" width="11.6640625" bestFit="1" customWidth="1"/>
    <col min="5" max="5" width="14.33203125" bestFit="1" customWidth="1"/>
    <col min="6" max="6" width="10.5546875" bestFit="1" customWidth="1"/>
    <col min="7" max="7" width="10.109375" bestFit="1" customWidth="1"/>
    <col min="8" max="8" width="11.44140625" bestFit="1" customWidth="1"/>
    <col min="9" max="9" width="6.88671875" bestFit="1" customWidth="1"/>
    <col min="10" max="10" width="9.33203125" hidden="1" customWidth="1"/>
    <col min="11" max="11" width="22.44140625" hidden="1" customWidth="1"/>
    <col min="12" max="12" width="10.6640625" hidden="1" customWidth="1"/>
    <col min="13" max="13" width="9.6640625" bestFit="1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2:14" x14ac:dyDescent="0.3">
      <c r="B3" s="2" t="s">
        <v>12</v>
      </c>
      <c r="C3" s="3" t="s">
        <v>13</v>
      </c>
      <c r="D3" s="2" t="s">
        <v>14</v>
      </c>
      <c r="E3" s="2" t="s">
        <v>14</v>
      </c>
      <c r="F3" s="2" t="s">
        <v>14</v>
      </c>
      <c r="G3" s="2" t="s">
        <v>14</v>
      </c>
      <c r="H3" s="3" t="s">
        <v>15</v>
      </c>
      <c r="I3" s="2" t="s">
        <v>16</v>
      </c>
      <c r="J3" s="2"/>
      <c r="K3" s="2"/>
      <c r="L3" s="2"/>
      <c r="M3" s="2">
        <v>1</v>
      </c>
      <c r="N3" t="str">
        <f>VLOOKUP(H3,'CT010 &amp; CT011'!$B:$C,2,FALSE)</f>
        <v>Banca Privada</v>
      </c>
    </row>
    <row r="4" spans="2:14" x14ac:dyDescent="0.3">
      <c r="B4" s="2" t="s">
        <v>12</v>
      </c>
      <c r="C4" s="3" t="s">
        <v>17</v>
      </c>
      <c r="D4" s="2" t="s">
        <v>14</v>
      </c>
      <c r="E4" s="2" t="s">
        <v>14</v>
      </c>
      <c r="F4" s="2" t="s">
        <v>14</v>
      </c>
      <c r="G4" s="2" t="s">
        <v>14</v>
      </c>
      <c r="H4" s="3" t="s">
        <v>18</v>
      </c>
      <c r="I4" s="2" t="s">
        <v>16</v>
      </c>
      <c r="J4" s="2"/>
      <c r="K4" s="2"/>
      <c r="L4" s="2"/>
      <c r="M4" s="2">
        <v>1</v>
      </c>
      <c r="N4" t="str">
        <f>VLOOKUP(H4,'CT010 &amp; CT011'!$B:$C,2,FALSE)</f>
        <v>Particulares</v>
      </c>
    </row>
    <row r="5" spans="2:14" x14ac:dyDescent="0.3">
      <c r="B5" s="2" t="s">
        <v>12</v>
      </c>
      <c r="C5" s="3" t="s">
        <v>19</v>
      </c>
      <c r="D5" s="2" t="s">
        <v>14</v>
      </c>
      <c r="E5" s="2" t="s">
        <v>14</v>
      </c>
      <c r="F5" s="2" t="s">
        <v>14</v>
      </c>
      <c r="G5" s="2" t="s">
        <v>14</v>
      </c>
      <c r="H5" s="3" t="s">
        <v>137</v>
      </c>
      <c r="I5" s="2" t="s">
        <v>16</v>
      </c>
      <c r="J5" s="2"/>
      <c r="K5" s="2"/>
      <c r="L5" s="2"/>
      <c r="M5" s="2">
        <v>1</v>
      </c>
      <c r="N5" t="str">
        <f>VLOOKUP(H5,'CT010 &amp; CT011'!$B:$C,2,FALSE)</f>
        <v>Empresas</v>
      </c>
    </row>
    <row r="6" spans="2:14" x14ac:dyDescent="0.3">
      <c r="B6" s="2" t="s">
        <v>12</v>
      </c>
      <c r="C6" s="3" t="s">
        <v>20</v>
      </c>
      <c r="D6" s="2" t="s">
        <v>14</v>
      </c>
      <c r="E6" s="2" t="s">
        <v>14</v>
      </c>
      <c r="F6" s="2" t="s">
        <v>14</v>
      </c>
      <c r="G6" s="2" t="s">
        <v>14</v>
      </c>
      <c r="H6" s="3" t="s">
        <v>21</v>
      </c>
      <c r="I6" s="2" t="s">
        <v>16</v>
      </c>
      <c r="J6" s="2"/>
      <c r="K6" s="2"/>
      <c r="L6" s="2"/>
      <c r="M6" s="2">
        <v>1</v>
      </c>
      <c r="N6" t="str">
        <f>VLOOKUP(H6,'CT010 &amp; CT011'!$B:$C,2,FALSE)</f>
        <v>Pymes</v>
      </c>
    </row>
    <row r="7" spans="2:14" x14ac:dyDescent="0.3">
      <c r="B7" s="2" t="s">
        <v>12</v>
      </c>
      <c r="C7" s="3" t="s">
        <v>22</v>
      </c>
      <c r="D7" s="2" t="s">
        <v>14</v>
      </c>
      <c r="E7" s="2" t="s">
        <v>14</v>
      </c>
      <c r="F7" s="2" t="s">
        <v>14</v>
      </c>
      <c r="G7" s="2" t="s">
        <v>14</v>
      </c>
      <c r="H7" s="3" t="s">
        <v>139</v>
      </c>
      <c r="I7" s="2" t="s">
        <v>16</v>
      </c>
      <c r="J7" s="2"/>
      <c r="K7" s="2"/>
      <c r="L7" s="2"/>
      <c r="M7" s="2">
        <v>1</v>
      </c>
      <c r="N7" t="str">
        <f>VLOOKUP(H7,'CT010 &amp; CT011'!$B:$C,2,FALSE)</f>
        <v>Instituciones</v>
      </c>
    </row>
    <row r="8" spans="2:14" x14ac:dyDescent="0.3">
      <c r="B8" s="2" t="s">
        <v>12</v>
      </c>
      <c r="C8" s="3" t="s">
        <v>23</v>
      </c>
      <c r="D8" s="2" t="s">
        <v>14</v>
      </c>
      <c r="E8" s="2" t="s">
        <v>14</v>
      </c>
      <c r="F8" s="2" t="s">
        <v>14</v>
      </c>
      <c r="G8" s="2" t="s">
        <v>14</v>
      </c>
      <c r="H8" s="3" t="s">
        <v>24</v>
      </c>
      <c r="I8" s="2" t="s">
        <v>16</v>
      </c>
      <c r="J8" s="2"/>
      <c r="K8" s="2"/>
      <c r="L8" s="2"/>
      <c r="M8" s="2">
        <v>1</v>
      </c>
      <c r="N8" t="str">
        <f>VLOOKUP(H8,'CT010 &amp; CT011'!$B:$C,2,FALSE)</f>
        <v>DCB</v>
      </c>
    </row>
    <row r="9" spans="2:14" x14ac:dyDescent="0.3">
      <c r="B9" s="2" t="s">
        <v>12</v>
      </c>
      <c r="C9" s="3" t="s">
        <v>25</v>
      </c>
      <c r="D9" s="2" t="s">
        <v>14</v>
      </c>
      <c r="E9" s="2" t="s">
        <v>14</v>
      </c>
      <c r="F9" s="2" t="s">
        <v>14</v>
      </c>
      <c r="G9" s="2" t="s">
        <v>14</v>
      </c>
      <c r="H9" s="3" t="s">
        <v>159</v>
      </c>
      <c r="I9" s="2" t="s">
        <v>26</v>
      </c>
      <c r="J9" s="2"/>
      <c r="K9" s="2"/>
      <c r="L9" s="2"/>
      <c r="M9" s="2">
        <v>1</v>
      </c>
      <c r="N9" t="str">
        <f>VLOOKUP(H9,'CT010 &amp; CT011'!$B:$C,2,FALSE)</f>
        <v>M &amp; A - Mergers and Acquisitions</v>
      </c>
    </row>
    <row r="10" spans="2:14" x14ac:dyDescent="0.3">
      <c r="B10" s="2" t="s">
        <v>12</v>
      </c>
      <c r="C10" s="3" t="s">
        <v>27</v>
      </c>
      <c r="D10" s="2" t="s">
        <v>14</v>
      </c>
      <c r="E10" s="2" t="s">
        <v>14</v>
      </c>
      <c r="F10" s="2" t="s">
        <v>14</v>
      </c>
      <c r="G10" s="2" t="s">
        <v>14</v>
      </c>
      <c r="H10" s="3" t="s">
        <v>28</v>
      </c>
      <c r="I10" s="2" t="s">
        <v>29</v>
      </c>
      <c r="J10" s="2"/>
      <c r="K10" s="2"/>
      <c r="L10" s="2"/>
      <c r="M10" s="2">
        <v>1</v>
      </c>
      <c r="N10" t="str">
        <f>VLOOKUP(H10,'CT010 &amp; CT011'!$B:$C,2,FALSE)</f>
        <v>ECM - Equity Capital Markets &amp; Others</v>
      </c>
    </row>
    <row r="11" spans="2:14" x14ac:dyDescent="0.3">
      <c r="B11" s="2" t="s">
        <v>12</v>
      </c>
      <c r="C11" s="3" t="s">
        <v>30</v>
      </c>
      <c r="D11" s="2" t="s">
        <v>14</v>
      </c>
      <c r="E11" s="2" t="s">
        <v>14</v>
      </c>
      <c r="F11" s="2" t="s">
        <v>14</v>
      </c>
      <c r="G11" s="2" t="s">
        <v>14</v>
      </c>
      <c r="H11" s="3" t="s">
        <v>164</v>
      </c>
      <c r="I11" s="2" t="s">
        <v>31</v>
      </c>
      <c r="J11" s="2"/>
      <c r="K11" s="2"/>
      <c r="L11" s="2"/>
      <c r="M11" s="2">
        <v>1</v>
      </c>
      <c r="N11" t="str">
        <f>VLOOKUP(H11,'CT010 &amp; CT011'!$B:$C,2,FALSE)</f>
        <v>Corporate Equity Derivatives</v>
      </c>
    </row>
    <row r="12" spans="2:14" x14ac:dyDescent="0.3">
      <c r="B12" s="2" t="s">
        <v>12</v>
      </c>
      <c r="C12" s="3" t="s">
        <v>32</v>
      </c>
      <c r="D12" s="2" t="s">
        <v>14</v>
      </c>
      <c r="E12" s="2" t="s">
        <v>14</v>
      </c>
      <c r="F12" s="2" t="s">
        <v>14</v>
      </c>
      <c r="G12" s="2" t="s">
        <v>14</v>
      </c>
      <c r="H12" s="3" t="s">
        <v>154</v>
      </c>
      <c r="I12" s="2" t="s">
        <v>33</v>
      </c>
      <c r="J12" s="2"/>
      <c r="K12" s="2"/>
      <c r="L12" s="2"/>
      <c r="M12" s="2">
        <v>1</v>
      </c>
      <c r="N12" t="str">
        <f>VLOOKUP(H12,'CT010 &amp; CT011'!$B:$C,2,FALSE)</f>
        <v>Project and Acquisition Finance.</v>
      </c>
    </row>
    <row r="13" spans="2:14" x14ac:dyDescent="0.3">
      <c r="B13" s="2" t="s">
        <v>12</v>
      </c>
      <c r="C13" s="3" t="s">
        <v>34</v>
      </c>
      <c r="D13" s="2" t="s">
        <v>14</v>
      </c>
      <c r="E13" s="2" t="s">
        <v>14</v>
      </c>
      <c r="F13" s="2" t="s">
        <v>14</v>
      </c>
      <c r="G13" s="2" t="s">
        <v>14</v>
      </c>
      <c r="H13" s="3" t="s">
        <v>158</v>
      </c>
      <c r="I13" s="2" t="s">
        <v>35</v>
      </c>
      <c r="J13" s="2"/>
      <c r="K13" s="2"/>
      <c r="L13" s="2"/>
      <c r="M13" s="2">
        <v>1</v>
      </c>
      <c r="N13" t="str">
        <f>VLOOKUP(H13,'CT010 &amp; CT011'!$B:$C,2,FALSE)</f>
        <v>Syndicated Loans</v>
      </c>
    </row>
    <row r="14" spans="2:14" x14ac:dyDescent="0.3">
      <c r="B14" s="2" t="s">
        <v>12</v>
      </c>
      <c r="C14" s="3" t="s">
        <v>36</v>
      </c>
      <c r="D14" s="2" t="s">
        <v>14</v>
      </c>
      <c r="E14" s="2" t="s">
        <v>14</v>
      </c>
      <c r="F14" s="2" t="s">
        <v>14</v>
      </c>
      <c r="G14" s="2" t="s">
        <v>14</v>
      </c>
      <c r="H14" s="3" t="s">
        <v>156</v>
      </c>
      <c r="I14" s="2" t="s">
        <v>37</v>
      </c>
      <c r="J14" s="2"/>
      <c r="K14" s="2"/>
      <c r="L14" s="2"/>
      <c r="M14" s="2">
        <v>1</v>
      </c>
      <c r="N14" t="str">
        <f>VLOOKUP(H14,'CT010 &amp; CT011'!$B:$C,2,FALSE)</f>
        <v>DCM</v>
      </c>
    </row>
    <row r="15" spans="2:14" x14ac:dyDescent="0.3">
      <c r="B15" s="2" t="s">
        <v>12</v>
      </c>
      <c r="C15" s="3" t="s">
        <v>38</v>
      </c>
      <c r="D15" s="2" t="s">
        <v>14</v>
      </c>
      <c r="E15" s="2" t="s">
        <v>14</v>
      </c>
      <c r="F15" s="2" t="s">
        <v>14</v>
      </c>
      <c r="G15" s="2" t="s">
        <v>14</v>
      </c>
      <c r="H15" s="3" t="s">
        <v>157</v>
      </c>
      <c r="I15" s="2" t="s">
        <v>39</v>
      </c>
      <c r="J15" s="2"/>
      <c r="K15" s="2"/>
      <c r="L15" s="2"/>
      <c r="M15" s="2">
        <v>1</v>
      </c>
      <c r="N15" t="str">
        <f>VLOOKUP(H15,'CT010 &amp; CT011'!$B:$C,2,FALSE)</f>
        <v>ABF</v>
      </c>
    </row>
    <row r="16" spans="2:14" x14ac:dyDescent="0.3">
      <c r="B16" s="2" t="s">
        <v>12</v>
      </c>
      <c r="C16" s="3" t="s">
        <v>40</v>
      </c>
      <c r="D16" s="2" t="s">
        <v>14</v>
      </c>
      <c r="E16" s="2" t="s">
        <v>14</v>
      </c>
      <c r="F16" s="2" t="s">
        <v>14</v>
      </c>
      <c r="G16" s="2" t="s">
        <v>14</v>
      </c>
      <c r="H16" s="3" t="s">
        <v>166</v>
      </c>
      <c r="I16" s="2" t="s">
        <v>41</v>
      </c>
      <c r="J16" s="2"/>
      <c r="K16" s="2"/>
      <c r="L16" s="2"/>
      <c r="M16" s="2">
        <v>1</v>
      </c>
      <c r="N16" t="str">
        <f>VLOOKUP(H16,'CT010 &amp; CT011'!$B:$C,2,FALSE)</f>
        <v>Leveraged Finance</v>
      </c>
    </row>
    <row r="17" spans="2:14" x14ac:dyDescent="0.3">
      <c r="B17" s="2" t="s">
        <v>12</v>
      </c>
      <c r="C17" s="3" t="s">
        <v>42</v>
      </c>
      <c r="D17" s="2" t="s">
        <v>14</v>
      </c>
      <c r="E17" s="2" t="s">
        <v>14</v>
      </c>
      <c r="F17" s="2" t="s">
        <v>14</v>
      </c>
      <c r="G17" s="2" t="s">
        <v>14</v>
      </c>
      <c r="H17" s="3" t="s">
        <v>170</v>
      </c>
      <c r="I17" s="2" t="s">
        <v>43</v>
      </c>
      <c r="J17" s="2"/>
      <c r="K17" s="2"/>
      <c r="L17" s="2"/>
      <c r="M17" s="2">
        <v>1</v>
      </c>
      <c r="N17" t="str">
        <f>VLOOKUP(H17,'CT010 &amp; CT011'!$B:$C,2,FALSE)</f>
        <v>Cash Management</v>
      </c>
    </row>
    <row r="18" spans="2:14" x14ac:dyDescent="0.3">
      <c r="B18" s="2" t="s">
        <v>12</v>
      </c>
      <c r="C18" s="3" t="s">
        <v>44</v>
      </c>
      <c r="D18" s="2" t="s">
        <v>14</v>
      </c>
      <c r="E18" s="2" t="s">
        <v>14</v>
      </c>
      <c r="F18" s="2" t="s">
        <v>14</v>
      </c>
      <c r="G18" s="2" t="s">
        <v>14</v>
      </c>
      <c r="H18" s="3" t="s">
        <v>172</v>
      </c>
      <c r="I18" s="2" t="s">
        <v>45</v>
      </c>
      <c r="J18" s="2"/>
      <c r="K18" s="2"/>
      <c r="L18" s="2"/>
      <c r="M18" s="2">
        <v>1</v>
      </c>
      <c r="N18" t="str">
        <f>VLOOKUP(H18,'CT010 &amp; CT011'!$B:$C,2,FALSE)</f>
        <v>Financiación Básica</v>
      </c>
    </row>
    <row r="19" spans="2:14" x14ac:dyDescent="0.3">
      <c r="B19" s="2" t="s">
        <v>12</v>
      </c>
      <c r="C19" s="3" t="s">
        <v>46</v>
      </c>
      <c r="D19" s="2" t="s">
        <v>14</v>
      </c>
      <c r="E19" s="2" t="s">
        <v>14</v>
      </c>
      <c r="F19" s="2" t="s">
        <v>14</v>
      </c>
      <c r="G19" s="2" t="s">
        <v>14</v>
      </c>
      <c r="H19" s="3" t="s">
        <v>174</v>
      </c>
      <c r="I19" s="2" t="s">
        <v>47</v>
      </c>
      <c r="J19" s="2"/>
      <c r="K19" s="2"/>
      <c r="L19" s="2"/>
      <c r="M19" s="2">
        <v>1</v>
      </c>
      <c r="N19" t="str">
        <f>VLOOKUP(H19,'CT010 &amp; CT011'!$B:$C,2,FALSE)</f>
        <v>Trade &amp; WCS</v>
      </c>
    </row>
    <row r="20" spans="2:14" x14ac:dyDescent="0.3">
      <c r="B20" s="2" t="s">
        <v>12</v>
      </c>
      <c r="C20" s="3" t="s">
        <v>48</v>
      </c>
      <c r="D20" s="2" t="s">
        <v>14</v>
      </c>
      <c r="E20" s="2" t="s">
        <v>14</v>
      </c>
      <c r="F20" s="2" t="s">
        <v>14</v>
      </c>
      <c r="G20" s="2" t="s">
        <v>14</v>
      </c>
      <c r="H20" s="3" t="s">
        <v>176</v>
      </c>
      <c r="I20" s="2" t="s">
        <v>49</v>
      </c>
      <c r="J20" s="2"/>
      <c r="K20" s="2"/>
      <c r="L20" s="2"/>
      <c r="M20" s="2">
        <v>1</v>
      </c>
      <c r="N20" t="str">
        <f>VLOOKUP(H20,'CT010 &amp; CT011'!$B:$C,2,FALSE)</f>
        <v>Export &amp; Agency Finance</v>
      </c>
    </row>
    <row r="21" spans="2:14" x14ac:dyDescent="0.3">
      <c r="B21" s="2" t="s">
        <v>12</v>
      </c>
      <c r="C21" s="3" t="s">
        <v>51</v>
      </c>
      <c r="D21" s="2" t="s">
        <v>14</v>
      </c>
      <c r="E21" s="2" t="s">
        <v>14</v>
      </c>
      <c r="F21" s="2" t="s">
        <v>14</v>
      </c>
      <c r="G21" s="2" t="s">
        <v>14</v>
      </c>
      <c r="H21" s="3" t="s">
        <v>183</v>
      </c>
      <c r="I21" s="2" t="s">
        <v>50</v>
      </c>
      <c r="J21" s="2"/>
      <c r="K21" s="2"/>
      <c r="L21" s="2"/>
      <c r="M21" s="2">
        <v>1</v>
      </c>
      <c r="N21" t="str">
        <f>VLOOKUP(H21,'CT010 &amp; CT011'!$B:$C,2,FALSE)</f>
        <v>ACPM</v>
      </c>
    </row>
    <row r="22" spans="2:14" x14ac:dyDescent="0.3">
      <c r="B22" s="2" t="s">
        <v>12</v>
      </c>
      <c r="C22" s="3" t="s">
        <v>53</v>
      </c>
      <c r="D22" s="2" t="s">
        <v>14</v>
      </c>
      <c r="E22" s="2" t="s">
        <v>14</v>
      </c>
      <c r="F22" s="2" t="s">
        <v>14</v>
      </c>
      <c r="G22" s="2" t="s">
        <v>14</v>
      </c>
      <c r="H22" s="3" t="s">
        <v>54</v>
      </c>
      <c r="I22" s="2" t="s">
        <v>52</v>
      </c>
      <c r="J22" s="2"/>
      <c r="K22" s="2"/>
      <c r="L22" s="2"/>
      <c r="M22" s="2">
        <v>1</v>
      </c>
      <c r="N22" t="str">
        <f>VLOOKUP(H22,'CT010 &amp; CT011'!$B:$C,2,FALSE)</f>
        <v>Gestión Financiera</v>
      </c>
    </row>
    <row r="23" spans="2:14" x14ac:dyDescent="0.3">
      <c r="B23" s="2" t="s">
        <v>12</v>
      </c>
      <c r="C23" s="3" t="s">
        <v>56</v>
      </c>
      <c r="D23" s="2" t="s">
        <v>14</v>
      </c>
      <c r="E23" s="2" t="s">
        <v>14</v>
      </c>
      <c r="F23" s="2" t="s">
        <v>14</v>
      </c>
      <c r="G23" s="2" t="s">
        <v>14</v>
      </c>
      <c r="H23" s="3" t="s">
        <v>116</v>
      </c>
      <c r="I23" s="2" t="s">
        <v>55</v>
      </c>
      <c r="J23" s="2"/>
      <c r="K23" s="2"/>
      <c r="L23" s="2"/>
      <c r="M23" s="2">
        <v>1</v>
      </c>
      <c r="N23" t="str">
        <f>VLOOKUP(H23,'CT010 &amp; CT011'!$B:$C,2,FALSE)</f>
        <v>Resto Actividades Corporativas</v>
      </c>
    </row>
    <row r="24" spans="2:14" x14ac:dyDescent="0.3">
      <c r="B24" s="2" t="s">
        <v>12</v>
      </c>
      <c r="C24" s="3" t="s">
        <v>59</v>
      </c>
      <c r="D24" s="2" t="s">
        <v>14</v>
      </c>
      <c r="E24" s="2" t="s">
        <v>14</v>
      </c>
      <c r="F24" s="2" t="s">
        <v>14</v>
      </c>
      <c r="G24" s="2" t="s">
        <v>14</v>
      </c>
      <c r="H24" s="3" t="s">
        <v>291</v>
      </c>
      <c r="I24" s="2" t="s">
        <v>58</v>
      </c>
      <c r="J24" s="2"/>
      <c r="K24" s="2"/>
      <c r="L24" s="2"/>
      <c r="M24" s="2">
        <v>1</v>
      </c>
      <c r="N24" t="str">
        <f>VLOOKUP(H24,'CT010 &amp; CT011'!$B:$C,2,FALSE)</f>
        <v>FX</v>
      </c>
    </row>
    <row r="25" spans="2:14" x14ac:dyDescent="0.3">
      <c r="B25" s="2" t="s">
        <v>12</v>
      </c>
      <c r="C25" s="3" t="s">
        <v>61</v>
      </c>
      <c r="D25" s="2" t="s">
        <v>14</v>
      </c>
      <c r="E25" s="2" t="s">
        <v>14</v>
      </c>
      <c r="F25" s="2" t="s">
        <v>14</v>
      </c>
      <c r="G25" s="2" t="s">
        <v>14</v>
      </c>
      <c r="H25" s="3" t="s">
        <v>293</v>
      </c>
      <c r="I25" s="2" t="s">
        <v>60</v>
      </c>
      <c r="J25" s="2"/>
      <c r="K25" s="2"/>
      <c r="L25" s="2"/>
      <c r="M25" s="2">
        <v>1</v>
      </c>
      <c r="N25" t="str">
        <f>VLOOKUP(H25,'CT010 &amp; CT011'!$B:$C,2,FALSE)</f>
        <v>Rates</v>
      </c>
    </row>
    <row r="26" spans="2:14" x14ac:dyDescent="0.3">
      <c r="B26" s="2" t="s">
        <v>12</v>
      </c>
      <c r="C26" s="3" t="s">
        <v>63</v>
      </c>
      <c r="D26" s="2" t="s">
        <v>14</v>
      </c>
      <c r="E26" s="2" t="s">
        <v>14</v>
      </c>
      <c r="F26" s="2" t="s">
        <v>14</v>
      </c>
      <c r="G26" s="2" t="s">
        <v>14</v>
      </c>
      <c r="H26" s="3" t="s">
        <v>289</v>
      </c>
      <c r="I26" s="2" t="s">
        <v>62</v>
      </c>
      <c r="J26" s="2"/>
      <c r="K26" s="2"/>
      <c r="L26" s="2"/>
      <c r="M26" s="2">
        <v>1</v>
      </c>
      <c r="N26" t="str">
        <f>VLOOKUP(H26,'CT010 &amp; CT011'!$B:$C,2,FALSE)</f>
        <v>Securitization Products</v>
      </c>
    </row>
    <row r="27" spans="2:14" x14ac:dyDescent="0.3">
      <c r="B27" s="2" t="s">
        <v>12</v>
      </c>
      <c r="C27" s="3" t="s">
        <v>65</v>
      </c>
      <c r="D27" s="2" t="s">
        <v>14</v>
      </c>
      <c r="E27" s="2" t="s">
        <v>14</v>
      </c>
      <c r="F27" s="2" t="s">
        <v>14</v>
      </c>
      <c r="G27" s="2" t="s">
        <v>14</v>
      </c>
      <c r="H27" s="3" t="s">
        <v>284</v>
      </c>
      <c r="I27" s="2" t="s">
        <v>64</v>
      </c>
      <c r="J27" s="2"/>
      <c r="K27" s="2"/>
      <c r="L27" s="2"/>
      <c r="M27" s="2">
        <v>1</v>
      </c>
      <c r="N27" t="str">
        <f>VLOOKUP(H27,'CT010 &amp; CT011'!$B:$C,2,FALSE)</f>
        <v>Securitization Finance</v>
      </c>
    </row>
    <row r="28" spans="2:14" x14ac:dyDescent="0.3">
      <c r="B28" s="2" t="s">
        <v>12</v>
      </c>
      <c r="C28" s="3" t="s">
        <v>67</v>
      </c>
      <c r="D28" s="2" t="s">
        <v>14</v>
      </c>
      <c r="E28" s="2" t="s">
        <v>14</v>
      </c>
      <c r="F28" s="2" t="s">
        <v>14</v>
      </c>
      <c r="G28" s="2" t="s">
        <v>14</v>
      </c>
      <c r="H28" s="3" t="s">
        <v>282</v>
      </c>
      <c r="I28" s="2" t="s">
        <v>66</v>
      </c>
      <c r="J28" s="2"/>
      <c r="K28" s="2"/>
      <c r="L28" s="2"/>
      <c r="M28" s="2">
        <v>1</v>
      </c>
      <c r="N28" t="str">
        <f>VLOOKUP(H28,'CT010 &amp; CT011'!$B:$C,2,FALSE)</f>
        <v>Bond Syndicate</v>
      </c>
    </row>
    <row r="29" spans="2:14" x14ac:dyDescent="0.3">
      <c r="B29" s="2" t="s">
        <v>12</v>
      </c>
      <c r="C29" s="3" t="s">
        <v>70</v>
      </c>
      <c r="D29" s="2" t="s">
        <v>14</v>
      </c>
      <c r="E29" s="2" t="s">
        <v>14</v>
      </c>
      <c r="F29" s="2" t="s">
        <v>14</v>
      </c>
      <c r="G29" s="2" t="s">
        <v>14</v>
      </c>
      <c r="H29" s="3" t="s">
        <v>180</v>
      </c>
      <c r="I29" s="2" t="s">
        <v>69</v>
      </c>
      <c r="J29" s="2"/>
      <c r="K29" s="2"/>
      <c r="L29" s="2"/>
      <c r="M29" s="2">
        <v>1</v>
      </c>
      <c r="N29" t="str">
        <f>VLOOKUP(H29,'CT010 &amp; CT011'!$B:$C,2,FALSE)</f>
        <v>Equity Derivatives</v>
      </c>
    </row>
    <row r="30" spans="2:14" x14ac:dyDescent="0.3">
      <c r="B30" s="2" t="s">
        <v>12</v>
      </c>
      <c r="C30" s="3" t="s">
        <v>73</v>
      </c>
      <c r="D30" s="2" t="s">
        <v>14</v>
      </c>
      <c r="E30" s="2" t="s">
        <v>14</v>
      </c>
      <c r="F30" s="2" t="s">
        <v>14</v>
      </c>
      <c r="G30" s="2" t="s">
        <v>14</v>
      </c>
      <c r="H30" s="3" t="s">
        <v>286</v>
      </c>
      <c r="I30" s="2" t="s">
        <v>72</v>
      </c>
      <c r="J30" s="2"/>
      <c r="K30" s="2"/>
      <c r="L30" s="2"/>
      <c r="M30" s="2">
        <v>1</v>
      </c>
      <c r="N30" t="str">
        <f>VLOOKUP(H30,'CT010 &amp; CT011'!$B:$C,2,FALSE)</f>
        <v>Commodities</v>
      </c>
    </row>
    <row r="31" spans="2:14" x14ac:dyDescent="0.3">
      <c r="B31" s="2" t="s">
        <v>12</v>
      </c>
      <c r="C31" s="3" t="s">
        <v>76</v>
      </c>
      <c r="D31" s="2" t="s">
        <v>14</v>
      </c>
      <c r="E31" s="2" t="s">
        <v>14</v>
      </c>
      <c r="F31" s="2" t="s">
        <v>14</v>
      </c>
      <c r="G31" s="2" t="s">
        <v>14</v>
      </c>
      <c r="H31" s="3" t="s">
        <v>181</v>
      </c>
      <c r="I31" s="2" t="s">
        <v>75</v>
      </c>
      <c r="J31" s="2"/>
      <c r="K31" s="2"/>
      <c r="L31" s="2"/>
      <c r="M31" s="2">
        <v>1</v>
      </c>
      <c r="N31" t="str">
        <f>VLOOKUP(H31,'CT010 &amp; CT011'!$B:$C,2,FALSE)</f>
        <v>Cash Equity</v>
      </c>
    </row>
    <row r="32" spans="2:14" x14ac:dyDescent="0.3">
      <c r="B32" s="2" t="s">
        <v>12</v>
      </c>
      <c r="C32" s="3" t="s">
        <v>78</v>
      </c>
      <c r="D32" s="2" t="s">
        <v>14</v>
      </c>
      <c r="E32" s="2" t="s">
        <v>14</v>
      </c>
      <c r="F32" s="2" t="s">
        <v>14</v>
      </c>
      <c r="G32" s="2" t="s">
        <v>14</v>
      </c>
      <c r="H32" s="3" t="s">
        <v>79</v>
      </c>
      <c r="I32" s="2" t="s">
        <v>77</v>
      </c>
      <c r="J32" s="2"/>
      <c r="K32" s="2"/>
      <c r="L32" s="2"/>
      <c r="M32" s="2">
        <v>1</v>
      </c>
      <c r="N32" t="str">
        <f>VLOOKUP(H32,'CT010 &amp; CT011'!$B:$C,2,FALSE)</f>
        <v>XVA</v>
      </c>
    </row>
  </sheetData>
  <autoFilter ref="B2:M3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8D88-4A03-4DCB-8112-5D28F362EFE3}">
  <dimension ref="B2:S91"/>
  <sheetViews>
    <sheetView showGridLines="0" tabSelected="1" workbookViewId="0">
      <pane xSplit="4" ySplit="4" topLeftCell="E22" activePane="bottomRight" state="frozen"/>
      <selection pane="topRight" activeCell="E1" sqref="E1"/>
      <selection pane="bottomLeft" activeCell="A3" sqref="A3"/>
      <selection pane="bottomRight" activeCell="B30" sqref="B30:C33"/>
    </sheetView>
  </sheetViews>
  <sheetFormatPr defaultRowHeight="14.4" x14ac:dyDescent="0.3"/>
  <cols>
    <col min="1" max="1" width="3.6640625" customWidth="1"/>
    <col min="2" max="2" width="16.88671875" bestFit="1" customWidth="1"/>
    <col min="3" max="4" width="35.33203125" bestFit="1" customWidth="1"/>
    <col min="5" max="5" width="7.44140625" bestFit="1" customWidth="1"/>
    <col min="6" max="6" width="11.44140625" bestFit="1" customWidth="1"/>
    <col min="7" max="17" width="11.88671875" bestFit="1" customWidth="1"/>
    <col min="18" max="18" width="10.6640625" bestFit="1" customWidth="1"/>
    <col min="19" max="19" width="12.44140625" bestFit="1" customWidth="1"/>
  </cols>
  <sheetData>
    <row r="2" spans="2:19" x14ac:dyDescent="0.3">
      <c r="B2" s="8" t="s">
        <v>254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2:19" x14ac:dyDescent="0.3">
      <c r="B4" s="1" t="s">
        <v>82</v>
      </c>
      <c r="C4" s="1" t="s">
        <v>83</v>
      </c>
      <c r="D4" s="1" t="s">
        <v>84</v>
      </c>
      <c r="E4" s="5" t="s">
        <v>85</v>
      </c>
      <c r="F4" s="5" t="s">
        <v>86</v>
      </c>
      <c r="G4" s="5" t="s">
        <v>87</v>
      </c>
      <c r="H4" s="5" t="s">
        <v>88</v>
      </c>
      <c r="I4" s="5" t="s">
        <v>89</v>
      </c>
      <c r="J4" s="5" t="s">
        <v>90</v>
      </c>
      <c r="K4" s="5" t="s">
        <v>91</v>
      </c>
      <c r="L4" s="5" t="s">
        <v>92</v>
      </c>
      <c r="M4" s="5" t="s">
        <v>93</v>
      </c>
      <c r="N4" s="5" t="s">
        <v>94</v>
      </c>
      <c r="O4" s="5" t="s">
        <v>95</v>
      </c>
      <c r="P4" s="5" t="s">
        <v>96</v>
      </c>
      <c r="Q4" s="5" t="s">
        <v>97</v>
      </c>
      <c r="R4" s="1" t="s">
        <v>10</v>
      </c>
      <c r="S4" s="1" t="s">
        <v>98</v>
      </c>
    </row>
    <row r="5" spans="2:19" x14ac:dyDescent="0.3">
      <c r="B5" s="3" t="s">
        <v>101</v>
      </c>
      <c r="C5" s="6" t="s">
        <v>120</v>
      </c>
      <c r="D5" s="6" t="s">
        <v>265</v>
      </c>
      <c r="E5" s="6" t="s">
        <v>101</v>
      </c>
      <c r="F5" s="6" t="s">
        <v>101</v>
      </c>
      <c r="G5" s="6" t="s">
        <v>101</v>
      </c>
      <c r="H5" s="6" t="s">
        <v>101</v>
      </c>
      <c r="I5" s="6" t="s">
        <v>101</v>
      </c>
      <c r="J5" s="6" t="s">
        <v>101</v>
      </c>
      <c r="K5" s="6" t="s">
        <v>101</v>
      </c>
      <c r="L5" s="6" t="s">
        <v>101</v>
      </c>
      <c r="M5" s="6" t="s">
        <v>101</v>
      </c>
      <c r="N5" s="6" t="s">
        <v>101</v>
      </c>
      <c r="O5" s="6" t="s">
        <v>101</v>
      </c>
      <c r="P5" s="6" t="s">
        <v>101</v>
      </c>
      <c r="Q5" s="6" t="s">
        <v>101</v>
      </c>
      <c r="R5" s="2" t="s">
        <v>256</v>
      </c>
      <c r="S5" s="2">
        <v>6</v>
      </c>
    </row>
    <row r="6" spans="2:19" x14ac:dyDescent="0.3">
      <c r="B6" s="3" t="s">
        <v>99</v>
      </c>
      <c r="C6" s="7" t="s">
        <v>100</v>
      </c>
      <c r="D6" s="7" t="s">
        <v>255</v>
      </c>
      <c r="E6" s="7" t="s">
        <v>101</v>
      </c>
      <c r="F6" s="7" t="s">
        <v>99</v>
      </c>
      <c r="G6" s="7" t="s">
        <v>99</v>
      </c>
      <c r="H6" s="7" t="s">
        <v>99</v>
      </c>
      <c r="I6" s="7" t="s">
        <v>99</v>
      </c>
      <c r="J6" s="7" t="s">
        <v>99</v>
      </c>
      <c r="K6" s="7" t="s">
        <v>99</v>
      </c>
      <c r="L6" s="7" t="s">
        <v>99</v>
      </c>
      <c r="M6" s="7" t="s">
        <v>99</v>
      </c>
      <c r="N6" s="7" t="s">
        <v>99</v>
      </c>
      <c r="O6" s="7" t="s">
        <v>99</v>
      </c>
      <c r="P6" s="7" t="s">
        <v>99</v>
      </c>
      <c r="Q6" s="7" t="s">
        <v>99</v>
      </c>
      <c r="R6" s="2" t="s">
        <v>256</v>
      </c>
      <c r="S6" s="2">
        <v>6</v>
      </c>
    </row>
    <row r="7" spans="2:19" x14ac:dyDescent="0.3">
      <c r="B7" s="3" t="s">
        <v>54</v>
      </c>
      <c r="C7" s="4" t="s">
        <v>102</v>
      </c>
      <c r="D7" s="4" t="s">
        <v>257</v>
      </c>
      <c r="E7" s="4" t="s">
        <v>101</v>
      </c>
      <c r="F7" s="4" t="s">
        <v>99</v>
      </c>
      <c r="G7" s="4" t="s">
        <v>54</v>
      </c>
      <c r="H7" s="4" t="s">
        <v>54</v>
      </c>
      <c r="I7" s="4" t="s">
        <v>54</v>
      </c>
      <c r="J7" s="4" t="s">
        <v>54</v>
      </c>
      <c r="K7" s="4" t="s">
        <v>54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" t="s">
        <v>54</v>
      </c>
      <c r="R7" s="2" t="s">
        <v>256</v>
      </c>
      <c r="S7" s="2">
        <v>6</v>
      </c>
    </row>
    <row r="8" spans="2:19" x14ac:dyDescent="0.3">
      <c r="B8" s="3" t="s">
        <v>107</v>
      </c>
      <c r="C8" s="2" t="s">
        <v>108</v>
      </c>
      <c r="D8" s="2" t="s">
        <v>260</v>
      </c>
      <c r="E8" s="2" t="s">
        <v>101</v>
      </c>
      <c r="F8" s="2" t="s">
        <v>99</v>
      </c>
      <c r="G8" s="2" t="s">
        <v>54</v>
      </c>
      <c r="H8" s="2" t="s">
        <v>107</v>
      </c>
      <c r="I8" s="2" t="s">
        <v>107</v>
      </c>
      <c r="J8" s="2" t="s">
        <v>107</v>
      </c>
      <c r="K8" s="2" t="s">
        <v>107</v>
      </c>
      <c r="L8" s="2" t="s">
        <v>107</v>
      </c>
      <c r="M8" s="2" t="s">
        <v>107</v>
      </c>
      <c r="N8" s="2" t="s">
        <v>107</v>
      </c>
      <c r="O8" s="2" t="s">
        <v>107</v>
      </c>
      <c r="P8" s="2" t="s">
        <v>107</v>
      </c>
      <c r="Q8" s="2" t="s">
        <v>107</v>
      </c>
      <c r="R8" s="2" t="s">
        <v>256</v>
      </c>
      <c r="S8" s="2">
        <v>6</v>
      </c>
    </row>
    <row r="9" spans="2:19" x14ac:dyDescent="0.3">
      <c r="B9" s="3" t="s">
        <v>109</v>
      </c>
      <c r="C9" s="2" t="s">
        <v>110</v>
      </c>
      <c r="D9" s="2" t="s">
        <v>261</v>
      </c>
      <c r="E9" s="2" t="s">
        <v>101</v>
      </c>
      <c r="F9" s="2" t="s">
        <v>99</v>
      </c>
      <c r="G9" s="2" t="s">
        <v>54</v>
      </c>
      <c r="H9" s="2" t="s">
        <v>109</v>
      </c>
      <c r="I9" s="2" t="s">
        <v>109</v>
      </c>
      <c r="J9" s="2" t="s">
        <v>109</v>
      </c>
      <c r="K9" s="2" t="s">
        <v>109</v>
      </c>
      <c r="L9" s="2" t="s">
        <v>109</v>
      </c>
      <c r="M9" s="2" t="s">
        <v>109</v>
      </c>
      <c r="N9" s="2" t="s">
        <v>109</v>
      </c>
      <c r="O9" s="2" t="s">
        <v>109</v>
      </c>
      <c r="P9" s="2" t="s">
        <v>109</v>
      </c>
      <c r="Q9" s="2" t="s">
        <v>109</v>
      </c>
      <c r="R9" s="2" t="s">
        <v>256</v>
      </c>
      <c r="S9" s="2">
        <v>6</v>
      </c>
    </row>
    <row r="10" spans="2:19" x14ac:dyDescent="0.3">
      <c r="B10" s="3" t="s">
        <v>103</v>
      </c>
      <c r="C10" s="2" t="s">
        <v>104</v>
      </c>
      <c r="D10" s="2" t="s">
        <v>104</v>
      </c>
      <c r="E10" s="2" t="s">
        <v>101</v>
      </c>
      <c r="F10" s="2" t="s">
        <v>99</v>
      </c>
      <c r="G10" s="2" t="s">
        <v>54</v>
      </c>
      <c r="H10" s="2" t="s">
        <v>103</v>
      </c>
      <c r="I10" s="2" t="s">
        <v>103</v>
      </c>
      <c r="J10" s="2" t="s">
        <v>103</v>
      </c>
      <c r="K10" s="2" t="s">
        <v>103</v>
      </c>
      <c r="L10" s="2" t="s">
        <v>103</v>
      </c>
      <c r="M10" s="2" t="s">
        <v>103</v>
      </c>
      <c r="N10" s="2" t="s">
        <v>103</v>
      </c>
      <c r="O10" s="2" t="s">
        <v>103</v>
      </c>
      <c r="P10" s="2" t="s">
        <v>103</v>
      </c>
      <c r="Q10" s="2" t="s">
        <v>103</v>
      </c>
      <c r="R10" s="2" t="s">
        <v>256</v>
      </c>
      <c r="S10" s="2">
        <v>6</v>
      </c>
    </row>
    <row r="11" spans="2:19" x14ac:dyDescent="0.3">
      <c r="B11" s="3" t="s">
        <v>105</v>
      </c>
      <c r="C11" s="11" t="s">
        <v>106</v>
      </c>
      <c r="D11" s="11" t="s">
        <v>262</v>
      </c>
      <c r="E11" s="11" t="s">
        <v>101</v>
      </c>
      <c r="F11" s="11" t="s">
        <v>99</v>
      </c>
      <c r="G11" s="11" t="s">
        <v>54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11" t="s">
        <v>105</v>
      </c>
      <c r="N11" s="11" t="s">
        <v>105</v>
      </c>
      <c r="O11" s="11" t="s">
        <v>105</v>
      </c>
      <c r="P11" s="11" t="s">
        <v>105</v>
      </c>
      <c r="Q11" s="11" t="s">
        <v>105</v>
      </c>
      <c r="R11" s="11" t="s">
        <v>256</v>
      </c>
      <c r="S11" s="11">
        <v>6</v>
      </c>
    </row>
    <row r="12" spans="2:19" x14ac:dyDescent="0.3">
      <c r="B12" s="3" t="s">
        <v>111</v>
      </c>
      <c r="C12" s="2" t="s">
        <v>112</v>
      </c>
      <c r="D12" s="2" t="s">
        <v>263</v>
      </c>
      <c r="E12" s="2" t="s">
        <v>101</v>
      </c>
      <c r="F12" s="2" t="s">
        <v>99</v>
      </c>
      <c r="G12" s="2" t="s">
        <v>54</v>
      </c>
      <c r="H12" s="2" t="s">
        <v>111</v>
      </c>
      <c r="I12" s="2" t="s">
        <v>111</v>
      </c>
      <c r="J12" s="2" t="s">
        <v>111</v>
      </c>
      <c r="K12" s="2" t="s">
        <v>111</v>
      </c>
      <c r="L12" s="2" t="s">
        <v>111</v>
      </c>
      <c r="M12" s="2" t="s">
        <v>111</v>
      </c>
      <c r="N12" s="2" t="s">
        <v>111</v>
      </c>
      <c r="O12" s="2" t="s">
        <v>111</v>
      </c>
      <c r="P12" s="2" t="s">
        <v>111</v>
      </c>
      <c r="Q12" s="2" t="s">
        <v>111</v>
      </c>
      <c r="R12" s="2" t="s">
        <v>256</v>
      </c>
      <c r="S12" s="2">
        <v>6</v>
      </c>
    </row>
    <row r="13" spans="2:19" x14ac:dyDescent="0.3">
      <c r="B13" s="3" t="s">
        <v>57</v>
      </c>
      <c r="C13" s="4" t="s">
        <v>113</v>
      </c>
      <c r="D13" s="4" t="s">
        <v>258</v>
      </c>
      <c r="E13" s="4" t="s">
        <v>101</v>
      </c>
      <c r="F13" s="4" t="s">
        <v>99</v>
      </c>
      <c r="G13" s="4" t="s">
        <v>57</v>
      </c>
      <c r="H13" s="4" t="s">
        <v>57</v>
      </c>
      <c r="I13" s="4" t="s">
        <v>57</v>
      </c>
      <c r="J13" s="4" t="s">
        <v>57</v>
      </c>
      <c r="K13" s="4" t="s">
        <v>57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57</v>
      </c>
      <c r="Q13" s="4" t="s">
        <v>57</v>
      </c>
      <c r="R13" s="2" t="s">
        <v>256</v>
      </c>
      <c r="S13" s="2">
        <v>6</v>
      </c>
    </row>
    <row r="14" spans="2:19" x14ac:dyDescent="0.3">
      <c r="B14" s="3" t="s">
        <v>114</v>
      </c>
      <c r="C14" s="2" t="s">
        <v>115</v>
      </c>
      <c r="D14" s="2" t="s">
        <v>258</v>
      </c>
      <c r="E14" s="2" t="s">
        <v>101</v>
      </c>
      <c r="F14" s="2" t="s">
        <v>99</v>
      </c>
      <c r="G14" s="2" t="s">
        <v>57</v>
      </c>
      <c r="H14" s="2" t="s">
        <v>114</v>
      </c>
      <c r="I14" s="2" t="s">
        <v>114</v>
      </c>
      <c r="J14" s="2" t="s">
        <v>114</v>
      </c>
      <c r="K14" s="2" t="s">
        <v>114</v>
      </c>
      <c r="L14" s="2" t="s">
        <v>114</v>
      </c>
      <c r="M14" s="2" t="s">
        <v>114</v>
      </c>
      <c r="N14" s="2" t="s">
        <v>114</v>
      </c>
      <c r="O14" s="2" t="s">
        <v>114</v>
      </c>
      <c r="P14" s="2" t="s">
        <v>114</v>
      </c>
      <c r="Q14" s="2" t="s">
        <v>114</v>
      </c>
      <c r="R14" s="2" t="s">
        <v>256</v>
      </c>
      <c r="S14" s="2">
        <v>6</v>
      </c>
    </row>
    <row r="15" spans="2:19" x14ac:dyDescent="0.3">
      <c r="B15" s="3" t="s">
        <v>116</v>
      </c>
      <c r="C15" s="2" t="s">
        <v>117</v>
      </c>
      <c r="D15" s="2" t="s">
        <v>259</v>
      </c>
      <c r="E15" s="2" t="s">
        <v>101</v>
      </c>
      <c r="F15" s="2" t="s">
        <v>99</v>
      </c>
      <c r="G15" s="2" t="s">
        <v>57</v>
      </c>
      <c r="H15" s="2" t="s">
        <v>114</v>
      </c>
      <c r="I15" s="2" t="s">
        <v>116</v>
      </c>
      <c r="J15" s="2" t="s">
        <v>116</v>
      </c>
      <c r="K15" s="2" t="s">
        <v>116</v>
      </c>
      <c r="L15" s="2" t="s">
        <v>116</v>
      </c>
      <c r="M15" s="2" t="s">
        <v>116</v>
      </c>
      <c r="N15" s="2" t="s">
        <v>116</v>
      </c>
      <c r="O15" s="2" t="s">
        <v>116</v>
      </c>
      <c r="P15" s="2" t="s">
        <v>116</v>
      </c>
      <c r="Q15" s="2" t="s">
        <v>116</v>
      </c>
      <c r="R15" s="2" t="s">
        <v>256</v>
      </c>
      <c r="S15" s="2">
        <v>6</v>
      </c>
    </row>
    <row r="16" spans="2:19" x14ac:dyDescent="0.3">
      <c r="B16" s="3" t="s">
        <v>118</v>
      </c>
      <c r="C16" s="2" t="s">
        <v>119</v>
      </c>
      <c r="D16" s="2" t="s">
        <v>264</v>
      </c>
      <c r="E16" s="2" t="s">
        <v>101</v>
      </c>
      <c r="F16" s="2" t="s">
        <v>99</v>
      </c>
      <c r="G16" s="2" t="s">
        <v>57</v>
      </c>
      <c r="H16" s="2" t="s">
        <v>118</v>
      </c>
      <c r="I16" s="2" t="s">
        <v>118</v>
      </c>
      <c r="J16" s="2" t="s">
        <v>118</v>
      </c>
      <c r="K16" s="2" t="s">
        <v>118</v>
      </c>
      <c r="L16" s="2" t="s">
        <v>118</v>
      </c>
      <c r="M16" s="2" t="s">
        <v>118</v>
      </c>
      <c r="N16" s="2" t="s">
        <v>118</v>
      </c>
      <c r="O16" s="2" t="s">
        <v>118</v>
      </c>
      <c r="P16" s="2" t="s">
        <v>118</v>
      </c>
      <c r="Q16" s="2" t="s">
        <v>118</v>
      </c>
      <c r="R16" s="2" t="s">
        <v>256</v>
      </c>
      <c r="S16" s="2">
        <v>6</v>
      </c>
    </row>
    <row r="17" spans="2:19" x14ac:dyDescent="0.3">
      <c r="B17" s="3" t="s">
        <v>122</v>
      </c>
      <c r="C17" s="7" t="s">
        <v>123</v>
      </c>
      <c r="D17" s="7" t="s">
        <v>123</v>
      </c>
      <c r="E17" s="7" t="s">
        <v>101</v>
      </c>
      <c r="F17" s="7" t="s">
        <v>122</v>
      </c>
      <c r="G17" s="7" t="s">
        <v>122</v>
      </c>
      <c r="H17" s="7" t="s">
        <v>122</v>
      </c>
      <c r="I17" s="7" t="s">
        <v>122</v>
      </c>
      <c r="J17" s="7" t="s">
        <v>122</v>
      </c>
      <c r="K17" s="7" t="s">
        <v>122</v>
      </c>
      <c r="L17" s="7" t="s">
        <v>122</v>
      </c>
      <c r="M17" s="7" t="s">
        <v>122</v>
      </c>
      <c r="N17" s="7" t="s">
        <v>122</v>
      </c>
      <c r="O17" s="7" t="s">
        <v>122</v>
      </c>
      <c r="P17" s="7" t="s">
        <v>122</v>
      </c>
      <c r="Q17" s="7" t="s">
        <v>122</v>
      </c>
      <c r="R17" s="2" t="s">
        <v>256</v>
      </c>
      <c r="S17" s="2">
        <v>6</v>
      </c>
    </row>
    <row r="18" spans="2:19" x14ac:dyDescent="0.3">
      <c r="B18" s="3" t="s">
        <v>124</v>
      </c>
      <c r="C18" s="4" t="s">
        <v>125</v>
      </c>
      <c r="D18" s="4" t="s">
        <v>125</v>
      </c>
      <c r="E18" s="4" t="s">
        <v>101</v>
      </c>
      <c r="F18" s="4" t="s">
        <v>122</v>
      </c>
      <c r="G18" s="4" t="s">
        <v>124</v>
      </c>
      <c r="H18" s="4" t="s">
        <v>124</v>
      </c>
      <c r="I18" s="4" t="s">
        <v>124</v>
      </c>
      <c r="J18" s="4" t="s">
        <v>124</v>
      </c>
      <c r="K18" s="4" t="s">
        <v>124</v>
      </c>
      <c r="L18" s="4" t="s">
        <v>124</v>
      </c>
      <c r="M18" s="4" t="s">
        <v>124</v>
      </c>
      <c r="N18" s="4" t="s">
        <v>124</v>
      </c>
      <c r="O18" s="4" t="s">
        <v>124</v>
      </c>
      <c r="P18" s="4" t="s">
        <v>124</v>
      </c>
      <c r="Q18" s="4" t="s">
        <v>124</v>
      </c>
      <c r="R18" s="2" t="s">
        <v>256</v>
      </c>
      <c r="S18" s="2">
        <v>6</v>
      </c>
    </row>
    <row r="19" spans="2:19" x14ac:dyDescent="0.3">
      <c r="B19" s="3" t="s">
        <v>21</v>
      </c>
      <c r="C19" s="2" t="s">
        <v>129</v>
      </c>
      <c r="D19" s="2" t="s">
        <v>268</v>
      </c>
      <c r="E19" s="2" t="s">
        <v>101</v>
      </c>
      <c r="F19" s="2" t="s">
        <v>122</v>
      </c>
      <c r="G19" s="2" t="s">
        <v>124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  <c r="R19" s="2" t="s">
        <v>256</v>
      </c>
      <c r="S19" s="2">
        <v>6</v>
      </c>
    </row>
    <row r="20" spans="2:19" x14ac:dyDescent="0.3">
      <c r="B20" s="3" t="s">
        <v>128</v>
      </c>
      <c r="C20" s="2" t="s">
        <v>270</v>
      </c>
      <c r="D20" s="2" t="s">
        <v>271</v>
      </c>
      <c r="E20" s="2" t="s">
        <v>101</v>
      </c>
      <c r="F20" s="2" t="s">
        <v>122</v>
      </c>
      <c r="G20" s="2" t="s">
        <v>124</v>
      </c>
      <c r="H20" s="2" t="s">
        <v>21</v>
      </c>
      <c r="I20" s="2" t="s">
        <v>128</v>
      </c>
      <c r="J20" s="2" t="s">
        <v>128</v>
      </c>
      <c r="K20" s="2" t="s">
        <v>128</v>
      </c>
      <c r="L20" s="2" t="s">
        <v>128</v>
      </c>
      <c r="M20" s="2" t="s">
        <v>128</v>
      </c>
      <c r="N20" s="2" t="s">
        <v>128</v>
      </c>
      <c r="O20" s="2" t="s">
        <v>128</v>
      </c>
      <c r="P20" s="2" t="s">
        <v>128</v>
      </c>
      <c r="Q20" s="2" t="s">
        <v>128</v>
      </c>
      <c r="R20" s="2" t="s">
        <v>256</v>
      </c>
      <c r="S20" s="2">
        <v>6</v>
      </c>
    </row>
    <row r="21" spans="2:19" x14ac:dyDescent="0.3">
      <c r="B21" s="3" t="s">
        <v>126</v>
      </c>
      <c r="C21" s="2" t="s">
        <v>127</v>
      </c>
      <c r="D21" s="2" t="s">
        <v>272</v>
      </c>
      <c r="E21" s="2" t="s">
        <v>101</v>
      </c>
      <c r="F21" s="2" t="s">
        <v>122</v>
      </c>
      <c r="G21" s="2" t="s">
        <v>124</v>
      </c>
      <c r="H21" s="2" t="s">
        <v>21</v>
      </c>
      <c r="I21" s="2" t="s">
        <v>126</v>
      </c>
      <c r="J21" s="2" t="s">
        <v>126</v>
      </c>
      <c r="K21" s="2" t="s">
        <v>126</v>
      </c>
      <c r="L21" s="2" t="s">
        <v>126</v>
      </c>
      <c r="M21" s="2" t="s">
        <v>126</v>
      </c>
      <c r="N21" s="2" t="s">
        <v>126</v>
      </c>
      <c r="O21" s="2" t="s">
        <v>126</v>
      </c>
      <c r="P21" s="2" t="s">
        <v>126</v>
      </c>
      <c r="Q21" s="2" t="s">
        <v>126</v>
      </c>
      <c r="R21" s="2" t="s">
        <v>256</v>
      </c>
      <c r="S21" s="2">
        <v>6</v>
      </c>
    </row>
    <row r="22" spans="2:19" x14ac:dyDescent="0.3">
      <c r="B22" s="3" t="s">
        <v>18</v>
      </c>
      <c r="C22" s="11" t="s">
        <v>134</v>
      </c>
      <c r="D22" s="11" t="s">
        <v>269</v>
      </c>
      <c r="E22" s="11" t="s">
        <v>101</v>
      </c>
      <c r="F22" s="11" t="s">
        <v>122</v>
      </c>
      <c r="G22" s="11" t="s">
        <v>124</v>
      </c>
      <c r="H22" s="11" t="s">
        <v>18</v>
      </c>
      <c r="I22" s="11" t="s">
        <v>18</v>
      </c>
      <c r="J22" s="11" t="s">
        <v>18</v>
      </c>
      <c r="K22" s="11" t="s">
        <v>18</v>
      </c>
      <c r="L22" s="11" t="s">
        <v>18</v>
      </c>
      <c r="M22" s="11" t="s">
        <v>18</v>
      </c>
      <c r="N22" s="11" t="s">
        <v>18</v>
      </c>
      <c r="O22" s="11" t="s">
        <v>18</v>
      </c>
      <c r="P22" s="11" t="s">
        <v>18</v>
      </c>
      <c r="Q22" s="11" t="s">
        <v>18</v>
      </c>
      <c r="R22" s="11" t="s">
        <v>256</v>
      </c>
      <c r="S22" s="11">
        <v>6</v>
      </c>
    </row>
    <row r="23" spans="2:19" x14ac:dyDescent="0.3">
      <c r="B23" s="3" t="s">
        <v>130</v>
      </c>
      <c r="C23" s="2" t="s">
        <v>131</v>
      </c>
      <c r="D23" s="2" t="s">
        <v>131</v>
      </c>
      <c r="E23" s="2" t="s">
        <v>101</v>
      </c>
      <c r="F23" s="2" t="s">
        <v>122</v>
      </c>
      <c r="G23" s="2" t="s">
        <v>124</v>
      </c>
      <c r="H23" s="2" t="s">
        <v>18</v>
      </c>
      <c r="I23" s="2" t="s">
        <v>130</v>
      </c>
      <c r="J23" s="2" t="s">
        <v>130</v>
      </c>
      <c r="K23" s="2" t="s">
        <v>130</v>
      </c>
      <c r="L23" s="2" t="s">
        <v>130</v>
      </c>
      <c r="M23" s="2" t="s">
        <v>130</v>
      </c>
      <c r="N23" s="2" t="s">
        <v>130</v>
      </c>
      <c r="O23" s="2" t="s">
        <v>130</v>
      </c>
      <c r="P23" s="2" t="s">
        <v>130</v>
      </c>
      <c r="Q23" s="2" t="s">
        <v>130</v>
      </c>
      <c r="R23" s="2" t="s">
        <v>256</v>
      </c>
      <c r="S23" s="2">
        <v>6</v>
      </c>
    </row>
    <row r="24" spans="2:19" x14ac:dyDescent="0.3">
      <c r="B24" s="3" t="s">
        <v>132</v>
      </c>
      <c r="C24" s="2" t="s">
        <v>133</v>
      </c>
      <c r="D24" s="2" t="s">
        <v>133</v>
      </c>
      <c r="E24" s="2" t="s">
        <v>101</v>
      </c>
      <c r="F24" s="2" t="s">
        <v>122</v>
      </c>
      <c r="G24" s="2" t="s">
        <v>124</v>
      </c>
      <c r="H24" s="2" t="s">
        <v>18</v>
      </c>
      <c r="I24" s="2" t="s">
        <v>132</v>
      </c>
      <c r="J24" s="2" t="s">
        <v>132</v>
      </c>
      <c r="K24" s="2" t="s">
        <v>132</v>
      </c>
      <c r="L24" s="2" t="s">
        <v>132</v>
      </c>
      <c r="M24" s="2" t="s">
        <v>132</v>
      </c>
      <c r="N24" s="2" t="s">
        <v>132</v>
      </c>
      <c r="O24" s="2" t="s">
        <v>132</v>
      </c>
      <c r="P24" s="2" t="s">
        <v>132</v>
      </c>
      <c r="Q24" s="2" t="s">
        <v>132</v>
      </c>
      <c r="R24" s="2" t="s">
        <v>256</v>
      </c>
      <c r="S24" s="2">
        <v>6</v>
      </c>
    </row>
    <row r="25" spans="2:19" x14ac:dyDescent="0.3">
      <c r="B25" s="3" t="s">
        <v>135</v>
      </c>
      <c r="C25" s="4" t="s">
        <v>136</v>
      </c>
      <c r="D25" s="4" t="s">
        <v>136</v>
      </c>
      <c r="E25" s="4" t="s">
        <v>101</v>
      </c>
      <c r="F25" s="4" t="s">
        <v>122</v>
      </c>
      <c r="G25" s="4" t="s">
        <v>135</v>
      </c>
      <c r="H25" s="4" t="s">
        <v>135</v>
      </c>
      <c r="I25" s="4" t="s">
        <v>135</v>
      </c>
      <c r="J25" s="4" t="s">
        <v>135</v>
      </c>
      <c r="K25" s="4" t="s">
        <v>135</v>
      </c>
      <c r="L25" s="4" t="s">
        <v>135</v>
      </c>
      <c r="M25" s="4" t="s">
        <v>135</v>
      </c>
      <c r="N25" s="4" t="s">
        <v>135</v>
      </c>
      <c r="O25" s="4" t="s">
        <v>135</v>
      </c>
      <c r="P25" s="4" t="s">
        <v>135</v>
      </c>
      <c r="Q25" s="4" t="s">
        <v>135</v>
      </c>
      <c r="R25" s="2" t="s">
        <v>256</v>
      </c>
      <c r="S25" s="2">
        <v>6</v>
      </c>
    </row>
    <row r="26" spans="2:19" x14ac:dyDescent="0.3">
      <c r="B26" s="3" t="s">
        <v>139</v>
      </c>
      <c r="C26" s="2" t="s">
        <v>140</v>
      </c>
      <c r="D26" s="2" t="s">
        <v>273</v>
      </c>
      <c r="E26" s="2" t="s">
        <v>101</v>
      </c>
      <c r="F26" s="2" t="s">
        <v>122</v>
      </c>
      <c r="G26" s="2" t="s">
        <v>135</v>
      </c>
      <c r="H26" s="2" t="s">
        <v>139</v>
      </c>
      <c r="I26" s="2" t="s">
        <v>139</v>
      </c>
      <c r="J26" s="2" t="s">
        <v>139</v>
      </c>
      <c r="K26" s="2" t="s">
        <v>139</v>
      </c>
      <c r="L26" s="2" t="s">
        <v>139</v>
      </c>
      <c r="M26" s="2" t="s">
        <v>139</v>
      </c>
      <c r="N26" s="2" t="s">
        <v>139</v>
      </c>
      <c r="O26" s="2" t="s">
        <v>139</v>
      </c>
      <c r="P26" s="2" t="s">
        <v>139</v>
      </c>
      <c r="Q26" s="2" t="s">
        <v>139</v>
      </c>
      <c r="R26" s="2" t="s">
        <v>256</v>
      </c>
      <c r="S26" s="2">
        <v>6</v>
      </c>
    </row>
    <row r="27" spans="2:19" x14ac:dyDescent="0.3">
      <c r="B27" s="3" t="s">
        <v>137</v>
      </c>
      <c r="C27" s="2" t="s">
        <v>138</v>
      </c>
      <c r="D27" s="2" t="s">
        <v>274</v>
      </c>
      <c r="E27" s="2" t="s">
        <v>101</v>
      </c>
      <c r="F27" s="2" t="s">
        <v>122</v>
      </c>
      <c r="G27" s="2" t="s">
        <v>135</v>
      </c>
      <c r="H27" s="2" t="s">
        <v>137</v>
      </c>
      <c r="I27" s="2" t="s">
        <v>137</v>
      </c>
      <c r="J27" s="2" t="s">
        <v>137</v>
      </c>
      <c r="K27" s="2" t="s">
        <v>137</v>
      </c>
      <c r="L27" s="2" t="s">
        <v>137</v>
      </c>
      <c r="M27" s="2" t="s">
        <v>137</v>
      </c>
      <c r="N27" s="2" t="s">
        <v>137</v>
      </c>
      <c r="O27" s="2" t="s">
        <v>137</v>
      </c>
      <c r="P27" s="2" t="s">
        <v>137</v>
      </c>
      <c r="Q27" s="2" t="s">
        <v>137</v>
      </c>
      <c r="R27" s="2" t="s">
        <v>256</v>
      </c>
      <c r="S27" s="2">
        <v>6</v>
      </c>
    </row>
    <row r="28" spans="2:19" x14ac:dyDescent="0.3">
      <c r="B28" s="3" t="s">
        <v>74</v>
      </c>
      <c r="C28" s="2" t="s">
        <v>121</v>
      </c>
      <c r="D28" s="2" t="s">
        <v>275</v>
      </c>
      <c r="E28" s="2" t="s">
        <v>101</v>
      </c>
      <c r="F28" s="2" t="s">
        <v>122</v>
      </c>
      <c r="G28" s="2" t="s">
        <v>74</v>
      </c>
      <c r="H28" s="2" t="s">
        <v>74</v>
      </c>
      <c r="I28" s="2" t="s">
        <v>74</v>
      </c>
      <c r="J28" s="2" t="s">
        <v>74</v>
      </c>
      <c r="K28" s="2" t="s">
        <v>74</v>
      </c>
      <c r="L28" s="2" t="s">
        <v>74</v>
      </c>
      <c r="M28" s="2" t="s">
        <v>74</v>
      </c>
      <c r="N28" s="2" t="s">
        <v>74</v>
      </c>
      <c r="O28" s="2" t="s">
        <v>74</v>
      </c>
      <c r="P28" s="2" t="s">
        <v>74</v>
      </c>
      <c r="Q28" s="2" t="s">
        <v>74</v>
      </c>
      <c r="R28" s="2" t="s">
        <v>256</v>
      </c>
      <c r="S28" s="2">
        <v>6</v>
      </c>
    </row>
    <row r="29" spans="2:19" x14ac:dyDescent="0.3">
      <c r="B29" s="3" t="s">
        <v>141</v>
      </c>
      <c r="C29" s="7" t="s">
        <v>142</v>
      </c>
      <c r="D29" s="7" t="s">
        <v>276</v>
      </c>
      <c r="E29" s="7" t="s">
        <v>101</v>
      </c>
      <c r="F29" s="7" t="s">
        <v>141</v>
      </c>
      <c r="G29" s="7" t="s">
        <v>141</v>
      </c>
      <c r="H29" s="7" t="s">
        <v>141</v>
      </c>
      <c r="I29" s="7" t="s">
        <v>141</v>
      </c>
      <c r="J29" s="7" t="s">
        <v>141</v>
      </c>
      <c r="K29" s="7" t="s">
        <v>141</v>
      </c>
      <c r="L29" s="7" t="s">
        <v>141</v>
      </c>
      <c r="M29" s="7" t="s">
        <v>141</v>
      </c>
      <c r="N29" s="7" t="s">
        <v>141</v>
      </c>
      <c r="O29" s="7" t="s">
        <v>141</v>
      </c>
      <c r="P29" s="7" t="s">
        <v>141</v>
      </c>
      <c r="Q29" s="7" t="s">
        <v>141</v>
      </c>
      <c r="R29" s="2" t="s">
        <v>256</v>
      </c>
      <c r="S29" s="2">
        <v>6</v>
      </c>
    </row>
    <row r="30" spans="2:19" x14ac:dyDescent="0.3">
      <c r="B30" s="3" t="s">
        <v>24</v>
      </c>
      <c r="C30" s="7" t="s">
        <v>149</v>
      </c>
      <c r="D30" s="7" t="s">
        <v>149</v>
      </c>
      <c r="E30" s="7" t="s">
        <v>101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2" t="s">
        <v>256</v>
      </c>
      <c r="S30" s="2">
        <v>6</v>
      </c>
    </row>
    <row r="31" spans="2:19" x14ac:dyDescent="0.3">
      <c r="B31" s="3" t="s">
        <v>143</v>
      </c>
      <c r="C31" s="2" t="s">
        <v>144</v>
      </c>
      <c r="D31" s="2" t="s">
        <v>277</v>
      </c>
      <c r="E31" s="2" t="s">
        <v>101</v>
      </c>
      <c r="F31" s="2" t="s">
        <v>24</v>
      </c>
      <c r="G31" s="2" t="s">
        <v>143</v>
      </c>
      <c r="H31" s="2" t="s">
        <v>143</v>
      </c>
      <c r="I31" s="2" t="s">
        <v>143</v>
      </c>
      <c r="J31" s="2" t="s">
        <v>143</v>
      </c>
      <c r="K31" s="2" t="s">
        <v>143</v>
      </c>
      <c r="L31" s="2" t="s">
        <v>143</v>
      </c>
      <c r="M31" s="2" t="s">
        <v>143</v>
      </c>
      <c r="N31" s="2" t="s">
        <v>143</v>
      </c>
      <c r="O31" s="2" t="s">
        <v>143</v>
      </c>
      <c r="P31" s="2" t="s">
        <v>143</v>
      </c>
      <c r="Q31" s="2" t="s">
        <v>143</v>
      </c>
      <c r="R31" s="2" t="s">
        <v>256</v>
      </c>
      <c r="S31" s="2">
        <v>6</v>
      </c>
    </row>
    <row r="32" spans="2:19" x14ac:dyDescent="0.3">
      <c r="B32" s="3" t="s">
        <v>145</v>
      </c>
      <c r="C32" s="11" t="s">
        <v>146</v>
      </c>
      <c r="D32" s="11" t="s">
        <v>266</v>
      </c>
      <c r="E32" s="11" t="s">
        <v>101</v>
      </c>
      <c r="F32" s="11" t="s">
        <v>143</v>
      </c>
      <c r="G32" s="11" t="s">
        <v>145</v>
      </c>
      <c r="H32" s="11" t="s">
        <v>145</v>
      </c>
      <c r="I32" s="11" t="s">
        <v>145</v>
      </c>
      <c r="J32" s="11" t="s">
        <v>145</v>
      </c>
      <c r="K32" s="11" t="s">
        <v>145</v>
      </c>
      <c r="L32" s="11" t="s">
        <v>145</v>
      </c>
      <c r="M32" s="11" t="s">
        <v>145</v>
      </c>
      <c r="N32" s="11" t="s">
        <v>145</v>
      </c>
      <c r="O32" s="11" t="s">
        <v>145</v>
      </c>
      <c r="P32" s="11" t="s">
        <v>145</v>
      </c>
      <c r="Q32" s="11" t="s">
        <v>145</v>
      </c>
      <c r="R32" s="11" t="s">
        <v>256</v>
      </c>
      <c r="S32" s="2">
        <v>6</v>
      </c>
    </row>
    <row r="33" spans="2:19" x14ac:dyDescent="0.3">
      <c r="B33" s="3" t="s">
        <v>147</v>
      </c>
      <c r="C33" s="11" t="s">
        <v>148</v>
      </c>
      <c r="D33" s="11" t="s">
        <v>267</v>
      </c>
      <c r="E33" s="11" t="s">
        <v>101</v>
      </c>
      <c r="F33" s="11" t="s">
        <v>145</v>
      </c>
      <c r="G33" s="11" t="s">
        <v>147</v>
      </c>
      <c r="H33" s="11" t="s">
        <v>147</v>
      </c>
      <c r="I33" s="11" t="s">
        <v>147</v>
      </c>
      <c r="J33" s="11" t="s">
        <v>147</v>
      </c>
      <c r="K33" s="11" t="s">
        <v>147</v>
      </c>
      <c r="L33" s="11" t="s">
        <v>147</v>
      </c>
      <c r="M33" s="11" t="s">
        <v>147</v>
      </c>
      <c r="N33" s="11" t="s">
        <v>147</v>
      </c>
      <c r="O33" s="11" t="s">
        <v>147</v>
      </c>
      <c r="P33" s="11" t="s">
        <v>147</v>
      </c>
      <c r="Q33" s="11" t="s">
        <v>147</v>
      </c>
      <c r="R33" s="11" t="s">
        <v>256</v>
      </c>
      <c r="S33" s="2">
        <v>6</v>
      </c>
    </row>
    <row r="34" spans="2:19" x14ac:dyDescent="0.3">
      <c r="B34" s="3" t="s">
        <v>151</v>
      </c>
      <c r="C34" s="7" t="s">
        <v>278</v>
      </c>
      <c r="D34" s="7" t="s">
        <v>278</v>
      </c>
      <c r="E34" s="7" t="s">
        <v>101</v>
      </c>
      <c r="F34" s="7" t="s">
        <v>151</v>
      </c>
      <c r="G34" s="7" t="s">
        <v>151</v>
      </c>
      <c r="H34" s="7" t="s">
        <v>151</v>
      </c>
      <c r="I34" s="7" t="s">
        <v>151</v>
      </c>
      <c r="J34" s="7" t="s">
        <v>151</v>
      </c>
      <c r="K34" s="7" t="s">
        <v>151</v>
      </c>
      <c r="L34" s="7" t="s">
        <v>151</v>
      </c>
      <c r="M34" s="7" t="s">
        <v>151</v>
      </c>
      <c r="N34" s="7" t="s">
        <v>151</v>
      </c>
      <c r="O34" s="7" t="s">
        <v>151</v>
      </c>
      <c r="P34" s="7" t="s">
        <v>151</v>
      </c>
      <c r="Q34" s="7" t="s">
        <v>151</v>
      </c>
      <c r="R34" s="2" t="s">
        <v>256</v>
      </c>
      <c r="S34" s="2">
        <v>6</v>
      </c>
    </row>
    <row r="35" spans="2:19" x14ac:dyDescent="0.3">
      <c r="B35" s="3" t="s">
        <v>168</v>
      </c>
      <c r="C35" s="4" t="s">
        <v>169</v>
      </c>
      <c r="D35" s="4" t="s">
        <v>169</v>
      </c>
      <c r="E35" s="4" t="s">
        <v>101</v>
      </c>
      <c r="F35" s="4" t="s">
        <v>151</v>
      </c>
      <c r="G35" s="4" t="s">
        <v>168</v>
      </c>
      <c r="H35" s="4" t="s">
        <v>168</v>
      </c>
      <c r="I35" s="4" t="s">
        <v>168</v>
      </c>
      <c r="J35" s="4" t="s">
        <v>168</v>
      </c>
      <c r="K35" s="4" t="s">
        <v>168</v>
      </c>
      <c r="L35" s="4" t="s">
        <v>168</v>
      </c>
      <c r="M35" s="4" t="s">
        <v>168</v>
      </c>
      <c r="N35" s="4" t="s">
        <v>168</v>
      </c>
      <c r="O35" s="4" t="s">
        <v>168</v>
      </c>
      <c r="P35" s="4" t="s">
        <v>168</v>
      </c>
      <c r="Q35" s="4" t="s">
        <v>168</v>
      </c>
      <c r="R35" s="2" t="s">
        <v>256</v>
      </c>
      <c r="S35" s="2">
        <v>6</v>
      </c>
    </row>
    <row r="36" spans="2:19" x14ac:dyDescent="0.3">
      <c r="B36" s="3" t="s">
        <v>172</v>
      </c>
      <c r="C36" s="2" t="s">
        <v>173</v>
      </c>
      <c r="D36" s="2" t="s">
        <v>173</v>
      </c>
      <c r="E36" s="2" t="s">
        <v>101</v>
      </c>
      <c r="F36" s="2" t="s">
        <v>151</v>
      </c>
      <c r="G36" s="2" t="s">
        <v>168</v>
      </c>
      <c r="H36" s="2" t="s">
        <v>172</v>
      </c>
      <c r="I36" s="2" t="s">
        <v>172</v>
      </c>
      <c r="J36" s="2" t="s">
        <v>172</v>
      </c>
      <c r="K36" s="2" t="s">
        <v>172</v>
      </c>
      <c r="L36" s="2" t="s">
        <v>172</v>
      </c>
      <c r="M36" s="2" t="s">
        <v>172</v>
      </c>
      <c r="N36" s="2" t="s">
        <v>172</v>
      </c>
      <c r="O36" s="2" t="s">
        <v>172</v>
      </c>
      <c r="P36" s="2" t="s">
        <v>172</v>
      </c>
      <c r="Q36" s="2" t="s">
        <v>172</v>
      </c>
      <c r="R36" s="2" t="s">
        <v>256</v>
      </c>
      <c r="S36" s="2">
        <v>6</v>
      </c>
    </row>
    <row r="37" spans="2:19" x14ac:dyDescent="0.3">
      <c r="B37" s="3" t="s">
        <v>170</v>
      </c>
      <c r="C37" s="2" t="s">
        <v>171</v>
      </c>
      <c r="D37" s="2" t="s">
        <v>171</v>
      </c>
      <c r="E37" s="2" t="s">
        <v>101</v>
      </c>
      <c r="F37" s="2" t="s">
        <v>151</v>
      </c>
      <c r="G37" s="2" t="s">
        <v>168</v>
      </c>
      <c r="H37" s="2" t="s">
        <v>170</v>
      </c>
      <c r="I37" s="2" t="s">
        <v>170</v>
      </c>
      <c r="J37" s="2" t="s">
        <v>170</v>
      </c>
      <c r="K37" s="2" t="s">
        <v>170</v>
      </c>
      <c r="L37" s="2" t="s">
        <v>170</v>
      </c>
      <c r="M37" s="2" t="s">
        <v>170</v>
      </c>
      <c r="N37" s="2" t="s">
        <v>170</v>
      </c>
      <c r="O37" s="2" t="s">
        <v>170</v>
      </c>
      <c r="P37" s="2" t="s">
        <v>170</v>
      </c>
      <c r="Q37" s="2" t="s">
        <v>170</v>
      </c>
      <c r="R37" s="2" t="s">
        <v>256</v>
      </c>
      <c r="S37" s="2">
        <v>6</v>
      </c>
    </row>
    <row r="38" spans="2:19" x14ac:dyDescent="0.3">
      <c r="B38" s="3" t="s">
        <v>176</v>
      </c>
      <c r="C38" s="2" t="s">
        <v>177</v>
      </c>
      <c r="D38" s="2" t="s">
        <v>177</v>
      </c>
      <c r="E38" s="2" t="s">
        <v>101</v>
      </c>
      <c r="F38" s="2" t="s">
        <v>151</v>
      </c>
      <c r="G38" s="2" t="s">
        <v>168</v>
      </c>
      <c r="H38" s="2" t="s">
        <v>176</v>
      </c>
      <c r="I38" s="2" t="s">
        <v>176</v>
      </c>
      <c r="J38" s="2" t="s">
        <v>176</v>
      </c>
      <c r="K38" s="2" t="s">
        <v>176</v>
      </c>
      <c r="L38" s="2" t="s">
        <v>176</v>
      </c>
      <c r="M38" s="2" t="s">
        <v>176</v>
      </c>
      <c r="N38" s="2" t="s">
        <v>176</v>
      </c>
      <c r="O38" s="2" t="s">
        <v>176</v>
      </c>
      <c r="P38" s="2" t="s">
        <v>176</v>
      </c>
      <c r="Q38" s="2" t="s">
        <v>176</v>
      </c>
      <c r="R38" s="2" t="s">
        <v>256</v>
      </c>
      <c r="S38" s="2">
        <v>6</v>
      </c>
    </row>
    <row r="39" spans="2:19" x14ac:dyDescent="0.3">
      <c r="B39" s="3" t="s">
        <v>174</v>
      </c>
      <c r="C39" s="2" t="s">
        <v>175</v>
      </c>
      <c r="D39" s="2" t="s">
        <v>175</v>
      </c>
      <c r="E39" s="2" t="s">
        <v>101</v>
      </c>
      <c r="F39" s="2" t="s">
        <v>151</v>
      </c>
      <c r="G39" s="2" t="s">
        <v>168</v>
      </c>
      <c r="H39" s="2" t="s">
        <v>174</v>
      </c>
      <c r="I39" s="2" t="s">
        <v>174</v>
      </c>
      <c r="J39" s="2" t="s">
        <v>174</v>
      </c>
      <c r="K39" s="2" t="s">
        <v>174</v>
      </c>
      <c r="L39" s="2" t="s">
        <v>174</v>
      </c>
      <c r="M39" s="2" t="s">
        <v>174</v>
      </c>
      <c r="N39" s="2" t="s">
        <v>174</v>
      </c>
      <c r="O39" s="2" t="s">
        <v>174</v>
      </c>
      <c r="P39" s="2" t="s">
        <v>174</v>
      </c>
      <c r="Q39" s="2" t="s">
        <v>174</v>
      </c>
      <c r="R39" s="2" t="s">
        <v>256</v>
      </c>
      <c r="S39" s="2">
        <v>6</v>
      </c>
    </row>
    <row r="40" spans="2:19" x14ac:dyDescent="0.3">
      <c r="B40" s="3" t="s">
        <v>178</v>
      </c>
      <c r="C40" s="4" t="s">
        <v>179</v>
      </c>
      <c r="D40" s="4" t="s">
        <v>179</v>
      </c>
      <c r="E40" s="4" t="s">
        <v>101</v>
      </c>
      <c r="F40" s="4" t="s">
        <v>151</v>
      </c>
      <c r="G40" s="4" t="s">
        <v>178</v>
      </c>
      <c r="H40" s="4" t="s">
        <v>178</v>
      </c>
      <c r="I40" s="4" t="s">
        <v>178</v>
      </c>
      <c r="J40" s="4" t="s">
        <v>178</v>
      </c>
      <c r="K40" s="4" t="s">
        <v>178</v>
      </c>
      <c r="L40" s="4" t="s">
        <v>178</v>
      </c>
      <c r="M40" s="4" t="s">
        <v>178</v>
      </c>
      <c r="N40" s="4" t="s">
        <v>178</v>
      </c>
      <c r="O40" s="4" t="s">
        <v>178</v>
      </c>
      <c r="P40" s="4" t="s">
        <v>178</v>
      </c>
      <c r="Q40" s="4" t="s">
        <v>178</v>
      </c>
      <c r="R40" s="11" t="s">
        <v>256</v>
      </c>
      <c r="S40" s="11">
        <v>6</v>
      </c>
    </row>
    <row r="41" spans="2:19" x14ac:dyDescent="0.3">
      <c r="B41" s="3" t="s">
        <v>279</v>
      </c>
      <c r="C41" s="11" t="s">
        <v>280</v>
      </c>
      <c r="D41" s="11" t="s">
        <v>280</v>
      </c>
      <c r="E41" s="11" t="s">
        <v>101</v>
      </c>
      <c r="F41" s="11" t="s">
        <v>151</v>
      </c>
      <c r="G41" s="11" t="s">
        <v>178</v>
      </c>
      <c r="H41" s="11" t="s">
        <v>279</v>
      </c>
      <c r="I41" s="11" t="s">
        <v>279</v>
      </c>
      <c r="J41" s="11" t="s">
        <v>279</v>
      </c>
      <c r="K41" s="11" t="s">
        <v>279</v>
      </c>
      <c r="L41" s="11" t="s">
        <v>279</v>
      </c>
      <c r="M41" s="11" t="s">
        <v>279</v>
      </c>
      <c r="N41" s="11" t="s">
        <v>279</v>
      </c>
      <c r="O41" s="11" t="s">
        <v>279</v>
      </c>
      <c r="P41" s="11" t="s">
        <v>279</v>
      </c>
      <c r="Q41" s="11" t="s">
        <v>279</v>
      </c>
      <c r="R41" s="11" t="s">
        <v>256</v>
      </c>
      <c r="S41" s="11">
        <v>6</v>
      </c>
    </row>
    <row r="42" spans="2:19" x14ac:dyDescent="0.3">
      <c r="B42" s="3" t="s">
        <v>281</v>
      </c>
      <c r="C42" s="2" t="s">
        <v>280</v>
      </c>
      <c r="D42" s="2" t="s">
        <v>280</v>
      </c>
      <c r="E42" s="2" t="s">
        <v>101</v>
      </c>
      <c r="F42" s="2" t="s">
        <v>151</v>
      </c>
      <c r="G42" s="2" t="s">
        <v>178</v>
      </c>
      <c r="H42" s="2" t="s">
        <v>279</v>
      </c>
      <c r="I42" s="2" t="s">
        <v>281</v>
      </c>
      <c r="J42" s="2" t="s">
        <v>281</v>
      </c>
      <c r="K42" s="2" t="s">
        <v>281</v>
      </c>
      <c r="L42" s="2" t="s">
        <v>281</v>
      </c>
      <c r="M42" s="2" t="s">
        <v>281</v>
      </c>
      <c r="N42" s="2" t="s">
        <v>281</v>
      </c>
      <c r="O42" s="2" t="s">
        <v>281</v>
      </c>
      <c r="P42" s="2" t="s">
        <v>281</v>
      </c>
      <c r="Q42" s="2" t="s">
        <v>281</v>
      </c>
      <c r="R42" s="2" t="s">
        <v>256</v>
      </c>
      <c r="S42" s="2">
        <v>6</v>
      </c>
    </row>
    <row r="43" spans="2:19" x14ac:dyDescent="0.3">
      <c r="B43" s="3" t="s">
        <v>282</v>
      </c>
      <c r="C43" s="2" t="s">
        <v>283</v>
      </c>
      <c r="D43" s="2" t="s">
        <v>283</v>
      </c>
      <c r="E43" s="2" t="s">
        <v>101</v>
      </c>
      <c r="F43" s="2" t="s">
        <v>151</v>
      </c>
      <c r="G43" s="2" t="s">
        <v>178</v>
      </c>
      <c r="H43" s="2" t="s">
        <v>279</v>
      </c>
      <c r="I43" s="2" t="s">
        <v>282</v>
      </c>
      <c r="J43" s="2" t="s">
        <v>282</v>
      </c>
      <c r="K43" s="2" t="s">
        <v>282</v>
      </c>
      <c r="L43" s="2" t="s">
        <v>282</v>
      </c>
      <c r="M43" s="2" t="s">
        <v>282</v>
      </c>
      <c r="N43" s="2" t="s">
        <v>282</v>
      </c>
      <c r="O43" s="2" t="s">
        <v>282</v>
      </c>
      <c r="P43" s="2" t="s">
        <v>282</v>
      </c>
      <c r="Q43" s="2" t="s">
        <v>282</v>
      </c>
      <c r="R43" s="2" t="s">
        <v>256</v>
      </c>
      <c r="S43" s="2">
        <v>6</v>
      </c>
    </row>
    <row r="44" spans="2:19" x14ac:dyDescent="0.3">
      <c r="B44" s="3" t="s">
        <v>284</v>
      </c>
      <c r="C44" s="2" t="s">
        <v>285</v>
      </c>
      <c r="D44" s="2" t="s">
        <v>285</v>
      </c>
      <c r="E44" s="2" t="s">
        <v>101</v>
      </c>
      <c r="F44" s="2" t="s">
        <v>151</v>
      </c>
      <c r="G44" s="2" t="s">
        <v>178</v>
      </c>
      <c r="H44" s="2" t="s">
        <v>284</v>
      </c>
      <c r="I44" s="2" t="s">
        <v>284</v>
      </c>
      <c r="J44" s="2" t="s">
        <v>284</v>
      </c>
      <c r="K44" s="2" t="s">
        <v>284</v>
      </c>
      <c r="L44" s="2" t="s">
        <v>284</v>
      </c>
      <c r="M44" s="2" t="s">
        <v>284</v>
      </c>
      <c r="N44" s="2" t="s">
        <v>284</v>
      </c>
      <c r="O44" s="2" t="s">
        <v>284</v>
      </c>
      <c r="P44" s="2" t="s">
        <v>284</v>
      </c>
      <c r="Q44" s="2" t="s">
        <v>284</v>
      </c>
      <c r="R44" s="2" t="s">
        <v>256</v>
      </c>
      <c r="S44" s="2">
        <v>6</v>
      </c>
    </row>
    <row r="45" spans="2:19" x14ac:dyDescent="0.3">
      <c r="B45" s="3" t="s">
        <v>286</v>
      </c>
      <c r="C45" s="2" t="s">
        <v>287</v>
      </c>
      <c r="D45" s="2" t="s">
        <v>287</v>
      </c>
      <c r="E45" s="2" t="s">
        <v>101</v>
      </c>
      <c r="F45" s="2" t="s">
        <v>151</v>
      </c>
      <c r="G45" s="2" t="s">
        <v>178</v>
      </c>
      <c r="H45" s="2" t="s">
        <v>286</v>
      </c>
      <c r="I45" s="2" t="s">
        <v>286</v>
      </c>
      <c r="J45" s="2" t="s">
        <v>286</v>
      </c>
      <c r="K45" s="2" t="s">
        <v>286</v>
      </c>
      <c r="L45" s="2" t="s">
        <v>286</v>
      </c>
      <c r="M45" s="2" t="s">
        <v>286</v>
      </c>
      <c r="N45" s="2" t="s">
        <v>286</v>
      </c>
      <c r="O45" s="2" t="s">
        <v>286</v>
      </c>
      <c r="P45" s="2" t="s">
        <v>286</v>
      </c>
      <c r="Q45" s="2" t="s">
        <v>286</v>
      </c>
      <c r="R45" s="2" t="s">
        <v>256</v>
      </c>
      <c r="S45" s="2">
        <v>6</v>
      </c>
    </row>
    <row r="46" spans="2:19" x14ac:dyDescent="0.3">
      <c r="B46" s="3" t="s">
        <v>180</v>
      </c>
      <c r="C46" s="2" t="s">
        <v>288</v>
      </c>
      <c r="D46" s="2" t="s">
        <v>288</v>
      </c>
      <c r="E46" s="2" t="s">
        <v>101</v>
      </c>
      <c r="F46" s="2" t="s">
        <v>151</v>
      </c>
      <c r="G46" s="2" t="s">
        <v>178</v>
      </c>
      <c r="H46" s="2" t="s">
        <v>180</v>
      </c>
      <c r="I46" s="2" t="s">
        <v>180</v>
      </c>
      <c r="J46" s="2" t="s">
        <v>180</v>
      </c>
      <c r="K46" s="2" t="s">
        <v>180</v>
      </c>
      <c r="L46" s="2" t="s">
        <v>180</v>
      </c>
      <c r="M46" s="2" t="s">
        <v>180</v>
      </c>
      <c r="N46" s="2" t="s">
        <v>180</v>
      </c>
      <c r="O46" s="2" t="s">
        <v>180</v>
      </c>
      <c r="P46" s="2" t="s">
        <v>180</v>
      </c>
      <c r="Q46" s="2" t="s">
        <v>180</v>
      </c>
      <c r="R46" s="2" t="s">
        <v>256</v>
      </c>
      <c r="S46" s="2">
        <v>6</v>
      </c>
    </row>
    <row r="47" spans="2:19" x14ac:dyDescent="0.3">
      <c r="B47" s="3" t="s">
        <v>289</v>
      </c>
      <c r="C47" s="2" t="s">
        <v>290</v>
      </c>
      <c r="D47" s="2" t="s">
        <v>290</v>
      </c>
      <c r="E47" s="2" t="s">
        <v>101</v>
      </c>
      <c r="F47" s="2" t="s">
        <v>151</v>
      </c>
      <c r="G47" s="2" t="s">
        <v>178</v>
      </c>
      <c r="H47" s="2" t="s">
        <v>289</v>
      </c>
      <c r="I47" s="2" t="s">
        <v>289</v>
      </c>
      <c r="J47" s="2" t="s">
        <v>289</v>
      </c>
      <c r="K47" s="2" t="s">
        <v>289</v>
      </c>
      <c r="L47" s="2" t="s">
        <v>289</v>
      </c>
      <c r="M47" s="2" t="s">
        <v>289</v>
      </c>
      <c r="N47" s="2" t="s">
        <v>289</v>
      </c>
      <c r="O47" s="2" t="s">
        <v>289</v>
      </c>
      <c r="P47" s="2" t="s">
        <v>289</v>
      </c>
      <c r="Q47" s="2" t="s">
        <v>289</v>
      </c>
      <c r="R47" s="2" t="s">
        <v>256</v>
      </c>
      <c r="S47" s="2">
        <v>6</v>
      </c>
    </row>
    <row r="48" spans="2:19" x14ac:dyDescent="0.3">
      <c r="B48" s="3" t="s">
        <v>291</v>
      </c>
      <c r="C48" s="2" t="s">
        <v>292</v>
      </c>
      <c r="D48" s="2" t="s">
        <v>292</v>
      </c>
      <c r="E48" s="2" t="s">
        <v>101</v>
      </c>
      <c r="F48" s="2" t="s">
        <v>151</v>
      </c>
      <c r="G48" s="2" t="s">
        <v>178</v>
      </c>
      <c r="H48" s="2" t="s">
        <v>291</v>
      </c>
      <c r="I48" s="2" t="s">
        <v>291</v>
      </c>
      <c r="J48" s="2" t="s">
        <v>291</v>
      </c>
      <c r="K48" s="2" t="s">
        <v>291</v>
      </c>
      <c r="L48" s="2" t="s">
        <v>291</v>
      </c>
      <c r="M48" s="2" t="s">
        <v>291</v>
      </c>
      <c r="N48" s="2" t="s">
        <v>291</v>
      </c>
      <c r="O48" s="2" t="s">
        <v>291</v>
      </c>
      <c r="P48" s="2" t="s">
        <v>291</v>
      </c>
      <c r="Q48" s="2" t="s">
        <v>291</v>
      </c>
      <c r="R48" s="2" t="s">
        <v>256</v>
      </c>
      <c r="S48" s="2">
        <v>6</v>
      </c>
    </row>
    <row r="49" spans="2:19" x14ac:dyDescent="0.3">
      <c r="B49" s="3" t="s">
        <v>79</v>
      </c>
      <c r="C49" s="11" t="s">
        <v>152</v>
      </c>
      <c r="D49" s="11" t="s">
        <v>152</v>
      </c>
      <c r="E49" s="11" t="s">
        <v>101</v>
      </c>
      <c r="F49" s="11" t="s">
        <v>151</v>
      </c>
      <c r="G49" s="11" t="s">
        <v>178</v>
      </c>
      <c r="H49" s="11" t="s">
        <v>79</v>
      </c>
      <c r="I49" s="11" t="s">
        <v>79</v>
      </c>
      <c r="J49" s="11" t="s">
        <v>79</v>
      </c>
      <c r="K49" s="11" t="s">
        <v>79</v>
      </c>
      <c r="L49" s="11" t="s">
        <v>79</v>
      </c>
      <c r="M49" s="11" t="s">
        <v>79</v>
      </c>
      <c r="N49" s="11" t="s">
        <v>79</v>
      </c>
      <c r="O49" s="11" t="s">
        <v>79</v>
      </c>
      <c r="P49" s="11" t="s">
        <v>79</v>
      </c>
      <c r="Q49" s="11" t="s">
        <v>79</v>
      </c>
      <c r="R49" s="11" t="s">
        <v>256</v>
      </c>
      <c r="S49" s="2">
        <v>6</v>
      </c>
    </row>
    <row r="50" spans="2:19" x14ac:dyDescent="0.3">
      <c r="B50" s="3" t="s">
        <v>181</v>
      </c>
      <c r="C50" s="2" t="s">
        <v>182</v>
      </c>
      <c r="D50" s="2" t="s">
        <v>182</v>
      </c>
      <c r="E50" s="2" t="s">
        <v>101</v>
      </c>
      <c r="F50" s="2" t="s">
        <v>151</v>
      </c>
      <c r="G50" s="2" t="s">
        <v>178</v>
      </c>
      <c r="H50" s="2" t="s">
        <v>181</v>
      </c>
      <c r="I50" s="2" t="s">
        <v>181</v>
      </c>
      <c r="J50" s="2" t="s">
        <v>181</v>
      </c>
      <c r="K50" s="2" t="s">
        <v>181</v>
      </c>
      <c r="L50" s="2" t="s">
        <v>181</v>
      </c>
      <c r="M50" s="2" t="s">
        <v>181</v>
      </c>
      <c r="N50" s="2" t="s">
        <v>181</v>
      </c>
      <c r="O50" s="2" t="s">
        <v>181</v>
      </c>
      <c r="P50" s="2" t="s">
        <v>181</v>
      </c>
      <c r="Q50" s="2" t="s">
        <v>181</v>
      </c>
      <c r="R50" s="2" t="s">
        <v>256</v>
      </c>
      <c r="S50" s="2">
        <v>6</v>
      </c>
    </row>
    <row r="51" spans="2:19" x14ac:dyDescent="0.3">
      <c r="B51" s="3" t="s">
        <v>293</v>
      </c>
      <c r="C51" s="2" t="s">
        <v>294</v>
      </c>
      <c r="D51" s="2" t="s">
        <v>294</v>
      </c>
      <c r="E51" s="2" t="s">
        <v>101</v>
      </c>
      <c r="F51" s="2" t="s">
        <v>151</v>
      </c>
      <c r="G51" s="2" t="s">
        <v>178</v>
      </c>
      <c r="H51" s="2" t="s">
        <v>293</v>
      </c>
      <c r="I51" s="2" t="s">
        <v>293</v>
      </c>
      <c r="J51" s="2" t="s">
        <v>293</v>
      </c>
      <c r="K51" s="2" t="s">
        <v>293</v>
      </c>
      <c r="L51" s="2" t="s">
        <v>293</v>
      </c>
      <c r="M51" s="2" t="s">
        <v>293</v>
      </c>
      <c r="N51" s="2" t="s">
        <v>293</v>
      </c>
      <c r="O51" s="2" t="s">
        <v>293</v>
      </c>
      <c r="P51" s="2" t="s">
        <v>293</v>
      </c>
      <c r="Q51" s="2" t="s">
        <v>293</v>
      </c>
      <c r="R51" s="2" t="s">
        <v>256</v>
      </c>
      <c r="S51" s="2">
        <v>6</v>
      </c>
    </row>
    <row r="52" spans="2:19" x14ac:dyDescent="0.3">
      <c r="B52" s="3" t="s">
        <v>160</v>
      </c>
      <c r="C52" s="7" t="s">
        <v>299</v>
      </c>
      <c r="D52" s="7" t="s">
        <v>299</v>
      </c>
      <c r="E52" s="7" t="s">
        <v>101</v>
      </c>
      <c r="F52" s="7" t="s">
        <v>151</v>
      </c>
      <c r="G52" s="7" t="s">
        <v>160</v>
      </c>
      <c r="H52" s="7" t="s">
        <v>160</v>
      </c>
      <c r="I52" s="7" t="s">
        <v>160</v>
      </c>
      <c r="J52" s="7" t="s">
        <v>160</v>
      </c>
      <c r="K52" s="7" t="s">
        <v>160</v>
      </c>
      <c r="L52" s="7" t="s">
        <v>160</v>
      </c>
      <c r="M52" s="7" t="s">
        <v>160</v>
      </c>
      <c r="N52" s="7" t="s">
        <v>160</v>
      </c>
      <c r="O52" s="7" t="s">
        <v>160</v>
      </c>
      <c r="P52" s="7" t="s">
        <v>160</v>
      </c>
      <c r="Q52" s="7" t="s">
        <v>160</v>
      </c>
      <c r="R52" s="2" t="s">
        <v>256</v>
      </c>
      <c r="S52" s="2">
        <v>6</v>
      </c>
    </row>
    <row r="53" spans="2:19" x14ac:dyDescent="0.3">
      <c r="B53" s="3" t="s">
        <v>153</v>
      </c>
      <c r="C53" s="4" t="s">
        <v>295</v>
      </c>
      <c r="D53" s="4" t="s">
        <v>295</v>
      </c>
      <c r="E53" s="4" t="s">
        <v>101</v>
      </c>
      <c r="F53" s="4" t="s">
        <v>151</v>
      </c>
      <c r="G53" s="4" t="s">
        <v>160</v>
      </c>
      <c r="H53" s="4" t="s">
        <v>153</v>
      </c>
      <c r="I53" s="4" t="s">
        <v>153</v>
      </c>
      <c r="J53" s="4" t="s">
        <v>153</v>
      </c>
      <c r="K53" s="4" t="s">
        <v>153</v>
      </c>
      <c r="L53" s="4" t="s">
        <v>153</v>
      </c>
      <c r="M53" s="4" t="s">
        <v>153</v>
      </c>
      <c r="N53" s="4" t="s">
        <v>153</v>
      </c>
      <c r="O53" s="4" t="s">
        <v>153</v>
      </c>
      <c r="P53" s="4" t="s">
        <v>153</v>
      </c>
      <c r="Q53" s="4" t="s">
        <v>153</v>
      </c>
      <c r="R53" s="2" t="s">
        <v>256</v>
      </c>
      <c r="S53" s="2">
        <v>6</v>
      </c>
    </row>
    <row r="54" spans="2:19" x14ac:dyDescent="0.3">
      <c r="B54" s="3" t="s">
        <v>296</v>
      </c>
      <c r="C54" s="2" t="s">
        <v>297</v>
      </c>
      <c r="D54" s="2" t="s">
        <v>297</v>
      </c>
      <c r="E54" s="2" t="s">
        <v>101</v>
      </c>
      <c r="F54" s="2" t="s">
        <v>151</v>
      </c>
      <c r="G54" s="2" t="s">
        <v>160</v>
      </c>
      <c r="H54" s="2" t="s">
        <v>153</v>
      </c>
      <c r="I54" s="2" t="s">
        <v>296</v>
      </c>
      <c r="J54" s="2" t="s">
        <v>296</v>
      </c>
      <c r="K54" s="2" t="s">
        <v>296</v>
      </c>
      <c r="L54" s="2" t="s">
        <v>296</v>
      </c>
      <c r="M54" s="2" t="s">
        <v>296</v>
      </c>
      <c r="N54" s="2" t="s">
        <v>296</v>
      </c>
      <c r="O54" s="2" t="s">
        <v>296</v>
      </c>
      <c r="P54" s="2" t="s">
        <v>296</v>
      </c>
      <c r="Q54" s="2" t="s">
        <v>296</v>
      </c>
      <c r="R54" s="2" t="s">
        <v>256</v>
      </c>
      <c r="S54" s="2">
        <v>6</v>
      </c>
    </row>
    <row r="55" spans="2:19" x14ac:dyDescent="0.3">
      <c r="B55" s="3" t="s">
        <v>154</v>
      </c>
      <c r="C55" s="2" t="s">
        <v>155</v>
      </c>
      <c r="D55" s="2" t="s">
        <v>155</v>
      </c>
      <c r="E55" s="2" t="s">
        <v>101</v>
      </c>
      <c r="F55" s="2" t="s">
        <v>151</v>
      </c>
      <c r="G55" s="2" t="s">
        <v>160</v>
      </c>
      <c r="H55" s="2" t="s">
        <v>153</v>
      </c>
      <c r="I55" s="2" t="s">
        <v>154</v>
      </c>
      <c r="J55" s="2" t="s">
        <v>154</v>
      </c>
      <c r="K55" s="2" t="s">
        <v>154</v>
      </c>
      <c r="L55" s="2" t="s">
        <v>154</v>
      </c>
      <c r="M55" s="2" t="s">
        <v>154</v>
      </c>
      <c r="N55" s="2" t="s">
        <v>154</v>
      </c>
      <c r="O55" s="2" t="s">
        <v>154</v>
      </c>
      <c r="P55" s="2" t="s">
        <v>154</v>
      </c>
      <c r="Q55" s="2" t="s">
        <v>154</v>
      </c>
      <c r="R55" s="2" t="s">
        <v>256</v>
      </c>
      <c r="S55" s="2">
        <v>6</v>
      </c>
    </row>
    <row r="56" spans="2:19" x14ac:dyDescent="0.3">
      <c r="B56" s="3" t="s">
        <v>157</v>
      </c>
      <c r="C56" s="2" t="s">
        <v>298</v>
      </c>
      <c r="D56" s="2" t="s">
        <v>298</v>
      </c>
      <c r="E56" s="2" t="s">
        <v>101</v>
      </c>
      <c r="F56" s="2" t="s">
        <v>151</v>
      </c>
      <c r="G56" s="2" t="s">
        <v>160</v>
      </c>
      <c r="H56" s="2" t="s">
        <v>153</v>
      </c>
      <c r="I56" s="2" t="s">
        <v>157</v>
      </c>
      <c r="J56" s="2" t="s">
        <v>157</v>
      </c>
      <c r="K56" s="2" t="s">
        <v>157</v>
      </c>
      <c r="L56" s="2" t="s">
        <v>157</v>
      </c>
      <c r="M56" s="2" t="s">
        <v>157</v>
      </c>
      <c r="N56" s="2" t="s">
        <v>157</v>
      </c>
      <c r="O56" s="2" t="s">
        <v>157</v>
      </c>
      <c r="P56" s="2" t="s">
        <v>157</v>
      </c>
      <c r="Q56" s="2" t="s">
        <v>157</v>
      </c>
      <c r="R56" s="2" t="s">
        <v>256</v>
      </c>
      <c r="S56" s="2">
        <v>6</v>
      </c>
    </row>
    <row r="57" spans="2:19" x14ac:dyDescent="0.3">
      <c r="B57" s="3" t="s">
        <v>28</v>
      </c>
      <c r="C57" s="4" t="s">
        <v>300</v>
      </c>
      <c r="D57" s="4" t="s">
        <v>300</v>
      </c>
      <c r="E57" s="4" t="s">
        <v>101</v>
      </c>
      <c r="F57" s="4" t="s">
        <v>151</v>
      </c>
      <c r="G57" s="4" t="s">
        <v>160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2" t="s">
        <v>256</v>
      </c>
      <c r="S57" s="2">
        <v>6</v>
      </c>
    </row>
    <row r="58" spans="2:19" x14ac:dyDescent="0.3">
      <c r="B58" s="3" t="s">
        <v>162</v>
      </c>
      <c r="C58" s="11" t="s">
        <v>163</v>
      </c>
      <c r="D58" s="11" t="s">
        <v>163</v>
      </c>
      <c r="E58" s="11" t="s">
        <v>101</v>
      </c>
      <c r="F58" s="11" t="s">
        <v>151</v>
      </c>
      <c r="G58" s="11" t="s">
        <v>160</v>
      </c>
      <c r="H58" s="11" t="s">
        <v>28</v>
      </c>
      <c r="I58" s="11" t="s">
        <v>162</v>
      </c>
      <c r="J58" s="11" t="s">
        <v>162</v>
      </c>
      <c r="K58" s="11" t="s">
        <v>162</v>
      </c>
      <c r="L58" s="11" t="s">
        <v>162</v>
      </c>
      <c r="M58" s="11" t="s">
        <v>162</v>
      </c>
      <c r="N58" s="11" t="s">
        <v>162</v>
      </c>
      <c r="O58" s="11" t="s">
        <v>162</v>
      </c>
      <c r="P58" s="11" t="s">
        <v>162</v>
      </c>
      <c r="Q58" s="11" t="s">
        <v>162</v>
      </c>
      <c r="R58" s="11" t="s">
        <v>256</v>
      </c>
      <c r="S58" s="11">
        <v>6</v>
      </c>
    </row>
    <row r="59" spans="2:19" x14ac:dyDescent="0.3">
      <c r="B59" s="3" t="s">
        <v>305</v>
      </c>
      <c r="C59" s="2" t="s">
        <v>306</v>
      </c>
      <c r="D59" s="2" t="s">
        <v>306</v>
      </c>
      <c r="E59" s="2" t="s">
        <v>101</v>
      </c>
      <c r="F59" s="2" t="s">
        <v>151</v>
      </c>
      <c r="G59" s="2" t="s">
        <v>160</v>
      </c>
      <c r="H59" s="2" t="s">
        <v>28</v>
      </c>
      <c r="I59" s="2" t="s">
        <v>305</v>
      </c>
      <c r="J59" s="2" t="s">
        <v>305</v>
      </c>
      <c r="K59" s="2" t="s">
        <v>305</v>
      </c>
      <c r="L59" s="2" t="s">
        <v>305</v>
      </c>
      <c r="M59" s="2" t="s">
        <v>305</v>
      </c>
      <c r="N59" s="2" t="s">
        <v>305</v>
      </c>
      <c r="O59" s="2" t="s">
        <v>305</v>
      </c>
      <c r="P59" s="2" t="s">
        <v>305</v>
      </c>
      <c r="Q59" s="2" t="s">
        <v>305</v>
      </c>
      <c r="R59" s="2" t="s">
        <v>256</v>
      </c>
      <c r="S59" s="2">
        <v>6</v>
      </c>
    </row>
    <row r="60" spans="2:19" x14ac:dyDescent="0.3">
      <c r="B60" s="3" t="s">
        <v>301</v>
      </c>
      <c r="C60" s="4" t="s">
        <v>302</v>
      </c>
      <c r="D60" s="4" t="s">
        <v>302</v>
      </c>
      <c r="E60" s="4" t="s">
        <v>101</v>
      </c>
      <c r="F60" s="4" t="s">
        <v>151</v>
      </c>
      <c r="G60" s="4" t="s">
        <v>160</v>
      </c>
      <c r="H60" s="4" t="s">
        <v>301</v>
      </c>
      <c r="I60" s="4" t="s">
        <v>301</v>
      </c>
      <c r="J60" s="4" t="s">
        <v>301</v>
      </c>
      <c r="K60" s="4" t="s">
        <v>301</v>
      </c>
      <c r="L60" s="4" t="s">
        <v>301</v>
      </c>
      <c r="M60" s="4" t="s">
        <v>301</v>
      </c>
      <c r="N60" s="4" t="s">
        <v>301</v>
      </c>
      <c r="O60" s="4" t="s">
        <v>301</v>
      </c>
      <c r="P60" s="4" t="s">
        <v>301</v>
      </c>
      <c r="Q60" s="4" t="s">
        <v>301</v>
      </c>
      <c r="R60" s="2" t="s">
        <v>256</v>
      </c>
      <c r="S60" s="2">
        <v>6</v>
      </c>
    </row>
    <row r="61" spans="2:19" x14ac:dyDescent="0.3">
      <c r="B61" s="3" t="s">
        <v>158</v>
      </c>
      <c r="C61" s="2" t="s">
        <v>303</v>
      </c>
      <c r="D61" s="2" t="s">
        <v>303</v>
      </c>
      <c r="E61" s="2" t="s">
        <v>101</v>
      </c>
      <c r="F61" s="2" t="s">
        <v>151</v>
      </c>
      <c r="G61" s="2" t="s">
        <v>160</v>
      </c>
      <c r="H61" s="2" t="s">
        <v>301</v>
      </c>
      <c r="I61" s="2" t="s">
        <v>158</v>
      </c>
      <c r="J61" s="2" t="s">
        <v>158</v>
      </c>
      <c r="K61" s="2" t="s">
        <v>158</v>
      </c>
      <c r="L61" s="2" t="s">
        <v>158</v>
      </c>
      <c r="M61" s="2" t="s">
        <v>158</v>
      </c>
      <c r="N61" s="2" t="s">
        <v>158</v>
      </c>
      <c r="O61" s="2" t="s">
        <v>158</v>
      </c>
      <c r="P61" s="2" t="s">
        <v>158</v>
      </c>
      <c r="Q61" s="2" t="s">
        <v>158</v>
      </c>
      <c r="R61" s="2" t="s">
        <v>256</v>
      </c>
      <c r="S61" s="2">
        <v>6</v>
      </c>
    </row>
    <row r="62" spans="2:19" x14ac:dyDescent="0.3">
      <c r="B62" s="3" t="s">
        <v>156</v>
      </c>
      <c r="C62" s="2" t="s">
        <v>304</v>
      </c>
      <c r="D62" s="2" t="s">
        <v>304</v>
      </c>
      <c r="E62" s="2" t="s">
        <v>101</v>
      </c>
      <c r="F62" s="2" t="s">
        <v>151</v>
      </c>
      <c r="G62" s="2" t="s">
        <v>160</v>
      </c>
      <c r="H62" s="2" t="s">
        <v>301</v>
      </c>
      <c r="I62" s="2" t="s">
        <v>156</v>
      </c>
      <c r="J62" s="2" t="s">
        <v>156</v>
      </c>
      <c r="K62" s="2" t="s">
        <v>156</v>
      </c>
      <c r="L62" s="2" t="s">
        <v>156</v>
      </c>
      <c r="M62" s="2" t="s">
        <v>156</v>
      </c>
      <c r="N62" s="2" t="s">
        <v>156</v>
      </c>
      <c r="O62" s="2" t="s">
        <v>156</v>
      </c>
      <c r="P62" s="2" t="s">
        <v>156</v>
      </c>
      <c r="Q62" s="2" t="s">
        <v>156</v>
      </c>
      <c r="R62" s="2" t="s">
        <v>256</v>
      </c>
      <c r="S62" s="2">
        <v>6</v>
      </c>
    </row>
    <row r="63" spans="2:19" x14ac:dyDescent="0.3">
      <c r="B63" s="3" t="s">
        <v>166</v>
      </c>
      <c r="C63" s="2" t="s">
        <v>167</v>
      </c>
      <c r="D63" s="2" t="s">
        <v>167</v>
      </c>
      <c r="E63" s="2" t="s">
        <v>101</v>
      </c>
      <c r="F63" s="2" t="s">
        <v>151</v>
      </c>
      <c r="G63" s="2" t="s">
        <v>160</v>
      </c>
      <c r="H63" s="2" t="s">
        <v>166</v>
      </c>
      <c r="I63" s="2" t="s">
        <v>166</v>
      </c>
      <c r="J63" s="2" t="s">
        <v>166</v>
      </c>
      <c r="K63" s="2" t="s">
        <v>166</v>
      </c>
      <c r="L63" s="2" t="s">
        <v>166</v>
      </c>
      <c r="M63" s="2" t="s">
        <v>166</v>
      </c>
      <c r="N63" s="2" t="s">
        <v>166</v>
      </c>
      <c r="O63" s="2" t="s">
        <v>166</v>
      </c>
      <c r="P63" s="2" t="s">
        <v>166</v>
      </c>
      <c r="Q63" s="2" t="s">
        <v>166</v>
      </c>
      <c r="R63" s="2" t="s">
        <v>256</v>
      </c>
      <c r="S63" s="2">
        <v>6</v>
      </c>
    </row>
    <row r="64" spans="2:19" x14ac:dyDescent="0.3">
      <c r="B64" s="3" t="s">
        <v>164</v>
      </c>
      <c r="C64" s="2" t="s">
        <v>165</v>
      </c>
      <c r="D64" s="2" t="s">
        <v>165</v>
      </c>
      <c r="E64" s="2" t="s">
        <v>101</v>
      </c>
      <c r="F64" s="2" t="s">
        <v>151</v>
      </c>
      <c r="G64" s="2" t="s">
        <v>160</v>
      </c>
      <c r="H64" s="2" t="s">
        <v>164</v>
      </c>
      <c r="I64" s="2" t="s">
        <v>164</v>
      </c>
      <c r="J64" s="2" t="s">
        <v>164</v>
      </c>
      <c r="K64" s="2" t="s">
        <v>164</v>
      </c>
      <c r="L64" s="2" t="s">
        <v>164</v>
      </c>
      <c r="M64" s="2" t="s">
        <v>164</v>
      </c>
      <c r="N64" s="2" t="s">
        <v>164</v>
      </c>
      <c r="O64" s="2" t="s">
        <v>164</v>
      </c>
      <c r="P64" s="2" t="s">
        <v>164</v>
      </c>
      <c r="Q64" s="2" t="s">
        <v>164</v>
      </c>
      <c r="R64" s="2" t="s">
        <v>256</v>
      </c>
      <c r="S64" s="2">
        <v>6</v>
      </c>
    </row>
    <row r="65" spans="2:19" x14ac:dyDescent="0.3">
      <c r="B65" s="3" t="s">
        <v>159</v>
      </c>
      <c r="C65" s="2" t="s">
        <v>161</v>
      </c>
      <c r="D65" s="2" t="s">
        <v>161</v>
      </c>
      <c r="E65" s="2" t="s">
        <v>101</v>
      </c>
      <c r="F65" s="2" t="s">
        <v>151</v>
      </c>
      <c r="G65" s="2" t="s">
        <v>160</v>
      </c>
      <c r="H65" s="2" t="s">
        <v>159</v>
      </c>
      <c r="I65" s="2" t="s">
        <v>159</v>
      </c>
      <c r="J65" s="2" t="s">
        <v>159</v>
      </c>
      <c r="K65" s="2" t="s">
        <v>159</v>
      </c>
      <c r="L65" s="2" t="s">
        <v>159</v>
      </c>
      <c r="M65" s="2" t="s">
        <v>159</v>
      </c>
      <c r="N65" s="2" t="s">
        <v>159</v>
      </c>
      <c r="O65" s="2" t="s">
        <v>159</v>
      </c>
      <c r="P65" s="2" t="s">
        <v>159</v>
      </c>
      <c r="Q65" s="2" t="s">
        <v>159</v>
      </c>
      <c r="R65" s="2" t="s">
        <v>256</v>
      </c>
      <c r="S65" s="2">
        <v>6</v>
      </c>
    </row>
    <row r="66" spans="2:19" x14ac:dyDescent="0.3">
      <c r="B66" s="3" t="s">
        <v>80</v>
      </c>
      <c r="C66" s="2" t="s">
        <v>150</v>
      </c>
      <c r="D66" s="2" t="s">
        <v>150</v>
      </c>
      <c r="E66" s="2" t="s">
        <v>101</v>
      </c>
      <c r="F66" s="2" t="s">
        <v>151</v>
      </c>
      <c r="G66" s="2" t="s">
        <v>80</v>
      </c>
      <c r="H66" s="2" t="s">
        <v>80</v>
      </c>
      <c r="I66" s="2" t="s">
        <v>80</v>
      </c>
      <c r="J66" s="2" t="s">
        <v>80</v>
      </c>
      <c r="K66" s="2" t="s">
        <v>80</v>
      </c>
      <c r="L66" s="2" t="s">
        <v>80</v>
      </c>
      <c r="M66" s="2" t="s">
        <v>80</v>
      </c>
      <c r="N66" s="2" t="s">
        <v>80</v>
      </c>
      <c r="O66" s="2" t="s">
        <v>80</v>
      </c>
      <c r="P66" s="2" t="s">
        <v>80</v>
      </c>
      <c r="Q66" s="2" t="s">
        <v>80</v>
      </c>
      <c r="R66" s="2" t="s">
        <v>256</v>
      </c>
      <c r="S66" s="2">
        <v>6</v>
      </c>
    </row>
    <row r="67" spans="2:19" x14ac:dyDescent="0.3">
      <c r="B67" s="3" t="s">
        <v>183</v>
      </c>
      <c r="C67" s="2" t="s">
        <v>184</v>
      </c>
      <c r="D67" s="2" t="s">
        <v>184</v>
      </c>
      <c r="E67" s="2" t="s">
        <v>101</v>
      </c>
      <c r="F67" s="2" t="s">
        <v>151</v>
      </c>
      <c r="G67" s="2" t="s">
        <v>183</v>
      </c>
      <c r="H67" s="2" t="s">
        <v>183</v>
      </c>
      <c r="I67" s="2" t="s">
        <v>183</v>
      </c>
      <c r="J67" s="2" t="s">
        <v>183</v>
      </c>
      <c r="K67" s="2" t="s">
        <v>183</v>
      </c>
      <c r="L67" s="2" t="s">
        <v>183</v>
      </c>
      <c r="M67" s="2" t="s">
        <v>183</v>
      </c>
      <c r="N67" s="2" t="s">
        <v>183</v>
      </c>
      <c r="O67" s="2" t="s">
        <v>183</v>
      </c>
      <c r="P67" s="2" t="s">
        <v>183</v>
      </c>
      <c r="Q67" s="2" t="s">
        <v>183</v>
      </c>
      <c r="R67" s="2" t="s">
        <v>256</v>
      </c>
      <c r="S67" s="2">
        <v>6</v>
      </c>
    </row>
    <row r="68" spans="2:19" x14ac:dyDescent="0.3">
      <c r="B68" s="3" t="s">
        <v>81</v>
      </c>
      <c r="C68" s="7" t="s">
        <v>202</v>
      </c>
      <c r="D68" s="7" t="s">
        <v>202</v>
      </c>
      <c r="E68" s="7" t="s">
        <v>101</v>
      </c>
      <c r="F68" s="7" t="s">
        <v>81</v>
      </c>
      <c r="G68" s="7" t="s">
        <v>81</v>
      </c>
      <c r="H68" s="7" t="s">
        <v>81</v>
      </c>
      <c r="I68" s="7" t="s">
        <v>81</v>
      </c>
      <c r="J68" s="7" t="s">
        <v>81</v>
      </c>
      <c r="K68" s="7" t="s">
        <v>81</v>
      </c>
      <c r="L68" s="7" t="s">
        <v>81</v>
      </c>
      <c r="M68" s="7" t="s">
        <v>81</v>
      </c>
      <c r="N68" s="7" t="s">
        <v>81</v>
      </c>
      <c r="O68" s="7" t="s">
        <v>81</v>
      </c>
      <c r="P68" s="7" t="s">
        <v>81</v>
      </c>
      <c r="Q68" s="7" t="s">
        <v>81</v>
      </c>
      <c r="R68" s="11" t="s">
        <v>256</v>
      </c>
      <c r="S68" s="11">
        <v>6</v>
      </c>
    </row>
    <row r="69" spans="2:19" x14ac:dyDescent="0.3">
      <c r="B69" s="3" t="s">
        <v>196</v>
      </c>
      <c r="C69" s="4" t="s">
        <v>201</v>
      </c>
      <c r="D69" s="4" t="s">
        <v>201</v>
      </c>
      <c r="E69" s="4" t="s">
        <v>101</v>
      </c>
      <c r="F69" s="4" t="s">
        <v>81</v>
      </c>
      <c r="G69" s="4" t="s">
        <v>196</v>
      </c>
      <c r="H69" s="4" t="s">
        <v>196</v>
      </c>
      <c r="I69" s="4" t="s">
        <v>196</v>
      </c>
      <c r="J69" s="4" t="s">
        <v>196</v>
      </c>
      <c r="K69" s="4" t="s">
        <v>196</v>
      </c>
      <c r="L69" s="4" t="s">
        <v>196</v>
      </c>
      <c r="M69" s="4" t="s">
        <v>196</v>
      </c>
      <c r="N69" s="4" t="s">
        <v>196</v>
      </c>
      <c r="O69" s="4" t="s">
        <v>196</v>
      </c>
      <c r="P69" s="4" t="s">
        <v>196</v>
      </c>
      <c r="Q69" s="4" t="s">
        <v>196</v>
      </c>
      <c r="R69" s="11" t="s">
        <v>256</v>
      </c>
      <c r="S69" s="11">
        <v>6</v>
      </c>
    </row>
    <row r="70" spans="2:19" x14ac:dyDescent="0.3">
      <c r="B70" s="3" t="s">
        <v>199</v>
      </c>
      <c r="C70" s="2" t="s">
        <v>200</v>
      </c>
      <c r="D70" s="2" t="s">
        <v>313</v>
      </c>
      <c r="E70" s="2" t="s">
        <v>101</v>
      </c>
      <c r="F70" s="2" t="s">
        <v>81</v>
      </c>
      <c r="G70" s="2" t="s">
        <v>196</v>
      </c>
      <c r="H70" s="2" t="s">
        <v>199</v>
      </c>
      <c r="I70" s="2" t="s">
        <v>199</v>
      </c>
      <c r="J70" s="2" t="s">
        <v>199</v>
      </c>
      <c r="K70" s="2" t="s">
        <v>199</v>
      </c>
      <c r="L70" s="2" t="s">
        <v>199</v>
      </c>
      <c r="M70" s="2" t="s">
        <v>199</v>
      </c>
      <c r="N70" s="2" t="s">
        <v>199</v>
      </c>
      <c r="O70" s="2" t="s">
        <v>199</v>
      </c>
      <c r="P70" s="2" t="s">
        <v>199</v>
      </c>
      <c r="Q70" s="2" t="s">
        <v>199</v>
      </c>
      <c r="R70" s="2" t="s">
        <v>256</v>
      </c>
      <c r="S70" s="2">
        <v>6</v>
      </c>
    </row>
    <row r="71" spans="2:19" x14ac:dyDescent="0.3">
      <c r="B71" s="3" t="s">
        <v>197</v>
      </c>
      <c r="C71" s="2" t="s">
        <v>314</v>
      </c>
      <c r="D71" s="2" t="s">
        <v>315</v>
      </c>
      <c r="E71" s="2" t="s">
        <v>101</v>
      </c>
      <c r="F71" s="2" t="s">
        <v>81</v>
      </c>
      <c r="G71" s="2" t="s">
        <v>196</v>
      </c>
      <c r="H71" s="2" t="s">
        <v>197</v>
      </c>
      <c r="I71" s="2" t="s">
        <v>197</v>
      </c>
      <c r="J71" s="2" t="s">
        <v>197</v>
      </c>
      <c r="K71" s="2" t="s">
        <v>197</v>
      </c>
      <c r="L71" s="2" t="s">
        <v>197</v>
      </c>
      <c r="M71" s="2" t="s">
        <v>197</v>
      </c>
      <c r="N71" s="2" t="s">
        <v>197</v>
      </c>
      <c r="O71" s="2" t="s">
        <v>197</v>
      </c>
      <c r="P71" s="2" t="s">
        <v>197</v>
      </c>
      <c r="Q71" s="2" t="s">
        <v>197</v>
      </c>
      <c r="R71" s="2" t="s">
        <v>256</v>
      </c>
      <c r="S71" s="2">
        <v>6</v>
      </c>
    </row>
    <row r="72" spans="2:19" x14ac:dyDescent="0.3">
      <c r="B72" s="3" t="s">
        <v>198</v>
      </c>
      <c r="C72" s="2" t="s">
        <v>316</v>
      </c>
      <c r="D72" s="2" t="s">
        <v>317</v>
      </c>
      <c r="E72" s="2" t="s">
        <v>101</v>
      </c>
      <c r="F72" s="2" t="s">
        <v>81</v>
      </c>
      <c r="G72" s="2" t="s">
        <v>196</v>
      </c>
      <c r="H72" s="2" t="s">
        <v>198</v>
      </c>
      <c r="I72" s="2" t="s">
        <v>198</v>
      </c>
      <c r="J72" s="2" t="s">
        <v>198</v>
      </c>
      <c r="K72" s="2" t="s">
        <v>198</v>
      </c>
      <c r="L72" s="2" t="s">
        <v>198</v>
      </c>
      <c r="M72" s="2" t="s">
        <v>198</v>
      </c>
      <c r="N72" s="2" t="s">
        <v>198</v>
      </c>
      <c r="O72" s="2" t="s">
        <v>198</v>
      </c>
      <c r="P72" s="2" t="s">
        <v>198</v>
      </c>
      <c r="Q72" s="2" t="s">
        <v>198</v>
      </c>
      <c r="R72" s="2" t="s">
        <v>256</v>
      </c>
      <c r="S72" s="2">
        <v>6</v>
      </c>
    </row>
    <row r="73" spans="2:19" x14ac:dyDescent="0.3">
      <c r="B73" s="3" t="s">
        <v>194</v>
      </c>
      <c r="C73" s="11" t="s">
        <v>195</v>
      </c>
      <c r="D73" s="11" t="s">
        <v>318</v>
      </c>
      <c r="E73" s="11" t="s">
        <v>101</v>
      </c>
      <c r="F73" s="11" t="s">
        <v>81</v>
      </c>
      <c r="G73" s="11" t="s">
        <v>196</v>
      </c>
      <c r="H73" s="11" t="s">
        <v>194</v>
      </c>
      <c r="I73" s="11" t="s">
        <v>194</v>
      </c>
      <c r="J73" s="11" t="s">
        <v>194</v>
      </c>
      <c r="K73" s="11" t="s">
        <v>194</v>
      </c>
      <c r="L73" s="11" t="s">
        <v>194</v>
      </c>
      <c r="M73" s="11" t="s">
        <v>194</v>
      </c>
      <c r="N73" s="11" t="s">
        <v>194</v>
      </c>
      <c r="O73" s="11" t="s">
        <v>194</v>
      </c>
      <c r="P73" s="11" t="s">
        <v>194</v>
      </c>
      <c r="Q73" s="11" t="s">
        <v>194</v>
      </c>
      <c r="R73" s="11" t="s">
        <v>256</v>
      </c>
      <c r="S73" s="11">
        <v>6</v>
      </c>
    </row>
    <row r="74" spans="2:19" x14ac:dyDescent="0.3">
      <c r="B74" s="3" t="s">
        <v>187</v>
      </c>
      <c r="C74" s="4" t="s">
        <v>188</v>
      </c>
      <c r="D74" s="4" t="s">
        <v>188</v>
      </c>
      <c r="E74" s="4" t="s">
        <v>101</v>
      </c>
      <c r="F74" s="4" t="s">
        <v>81</v>
      </c>
      <c r="G74" s="4" t="s">
        <v>187</v>
      </c>
      <c r="H74" s="4" t="s">
        <v>187</v>
      </c>
      <c r="I74" s="4" t="s">
        <v>187</v>
      </c>
      <c r="J74" s="4" t="s">
        <v>187</v>
      </c>
      <c r="K74" s="4" t="s">
        <v>187</v>
      </c>
      <c r="L74" s="4" t="s">
        <v>187</v>
      </c>
      <c r="M74" s="4" t="s">
        <v>187</v>
      </c>
      <c r="N74" s="4" t="s">
        <v>187</v>
      </c>
      <c r="O74" s="4" t="s">
        <v>187</v>
      </c>
      <c r="P74" s="4" t="s">
        <v>187</v>
      </c>
      <c r="Q74" s="4" t="s">
        <v>187</v>
      </c>
      <c r="R74" s="2" t="s">
        <v>256</v>
      </c>
      <c r="S74" s="2">
        <v>6</v>
      </c>
    </row>
    <row r="75" spans="2:19" x14ac:dyDescent="0.3">
      <c r="B75" s="3" t="s">
        <v>190</v>
      </c>
      <c r="C75" s="2" t="s">
        <v>193</v>
      </c>
      <c r="D75" s="2" t="s">
        <v>307</v>
      </c>
      <c r="E75" s="2" t="s">
        <v>101</v>
      </c>
      <c r="F75" s="2" t="s">
        <v>81</v>
      </c>
      <c r="G75" s="2" t="s">
        <v>187</v>
      </c>
      <c r="H75" s="2" t="s">
        <v>190</v>
      </c>
      <c r="I75" s="2" t="s">
        <v>190</v>
      </c>
      <c r="J75" s="2" t="s">
        <v>190</v>
      </c>
      <c r="K75" s="2" t="s">
        <v>190</v>
      </c>
      <c r="L75" s="2" t="s">
        <v>190</v>
      </c>
      <c r="M75" s="2" t="s">
        <v>190</v>
      </c>
      <c r="N75" s="2" t="s">
        <v>190</v>
      </c>
      <c r="O75" s="2" t="s">
        <v>190</v>
      </c>
      <c r="P75" s="2" t="s">
        <v>190</v>
      </c>
      <c r="Q75" s="2" t="s">
        <v>190</v>
      </c>
      <c r="R75" s="2" t="s">
        <v>256</v>
      </c>
      <c r="S75" s="2">
        <v>6</v>
      </c>
    </row>
    <row r="76" spans="2:19" x14ac:dyDescent="0.3">
      <c r="B76" s="3" t="s">
        <v>185</v>
      </c>
      <c r="C76" s="2" t="s">
        <v>308</v>
      </c>
      <c r="D76" s="2" t="s">
        <v>309</v>
      </c>
      <c r="E76" s="2" t="s">
        <v>101</v>
      </c>
      <c r="F76" s="2" t="s">
        <v>81</v>
      </c>
      <c r="G76" s="2" t="s">
        <v>187</v>
      </c>
      <c r="H76" s="2" t="s">
        <v>190</v>
      </c>
      <c r="I76" s="2" t="s">
        <v>185</v>
      </c>
      <c r="J76" s="2" t="s">
        <v>185</v>
      </c>
      <c r="K76" s="2" t="s">
        <v>185</v>
      </c>
      <c r="L76" s="2" t="s">
        <v>185</v>
      </c>
      <c r="M76" s="2" t="s">
        <v>185</v>
      </c>
      <c r="N76" s="2" t="s">
        <v>185</v>
      </c>
      <c r="O76" s="2" t="s">
        <v>185</v>
      </c>
      <c r="P76" s="2" t="s">
        <v>185</v>
      </c>
      <c r="Q76" s="2" t="s">
        <v>185</v>
      </c>
      <c r="R76" s="2" t="s">
        <v>256</v>
      </c>
      <c r="S76" s="2">
        <v>6</v>
      </c>
    </row>
    <row r="77" spans="2:19" x14ac:dyDescent="0.3">
      <c r="B77" s="3" t="s">
        <v>189</v>
      </c>
      <c r="C77" s="2" t="s">
        <v>310</v>
      </c>
      <c r="D77" s="2" t="s">
        <v>311</v>
      </c>
      <c r="E77" s="2" t="s">
        <v>101</v>
      </c>
      <c r="F77" s="2" t="s">
        <v>81</v>
      </c>
      <c r="G77" s="2" t="s">
        <v>187</v>
      </c>
      <c r="H77" s="2" t="s">
        <v>190</v>
      </c>
      <c r="I77" s="2" t="s">
        <v>189</v>
      </c>
      <c r="J77" s="2" t="s">
        <v>189</v>
      </c>
      <c r="K77" s="2" t="s">
        <v>189</v>
      </c>
      <c r="L77" s="2" t="s">
        <v>189</v>
      </c>
      <c r="M77" s="2" t="s">
        <v>189</v>
      </c>
      <c r="N77" s="2" t="s">
        <v>189</v>
      </c>
      <c r="O77" s="2" t="s">
        <v>189</v>
      </c>
      <c r="P77" s="2" t="s">
        <v>189</v>
      </c>
      <c r="Q77" s="2" t="s">
        <v>189</v>
      </c>
      <c r="R77" s="2" t="s">
        <v>256</v>
      </c>
      <c r="S77" s="2">
        <v>6</v>
      </c>
    </row>
    <row r="78" spans="2:19" x14ac:dyDescent="0.3">
      <c r="B78" s="3" t="s">
        <v>191</v>
      </c>
      <c r="C78" s="2" t="s">
        <v>192</v>
      </c>
      <c r="D78" s="2" t="s">
        <v>312</v>
      </c>
      <c r="E78" s="2" t="s">
        <v>101</v>
      </c>
      <c r="F78" s="2" t="s">
        <v>81</v>
      </c>
      <c r="G78" s="2" t="s">
        <v>187</v>
      </c>
      <c r="H78" s="2" t="s">
        <v>190</v>
      </c>
      <c r="I78" s="2" t="s">
        <v>191</v>
      </c>
      <c r="J78" s="2" t="s">
        <v>191</v>
      </c>
      <c r="K78" s="2" t="s">
        <v>191</v>
      </c>
      <c r="L78" s="2" t="s">
        <v>191</v>
      </c>
      <c r="M78" s="2" t="s">
        <v>191</v>
      </c>
      <c r="N78" s="2" t="s">
        <v>191</v>
      </c>
      <c r="O78" s="2" t="s">
        <v>191</v>
      </c>
      <c r="P78" s="2" t="s">
        <v>191</v>
      </c>
      <c r="Q78" s="2" t="s">
        <v>191</v>
      </c>
      <c r="R78" s="2" t="s">
        <v>256</v>
      </c>
      <c r="S78" s="2">
        <v>6</v>
      </c>
    </row>
    <row r="79" spans="2:19" x14ac:dyDescent="0.3">
      <c r="B79" s="3" t="s">
        <v>319</v>
      </c>
      <c r="C79" s="11" t="s">
        <v>186</v>
      </c>
      <c r="D79" s="11" t="s">
        <v>320</v>
      </c>
      <c r="E79" s="11" t="s">
        <v>101</v>
      </c>
      <c r="F79" s="11" t="s">
        <v>81</v>
      </c>
      <c r="G79" s="11" t="s">
        <v>187</v>
      </c>
      <c r="H79" s="11" t="s">
        <v>319</v>
      </c>
      <c r="I79" s="11" t="s">
        <v>319</v>
      </c>
      <c r="J79" s="11" t="s">
        <v>319</v>
      </c>
      <c r="K79" s="11" t="s">
        <v>319</v>
      </c>
      <c r="L79" s="11" t="s">
        <v>319</v>
      </c>
      <c r="M79" s="11" t="s">
        <v>319</v>
      </c>
      <c r="N79" s="11" t="s">
        <v>319</v>
      </c>
      <c r="O79" s="11" t="s">
        <v>319</v>
      </c>
      <c r="P79" s="11" t="s">
        <v>319</v>
      </c>
      <c r="Q79" s="11" t="s">
        <v>319</v>
      </c>
      <c r="R79" s="11" t="s">
        <v>256</v>
      </c>
      <c r="S79" s="11">
        <v>6</v>
      </c>
    </row>
    <row r="80" spans="2:19" x14ac:dyDescent="0.3">
      <c r="B80" s="3" t="s">
        <v>205</v>
      </c>
      <c r="C80" s="7" t="s">
        <v>217</v>
      </c>
      <c r="D80" s="7" t="s">
        <v>217</v>
      </c>
      <c r="E80" s="7" t="s">
        <v>101</v>
      </c>
      <c r="F80" s="7" t="s">
        <v>205</v>
      </c>
      <c r="G80" s="7" t="s">
        <v>205</v>
      </c>
      <c r="H80" s="7" t="s">
        <v>205</v>
      </c>
      <c r="I80" s="7" t="s">
        <v>205</v>
      </c>
      <c r="J80" s="7" t="s">
        <v>205</v>
      </c>
      <c r="K80" s="7" t="s">
        <v>205</v>
      </c>
      <c r="L80" s="7" t="s">
        <v>205</v>
      </c>
      <c r="M80" s="7" t="s">
        <v>205</v>
      </c>
      <c r="N80" s="7" t="s">
        <v>205</v>
      </c>
      <c r="O80" s="7" t="s">
        <v>205</v>
      </c>
      <c r="P80" s="7" t="s">
        <v>205</v>
      </c>
      <c r="Q80" s="7" t="s">
        <v>205</v>
      </c>
      <c r="R80" s="11" t="s">
        <v>256</v>
      </c>
      <c r="S80" s="11">
        <v>6</v>
      </c>
    </row>
    <row r="81" spans="2:19" x14ac:dyDescent="0.3">
      <c r="B81" s="3" t="s">
        <v>15</v>
      </c>
      <c r="C81" s="4" t="s">
        <v>208</v>
      </c>
      <c r="D81" s="4" t="s">
        <v>321</v>
      </c>
      <c r="E81" s="4" t="s">
        <v>101</v>
      </c>
      <c r="F81" s="4" t="s">
        <v>205</v>
      </c>
      <c r="G81" s="4" t="s">
        <v>15</v>
      </c>
      <c r="H81" s="4" t="s">
        <v>15</v>
      </c>
      <c r="I81" s="4" t="s">
        <v>15</v>
      </c>
      <c r="J81" s="4" t="s">
        <v>15</v>
      </c>
      <c r="K81" s="4" t="s">
        <v>15</v>
      </c>
      <c r="L81" s="4" t="s">
        <v>15</v>
      </c>
      <c r="M81" s="4" t="s">
        <v>15</v>
      </c>
      <c r="N81" s="4" t="s">
        <v>15</v>
      </c>
      <c r="O81" s="4" t="s">
        <v>15</v>
      </c>
      <c r="P81" s="4" t="s">
        <v>15</v>
      </c>
      <c r="Q81" s="4" t="s">
        <v>15</v>
      </c>
      <c r="R81" s="11" t="s">
        <v>256</v>
      </c>
      <c r="S81" s="11">
        <v>6</v>
      </c>
    </row>
    <row r="82" spans="2:19" x14ac:dyDescent="0.3">
      <c r="B82" s="3" t="s">
        <v>203</v>
      </c>
      <c r="C82" s="11" t="s">
        <v>204</v>
      </c>
      <c r="D82" s="11" t="s">
        <v>204</v>
      </c>
      <c r="E82" s="11" t="s">
        <v>101</v>
      </c>
      <c r="F82" s="11" t="s">
        <v>205</v>
      </c>
      <c r="G82" s="11" t="s">
        <v>15</v>
      </c>
      <c r="H82" s="11" t="s">
        <v>203</v>
      </c>
      <c r="I82" s="11" t="s">
        <v>203</v>
      </c>
      <c r="J82" s="11" t="s">
        <v>203</v>
      </c>
      <c r="K82" s="11" t="s">
        <v>203</v>
      </c>
      <c r="L82" s="11" t="s">
        <v>203</v>
      </c>
      <c r="M82" s="11" t="s">
        <v>203</v>
      </c>
      <c r="N82" s="11" t="s">
        <v>203</v>
      </c>
      <c r="O82" s="11" t="s">
        <v>203</v>
      </c>
      <c r="P82" s="11" t="s">
        <v>203</v>
      </c>
      <c r="Q82" s="11" t="s">
        <v>203</v>
      </c>
      <c r="R82" s="11" t="s">
        <v>256</v>
      </c>
      <c r="S82" s="11">
        <v>6</v>
      </c>
    </row>
    <row r="83" spans="2:19" x14ac:dyDescent="0.3">
      <c r="B83" s="3" t="s">
        <v>206</v>
      </c>
      <c r="C83" s="11" t="s">
        <v>207</v>
      </c>
      <c r="D83" s="11" t="s">
        <v>327</v>
      </c>
      <c r="E83" s="11" t="s">
        <v>101</v>
      </c>
      <c r="F83" s="11" t="s">
        <v>205</v>
      </c>
      <c r="G83" s="11" t="s">
        <v>15</v>
      </c>
      <c r="H83" s="11" t="s">
        <v>206</v>
      </c>
      <c r="I83" s="11" t="s">
        <v>206</v>
      </c>
      <c r="J83" s="11" t="s">
        <v>206</v>
      </c>
      <c r="K83" s="11" t="s">
        <v>206</v>
      </c>
      <c r="L83" s="11" t="s">
        <v>206</v>
      </c>
      <c r="M83" s="11" t="s">
        <v>206</v>
      </c>
      <c r="N83" s="11" t="s">
        <v>206</v>
      </c>
      <c r="O83" s="11" t="s">
        <v>206</v>
      </c>
      <c r="P83" s="11" t="s">
        <v>206</v>
      </c>
      <c r="Q83" s="11" t="s">
        <v>206</v>
      </c>
      <c r="R83" s="11" t="s">
        <v>256</v>
      </c>
      <c r="S83" s="11">
        <v>6</v>
      </c>
    </row>
    <row r="84" spans="2:19" x14ac:dyDescent="0.3">
      <c r="B84" s="3" t="s">
        <v>71</v>
      </c>
      <c r="C84" s="4" t="s">
        <v>216</v>
      </c>
      <c r="D84" s="4" t="s">
        <v>322</v>
      </c>
      <c r="E84" s="4" t="s">
        <v>101</v>
      </c>
      <c r="F84" s="4" t="s">
        <v>205</v>
      </c>
      <c r="G84" s="4" t="s">
        <v>71</v>
      </c>
      <c r="H84" s="4" t="s">
        <v>71</v>
      </c>
      <c r="I84" s="4" t="s">
        <v>71</v>
      </c>
      <c r="J84" s="4" t="s">
        <v>71</v>
      </c>
      <c r="K84" s="4" t="s">
        <v>71</v>
      </c>
      <c r="L84" s="4" t="s">
        <v>71</v>
      </c>
      <c r="M84" s="4" t="s">
        <v>71</v>
      </c>
      <c r="N84" s="4" t="s">
        <v>71</v>
      </c>
      <c r="O84" s="4" t="s">
        <v>71</v>
      </c>
      <c r="P84" s="4" t="s">
        <v>71</v>
      </c>
      <c r="Q84" s="4" t="s">
        <v>71</v>
      </c>
      <c r="R84" s="11" t="s">
        <v>256</v>
      </c>
      <c r="S84" s="11">
        <v>6</v>
      </c>
    </row>
    <row r="85" spans="2:19" x14ac:dyDescent="0.3">
      <c r="B85" s="3" t="s">
        <v>214</v>
      </c>
      <c r="C85" s="11" t="s">
        <v>215</v>
      </c>
      <c r="D85" s="11" t="s">
        <v>326</v>
      </c>
      <c r="E85" s="11" t="s">
        <v>101</v>
      </c>
      <c r="F85" s="11" t="s">
        <v>205</v>
      </c>
      <c r="G85" s="11" t="s">
        <v>71</v>
      </c>
      <c r="H85" s="11" t="s">
        <v>214</v>
      </c>
      <c r="I85" s="11" t="s">
        <v>214</v>
      </c>
      <c r="J85" s="11" t="s">
        <v>214</v>
      </c>
      <c r="K85" s="11" t="s">
        <v>214</v>
      </c>
      <c r="L85" s="11" t="s">
        <v>214</v>
      </c>
      <c r="M85" s="11" t="s">
        <v>214</v>
      </c>
      <c r="N85" s="11" t="s">
        <v>214</v>
      </c>
      <c r="O85" s="11" t="s">
        <v>214</v>
      </c>
      <c r="P85" s="11" t="s">
        <v>214</v>
      </c>
      <c r="Q85" s="11" t="s">
        <v>214</v>
      </c>
      <c r="R85" s="11" t="s">
        <v>256</v>
      </c>
      <c r="S85" s="11">
        <v>6</v>
      </c>
    </row>
    <row r="86" spans="2:19" x14ac:dyDescent="0.3">
      <c r="B86" s="3" t="s">
        <v>68</v>
      </c>
      <c r="C86" s="4" t="s">
        <v>213</v>
      </c>
      <c r="D86" s="4" t="s">
        <v>323</v>
      </c>
      <c r="E86" s="4" t="s">
        <v>101</v>
      </c>
      <c r="F86" s="4" t="s">
        <v>205</v>
      </c>
      <c r="G86" s="4" t="s">
        <v>68</v>
      </c>
      <c r="H86" s="4" t="s">
        <v>68</v>
      </c>
      <c r="I86" s="4" t="s">
        <v>68</v>
      </c>
      <c r="J86" s="4" t="s">
        <v>68</v>
      </c>
      <c r="K86" s="4" t="s">
        <v>68</v>
      </c>
      <c r="L86" s="4" t="s">
        <v>68</v>
      </c>
      <c r="M86" s="4" t="s">
        <v>68</v>
      </c>
      <c r="N86" s="4" t="s">
        <v>68</v>
      </c>
      <c r="O86" s="4" t="s">
        <v>68</v>
      </c>
      <c r="P86" s="4" t="s">
        <v>68</v>
      </c>
      <c r="Q86" s="4" t="s">
        <v>68</v>
      </c>
      <c r="R86" s="11" t="s">
        <v>256</v>
      </c>
      <c r="S86" s="11">
        <v>6</v>
      </c>
    </row>
    <row r="87" spans="2:19" x14ac:dyDescent="0.3">
      <c r="B87" s="3" t="s">
        <v>209</v>
      </c>
      <c r="C87" s="11" t="s">
        <v>210</v>
      </c>
      <c r="D87" s="11" t="s">
        <v>324</v>
      </c>
      <c r="E87" s="11" t="s">
        <v>101</v>
      </c>
      <c r="F87" s="11" t="s">
        <v>205</v>
      </c>
      <c r="G87" s="11" t="s">
        <v>68</v>
      </c>
      <c r="H87" s="11" t="s">
        <v>209</v>
      </c>
      <c r="I87" s="11" t="s">
        <v>209</v>
      </c>
      <c r="J87" s="11" t="s">
        <v>209</v>
      </c>
      <c r="K87" s="11" t="s">
        <v>209</v>
      </c>
      <c r="L87" s="11" t="s">
        <v>209</v>
      </c>
      <c r="M87" s="11" t="s">
        <v>209</v>
      </c>
      <c r="N87" s="11" t="s">
        <v>209</v>
      </c>
      <c r="O87" s="11" t="s">
        <v>209</v>
      </c>
      <c r="P87" s="11" t="s">
        <v>209</v>
      </c>
      <c r="Q87" s="11" t="s">
        <v>209</v>
      </c>
      <c r="R87" s="11" t="s">
        <v>256</v>
      </c>
      <c r="S87" s="11">
        <v>6</v>
      </c>
    </row>
    <row r="88" spans="2:19" x14ac:dyDescent="0.3">
      <c r="B88" s="3" t="s">
        <v>211</v>
      </c>
      <c r="C88" s="11" t="s">
        <v>212</v>
      </c>
      <c r="D88" s="11" t="s">
        <v>325</v>
      </c>
      <c r="E88" s="11" t="s">
        <v>101</v>
      </c>
      <c r="F88" s="11" t="s">
        <v>205</v>
      </c>
      <c r="G88" s="11" t="s">
        <v>68</v>
      </c>
      <c r="H88" s="11" t="s">
        <v>211</v>
      </c>
      <c r="I88" s="11" t="s">
        <v>211</v>
      </c>
      <c r="J88" s="11" t="s">
        <v>211</v>
      </c>
      <c r="K88" s="11" t="s">
        <v>211</v>
      </c>
      <c r="L88" s="11" t="s">
        <v>211</v>
      </c>
      <c r="M88" s="11" t="s">
        <v>211</v>
      </c>
      <c r="N88" s="11" t="s">
        <v>211</v>
      </c>
      <c r="O88" s="11" t="s">
        <v>211</v>
      </c>
      <c r="P88" s="11" t="s">
        <v>211</v>
      </c>
      <c r="Q88" s="11" t="s">
        <v>211</v>
      </c>
      <c r="R88" s="11" t="s">
        <v>256</v>
      </c>
      <c r="S88" s="11">
        <v>6</v>
      </c>
    </row>
    <row r="89" spans="2:19" x14ac:dyDescent="0.3">
      <c r="B89" s="3" t="s">
        <v>328</v>
      </c>
      <c r="C89" s="4" t="s">
        <v>329</v>
      </c>
      <c r="D89" s="4" t="s">
        <v>330</v>
      </c>
      <c r="E89" s="4" t="s">
        <v>101</v>
      </c>
      <c r="F89" s="4" t="s">
        <v>205</v>
      </c>
      <c r="G89" s="4" t="s">
        <v>328</v>
      </c>
      <c r="H89" s="4" t="s">
        <v>328</v>
      </c>
      <c r="I89" s="4" t="s">
        <v>328</v>
      </c>
      <c r="J89" s="4" t="s">
        <v>328</v>
      </c>
      <c r="K89" s="4" t="s">
        <v>328</v>
      </c>
      <c r="L89" s="4" t="s">
        <v>328</v>
      </c>
      <c r="M89" s="4" t="s">
        <v>328</v>
      </c>
      <c r="N89" s="4" t="s">
        <v>328</v>
      </c>
      <c r="O89" s="4" t="s">
        <v>328</v>
      </c>
      <c r="P89" s="4" t="s">
        <v>328</v>
      </c>
      <c r="Q89" s="4" t="s">
        <v>328</v>
      </c>
      <c r="R89" s="11" t="s">
        <v>256</v>
      </c>
      <c r="S89" s="11">
        <v>6</v>
      </c>
    </row>
    <row r="90" spans="2:19" x14ac:dyDescent="0.3">
      <c r="B90" s="3" t="s">
        <v>331</v>
      </c>
      <c r="C90" s="11" t="s">
        <v>332</v>
      </c>
      <c r="D90" s="11" t="s">
        <v>332</v>
      </c>
      <c r="E90" s="11" t="s">
        <v>101</v>
      </c>
      <c r="F90" s="11" t="s">
        <v>205</v>
      </c>
      <c r="G90" s="11" t="s">
        <v>328</v>
      </c>
      <c r="H90" s="11" t="s">
        <v>331</v>
      </c>
      <c r="I90" s="11" t="s">
        <v>331</v>
      </c>
      <c r="J90" s="11" t="s">
        <v>331</v>
      </c>
      <c r="K90" s="11" t="s">
        <v>331</v>
      </c>
      <c r="L90" s="11" t="s">
        <v>331</v>
      </c>
      <c r="M90" s="11" t="s">
        <v>331</v>
      </c>
      <c r="N90" s="11" t="s">
        <v>331</v>
      </c>
      <c r="O90" s="11" t="s">
        <v>331</v>
      </c>
      <c r="P90" s="11" t="s">
        <v>331</v>
      </c>
      <c r="Q90" s="11" t="s">
        <v>331</v>
      </c>
      <c r="R90" s="11" t="s">
        <v>256</v>
      </c>
      <c r="S90" s="11">
        <v>6</v>
      </c>
    </row>
    <row r="91" spans="2:19" x14ac:dyDescent="0.3">
      <c r="B91" s="3" t="s">
        <v>333</v>
      </c>
      <c r="C91" s="11" t="s">
        <v>334</v>
      </c>
      <c r="D91" s="11" t="s">
        <v>334</v>
      </c>
      <c r="E91" s="11" t="s">
        <v>101</v>
      </c>
      <c r="F91" s="11" t="s">
        <v>205</v>
      </c>
      <c r="G91" s="11" t="s">
        <v>328</v>
      </c>
      <c r="H91" s="11" t="s">
        <v>333</v>
      </c>
      <c r="I91" s="11" t="s">
        <v>333</v>
      </c>
      <c r="J91" s="11" t="s">
        <v>333</v>
      </c>
      <c r="K91" s="11" t="s">
        <v>333</v>
      </c>
      <c r="L91" s="11" t="s">
        <v>333</v>
      </c>
      <c r="M91" s="11" t="s">
        <v>333</v>
      </c>
      <c r="N91" s="11" t="s">
        <v>333</v>
      </c>
      <c r="O91" s="11" t="s">
        <v>333</v>
      </c>
      <c r="P91" s="11" t="s">
        <v>333</v>
      </c>
      <c r="Q91" s="11" t="s">
        <v>333</v>
      </c>
      <c r="R91" s="11" t="s">
        <v>256</v>
      </c>
      <c r="S91" s="11">
        <v>6</v>
      </c>
    </row>
  </sheetData>
  <autoFilter ref="A4:T91" xr:uid="{86CE8D88-4A03-4DCB-8112-5D28F362EFE3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5E4E-DC0C-4F7B-87C1-834EA4B43224}">
  <dimension ref="B2:J34"/>
  <sheetViews>
    <sheetView showGridLines="0" workbookViewId="0">
      <selection activeCell="J5" sqref="J5:J34"/>
    </sheetView>
  </sheetViews>
  <sheetFormatPr defaultRowHeight="14.4" x14ac:dyDescent="0.3"/>
  <cols>
    <col min="1" max="1" width="3.77734375" customWidth="1"/>
    <col min="2" max="2" width="14.88671875" bestFit="1" customWidth="1"/>
    <col min="3" max="6" width="11.88671875" bestFit="1" customWidth="1"/>
    <col min="7" max="7" width="11.88671875" customWidth="1"/>
    <col min="8" max="8" width="11.88671875" bestFit="1" customWidth="1"/>
  </cols>
  <sheetData>
    <row r="2" spans="2:10" x14ac:dyDescent="0.3">
      <c r="B2" s="8" t="s">
        <v>335</v>
      </c>
      <c r="C2" s="9"/>
      <c r="D2" s="9"/>
      <c r="E2" s="9"/>
      <c r="F2" s="9"/>
      <c r="G2" s="9"/>
      <c r="H2" s="9"/>
    </row>
    <row r="4" spans="2:10" x14ac:dyDescent="0.3">
      <c r="B4" s="1" t="s">
        <v>253</v>
      </c>
      <c r="C4" s="10" t="s">
        <v>252</v>
      </c>
      <c r="D4" s="10"/>
      <c r="E4" s="10"/>
      <c r="F4" s="10"/>
      <c r="G4" s="10"/>
      <c r="H4" s="10"/>
    </row>
    <row r="5" spans="2:10" x14ac:dyDescent="0.3">
      <c r="B5" s="12" t="s">
        <v>13</v>
      </c>
      <c r="C5" s="3" t="s">
        <v>15</v>
      </c>
      <c r="D5" s="11" t="s">
        <v>203</v>
      </c>
      <c r="E5" s="11" t="s">
        <v>206</v>
      </c>
      <c r="F5" s="11"/>
      <c r="G5" s="11"/>
      <c r="H5" s="11"/>
      <c r="I5" t="str">
        <f>_xlfn.CONCAT("'",C5,"'",",","'",D5,"'",",","'",E5,"'")</f>
        <v>'BP','AN01010100','AN01050000'</v>
      </c>
      <c r="J5" t="str">
        <f>_xlfn.CONCAT("WHEN CKAREA IN (",I5,") THEN ","'",B5,"'")</f>
        <v>WHEN CKAREA IN ('BP','AN01010100','AN01050000') THEN 'BA1'</v>
      </c>
    </row>
    <row r="6" spans="2:10" x14ac:dyDescent="0.3">
      <c r="B6" s="12" t="s">
        <v>17</v>
      </c>
      <c r="C6" s="3" t="s">
        <v>18</v>
      </c>
      <c r="D6" s="11" t="s">
        <v>130</v>
      </c>
      <c r="E6" s="11" t="s">
        <v>132</v>
      </c>
      <c r="F6" s="11"/>
      <c r="G6" s="11"/>
      <c r="H6" s="11"/>
      <c r="I6" t="str">
        <f>_xlfn.CONCAT("'",C6,"'",",","'",D6,"'",",","'",E6,"'")</f>
        <v>'BC1015','AN01010201','AN01010500'</v>
      </c>
      <c r="J6" t="str">
        <f t="shared" ref="J6:J34" si="0">_xlfn.CONCAT("WHEN CKAREA IN (",I6,") THEN ","'",B6,"'")</f>
        <v>WHEN CKAREA IN ('BC1015','AN01010201','AN01010500') THEN 'BA2'</v>
      </c>
    </row>
    <row r="7" spans="2:10" x14ac:dyDescent="0.3">
      <c r="B7" s="12" t="s">
        <v>19</v>
      </c>
      <c r="C7" s="3" t="s">
        <v>137</v>
      </c>
      <c r="D7" s="11"/>
      <c r="E7" s="11"/>
      <c r="F7" s="11"/>
      <c r="G7" s="11"/>
      <c r="H7" s="11"/>
      <c r="I7" t="str">
        <f>_xlfn.CONCAT("'",C7,"'")</f>
        <v>'AN01020210'</v>
      </c>
      <c r="J7" t="str">
        <f t="shared" si="0"/>
        <v>WHEN CKAREA IN ('AN01020210') THEN 'BA3'</v>
      </c>
    </row>
    <row r="8" spans="2:10" x14ac:dyDescent="0.3">
      <c r="B8" s="12" t="s">
        <v>20</v>
      </c>
      <c r="C8" s="3" t="s">
        <v>21</v>
      </c>
      <c r="D8" s="11" t="s">
        <v>128</v>
      </c>
      <c r="E8" s="11" t="s">
        <v>126</v>
      </c>
      <c r="F8" s="11"/>
      <c r="G8" s="11"/>
      <c r="H8" s="11"/>
      <c r="I8" t="str">
        <f>_xlfn.CONCAT("'",C8,"'",",","'",D8,"'",",","'",E8,"'")</f>
        <v>'BC1014','AN01020410','AN01020200'</v>
      </c>
      <c r="J8" t="str">
        <f t="shared" si="0"/>
        <v>WHEN CKAREA IN ('BC1014','AN01020410','AN01020200') THEN 'BA4'</v>
      </c>
    </row>
    <row r="9" spans="2:10" x14ac:dyDescent="0.3">
      <c r="B9" s="12" t="s">
        <v>22</v>
      </c>
      <c r="C9" s="3" t="s">
        <v>139</v>
      </c>
      <c r="D9" s="11"/>
      <c r="E9" s="11"/>
      <c r="F9" s="11"/>
      <c r="G9" s="11"/>
      <c r="H9" s="11"/>
      <c r="I9" t="str">
        <f>_xlfn.CONCAT("'",C9,"'")</f>
        <v>'AN01040220'</v>
      </c>
      <c r="J9" t="str">
        <f t="shared" si="0"/>
        <v>WHEN CKAREA IN ('AN01040220') THEN 'BA5'</v>
      </c>
    </row>
    <row r="10" spans="2:10" x14ac:dyDescent="0.3">
      <c r="B10" s="12" t="s">
        <v>23</v>
      </c>
      <c r="C10" s="3" t="s">
        <v>24</v>
      </c>
      <c r="D10" s="11" t="s">
        <v>143</v>
      </c>
      <c r="E10" s="11" t="s">
        <v>145</v>
      </c>
      <c r="F10" s="11" t="s">
        <v>147</v>
      </c>
      <c r="G10" s="11"/>
      <c r="H10" s="11"/>
      <c r="I10" t="str">
        <f>_xlfn.CONCAT("'",C10,"'",",","'",D10,"'",",","'",E10,"'",",","'",F10,"'")</f>
        <v>'FC','AN06010000','AN06020000','AN06030000'</v>
      </c>
      <c r="J10" t="str">
        <f t="shared" si="0"/>
        <v>WHEN CKAREA IN ('FC','AN06010000','AN06020000','AN06030000') THEN 'BA6'</v>
      </c>
    </row>
    <row r="11" spans="2:10" x14ac:dyDescent="0.3">
      <c r="B11" s="12" t="s">
        <v>25</v>
      </c>
      <c r="C11" s="3" t="s">
        <v>159</v>
      </c>
      <c r="D11" s="11"/>
      <c r="E11" s="11"/>
      <c r="F11" s="11"/>
      <c r="G11" s="11"/>
      <c r="H11" s="11"/>
      <c r="I11" t="str">
        <f>_xlfn.CONCAT("'",C11,"'")</f>
        <v>'AN02050600'</v>
      </c>
      <c r="J11" t="str">
        <f t="shared" si="0"/>
        <v>WHEN CKAREA IN ('AN02050600') THEN 'BA7'</v>
      </c>
    </row>
    <row r="12" spans="2:10" x14ac:dyDescent="0.3">
      <c r="B12" s="12" t="s">
        <v>27</v>
      </c>
      <c r="C12" s="3" t="s">
        <v>28</v>
      </c>
      <c r="D12" s="11" t="s">
        <v>162</v>
      </c>
      <c r="E12" s="11" t="s">
        <v>305</v>
      </c>
      <c r="F12" s="11"/>
      <c r="G12" s="11"/>
      <c r="H12" s="11"/>
      <c r="I12" t="str">
        <f>_xlfn.CONCAT("'",C12,"'",",","'",D12,"'",",","'",E12,"'")</f>
        <v>'GB0510','AN02050500','AN02050900'</v>
      </c>
      <c r="J12" t="str">
        <f t="shared" si="0"/>
        <v>WHEN CKAREA IN ('GB0510','AN02050500','AN02050900') THEN 'BA8'</v>
      </c>
    </row>
    <row r="13" spans="2:10" x14ac:dyDescent="0.3">
      <c r="B13" s="12" t="s">
        <v>30</v>
      </c>
      <c r="C13" s="3" t="s">
        <v>164</v>
      </c>
      <c r="D13" s="11"/>
      <c r="E13" s="11"/>
      <c r="F13" s="11"/>
      <c r="G13" s="11"/>
      <c r="H13" s="11"/>
      <c r="I13" t="str">
        <f t="shared" ref="I13:I34" si="1">_xlfn.CONCAT("'",C13,"'")</f>
        <v>'AN02050800'</v>
      </c>
      <c r="J13" t="str">
        <f t="shared" si="0"/>
        <v>WHEN CKAREA IN ('AN02050800') THEN 'BA9'</v>
      </c>
    </row>
    <row r="14" spans="2:10" x14ac:dyDescent="0.3">
      <c r="B14" s="12" t="s">
        <v>32</v>
      </c>
      <c r="C14" s="3" t="s">
        <v>154</v>
      </c>
      <c r="D14" s="11"/>
      <c r="E14" s="11"/>
      <c r="F14" s="11"/>
      <c r="G14" s="11"/>
      <c r="H14" s="11"/>
      <c r="I14" t="str">
        <f t="shared" si="1"/>
        <v>'AN02030300'</v>
      </c>
      <c r="J14" t="str">
        <f t="shared" si="0"/>
        <v>WHEN CKAREA IN ('AN02030300') THEN 'BA10'</v>
      </c>
    </row>
    <row r="15" spans="2:10" x14ac:dyDescent="0.3">
      <c r="B15" s="12" t="s">
        <v>34</v>
      </c>
      <c r="C15" s="3" t="s">
        <v>158</v>
      </c>
      <c r="D15" s="11"/>
      <c r="E15" s="11"/>
      <c r="F15" s="11"/>
      <c r="G15" s="11"/>
      <c r="H15" s="11"/>
      <c r="I15" t="str">
        <f t="shared" si="1"/>
        <v>'AN02030400'</v>
      </c>
      <c r="J15" t="str">
        <f t="shared" si="0"/>
        <v>WHEN CKAREA IN ('AN02030400') THEN 'BA11'</v>
      </c>
    </row>
    <row r="16" spans="2:10" x14ac:dyDescent="0.3">
      <c r="B16" s="12" t="s">
        <v>36</v>
      </c>
      <c r="C16" s="3" t="s">
        <v>156</v>
      </c>
      <c r="D16" s="11"/>
      <c r="E16" s="11"/>
      <c r="F16" s="11"/>
      <c r="G16" s="11"/>
      <c r="H16" s="11"/>
      <c r="I16" t="str">
        <f t="shared" si="1"/>
        <v>'AN02030200'</v>
      </c>
      <c r="J16" t="str">
        <f t="shared" si="0"/>
        <v>WHEN CKAREA IN ('AN02030200') THEN 'BA12'</v>
      </c>
    </row>
    <row r="17" spans="2:10" x14ac:dyDescent="0.3">
      <c r="B17" s="12" t="s">
        <v>38</v>
      </c>
      <c r="C17" s="3" t="s">
        <v>157</v>
      </c>
      <c r="D17" s="11"/>
      <c r="E17" s="11"/>
      <c r="F17" s="11"/>
      <c r="G17" s="11"/>
      <c r="H17" s="11"/>
      <c r="I17" t="str">
        <f t="shared" si="1"/>
        <v>'AN02010200'</v>
      </c>
      <c r="J17" t="str">
        <f t="shared" si="0"/>
        <v>WHEN CKAREA IN ('AN02010200') THEN 'BA13'</v>
      </c>
    </row>
    <row r="18" spans="2:10" x14ac:dyDescent="0.3">
      <c r="B18" s="12" t="s">
        <v>40</v>
      </c>
      <c r="C18" s="3" t="s">
        <v>166</v>
      </c>
      <c r="D18" s="11"/>
      <c r="E18" s="11"/>
      <c r="F18" s="11"/>
      <c r="G18" s="11"/>
      <c r="H18" s="11"/>
      <c r="I18" t="str">
        <f t="shared" si="1"/>
        <v>'AN02030600'</v>
      </c>
      <c r="J18" t="str">
        <f t="shared" si="0"/>
        <v>WHEN CKAREA IN ('AN02030600') THEN 'BA14'</v>
      </c>
    </row>
    <row r="19" spans="2:10" x14ac:dyDescent="0.3">
      <c r="B19" s="12" t="s">
        <v>42</v>
      </c>
      <c r="C19" s="3" t="s">
        <v>170</v>
      </c>
      <c r="D19" s="11"/>
      <c r="E19" s="11"/>
      <c r="F19" s="11"/>
      <c r="G19" s="11"/>
      <c r="H19" s="11"/>
      <c r="I19" t="str">
        <f t="shared" si="1"/>
        <v>'AN02020100'</v>
      </c>
      <c r="J19" t="str">
        <f t="shared" si="0"/>
        <v>WHEN CKAREA IN ('AN02020100') THEN 'BA15'</v>
      </c>
    </row>
    <row r="20" spans="2:10" x14ac:dyDescent="0.3">
      <c r="B20" s="12" t="s">
        <v>44</v>
      </c>
      <c r="C20" s="3" t="s">
        <v>172</v>
      </c>
      <c r="D20" s="11"/>
      <c r="E20" s="11"/>
      <c r="F20" s="11"/>
      <c r="G20" s="11"/>
      <c r="H20" s="11"/>
      <c r="I20" t="str">
        <f t="shared" si="1"/>
        <v>'AN02020300'</v>
      </c>
      <c r="J20" t="str">
        <f t="shared" si="0"/>
        <v>WHEN CKAREA IN ('AN02020300') THEN 'BA16'</v>
      </c>
    </row>
    <row r="21" spans="2:10" x14ac:dyDescent="0.3">
      <c r="B21" s="12" t="s">
        <v>46</v>
      </c>
      <c r="C21" s="3" t="s">
        <v>174</v>
      </c>
      <c r="D21" s="11"/>
      <c r="E21" s="11"/>
      <c r="F21" s="11"/>
      <c r="G21" s="11"/>
      <c r="H21" s="11"/>
      <c r="I21" t="str">
        <f t="shared" si="1"/>
        <v>'AN02020200'</v>
      </c>
      <c r="J21" t="str">
        <f t="shared" si="0"/>
        <v>WHEN CKAREA IN ('AN02020200') THEN 'BA17'</v>
      </c>
    </row>
    <row r="22" spans="2:10" x14ac:dyDescent="0.3">
      <c r="B22" s="12" t="s">
        <v>48</v>
      </c>
      <c r="C22" s="3" t="s">
        <v>176</v>
      </c>
      <c r="D22" s="11"/>
      <c r="E22" s="11"/>
      <c r="F22" s="11"/>
      <c r="G22" s="11"/>
      <c r="H22" s="11"/>
      <c r="I22" t="str">
        <f t="shared" si="1"/>
        <v>'AN02020400'</v>
      </c>
      <c r="J22" t="str">
        <f t="shared" si="0"/>
        <v>WHEN CKAREA IN ('AN02020400') THEN 'BA18'</v>
      </c>
    </row>
    <row r="23" spans="2:10" x14ac:dyDescent="0.3">
      <c r="B23" s="12" t="s">
        <v>51</v>
      </c>
      <c r="C23" s="3" t="s">
        <v>183</v>
      </c>
      <c r="D23" s="11"/>
      <c r="E23" s="11"/>
      <c r="F23" s="11"/>
      <c r="G23" s="11"/>
      <c r="H23" s="11"/>
      <c r="I23" t="str">
        <f t="shared" si="1"/>
        <v>'AN02030045'</v>
      </c>
      <c r="J23" t="str">
        <f t="shared" si="0"/>
        <v>WHEN CKAREA IN ('AN02030045') THEN 'BA20'</v>
      </c>
    </row>
    <row r="24" spans="2:10" x14ac:dyDescent="0.3">
      <c r="B24" s="12" t="s">
        <v>53</v>
      </c>
      <c r="C24" s="3" t="s">
        <v>54</v>
      </c>
      <c r="D24" s="11" t="s">
        <v>107</v>
      </c>
      <c r="E24" s="11" t="s">
        <v>109</v>
      </c>
      <c r="F24" s="11" t="s">
        <v>103</v>
      </c>
      <c r="G24" s="11" t="s">
        <v>105</v>
      </c>
      <c r="H24" s="11" t="s">
        <v>111</v>
      </c>
      <c r="I24" t="str">
        <f>_xlfn.CONCAT("'",C24,"'",",","'",D24,"'",",","'",E24,"'",",","'",F24,"'",",","'",G24,"'",",","'",H24,"'")</f>
        <v>'AC05','AN04010500','AN04010600','AN04010100','AN04010400','AN04010700'</v>
      </c>
      <c r="J24" t="str">
        <f t="shared" si="0"/>
        <v>WHEN CKAREA IN ('AC05','AN04010500','AN04010600','AN04010100','AN04010400','AN04010700') THEN 'BA21'</v>
      </c>
    </row>
    <row r="25" spans="2:10" x14ac:dyDescent="0.3">
      <c r="B25" s="12" t="s">
        <v>56</v>
      </c>
      <c r="C25" s="3" t="s">
        <v>116</v>
      </c>
      <c r="D25" s="11"/>
      <c r="E25" s="11"/>
      <c r="F25" s="11"/>
      <c r="G25" s="11"/>
      <c r="H25" s="11"/>
      <c r="I25" t="str">
        <f t="shared" si="1"/>
        <v>'AN04030000'</v>
      </c>
      <c r="J25" t="str">
        <f t="shared" si="0"/>
        <v>WHEN CKAREA IN ('AN04030000') THEN 'BA22'</v>
      </c>
    </row>
    <row r="26" spans="2:10" x14ac:dyDescent="0.3">
      <c r="B26" s="12" t="s">
        <v>59</v>
      </c>
      <c r="C26" s="3" t="s">
        <v>291</v>
      </c>
      <c r="D26" s="11"/>
      <c r="E26" s="11"/>
      <c r="F26" s="11"/>
      <c r="G26" s="11"/>
      <c r="H26" s="11"/>
      <c r="I26" t="str">
        <f t="shared" si="1"/>
        <v>'AN02040100'</v>
      </c>
      <c r="J26" t="str">
        <f t="shared" si="0"/>
        <v>WHEN CKAREA IN ('AN02040100') THEN 'BA23'</v>
      </c>
    </row>
    <row r="27" spans="2:10" x14ac:dyDescent="0.3">
      <c r="B27" s="12" t="s">
        <v>61</v>
      </c>
      <c r="C27" s="3" t="s">
        <v>293</v>
      </c>
      <c r="D27" s="11"/>
      <c r="E27" s="11"/>
      <c r="F27" s="11"/>
      <c r="G27" s="11"/>
      <c r="H27" s="11"/>
      <c r="I27" t="str">
        <f t="shared" si="1"/>
        <v>'AN02040200'</v>
      </c>
      <c r="J27" t="str">
        <f t="shared" si="0"/>
        <v>WHEN CKAREA IN ('AN02040200') THEN 'BA24'</v>
      </c>
    </row>
    <row r="28" spans="2:10" x14ac:dyDescent="0.3">
      <c r="B28" s="12" t="s">
        <v>63</v>
      </c>
      <c r="C28" s="3" t="s">
        <v>289</v>
      </c>
      <c r="D28" s="11"/>
      <c r="E28" s="11"/>
      <c r="F28" s="11"/>
      <c r="G28" s="11"/>
      <c r="H28" s="11"/>
      <c r="I28" t="str">
        <f t="shared" si="1"/>
        <v>'AN02040300'</v>
      </c>
      <c r="J28" t="str">
        <f t="shared" si="0"/>
        <v>WHEN CKAREA IN ('AN02040300') THEN 'BA25'</v>
      </c>
    </row>
    <row r="29" spans="2:10" x14ac:dyDescent="0.3">
      <c r="B29" s="12" t="s">
        <v>65</v>
      </c>
      <c r="C29" s="3" t="s">
        <v>284</v>
      </c>
      <c r="D29" s="11"/>
      <c r="E29" s="11"/>
      <c r="F29" s="11"/>
      <c r="G29" s="11"/>
      <c r="H29" s="11"/>
      <c r="I29" t="str">
        <f t="shared" si="1"/>
        <v>'AN02040400'</v>
      </c>
      <c r="J29" t="str">
        <f t="shared" si="0"/>
        <v>WHEN CKAREA IN ('AN02040400') THEN 'BA26'</v>
      </c>
    </row>
    <row r="30" spans="2:10" x14ac:dyDescent="0.3">
      <c r="B30" s="12" t="s">
        <v>67</v>
      </c>
      <c r="C30" s="3" t="s">
        <v>282</v>
      </c>
      <c r="D30" s="11"/>
      <c r="E30" s="11"/>
      <c r="F30" s="11"/>
      <c r="G30" s="11"/>
      <c r="H30" s="11"/>
      <c r="I30" t="str">
        <f t="shared" si="1"/>
        <v>'AN02040600'</v>
      </c>
      <c r="J30" t="str">
        <f t="shared" si="0"/>
        <v>WHEN CKAREA IN ('AN02040600') THEN 'BA27'</v>
      </c>
    </row>
    <row r="31" spans="2:10" x14ac:dyDescent="0.3">
      <c r="B31" s="12" t="s">
        <v>70</v>
      </c>
      <c r="C31" s="3" t="s">
        <v>180</v>
      </c>
      <c r="D31" s="11"/>
      <c r="E31" s="11"/>
      <c r="F31" s="11"/>
      <c r="G31" s="11"/>
      <c r="H31" s="11"/>
      <c r="I31" t="str">
        <f t="shared" si="1"/>
        <v>'AN02050100'</v>
      </c>
      <c r="J31" t="str">
        <f t="shared" si="0"/>
        <v>WHEN CKAREA IN ('AN02050100') THEN 'BA28'</v>
      </c>
    </row>
    <row r="32" spans="2:10" x14ac:dyDescent="0.3">
      <c r="B32" s="12" t="s">
        <v>73</v>
      </c>
      <c r="C32" s="3" t="s">
        <v>286</v>
      </c>
      <c r="D32" s="11"/>
      <c r="E32" s="11"/>
      <c r="F32" s="11"/>
      <c r="G32" s="11"/>
      <c r="H32" s="11"/>
      <c r="I32" t="str">
        <f t="shared" si="1"/>
        <v>'AN02040700'</v>
      </c>
      <c r="J32" t="str">
        <f t="shared" si="0"/>
        <v>WHEN CKAREA IN ('AN02040700') THEN 'BA29'</v>
      </c>
    </row>
    <row r="33" spans="2:10" x14ac:dyDescent="0.3">
      <c r="B33" s="12" t="s">
        <v>76</v>
      </c>
      <c r="C33" s="3" t="s">
        <v>181</v>
      </c>
      <c r="D33" s="11"/>
      <c r="E33" s="11"/>
      <c r="F33" s="11"/>
      <c r="G33" s="11"/>
      <c r="H33" s="11"/>
      <c r="I33" t="str">
        <f t="shared" si="1"/>
        <v>'AN02050400'</v>
      </c>
      <c r="J33" t="str">
        <f t="shared" si="0"/>
        <v>WHEN CKAREA IN ('AN02050400') THEN 'BA30'</v>
      </c>
    </row>
    <row r="34" spans="2:10" x14ac:dyDescent="0.3">
      <c r="B34" s="12" t="s">
        <v>78</v>
      </c>
      <c r="C34" s="3" t="s">
        <v>79</v>
      </c>
      <c r="D34" s="11"/>
      <c r="E34" s="11"/>
      <c r="F34" s="11"/>
      <c r="G34" s="11"/>
      <c r="H34" s="11"/>
      <c r="I34" t="str">
        <f t="shared" si="1"/>
        <v>'AN02030900'</v>
      </c>
      <c r="J34" t="str">
        <f t="shared" si="0"/>
        <v>WHEN CKAREA IN ('AN02030900') THEN 'BA31'</v>
      </c>
    </row>
  </sheetData>
  <mergeCells count="1">
    <mergeCell ref="C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B6F6-B728-4EC5-9618-83F3253F649E}">
  <dimension ref="B2:B42"/>
  <sheetViews>
    <sheetView workbookViewId="0">
      <selection activeCell="H18" sqref="H18"/>
    </sheetView>
  </sheetViews>
  <sheetFormatPr defaultRowHeight="14.4" x14ac:dyDescent="0.3"/>
  <sheetData>
    <row r="2" spans="2:2" x14ac:dyDescent="0.3">
      <c r="B2" t="s">
        <v>218</v>
      </c>
    </row>
    <row r="3" spans="2:2" x14ac:dyDescent="0.3">
      <c r="B3" t="s">
        <v>219</v>
      </c>
    </row>
    <row r="4" spans="2:2" x14ac:dyDescent="0.3">
      <c r="B4" t="s">
        <v>220</v>
      </c>
    </row>
    <row r="5" spans="2:2" x14ac:dyDescent="0.3">
      <c r="B5" t="s">
        <v>221</v>
      </c>
    </row>
    <row r="6" spans="2:2" x14ac:dyDescent="0.3">
      <c r="B6" t="s">
        <v>222</v>
      </c>
    </row>
    <row r="7" spans="2:2" x14ac:dyDescent="0.3">
      <c r="B7" t="s">
        <v>223</v>
      </c>
    </row>
    <row r="8" spans="2:2" x14ac:dyDescent="0.3">
      <c r="B8" t="s">
        <v>224</v>
      </c>
    </row>
    <row r="9" spans="2:2" x14ac:dyDescent="0.3">
      <c r="B9" t="s">
        <v>225</v>
      </c>
    </row>
    <row r="10" spans="2:2" x14ac:dyDescent="0.3">
      <c r="B10" t="s">
        <v>226</v>
      </c>
    </row>
    <row r="11" spans="2:2" x14ac:dyDescent="0.3">
      <c r="B11" t="s">
        <v>227</v>
      </c>
    </row>
    <row r="12" spans="2:2" x14ac:dyDescent="0.3">
      <c r="B12" t="s">
        <v>228</v>
      </c>
    </row>
    <row r="13" spans="2:2" x14ac:dyDescent="0.3">
      <c r="B13" t="s">
        <v>229</v>
      </c>
    </row>
    <row r="14" spans="2:2" x14ac:dyDescent="0.3">
      <c r="B14" t="s">
        <v>230</v>
      </c>
    </row>
    <row r="15" spans="2:2" x14ac:dyDescent="0.3">
      <c r="B15" t="s">
        <v>231</v>
      </c>
    </row>
    <row r="16" spans="2:2" x14ac:dyDescent="0.3">
      <c r="B16" t="s">
        <v>232</v>
      </c>
    </row>
    <row r="17" spans="2:2" x14ac:dyDescent="0.3">
      <c r="B17" t="s">
        <v>233</v>
      </c>
    </row>
    <row r="18" spans="2:2" x14ac:dyDescent="0.3">
      <c r="B18" t="s">
        <v>234</v>
      </c>
    </row>
    <row r="19" spans="2:2" x14ac:dyDescent="0.3">
      <c r="B19" t="s">
        <v>235</v>
      </c>
    </row>
    <row r="20" spans="2:2" x14ac:dyDescent="0.3">
      <c r="B20" t="s">
        <v>236</v>
      </c>
    </row>
    <row r="21" spans="2:2" x14ac:dyDescent="0.3">
      <c r="B21" t="s">
        <v>237</v>
      </c>
    </row>
    <row r="22" spans="2:2" x14ac:dyDescent="0.3">
      <c r="B22" t="s">
        <v>238</v>
      </c>
    </row>
    <row r="23" spans="2:2" x14ac:dyDescent="0.3">
      <c r="B23" t="s">
        <v>239</v>
      </c>
    </row>
    <row r="24" spans="2:2" x14ac:dyDescent="0.3">
      <c r="B24" t="s">
        <v>240</v>
      </c>
    </row>
    <row r="25" spans="2:2" x14ac:dyDescent="0.3">
      <c r="B25" t="s">
        <v>241</v>
      </c>
    </row>
    <row r="26" spans="2:2" x14ac:dyDescent="0.3">
      <c r="B26" t="s">
        <v>242</v>
      </c>
    </row>
    <row r="27" spans="2:2" x14ac:dyDescent="0.3">
      <c r="B27" t="s">
        <v>243</v>
      </c>
    </row>
    <row r="28" spans="2:2" x14ac:dyDescent="0.3">
      <c r="B28" t="s">
        <v>244</v>
      </c>
    </row>
    <row r="29" spans="2:2" x14ac:dyDescent="0.3">
      <c r="B29" t="s">
        <v>245</v>
      </c>
    </row>
    <row r="31" spans="2:2" x14ac:dyDescent="0.3">
      <c r="B31" t="s">
        <v>246</v>
      </c>
    </row>
    <row r="32" spans="2:2" x14ac:dyDescent="0.3">
      <c r="B32" t="s">
        <v>239</v>
      </c>
    </row>
    <row r="33" spans="2:2" x14ac:dyDescent="0.3">
      <c r="B33" t="s">
        <v>240</v>
      </c>
    </row>
    <row r="34" spans="2:2" x14ac:dyDescent="0.3">
      <c r="B34" t="s">
        <v>247</v>
      </c>
    </row>
    <row r="35" spans="2:2" x14ac:dyDescent="0.3">
      <c r="B35" t="s">
        <v>242</v>
      </c>
    </row>
    <row r="36" spans="2:2" x14ac:dyDescent="0.3">
      <c r="B36" t="s">
        <v>243</v>
      </c>
    </row>
    <row r="37" spans="2:2" x14ac:dyDescent="0.3">
      <c r="B37" t="s">
        <v>244</v>
      </c>
    </row>
    <row r="38" spans="2:2" x14ac:dyDescent="0.3">
      <c r="B38" t="s">
        <v>248</v>
      </c>
    </row>
    <row r="40" spans="2:2" x14ac:dyDescent="0.3">
      <c r="B40" t="s">
        <v>249</v>
      </c>
    </row>
    <row r="41" spans="2:2" x14ac:dyDescent="0.3">
      <c r="B41" t="s">
        <v>250</v>
      </c>
    </row>
    <row r="42" spans="2:2" x14ac:dyDescent="0.3">
      <c r="B42" t="s">
        <v>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912519-A5B2-4847-BB42-CF20336A8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DB6E7D-6CAB-488A-8AF7-FF6A11FB79C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1F11EDA-C9E4-4E6B-9B2F-B57530FFD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CT875</vt:lpstr>
      <vt:lpstr>CT010 &amp; CT011</vt:lpstr>
      <vt:lpstr>Mapeamento CKAREA-BA</vt:lpstr>
      <vt:lpstr>Código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cp:lastPrinted>2025-01-14T15:41:27Z</cp:lastPrinted>
  <dcterms:created xsi:type="dcterms:W3CDTF">2024-12-15T09:24:13Z</dcterms:created>
  <dcterms:modified xsi:type="dcterms:W3CDTF">2025-02-20T14:56:53Z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2025-01-14T10:24:12Z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9f0b8468-b7c1-4d0a-8481-13e87b5f2e65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