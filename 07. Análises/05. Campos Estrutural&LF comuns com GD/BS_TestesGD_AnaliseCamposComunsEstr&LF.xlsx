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5. Campos Estrutural&amp;LF comuns com GD/"/>
    </mc:Choice>
  </mc:AlternateContent>
  <xr:revisionPtr revIDLastSave="18" documentId="8_{C5029AC9-F60C-476A-B4A4-48BE7BADE406}" xr6:coauthVersionLast="47" xr6:coauthVersionMax="47" xr10:uidLastSave="{6B8B91A0-DB9C-41FA-BB7F-DC12A011C816}"/>
  <bookViews>
    <workbookView xWindow="-110" yWindow="-110" windowWidth="19420" windowHeight="10420" xr2:uid="{065B3C84-7D8C-414C-BD3E-1E15CF6021F9}"/>
  </bookViews>
  <sheets>
    <sheet name="Geral" sheetId="1" r:id="rId1"/>
    <sheet name="IMPRMNT_STTS" sheetId="2" r:id="rId2"/>
    <sheet name="PRFRMNG_STTS" sheetId="3" r:id="rId3"/>
  </sheets>
  <definedNames>
    <definedName name="_xlnm._FilterDatabase" localSheetId="0" hidden="1">Geral!$B$8:$J$19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<sst xmlns="http://schemas.openxmlformats.org/spreadsheetml/2006/main" count="152" uniqueCount="92">
  <si>
    <t>Âmbito</t>
  </si>
  <si>
    <t>Sub-âmbito</t>
  </si>
  <si>
    <t>Tabela</t>
  </si>
  <si>
    <t>Campo</t>
  </si>
  <si>
    <t>Alteração no Guia Corporativo?</t>
  </si>
  <si>
    <t>Observações</t>
  </si>
  <si>
    <t>GD</t>
  </si>
  <si>
    <t>LF</t>
  </si>
  <si>
    <t>lt002_instrument</t>
  </si>
  <si>
    <t>EAD</t>
  </si>
  <si>
    <t>N</t>
  </si>
  <si>
    <t>TYP_OFF_BLNC_PRDCT</t>
  </si>
  <si>
    <t>DFLT_STTS_INSTRMNT</t>
  </si>
  <si>
    <t>Estrutural</t>
  </si>
  <si>
    <t>IMPRMNT_STTS</t>
  </si>
  <si>
    <t>PRFRMNG_STTS</t>
  </si>
  <si>
    <t>OFF_BLNC_SHT_AMNT_INSTRMNT</t>
  </si>
  <si>
    <t>RWA</t>
  </si>
  <si>
    <t>COD_SOC_INTRGRP</t>
  </si>
  <si>
    <t>1. Concluído</t>
  </si>
  <si>
    <t>LCL_INSTMRNT_ID</t>
  </si>
  <si>
    <t>IDCMB</t>
  </si>
  <si>
    <t>Y</t>
  </si>
  <si>
    <t>lt004_protection</t>
  </si>
  <si>
    <t>PRTCTN_VL</t>
  </si>
  <si>
    <t>Status PM</t>
  </si>
  <si>
    <t>Datas provisórias LF</t>
  </si>
  <si>
    <t>Sprint 3 | 5 maio até 23 junho</t>
  </si>
  <si>
    <t>Sprint 1 | Termina 10 março</t>
  </si>
  <si>
    <t>Sprint 4 | 17 fevereiro até 24 março</t>
  </si>
  <si>
    <t>Especificação</t>
  </si>
  <si>
    <t xml:space="preserve">Em testes - Re-especificação </t>
  </si>
  <si>
    <t>Alterar especificação</t>
  </si>
  <si>
    <t>Em testes - Re-especificação</t>
  </si>
  <si>
    <t>Analisar controlos e completude</t>
  </si>
  <si>
    <t>N/A</t>
  </si>
  <si>
    <t xml:space="preserve">Casuisticas </t>
  </si>
  <si>
    <t>ID</t>
  </si>
  <si>
    <t>Guis Corporação</t>
  </si>
  <si>
    <t>Stage 1</t>
  </si>
  <si>
    <t>Stage 2</t>
  </si>
  <si>
    <t>Stage 3</t>
  </si>
  <si>
    <t xml:space="preserve"> + 90 dias</t>
  </si>
  <si>
    <t xml:space="preserve"> + 30 dias </t>
  </si>
  <si>
    <t>Not in default</t>
  </si>
  <si>
    <t xml:space="preserve">Default unlikely to pay and more than 90/180 days past due </t>
  </si>
  <si>
    <t xml:space="preserve">Default unlikely to pay </t>
  </si>
  <si>
    <t>Default because more than 90/180 days past due</t>
  </si>
  <si>
    <t xml:space="preserve">5 contratos em que IMPRMNT_STTS = 23 e DPD = 31 </t>
  </si>
  <si>
    <t xml:space="preserve">Observações </t>
  </si>
  <si>
    <t xml:space="preserve">1. IMPRMNT_STTS = 23 e contrato sem dias de atraso;
2. DPD = 31 então IMPRMNT_STTS &lt;&gt; 23 </t>
  </si>
  <si>
    <t>1 049 contratos em que: 
  1. IMPRMNT_STTS = 24 e DFLT_STTS_INSTRMNT in (18,19,20);
  2. IMPRMRNT_STTS = 23 e DFLT_STTS_INSTRMTN in (18,19,20)</t>
  </si>
  <si>
    <t xml:space="preserve">5 051 contratos em que IMPRMRNT_STTS = 25 e DFLT_STTS_INSTRMNT = 14 </t>
  </si>
  <si>
    <t>1. IMPRMNT_STTS = 25 então DFLT_STTS_INSTRMNT &lt;&gt; 14;
2. DFLT_STTS_INSTRMNT = 14 então IMPRMNT_STTS = 23</t>
  </si>
  <si>
    <t>Campos comuns com âmbitos Estrutural/ LF que não se encontram ainda concluídos</t>
  </si>
  <si>
    <t>If "Protection called" is set as 'Y' then "Performing status" (instrument level) has to be set as '1 - Non-performing'</t>
  </si>
  <si>
    <t xml:space="preserve">Controlo </t>
  </si>
  <si>
    <t>17 contratos em que PRFRMNG_STTS = 11 e PRTCTN_CLLD = 'Y'</t>
  </si>
  <si>
    <t xml:space="preserve">Campo PRFRMNG_STTS </t>
  </si>
  <si>
    <t>Non-performing</t>
  </si>
  <si>
    <t>Performing</t>
  </si>
  <si>
    <t xml:space="preserve">Contrato entrou em processo de execução </t>
  </si>
  <si>
    <t xml:space="preserve">Caso contráro </t>
  </si>
  <si>
    <t xml:space="preserve">Campo PRTCTN_CLLD </t>
  </si>
  <si>
    <r>
      <t>Campo DPD (days past due)</t>
    </r>
    <r>
      <rPr>
        <b/>
        <u/>
        <vertAlign val="superscript"/>
        <sz val="10"/>
        <color theme="1"/>
        <rFont val="Arial"/>
        <family val="2"/>
      </rPr>
      <t>1</t>
    </r>
  </si>
  <si>
    <r>
      <t>Campo DFLT_STTS_INSTRMNT</t>
    </r>
    <r>
      <rPr>
        <b/>
        <u/>
        <vertAlign val="superscript"/>
        <sz val="10"/>
        <color theme="1"/>
        <rFont val="Arial"/>
        <family val="2"/>
      </rPr>
      <t xml:space="preserve"> 1</t>
    </r>
  </si>
  <si>
    <r>
      <rPr>
        <vertAlign val="super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Campo âmbito LF</t>
    </r>
  </si>
  <si>
    <r>
      <t>Status</t>
    </r>
    <r>
      <rPr>
        <b/>
        <sz val="10"/>
        <color theme="0"/>
        <rFont val="Arial"/>
        <family val="2"/>
      </rPr>
      <t xml:space="preserve"> a 03/fev</t>
    </r>
  </si>
  <si>
    <r>
      <rPr>
        <b/>
        <sz val="10"/>
        <color theme="1"/>
        <rFont val="Arial"/>
        <family val="2"/>
      </rPr>
      <t>31/jan/25 -</t>
    </r>
    <r>
      <rPr>
        <sz val="10"/>
        <color theme="1"/>
        <rFont val="Arial"/>
        <family val="2"/>
      </rPr>
      <t xml:space="preserve"> 30/set/24 não existiam inconsistências na máquina Corporativa</t>
    </r>
  </si>
  <si>
    <r>
      <rPr>
        <b/>
        <sz val="10"/>
        <color theme="1"/>
        <rFont val="Arial"/>
        <family val="2"/>
      </rPr>
      <t>31/jan/25</t>
    </r>
    <r>
      <rPr>
        <sz val="10"/>
        <color theme="1"/>
        <rFont val="Arial"/>
        <family val="2"/>
      </rPr>
      <t xml:space="preserve"> - A 30/set/24 não existiam inconsistências na máquina Corporativa.</t>
    </r>
  </si>
  <si>
    <r>
      <rPr>
        <b/>
        <sz val="10"/>
        <color theme="1"/>
        <rFont val="Arial"/>
        <family val="2"/>
      </rPr>
      <t>31/jan/25</t>
    </r>
    <r>
      <rPr>
        <sz val="10"/>
        <color theme="1"/>
        <rFont val="Arial"/>
        <family val="2"/>
      </rPr>
      <t xml:space="preserve"> - A 30/nov/24 já não existem garantias com valor 0. Assim, o campo encontra-se concluido. </t>
    </r>
  </si>
  <si>
    <t>If "Default status of the instrument" is '18 - Default because both unlikely to pay and more than 90/180 days past due' or '19 - Default because unlikely to pay' or '20 - Default because more than 90/180 days past due', then "Performing status" must equal to '1 - Non Performing'</t>
  </si>
  <si>
    <t xml:space="preserve">Contratos em que DLFT_STTS_INSTRMNT in (18,19,20) e PRFRMNG_STTS = 11 </t>
  </si>
  <si>
    <t>Execução da poteção</t>
  </si>
  <si>
    <t>Validar consoante alteração no campo DFLT_STTS_INSTRMNT</t>
  </si>
  <si>
    <t>If "Performing status" at entity level is set as '1 - Non Performing' then "Performing status" at instrument level should be '1 - Non Performing'</t>
  </si>
  <si>
    <t xml:space="preserve">If "Most recent appraised market value at the time when the instrument was classified as non-performing" is set as 'Not applicable' and the protection is other than "personal guarantee", then the "Performing status" must be '11 - Performing'. (We consider "personal guarantee" when "Protection ID" matches the "Protection Provider ID" (Guarantor) or "Tax ID" (Protection level) is populated other than default value and the "Protection type" equals '7 - Other protection') </t>
  </si>
  <si>
    <t>Casuisticas</t>
  </si>
  <si>
    <t>GF não encontra diferenças a 30/set</t>
  </si>
  <si>
    <t>Erro no campo PRFRMNG_STTS_LE a 30/set</t>
  </si>
  <si>
    <t>Ver sheet "PRFRMNG_STTS"</t>
  </si>
  <si>
    <t xml:space="preserve">Campo dependente de outros campos que não se encontram ainda fechados; Ver sheet "IMPRMNT_STTS" </t>
  </si>
  <si>
    <t>Sprint 2.2 | Final de março até 28 abril</t>
  </si>
  <si>
    <t xml:space="preserve">Campo IMPRMNT_STTS </t>
  </si>
  <si>
    <t>1. IMPRMNT_STTS in (23,24) então dflt_stts = 14;
2. DFLT_STTS_INSTRMNT in (18,19,20) então IMPRMNT_STTS = 25</t>
  </si>
  <si>
    <t xml:space="preserve">Ir ver como se preenche o campo DPD; Questionar LF quando fecham o camp </t>
  </si>
  <si>
    <t>Ir ver como se preenche o campo DFLT_STTS_INSTRMTNS</t>
  </si>
  <si>
    <t>De acordo com a NDD</t>
  </si>
  <si>
    <t>Conceito de acordo com NDD</t>
  </si>
  <si>
    <t xml:space="preserve">Especificar = PM </t>
  </si>
  <si>
    <t>DE</t>
  </si>
  <si>
    <t>Ver com LS. Sabemos que há inconsistencia com estr. Mas como há insidencias, não nos faz sentido ser a equipa CdG a especificar pois é comum com estrutura que é 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</si>
</sst>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u/>
      <sz val="10"/>
      <color theme="1"/>
      <name val="Arial"/>
      <family val="2"/>
    </font>
    <font>
      <b/>
      <u/>
      <vertAlign val="superscript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0" fontId="3" fillId="0" borderId="0" xfId="0" applyFont="1"/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/>
    <xf numFmtId="0" fontId="1" fillId="0" borderId="0" xfId="0" quotePrefix="1" applyFont="1"/>
    <xf numFmtId="0" fontId="1" fillId="0" borderId="2" xfId="0" quotePrefix="1" applyFont="1" applyBorder="1"/>
    <xf numFmtId="0" fontId="6" fillId="0" borderId="3" xfId="0" applyFont="1" applyBorder="1"/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wrapText="1"/>
    </xf>
    <xf numFmtId="0" fontId="1" fillId="4" borderId="1" xfId="0" applyFont="1" applyFill="1" applyBorder="1" applyAlignment="1">
      <alignment vertical="center"/>
    </xf>
    <xf numFmtId="0" fontId="1" fillId="0" borderId="1" xfId="0" quotePrefix="1" applyFont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8"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160111</xdr:colOff>
      <xdr:row>0</xdr:row>
      <xdr:rowOff>64058</xdr:rowOff>
    </xdr:from>
    <xdr:to>
      <xdr:col>2</xdr:col>
      <xdr:colOff>181874</xdr:colOff>
      <xdr:row>2</xdr:row>
      <xdr:rowOff>18336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516122CE-3599-4104-87E5-7F256147B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3286" y="67233"/>
          <a:ext cx="1122127" cy="277674"/>
        </a:xfrm>
        <a:prstGeom prst="rect">
          <a:avLst/>
        </a:prstGeom>
      </xdr:spPr>
    </xdr:pic>
    <xdr:clientData/>
  </xdr:twoCellAnchor>
  <xdr:twoCellAnchor>
    <xdr:from>
      <xdr:col>2</xdr:col>
      <xdr:colOff>465148</xdr:colOff>
      <xdr:row>0</xdr:row>
      <xdr:rowOff>54429</xdr:rowOff>
    </xdr:from>
    <xdr:to>
      <xdr:col>3</xdr:col>
      <xdr:colOff>647570</xdr:colOff>
      <xdr:row>2</xdr:row>
      <xdr:rowOff>117465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7CFA780A-2BD1-400A-94BA-A3BD62F8B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1862" y="54429"/>
          <a:ext cx="953494" cy="4258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127000</xdr:colOff>
      <xdr:row>0</xdr:row>
      <xdr:rowOff>68367</xdr:rowOff>
    </xdr:from>
    <xdr:to>
      <xdr:col>2</xdr:col>
      <xdr:colOff>26752</xdr:colOff>
      <xdr:row>2</xdr:row>
      <xdr:rowOff>28541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7A009B54-545F-4271-8D26-F2D23598B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7000" y="68367"/>
          <a:ext cx="1122127" cy="277674"/>
        </a:xfrm>
        <a:prstGeom prst="rect">
          <a:avLst/>
        </a:prstGeom>
      </xdr:spPr>
    </xdr:pic>
    <xdr:clientData/>
  </xdr:twoCellAnchor>
  <xdr:twoCellAnchor>
    <xdr:from>
      <xdr:col>2</xdr:col>
      <xdr:colOff>313201</xdr:colOff>
      <xdr:row>0</xdr:row>
      <xdr:rowOff>55563</xdr:rowOff>
    </xdr:from>
    <xdr:to>
      <xdr:col>2</xdr:col>
      <xdr:colOff>1266695</xdr:colOff>
      <xdr:row>2</xdr:row>
      <xdr:rowOff>116331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156B0293-998E-4C25-A851-16070EE34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5576" y="55563"/>
          <a:ext cx="953494" cy="4258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0</xdr:row>
      <xdr:rowOff>101704</xdr:rowOff>
    </xdr:from>
    <xdr:to>
      <xdr:col>2</xdr:col>
      <xdr:colOff>455377</xdr:colOff>
      <xdr:row>2</xdr:row>
      <xdr:rowOff>61878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7555BC5E-4764-40C7-A2D0-E56E260C2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101704"/>
          <a:ext cx="1122127" cy="277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C753-4871-4EAC-8E66-9653487FE423}">
  <dimension ref="A4:K19"/>
  <sheetViews>
    <sheetView showGridLines="0" tabSelected="1" topLeftCell="F8" zoomScale="80" zoomScaleNormal="80" workbookViewId="0">
      <selection activeCell="J19" sqref="J19"/>
    </sheetView>
  </sheetViews>
  <sheetFormatPr defaultRowHeight="12.5" x14ac:dyDescent="0.25"/>
  <cols>
    <col min="1" max="1" width="8.7265625" style="2"/>
    <col min="2" max="2" width="7.1796875" style="2" bestFit="1" customWidth="1"/>
    <col min="3" max="3" width="11" style="2" bestFit="1" customWidth="1"/>
    <col min="4" max="4" width="16.08984375" style="2" bestFit="1" customWidth="1"/>
    <col min="5" max="5" width="31.26953125" style="2" bestFit="1" customWidth="1"/>
    <col min="6" max="6" width="14.90625" style="2" bestFit="1" customWidth="1"/>
    <col min="7" max="7" width="30.1796875" style="2" bestFit="1" customWidth="1"/>
    <col min="8" max="8" width="27.81640625" style="2" customWidth="1"/>
    <col min="9" max="9" width="52.08984375" style="2" bestFit="1" customWidth="1"/>
    <col min="10" max="10" width="77.54296875" style="2" customWidth="1"/>
    <col min="11" max="16384" width="8.7265625" style="2"/>
  </cols>
  <sheetData>
    <row r="4" spans="1:11" ht="3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6" spans="1:11" ht="13" x14ac:dyDescent="0.3">
      <c r="B6" s="11" t="s">
        <v>54</v>
      </c>
      <c r="C6" s="11"/>
      <c r="D6" s="11"/>
      <c r="E6" s="11"/>
      <c r="F6" s="11"/>
    </row>
    <row r="8" spans="1:11" ht="13" x14ac:dyDescent="0.25">
      <c r="B8" s="12" t="s">
        <v>0</v>
      </c>
      <c r="C8" s="12" t="s">
        <v>1</v>
      </c>
      <c r="D8" s="12" t="s">
        <v>2</v>
      </c>
      <c r="E8" s="12" t="s">
        <v>3</v>
      </c>
      <c r="F8" s="13" t="s">
        <v>67</v>
      </c>
      <c r="G8" s="12" t="s">
        <v>4</v>
      </c>
      <c r="H8" s="13" t="s">
        <v>25</v>
      </c>
      <c r="I8" s="12" t="s">
        <v>26</v>
      </c>
      <c r="J8" s="12" t="s">
        <v>5</v>
      </c>
      <c r="K8" s="2" t="s">
        <v>90</v>
      </c>
    </row>
    <row r="9" spans="1:11" ht="13" x14ac:dyDescent="0.25">
      <c r="B9" s="14" t="s">
        <v>6</v>
      </c>
      <c r="C9" s="14" t="s">
        <v>7</v>
      </c>
      <c r="D9" s="15" t="s">
        <v>8</v>
      </c>
      <c r="E9" s="15" t="s">
        <v>9</v>
      </c>
      <c r="F9" s="15"/>
      <c r="G9" s="16" t="s">
        <v>10</v>
      </c>
      <c r="H9" s="24" t="s">
        <v>31</v>
      </c>
      <c r="I9" s="17" t="s">
        <v>27</v>
      </c>
      <c r="J9" s="18"/>
    </row>
    <row r="10" spans="1:11" ht="13" x14ac:dyDescent="0.25">
      <c r="B10" s="14" t="s">
        <v>6</v>
      </c>
      <c r="C10" s="14" t="s">
        <v>7</v>
      </c>
      <c r="D10" s="15" t="s">
        <v>8</v>
      </c>
      <c r="E10" s="15" t="s">
        <v>11</v>
      </c>
      <c r="F10" s="15"/>
      <c r="G10" s="16" t="s">
        <v>10</v>
      </c>
      <c r="H10" s="24" t="s">
        <v>30</v>
      </c>
      <c r="I10" s="17" t="s">
        <v>28</v>
      </c>
      <c r="J10" s="18"/>
    </row>
    <row r="11" spans="1:11" ht="13" x14ac:dyDescent="0.25">
      <c r="B11" s="14" t="s">
        <v>6</v>
      </c>
      <c r="C11" s="14" t="s">
        <v>7</v>
      </c>
      <c r="D11" s="15" t="s">
        <v>8</v>
      </c>
      <c r="E11" s="15" t="s">
        <v>12</v>
      </c>
      <c r="F11" s="15"/>
      <c r="G11" s="16" t="s">
        <v>10</v>
      </c>
      <c r="H11" s="24" t="s">
        <v>32</v>
      </c>
      <c r="I11" s="18" t="s">
        <v>82</v>
      </c>
      <c r="J11" s="18" t="s">
        <v>87</v>
      </c>
    </row>
    <row r="12" spans="1:11" ht="25" x14ac:dyDescent="0.25">
      <c r="B12" s="14" t="s">
        <v>6</v>
      </c>
      <c r="C12" s="14" t="s">
        <v>13</v>
      </c>
      <c r="D12" s="15" t="s">
        <v>8</v>
      </c>
      <c r="E12" s="15" t="s">
        <v>14</v>
      </c>
      <c r="F12" s="15"/>
      <c r="G12" s="16" t="s">
        <v>10</v>
      </c>
      <c r="H12" s="24" t="s">
        <v>33</v>
      </c>
      <c r="I12" s="19" t="s">
        <v>35</v>
      </c>
      <c r="J12" s="18" t="s">
        <v>81</v>
      </c>
      <c r="K12" s="2" t="s">
        <v>91</v>
      </c>
    </row>
    <row r="13" spans="1:11" ht="13" x14ac:dyDescent="0.25">
      <c r="B13" s="14" t="s">
        <v>6</v>
      </c>
      <c r="C13" s="14" t="s">
        <v>13</v>
      </c>
      <c r="D13" s="15" t="s">
        <v>8</v>
      </c>
      <c r="E13" s="15" t="s">
        <v>15</v>
      </c>
      <c r="F13" s="15"/>
      <c r="G13" s="16" t="s">
        <v>10</v>
      </c>
      <c r="H13" s="24" t="s">
        <v>33</v>
      </c>
      <c r="I13" s="19" t="s">
        <v>35</v>
      </c>
      <c r="J13" s="18" t="s">
        <v>80</v>
      </c>
    </row>
    <row r="14" spans="1:11" ht="13" x14ac:dyDescent="0.25">
      <c r="B14" s="14" t="s">
        <v>6</v>
      </c>
      <c r="C14" s="14" t="s">
        <v>7</v>
      </c>
      <c r="D14" s="15" t="s">
        <v>8</v>
      </c>
      <c r="E14" s="15" t="s">
        <v>16</v>
      </c>
      <c r="F14" s="15"/>
      <c r="G14" s="16" t="s">
        <v>10</v>
      </c>
      <c r="H14" s="24" t="s">
        <v>34</v>
      </c>
      <c r="I14" s="17" t="s">
        <v>29</v>
      </c>
      <c r="J14" s="18"/>
    </row>
    <row r="15" spans="1:11" ht="13" x14ac:dyDescent="0.25">
      <c r="B15" s="14" t="s">
        <v>6</v>
      </c>
      <c r="C15" s="14" t="s">
        <v>7</v>
      </c>
      <c r="D15" s="15" t="s">
        <v>8</v>
      </c>
      <c r="E15" s="15" t="s">
        <v>17</v>
      </c>
      <c r="F15" s="15"/>
      <c r="G15" s="16" t="s">
        <v>10</v>
      </c>
      <c r="H15" s="24" t="s">
        <v>33</v>
      </c>
      <c r="I15" s="17" t="s">
        <v>27</v>
      </c>
      <c r="J15" s="18"/>
    </row>
    <row r="16" spans="1:11" ht="13" x14ac:dyDescent="0.25">
      <c r="B16" s="14" t="s">
        <v>6</v>
      </c>
      <c r="C16" s="14" t="s">
        <v>13</v>
      </c>
      <c r="D16" s="15" t="s">
        <v>8</v>
      </c>
      <c r="E16" s="15" t="s">
        <v>18</v>
      </c>
      <c r="F16" s="20" t="s">
        <v>19</v>
      </c>
      <c r="G16" s="16" t="s">
        <v>10</v>
      </c>
      <c r="H16" s="24" t="s">
        <v>33</v>
      </c>
      <c r="I16" s="17" t="s">
        <v>35</v>
      </c>
      <c r="J16" s="18" t="s">
        <v>68</v>
      </c>
      <c r="K16" s="2" t="s">
        <v>89</v>
      </c>
    </row>
    <row r="17" spans="2:11" ht="13" x14ac:dyDescent="0.25">
      <c r="B17" s="14" t="s">
        <v>6</v>
      </c>
      <c r="C17" s="14" t="s">
        <v>13</v>
      </c>
      <c r="D17" s="15" t="s">
        <v>8</v>
      </c>
      <c r="E17" s="15" t="s">
        <v>20</v>
      </c>
      <c r="F17" s="20" t="s">
        <v>19</v>
      </c>
      <c r="G17" s="16" t="s">
        <v>10</v>
      </c>
      <c r="H17" s="24" t="s">
        <v>34</v>
      </c>
      <c r="I17" s="17" t="s">
        <v>35</v>
      </c>
      <c r="J17" s="18" t="s">
        <v>69</v>
      </c>
      <c r="K17" s="2" t="s">
        <v>89</v>
      </c>
    </row>
    <row r="18" spans="2:11" ht="13" x14ac:dyDescent="0.25">
      <c r="B18" s="14" t="s">
        <v>6</v>
      </c>
      <c r="C18" s="14" t="s">
        <v>7</v>
      </c>
      <c r="D18" s="15" t="s">
        <v>8</v>
      </c>
      <c r="E18" s="15" t="s">
        <v>21</v>
      </c>
      <c r="F18" s="15"/>
      <c r="G18" s="16" t="s">
        <v>22</v>
      </c>
      <c r="H18" s="24" t="s">
        <v>33</v>
      </c>
      <c r="I18" s="17" t="s">
        <v>27</v>
      </c>
      <c r="J18" s="18"/>
    </row>
    <row r="19" spans="2:11" ht="25.5" x14ac:dyDescent="0.25">
      <c r="B19" s="14" t="s">
        <v>6</v>
      </c>
      <c r="C19" s="14" t="s">
        <v>13</v>
      </c>
      <c r="D19" s="15" t="s">
        <v>23</v>
      </c>
      <c r="E19" s="15" t="s">
        <v>24</v>
      </c>
      <c r="F19" s="20" t="s">
        <v>19</v>
      </c>
      <c r="G19" s="16" t="s">
        <v>10</v>
      </c>
      <c r="H19" s="24" t="s">
        <v>33</v>
      </c>
      <c r="I19" s="21" t="s">
        <v>35</v>
      </c>
      <c r="J19" s="18" t="s">
        <v>70</v>
      </c>
      <c r="K19" s="2" t="s">
        <v>89</v>
      </c>
    </row>
  </sheetData>
  <autoFilter ref="B8:J19" xr:uid="{C31FC753-4871-4EAC-8E66-9653487FE423}"/>
  <conditionalFormatting sqref="F9:F19">
    <cfRule type="cellIs" dxfId="2" priority="8" operator="equal">
      <formula>#REF!</formula>
    </cfRule>
  </conditionalFormatting>
  <conditionalFormatting sqref="G9:H19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9F03DE80-45BC-45BE-93CA-725F8DBC05DC}">
            <xm:f>NOT(ISERROR(SEARCH(#REF!,F9)))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4" operator="containsText" id="{0806D664-76EB-497A-B53B-FA94B9768956}">
            <xm:f>NOT(ISERROR(SEARCH(#REF!,F9)))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5" operator="containsText" id="{C828E271-3475-4DCF-9758-C65E57979669}">
            <xm:f>NOT(ISERROR(SEARCH(#REF!,F9)))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6" operator="containsText" id="{180CD7EF-ACF0-496B-9721-FBB57A38BFA7}">
            <xm:f>NOT(ISERROR(SEARCH(#REF!,F9)))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7" operator="containsText" id="{ED18A9CA-F750-4BD5-8273-7079CA419666}">
            <xm:f>NOT(ISERROR(SEARCH(#REF!,F9)))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F9:F19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4CDE-C912-408E-845D-BD0EB28C6F39}">
  <dimension ref="A4:I34"/>
  <sheetViews>
    <sheetView showGridLines="0" zoomScaleNormal="100" workbookViewId="0">
      <selection activeCell="C8" sqref="C8"/>
    </sheetView>
  </sheetViews>
  <sheetFormatPr defaultRowHeight="12.5" x14ac:dyDescent="0.25"/>
  <cols>
    <col min="1" max="2" width="8.7265625" style="2"/>
    <col min="3" max="3" width="51.26953125" style="2" customWidth="1"/>
    <col min="4" max="4" width="54.54296875" style="2" bestFit="1" customWidth="1"/>
    <col min="5" max="16384" width="8.7265625" style="2"/>
  </cols>
  <sheetData>
    <row r="4" spans="1:9" ht="3" customHeight="1" x14ac:dyDescent="0.25">
      <c r="A4" s="1"/>
      <c r="B4" s="1"/>
      <c r="C4" s="1"/>
      <c r="D4" s="1"/>
      <c r="E4" s="1"/>
    </row>
    <row r="6" spans="1:9" ht="13" x14ac:dyDescent="0.25">
      <c r="B6" s="3" t="s">
        <v>37</v>
      </c>
      <c r="C6" s="3" t="s">
        <v>36</v>
      </c>
      <c r="D6" s="3" t="s">
        <v>49</v>
      </c>
    </row>
    <row r="7" spans="1:9" ht="25" x14ac:dyDescent="0.25">
      <c r="B7" s="5">
        <v>1</v>
      </c>
      <c r="C7" s="6" t="s">
        <v>48</v>
      </c>
      <c r="D7" s="7" t="s">
        <v>50</v>
      </c>
      <c r="E7" s="2" t="s">
        <v>85</v>
      </c>
    </row>
    <row r="8" spans="1:9" ht="62.5" x14ac:dyDescent="0.25">
      <c r="B8" s="5">
        <v>2</v>
      </c>
      <c r="C8" s="7" t="s">
        <v>51</v>
      </c>
      <c r="D8" s="7" t="s">
        <v>84</v>
      </c>
      <c r="E8" s="2" t="s">
        <v>86</v>
      </c>
    </row>
    <row r="9" spans="1:9" ht="25" x14ac:dyDescent="0.25">
      <c r="B9" s="5">
        <v>3</v>
      </c>
      <c r="C9" s="7" t="s">
        <v>52</v>
      </c>
      <c r="D9" s="7" t="s">
        <v>53</v>
      </c>
    </row>
    <row r="12" spans="1:9" x14ac:dyDescent="0.25">
      <c r="B12" s="2" t="s">
        <v>38</v>
      </c>
    </row>
    <row r="13" spans="1:9" ht="13" x14ac:dyDescent="0.3">
      <c r="B13" s="4" t="s">
        <v>83</v>
      </c>
      <c r="C13" s="4"/>
      <c r="F13" s="4"/>
      <c r="I13" s="4"/>
    </row>
    <row r="14" spans="1:9" ht="3" customHeight="1" x14ac:dyDescent="0.25"/>
    <row r="15" spans="1:9" x14ac:dyDescent="0.25">
      <c r="B15" s="8" t="s">
        <v>39</v>
      </c>
      <c r="C15" s="6">
        <v>23</v>
      </c>
      <c r="F15" s="9"/>
    </row>
    <row r="16" spans="1:9" x14ac:dyDescent="0.25">
      <c r="B16" s="8" t="s">
        <v>40</v>
      </c>
      <c r="C16" s="6">
        <v>24</v>
      </c>
      <c r="F16" s="9"/>
    </row>
    <row r="17" spans="2:3" x14ac:dyDescent="0.25">
      <c r="B17" s="8" t="s">
        <v>41</v>
      </c>
      <c r="C17" s="6">
        <v>25</v>
      </c>
    </row>
    <row r="19" spans="2:3" ht="15" x14ac:dyDescent="0.3">
      <c r="B19" s="4" t="s">
        <v>64</v>
      </c>
    </row>
    <row r="20" spans="2:3" ht="3" customHeight="1" x14ac:dyDescent="0.25"/>
    <row r="21" spans="2:3" x14ac:dyDescent="0.25">
      <c r="B21" s="10" t="s">
        <v>43</v>
      </c>
      <c r="C21" s="8" t="s">
        <v>40</v>
      </c>
    </row>
    <row r="22" spans="2:3" x14ac:dyDescent="0.25">
      <c r="B22" s="10" t="s">
        <v>42</v>
      </c>
      <c r="C22" s="8" t="s">
        <v>41</v>
      </c>
    </row>
    <row r="23" spans="2:3" x14ac:dyDescent="0.25">
      <c r="B23" s="9"/>
    </row>
    <row r="24" spans="2:3" x14ac:dyDescent="0.25">
      <c r="B24" s="9" t="s">
        <v>88</v>
      </c>
    </row>
    <row r="26" spans="2:3" ht="15" x14ac:dyDescent="0.3">
      <c r="B26" s="4" t="s">
        <v>65</v>
      </c>
    </row>
    <row r="27" spans="2:3" ht="3" customHeight="1" x14ac:dyDescent="0.25"/>
    <row r="28" spans="2:3" x14ac:dyDescent="0.25">
      <c r="B28" s="6">
        <v>14</v>
      </c>
      <c r="C28" s="6" t="s">
        <v>44</v>
      </c>
    </row>
    <row r="29" spans="2:3" x14ac:dyDescent="0.25">
      <c r="B29" s="6">
        <v>18</v>
      </c>
      <c r="C29" s="6" t="s">
        <v>45</v>
      </c>
    </row>
    <row r="30" spans="2:3" x14ac:dyDescent="0.25">
      <c r="B30" s="6">
        <v>19</v>
      </c>
      <c r="C30" s="6" t="s">
        <v>46</v>
      </c>
    </row>
    <row r="31" spans="2:3" x14ac:dyDescent="0.25">
      <c r="B31" s="6">
        <v>20</v>
      </c>
      <c r="C31" s="6" t="s">
        <v>47</v>
      </c>
    </row>
    <row r="32" spans="2:3" x14ac:dyDescent="0.25">
      <c r="B32" s="9" t="s">
        <v>88</v>
      </c>
    </row>
    <row r="33" spans="2:2" x14ac:dyDescent="0.25">
      <c r="B33" s="9"/>
    </row>
    <row r="34" spans="2:2" ht="14.5" x14ac:dyDescent="0.25">
      <c r="B34" s="2" t="s">
        <v>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B0FE-F53D-404B-99CF-525DF224198E}">
  <dimension ref="A4:K21"/>
  <sheetViews>
    <sheetView showGridLines="0" zoomScale="80" zoomScaleNormal="80" workbookViewId="0">
      <selection activeCell="D8" sqref="D8"/>
    </sheetView>
  </sheetViews>
  <sheetFormatPr defaultRowHeight="12.5" x14ac:dyDescent="0.25"/>
  <cols>
    <col min="1" max="1" width="8.7265625" style="2"/>
    <col min="2" max="2" width="3" style="2" bestFit="1" customWidth="1"/>
    <col min="3" max="3" width="61.81640625" style="2" bestFit="1" customWidth="1"/>
    <col min="4" max="4" width="56.453125" style="2" bestFit="1" customWidth="1"/>
    <col min="5" max="5" width="53" style="2" bestFit="1" customWidth="1"/>
    <col min="6" max="16384" width="8.7265625" style="2"/>
  </cols>
  <sheetData>
    <row r="4" spans="1:11" ht="3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6" spans="1:11" ht="13" x14ac:dyDescent="0.25">
      <c r="B6" s="3" t="s">
        <v>37</v>
      </c>
      <c r="C6" s="23" t="s">
        <v>56</v>
      </c>
      <c r="D6" s="23" t="s">
        <v>77</v>
      </c>
      <c r="E6" s="3" t="s">
        <v>49</v>
      </c>
    </row>
    <row r="7" spans="1:11" ht="25" x14ac:dyDescent="0.25">
      <c r="B7" s="22">
        <v>1</v>
      </c>
      <c r="C7" s="7" t="s">
        <v>55</v>
      </c>
      <c r="D7" s="7" t="s">
        <v>57</v>
      </c>
      <c r="E7" s="7"/>
    </row>
    <row r="8" spans="1:11" ht="50" x14ac:dyDescent="0.25">
      <c r="B8" s="22">
        <v>2</v>
      </c>
      <c r="C8" s="7" t="s">
        <v>71</v>
      </c>
      <c r="D8" s="7" t="s">
        <v>72</v>
      </c>
      <c r="E8" s="7" t="s">
        <v>74</v>
      </c>
    </row>
    <row r="9" spans="1:11" ht="25" x14ac:dyDescent="0.25">
      <c r="B9" s="22">
        <v>3</v>
      </c>
      <c r="C9" s="7" t="s">
        <v>75</v>
      </c>
      <c r="D9" s="7" t="s">
        <v>79</v>
      </c>
      <c r="E9" s="7"/>
    </row>
    <row r="10" spans="1:11" ht="87.5" x14ac:dyDescent="0.25">
      <c r="B10" s="22">
        <v>4</v>
      </c>
      <c r="C10" s="7" t="s">
        <v>76</v>
      </c>
      <c r="D10" s="7" t="s">
        <v>78</v>
      </c>
      <c r="E10" s="7"/>
    </row>
    <row r="12" spans="1:11" ht="13" x14ac:dyDescent="0.3">
      <c r="B12" s="4" t="s">
        <v>58</v>
      </c>
    </row>
    <row r="13" spans="1:11" ht="3" customHeight="1" x14ac:dyDescent="0.25"/>
    <row r="14" spans="1:11" x14ac:dyDescent="0.25">
      <c r="B14" s="8">
        <v>1</v>
      </c>
      <c r="C14" s="8" t="s">
        <v>59</v>
      </c>
    </row>
    <row r="15" spans="1:11" x14ac:dyDescent="0.25">
      <c r="B15" s="8">
        <v>11</v>
      </c>
      <c r="C15" s="8" t="s">
        <v>60</v>
      </c>
    </row>
    <row r="17" spans="2:3" ht="13" x14ac:dyDescent="0.3">
      <c r="B17" s="4" t="s">
        <v>63</v>
      </c>
    </row>
    <row r="18" spans="2:3" ht="3" customHeight="1" x14ac:dyDescent="0.25"/>
    <row r="19" spans="2:3" x14ac:dyDescent="0.25">
      <c r="B19" s="2" t="s">
        <v>73</v>
      </c>
    </row>
    <row r="20" spans="2:3" x14ac:dyDescent="0.25">
      <c r="B20" s="8" t="s">
        <v>22</v>
      </c>
      <c r="C20" s="8" t="s">
        <v>61</v>
      </c>
    </row>
    <row r="21" spans="2:3" x14ac:dyDescent="0.25">
      <c r="B21" s="8" t="s">
        <v>10</v>
      </c>
      <c r="C21" s="8" t="s">
        <v>62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39DE03C-8FEC-4195-B286-EAB4A3B02F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534DC9-FE17-453E-9C27-C42B8BB3E3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72FFB5-5E56-4B99-A0E9-DFD65651013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Geral</vt:lpstr>
      <vt:lpstr>IMPRMNT_STTS</vt:lpstr>
      <vt:lpstr>PRFRMNG_STTS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Maia Matias</dc:creator>
  <cp:lastModifiedBy>Rita Maia Matias</cp:lastModifiedBy>
  <dcterms:created xsi:type="dcterms:W3CDTF">2025-02-03T14:30:10Z</dcterms:created>
  <dcterms:modified xsi:type="dcterms:W3CDTF">2025-02-05T17:42:47Z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2025-02-03T18:11:45Z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62cf9522-bf65-47d3-846d-ff1dfbb885cd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</Properties>
</file>