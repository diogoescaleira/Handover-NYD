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"/>
    </mc:Choice>
  </mc:AlternateContent>
  <xr:revisionPtr revIDLastSave="201" documentId="8_{6743EDE3-26C2-4DC1-AEC7-78E3C01B1749}" xr6:coauthVersionLast="47" xr6:coauthVersionMax="47" xr10:uidLastSave="{741673A0-0ED3-45AA-9795-84649F3676CA}"/>
  <bookViews>
    <workbookView xWindow="-120" yWindow="-16320" windowWidth="29040" windowHeight="15720" xr2:uid="{00000000-000D-0000-FFFF-FFFF00000000}"/>
  </bookViews>
  <sheets>
    <sheet name="Exemplos Validação" sheetId="1" r:id="rId1"/>
    <sheet name="Cálculo excel" sheetId="3" r:id="rId2"/>
    <sheet name="MIS_MAR25" sheetId="2" r:id="rId3"/>
    <sheet name="MIS_FEV25" sheetId="4" r:id="rId4"/>
    <sheet name="MIS_JAN25" sheetId="5" r:id="rId5"/>
    <sheet name="MIS_DEZ24" sheetId="6" r:id="rId6"/>
    <sheet name="Info LT001" sheetId="7" r:id="rId7"/>
  </sheets>
  <definedNames>
    <definedName name="_xlnm._FilterDatabase" localSheetId="1" hidden="1">'Cálculo excel'!$B$2:$X$36</definedName>
    <definedName name="_xlnm._FilterDatabase" localSheetId="0" hidden="1">'Exemplos Validação'!$A$1:$CG$35</definedName>
    <definedName name="_xlnm._FilterDatabase" localSheetId="3" hidden="1">MIS_FEV25!$A$1:$AR$12</definedName>
    <definedName name="_xlnm._FilterDatabase" localSheetId="4" hidden="1">MIS_JAN25!$A$1:$AR$12</definedName>
    <definedName name="_xlnm._FilterDatabase" localSheetId="2" hidden="1">MIS_MAR25!$A$1:$AR$12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33" i="1" l="1" a="1"/>
  <c r="CE33" i="1" s="1"/>
  <c r="CF33" i="1" s="1"/>
  <c r="CE14" i="1" a="1"/>
  <c r="CE14" i="1" s="1"/>
  <c r="CF14" i="1" s="1"/>
  <c r="CE32" i="1" a="1"/>
  <c r="CE32" i="1" s="1"/>
  <c r="CF32" i="1" s="1"/>
  <c r="CE30" i="1" a="1"/>
  <c r="CE30" i="1" s="1"/>
  <c r="CF30" i="1" s="1"/>
  <c r="CE35" i="1" a="1"/>
  <c r="CE35" i="1" s="1"/>
  <c r="CF35" i="1" s="1"/>
  <c r="CE31" i="1" a="1"/>
  <c r="CE31" i="1" s="1"/>
  <c r="CF31" i="1" s="1"/>
  <c r="CE4" i="1" a="1"/>
  <c r="CE4" i="1" s="1"/>
  <c r="CF4" i="1" s="1"/>
  <c r="CE29" i="1" a="1"/>
  <c r="CE29" i="1" s="1"/>
  <c r="CF29" i="1" s="1"/>
  <c r="CE34" i="1" a="1"/>
  <c r="CE34" i="1" s="1"/>
  <c r="CF34" i="1" s="1"/>
  <c r="CE28" i="1" a="1"/>
  <c r="CE28" i="1" s="1"/>
  <c r="CF28" i="1" s="1"/>
  <c r="CE27" i="1" a="1"/>
  <c r="CE27" i="1" s="1"/>
  <c r="CF27" i="1" s="1"/>
  <c r="CE26" i="1" a="1"/>
  <c r="CE26" i="1" s="1"/>
  <c r="CF26" i="1" s="1"/>
  <c r="CE25" i="1" a="1"/>
  <c r="CE25" i="1" s="1"/>
  <c r="CF25" i="1" s="1"/>
  <c r="CE24" i="1" a="1"/>
  <c r="CE24" i="1" s="1"/>
  <c r="CF24" i="1" s="1"/>
  <c r="CE23" i="1" a="1"/>
  <c r="CE23" i="1" s="1"/>
  <c r="CF23" i="1" s="1"/>
  <c r="CE22" i="1" a="1"/>
  <c r="CE22" i="1" s="1"/>
  <c r="CF22" i="1" s="1"/>
  <c r="CE21" i="1" a="1"/>
  <c r="CE21" i="1" s="1"/>
  <c r="CF21" i="1" s="1"/>
  <c r="CE20" i="1" a="1"/>
  <c r="CE20" i="1" s="1"/>
  <c r="CF20" i="1" s="1"/>
  <c r="CE19" i="1" a="1"/>
  <c r="CE19" i="1" s="1"/>
  <c r="CF19" i="1" s="1"/>
  <c r="CE18" i="1" a="1"/>
  <c r="CE18" i="1" s="1"/>
  <c r="CF18" i="1" s="1"/>
  <c r="CE17" i="1" a="1"/>
  <c r="CE17" i="1" s="1"/>
  <c r="CF17" i="1" s="1"/>
  <c r="CE16" i="1" a="1"/>
  <c r="CE16" i="1" s="1"/>
  <c r="CF16" i="1" s="1"/>
  <c r="CE15" i="1" a="1"/>
  <c r="CE15" i="1" s="1"/>
  <c r="CF15" i="1" s="1"/>
  <c r="CE8" i="1" a="1"/>
  <c r="CE8" i="1" s="1"/>
  <c r="CF8" i="1" s="1"/>
  <c r="CE7" i="1" a="1"/>
  <c r="CE7" i="1" s="1"/>
  <c r="CF7" i="1" s="1"/>
  <c r="CE6" i="1" a="1"/>
  <c r="CE6" i="1" s="1"/>
  <c r="CF6" i="1" s="1"/>
  <c r="CE5" i="1" a="1"/>
  <c r="CE5" i="1" s="1"/>
  <c r="CF5" i="1" s="1"/>
  <c r="CE3" i="1" a="1"/>
  <c r="CE3" i="1" s="1"/>
  <c r="CF3" i="1" s="1"/>
  <c r="CE2" i="1" a="1"/>
  <c r="CE2" i="1" s="1"/>
  <c r="CF2" i="1" s="1"/>
  <c r="CE13" i="1" a="1"/>
  <c r="CE13" i="1" s="1"/>
  <c r="CF13" i="1" s="1"/>
  <c r="CE12" i="1" a="1"/>
  <c r="CE12" i="1" s="1"/>
  <c r="CF12" i="1" s="1"/>
  <c r="CE11" i="1" a="1"/>
  <c r="CE11" i="1" s="1"/>
  <c r="CF11" i="1" s="1"/>
  <c r="CE10" i="1" a="1"/>
  <c r="CE10" i="1" s="1"/>
  <c r="CF10" i="1" s="1"/>
  <c r="V3" i="3" a="1"/>
  <c r="V3" i="3" s="1"/>
  <c r="CE9" i="1" s="1" a="1"/>
  <c r="CE9" i="1" s="1"/>
  <c r="CF9" i="1" s="1"/>
  <c r="U3" i="3" a="1"/>
  <c r="U3" i="3" s="1"/>
  <c r="BM35" i="1" a="1"/>
  <c r="BM35" i="1" s="1"/>
  <c r="BM31" i="1" a="1"/>
  <c r="BM31" i="1" s="1"/>
  <c r="P3" i="3" a="1"/>
  <c r="P3" i="3" s="1"/>
  <c r="CH1" i="1"/>
  <c r="CE1" i="1"/>
  <c r="CB1" i="1"/>
  <c r="BY1" i="1"/>
  <c r="BV1" i="1"/>
  <c r="BS1" i="1"/>
  <c r="BP1" i="1"/>
  <c r="BM1" i="1"/>
  <c r="BJ1" i="1"/>
  <c r="BG1" i="1"/>
  <c r="BD1" i="1"/>
  <c r="BD31" i="1" a="1"/>
  <c r="BD31" i="1" s="1"/>
  <c r="BE31" i="1" s="1"/>
  <c r="BD4" i="1" a="1"/>
  <c r="BD4" i="1" s="1"/>
  <c r="BE4" i="1" s="1"/>
  <c r="K29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I36" i="3"/>
  <c r="K36" i="3" s="1"/>
  <c r="I31" i="3"/>
  <c r="K31" i="3" s="1"/>
  <c r="I30" i="3"/>
  <c r="K30" i="3" s="1"/>
  <c r="I29" i="3"/>
  <c r="H36" i="3"/>
  <c r="H35" i="3"/>
  <c r="I35" i="3" s="1"/>
  <c r="K35" i="3" s="1"/>
  <c r="H34" i="3"/>
  <c r="I33" i="3" s="1"/>
  <c r="K33" i="3" s="1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I22" i="3" s="1"/>
  <c r="K22" i="3" s="1"/>
  <c r="H9" i="3"/>
  <c r="H8" i="3"/>
  <c r="H7" i="3"/>
  <c r="I7" i="3" s="1"/>
  <c r="K7" i="3" s="1"/>
  <c r="H6" i="3"/>
  <c r="I6" i="3" s="1"/>
  <c r="K6" i="3" s="1"/>
  <c r="H5" i="3"/>
  <c r="I5" i="3" s="1"/>
  <c r="K5" i="3" s="1"/>
  <c r="H4" i="3"/>
  <c r="I4" i="3" s="1"/>
  <c r="K4" i="3" s="1"/>
  <c r="H3" i="3"/>
  <c r="I3" i="3" s="1"/>
  <c r="K3" i="3" s="1"/>
  <c r="CH11" i="1" l="1" a="1"/>
  <c r="CH11" i="1" s="1"/>
  <c r="CI11" i="1" s="1"/>
  <c r="BY11" i="1" a="1"/>
  <c r="BY11" i="1" s="1"/>
  <c r="BZ11" i="1" s="1"/>
  <c r="BD11" i="1" a="1"/>
  <c r="BD11" i="1" s="1"/>
  <c r="BE11" i="1" s="1"/>
  <c r="BV11" i="1" a="1"/>
  <c r="BV11" i="1" s="1"/>
  <c r="BW11" i="1" s="1"/>
  <c r="BP11" i="1" a="1"/>
  <c r="BP11" i="1" s="1"/>
  <c r="BQ11" i="1" s="1"/>
  <c r="BM11" i="1" a="1"/>
  <c r="BM11" i="1" s="1"/>
  <c r="BN11" i="1" s="1"/>
  <c r="BA11" i="1" a="1"/>
  <c r="BA11" i="1" s="1"/>
  <c r="BB11" i="1" s="1"/>
  <c r="BJ11" i="1" a="1"/>
  <c r="BJ11" i="1" s="1"/>
  <c r="BK11" i="1" s="1"/>
  <c r="BG11" i="1" a="1"/>
  <c r="BG11" i="1" s="1"/>
  <c r="BH11" i="1" s="1"/>
  <c r="BY12" i="1" a="1"/>
  <c r="BY12" i="1" s="1"/>
  <c r="BZ12" i="1" s="1"/>
  <c r="BV12" i="1" a="1"/>
  <c r="BV12" i="1" s="1"/>
  <c r="BW12" i="1" s="1"/>
  <c r="BA12" i="1" a="1"/>
  <c r="BA12" i="1" s="1"/>
  <c r="BB12" i="1" s="1"/>
  <c r="BP12" i="1" a="1"/>
  <c r="BP12" i="1" s="1"/>
  <c r="BQ12" i="1" s="1"/>
  <c r="BM12" i="1" a="1"/>
  <c r="BM12" i="1" s="1"/>
  <c r="BN12" i="1" s="1"/>
  <c r="BG12" i="1" a="1"/>
  <c r="BG12" i="1" s="1"/>
  <c r="BH12" i="1" s="1"/>
  <c r="BJ12" i="1" a="1"/>
  <c r="BJ12" i="1" s="1"/>
  <c r="BK12" i="1" s="1"/>
  <c r="BD12" i="1" a="1"/>
  <c r="BD12" i="1" s="1"/>
  <c r="BE12" i="1" s="1"/>
  <c r="S3" i="3" a="1"/>
  <c r="S3" i="3" s="1"/>
  <c r="BV9" i="1" s="1" a="1"/>
  <c r="BV9" i="1" s="1"/>
  <c r="BW9" i="1" s="1"/>
  <c r="W3" i="3" a="1"/>
  <c r="W3" i="3" s="1"/>
  <c r="BM9" i="1" a="1"/>
  <c r="BM9" i="1" s="1"/>
  <c r="BN9" i="1" s="1"/>
  <c r="N3" i="3" a="1"/>
  <c r="N3" i="3" s="1"/>
  <c r="BG9" i="1" s="1" a="1"/>
  <c r="BG9" i="1" s="1"/>
  <c r="BH9" i="1" s="1"/>
  <c r="T3" i="3" a="1"/>
  <c r="T3" i="3" s="1"/>
  <c r="BY9" i="1" s="1" a="1"/>
  <c r="BY9" i="1" s="1"/>
  <c r="BZ9" i="1" s="1"/>
  <c r="R3" i="3" a="1"/>
  <c r="R3" i="3" s="1"/>
  <c r="O3" i="3" a="1"/>
  <c r="O3" i="3" s="1"/>
  <c r="BJ9" i="1" s="1" a="1"/>
  <c r="BJ9" i="1" s="1"/>
  <c r="BK9" i="1" s="1"/>
  <c r="X3" i="3" a="1"/>
  <c r="X3" i="3" s="1"/>
  <c r="M3" i="3" a="1"/>
  <c r="M3" i="3" s="1"/>
  <c r="BD9" i="1" s="1" a="1"/>
  <c r="BD9" i="1" s="1"/>
  <c r="BE9" i="1" s="1"/>
  <c r="L3" i="3" a="1"/>
  <c r="L3" i="3" s="1"/>
  <c r="BA9" i="1" s="1" a="1"/>
  <c r="BA9" i="1" s="1"/>
  <c r="BB9" i="1" s="1"/>
  <c r="Q3" i="3" a="1"/>
  <c r="Q3" i="3" s="1"/>
  <c r="BP9" i="1" s="1" a="1"/>
  <c r="BP9" i="1" s="1"/>
  <c r="BQ9" i="1" s="1"/>
  <c r="BY23" i="1" a="1"/>
  <c r="BY23" i="1" s="1"/>
  <c r="BZ23" i="1" s="1"/>
  <c r="BV23" i="1" a="1"/>
  <c r="BV23" i="1" s="1"/>
  <c r="BW23" i="1" s="1"/>
  <c r="BA23" i="1" a="1"/>
  <c r="BA23" i="1" s="1"/>
  <c r="BB23" i="1" s="1"/>
  <c r="BP23" i="1" a="1"/>
  <c r="BP23" i="1" s="1"/>
  <c r="BQ23" i="1" s="1"/>
  <c r="BM23" i="1" a="1"/>
  <c r="BM23" i="1" s="1"/>
  <c r="BN23" i="1" s="1"/>
  <c r="BG23" i="1" a="1"/>
  <c r="BG23" i="1" s="1"/>
  <c r="BH23" i="1" s="1"/>
  <c r="BJ23" i="1" a="1"/>
  <c r="BJ23" i="1" s="1"/>
  <c r="BK23" i="1" s="1"/>
  <c r="BD23" i="1" a="1"/>
  <c r="BD23" i="1" s="1"/>
  <c r="BE23" i="1" s="1"/>
  <c r="BP13" i="1" a="1"/>
  <c r="BP13" i="1" s="1"/>
  <c r="BQ13" i="1" s="1"/>
  <c r="BJ13" i="1" a="1"/>
  <c r="BJ13" i="1" s="1"/>
  <c r="BK13" i="1" s="1"/>
  <c r="BM13" i="1" a="1"/>
  <c r="BM13" i="1" s="1"/>
  <c r="BN13" i="1" s="1"/>
  <c r="CH13" i="1" a="1"/>
  <c r="CH13" i="1" s="1"/>
  <c r="CI13" i="1" s="1"/>
  <c r="BY13" i="1" a="1"/>
  <c r="BY13" i="1" s="1"/>
  <c r="BZ13" i="1" s="1"/>
  <c r="BV13" i="1" a="1"/>
  <c r="BV13" i="1" s="1"/>
  <c r="BW13" i="1" s="1"/>
  <c r="BA13" i="1" a="1"/>
  <c r="BA13" i="1" s="1"/>
  <c r="BB13" i="1" s="1"/>
  <c r="BG13" i="1" a="1"/>
  <c r="BG13" i="1" s="1"/>
  <c r="BH13" i="1" s="1"/>
  <c r="BD13" i="1" a="1"/>
  <c r="BD13" i="1" s="1"/>
  <c r="BE13" i="1" s="1"/>
  <c r="BY30" i="1" a="1"/>
  <c r="BY30" i="1" s="1"/>
  <c r="BZ30" i="1" s="1"/>
  <c r="BV30" i="1" a="1"/>
  <c r="BV30" i="1" s="1"/>
  <c r="BW30" i="1" s="1"/>
  <c r="BM30" i="1" a="1"/>
  <c r="BM30" i="1" s="1"/>
  <c r="BN30" i="1" s="1"/>
  <c r="BP30" i="1" a="1"/>
  <c r="BP30" i="1" s="1"/>
  <c r="BQ30" i="1" s="1"/>
  <c r="BD30" i="1" a="1"/>
  <c r="BD30" i="1" s="1"/>
  <c r="BE30" i="1" s="1"/>
  <c r="BJ30" i="1" a="1"/>
  <c r="BJ30" i="1" s="1"/>
  <c r="BK30" i="1" s="1"/>
  <c r="BG30" i="1" a="1"/>
  <c r="BG30" i="1" s="1"/>
  <c r="BH30" i="1" s="1"/>
  <c r="BA30" i="1" a="1"/>
  <c r="BA30" i="1" s="1"/>
  <c r="BB30" i="1" s="1"/>
  <c r="BP14" i="1" a="1"/>
  <c r="BP14" i="1" s="1"/>
  <c r="BQ14" i="1" s="1"/>
  <c r="CH14" i="1" a="1"/>
  <c r="CH14" i="1" s="1"/>
  <c r="CI14" i="1" s="1"/>
  <c r="BJ14" i="1" a="1"/>
  <c r="BJ14" i="1" s="1"/>
  <c r="BK14" i="1" s="1"/>
  <c r="BY14" i="1" a="1"/>
  <c r="BY14" i="1" s="1"/>
  <c r="BZ14" i="1" s="1"/>
  <c r="BV14" i="1" a="1"/>
  <c r="BV14" i="1" s="1"/>
  <c r="BW14" i="1" s="1"/>
  <c r="BM14" i="1" a="1"/>
  <c r="BM14" i="1" s="1"/>
  <c r="BN14" i="1" s="1"/>
  <c r="BD14" i="1" a="1"/>
  <c r="BD14" i="1" s="1"/>
  <c r="BE14" i="1" s="1"/>
  <c r="BG14" i="1" a="1"/>
  <c r="BG14" i="1" s="1"/>
  <c r="BH14" i="1" s="1"/>
  <c r="BA14" i="1" a="1"/>
  <c r="BA14" i="1" s="1"/>
  <c r="BB14" i="1" s="1"/>
  <c r="CH10" i="1" a="1"/>
  <c r="CH10" i="1" s="1"/>
  <c r="CI10" i="1" s="1"/>
  <c r="BG10" i="1" a="1"/>
  <c r="BG10" i="1" s="1"/>
  <c r="BH10" i="1" s="1"/>
  <c r="BD10" i="1" a="1"/>
  <c r="BD10" i="1" s="1"/>
  <c r="BE10" i="1" s="1"/>
  <c r="BY10" i="1" a="1"/>
  <c r="BY10" i="1" s="1"/>
  <c r="BZ10" i="1" s="1"/>
  <c r="BV10" i="1" a="1"/>
  <c r="BV10" i="1" s="1"/>
  <c r="BW10" i="1" s="1"/>
  <c r="BJ10" i="1" a="1"/>
  <c r="BJ10" i="1" s="1"/>
  <c r="BK10" i="1" s="1"/>
  <c r="BM10" i="1" a="1"/>
  <c r="BM10" i="1" s="1"/>
  <c r="BN10" i="1" s="1"/>
  <c r="BA10" i="1" a="1"/>
  <c r="BA10" i="1" s="1"/>
  <c r="BB10" i="1" s="1"/>
  <c r="BP10" i="1" a="1"/>
  <c r="BP10" i="1" s="1"/>
  <c r="BQ10" i="1" s="1"/>
  <c r="I24" i="3"/>
  <c r="K24" i="3" s="1"/>
  <c r="I16" i="3"/>
  <c r="K16" i="3" s="1"/>
  <c r="I8" i="3"/>
  <c r="K8" i="3" s="1"/>
  <c r="I15" i="3"/>
  <c r="K15" i="3" s="1"/>
  <c r="I25" i="3"/>
  <c r="K25" i="3" s="1"/>
  <c r="I34" i="3"/>
  <c r="K34" i="3" s="1"/>
  <c r="I9" i="3"/>
  <c r="K9" i="3" s="1"/>
  <c r="I18" i="3"/>
  <c r="K18" i="3" s="1"/>
  <c r="I27" i="3"/>
  <c r="K27" i="3" s="1"/>
  <c r="BM33" i="1" a="1"/>
  <c r="BM33" i="1" s="1"/>
  <c r="BN33" i="1" s="1"/>
  <c r="CH33" i="1" a="1"/>
  <c r="CH33" i="1" s="1"/>
  <c r="CI33" i="1" s="1"/>
  <c r="BG33" i="1" a="1"/>
  <c r="BG33" i="1" s="1"/>
  <c r="BH33" i="1" s="1"/>
  <c r="BD33" i="1" a="1"/>
  <c r="BD33" i="1" s="1"/>
  <c r="BE33" i="1" s="1"/>
  <c r="BY33" i="1" a="1"/>
  <c r="BY33" i="1" s="1"/>
  <c r="BZ33" i="1" s="1"/>
  <c r="BV33" i="1" a="1"/>
  <c r="BV33" i="1" s="1"/>
  <c r="BW33" i="1" s="1"/>
  <c r="BP33" i="1" a="1"/>
  <c r="BP33" i="1" s="1"/>
  <c r="BQ33" i="1" s="1"/>
  <c r="BA33" i="1" a="1"/>
  <c r="BA33" i="1" s="1"/>
  <c r="BB33" i="1" s="1"/>
  <c r="I10" i="3"/>
  <c r="K10" i="3" s="1"/>
  <c r="I19" i="3"/>
  <c r="K19" i="3" s="1"/>
  <c r="I28" i="3"/>
  <c r="K28" i="3" s="1"/>
  <c r="CH29" i="1" a="1"/>
  <c r="CH29" i="1" s="1"/>
  <c r="CI29" i="1" s="1"/>
  <c r="BY29" i="1" a="1"/>
  <c r="BY29" i="1" s="1"/>
  <c r="BZ29" i="1" s="1"/>
  <c r="BD29" i="1" a="1"/>
  <c r="BD29" i="1" s="1"/>
  <c r="BE29" i="1" s="1"/>
  <c r="BV29" i="1" a="1"/>
  <c r="BV29" i="1" s="1"/>
  <c r="BW29" i="1" s="1"/>
  <c r="BA29" i="1" a="1"/>
  <c r="BA29" i="1" s="1"/>
  <c r="BB29" i="1" s="1"/>
  <c r="BP29" i="1" a="1"/>
  <c r="BP29" i="1" s="1"/>
  <c r="BQ29" i="1" s="1"/>
  <c r="I12" i="3"/>
  <c r="K12" i="3" s="1"/>
  <c r="I21" i="3"/>
  <c r="K21" i="3" s="1"/>
  <c r="BP31" i="1" a="1"/>
  <c r="BP31" i="1" s="1"/>
  <c r="BQ31" i="1" s="1"/>
  <c r="BJ31" i="1" a="1"/>
  <c r="BJ31" i="1" s="1"/>
  <c r="BK31" i="1" s="1"/>
  <c r="BN31" i="1"/>
  <c r="CH31" i="1" a="1"/>
  <c r="CH31" i="1" s="1"/>
  <c r="CI31" i="1" s="1"/>
  <c r="BY31" i="1" a="1"/>
  <c r="BY31" i="1" s="1"/>
  <c r="BZ31" i="1" s="1"/>
  <c r="BV31" i="1" a="1"/>
  <c r="BV31" i="1" s="1"/>
  <c r="BW31" i="1" s="1"/>
  <c r="I17" i="3"/>
  <c r="K17" i="3" s="1"/>
  <c r="I26" i="3"/>
  <c r="K26" i="3" s="1"/>
  <c r="I11" i="3"/>
  <c r="K11" i="3" s="1"/>
  <c r="I20" i="3"/>
  <c r="K20" i="3" s="1"/>
  <c r="BY4" i="1" a="1"/>
  <c r="BY4" i="1" s="1"/>
  <c r="BZ4" i="1" s="1"/>
  <c r="BV4" i="1" a="1"/>
  <c r="BV4" i="1" s="1"/>
  <c r="BW4" i="1" s="1"/>
  <c r="BA4" i="1" a="1"/>
  <c r="BA4" i="1" s="1"/>
  <c r="BB4" i="1" s="1"/>
  <c r="BP4" i="1" a="1"/>
  <c r="BP4" i="1" s="1"/>
  <c r="BQ4" i="1" s="1"/>
  <c r="BJ4" i="1" a="1"/>
  <c r="BJ4" i="1" s="1"/>
  <c r="BK4" i="1" s="1"/>
  <c r="BM4" i="1" a="1"/>
  <c r="BM4" i="1" s="1"/>
  <c r="BN4" i="1" s="1"/>
  <c r="BG4" i="1" a="1"/>
  <c r="BG4" i="1" s="1"/>
  <c r="BH4" i="1" s="1"/>
  <c r="CH4" i="1" a="1"/>
  <c r="CH4" i="1" s="1"/>
  <c r="CI4" i="1" s="1"/>
  <c r="BJ33" i="1" a="1"/>
  <c r="BJ33" i="1" s="1"/>
  <c r="BK33" i="1" s="1"/>
  <c r="BG29" i="1" a="1"/>
  <c r="BG29" i="1" s="1"/>
  <c r="BH29" i="1" s="1"/>
  <c r="BM29" i="1" a="1"/>
  <c r="BM29" i="1" s="1"/>
  <c r="BN29" i="1" s="1"/>
  <c r="I13" i="3"/>
  <c r="K13" i="3" s="1"/>
  <c r="BA31" i="1" a="1"/>
  <c r="BA31" i="1" s="1"/>
  <c r="BB31" i="1" s="1"/>
  <c r="BJ29" i="1" a="1"/>
  <c r="BJ29" i="1" s="1"/>
  <c r="BK29" i="1" s="1"/>
  <c r="I32" i="3"/>
  <c r="K32" i="3" s="1"/>
  <c r="I14" i="3"/>
  <c r="K14" i="3" s="1"/>
  <c r="I23" i="3"/>
  <c r="K23" i="3" s="1"/>
  <c r="BG31" i="1" a="1"/>
  <c r="BG31" i="1" s="1"/>
  <c r="BH31" i="1" s="1"/>
  <c r="BM34" i="1" l="1" a="1"/>
  <c r="BM34" i="1" s="1"/>
  <c r="BN34" i="1" s="1"/>
  <c r="CH34" i="1" a="1"/>
  <c r="CH34" i="1" s="1"/>
  <c r="CI34" i="1" s="1"/>
  <c r="BG34" i="1" a="1"/>
  <c r="BG34" i="1" s="1"/>
  <c r="BH34" i="1" s="1"/>
  <c r="BD34" i="1" a="1"/>
  <c r="BD34" i="1" s="1"/>
  <c r="BE34" i="1" s="1"/>
  <c r="BY34" i="1" a="1"/>
  <c r="BY34" i="1" s="1"/>
  <c r="BZ34" i="1" s="1"/>
  <c r="BV34" i="1" a="1"/>
  <c r="BV34" i="1" s="1"/>
  <c r="BW34" i="1" s="1"/>
  <c r="BP34" i="1" a="1"/>
  <c r="BP34" i="1" s="1"/>
  <c r="BQ34" i="1" s="1"/>
  <c r="BJ34" i="1" a="1"/>
  <c r="BJ34" i="1" s="1"/>
  <c r="BK34" i="1" s="1"/>
  <c r="BA34" i="1" a="1"/>
  <c r="BA34" i="1" s="1"/>
  <c r="BB34" i="1" s="1"/>
  <c r="BY18" i="1" a="1"/>
  <c r="BY18" i="1" s="1"/>
  <c r="BZ18" i="1" s="1"/>
  <c r="BV18" i="1" a="1"/>
  <c r="BV18" i="1" s="1"/>
  <c r="BW18" i="1" s="1"/>
  <c r="BM18" i="1" a="1"/>
  <c r="BM18" i="1" s="1"/>
  <c r="BN18" i="1" s="1"/>
  <c r="BP18" i="1" a="1"/>
  <c r="BP18" i="1" s="1"/>
  <c r="BQ18" i="1" s="1"/>
  <c r="BD18" i="1" a="1"/>
  <c r="BD18" i="1" s="1"/>
  <c r="BE18" i="1" s="1"/>
  <c r="BG18" i="1" a="1"/>
  <c r="BG18" i="1" s="1"/>
  <c r="BH18" i="1" s="1"/>
  <c r="BA18" i="1" a="1"/>
  <c r="BA18" i="1" s="1"/>
  <c r="BB18" i="1" s="1"/>
  <c r="BJ18" i="1" a="1"/>
  <c r="BJ18" i="1" s="1"/>
  <c r="BK18" i="1" s="1"/>
  <c r="BS31" i="1" a="1"/>
  <c r="BS31" i="1" s="1"/>
  <c r="BT31" i="1" s="1"/>
  <c r="CB31" i="1" a="1"/>
  <c r="CB31" i="1" s="1"/>
  <c r="CC31" i="1" s="1"/>
  <c r="CH22" i="1" a="1"/>
  <c r="CH22" i="1" s="1"/>
  <c r="CI22" i="1" s="1"/>
  <c r="BY22" i="1" a="1"/>
  <c r="BY22" i="1" s="1"/>
  <c r="BZ22" i="1" s="1"/>
  <c r="BD22" i="1" a="1"/>
  <c r="BD22" i="1" s="1"/>
  <c r="BE22" i="1" s="1"/>
  <c r="BV22" i="1" a="1"/>
  <c r="BV22" i="1" s="1"/>
  <c r="BW22" i="1" s="1"/>
  <c r="BA22" i="1" a="1"/>
  <c r="BA22" i="1" s="1"/>
  <c r="BB22" i="1" s="1"/>
  <c r="BP22" i="1" a="1"/>
  <c r="BP22" i="1" s="1"/>
  <c r="BQ22" i="1" s="1"/>
  <c r="BJ22" i="1" a="1"/>
  <c r="BJ22" i="1" s="1"/>
  <c r="BK22" i="1" s="1"/>
  <c r="BM22" i="1" a="1"/>
  <c r="BM22" i="1" s="1"/>
  <c r="BN22" i="1" s="1"/>
  <c r="BG22" i="1" a="1"/>
  <c r="BG22" i="1" s="1"/>
  <c r="BH22" i="1" s="1"/>
  <c r="BY19" i="1" a="1"/>
  <c r="BY19" i="1" s="1"/>
  <c r="BZ19" i="1" s="1"/>
  <c r="BV19" i="1" a="1"/>
  <c r="BV19" i="1" s="1"/>
  <c r="BW19" i="1" s="1"/>
  <c r="BM19" i="1" a="1"/>
  <c r="BM19" i="1" s="1"/>
  <c r="BN19" i="1" s="1"/>
  <c r="CH19" i="1" a="1"/>
  <c r="CH19" i="1" s="1"/>
  <c r="CI19" i="1" s="1"/>
  <c r="BP19" i="1" a="1"/>
  <c r="BP19" i="1" s="1"/>
  <c r="BQ19" i="1" s="1"/>
  <c r="BG19" i="1" a="1"/>
  <c r="BG19" i="1" s="1"/>
  <c r="BH19" i="1" s="1"/>
  <c r="BA19" i="1" a="1"/>
  <c r="BA19" i="1" s="1"/>
  <c r="BB19" i="1" s="1"/>
  <c r="BD19" i="1" a="1"/>
  <c r="BD19" i="1" s="1"/>
  <c r="BE19" i="1" s="1"/>
  <c r="BJ19" i="1" a="1"/>
  <c r="BJ19" i="1" s="1"/>
  <c r="BK19" i="1" s="1"/>
  <c r="CH9" i="1" a="1"/>
  <c r="CH9" i="1" s="1"/>
  <c r="CI9" i="1" s="1"/>
  <c r="BS12" i="1" a="1"/>
  <c r="BS12" i="1" s="1"/>
  <c r="BT12" i="1" s="1"/>
  <c r="CB12" i="1" a="1"/>
  <c r="CB12" i="1" s="1"/>
  <c r="CC12" i="1" s="1"/>
  <c r="BY3" i="1" a="1"/>
  <c r="BY3" i="1" s="1"/>
  <c r="BZ3" i="1" s="1"/>
  <c r="BV3" i="1" a="1"/>
  <c r="BV3" i="1" s="1"/>
  <c r="BW3" i="1" s="1"/>
  <c r="BM3" i="1" a="1"/>
  <c r="BM3" i="1" s="1"/>
  <c r="BN3" i="1" s="1"/>
  <c r="BP3" i="1" a="1"/>
  <c r="BP3" i="1" s="1"/>
  <c r="BQ3" i="1" s="1"/>
  <c r="BD3" i="1" a="1"/>
  <c r="BD3" i="1" s="1"/>
  <c r="BE3" i="1" s="1"/>
  <c r="BJ3" i="1" a="1"/>
  <c r="BJ3" i="1" s="1"/>
  <c r="BK3" i="1" s="1"/>
  <c r="BG3" i="1" a="1"/>
  <c r="BG3" i="1" s="1"/>
  <c r="BH3" i="1" s="1"/>
  <c r="BA3" i="1" a="1"/>
  <c r="BA3" i="1" s="1"/>
  <c r="BB3" i="1" s="1"/>
  <c r="BS30" i="1" a="1"/>
  <c r="BS30" i="1" s="1"/>
  <c r="BT30" i="1" s="1"/>
  <c r="CB30" i="1" a="1"/>
  <c r="CB30" i="1" s="1"/>
  <c r="CC30" i="1" s="1"/>
  <c r="BS13" i="1" a="1"/>
  <c r="BS13" i="1" s="1"/>
  <c r="BT13" i="1" s="1"/>
  <c r="CB13" i="1" a="1"/>
  <c r="CB13" i="1" s="1"/>
  <c r="CC13" i="1" s="1"/>
  <c r="BS11" i="1" a="1"/>
  <c r="BS11" i="1" s="1"/>
  <c r="BT11" i="1" s="1"/>
  <c r="CB11" i="1" a="1"/>
  <c r="CB11" i="1" s="1"/>
  <c r="CC11" i="1" s="1"/>
  <c r="BP24" i="1" a="1"/>
  <c r="BP24" i="1" s="1"/>
  <c r="BQ24" i="1" s="1"/>
  <c r="BJ24" i="1" a="1"/>
  <c r="BJ24" i="1" s="1"/>
  <c r="BK24" i="1" s="1"/>
  <c r="BM24" i="1" a="1"/>
  <c r="BM24" i="1" s="1"/>
  <c r="BN24" i="1" s="1"/>
  <c r="CH24" i="1" a="1"/>
  <c r="CH24" i="1" s="1"/>
  <c r="CI24" i="1" s="1"/>
  <c r="BY24" i="1" a="1"/>
  <c r="BY24" i="1" s="1"/>
  <c r="BZ24" i="1" s="1"/>
  <c r="BV24" i="1" a="1"/>
  <c r="BV24" i="1" s="1"/>
  <c r="BW24" i="1" s="1"/>
  <c r="BG24" i="1" a="1"/>
  <c r="BG24" i="1" s="1"/>
  <c r="BH24" i="1" s="1"/>
  <c r="BD24" i="1" a="1"/>
  <c r="BD24" i="1" s="1"/>
  <c r="BE24" i="1" s="1"/>
  <c r="BA24" i="1" a="1"/>
  <c r="BA24" i="1" s="1"/>
  <c r="BB24" i="1" s="1"/>
  <c r="BG35" i="1" a="1"/>
  <c r="BG35" i="1" s="1"/>
  <c r="BH35" i="1" s="1"/>
  <c r="BY35" i="1" a="1"/>
  <c r="BY35" i="1" s="1"/>
  <c r="BZ35" i="1" s="1"/>
  <c r="BN35" i="1"/>
  <c r="CH35" i="1" a="1"/>
  <c r="CH35" i="1" s="1"/>
  <c r="CI35" i="1" s="1"/>
  <c r="BV35" i="1" a="1"/>
  <c r="BV35" i="1" s="1"/>
  <c r="BW35" i="1" s="1"/>
  <c r="BP35" i="1" a="1"/>
  <c r="BP35" i="1" s="1"/>
  <c r="BQ35" i="1" s="1"/>
  <c r="BA35" i="1" a="1"/>
  <c r="BA35" i="1" s="1"/>
  <c r="BB35" i="1" s="1"/>
  <c r="BD35" i="1" a="1"/>
  <c r="BD35" i="1" s="1"/>
  <c r="BE35" i="1" s="1"/>
  <c r="BJ35" i="1" a="1"/>
  <c r="BJ35" i="1" s="1"/>
  <c r="BK35" i="1" s="1"/>
  <c r="CB29" i="1" a="1"/>
  <c r="CB29" i="1" s="1"/>
  <c r="CC29" i="1" s="1"/>
  <c r="BS29" i="1" a="1"/>
  <c r="BS29" i="1" s="1"/>
  <c r="BT29" i="1" s="1"/>
  <c r="BY5" i="1" a="1"/>
  <c r="BY5" i="1" s="1"/>
  <c r="BZ5" i="1" s="1"/>
  <c r="BV5" i="1" a="1"/>
  <c r="BV5" i="1" s="1"/>
  <c r="BW5" i="1" s="1"/>
  <c r="BM5" i="1" a="1"/>
  <c r="BM5" i="1" s="1"/>
  <c r="BN5" i="1" s="1"/>
  <c r="BP5" i="1" a="1"/>
  <c r="BP5" i="1" s="1"/>
  <c r="BQ5" i="1" s="1"/>
  <c r="BG5" i="1" a="1"/>
  <c r="BG5" i="1" s="1"/>
  <c r="BH5" i="1" s="1"/>
  <c r="BA5" i="1" a="1"/>
  <c r="BA5" i="1" s="1"/>
  <c r="BB5" i="1" s="1"/>
  <c r="BJ5" i="1" a="1"/>
  <c r="BJ5" i="1" s="1"/>
  <c r="BK5" i="1" s="1"/>
  <c r="BD5" i="1" a="1"/>
  <c r="BD5" i="1" s="1"/>
  <c r="BE5" i="1" s="1"/>
  <c r="BP16" i="1" a="1"/>
  <c r="BP16" i="1" s="1"/>
  <c r="BQ16" i="1" s="1"/>
  <c r="BJ16" i="1" a="1"/>
  <c r="BJ16" i="1" s="1"/>
  <c r="BK16" i="1" s="1"/>
  <c r="BM16" i="1" a="1"/>
  <c r="BM16" i="1" s="1"/>
  <c r="BN16" i="1" s="1"/>
  <c r="BY16" i="1" a="1"/>
  <c r="BY16" i="1" s="1"/>
  <c r="BZ16" i="1" s="1"/>
  <c r="BV16" i="1" a="1"/>
  <c r="BV16" i="1" s="1"/>
  <c r="BW16" i="1" s="1"/>
  <c r="BA16" i="1" a="1"/>
  <c r="BA16" i="1" s="1"/>
  <c r="BB16" i="1" s="1"/>
  <c r="BG16" i="1" a="1"/>
  <c r="BG16" i="1" s="1"/>
  <c r="BH16" i="1" s="1"/>
  <c r="BD16" i="1" a="1"/>
  <c r="BD16" i="1" s="1"/>
  <c r="BE16" i="1" s="1"/>
  <c r="BS10" i="1" a="1"/>
  <c r="BS10" i="1" s="1"/>
  <c r="BT10" i="1" s="1"/>
  <c r="CB10" i="1" a="1"/>
  <c r="CB10" i="1" s="1"/>
  <c r="CC10" i="1" s="1"/>
  <c r="CH30" i="1" a="1"/>
  <c r="CH30" i="1" s="1"/>
  <c r="CI30" i="1" s="1"/>
  <c r="BS23" i="1" a="1"/>
  <c r="BS23" i="1" s="1"/>
  <c r="BT23" i="1" s="1"/>
  <c r="CB23" i="1" a="1"/>
  <c r="CB23" i="1" s="1"/>
  <c r="CC23" i="1" s="1"/>
  <c r="BS9" i="1" a="1"/>
  <c r="BS9" i="1" s="1"/>
  <c r="BT9" i="1" s="1"/>
  <c r="CB9" i="1" a="1"/>
  <c r="CB9" i="1" s="1"/>
  <c r="CC9" i="1" s="1"/>
  <c r="CH12" i="1" a="1"/>
  <c r="CH12" i="1" s="1"/>
  <c r="CI12" i="1" s="1"/>
  <c r="CH21" i="1" a="1"/>
  <c r="CH21" i="1" s="1"/>
  <c r="CI21" i="1" s="1"/>
  <c r="BG21" i="1" a="1"/>
  <c r="BG21" i="1" s="1"/>
  <c r="BH21" i="1" s="1"/>
  <c r="BD21" i="1" a="1"/>
  <c r="BD21" i="1" s="1"/>
  <c r="BE21" i="1" s="1"/>
  <c r="BY21" i="1" a="1"/>
  <c r="BY21" i="1" s="1"/>
  <c r="BZ21" i="1" s="1"/>
  <c r="BV21" i="1" a="1"/>
  <c r="BV21" i="1" s="1"/>
  <c r="BW21" i="1" s="1"/>
  <c r="BP21" i="1" a="1"/>
  <c r="BP21" i="1" s="1"/>
  <c r="BQ21" i="1" s="1"/>
  <c r="BM21" i="1" a="1"/>
  <c r="BM21" i="1" s="1"/>
  <c r="BN21" i="1" s="1"/>
  <c r="BJ21" i="1" a="1"/>
  <c r="BJ21" i="1" s="1"/>
  <c r="BK21" i="1" s="1"/>
  <c r="BA21" i="1" a="1"/>
  <c r="BA21" i="1" s="1"/>
  <c r="BB21" i="1" s="1"/>
  <c r="BG2" i="1" a="1"/>
  <c r="BG2" i="1" s="1"/>
  <c r="BH2" i="1" s="1"/>
  <c r="BY2" i="1" a="1"/>
  <c r="BY2" i="1" s="1"/>
  <c r="BZ2" i="1" s="1"/>
  <c r="BM2" i="1" a="1"/>
  <c r="BM2" i="1" s="1"/>
  <c r="BN2" i="1" s="1"/>
  <c r="BV2" i="1" a="1"/>
  <c r="BV2" i="1" s="1"/>
  <c r="BW2" i="1" s="1"/>
  <c r="BJ2" i="1" a="1"/>
  <c r="BJ2" i="1" s="1"/>
  <c r="BK2" i="1" s="1"/>
  <c r="BP2" i="1" a="1"/>
  <c r="BP2" i="1" s="1"/>
  <c r="BQ2" i="1" s="1"/>
  <c r="BD2" i="1" a="1"/>
  <c r="BD2" i="1" s="1"/>
  <c r="BE2" i="1" s="1"/>
  <c r="BA2" i="1" a="1"/>
  <c r="BA2" i="1" s="1"/>
  <c r="BB2" i="1" s="1"/>
  <c r="BS14" i="1" a="1"/>
  <c r="BS14" i="1" s="1"/>
  <c r="BT14" i="1" s="1"/>
  <c r="CB14" i="1" a="1"/>
  <c r="CB14" i="1" s="1"/>
  <c r="CC14" i="1" s="1"/>
  <c r="BS4" i="1" a="1"/>
  <c r="BS4" i="1" s="1"/>
  <c r="BT4" i="1" s="1"/>
  <c r="CB4" i="1" a="1"/>
  <c r="CB4" i="1" s="1"/>
  <c r="CC4" i="1" s="1"/>
  <c r="BG7" i="1" a="1"/>
  <c r="BG7" i="1" s="1"/>
  <c r="BH7" i="1" s="1"/>
  <c r="BD7" i="1" a="1"/>
  <c r="BD7" i="1" s="1"/>
  <c r="BE7" i="1" s="1"/>
  <c r="BY7" i="1" a="1"/>
  <c r="BY7" i="1" s="1"/>
  <c r="BZ7" i="1" s="1"/>
  <c r="BV7" i="1" a="1"/>
  <c r="BV7" i="1" s="1"/>
  <c r="BW7" i="1" s="1"/>
  <c r="BA7" i="1" a="1"/>
  <c r="BA7" i="1" s="1"/>
  <c r="BB7" i="1" s="1"/>
  <c r="BP7" i="1" a="1"/>
  <c r="BP7" i="1" s="1"/>
  <c r="BQ7" i="1" s="1"/>
  <c r="BJ7" i="1" a="1"/>
  <c r="BJ7" i="1" s="1"/>
  <c r="BK7" i="1" s="1"/>
  <c r="BM7" i="1" a="1"/>
  <c r="BM7" i="1" s="1"/>
  <c r="BN7" i="1" s="1"/>
  <c r="BY15" i="1" a="1"/>
  <c r="BY15" i="1" s="1"/>
  <c r="BZ15" i="1" s="1"/>
  <c r="BV15" i="1" a="1"/>
  <c r="BV15" i="1" s="1"/>
  <c r="BW15" i="1" s="1"/>
  <c r="BA15" i="1" a="1"/>
  <c r="BA15" i="1" s="1"/>
  <c r="BB15" i="1" s="1"/>
  <c r="BP15" i="1" a="1"/>
  <c r="BP15" i="1" s="1"/>
  <c r="BQ15" i="1" s="1"/>
  <c r="BM15" i="1" a="1"/>
  <c r="BM15" i="1" s="1"/>
  <c r="BN15" i="1" s="1"/>
  <c r="BG15" i="1" a="1"/>
  <c r="BG15" i="1" s="1"/>
  <c r="BH15" i="1" s="1"/>
  <c r="BJ15" i="1" a="1"/>
  <c r="BJ15" i="1" s="1"/>
  <c r="BK15" i="1" s="1"/>
  <c r="BD15" i="1" a="1"/>
  <c r="BD15" i="1" s="1"/>
  <c r="BE15" i="1" s="1"/>
  <c r="BY26" i="1" a="1"/>
  <c r="BY26" i="1" s="1"/>
  <c r="BZ26" i="1" s="1"/>
  <c r="BV26" i="1" a="1"/>
  <c r="BV26" i="1" s="1"/>
  <c r="BW26" i="1" s="1"/>
  <c r="BM26" i="1" a="1"/>
  <c r="BM26" i="1" s="1"/>
  <c r="BN26" i="1" s="1"/>
  <c r="BP26" i="1" a="1"/>
  <c r="BP26" i="1" s="1"/>
  <c r="BQ26" i="1" s="1"/>
  <c r="BD26" i="1" a="1"/>
  <c r="BD26" i="1" s="1"/>
  <c r="BE26" i="1" s="1"/>
  <c r="BJ26" i="1" a="1"/>
  <c r="BJ26" i="1" s="1"/>
  <c r="BK26" i="1" s="1"/>
  <c r="BG26" i="1" a="1"/>
  <c r="BG26" i="1" s="1"/>
  <c r="BH26" i="1" s="1"/>
  <c r="BA26" i="1" a="1"/>
  <c r="BA26" i="1" s="1"/>
  <c r="BB26" i="1" s="1"/>
  <c r="BP6" i="1" a="1"/>
  <c r="BP6" i="1" s="1"/>
  <c r="BQ6" i="1" s="1"/>
  <c r="CH6" i="1" a="1"/>
  <c r="CH6" i="1" s="1"/>
  <c r="CI6" i="1" s="1"/>
  <c r="BJ6" i="1" a="1"/>
  <c r="BJ6" i="1" s="1"/>
  <c r="BK6" i="1" s="1"/>
  <c r="BY6" i="1" a="1"/>
  <c r="BY6" i="1" s="1"/>
  <c r="BZ6" i="1" s="1"/>
  <c r="BV6" i="1" a="1"/>
  <c r="BV6" i="1" s="1"/>
  <c r="BW6" i="1" s="1"/>
  <c r="BM6" i="1" a="1"/>
  <c r="BM6" i="1" s="1"/>
  <c r="BN6" i="1" s="1"/>
  <c r="BD6" i="1" a="1"/>
  <c r="BD6" i="1" s="1"/>
  <c r="BE6" i="1" s="1"/>
  <c r="BA6" i="1" a="1"/>
  <c r="BA6" i="1" s="1"/>
  <c r="BB6" i="1" s="1"/>
  <c r="BG6" i="1" a="1"/>
  <c r="BG6" i="1" s="1"/>
  <c r="BH6" i="1" s="1"/>
  <c r="CH8" i="1" a="1"/>
  <c r="CH8" i="1" s="1"/>
  <c r="CI8" i="1" s="1"/>
  <c r="BY8" i="1" a="1"/>
  <c r="BY8" i="1" s="1"/>
  <c r="BZ8" i="1" s="1"/>
  <c r="BD8" i="1" a="1"/>
  <c r="BD8" i="1" s="1"/>
  <c r="BE8" i="1" s="1"/>
  <c r="BV8" i="1" a="1"/>
  <c r="BV8" i="1" s="1"/>
  <c r="BW8" i="1" s="1"/>
  <c r="BA8" i="1" a="1"/>
  <c r="BA8" i="1" s="1"/>
  <c r="BB8" i="1" s="1"/>
  <c r="BP8" i="1" a="1"/>
  <c r="BP8" i="1" s="1"/>
  <c r="BQ8" i="1" s="1"/>
  <c r="BJ8" i="1" a="1"/>
  <c r="BJ8" i="1" s="1"/>
  <c r="BK8" i="1" s="1"/>
  <c r="BG8" i="1" a="1"/>
  <c r="BG8" i="1" s="1"/>
  <c r="BH8" i="1" s="1"/>
  <c r="BM8" i="1" a="1"/>
  <c r="BM8" i="1" s="1"/>
  <c r="BN8" i="1" s="1"/>
  <c r="BY27" i="1" a="1"/>
  <c r="BY27" i="1" s="1"/>
  <c r="BZ27" i="1" s="1"/>
  <c r="BV27" i="1" a="1"/>
  <c r="BV27" i="1" s="1"/>
  <c r="BW27" i="1" s="1"/>
  <c r="BM27" i="1" a="1"/>
  <c r="BM27" i="1" s="1"/>
  <c r="BN27" i="1" s="1"/>
  <c r="CH27" i="1" a="1"/>
  <c r="CH27" i="1" s="1"/>
  <c r="CI27" i="1" s="1"/>
  <c r="BP27" i="1" a="1"/>
  <c r="BP27" i="1" s="1"/>
  <c r="BQ27" i="1" s="1"/>
  <c r="BJ27" i="1" a="1"/>
  <c r="BJ27" i="1" s="1"/>
  <c r="BK27" i="1" s="1"/>
  <c r="BG27" i="1" a="1"/>
  <c r="BG27" i="1" s="1"/>
  <c r="BH27" i="1" s="1"/>
  <c r="BA27" i="1" a="1"/>
  <c r="BA27" i="1" s="1"/>
  <c r="BB27" i="1" s="1"/>
  <c r="BD27" i="1" a="1"/>
  <c r="BD27" i="1" s="1"/>
  <c r="BE27" i="1" s="1"/>
  <c r="BG17" i="1" a="1"/>
  <c r="BG17" i="1" s="1"/>
  <c r="BH17" i="1" s="1"/>
  <c r="BY17" i="1" a="1"/>
  <c r="BY17" i="1" s="1"/>
  <c r="BZ17" i="1" s="1"/>
  <c r="BM17" i="1" a="1"/>
  <c r="BM17" i="1" s="1"/>
  <c r="BN17" i="1" s="1"/>
  <c r="CH17" i="1" a="1"/>
  <c r="CH17" i="1" s="1"/>
  <c r="CI17" i="1" s="1"/>
  <c r="BV17" i="1" a="1"/>
  <c r="BV17" i="1" s="1"/>
  <c r="BW17" i="1" s="1"/>
  <c r="BJ17" i="1" a="1"/>
  <c r="BJ17" i="1" s="1"/>
  <c r="BK17" i="1" s="1"/>
  <c r="BA17" i="1" a="1"/>
  <c r="BA17" i="1" s="1"/>
  <c r="BB17" i="1" s="1"/>
  <c r="BP17" i="1" a="1"/>
  <c r="BP17" i="1" s="1"/>
  <c r="BQ17" i="1" s="1"/>
  <c r="BD17" i="1" a="1"/>
  <c r="BD17" i="1" s="1"/>
  <c r="BE17" i="1" s="1"/>
  <c r="CH23" i="1" a="1"/>
  <c r="CH23" i="1" s="1"/>
  <c r="CI23" i="1" s="1"/>
  <c r="BY32" i="1" a="1"/>
  <c r="BY32" i="1" s="1"/>
  <c r="BZ32" i="1" s="1"/>
  <c r="BV32" i="1" a="1"/>
  <c r="BV32" i="1" s="1"/>
  <c r="BW32" i="1" s="1"/>
  <c r="BM32" i="1" a="1"/>
  <c r="BM32" i="1" s="1"/>
  <c r="BN32" i="1" s="1"/>
  <c r="BP32" i="1" a="1"/>
  <c r="BP32" i="1" s="1"/>
  <c r="BQ32" i="1" s="1"/>
  <c r="BJ32" i="1" a="1"/>
  <c r="BJ32" i="1" s="1"/>
  <c r="BK32" i="1" s="1"/>
  <c r="BG32" i="1" a="1"/>
  <c r="BG32" i="1" s="1"/>
  <c r="BH32" i="1" s="1"/>
  <c r="BA32" i="1" a="1"/>
  <c r="BA32" i="1" s="1"/>
  <c r="BB32" i="1" s="1"/>
  <c r="BD32" i="1" a="1"/>
  <c r="BD32" i="1" s="1"/>
  <c r="BE32" i="1" s="1"/>
  <c r="BP20" i="1" a="1"/>
  <c r="BP20" i="1" s="1"/>
  <c r="BQ20" i="1" s="1"/>
  <c r="CH20" i="1" a="1"/>
  <c r="CH20" i="1" s="1"/>
  <c r="CI20" i="1" s="1"/>
  <c r="BJ20" i="1" a="1"/>
  <c r="BJ20" i="1" s="1"/>
  <c r="BK20" i="1" s="1"/>
  <c r="BY20" i="1" a="1"/>
  <c r="BY20" i="1" s="1"/>
  <c r="BZ20" i="1" s="1"/>
  <c r="BV20" i="1" a="1"/>
  <c r="BV20" i="1" s="1"/>
  <c r="BW20" i="1" s="1"/>
  <c r="BA20" i="1" a="1"/>
  <c r="BA20" i="1" s="1"/>
  <c r="BB20" i="1" s="1"/>
  <c r="BM20" i="1" a="1"/>
  <c r="BM20" i="1" s="1"/>
  <c r="BN20" i="1" s="1"/>
  <c r="BG20" i="1" a="1"/>
  <c r="BG20" i="1" s="1"/>
  <c r="BH20" i="1" s="1"/>
  <c r="BD20" i="1" a="1"/>
  <c r="BD20" i="1" s="1"/>
  <c r="BE20" i="1" s="1"/>
  <c r="BS33" i="1" a="1"/>
  <c r="BS33" i="1" s="1"/>
  <c r="BT33" i="1" s="1"/>
  <c r="CB33" i="1" a="1"/>
  <c r="CB33" i="1" s="1"/>
  <c r="CC33" i="1" s="1"/>
  <c r="BP28" i="1" a="1"/>
  <c r="BP28" i="1" s="1"/>
  <c r="BQ28" i="1" s="1"/>
  <c r="BJ28" i="1" a="1"/>
  <c r="BJ28" i="1" s="1"/>
  <c r="BK28" i="1" s="1"/>
  <c r="BY28" i="1" a="1"/>
  <c r="BY28" i="1" s="1"/>
  <c r="BZ28" i="1" s="1"/>
  <c r="BV28" i="1" a="1"/>
  <c r="BV28" i="1" s="1"/>
  <c r="BW28" i="1" s="1"/>
  <c r="BM28" i="1" a="1"/>
  <c r="BM28" i="1" s="1"/>
  <c r="BN28" i="1" s="1"/>
  <c r="BG28" i="1" a="1"/>
  <c r="BG28" i="1" s="1"/>
  <c r="BH28" i="1" s="1"/>
  <c r="BD28" i="1" a="1"/>
  <c r="BD28" i="1" s="1"/>
  <c r="BE28" i="1" s="1"/>
  <c r="BA28" i="1" a="1"/>
  <c r="BA28" i="1" s="1"/>
  <c r="BB28" i="1" s="1"/>
  <c r="BG25" i="1" a="1"/>
  <c r="BG25" i="1" s="1"/>
  <c r="BH25" i="1" s="1"/>
  <c r="BY25" i="1" a="1"/>
  <c r="BY25" i="1" s="1"/>
  <c r="BZ25" i="1" s="1"/>
  <c r="BM25" i="1" a="1"/>
  <c r="BM25" i="1" s="1"/>
  <c r="BN25" i="1" s="1"/>
  <c r="CH25" i="1" a="1"/>
  <c r="CH25" i="1" s="1"/>
  <c r="CI25" i="1" s="1"/>
  <c r="BV25" i="1" a="1"/>
  <c r="BV25" i="1" s="1"/>
  <c r="BW25" i="1" s="1"/>
  <c r="BP25" i="1" a="1"/>
  <c r="BP25" i="1" s="1"/>
  <c r="BQ25" i="1" s="1"/>
  <c r="BD25" i="1" a="1"/>
  <c r="BD25" i="1" s="1"/>
  <c r="BE25" i="1" s="1"/>
  <c r="BJ25" i="1" a="1"/>
  <c r="BJ25" i="1" s="1"/>
  <c r="BK25" i="1" s="1"/>
  <c r="BA25" i="1" a="1"/>
  <c r="BA25" i="1" s="1"/>
  <c r="BB25" i="1" s="1"/>
  <c r="CB25" i="1" l="1" a="1"/>
  <c r="CB25" i="1" s="1"/>
  <c r="CC25" i="1" s="1"/>
  <c r="BS25" i="1" a="1"/>
  <c r="BS25" i="1" s="1"/>
  <c r="BT25" i="1" s="1"/>
  <c r="BS28" i="1" a="1"/>
  <c r="BS28" i="1" s="1"/>
  <c r="BT28" i="1" s="1"/>
  <c r="CB28" i="1" a="1"/>
  <c r="CB28" i="1" s="1"/>
  <c r="CC28" i="1" s="1"/>
  <c r="BS15" i="1" a="1"/>
  <c r="BS15" i="1" s="1"/>
  <c r="BT15" i="1" s="1"/>
  <c r="CB15" i="1" a="1"/>
  <c r="CB15" i="1" s="1"/>
  <c r="CC15" i="1" s="1"/>
  <c r="CH2" i="1" a="1"/>
  <c r="CH2" i="1" s="1"/>
  <c r="CI2" i="1" s="1"/>
  <c r="CH5" i="1" a="1"/>
  <c r="CH5" i="1" s="1"/>
  <c r="CI5" i="1" s="1"/>
  <c r="CH18" i="1" a="1"/>
  <c r="CH18" i="1" s="1"/>
  <c r="CI18" i="1" s="1"/>
  <c r="BS34" i="1" a="1"/>
  <c r="BS34" i="1" s="1"/>
  <c r="BT34" i="1" s="1"/>
  <c r="CB34" i="1" a="1"/>
  <c r="CB34" i="1" s="1"/>
  <c r="CC34" i="1" s="1"/>
  <c r="BS3" i="1" a="1"/>
  <c r="BS3" i="1" s="1"/>
  <c r="BT3" i="1" s="1"/>
  <c r="CB3" i="1" a="1"/>
  <c r="CB3" i="1" s="1"/>
  <c r="CC3" i="1" s="1"/>
  <c r="BS19" i="1" a="1"/>
  <c r="BS19" i="1" s="1"/>
  <c r="BT19" i="1" s="1"/>
  <c r="CB19" i="1" a="1"/>
  <c r="CB19" i="1" s="1"/>
  <c r="CC19" i="1" s="1"/>
  <c r="CH32" i="1" a="1"/>
  <c r="CH32" i="1" s="1"/>
  <c r="CI32" i="1" s="1"/>
  <c r="BS26" i="1" a="1"/>
  <c r="BS26" i="1" s="1"/>
  <c r="BT26" i="1" s="1"/>
  <c r="CB26" i="1" a="1"/>
  <c r="CB26" i="1" s="1"/>
  <c r="CC26" i="1" s="1"/>
  <c r="CH15" i="1" a="1"/>
  <c r="CH15" i="1" s="1"/>
  <c r="CI15" i="1" s="1"/>
  <c r="BS16" i="1" a="1"/>
  <c r="BS16" i="1" s="1"/>
  <c r="BT16" i="1" s="1"/>
  <c r="CB16" i="1" a="1"/>
  <c r="CB16" i="1" s="1"/>
  <c r="CC16" i="1" s="1"/>
  <c r="BS5" i="1" a="1"/>
  <c r="BS5" i="1" s="1"/>
  <c r="BT5" i="1" s="1"/>
  <c r="CB5" i="1" a="1"/>
  <c r="CB5" i="1" s="1"/>
  <c r="CC5" i="1" s="1"/>
  <c r="CH3" i="1" a="1"/>
  <c r="CH3" i="1" s="1"/>
  <c r="CI3" i="1" s="1"/>
  <c r="BS22" i="1" a="1"/>
  <c r="BS22" i="1" s="1"/>
  <c r="BT22" i="1" s="1"/>
  <c r="CB22" i="1" a="1"/>
  <c r="CB22" i="1" s="1"/>
  <c r="CC22" i="1" s="1"/>
  <c r="BS21" i="1" a="1"/>
  <c r="BS21" i="1" s="1"/>
  <c r="BT21" i="1" s="1"/>
  <c r="CB21" i="1" a="1"/>
  <c r="CB21" i="1" s="1"/>
  <c r="CC21" i="1" s="1"/>
  <c r="CH26" i="1" a="1"/>
  <c r="CH26" i="1" s="1"/>
  <c r="CI26" i="1" s="1"/>
  <c r="BS27" i="1" a="1"/>
  <c r="BS27" i="1" s="1"/>
  <c r="BT27" i="1" s="1"/>
  <c r="CB27" i="1" a="1"/>
  <c r="CB27" i="1" s="1"/>
  <c r="CC27" i="1" s="1"/>
  <c r="CH28" i="1" a="1"/>
  <c r="CH28" i="1" s="1"/>
  <c r="CI28" i="1" s="1"/>
  <c r="BS20" i="1" a="1"/>
  <c r="BS20" i="1" s="1"/>
  <c r="BT20" i="1" s="1"/>
  <c r="CB20" i="1" a="1"/>
  <c r="CB20" i="1" s="1"/>
  <c r="CC20" i="1" s="1"/>
  <c r="BS32" i="1" a="1"/>
  <c r="BS32" i="1" s="1"/>
  <c r="BT32" i="1" s="1"/>
  <c r="CB32" i="1" a="1"/>
  <c r="CB32" i="1" s="1"/>
  <c r="CC32" i="1" s="1"/>
  <c r="BS8" i="1" a="1"/>
  <c r="BS8" i="1" s="1"/>
  <c r="BT8" i="1" s="1"/>
  <c r="CB8" i="1" a="1"/>
  <c r="CB8" i="1" s="1"/>
  <c r="CC8" i="1" s="1"/>
  <c r="BS6" i="1" a="1"/>
  <c r="BS6" i="1" s="1"/>
  <c r="BT6" i="1" s="1"/>
  <c r="CB6" i="1" a="1"/>
  <c r="CB6" i="1" s="1"/>
  <c r="CC6" i="1" s="1"/>
  <c r="CH7" i="1" a="1"/>
  <c r="CH7" i="1" s="1"/>
  <c r="CI7" i="1" s="1"/>
  <c r="BS35" i="1" a="1"/>
  <c r="BS35" i="1" s="1"/>
  <c r="BT35" i="1" s="1"/>
  <c r="CB35" i="1" a="1"/>
  <c r="CB35" i="1" s="1"/>
  <c r="CC35" i="1" s="1"/>
  <c r="BS17" i="1" a="1"/>
  <c r="BS17" i="1" s="1"/>
  <c r="BT17" i="1" s="1"/>
  <c r="CB17" i="1" a="1"/>
  <c r="CB17" i="1" s="1"/>
  <c r="CC17" i="1" s="1"/>
  <c r="CH16" i="1" a="1"/>
  <c r="CH16" i="1" s="1"/>
  <c r="CI16" i="1" s="1"/>
  <c r="BS24" i="1" a="1"/>
  <c r="BS24" i="1" s="1"/>
  <c r="BT24" i="1" s="1"/>
  <c r="CB24" i="1" a="1"/>
  <c r="CB24" i="1" s="1"/>
  <c r="CC24" i="1" s="1"/>
  <c r="BS2" i="1" a="1"/>
  <c r="BS2" i="1" s="1"/>
  <c r="BT2" i="1" s="1"/>
  <c r="CB2" i="1" a="1"/>
  <c r="CB2" i="1" s="1"/>
  <c r="CC2" i="1" s="1"/>
  <c r="CB7" i="1" a="1"/>
  <c r="CB7" i="1" s="1"/>
  <c r="CC7" i="1" s="1"/>
  <c r="BS7" i="1" a="1"/>
  <c r="BS7" i="1" s="1"/>
  <c r="BT7" i="1" s="1"/>
  <c r="BS18" i="1" a="1"/>
  <c r="BS18" i="1" s="1"/>
  <c r="BT18" i="1" s="1"/>
  <c r="CB18" i="1" a="1"/>
  <c r="CB18" i="1" s="1"/>
  <c r="CC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<sst xmlns="http://schemas.openxmlformats.org/spreadsheetml/2006/main" count="2364" uniqueCount="345">
  <si>
    <t>univ</t>
  </si>
  <si>
    <t>ref_date</t>
  </si>
  <si>
    <t>ambito</t>
  </si>
  <si>
    <t>segmento</t>
  </si>
  <si>
    <t>instrmnt_id_aux</t>
  </si>
  <si>
    <t>instrmnt_id</t>
  </si>
  <si>
    <t>lcl_instrmnt_id</t>
  </si>
  <si>
    <t>cempcta</t>
  </si>
  <si>
    <t>ckbalcao</t>
  </si>
  <si>
    <t>cknumcta</t>
  </si>
  <si>
    <t>zdeposit_mis</t>
  </si>
  <si>
    <t>ckarea</t>
  </si>
  <si>
    <t>bsnss_area</t>
  </si>
  <si>
    <t>cnclld_instrmnt_stts</t>
  </si>
  <si>
    <t>nw_bsnss</t>
  </si>
  <si>
    <t>mngmnt_prdct</t>
  </si>
  <si>
    <t>flg_intrbsnss</t>
  </si>
  <si>
    <t>intrbsnss_adj_cod</t>
  </si>
  <si>
    <t>cod_soc_dstntn</t>
  </si>
  <si>
    <t>bsnss_area_dstntn</t>
  </si>
  <si>
    <t>intrnl_trnsfr_rt_off_blnc</t>
  </si>
  <si>
    <t>rwa_off_blnc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</si>
  <si>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</si>
  <si>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</si>
  <si>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</si>
  <si>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</si>
  <si>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</si>
  <si>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</si>
  <si>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</si>
  <si>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</si>
  <si>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</si>
  <si>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</si>
  <si>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imprmnt_stts</t>
  </si>
  <si>
    <t>prfrmng_stts</t>
  </si>
  <si>
    <t>grss_crryng_amnt_instrmnt</t>
  </si>
  <si>
    <t>accmltd_chngs_fv_cr_instrmnt</t>
  </si>
  <si>
    <t>off_blnc_sht_amnt_instrmnt</t>
  </si>
  <si>
    <t>prvsns_off_blnc_sht</t>
  </si>
  <si>
    <t>rwa</t>
  </si>
  <si>
    <t>accmltd_imprmnt_instrmnt</t>
  </si>
  <si>
    <t>last_ref_date</t>
  </si>
  <si>
    <t>typ_off_blnc_prdct</t>
  </si>
  <si>
    <t>subportfolio_id</t>
  </si>
  <si>
    <t>dflt_stts_instrmnt</t>
  </si>
  <si>
    <t>typ_instrmnt</t>
  </si>
  <si>
    <t>accntng_clssfctn</t>
  </si>
  <si>
    <t>cod_soc_intrgrp</t>
  </si>
  <si>
    <t>msaldo_final</t>
  </si>
  <si>
    <t>msaldo_mis</t>
  </si>
  <si>
    <t>count_chave</t>
  </si>
  <si>
    <t>ponderador</t>
  </si>
  <si>
    <t>grss_cmmssn_incm</t>
  </si>
  <si>
    <t>grss_cmmssn_incm_off_blnc</t>
  </si>
  <si>
    <t>grss_cmmssn_expns</t>
  </si>
  <si>
    <t>grss_cmmssn_expns_off_blnc</t>
  </si>
  <si>
    <t>nt_ln_lss_prvsn</t>
  </si>
  <si>
    <t>nt_ln_lss_prvsn_off_blnc</t>
  </si>
  <si>
    <t>grss_intrst_incm</t>
  </si>
  <si>
    <t>grss_intrst_expns</t>
  </si>
  <si>
    <t>gns_fnncl_trnsctn_exchng_dffrncs</t>
  </si>
  <si>
    <t>intrnl_trnsfr_rt</t>
  </si>
  <si>
    <t>avrg_blnc</t>
  </si>
  <si>
    <t>avrg_blnc_off_blnc</t>
  </si>
  <si>
    <t>COMUM PM</t>
  </si>
  <si>
    <t>2025-03-31</t>
  </si>
  <si>
    <t>GD</t>
  </si>
  <si>
    <t>ESTR</t>
  </si>
  <si>
    <t>82000020100005442001520240283046</t>
  </si>
  <si>
    <t>31</t>
  </si>
  <si>
    <t>0000</t>
  </si>
  <si>
    <t>20100005442</t>
  </si>
  <si>
    <t>V0050C33343I125</t>
  </si>
  <si>
    <t>AN01040220</t>
  </si>
  <si>
    <t>BA5</t>
  </si>
  <si>
    <t>N</t>
  </si>
  <si>
    <t>Y</t>
  </si>
  <si>
    <t>PRDCT010103</t>
  </si>
  <si>
    <t>N/A</t>
  </si>
  <si>
    <t>00000</t>
  </si>
  <si>
    <t>0.000000</t>
  </si>
  <si>
    <t>23319.29</t>
  </si>
  <si>
    <t>23</t>
  </si>
  <si>
    <t>11</t>
  </si>
  <si>
    <t>75291.08</t>
  </si>
  <si>
    <t>11111111111.00</t>
  </si>
  <si>
    <t>0.00</t>
  </si>
  <si>
    <t>APCAPRES1P</t>
  </si>
  <si>
    <t>14</t>
  </si>
  <si>
    <t>71</t>
  </si>
  <si>
    <t>6</t>
  </si>
  <si>
    <t>82000020100005442001520250102622</t>
  </si>
  <si>
    <t>684.80</t>
  </si>
  <si>
    <t>2211.01</t>
  </si>
  <si>
    <t>CANCELADOS</t>
  </si>
  <si>
    <t>31000314940851096000000000000000</t>
  </si>
  <si>
    <t>0003</t>
  </si>
  <si>
    <t>14940851096</t>
  </si>
  <si>
    <t>000000000000000</t>
  </si>
  <si>
    <t>AN01010201</t>
  </si>
  <si>
    <t>BA2</t>
  </si>
  <si>
    <t>C</t>
  </si>
  <si>
    <t>PRDCT010101</t>
  </si>
  <si>
    <t>11111111111.000000</t>
  </si>
  <si>
    <t>11111111111</t>
  </si>
  <si>
    <t>2025-02-28</t>
  </si>
  <si>
    <t>HOGCAPRES1P</t>
  </si>
  <si>
    <t>1004</t>
  </si>
  <si>
    <t>82000020100005442000007400570696</t>
  </si>
  <si>
    <t>641382.64</t>
  </si>
  <si>
    <t>2070834.56</t>
  </si>
  <si>
    <t>MC42</t>
  </si>
  <si>
    <t>APGUARS1P</t>
  </si>
  <si>
    <t>82000020100005442001520250102730</t>
  </si>
  <si>
    <t>569.49</t>
  </si>
  <si>
    <t>1838.72</t>
  </si>
  <si>
    <t>82000020100005442001520250106448</t>
  </si>
  <si>
    <t>13482.49</t>
  </si>
  <si>
    <t>43530.97</t>
  </si>
  <si>
    <t>82000020100005442001520250102766</t>
  </si>
  <si>
    <t>0.16</t>
  </si>
  <si>
    <t>0.51</t>
  </si>
  <si>
    <t>82000000000247479000450000764712</t>
  </si>
  <si>
    <t>00000247479</t>
  </si>
  <si>
    <t>000450000764712</t>
  </si>
  <si>
    <t>AN01020410</t>
  </si>
  <si>
    <t>BA4</t>
  </si>
  <si>
    <t>0.400000</t>
  </si>
  <si>
    <t>16970.40</t>
  </si>
  <si>
    <t>24</t>
  </si>
  <si>
    <t>17067.51</t>
  </si>
  <si>
    <t>9153.75</t>
  </si>
  <si>
    <t>951.24</t>
  </si>
  <si>
    <t>SNFCAPRES2P</t>
  </si>
  <si>
    <t>80</t>
  </si>
  <si>
    <t>82000000000247494000420000767284</t>
  </si>
  <si>
    <t>00000247494</t>
  </si>
  <si>
    <t>000420000767284</t>
  </si>
  <si>
    <t>4650.25</t>
  </si>
  <si>
    <t>25</t>
  </si>
  <si>
    <t>1</t>
  </si>
  <si>
    <t>1654.23</t>
  </si>
  <si>
    <t>2996.02</t>
  </si>
  <si>
    <t>SNFCAPRES3NP</t>
  </si>
  <si>
    <t>18</t>
  </si>
  <si>
    <t>82000000000247524000450000763856</t>
  </si>
  <si>
    <t>00000247524</t>
  </si>
  <si>
    <t>000450000763856</t>
  </si>
  <si>
    <t>23136.50</t>
  </si>
  <si>
    <t>23223.74</t>
  </si>
  <si>
    <t>12706.29</t>
  </si>
  <si>
    <t>6459.39</t>
  </si>
  <si>
    <t>82000000000247530000450000611801</t>
  </si>
  <si>
    <t>00000247530</t>
  </si>
  <si>
    <t>000450000611801</t>
  </si>
  <si>
    <t>13067.92</t>
  </si>
  <si>
    <t>13138.68</t>
  </si>
  <si>
    <t>7453.02</t>
  </si>
  <si>
    <t>25.06</t>
  </si>
  <si>
    <t>SNFCAPRES1P</t>
  </si>
  <si>
    <t>82000000000247547000450000735784</t>
  </si>
  <si>
    <t>00000247547</t>
  </si>
  <si>
    <t>000450000735784</t>
  </si>
  <si>
    <t>28369.09</t>
  </si>
  <si>
    <t>28431.80</t>
  </si>
  <si>
    <t>16179.77</t>
  </si>
  <si>
    <t>54.31</t>
  </si>
  <si>
    <t>31005125863220011691094500000001</t>
  </si>
  <si>
    <t>0051</t>
  </si>
  <si>
    <t>25863220011</t>
  </si>
  <si>
    <t>0.591313</t>
  </si>
  <si>
    <t>2565.90</t>
  </si>
  <si>
    <t>832.38</t>
  </si>
  <si>
    <t>2722.08</t>
  </si>
  <si>
    <t>14.31</t>
  </si>
  <si>
    <t>1036.37</t>
  </si>
  <si>
    <t>5.62</t>
  </si>
  <si>
    <t>MISS</t>
  </si>
  <si>
    <t>51</t>
  </si>
  <si>
    <t>82000020100005442001520250102452</t>
  </si>
  <si>
    <t>815.05</t>
  </si>
  <si>
    <t>2631.54</t>
  </si>
  <si>
    <t>82000020100005442001520250102776</t>
  </si>
  <si>
    <t>7460.34</t>
  </si>
  <si>
    <t>24087.23</t>
  </si>
  <si>
    <t>82000020100005442001520250106498</t>
  </si>
  <si>
    <t>8009.60</t>
  </si>
  <si>
    <t>25860.64</t>
  </si>
  <si>
    <t>82000020100005442001520240283047</t>
  </si>
  <si>
    <t>21870.51</t>
  </si>
  <si>
    <t>70613.40</t>
  </si>
  <si>
    <t>82000020100005442001520240343053</t>
  </si>
  <si>
    <t>82000020100005442001520250106463</t>
  </si>
  <si>
    <t>47979.75</t>
  </si>
  <si>
    <t>154912.39</t>
  </si>
  <si>
    <t>82000020100005442001520250106472</t>
  </si>
  <si>
    <t>8614.32</t>
  </si>
  <si>
    <t>27813.10</t>
  </si>
  <si>
    <t>82000020100005442001520250106547</t>
  </si>
  <si>
    <t>1200.47</t>
  </si>
  <si>
    <t>3875.95</t>
  </si>
  <si>
    <t>82000020100005442001520250106549</t>
  </si>
  <si>
    <t>47208.28</t>
  </si>
  <si>
    <t>152421.56</t>
  </si>
  <si>
    <t>82000020100005442001520240343049</t>
  </si>
  <si>
    <t>82000020100005442001520250102453</t>
  </si>
  <si>
    <t>2812.90</t>
  </si>
  <si>
    <t>9082.01</t>
  </si>
  <si>
    <t>82000020100005442001520250102628</t>
  </si>
  <si>
    <t>44886.04</t>
  </si>
  <si>
    <t>144923.73</t>
  </si>
  <si>
    <t>82000020100005442001520250106449</t>
  </si>
  <si>
    <t>811.70</t>
  </si>
  <si>
    <t>2620.74</t>
  </si>
  <si>
    <t>82000020100005442001520250106450</t>
  </si>
  <si>
    <t>857.46</t>
  </si>
  <si>
    <t>2768.47</t>
  </si>
  <si>
    <t>31000311441135096000000000000000</t>
  </si>
  <si>
    <t>11441135096</t>
  </si>
  <si>
    <t>2025-01-31</t>
  </si>
  <si>
    <t>NULL</t>
  </si>
  <si>
    <t>31005125692970011596338500000001</t>
  </si>
  <si>
    <t>25692970011</t>
  </si>
  <si>
    <t>AN01010500</t>
  </si>
  <si>
    <t>0.303163</t>
  </si>
  <si>
    <t>1722.75</t>
  </si>
  <si>
    <t>114.54</t>
  </si>
  <si>
    <t>4491.71</t>
  </si>
  <si>
    <t>27.33</t>
  </si>
  <si>
    <t>518.49</t>
  </si>
  <si>
    <t>1.05</t>
  </si>
  <si>
    <t>310031955522300115250254P0070001</t>
  </si>
  <si>
    <t>0031</t>
  </si>
  <si>
    <t>95552230011</t>
  </si>
  <si>
    <t>349.39</t>
  </si>
  <si>
    <t>306.31</t>
  </si>
  <si>
    <t>203.69</t>
  </si>
  <si>
    <t>17.74</t>
  </si>
  <si>
    <t>310051256929700115963385P0040001</t>
  </si>
  <si>
    <t>147.26</t>
  </si>
  <si>
    <t>393.75</t>
  </si>
  <si>
    <t>44.32</t>
  </si>
  <si>
    <t>2.02</t>
  </si>
  <si>
    <t>310051258632200116910945P0020001</t>
  </si>
  <si>
    <t>321.63</t>
  </si>
  <si>
    <t>445.54</t>
  </si>
  <si>
    <t>129.91</t>
  </si>
  <si>
    <t>4.81</t>
  </si>
  <si>
    <t>82000020100005442001520250102681</t>
  </si>
  <si>
    <t>12010.36</t>
  </si>
  <si>
    <t>38777.91</t>
  </si>
  <si>
    <t>31003195552230011525025400000001</t>
  </si>
  <si>
    <t>3087.24</t>
  </si>
  <si>
    <t>2706.59</t>
  </si>
  <si>
    <t>1799.83</t>
  </si>
  <si>
    <t>177.90</t>
  </si>
  <si>
    <t>zdeposit</t>
  </si>
  <si>
    <t>ckmetamis</t>
  </si>
  <si>
    <t>c001_patrm</t>
  </si>
  <si>
    <t>c001_extrap</t>
  </si>
  <si>
    <t>c007_patrm</t>
  </si>
  <si>
    <t>c007_extrap</t>
  </si>
  <si>
    <t>c008_patrm</t>
  </si>
  <si>
    <t>c008_extrap</t>
  </si>
  <si>
    <t>c011_patrm</t>
  </si>
  <si>
    <t>c011_extrap</t>
  </si>
  <si>
    <t>c134_patrm</t>
  </si>
  <si>
    <t>c134_extrap_ca</t>
  </si>
  <si>
    <t>c134_extrap_lc</t>
  </si>
  <si>
    <t>c224_patrm</t>
  </si>
  <si>
    <t>c224_extrap_ca</t>
  </si>
  <si>
    <t>c224_extrap_lc</t>
  </si>
  <si>
    <t>c295_patrm</t>
  </si>
  <si>
    <t>c295_extrap_ca</t>
  </si>
  <si>
    <t>c295_extrap_lc</t>
  </si>
  <si>
    <t>c298_patrm</t>
  </si>
  <si>
    <t>c298_extrap</t>
  </si>
  <si>
    <t>c299_patrm</t>
  </si>
  <si>
    <t>c299_extrap</t>
  </si>
  <si>
    <t>c300_patrm</t>
  </si>
  <si>
    <t>c300_extrap</t>
  </si>
  <si>
    <t>m009_patrm</t>
  </si>
  <si>
    <t>m009_extrap_ca</t>
  </si>
  <si>
    <t>m009_serv_fact</t>
  </si>
  <si>
    <t>ac310_patrm</t>
  </si>
  <si>
    <t>ac310_extrap</t>
  </si>
  <si>
    <t>c457_patrm</t>
  </si>
  <si>
    <t>c457_extrap</t>
  </si>
  <si>
    <t>c458_patrm</t>
  </si>
  <si>
    <t>c458_extrap</t>
  </si>
  <si>
    <t>c459_patrm</t>
  </si>
  <si>
    <t>c459_extrap</t>
  </si>
  <si>
    <t>c460_patrm</t>
  </si>
  <si>
    <t>c460_extrap</t>
  </si>
  <si>
    <t>dinioper_aux</t>
  </si>
  <si>
    <t>AD0104</t>
  </si>
  <si>
    <t>2024-01-01</t>
  </si>
  <si>
    <t>SO0711</t>
  </si>
  <si>
    <t>2017-01-26</t>
  </si>
  <si>
    <t>2023-12-15</t>
  </si>
  <si>
    <t>AI0820</t>
  </si>
  <si>
    <t>2023-01-25</t>
  </si>
  <si>
    <t>AD0105</t>
  </si>
  <si>
    <t>2023-02-09</t>
  </si>
  <si>
    <t>AI0301</t>
  </si>
  <si>
    <t>2023-06-11</t>
  </si>
  <si>
    <t>2019-10-16</t>
  </si>
  <si>
    <t>2018-01-05</t>
  </si>
  <si>
    <t>2024-01-15</t>
  </si>
  <si>
    <t>2024-12-31</t>
  </si>
  <si>
    <t>max_ref_date</t>
  </si>
  <si>
    <t>cempresa</t>
  </si>
  <si>
    <t>cbalcao</t>
  </si>
  <si>
    <t>cnumecta</t>
  </si>
  <si>
    <t>5250254P0070001</t>
  </si>
  <si>
    <t>691094500000001</t>
  </si>
  <si>
    <t>82</t>
  </si>
  <si>
    <t>001520250102628</t>
  </si>
  <si>
    <t>001520250106449</t>
  </si>
  <si>
    <t>001520240343049</t>
  </si>
  <si>
    <t>525025400000001</t>
  </si>
  <si>
    <t>001520250106547</t>
  </si>
  <si>
    <t>001520250106549</t>
  </si>
  <si>
    <t>001520250106450</t>
  </si>
  <si>
    <t>001520250102452</t>
  </si>
  <si>
    <t>001520250106472</t>
  </si>
  <si>
    <t>596338500000001</t>
  </si>
  <si>
    <t>001520240283047</t>
  </si>
  <si>
    <t>001520250102730</t>
  </si>
  <si>
    <t>001520250106448</t>
  </si>
  <si>
    <t>6910945P0020001</t>
  </si>
  <si>
    <t>001520240283046</t>
  </si>
  <si>
    <t>001520250106463</t>
  </si>
  <si>
    <t>001520240343053</t>
  </si>
  <si>
    <t>001520250102681</t>
  </si>
  <si>
    <t>5963385P0040001</t>
  </si>
  <si>
    <t>001520250102453</t>
  </si>
  <si>
    <t>001520250102622</t>
  </si>
  <si>
    <t>001520250102766</t>
  </si>
  <si>
    <t>001520250102776</t>
  </si>
  <si>
    <t>001520250106498</t>
  </si>
  <si>
    <t>chave finrep</t>
  </si>
  <si>
    <t>credito assinatura</t>
  </si>
  <si>
    <t>linhas de credito</t>
  </si>
  <si>
    <t>EXCEL_grss_cmmssn_incm</t>
  </si>
  <si>
    <t>VALIDAÇÃO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</si>
</sst>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0"/>
    <numFmt numFmtId="167" formatCode="#,##0.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3" fontId="0" fillId="0" borderId="0" xfId="0" applyNumberFormat="1"/>
    <xf numFmtId="4" fontId="0" fillId="2" borderId="0" xfId="0" applyNumberFormat="1" applyFill="1"/>
    <xf numFmtId="0" fontId="0" fillId="2" borderId="0" xfId="0" applyFill="1"/>
    <xf numFmtId="0" fontId="0" fillId="3" borderId="0" xfId="0" applyFill="1"/>
    <xf numFmtId="4" fontId="0" fillId="3" borderId="0" xfId="0" applyNumberFormat="1" applyFill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24">
    <dxf>
      <fill>
        <patternFill>
          <bgColor theme="6" tint="0.79998168889431442"/>
        </patternFill>
      </fill>
    </dxf>
    <dxf>
      <fill>
        <patternFill>
          <bgColor rgb="FFFFDDDD"/>
        </patternFill>
      </fill>
    </dxf>
    <dxf>
      <fill>
        <patternFill>
          <bgColor theme="6" tint="0.79998168889431442"/>
        </patternFill>
      </fill>
    </dxf>
    <dxf>
      <fill>
        <patternFill>
          <bgColor rgb="FFFFDDDD"/>
        </patternFill>
      </fill>
    </dxf>
    <dxf>
      <fill>
        <patternFill>
          <bgColor theme="6" tint="0.79998168889431442"/>
        </patternFill>
      </fill>
    </dxf>
    <dxf>
      <fill>
        <patternFill>
          <bgColor rgb="FFFFDDDD"/>
        </patternFill>
      </fill>
    </dxf>
    <dxf>
      <fill>
        <patternFill>
          <bgColor theme="6" tint="0.79998168889431442"/>
        </patternFill>
      </fill>
    </dxf>
    <dxf>
      <fill>
        <patternFill>
          <bgColor rgb="FFFFDDDD"/>
        </patternFill>
      </fill>
    </dxf>
    <dxf>
      <fill>
        <patternFill>
          <bgColor theme="6" tint="0.79998168889431442"/>
        </patternFill>
      </fill>
    </dxf>
    <dxf>
      <fill>
        <patternFill>
          <bgColor rgb="FFFFDDDD"/>
        </patternFill>
      </fill>
    </dxf>
    <dxf>
      <fill>
        <patternFill>
          <bgColor theme="6" tint="0.79998168889431442"/>
        </patternFill>
      </fill>
    </dxf>
    <dxf>
      <fill>
        <patternFill>
          <bgColor rgb="FFFFDDDD"/>
        </patternFill>
      </fill>
    </dxf>
    <dxf>
      <fill>
        <patternFill>
          <bgColor theme="6" tint="0.79998168889431442"/>
        </patternFill>
      </fill>
    </dxf>
    <dxf>
      <fill>
        <patternFill>
          <bgColor rgb="FFFFDDDD"/>
        </patternFill>
      </fill>
    </dxf>
    <dxf>
      <fill>
        <patternFill>
          <bgColor theme="6" tint="0.79998168889431442"/>
        </patternFill>
      </fill>
    </dxf>
    <dxf>
      <fill>
        <patternFill>
          <bgColor rgb="FFFFDDDD"/>
        </patternFill>
      </fill>
    </dxf>
    <dxf>
      <fill>
        <patternFill>
          <bgColor theme="6" tint="0.79998168889431442"/>
        </patternFill>
      </fill>
    </dxf>
    <dxf>
      <fill>
        <patternFill>
          <bgColor rgb="FFFFDDDD"/>
        </patternFill>
      </fill>
    </dxf>
    <dxf>
      <fill>
        <patternFill>
          <bgColor theme="6" tint="0.79998168889431442"/>
        </patternFill>
      </fill>
    </dxf>
    <dxf>
      <fill>
        <patternFill>
          <bgColor rgb="FFFFDDDD"/>
        </patternFill>
      </fill>
    </dxf>
    <dxf>
      <fill>
        <patternFill>
          <bgColor theme="6" tint="0.79998168889431442"/>
        </patternFill>
      </fill>
    </dxf>
    <dxf>
      <fill>
        <patternFill>
          <bgColor rgb="FFFFDDDD"/>
        </patternFill>
      </fill>
    </dxf>
    <dxf>
      <fill>
        <patternFill>
          <bgColor theme="6" tint="0.79998168889431442"/>
        </patternFill>
      </fill>
    </dxf>
    <dxf>
      <fill>
        <patternFill>
          <bgColor rgb="FFFFDD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5"/>
  <sheetViews>
    <sheetView tabSelected="1" workbookViewId="0">
      <pane xSplit="12" ySplit="1" topLeftCell="CC2" activePane="bottomRight" state="frozen"/>
      <selection pane="topRight" activeCell="M1" sqref="M1"/>
      <selection pane="bottomLeft" activeCell="A2" sqref="A2"/>
      <selection pane="bottomRight" activeCell="CH25" sqref="CH25"/>
    </sheetView>
  </sheetViews>
  <sheetFormatPr defaultColWidth="11.5546875" defaultRowHeight="14.4" x14ac:dyDescent="0.3"/>
  <cols>
    <col min="1" max="1" width="12.109375" bestFit="1" customWidth="1"/>
    <col min="2" max="2" width="10.33203125" bestFit="1" customWidth="1"/>
    <col min="3" max="3" width="6.77734375" hidden="1" customWidth="1"/>
    <col min="4" max="4" width="9" hidden="1" customWidth="1"/>
    <col min="5" max="5" width="33.6640625" hidden="1" customWidth="1"/>
    <col min="6" max="6" width="33.6640625" bestFit="1" customWidth="1"/>
    <col min="7" max="7" width="33.6640625" hidden="1" customWidth="1"/>
    <col min="8" max="8" width="8" bestFit="1" customWidth="1"/>
    <col min="9" max="9" width="8.21875" bestFit="1" customWidth="1"/>
    <col min="10" max="10" width="12" bestFit="1" customWidth="1"/>
    <col min="11" max="11" width="16.109375" bestFit="1" customWidth="1"/>
    <col min="12" max="12" width="11.44140625" bestFit="1" customWidth="1"/>
    <col min="13" max="13" width="10" bestFit="1" customWidth="1"/>
    <col min="14" max="14" width="17.5546875" hidden="1" customWidth="1"/>
    <col min="15" max="15" width="8.77734375" hidden="1" customWidth="1"/>
    <col min="16" max="16" width="12.88671875" hidden="1" customWidth="1"/>
    <col min="17" max="17" width="11.109375" hidden="1" customWidth="1"/>
    <col min="18" max="18" width="15.6640625" hidden="1" customWidth="1"/>
    <col min="19" max="19" width="14" hidden="1" customWidth="1"/>
    <col min="20" max="20" width="16.21875" hidden="1" customWidth="1"/>
    <col min="21" max="21" width="21" hidden="1" customWidth="1"/>
    <col min="22" max="22" width="12" hidden="1" customWidth="1"/>
    <col min="23" max="23" width="18.5546875" hidden="1" customWidth="1"/>
    <col min="24" max="24" width="19.33203125" hidden="1" customWidth="1"/>
    <col min="25" max="25" width="20.88671875" hidden="1" customWidth="1"/>
    <col min="26" max="26" width="21.77734375" hidden="1" customWidth="1"/>
    <col min="27" max="27" width="26.5546875" hidden="1" customWidth="1"/>
    <col min="28" max="28" width="14.21875" hidden="1" customWidth="1"/>
    <col min="29" max="29" width="28.88671875" hidden="1" customWidth="1"/>
    <col min="30" max="30" width="29.77734375" hidden="1" customWidth="1"/>
    <col min="31" max="31" width="18.77734375" hidden="1" customWidth="1"/>
    <col min="32" max="32" width="14.6640625" hidden="1" customWidth="1"/>
    <col min="33" max="34" width="12" hidden="1" customWidth="1"/>
    <col min="35" max="35" width="23.44140625" hidden="1" customWidth="1"/>
    <col min="36" max="36" width="26.33203125" hidden="1" customWidth="1"/>
    <col min="37" max="37" width="24.5546875" hidden="1" customWidth="1"/>
    <col min="38" max="38" width="17.5546875" hidden="1" customWidth="1"/>
    <col min="39" max="39" width="8.5546875" hidden="1" customWidth="1"/>
    <col min="40" max="40" width="23.44140625" hidden="1" customWidth="1"/>
    <col min="41" max="41" width="11.88671875" hidden="1" customWidth="1"/>
    <col min="42" max="42" width="16.6640625" hidden="1" customWidth="1"/>
    <col min="43" max="43" width="13.77734375" hidden="1" customWidth="1"/>
    <col min="44" max="44" width="15.5546875" hidden="1" customWidth="1"/>
    <col min="45" max="45" width="11.33203125" hidden="1" customWidth="1"/>
    <col min="46" max="46" width="14.5546875" hidden="1" customWidth="1"/>
    <col min="47" max="47" width="14.21875" hidden="1" customWidth="1"/>
    <col min="48" max="49" width="13.6640625" bestFit="1" customWidth="1"/>
    <col min="50" max="50" width="11.44140625" bestFit="1" customWidth="1"/>
    <col min="51" max="51" width="10.5546875" bestFit="1" customWidth="1"/>
    <col min="52" max="52" width="19.88671875" bestFit="1" customWidth="1"/>
    <col min="53" max="53" width="26" bestFit="1" customWidth="1"/>
    <col min="54" max="54" width="13.33203125" bestFit="1" customWidth="1"/>
    <col min="55" max="55" width="28.21875" bestFit="1" customWidth="1"/>
    <col min="56" max="56" width="34.33203125" bestFit="1" customWidth="1"/>
    <col min="57" max="57" width="13.33203125" bestFit="1" customWidth="1"/>
    <col min="58" max="58" width="20.77734375" bestFit="1" customWidth="1"/>
    <col min="59" max="59" width="27.109375" bestFit="1" customWidth="1"/>
    <col min="60" max="60" width="13.33203125" bestFit="1" customWidth="1"/>
    <col min="61" max="61" width="29.109375" bestFit="1" customWidth="1"/>
    <col min="62" max="62" width="35.44140625" bestFit="1" customWidth="1"/>
    <col min="63" max="63" width="13.33203125" bestFit="1" customWidth="1"/>
    <col min="64" max="64" width="16.6640625" bestFit="1" customWidth="1"/>
    <col min="65" max="65" width="22.77734375" bestFit="1" customWidth="1"/>
    <col min="66" max="66" width="13.33203125" bestFit="1" customWidth="1"/>
    <col min="67" max="67" width="25" bestFit="1" customWidth="1"/>
    <col min="68" max="68" width="31.21875" bestFit="1" customWidth="1"/>
    <col min="69" max="69" width="13.33203125" bestFit="1" customWidth="1"/>
    <col min="70" max="70" width="17.33203125" bestFit="1" customWidth="1"/>
    <col min="71" max="71" width="23.5546875" bestFit="1" customWidth="1"/>
    <col min="72" max="72" width="13.33203125" bestFit="1" customWidth="1"/>
    <col min="73" max="73" width="18.33203125" bestFit="1" customWidth="1"/>
    <col min="74" max="74" width="24.5546875" bestFit="1" customWidth="1"/>
    <col min="75" max="75" width="13.33203125" bestFit="1" customWidth="1"/>
    <col min="76" max="76" width="33" bestFit="1" customWidth="1"/>
    <col min="77" max="77" width="39.33203125" bestFit="1" customWidth="1"/>
    <col min="78" max="78" width="13.33203125" bestFit="1" customWidth="1"/>
    <col min="79" max="79" width="16.109375" bestFit="1" customWidth="1"/>
    <col min="80" max="80" width="22.21875" bestFit="1" customWidth="1"/>
    <col min="81" max="81" width="13.33203125" bestFit="1" customWidth="1"/>
    <col min="82" max="82" width="11.33203125" bestFit="1" customWidth="1"/>
    <col min="83" max="83" width="17.44140625" bestFit="1" customWidth="1"/>
    <col min="84" max="84" width="13.33203125" bestFit="1" customWidth="1"/>
    <col min="85" max="85" width="19.6640625" bestFit="1" customWidth="1"/>
    <col min="86" max="86" width="23.5546875" bestFit="1" customWidth="1"/>
    <col min="87" max="87" width="11.109375" bestFit="1" customWidth="1"/>
  </cols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5" t="s">
        <v>343</v>
      </c>
      <c r="BB1" s="5" t="s">
        <v>344</v>
      </c>
      <c r="BC1" t="s">
        <v>52</v>
      </c>
      <c r="BD1" s="5" t="str">
        <f>_xlfn.CONCAT("EXCEL_",BC1)</f>
        <v>EXCEL_grss_cmmssn_incm_off_blnc</v>
      </c>
      <c r="BE1" s="5" t="s">
        <v>344</v>
      </c>
      <c r="BF1" t="s">
        <v>53</v>
      </c>
      <c r="BG1" s="5" t="str">
        <f>_xlfn.CONCAT("EXCEL_",BF1)</f>
        <v>EXCEL_grss_cmmssn_expns</v>
      </c>
      <c r="BH1" s="5" t="s">
        <v>344</v>
      </c>
      <c r="BI1" t="s">
        <v>54</v>
      </c>
      <c r="BJ1" s="5" t="str">
        <f>_xlfn.CONCAT("EXCEL_",BI1)</f>
        <v>EXCEL_grss_cmmssn_expns_off_blnc</v>
      </c>
      <c r="BK1" s="5" t="s">
        <v>344</v>
      </c>
      <c r="BL1" t="s">
        <v>55</v>
      </c>
      <c r="BM1" s="5" t="str">
        <f>_xlfn.CONCAT("EXCEL_",BL1)</f>
        <v>EXCEL_nt_ln_lss_prvsn</v>
      </c>
      <c r="BN1" s="5" t="s">
        <v>344</v>
      </c>
      <c r="BO1" t="s">
        <v>56</v>
      </c>
      <c r="BP1" s="5" t="str">
        <f>_xlfn.CONCAT("EXCEL_",BO1)</f>
        <v>EXCEL_nt_ln_lss_prvsn_off_blnc</v>
      </c>
      <c r="BQ1" s="5" t="s">
        <v>344</v>
      </c>
      <c r="BR1" t="s">
        <v>57</v>
      </c>
      <c r="BS1" s="5" t="str">
        <f>_xlfn.CONCAT("EXCEL_",BR1)</f>
        <v>EXCEL_grss_intrst_incm</v>
      </c>
      <c r="BT1" s="5" t="s">
        <v>344</v>
      </c>
      <c r="BU1" t="s">
        <v>58</v>
      </c>
      <c r="BV1" s="5" t="str">
        <f>_xlfn.CONCAT("EXCEL_",BU1)</f>
        <v>EXCEL_grss_intrst_expns</v>
      </c>
      <c r="BW1" s="5" t="s">
        <v>344</v>
      </c>
      <c r="BX1" t="s">
        <v>59</v>
      </c>
      <c r="BY1" s="5" t="str">
        <f>_xlfn.CONCAT("EXCEL_",BX1)</f>
        <v>EXCEL_gns_fnncl_trnsctn_exchng_dffrncs</v>
      </c>
      <c r="BZ1" s="5" t="s">
        <v>344</v>
      </c>
      <c r="CA1" t="s">
        <v>60</v>
      </c>
      <c r="CB1" s="5" t="str">
        <f>_xlfn.CONCAT("EXCEL_",CA1)</f>
        <v>EXCEL_intrnl_trnsfr_rt</v>
      </c>
      <c r="CC1" s="5" t="s">
        <v>344</v>
      </c>
      <c r="CD1" t="s">
        <v>61</v>
      </c>
      <c r="CE1" s="5" t="str">
        <f>_xlfn.CONCAT("EXCEL_",CD1)</f>
        <v>EXCEL_avrg_blnc</v>
      </c>
      <c r="CF1" s="5" t="s">
        <v>344</v>
      </c>
      <c r="CG1" t="s">
        <v>62</v>
      </c>
      <c r="CH1" s="5" t="str">
        <f>_xlfn.CONCAT("EXCEL_",CG1)</f>
        <v>EXCEL_avrg_blnc_off_blnc</v>
      </c>
      <c r="CI1" s="5" t="s">
        <v>344</v>
      </c>
    </row>
    <row r="2" spans="1:87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67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74</v>
      </c>
      <c r="R2" t="s">
        <v>77</v>
      </c>
      <c r="S2" t="s">
        <v>78</v>
      </c>
      <c r="T2" t="s">
        <v>77</v>
      </c>
      <c r="U2">
        <v>11111111111</v>
      </c>
      <c r="V2">
        <v>11111111111</v>
      </c>
      <c r="W2">
        <v>11111111111</v>
      </c>
      <c r="X2">
        <v>11111111111</v>
      </c>
      <c r="Y2">
        <v>11111111111</v>
      </c>
      <c r="Z2">
        <v>11111111111</v>
      </c>
      <c r="AA2">
        <v>11111111111</v>
      </c>
      <c r="AB2" t="s">
        <v>77</v>
      </c>
      <c r="AC2">
        <v>11111111111</v>
      </c>
      <c r="AD2">
        <v>11111111111</v>
      </c>
      <c r="AE2" t="s">
        <v>79</v>
      </c>
      <c r="AF2" t="s">
        <v>80</v>
      </c>
      <c r="AG2" t="s">
        <v>81</v>
      </c>
      <c r="AH2" t="s">
        <v>82</v>
      </c>
      <c r="AI2" t="s">
        <v>83</v>
      </c>
      <c r="AJ2" t="s">
        <v>84</v>
      </c>
      <c r="AK2" t="s">
        <v>85</v>
      </c>
      <c r="AL2" t="s">
        <v>85</v>
      </c>
      <c r="AM2" t="s">
        <v>85</v>
      </c>
      <c r="AN2" t="s">
        <v>85</v>
      </c>
      <c r="AO2" t="s">
        <v>64</v>
      </c>
      <c r="AP2" t="s">
        <v>77</v>
      </c>
      <c r="AQ2" t="s">
        <v>86</v>
      </c>
      <c r="AR2" t="s">
        <v>87</v>
      </c>
      <c r="AS2" t="s">
        <v>88</v>
      </c>
      <c r="AT2" t="s">
        <v>89</v>
      </c>
      <c r="AU2" t="s">
        <v>78</v>
      </c>
      <c r="AV2" s="1">
        <v>75291.08</v>
      </c>
      <c r="AW2" s="1">
        <v>929165.44</v>
      </c>
      <c r="AX2" s="2">
        <v>21</v>
      </c>
      <c r="AY2" s="1">
        <v>8.1030000000000005E-2</v>
      </c>
      <c r="AZ2" s="1">
        <v>0</v>
      </c>
      <c r="BA2" s="1">
        <f t="array" ref="BA2">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excel'!$F$2:$F$36),0),11)</f>
        <v>0</v>
      </c>
      <c r="BB2" s="1">
        <f>BA2-AZ2</f>
        <v>0</v>
      </c>
      <c r="BC2" s="1">
        <v>0</v>
      </c>
      <c r="BD2" s="1" cm="1">
        <f t="array" ref="BD2">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excel'!$F$2:$F$36),0),12)</f>
        <v>0</v>
      </c>
      <c r="BE2" s="1">
        <f>BD2-BC2</f>
        <v>0</v>
      </c>
      <c r="BF2" s="1">
        <v>0</v>
      </c>
      <c r="BG2" s="1" cm="1">
        <f t="array" ref="BG2">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excel'!$F$2:$F$36),0),13)</f>
        <v>0</v>
      </c>
      <c r="BH2" s="1">
        <f>BG2-BF2</f>
        <v>0</v>
      </c>
      <c r="BI2" s="1">
        <v>0</v>
      </c>
      <c r="BJ2" s="1" cm="1">
        <f t="array" ref="BJ2">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excel'!$F$2:$F$36),0),14)</f>
        <v>0</v>
      </c>
      <c r="BK2" s="1">
        <f>BJ2-BI2</f>
        <v>0</v>
      </c>
      <c r="BL2" s="1">
        <v>0</v>
      </c>
      <c r="BM2" s="1" cm="1">
        <f t="array" ref="BM2">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excel'!$F$2:$F$36),0),15)</f>
        <v>0</v>
      </c>
      <c r="BN2" s="7">
        <f>BM2-BL2</f>
        <v>0</v>
      </c>
      <c r="BO2" s="1">
        <v>0</v>
      </c>
      <c r="BP2" s="1" cm="1">
        <f t="array" ref="BP2">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excel'!$F$2:$F$36),0),16)</f>
        <v>0</v>
      </c>
      <c r="BQ2" s="1">
        <f>BP2-BO2</f>
        <v>0</v>
      </c>
      <c r="BR2" s="1">
        <v>0</v>
      </c>
      <c r="BS2" s="1" cm="1">
        <f t="array" ref="BS2">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excel'!$F$2:$F$36),0),17)</f>
        <v>0</v>
      </c>
      <c r="BT2" s="8">
        <f>BS2-BR2</f>
        <v>0</v>
      </c>
      <c r="BU2" s="1">
        <v>0</v>
      </c>
      <c r="BV2" s="1" cm="1">
        <f t="array" ref="BV2">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excel'!$F$2:$F$36),0),18)</f>
        <v>0</v>
      </c>
      <c r="BW2" s="1">
        <f>BV2-BU2</f>
        <v>0</v>
      </c>
      <c r="BX2" s="1">
        <v>0</v>
      </c>
      <c r="BY2" s="1" cm="1">
        <f t="array" ref="BY2">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excel'!$F$2:$F$36),0),19)</f>
        <v>0</v>
      </c>
      <c r="BZ2" s="1">
        <f>BY2-BX2</f>
        <v>0</v>
      </c>
      <c r="CA2" s="1">
        <v>0</v>
      </c>
      <c r="CB2" s="1" cm="1">
        <f t="array" ref="CB2">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excel'!$F$2:$F$36),0),20)</f>
        <v>0</v>
      </c>
      <c r="CC2" s="8">
        <f>CB2-CA2</f>
        <v>0</v>
      </c>
      <c r="CD2" s="1">
        <v>0</v>
      </c>
      <c r="CE2" s="1" cm="1">
        <f t="array" ref="CE2">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excel'!$F$2:$F$36),0),21)</f>
        <v>0</v>
      </c>
      <c r="CF2" s="8">
        <f>CE2-CD2</f>
        <v>0</v>
      </c>
      <c r="CG2" s="1">
        <v>0</v>
      </c>
      <c r="CH2" s="1" cm="1">
        <f t="array" ref="CH2">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excel'!$F$2:$F$36),0),22)+INDEX('Cálculo excel'!$B$2:$X$36,MATCH(1,('Exemplos Validação'!$F2='Cálculo excel'!$B$2:$B$36)*('Cálculo excel'!$C$2:$C$36='Exemplos Validação'!$H2)*('Exemplos Validação'!$I2='Cálculo excel'!$D$2:$D$36)*('Cálculo excel'!$E$2:$E$36='Exemplos Validação'!$J2)*('Exemplos Validação'!$K2='Cálculo excel'!$F$2:$F$36),0),23)</f>
        <v>0</v>
      </c>
      <c r="CI2" s="8">
        <f>CH2-CG2</f>
        <v>0</v>
      </c>
    </row>
    <row r="3" spans="1:87" x14ac:dyDescent="0.3">
      <c r="A3" t="s">
        <v>63</v>
      </c>
      <c r="B3" t="s">
        <v>64</v>
      </c>
      <c r="C3" t="s">
        <v>65</v>
      </c>
      <c r="D3" t="s">
        <v>66</v>
      </c>
      <c r="E3" t="s">
        <v>90</v>
      </c>
      <c r="F3" t="s">
        <v>90</v>
      </c>
      <c r="G3" t="s">
        <v>90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73</v>
      </c>
      <c r="N3" t="s">
        <v>74</v>
      </c>
      <c r="O3" t="s">
        <v>75</v>
      </c>
      <c r="P3" t="s">
        <v>76</v>
      </c>
      <c r="Q3" t="s">
        <v>74</v>
      </c>
      <c r="R3" t="s">
        <v>77</v>
      </c>
      <c r="S3" t="s">
        <v>78</v>
      </c>
      <c r="T3" t="s">
        <v>77</v>
      </c>
      <c r="U3">
        <v>11111111111</v>
      </c>
      <c r="V3">
        <v>11111111111</v>
      </c>
      <c r="W3">
        <v>11111111111</v>
      </c>
      <c r="X3">
        <v>11111111111</v>
      </c>
      <c r="Y3">
        <v>11111111111</v>
      </c>
      <c r="Z3">
        <v>11111111111</v>
      </c>
      <c r="AA3">
        <v>11111111111</v>
      </c>
      <c r="AB3" t="s">
        <v>77</v>
      </c>
      <c r="AC3">
        <v>11111111111</v>
      </c>
      <c r="AD3">
        <v>11111111111</v>
      </c>
      <c r="AE3" t="s">
        <v>79</v>
      </c>
      <c r="AF3" t="s">
        <v>91</v>
      </c>
      <c r="AG3" t="s">
        <v>81</v>
      </c>
      <c r="AH3" t="s">
        <v>82</v>
      </c>
      <c r="AI3" t="s">
        <v>92</v>
      </c>
      <c r="AJ3" t="s">
        <v>84</v>
      </c>
      <c r="AK3" t="s">
        <v>85</v>
      </c>
      <c r="AL3" t="s">
        <v>85</v>
      </c>
      <c r="AM3" t="s">
        <v>85</v>
      </c>
      <c r="AN3" t="s">
        <v>85</v>
      </c>
      <c r="AO3" t="s">
        <v>64</v>
      </c>
      <c r="AP3" t="s">
        <v>77</v>
      </c>
      <c r="AQ3" t="s">
        <v>86</v>
      </c>
      <c r="AR3" t="s">
        <v>87</v>
      </c>
      <c r="AS3" t="s">
        <v>88</v>
      </c>
      <c r="AT3" t="s">
        <v>89</v>
      </c>
      <c r="AU3" t="s">
        <v>78</v>
      </c>
      <c r="AV3" s="1">
        <v>2211.0100000000002</v>
      </c>
      <c r="AW3" s="1">
        <v>929165.44</v>
      </c>
      <c r="AX3" s="2">
        <v>21</v>
      </c>
      <c r="AY3" s="1">
        <v>2.379E-3</v>
      </c>
      <c r="AZ3" s="1">
        <v>0</v>
      </c>
      <c r="BA3" s="1">
        <f t="array" ref="BA3">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excel'!$F$2:$F$36),0),11)</f>
        <v>0</v>
      </c>
      <c r="BB3" s="1">
        <f>BA3-AZ3</f>
        <v>0</v>
      </c>
      <c r="BC3" s="1">
        <v>0</v>
      </c>
      <c r="BD3" s="1" cm="1">
        <f t="array" ref="BD3">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excel'!$F$2:$F$36),0),12)</f>
        <v>0</v>
      </c>
      <c r="BE3" s="1">
        <f>BD3-BC3</f>
        <v>0</v>
      </c>
      <c r="BF3" s="1">
        <v>0</v>
      </c>
      <c r="BG3" s="1" cm="1">
        <f t="array" ref="BG3">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excel'!$F$2:$F$36),0),13)</f>
        <v>0</v>
      </c>
      <c r="BH3" s="1">
        <f>BG3-BF3</f>
        <v>0</v>
      </c>
      <c r="BI3" s="1">
        <v>0</v>
      </c>
      <c r="BJ3" s="1" cm="1">
        <f t="array" ref="BJ3">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excel'!$F$2:$F$36),0),14)</f>
        <v>0</v>
      </c>
      <c r="BK3" s="1">
        <f>BJ3-BI3</f>
        <v>0</v>
      </c>
      <c r="BL3" s="1">
        <v>0</v>
      </c>
      <c r="BM3" s="1" cm="1">
        <f t="array" ref="BM3">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excel'!$F$2:$F$36),0),15)</f>
        <v>0</v>
      </c>
      <c r="BN3" s="7">
        <f>BM3-BL3</f>
        <v>0</v>
      </c>
      <c r="BO3" s="1">
        <v>0</v>
      </c>
      <c r="BP3" s="1" cm="1">
        <f t="array" ref="BP3">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excel'!$F$2:$F$36),0),16)</f>
        <v>0</v>
      </c>
      <c r="BQ3" s="1">
        <f>BP3-BO3</f>
        <v>0</v>
      </c>
      <c r="BR3" s="1">
        <v>0</v>
      </c>
      <c r="BS3" s="1" cm="1">
        <f t="array" ref="BS3">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excel'!$F$2:$F$36),0),17)</f>
        <v>0</v>
      </c>
      <c r="BT3" s="8">
        <f>BS3-BR3</f>
        <v>0</v>
      </c>
      <c r="BU3" s="1">
        <v>0</v>
      </c>
      <c r="BV3" s="1" cm="1">
        <f t="array" ref="BV3">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excel'!$F$2:$F$36),0),18)</f>
        <v>0</v>
      </c>
      <c r="BW3" s="1">
        <f>BV3-BU3</f>
        <v>0</v>
      </c>
      <c r="BX3" s="1">
        <v>0</v>
      </c>
      <c r="BY3" s="1" cm="1">
        <f t="array" ref="BY3">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excel'!$F$2:$F$36),0),19)</f>
        <v>0</v>
      </c>
      <c r="BZ3" s="1">
        <f>BY3-BX3</f>
        <v>0</v>
      </c>
      <c r="CA3" s="1">
        <v>0</v>
      </c>
      <c r="CB3" s="1" cm="1">
        <f t="array" ref="CB3">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excel'!$F$2:$F$36),0),20)</f>
        <v>0</v>
      </c>
      <c r="CC3" s="8">
        <f>CB3-CA3</f>
        <v>0</v>
      </c>
      <c r="CD3" s="1">
        <v>0</v>
      </c>
      <c r="CE3" s="1" cm="1">
        <f t="array" ref="CE3">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excel'!$F$2:$F$36),0),21)</f>
        <v>0</v>
      </c>
      <c r="CF3" s="8">
        <f>CE3-CD3</f>
        <v>0</v>
      </c>
      <c r="CG3" s="1">
        <v>0</v>
      </c>
      <c r="CH3" s="1" cm="1">
        <f t="array" ref="CH3">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excel'!$F$2:$F$36),0),22)+INDEX('Cálculo excel'!$B$2:$X$36,MATCH(1,('Exemplos Validação'!$F3='Cálculo excel'!$B$2:$B$36)*('Cálculo excel'!$C$2:$C$36='Exemplos Validação'!$H3)*('Exemplos Validação'!$I3='Cálculo excel'!$D$2:$D$36)*('Cálculo excel'!$E$2:$E$36='Exemplos Validação'!$J3)*('Exemplos Validação'!$K3='Cálculo excel'!$F$2:$F$36),0),23)</f>
        <v>0</v>
      </c>
      <c r="CI3" s="8">
        <f>CH3-CG3</f>
        <v>0</v>
      </c>
    </row>
    <row r="4" spans="1:87" x14ac:dyDescent="0.3">
      <c r="A4" t="s">
        <v>93</v>
      </c>
      <c r="B4" t="s">
        <v>64</v>
      </c>
      <c r="C4" t="s">
        <v>65</v>
      </c>
      <c r="D4" t="s">
        <v>66</v>
      </c>
      <c r="E4" t="s">
        <v>94</v>
      </c>
      <c r="F4" t="s">
        <v>94</v>
      </c>
      <c r="G4" t="s">
        <v>94</v>
      </c>
      <c r="H4" t="s">
        <v>68</v>
      </c>
      <c r="I4" t="s">
        <v>95</v>
      </c>
      <c r="J4" t="s">
        <v>96</v>
      </c>
      <c r="K4" t="s">
        <v>97</v>
      </c>
      <c r="L4" t="s">
        <v>98</v>
      </c>
      <c r="M4" t="s">
        <v>99</v>
      </c>
      <c r="N4" t="s">
        <v>100</v>
      </c>
      <c r="O4" t="s">
        <v>75</v>
      </c>
      <c r="P4" t="s">
        <v>101</v>
      </c>
      <c r="Q4" t="s">
        <v>74</v>
      </c>
      <c r="R4" t="s">
        <v>77</v>
      </c>
      <c r="S4" t="s">
        <v>78</v>
      </c>
      <c r="T4" t="s">
        <v>77</v>
      </c>
      <c r="U4">
        <v>11111111111</v>
      </c>
      <c r="V4">
        <v>11111111111</v>
      </c>
      <c r="W4">
        <v>11111111111</v>
      </c>
      <c r="X4">
        <v>11111111111</v>
      </c>
      <c r="Y4">
        <v>11111111111</v>
      </c>
      <c r="Z4">
        <v>11111111111</v>
      </c>
      <c r="AA4">
        <v>11111111111</v>
      </c>
      <c r="AB4" t="s">
        <v>77</v>
      </c>
      <c r="AC4">
        <v>11111111111</v>
      </c>
      <c r="AD4">
        <v>11111111111</v>
      </c>
      <c r="AE4" t="s">
        <v>102</v>
      </c>
      <c r="AF4" t="s">
        <v>84</v>
      </c>
      <c r="AG4" t="s">
        <v>103</v>
      </c>
      <c r="AH4" t="s">
        <v>103</v>
      </c>
      <c r="AI4" t="s">
        <v>85</v>
      </c>
      <c r="AJ4" t="s">
        <v>85</v>
      </c>
      <c r="AK4" t="s">
        <v>85</v>
      </c>
      <c r="AL4" t="s">
        <v>85</v>
      </c>
      <c r="AM4" t="s">
        <v>85</v>
      </c>
      <c r="AN4" t="s">
        <v>85</v>
      </c>
      <c r="AO4" t="s">
        <v>104</v>
      </c>
      <c r="AP4" t="s">
        <v>77</v>
      </c>
      <c r="AQ4" t="s">
        <v>105</v>
      </c>
      <c r="AR4" t="s">
        <v>87</v>
      </c>
      <c r="AS4" t="s">
        <v>106</v>
      </c>
      <c r="AT4" t="s">
        <v>89</v>
      </c>
      <c r="AU4" t="s">
        <v>78</v>
      </c>
      <c r="AV4" s="3">
        <v>29706.82</v>
      </c>
      <c r="AW4" s="3">
        <v>29706.82</v>
      </c>
      <c r="AX4" s="2">
        <v>1</v>
      </c>
      <c r="AY4" s="1">
        <v>1</v>
      </c>
      <c r="AZ4" s="1">
        <v>947.63</v>
      </c>
      <c r="BA4" s="1">
        <f t="array" ref="BA4">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excel'!$F$2:$F$36),0),11)</f>
        <v>947.63</v>
      </c>
      <c r="BB4" s="1">
        <f>BA4-AZ4</f>
        <v>0</v>
      </c>
      <c r="BC4" s="1">
        <v>0</v>
      </c>
      <c r="BD4" s="1" cm="1">
        <f t="array" ref="BD4">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excel'!$F$2:$F$36),0),12)</f>
        <v>0</v>
      </c>
      <c r="BE4" s="1">
        <f>BD4-BC4</f>
        <v>0</v>
      </c>
      <c r="BF4" s="1">
        <v>285.38</v>
      </c>
      <c r="BG4" s="1" cm="1">
        <f t="array" ref="BG4">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excel'!$F$2:$F$36),0),13)</f>
        <v>285.38</v>
      </c>
      <c r="BH4" s="1">
        <f>BG4-BF4</f>
        <v>0</v>
      </c>
      <c r="BI4" s="1">
        <v>0</v>
      </c>
      <c r="BJ4" s="1" cm="1">
        <f t="array" ref="BJ4">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excel'!$F$2:$F$36),0),14)</f>
        <v>0</v>
      </c>
      <c r="BK4" s="1">
        <f>BJ4-BI4</f>
        <v>0</v>
      </c>
      <c r="BL4" s="1">
        <v>-3.07</v>
      </c>
      <c r="BM4" s="1" cm="1">
        <f t="array" ref="BM4">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excel'!$F$2:$F$36),0),15)</f>
        <v>-3.07</v>
      </c>
      <c r="BN4" s="7">
        <f>BM4-BL4</f>
        <v>0</v>
      </c>
      <c r="BO4" s="1">
        <v>0</v>
      </c>
      <c r="BP4" s="1" cm="1">
        <f t="array" ref="BP4">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excel'!$F$2:$F$36),0),16)</f>
        <v>0</v>
      </c>
      <c r="BQ4" s="1">
        <f>BP4-BO4</f>
        <v>0</v>
      </c>
      <c r="BR4" s="1">
        <v>134.29</v>
      </c>
      <c r="BS4" s="1" cm="1">
        <f t="array" ref="BS4">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excel'!$F$2:$F$36),0),17)</f>
        <v>134.29</v>
      </c>
      <c r="BT4" s="8">
        <f>BS4-BR4</f>
        <v>0</v>
      </c>
      <c r="BU4" s="1">
        <v>0</v>
      </c>
      <c r="BV4" s="1" cm="1">
        <f t="array" ref="BV4">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excel'!$F$2:$F$36),0),18)</f>
        <v>0</v>
      </c>
      <c r="BW4" s="1">
        <f>BV4-BU4</f>
        <v>0</v>
      </c>
      <c r="BX4" s="1">
        <v>0</v>
      </c>
      <c r="BY4" s="1" cm="1">
        <f t="array" ref="BY4">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excel'!$F$2:$F$36),0),19)</f>
        <v>0</v>
      </c>
      <c r="BZ4" s="1">
        <f>BY4-BX4</f>
        <v>0</v>
      </c>
      <c r="CA4" s="1">
        <v>36.97</v>
      </c>
      <c r="CB4" s="1" cm="1">
        <f t="array" ref="CB4">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excel'!$F$2:$F$36),0),20)</f>
        <v>36.97</v>
      </c>
      <c r="CC4" s="8">
        <f>CB4-CA4</f>
        <v>0</v>
      </c>
      <c r="CD4" s="1">
        <v>14152.03</v>
      </c>
      <c r="CE4" s="1" cm="1">
        <f t="array" ref="CE4">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excel'!$F$2:$F$36),0),21)</f>
        <v>14152.03</v>
      </c>
      <c r="CF4" s="8">
        <f>CE4-CD4</f>
        <v>0</v>
      </c>
      <c r="CG4" s="1">
        <v>0</v>
      </c>
      <c r="CH4" s="1" cm="1">
        <f t="array" ref="CH4">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excel'!$F$2:$F$36),0),22)+INDEX('Cálculo excel'!$B$2:$X$36,MATCH(1,('Exemplos Validação'!$F4='Cálculo excel'!$B$2:$B$36)*('Cálculo excel'!$C$2:$C$36='Exemplos Validação'!$H4)*('Exemplos Validação'!$I4='Cálculo excel'!$D$2:$D$36)*('Cálculo excel'!$E$2:$E$36='Exemplos Validação'!$J4)*('Exemplos Validação'!$K4='Cálculo excel'!$F$2:$F$36),0),23)</f>
        <v>0</v>
      </c>
      <c r="CI4" s="8">
        <f>CH4-CG4</f>
        <v>0</v>
      </c>
    </row>
    <row r="5" spans="1:87" x14ac:dyDescent="0.3">
      <c r="A5" t="s">
        <v>63</v>
      </c>
      <c r="B5" t="s">
        <v>64</v>
      </c>
      <c r="C5" t="s">
        <v>65</v>
      </c>
      <c r="D5" t="s">
        <v>66</v>
      </c>
      <c r="E5" t="s">
        <v>107</v>
      </c>
      <c r="F5" t="s">
        <v>107</v>
      </c>
      <c r="G5" t="s">
        <v>107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74</v>
      </c>
      <c r="P5" t="s">
        <v>76</v>
      </c>
      <c r="Q5" t="s">
        <v>74</v>
      </c>
      <c r="R5" t="s">
        <v>77</v>
      </c>
      <c r="S5" t="s">
        <v>78</v>
      </c>
      <c r="T5" t="s">
        <v>77</v>
      </c>
      <c r="U5">
        <v>11111111111</v>
      </c>
      <c r="V5">
        <v>11111111111</v>
      </c>
      <c r="W5">
        <v>11111111111</v>
      </c>
      <c r="X5">
        <v>11111111111</v>
      </c>
      <c r="Y5">
        <v>11111111111</v>
      </c>
      <c r="Z5">
        <v>11111111111</v>
      </c>
      <c r="AA5">
        <v>11111111111</v>
      </c>
      <c r="AB5" t="s">
        <v>77</v>
      </c>
      <c r="AC5">
        <v>11111111111</v>
      </c>
      <c r="AD5">
        <v>11111111111</v>
      </c>
      <c r="AE5" t="s">
        <v>79</v>
      </c>
      <c r="AF5" t="s">
        <v>108</v>
      </c>
      <c r="AG5" t="s">
        <v>81</v>
      </c>
      <c r="AH5" t="s">
        <v>82</v>
      </c>
      <c r="AI5" t="s">
        <v>85</v>
      </c>
      <c r="AJ5" t="s">
        <v>84</v>
      </c>
      <c r="AK5" t="s">
        <v>109</v>
      </c>
      <c r="AL5" t="s">
        <v>85</v>
      </c>
      <c r="AM5" t="s">
        <v>85</v>
      </c>
      <c r="AN5" t="s">
        <v>85</v>
      </c>
      <c r="AO5" t="s">
        <v>64</v>
      </c>
      <c r="AP5" t="s">
        <v>110</v>
      </c>
      <c r="AQ5" t="s">
        <v>111</v>
      </c>
      <c r="AR5" t="s">
        <v>87</v>
      </c>
      <c r="AS5" t="s">
        <v>88</v>
      </c>
      <c r="AT5" t="s">
        <v>103</v>
      </c>
      <c r="AU5" t="s">
        <v>78</v>
      </c>
      <c r="AV5" s="1">
        <v>0</v>
      </c>
      <c r="AW5" s="1">
        <v>929165.44</v>
      </c>
      <c r="AX5" s="2">
        <v>21</v>
      </c>
      <c r="AY5" s="1">
        <v>0</v>
      </c>
      <c r="AZ5" s="1">
        <v>0</v>
      </c>
      <c r="BA5" s="1">
        <f t="array" ref="BA5">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excel'!$F$2:$F$36),0),11)</f>
        <v>0</v>
      </c>
      <c r="BB5" s="1">
        <f>BA5-AZ5</f>
        <v>0</v>
      </c>
      <c r="BC5" s="1">
        <v>0</v>
      </c>
      <c r="BD5" s="1" cm="1">
        <f t="array" ref="BD5">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excel'!$F$2:$F$36),0),12)</f>
        <v>0</v>
      </c>
      <c r="BE5" s="1">
        <f>BD5-BC5</f>
        <v>0</v>
      </c>
      <c r="BF5" s="1">
        <v>0</v>
      </c>
      <c r="BG5" s="1" cm="1">
        <f t="array" ref="BG5">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excel'!$F$2:$F$36),0),13)</f>
        <v>0</v>
      </c>
      <c r="BH5" s="1">
        <f>BG5-BF5</f>
        <v>0</v>
      </c>
      <c r="BI5" s="1">
        <v>0</v>
      </c>
      <c r="BJ5" s="1" cm="1">
        <f t="array" ref="BJ5">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excel'!$F$2:$F$36),0),14)</f>
        <v>0</v>
      </c>
      <c r="BK5" s="1">
        <f>BJ5-BI5</f>
        <v>0</v>
      </c>
      <c r="BL5" s="1">
        <v>0</v>
      </c>
      <c r="BM5" s="1" cm="1">
        <f t="array" ref="BM5">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excel'!$F$2:$F$36),0),15)</f>
        <v>0</v>
      </c>
      <c r="BN5" s="7">
        <f>BM5-BL5</f>
        <v>0</v>
      </c>
      <c r="BO5" s="1">
        <v>0</v>
      </c>
      <c r="BP5" s="1" cm="1">
        <f t="array" ref="BP5">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excel'!$F$2:$F$36),0),16)</f>
        <v>0</v>
      </c>
      <c r="BQ5" s="1">
        <f>BP5-BO5</f>
        <v>0</v>
      </c>
      <c r="BR5" s="1">
        <v>0</v>
      </c>
      <c r="BS5" s="1" cm="1">
        <f t="array" ref="BS5">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excel'!$F$2:$F$36),0),17)</f>
        <v>0</v>
      </c>
      <c r="BT5" s="8">
        <f>BS5-BR5</f>
        <v>0</v>
      </c>
      <c r="BU5" s="1">
        <v>0</v>
      </c>
      <c r="BV5" s="1" cm="1">
        <f t="array" ref="BV5">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excel'!$F$2:$F$36),0),18)</f>
        <v>0</v>
      </c>
      <c r="BW5" s="1">
        <f>BV5-BU5</f>
        <v>0</v>
      </c>
      <c r="BX5" s="1">
        <v>0</v>
      </c>
      <c r="BY5" s="1" cm="1">
        <f t="array" ref="BY5">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excel'!$F$2:$F$36),0),19)</f>
        <v>0</v>
      </c>
      <c r="BZ5" s="1">
        <f>BY5-BX5</f>
        <v>0</v>
      </c>
      <c r="CA5" s="1">
        <v>0</v>
      </c>
      <c r="CB5" s="1" cm="1">
        <f t="array" ref="CB5">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excel'!$F$2:$F$36),0),20)</f>
        <v>0</v>
      </c>
      <c r="CC5" s="8">
        <f>CB5-CA5</f>
        <v>0</v>
      </c>
      <c r="CD5" s="1">
        <v>0</v>
      </c>
      <c r="CE5" s="1" cm="1">
        <f t="array" ref="CE5">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excel'!$F$2:$F$36),0),21)</f>
        <v>0</v>
      </c>
      <c r="CF5" s="8">
        <f>CE5-CD5</f>
        <v>0</v>
      </c>
      <c r="CG5" s="1">
        <v>0</v>
      </c>
      <c r="CH5" s="1" cm="1">
        <f t="array" ref="CH5">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excel'!$F$2:$F$36),0),22)+INDEX('Cálculo excel'!$B$2:$X$36,MATCH(1,('Exemplos Validação'!$F5='Cálculo excel'!$B$2:$B$36)*('Cálculo excel'!$C$2:$C$36='Exemplos Validação'!$H5)*('Exemplos Validação'!$I5='Cálculo excel'!$D$2:$D$36)*('Cálculo excel'!$E$2:$E$36='Exemplos Validação'!$J5)*('Exemplos Validação'!$K5='Cálculo excel'!$F$2:$F$36),0),23)</f>
        <v>0</v>
      </c>
      <c r="CI5" s="8">
        <f>CH5-CG5</f>
        <v>0</v>
      </c>
    </row>
    <row r="6" spans="1:87" x14ac:dyDescent="0.3">
      <c r="A6" t="s">
        <v>63</v>
      </c>
      <c r="B6" t="s">
        <v>64</v>
      </c>
      <c r="C6" t="s">
        <v>65</v>
      </c>
      <c r="D6" t="s">
        <v>66</v>
      </c>
      <c r="E6" t="s">
        <v>112</v>
      </c>
      <c r="F6" t="s">
        <v>112</v>
      </c>
      <c r="G6" t="s">
        <v>112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  <c r="P6" t="s">
        <v>76</v>
      </c>
      <c r="Q6" t="s">
        <v>74</v>
      </c>
      <c r="R6" t="s">
        <v>77</v>
      </c>
      <c r="S6" t="s">
        <v>78</v>
      </c>
      <c r="T6" t="s">
        <v>77</v>
      </c>
      <c r="U6">
        <v>11111111111</v>
      </c>
      <c r="V6">
        <v>11111111111</v>
      </c>
      <c r="W6">
        <v>11111111111</v>
      </c>
      <c r="X6">
        <v>11111111111</v>
      </c>
      <c r="Y6">
        <v>11111111111</v>
      </c>
      <c r="Z6">
        <v>11111111111</v>
      </c>
      <c r="AA6">
        <v>11111111111</v>
      </c>
      <c r="AB6" t="s">
        <v>77</v>
      </c>
      <c r="AC6">
        <v>11111111111</v>
      </c>
      <c r="AD6">
        <v>11111111111</v>
      </c>
      <c r="AE6" t="s">
        <v>79</v>
      </c>
      <c r="AF6" t="s">
        <v>113</v>
      </c>
      <c r="AG6" t="s">
        <v>81</v>
      </c>
      <c r="AH6" t="s">
        <v>82</v>
      </c>
      <c r="AI6" t="s">
        <v>114</v>
      </c>
      <c r="AJ6" t="s">
        <v>84</v>
      </c>
      <c r="AK6" t="s">
        <v>85</v>
      </c>
      <c r="AL6" t="s">
        <v>85</v>
      </c>
      <c r="AM6" t="s">
        <v>85</v>
      </c>
      <c r="AN6" t="s">
        <v>85</v>
      </c>
      <c r="AO6" t="s">
        <v>64</v>
      </c>
      <c r="AP6" t="s">
        <v>77</v>
      </c>
      <c r="AQ6" t="s">
        <v>86</v>
      </c>
      <c r="AR6" t="s">
        <v>87</v>
      </c>
      <c r="AS6" t="s">
        <v>88</v>
      </c>
      <c r="AT6" t="s">
        <v>89</v>
      </c>
      <c r="AU6" t="s">
        <v>78</v>
      </c>
      <c r="AV6" s="1">
        <v>1838.72</v>
      </c>
      <c r="AW6" s="1">
        <v>929165.44</v>
      </c>
      <c r="AX6" s="2">
        <v>21</v>
      </c>
      <c r="AY6" s="1">
        <v>1.9780000000000002E-3</v>
      </c>
      <c r="AZ6" s="1">
        <v>0</v>
      </c>
      <c r="BA6" s="1">
        <f t="array" ref="BA6">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excel'!$F$2:$F$36),0),11)</f>
        <v>0</v>
      </c>
      <c r="BB6" s="1">
        <f>BA6-AZ6</f>
        <v>0</v>
      </c>
      <c r="BC6" s="1">
        <v>0</v>
      </c>
      <c r="BD6" s="1" cm="1">
        <f t="array" ref="BD6">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excel'!$F$2:$F$36),0),12)</f>
        <v>0</v>
      </c>
      <c r="BE6" s="1">
        <f>BD6-BC6</f>
        <v>0</v>
      </c>
      <c r="BF6" s="1">
        <v>0</v>
      </c>
      <c r="BG6" s="1" cm="1">
        <f t="array" ref="BG6">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excel'!$F$2:$F$36),0),13)</f>
        <v>0</v>
      </c>
      <c r="BH6" s="1">
        <f>BG6-BF6</f>
        <v>0</v>
      </c>
      <c r="BI6" s="1">
        <v>0</v>
      </c>
      <c r="BJ6" s="1" cm="1">
        <f t="array" ref="BJ6">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excel'!$F$2:$F$36),0),14)</f>
        <v>0</v>
      </c>
      <c r="BK6" s="1">
        <f>BJ6-BI6</f>
        <v>0</v>
      </c>
      <c r="BL6" s="1">
        <v>0</v>
      </c>
      <c r="BM6" s="1" cm="1">
        <f t="array" ref="BM6">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excel'!$F$2:$F$36),0),15)</f>
        <v>0</v>
      </c>
      <c r="BN6" s="7">
        <f>BM6-BL6</f>
        <v>0</v>
      </c>
      <c r="BO6" s="1">
        <v>0</v>
      </c>
      <c r="BP6" s="1" cm="1">
        <f t="array" ref="BP6">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excel'!$F$2:$F$36),0),16)</f>
        <v>0</v>
      </c>
      <c r="BQ6" s="1">
        <f>BP6-BO6</f>
        <v>0</v>
      </c>
      <c r="BR6" s="1">
        <v>0</v>
      </c>
      <c r="BS6" s="1" cm="1">
        <f t="array" ref="BS6">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excel'!$F$2:$F$36),0),17)</f>
        <v>0</v>
      </c>
      <c r="BT6" s="8">
        <f>BS6-BR6</f>
        <v>0</v>
      </c>
      <c r="BU6" s="1">
        <v>0</v>
      </c>
      <c r="BV6" s="1" cm="1">
        <f t="array" ref="BV6">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excel'!$F$2:$F$36),0),18)</f>
        <v>0</v>
      </c>
      <c r="BW6" s="1">
        <f>BV6-BU6</f>
        <v>0</v>
      </c>
      <c r="BX6" s="1">
        <v>0</v>
      </c>
      <c r="BY6" s="1" cm="1">
        <f t="array" ref="BY6">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excel'!$F$2:$F$36),0),19)</f>
        <v>0</v>
      </c>
      <c r="BZ6" s="1">
        <f>BY6-BX6</f>
        <v>0</v>
      </c>
      <c r="CA6" s="1">
        <v>0</v>
      </c>
      <c r="CB6" s="1" cm="1">
        <f t="array" ref="CB6">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excel'!$F$2:$F$36),0),20)</f>
        <v>0</v>
      </c>
      <c r="CC6" s="8">
        <f>CB6-CA6</f>
        <v>0</v>
      </c>
      <c r="CD6" s="1">
        <v>0</v>
      </c>
      <c r="CE6" s="1" cm="1">
        <f t="array" ref="CE6">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excel'!$F$2:$F$36),0),21)</f>
        <v>0</v>
      </c>
      <c r="CF6" s="8">
        <f>CE6-CD6</f>
        <v>0</v>
      </c>
      <c r="CG6" s="1">
        <v>0</v>
      </c>
      <c r="CH6" s="1" cm="1">
        <f t="array" ref="CH6">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excel'!$F$2:$F$36),0),22)+INDEX('Cálculo excel'!$B$2:$X$36,MATCH(1,('Exemplos Validação'!$F6='Cálculo excel'!$B$2:$B$36)*('Cálculo excel'!$C$2:$C$36='Exemplos Validação'!$H6)*('Exemplos Validação'!$I6='Cálculo excel'!$D$2:$D$36)*('Cálculo excel'!$E$2:$E$36='Exemplos Validação'!$J6)*('Exemplos Validação'!$K6='Cálculo excel'!$F$2:$F$36),0),23)</f>
        <v>0</v>
      </c>
      <c r="CI6" s="8">
        <f>CH6-CG6</f>
        <v>0</v>
      </c>
    </row>
    <row r="7" spans="1:87" x14ac:dyDescent="0.3">
      <c r="A7" t="s">
        <v>63</v>
      </c>
      <c r="B7" t="s">
        <v>64</v>
      </c>
      <c r="C7" t="s">
        <v>65</v>
      </c>
      <c r="D7" t="s">
        <v>66</v>
      </c>
      <c r="E7" t="s">
        <v>115</v>
      </c>
      <c r="F7" t="s">
        <v>115</v>
      </c>
      <c r="G7" t="s">
        <v>115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  <c r="Q7" t="s">
        <v>74</v>
      </c>
      <c r="R7" t="s">
        <v>77</v>
      </c>
      <c r="S7" t="s">
        <v>78</v>
      </c>
      <c r="T7" t="s">
        <v>77</v>
      </c>
      <c r="U7">
        <v>11111111111</v>
      </c>
      <c r="V7">
        <v>11111111111</v>
      </c>
      <c r="W7">
        <v>11111111111</v>
      </c>
      <c r="X7">
        <v>11111111111</v>
      </c>
      <c r="Y7">
        <v>11111111111</v>
      </c>
      <c r="Z7">
        <v>11111111111</v>
      </c>
      <c r="AA7">
        <v>11111111111</v>
      </c>
      <c r="AB7" t="s">
        <v>77</v>
      </c>
      <c r="AC7">
        <v>11111111111</v>
      </c>
      <c r="AD7">
        <v>11111111111</v>
      </c>
      <c r="AE7" t="s">
        <v>79</v>
      </c>
      <c r="AF7" t="s">
        <v>116</v>
      </c>
      <c r="AG7" t="s">
        <v>81</v>
      </c>
      <c r="AH7" t="s">
        <v>82</v>
      </c>
      <c r="AI7" t="s">
        <v>117</v>
      </c>
      <c r="AJ7" t="s">
        <v>84</v>
      </c>
      <c r="AK7" t="s">
        <v>85</v>
      </c>
      <c r="AL7" t="s">
        <v>85</v>
      </c>
      <c r="AM7" t="s">
        <v>85</v>
      </c>
      <c r="AN7" t="s">
        <v>85</v>
      </c>
      <c r="AO7" t="s">
        <v>64</v>
      </c>
      <c r="AP7" t="s">
        <v>77</v>
      </c>
      <c r="AQ7" t="s">
        <v>86</v>
      </c>
      <c r="AR7" t="s">
        <v>87</v>
      </c>
      <c r="AS7" t="s">
        <v>88</v>
      </c>
      <c r="AT7" t="s">
        <v>89</v>
      </c>
      <c r="AU7" t="s">
        <v>78</v>
      </c>
      <c r="AV7" s="1">
        <v>43530.97</v>
      </c>
      <c r="AW7" s="1">
        <v>929165.44</v>
      </c>
      <c r="AX7" s="2">
        <v>21</v>
      </c>
      <c r="AY7" s="1">
        <v>4.6849000000000002E-2</v>
      </c>
      <c r="AZ7" s="1">
        <v>0</v>
      </c>
      <c r="BA7" s="1">
        <f t="array" ref="BA7">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excel'!$F$2:$F$36),0),11)</f>
        <v>0</v>
      </c>
      <c r="BB7" s="1">
        <f>BA7-AZ7</f>
        <v>0</v>
      </c>
      <c r="BC7" s="1">
        <v>0</v>
      </c>
      <c r="BD7" s="1" cm="1">
        <f t="array" ref="BD7">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excel'!$F$2:$F$36),0),12)</f>
        <v>0</v>
      </c>
      <c r="BE7" s="1">
        <f>BD7-BC7</f>
        <v>0</v>
      </c>
      <c r="BF7" s="1">
        <v>0</v>
      </c>
      <c r="BG7" s="1" cm="1">
        <f t="array" ref="BG7">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excel'!$F$2:$F$36),0),13)</f>
        <v>0</v>
      </c>
      <c r="BH7" s="1">
        <f>BG7-BF7</f>
        <v>0</v>
      </c>
      <c r="BI7" s="1">
        <v>0</v>
      </c>
      <c r="BJ7" s="1" cm="1">
        <f t="array" ref="BJ7">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excel'!$F$2:$F$36),0),14)</f>
        <v>0</v>
      </c>
      <c r="BK7" s="1">
        <f>BJ7-BI7</f>
        <v>0</v>
      </c>
      <c r="BL7" s="1">
        <v>0</v>
      </c>
      <c r="BM7" s="1" cm="1">
        <f t="array" ref="BM7">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excel'!$F$2:$F$36),0),15)</f>
        <v>0</v>
      </c>
      <c r="BN7" s="7">
        <f>BM7-BL7</f>
        <v>0</v>
      </c>
      <c r="BO7" s="1">
        <v>0</v>
      </c>
      <c r="BP7" s="1" cm="1">
        <f t="array" ref="BP7">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excel'!$F$2:$F$36),0),16)</f>
        <v>0</v>
      </c>
      <c r="BQ7" s="1">
        <f>BP7-BO7</f>
        <v>0</v>
      </c>
      <c r="BR7" s="1">
        <v>0</v>
      </c>
      <c r="BS7" s="1" cm="1">
        <f t="array" ref="BS7">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excel'!$F$2:$F$36),0),17)</f>
        <v>0</v>
      </c>
      <c r="BT7" s="8">
        <f>BS7-BR7</f>
        <v>0</v>
      </c>
      <c r="BU7" s="1">
        <v>0</v>
      </c>
      <c r="BV7" s="1" cm="1">
        <f t="array" ref="BV7">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excel'!$F$2:$F$36),0),18)</f>
        <v>0</v>
      </c>
      <c r="BW7" s="1">
        <f>BV7-BU7</f>
        <v>0</v>
      </c>
      <c r="BX7" s="1">
        <v>0</v>
      </c>
      <c r="BY7" s="1" cm="1">
        <f t="array" ref="BY7">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excel'!$F$2:$F$36),0),19)</f>
        <v>0</v>
      </c>
      <c r="BZ7" s="1">
        <f>BY7-BX7</f>
        <v>0</v>
      </c>
      <c r="CA7" s="1">
        <v>0</v>
      </c>
      <c r="CB7" s="1" cm="1">
        <f t="array" ref="CB7">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excel'!$F$2:$F$36),0),20)</f>
        <v>0</v>
      </c>
      <c r="CC7" s="8">
        <f>CB7-CA7</f>
        <v>0</v>
      </c>
      <c r="CD7" s="1">
        <v>0</v>
      </c>
      <c r="CE7" s="1" cm="1">
        <f t="array" ref="CE7">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excel'!$F$2:$F$36),0),21)</f>
        <v>0</v>
      </c>
      <c r="CF7" s="8">
        <f>CE7-CD7</f>
        <v>0</v>
      </c>
      <c r="CG7" s="1">
        <v>0</v>
      </c>
      <c r="CH7" s="1" cm="1">
        <f t="array" ref="CH7">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excel'!$F$2:$F$36),0),22)+INDEX('Cálculo excel'!$B$2:$X$36,MATCH(1,('Exemplos Validação'!$F7='Cálculo excel'!$B$2:$B$36)*('Cálculo excel'!$C$2:$C$36='Exemplos Validação'!$H7)*('Exemplos Validação'!$I7='Cálculo excel'!$D$2:$D$36)*('Cálculo excel'!$E$2:$E$36='Exemplos Validação'!$J7)*('Exemplos Validação'!$K7='Cálculo excel'!$F$2:$F$36),0),23)</f>
        <v>0</v>
      </c>
      <c r="CI7" s="8">
        <f>CH7-CG7</f>
        <v>0</v>
      </c>
    </row>
    <row r="8" spans="1:87" x14ac:dyDescent="0.3">
      <c r="A8" t="s">
        <v>63</v>
      </c>
      <c r="B8" t="s">
        <v>64</v>
      </c>
      <c r="C8" t="s">
        <v>65</v>
      </c>
      <c r="D8" t="s">
        <v>66</v>
      </c>
      <c r="E8" t="s">
        <v>118</v>
      </c>
      <c r="F8" t="s">
        <v>118</v>
      </c>
      <c r="G8" t="s">
        <v>118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75</v>
      </c>
      <c r="P8" t="s">
        <v>76</v>
      </c>
      <c r="Q8" t="s">
        <v>74</v>
      </c>
      <c r="R8" t="s">
        <v>77</v>
      </c>
      <c r="S8" t="s">
        <v>78</v>
      </c>
      <c r="T8" t="s">
        <v>77</v>
      </c>
      <c r="U8">
        <v>11111111111</v>
      </c>
      <c r="V8">
        <v>11111111111</v>
      </c>
      <c r="W8">
        <v>11111111111</v>
      </c>
      <c r="X8">
        <v>11111111111</v>
      </c>
      <c r="Y8">
        <v>11111111111</v>
      </c>
      <c r="Z8">
        <v>11111111111</v>
      </c>
      <c r="AA8">
        <v>11111111111</v>
      </c>
      <c r="AB8" t="s">
        <v>77</v>
      </c>
      <c r="AC8">
        <v>11111111111</v>
      </c>
      <c r="AD8">
        <v>11111111111</v>
      </c>
      <c r="AE8" t="s">
        <v>79</v>
      </c>
      <c r="AF8" t="s">
        <v>119</v>
      </c>
      <c r="AG8" t="s">
        <v>81</v>
      </c>
      <c r="AH8" t="s">
        <v>82</v>
      </c>
      <c r="AI8" t="s">
        <v>120</v>
      </c>
      <c r="AJ8" t="s">
        <v>84</v>
      </c>
      <c r="AK8" t="s">
        <v>85</v>
      </c>
      <c r="AL8" t="s">
        <v>85</v>
      </c>
      <c r="AM8" t="s">
        <v>85</v>
      </c>
      <c r="AN8" t="s">
        <v>85</v>
      </c>
      <c r="AO8" t="s">
        <v>64</v>
      </c>
      <c r="AP8" t="s">
        <v>77</v>
      </c>
      <c r="AQ8" t="s">
        <v>86</v>
      </c>
      <c r="AR8" t="s">
        <v>87</v>
      </c>
      <c r="AS8" t="s">
        <v>88</v>
      </c>
      <c r="AT8" t="s">
        <v>89</v>
      </c>
      <c r="AU8" t="s">
        <v>78</v>
      </c>
      <c r="AV8" s="1">
        <v>0.51</v>
      </c>
      <c r="AW8" s="1">
        <v>929165.44</v>
      </c>
      <c r="AX8" s="2">
        <v>21</v>
      </c>
      <c r="AY8" s="1">
        <v>0</v>
      </c>
      <c r="AZ8" s="1">
        <v>0</v>
      </c>
      <c r="BA8" s="1">
        <f t="array" ref="BA8">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excel'!$F$2:$F$36),0),11)</f>
        <v>0</v>
      </c>
      <c r="BB8" s="1">
        <f>BA8-AZ8</f>
        <v>0</v>
      </c>
      <c r="BC8" s="1">
        <v>0</v>
      </c>
      <c r="BD8" s="1" cm="1">
        <f t="array" ref="BD8">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excel'!$F$2:$F$36),0),12)</f>
        <v>0</v>
      </c>
      <c r="BE8" s="1">
        <f>BD8-BC8</f>
        <v>0</v>
      </c>
      <c r="BF8" s="1">
        <v>0</v>
      </c>
      <c r="BG8" s="1" cm="1">
        <f t="array" ref="BG8">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excel'!$F$2:$F$36),0),13)</f>
        <v>0</v>
      </c>
      <c r="BH8" s="1">
        <f>BG8-BF8</f>
        <v>0</v>
      </c>
      <c r="BI8" s="1">
        <v>0</v>
      </c>
      <c r="BJ8" s="1" cm="1">
        <f t="array" ref="BJ8">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excel'!$F$2:$F$36),0),14)</f>
        <v>0</v>
      </c>
      <c r="BK8" s="1">
        <f>BJ8-BI8</f>
        <v>0</v>
      </c>
      <c r="BL8" s="1">
        <v>0</v>
      </c>
      <c r="BM8" s="1" cm="1">
        <f t="array" ref="BM8">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excel'!$F$2:$F$36),0),15)</f>
        <v>0</v>
      </c>
      <c r="BN8" s="7">
        <f>BM8-BL8</f>
        <v>0</v>
      </c>
      <c r="BO8" s="1">
        <v>0</v>
      </c>
      <c r="BP8" s="1" cm="1">
        <f t="array" ref="BP8">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excel'!$F$2:$F$36),0),16)</f>
        <v>0</v>
      </c>
      <c r="BQ8" s="1">
        <f>BP8-BO8</f>
        <v>0</v>
      </c>
      <c r="BR8" s="1">
        <v>0</v>
      </c>
      <c r="BS8" s="1" cm="1">
        <f t="array" ref="BS8">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excel'!$F$2:$F$36),0),17)</f>
        <v>0</v>
      </c>
      <c r="BT8" s="8">
        <f>BS8-BR8</f>
        <v>0</v>
      </c>
      <c r="BU8" s="1">
        <v>0</v>
      </c>
      <c r="BV8" s="1" cm="1">
        <f t="array" ref="BV8">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excel'!$F$2:$F$36),0),18)</f>
        <v>0</v>
      </c>
      <c r="BW8" s="1">
        <f>BV8-BU8</f>
        <v>0</v>
      </c>
      <c r="BX8" s="1">
        <v>0</v>
      </c>
      <c r="BY8" s="1" cm="1">
        <f t="array" ref="BY8">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excel'!$F$2:$F$36),0),19)</f>
        <v>0</v>
      </c>
      <c r="BZ8" s="1">
        <f>BY8-BX8</f>
        <v>0</v>
      </c>
      <c r="CA8" s="1">
        <v>0</v>
      </c>
      <c r="CB8" s="1" cm="1">
        <f t="array" ref="CB8">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excel'!$F$2:$F$36),0),20)</f>
        <v>0</v>
      </c>
      <c r="CC8" s="8">
        <f>CB8-CA8</f>
        <v>0</v>
      </c>
      <c r="CD8" s="1">
        <v>0</v>
      </c>
      <c r="CE8" s="1" cm="1">
        <f t="array" ref="CE8">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excel'!$F$2:$F$36),0),21)</f>
        <v>0</v>
      </c>
      <c r="CF8" s="8">
        <f>CE8-CD8</f>
        <v>0</v>
      </c>
      <c r="CG8" s="1">
        <v>0</v>
      </c>
      <c r="CH8" s="1" cm="1">
        <f t="array" ref="CH8">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excel'!$F$2:$F$36),0),22)+INDEX('Cálculo excel'!$B$2:$X$36,MATCH(1,('Exemplos Validação'!$F8='Cálculo excel'!$B$2:$B$36)*('Cálculo excel'!$C$2:$C$36='Exemplos Validação'!$H8)*('Exemplos Validação'!$I8='Cálculo excel'!$D$2:$D$36)*('Cálculo excel'!$E$2:$E$36='Exemplos Validação'!$J8)*('Exemplos Validação'!$K8='Cálculo excel'!$F$2:$F$36),0),23)</f>
        <v>0</v>
      </c>
      <c r="CI8" s="8">
        <f>CH8-CG8</f>
        <v>0</v>
      </c>
    </row>
    <row r="9" spans="1:87" x14ac:dyDescent="0.3">
      <c r="A9" t="s">
        <v>63</v>
      </c>
      <c r="B9" t="s">
        <v>64</v>
      </c>
      <c r="C9" t="s">
        <v>65</v>
      </c>
      <c r="D9" t="s">
        <v>66</v>
      </c>
      <c r="E9" t="s">
        <v>121</v>
      </c>
      <c r="F9" t="s">
        <v>121</v>
      </c>
      <c r="G9" t="s">
        <v>121</v>
      </c>
      <c r="H9" t="s">
        <v>68</v>
      </c>
      <c r="I9" t="s">
        <v>69</v>
      </c>
      <c r="J9" t="s">
        <v>122</v>
      </c>
      <c r="K9" t="s">
        <v>123</v>
      </c>
      <c r="L9" t="s">
        <v>124</v>
      </c>
      <c r="M9" t="s">
        <v>125</v>
      </c>
      <c r="N9" t="s">
        <v>74</v>
      </c>
      <c r="O9" t="s">
        <v>74</v>
      </c>
      <c r="P9" t="s">
        <v>76</v>
      </c>
      <c r="Q9" t="s">
        <v>74</v>
      </c>
      <c r="R9" t="s">
        <v>77</v>
      </c>
      <c r="S9" t="s">
        <v>78</v>
      </c>
      <c r="T9" t="s">
        <v>77</v>
      </c>
      <c r="U9">
        <v>11111111111</v>
      </c>
      <c r="V9">
        <v>11111111111</v>
      </c>
      <c r="W9">
        <v>11111111111</v>
      </c>
      <c r="X9">
        <v>11111111111</v>
      </c>
      <c r="Y9">
        <v>11111111111</v>
      </c>
      <c r="Z9">
        <v>11111111111</v>
      </c>
      <c r="AA9">
        <v>11111111111</v>
      </c>
      <c r="AB9" t="s">
        <v>77</v>
      </c>
      <c r="AC9">
        <v>11111111111</v>
      </c>
      <c r="AD9">
        <v>11111111111</v>
      </c>
      <c r="AE9" t="s">
        <v>126</v>
      </c>
      <c r="AF9" t="s">
        <v>127</v>
      </c>
      <c r="AG9" t="s">
        <v>128</v>
      </c>
      <c r="AH9" t="s">
        <v>82</v>
      </c>
      <c r="AI9" t="s">
        <v>129</v>
      </c>
      <c r="AJ9" t="s">
        <v>84</v>
      </c>
      <c r="AK9" t="s">
        <v>85</v>
      </c>
      <c r="AL9" t="s">
        <v>85</v>
      </c>
      <c r="AM9" t="s">
        <v>130</v>
      </c>
      <c r="AN9" t="s">
        <v>131</v>
      </c>
      <c r="AO9" t="s">
        <v>64</v>
      </c>
      <c r="AP9" t="s">
        <v>77</v>
      </c>
      <c r="AQ9" t="s">
        <v>132</v>
      </c>
      <c r="AR9" t="s">
        <v>87</v>
      </c>
      <c r="AS9" t="s">
        <v>133</v>
      </c>
      <c r="AT9" t="s">
        <v>89</v>
      </c>
      <c r="AU9" t="s">
        <v>78</v>
      </c>
      <c r="AV9" s="1">
        <v>17067.509999999998</v>
      </c>
      <c r="AW9" s="1">
        <v>17067.509999999998</v>
      </c>
      <c r="AX9" s="2">
        <v>1</v>
      </c>
      <c r="AY9" s="1">
        <v>1</v>
      </c>
      <c r="AZ9" s="1">
        <v>16.5</v>
      </c>
      <c r="BA9" s="1">
        <f t="array" ref="BA9">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excel'!$F$2:$F$36),0),11)</f>
        <v>16.5</v>
      </c>
      <c r="BB9" s="1">
        <f>BA9-AZ9</f>
        <v>0</v>
      </c>
      <c r="BC9" s="1">
        <v>0</v>
      </c>
      <c r="BD9" s="1" cm="1">
        <f t="array" ref="BD9">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excel'!$F$2:$F$36),0),12)</f>
        <v>0</v>
      </c>
      <c r="BE9" s="1">
        <f>BD9-BC9</f>
        <v>0</v>
      </c>
      <c r="BF9" s="1">
        <v>0</v>
      </c>
      <c r="BG9" s="1" cm="1">
        <f t="array" ref="BG9">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excel'!$F$2:$F$36),0),13)</f>
        <v>0</v>
      </c>
      <c r="BH9" s="1">
        <f>BG9-BF9</f>
        <v>0</v>
      </c>
      <c r="BI9" s="1">
        <v>0</v>
      </c>
      <c r="BJ9" s="1" cm="1">
        <f t="array" ref="BJ9">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excel'!$F$2:$F$36),0),14)</f>
        <v>0</v>
      </c>
      <c r="BK9" s="1">
        <f>BJ9-BI9</f>
        <v>0</v>
      </c>
      <c r="BL9" s="1">
        <v>-69.400000000000006</v>
      </c>
      <c r="BM9" s="1" cm="1">
        <f t="array" ref="BM9">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excel'!$F$2:$F$36),0),15)</f>
        <v>-69.400000000000006</v>
      </c>
      <c r="BN9" s="7">
        <f>BM9-BL9</f>
        <v>0</v>
      </c>
      <c r="BO9" s="1">
        <v>0</v>
      </c>
      <c r="BP9" s="1" cm="1">
        <f t="array" ref="BP9">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excel'!$F$2:$F$36),0),16)</f>
        <v>0</v>
      </c>
      <c r="BQ9" s="1">
        <f>BP9-BO9</f>
        <v>0</v>
      </c>
      <c r="BR9" s="1">
        <v>215.11</v>
      </c>
      <c r="BS9" s="1" cm="1">
        <f t="array" ref="BS9">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excel'!$F$2:$F$36),0),17)</f>
        <v>215.11</v>
      </c>
      <c r="BT9" s="8">
        <f>BS9-BR9</f>
        <v>0</v>
      </c>
      <c r="BU9" s="1">
        <v>0</v>
      </c>
      <c r="BV9" s="1" cm="1">
        <f t="array" ref="BV9">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excel'!$F$2:$F$36),0),18)</f>
        <v>0</v>
      </c>
      <c r="BW9" s="1">
        <f>BV9-BU9</f>
        <v>0</v>
      </c>
      <c r="BX9" s="1">
        <v>0</v>
      </c>
      <c r="BY9" s="1" cm="1">
        <f t="array" ref="BY9">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excel'!$F$2:$F$36),0),19)</f>
        <v>0</v>
      </c>
      <c r="BZ9" s="1">
        <f>BY9-BX9</f>
        <v>0</v>
      </c>
      <c r="CA9" s="1">
        <v>37.700000000000003</v>
      </c>
      <c r="CB9" s="1" cm="1">
        <f t="array" ref="CB9">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excel'!$F$2:$F$36),0),20)</f>
        <v>37.699999999999989</v>
      </c>
      <c r="CC9" s="8">
        <f>CB9-CA9</f>
        <v>0</v>
      </c>
      <c r="CD9" s="1">
        <v>17381.96</v>
      </c>
      <c r="CE9" s="1" cm="1">
        <f t="array" ref="CE9">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excel'!$F$2:$F$36),0),21)</f>
        <v>17381.96</v>
      </c>
      <c r="CF9" s="8">
        <f>CE9-CD9</f>
        <v>0</v>
      </c>
      <c r="CG9" s="1">
        <v>0</v>
      </c>
      <c r="CH9" s="1" cm="1">
        <f t="array" ref="CH9">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excel'!$F$2:$F$36),0),22)+INDEX('Cálculo excel'!$B$2:$X$36,MATCH(1,('Exemplos Validação'!$F9='Cálculo excel'!$B$2:$B$36)*('Cálculo excel'!$C$2:$C$36='Exemplos Validação'!$H9)*('Exemplos Validação'!$I9='Cálculo excel'!$D$2:$D$36)*('Cálculo excel'!$E$2:$E$36='Exemplos Validação'!$J9)*('Exemplos Validação'!$K9='Cálculo excel'!$F$2:$F$36),0),23)</f>
        <v>0</v>
      </c>
      <c r="CI9" s="8">
        <f>CH9-CG9</f>
        <v>0</v>
      </c>
    </row>
    <row r="10" spans="1:87" x14ac:dyDescent="0.3">
      <c r="A10" t="s">
        <v>63</v>
      </c>
      <c r="B10" t="s">
        <v>64</v>
      </c>
      <c r="C10" t="s">
        <v>65</v>
      </c>
      <c r="D10" t="s">
        <v>66</v>
      </c>
      <c r="E10" t="s">
        <v>134</v>
      </c>
      <c r="F10" t="s">
        <v>134</v>
      </c>
      <c r="G10" t="s">
        <v>134</v>
      </c>
      <c r="H10" t="s">
        <v>68</v>
      </c>
      <c r="I10" t="s">
        <v>69</v>
      </c>
      <c r="J10" t="s">
        <v>135</v>
      </c>
      <c r="K10" t="s">
        <v>136</v>
      </c>
      <c r="L10" t="s">
        <v>124</v>
      </c>
      <c r="M10" t="s">
        <v>125</v>
      </c>
      <c r="N10" t="s">
        <v>74</v>
      </c>
      <c r="O10" t="s">
        <v>74</v>
      </c>
      <c r="P10" t="s">
        <v>76</v>
      </c>
      <c r="Q10" t="s">
        <v>74</v>
      </c>
      <c r="R10" t="s">
        <v>77</v>
      </c>
      <c r="S10" t="s">
        <v>78</v>
      </c>
      <c r="T10" t="s">
        <v>77</v>
      </c>
      <c r="U10">
        <v>11111111111</v>
      </c>
      <c r="V10">
        <v>11111111111</v>
      </c>
      <c r="W10">
        <v>11111111111</v>
      </c>
      <c r="X10">
        <v>11111111111</v>
      </c>
      <c r="Y10">
        <v>11111111111</v>
      </c>
      <c r="Z10">
        <v>11111111111</v>
      </c>
      <c r="AA10">
        <v>11111111111</v>
      </c>
      <c r="AB10" t="s">
        <v>77</v>
      </c>
      <c r="AC10">
        <v>11111111111</v>
      </c>
      <c r="AD10">
        <v>11111111111</v>
      </c>
      <c r="AE10" t="s">
        <v>126</v>
      </c>
      <c r="AF10" t="s">
        <v>137</v>
      </c>
      <c r="AG10" t="s">
        <v>138</v>
      </c>
      <c r="AH10" t="s">
        <v>139</v>
      </c>
      <c r="AI10" t="s">
        <v>137</v>
      </c>
      <c r="AJ10" t="s">
        <v>84</v>
      </c>
      <c r="AK10" t="s">
        <v>85</v>
      </c>
      <c r="AL10" t="s">
        <v>85</v>
      </c>
      <c r="AM10" t="s">
        <v>140</v>
      </c>
      <c r="AN10" t="s">
        <v>141</v>
      </c>
      <c r="AO10" t="s">
        <v>64</v>
      </c>
      <c r="AP10" t="s">
        <v>77</v>
      </c>
      <c r="AQ10" t="s">
        <v>142</v>
      </c>
      <c r="AR10" t="s">
        <v>143</v>
      </c>
      <c r="AS10" t="s">
        <v>133</v>
      </c>
      <c r="AT10" t="s">
        <v>89</v>
      </c>
      <c r="AU10" t="s">
        <v>78</v>
      </c>
      <c r="AV10" s="1">
        <v>4650.25</v>
      </c>
      <c r="AW10" s="1">
        <v>4650.25</v>
      </c>
      <c r="AX10" s="2">
        <v>1</v>
      </c>
      <c r="AY10" s="1">
        <v>1</v>
      </c>
      <c r="AZ10" s="1">
        <v>0</v>
      </c>
      <c r="BA10" s="1">
        <f t="array" ref="BA10">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excel'!$F$2:$F$36),0),11)</f>
        <v>0</v>
      </c>
      <c r="BB10" s="1">
        <f>BA10-AZ10</f>
        <v>0</v>
      </c>
      <c r="BC10" s="1">
        <v>0</v>
      </c>
      <c r="BD10" s="1" cm="1">
        <f t="array" ref="BD10">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excel'!$F$2:$F$36),0),12)</f>
        <v>0</v>
      </c>
      <c r="BE10" s="1">
        <f>BD10-BC10</f>
        <v>0</v>
      </c>
      <c r="BF10" s="1">
        <v>0</v>
      </c>
      <c r="BG10" s="1" cm="1">
        <f t="array" ref="BG10">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excel'!$F$2:$F$36),0),13)</f>
        <v>0</v>
      </c>
      <c r="BH10" s="1">
        <f>BG10-BF10</f>
        <v>0</v>
      </c>
      <c r="BI10" s="1">
        <v>0</v>
      </c>
      <c r="BJ10" s="1" cm="1">
        <f t="array" ref="BJ10">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excel'!$F$2:$F$36),0),14)</f>
        <v>0</v>
      </c>
      <c r="BK10" s="1">
        <f>BJ10-BI10</f>
        <v>0</v>
      </c>
      <c r="BL10" s="1">
        <v>227.07</v>
      </c>
      <c r="BM10" s="1" cm="1">
        <f t="array" ref="BM10">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excel'!$F$2:$F$36),0),15)</f>
        <v>227.07</v>
      </c>
      <c r="BN10" s="7">
        <f>BM10-BL10</f>
        <v>0</v>
      </c>
      <c r="BO10" s="1">
        <v>0</v>
      </c>
      <c r="BP10" s="1" cm="1">
        <f t="array" ref="BP10">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excel'!$F$2:$F$36),0),16)</f>
        <v>0</v>
      </c>
      <c r="BQ10" s="1">
        <f>BP10-BO10</f>
        <v>0</v>
      </c>
      <c r="BR10" s="1">
        <v>0</v>
      </c>
      <c r="BS10" s="1" cm="1">
        <f t="array" ref="BS10">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excel'!$F$2:$F$36),0),17)</f>
        <v>0</v>
      </c>
      <c r="BT10" s="8">
        <f>BS10-BR10</f>
        <v>0</v>
      </c>
      <c r="BU10" s="1">
        <v>0</v>
      </c>
      <c r="BV10" s="1" cm="1">
        <f t="array" ref="BV10">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excel'!$F$2:$F$36),0),18)</f>
        <v>0</v>
      </c>
      <c r="BW10" s="1">
        <f>BV10-BU10</f>
        <v>0</v>
      </c>
      <c r="BX10" s="1">
        <v>0</v>
      </c>
      <c r="BY10" s="1" cm="1">
        <f t="array" ref="BY10">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excel'!$F$2:$F$36),0),19)</f>
        <v>0</v>
      </c>
      <c r="BZ10" s="1">
        <f>BY10-BX10</f>
        <v>0</v>
      </c>
      <c r="CA10" s="1">
        <v>0</v>
      </c>
      <c r="CB10" s="1" cm="1">
        <f t="array" ref="CB10">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excel'!$F$2:$F$36),0),20)</f>
        <v>0</v>
      </c>
      <c r="CC10" s="8">
        <f>CB10-CA10</f>
        <v>0</v>
      </c>
      <c r="CD10" s="1">
        <v>4650.25</v>
      </c>
      <c r="CE10" s="1" cm="1">
        <f t="array" ref="CE10">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excel'!$F$2:$F$36),0),21)</f>
        <v>4650.25</v>
      </c>
      <c r="CF10" s="8">
        <f>CE10-CD10</f>
        <v>0</v>
      </c>
      <c r="CG10" s="1">
        <v>0</v>
      </c>
      <c r="CH10" s="1" cm="1">
        <f t="array" ref="CH10">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excel'!$F$2:$F$36),0),22)+INDEX('Cálculo excel'!$B$2:$X$36,MATCH(1,('Exemplos Validação'!$F10='Cálculo excel'!$B$2:$B$36)*('Cálculo excel'!$C$2:$C$36='Exemplos Validação'!$H10)*('Exemplos Validação'!$I10='Cálculo excel'!$D$2:$D$36)*('Cálculo excel'!$E$2:$E$36='Exemplos Validação'!$J10)*('Exemplos Validação'!$K10='Cálculo excel'!$F$2:$F$36),0),23)</f>
        <v>0</v>
      </c>
      <c r="CI10" s="8">
        <f>CH10-CG10</f>
        <v>0</v>
      </c>
    </row>
    <row r="11" spans="1:87" x14ac:dyDescent="0.3">
      <c r="A11" t="s">
        <v>63</v>
      </c>
      <c r="B11" t="s">
        <v>64</v>
      </c>
      <c r="C11" t="s">
        <v>65</v>
      </c>
      <c r="D11" t="s">
        <v>66</v>
      </c>
      <c r="E11" t="s">
        <v>144</v>
      </c>
      <c r="F11" t="s">
        <v>144</v>
      </c>
      <c r="G11" t="s">
        <v>144</v>
      </c>
      <c r="H11" t="s">
        <v>68</v>
      </c>
      <c r="I11" t="s">
        <v>69</v>
      </c>
      <c r="J11" t="s">
        <v>145</v>
      </c>
      <c r="K11" t="s">
        <v>146</v>
      </c>
      <c r="L11" t="s">
        <v>124</v>
      </c>
      <c r="M11" t="s">
        <v>125</v>
      </c>
      <c r="N11" t="s">
        <v>74</v>
      </c>
      <c r="O11" t="s">
        <v>74</v>
      </c>
      <c r="P11" t="s">
        <v>76</v>
      </c>
      <c r="Q11" t="s">
        <v>74</v>
      </c>
      <c r="R11" t="s">
        <v>77</v>
      </c>
      <c r="S11" t="s">
        <v>78</v>
      </c>
      <c r="T11" t="s">
        <v>77</v>
      </c>
      <c r="U11">
        <v>11111111111</v>
      </c>
      <c r="V11">
        <v>11111111111</v>
      </c>
      <c r="W11">
        <v>11111111111</v>
      </c>
      <c r="X11">
        <v>11111111111</v>
      </c>
      <c r="Y11">
        <v>11111111111</v>
      </c>
      <c r="Z11">
        <v>11111111111</v>
      </c>
      <c r="AA11">
        <v>11111111111</v>
      </c>
      <c r="AB11" t="s">
        <v>77</v>
      </c>
      <c r="AC11">
        <v>11111111111</v>
      </c>
      <c r="AD11">
        <v>11111111111</v>
      </c>
      <c r="AE11" t="s">
        <v>126</v>
      </c>
      <c r="AF11" t="s">
        <v>147</v>
      </c>
      <c r="AG11" t="s">
        <v>128</v>
      </c>
      <c r="AH11" t="s">
        <v>82</v>
      </c>
      <c r="AI11" t="s">
        <v>148</v>
      </c>
      <c r="AJ11" t="s">
        <v>84</v>
      </c>
      <c r="AK11" t="s">
        <v>85</v>
      </c>
      <c r="AL11" t="s">
        <v>85</v>
      </c>
      <c r="AM11" t="s">
        <v>149</v>
      </c>
      <c r="AN11" t="s">
        <v>150</v>
      </c>
      <c r="AO11" t="s">
        <v>64</v>
      </c>
      <c r="AP11" t="s">
        <v>77</v>
      </c>
      <c r="AQ11" t="s">
        <v>132</v>
      </c>
      <c r="AR11" t="s">
        <v>87</v>
      </c>
      <c r="AS11" t="s">
        <v>133</v>
      </c>
      <c r="AT11" t="s">
        <v>89</v>
      </c>
      <c r="AU11" t="s">
        <v>78</v>
      </c>
      <c r="AV11" s="1">
        <v>23223.74</v>
      </c>
      <c r="AW11" s="1">
        <v>23223.74</v>
      </c>
      <c r="AX11" s="2">
        <v>1</v>
      </c>
      <c r="AY11" s="1">
        <v>1</v>
      </c>
      <c r="AZ11" s="1">
        <v>87.45</v>
      </c>
      <c r="BA11" s="1">
        <f t="array" ref="BA11">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excel'!$F$2:$F$36),0),11)</f>
        <v>87.45</v>
      </c>
      <c r="BB11" s="1">
        <f>BA11-AZ11</f>
        <v>0</v>
      </c>
      <c r="BC11" s="1">
        <v>0</v>
      </c>
      <c r="BD11" s="1" cm="1">
        <f t="array" ref="BD11">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excel'!$F$2:$F$36),0),12)</f>
        <v>0</v>
      </c>
      <c r="BE11" s="1">
        <f>BD11-BC11</f>
        <v>0</v>
      </c>
      <c r="BF11" s="1">
        <v>0</v>
      </c>
      <c r="BG11" s="1" cm="1">
        <f t="array" ref="BG11">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excel'!$F$2:$F$36),0),13)</f>
        <v>0</v>
      </c>
      <c r="BH11" s="1">
        <f>BG11-BF11</f>
        <v>0</v>
      </c>
      <c r="BI11" s="1">
        <v>0</v>
      </c>
      <c r="BJ11" s="1" cm="1">
        <f t="array" ref="BJ11">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excel'!$F$2:$F$36),0),14)</f>
        <v>0</v>
      </c>
      <c r="BK11" s="1">
        <f>BJ11-BI11</f>
        <v>0</v>
      </c>
      <c r="BL11" s="1">
        <v>5263.09</v>
      </c>
      <c r="BM11" s="1" cm="1">
        <f t="array" ref="BM11">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excel'!$F$2:$F$36),0),15)</f>
        <v>5263.09</v>
      </c>
      <c r="BN11" s="7">
        <f>BM11-BL11</f>
        <v>0</v>
      </c>
      <c r="BO11" s="1">
        <v>0</v>
      </c>
      <c r="BP11" s="1" cm="1">
        <f t="array" ref="BP11">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excel'!$F$2:$F$36),0),16)</f>
        <v>0</v>
      </c>
      <c r="BQ11" s="1">
        <f>BP11-BO11</f>
        <v>0</v>
      </c>
      <c r="BR11" s="1">
        <v>190.22</v>
      </c>
      <c r="BS11" s="1" cm="1">
        <f t="array" ref="BS11">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excel'!$F$2:$F$36),0),17)</f>
        <v>190.22</v>
      </c>
      <c r="BT11" s="8">
        <f>BS11-BR11</f>
        <v>0</v>
      </c>
      <c r="BU11" s="1">
        <v>0</v>
      </c>
      <c r="BV11" s="1" cm="1">
        <f t="array" ref="BV11">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excel'!$F$2:$F$36),0),18)</f>
        <v>0</v>
      </c>
      <c r="BW11" s="1">
        <f>BV11-BU11</f>
        <v>0</v>
      </c>
      <c r="BX11" s="1">
        <v>0</v>
      </c>
      <c r="BY11" s="1" cm="1">
        <f t="array" ref="BY11">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excel'!$F$2:$F$36),0),19)</f>
        <v>0</v>
      </c>
      <c r="BZ11" s="1">
        <f>BY11-BX11</f>
        <v>0</v>
      </c>
      <c r="CA11" s="1">
        <v>41.98</v>
      </c>
      <c r="CB11" s="1" cm="1">
        <f t="array" ref="CB11">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excel'!$F$2:$F$36),0),20)</f>
        <v>41.980000000000004</v>
      </c>
      <c r="CC11" s="8">
        <f>CB11-CA11</f>
        <v>0</v>
      </c>
      <c r="CD11" s="1">
        <v>23910.355</v>
      </c>
      <c r="CE11" s="1" cm="1">
        <f t="array" ref="CE11">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excel'!$F$2:$F$36),0),21)</f>
        <v>23910.355</v>
      </c>
      <c r="CF11" s="8">
        <f>CE11-CD11</f>
        <v>0</v>
      </c>
      <c r="CG11" s="1">
        <v>0</v>
      </c>
      <c r="CH11" s="1" cm="1">
        <f t="array" ref="CH11">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excel'!$F$2:$F$36),0),22)+INDEX('Cálculo excel'!$B$2:$X$36,MATCH(1,('Exemplos Validação'!$F11='Cálculo excel'!$B$2:$B$36)*('Cálculo excel'!$C$2:$C$36='Exemplos Validação'!$H11)*('Exemplos Validação'!$I11='Cálculo excel'!$D$2:$D$36)*('Cálculo excel'!$E$2:$E$36='Exemplos Validação'!$J11)*('Exemplos Validação'!$K11='Cálculo excel'!$F$2:$F$36),0),23)</f>
        <v>0</v>
      </c>
      <c r="CI11" s="8">
        <f>CH11-CG11</f>
        <v>0</v>
      </c>
    </row>
    <row r="12" spans="1:87" x14ac:dyDescent="0.3">
      <c r="A12" t="s">
        <v>63</v>
      </c>
      <c r="B12" t="s">
        <v>64</v>
      </c>
      <c r="C12" t="s">
        <v>65</v>
      </c>
      <c r="D12" t="s">
        <v>66</v>
      </c>
      <c r="E12" t="s">
        <v>151</v>
      </c>
      <c r="F12" t="s">
        <v>151</v>
      </c>
      <c r="G12" t="s">
        <v>151</v>
      </c>
      <c r="H12" t="s">
        <v>68</v>
      </c>
      <c r="I12" t="s">
        <v>69</v>
      </c>
      <c r="J12" t="s">
        <v>152</v>
      </c>
      <c r="K12" t="s">
        <v>153</v>
      </c>
      <c r="L12" t="s">
        <v>124</v>
      </c>
      <c r="M12" t="s">
        <v>125</v>
      </c>
      <c r="N12" t="s">
        <v>74</v>
      </c>
      <c r="O12" t="s">
        <v>74</v>
      </c>
      <c r="P12" t="s">
        <v>76</v>
      </c>
      <c r="Q12" t="s">
        <v>74</v>
      </c>
      <c r="R12" t="s">
        <v>77</v>
      </c>
      <c r="S12" t="s">
        <v>78</v>
      </c>
      <c r="T12" t="s">
        <v>77</v>
      </c>
      <c r="U12">
        <v>11111111111</v>
      </c>
      <c r="V12">
        <v>11111111111</v>
      </c>
      <c r="W12">
        <v>11111111111</v>
      </c>
      <c r="X12">
        <v>11111111111</v>
      </c>
      <c r="Y12">
        <v>11111111111</v>
      </c>
      <c r="Z12">
        <v>11111111111</v>
      </c>
      <c r="AA12">
        <v>11111111111</v>
      </c>
      <c r="AB12" t="s">
        <v>77</v>
      </c>
      <c r="AC12">
        <v>11111111111</v>
      </c>
      <c r="AD12">
        <v>11111111111</v>
      </c>
      <c r="AE12" t="s">
        <v>126</v>
      </c>
      <c r="AF12" t="s">
        <v>154</v>
      </c>
      <c r="AG12" t="s">
        <v>81</v>
      </c>
      <c r="AH12" t="s">
        <v>82</v>
      </c>
      <c r="AI12" t="s">
        <v>155</v>
      </c>
      <c r="AJ12" t="s">
        <v>84</v>
      </c>
      <c r="AK12" t="s">
        <v>85</v>
      </c>
      <c r="AL12" t="s">
        <v>85</v>
      </c>
      <c r="AM12" t="s">
        <v>156</v>
      </c>
      <c r="AN12" t="s">
        <v>157</v>
      </c>
      <c r="AO12" t="s">
        <v>64</v>
      </c>
      <c r="AP12" t="s">
        <v>77</v>
      </c>
      <c r="AQ12" t="s">
        <v>158</v>
      </c>
      <c r="AR12" t="s">
        <v>87</v>
      </c>
      <c r="AS12" t="s">
        <v>133</v>
      </c>
      <c r="AT12" t="s">
        <v>89</v>
      </c>
      <c r="AU12" t="s">
        <v>78</v>
      </c>
      <c r="AV12" s="1">
        <v>13138.68</v>
      </c>
      <c r="AW12" s="1">
        <v>13138.68</v>
      </c>
      <c r="AX12" s="2">
        <v>1</v>
      </c>
      <c r="AY12" s="1">
        <v>1</v>
      </c>
      <c r="AZ12" s="1">
        <v>16.5</v>
      </c>
      <c r="BA12" s="1">
        <f t="array" ref="BA12">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excel'!$F$2:$F$36),0),11)</f>
        <v>16.5</v>
      </c>
      <c r="BB12" s="1">
        <f>BA12-AZ12</f>
        <v>0</v>
      </c>
      <c r="BC12" s="1">
        <v>0</v>
      </c>
      <c r="BD12" s="1" cm="1">
        <f t="array" ref="BD12">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excel'!$F$2:$F$36),0),12)</f>
        <v>0</v>
      </c>
      <c r="BE12" s="1">
        <f>BD12-BC12</f>
        <v>0</v>
      </c>
      <c r="BF12" s="1">
        <v>0</v>
      </c>
      <c r="BG12" s="1" cm="1">
        <f t="array" ref="BG12">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excel'!$F$2:$F$36),0),13)</f>
        <v>0</v>
      </c>
      <c r="BH12" s="1">
        <f>BG12-BF12</f>
        <v>0</v>
      </c>
      <c r="BI12" s="1">
        <v>0</v>
      </c>
      <c r="BJ12" s="1" cm="1">
        <f t="array" ref="BJ12">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excel'!$F$2:$F$36),0),14)</f>
        <v>0</v>
      </c>
      <c r="BK12" s="1">
        <f>BJ12-BI12</f>
        <v>0</v>
      </c>
      <c r="BL12" s="1">
        <v>-1.54</v>
      </c>
      <c r="BM12" s="1" cm="1">
        <f t="array" ref="BM12">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excel'!$F$2:$F$36),0),15)</f>
        <v>-1.54</v>
      </c>
      <c r="BN12" s="7">
        <f>BM12-BL12</f>
        <v>0</v>
      </c>
      <c r="BO12" s="1">
        <v>0</v>
      </c>
      <c r="BP12" s="1" cm="1">
        <f t="array" ref="BP12">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excel'!$F$2:$F$36),0),16)</f>
        <v>0</v>
      </c>
      <c r="BQ12" s="1">
        <f>BP12-BO12</f>
        <v>0</v>
      </c>
      <c r="BR12" s="1">
        <v>127.23</v>
      </c>
      <c r="BS12" s="1" cm="1">
        <f t="array" ref="BS12">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excel'!$F$2:$F$36),0),17)</f>
        <v>127.23</v>
      </c>
      <c r="BT12" s="8">
        <f>BS12-BR12</f>
        <v>0</v>
      </c>
      <c r="BU12" s="1">
        <v>0</v>
      </c>
      <c r="BV12" s="1" cm="1">
        <f t="array" ref="BV12">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excel'!$F$2:$F$36),0),18)</f>
        <v>0</v>
      </c>
      <c r="BW12" s="1">
        <f>BV12-BU12</f>
        <v>0</v>
      </c>
      <c r="BX12" s="1">
        <v>0</v>
      </c>
      <c r="BY12" s="1" cm="1">
        <f t="array" ref="BY12">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excel'!$F$2:$F$36),0),19)</f>
        <v>0</v>
      </c>
      <c r="BZ12" s="1">
        <f>BY12-BX12</f>
        <v>0</v>
      </c>
      <c r="CA12" s="1">
        <v>24.42</v>
      </c>
      <c r="CB12" s="1" cm="1">
        <f t="array" ref="CB12">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excel'!$F$2:$F$36),0),20)</f>
        <v>24.42</v>
      </c>
      <c r="CC12" s="8">
        <f>CB12-CA12</f>
        <v>0</v>
      </c>
      <c r="CD12" s="1">
        <v>13549.84</v>
      </c>
      <c r="CE12" s="1" cm="1">
        <f t="array" ref="CE12">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excel'!$F$2:$F$36),0),21)</f>
        <v>13549.84</v>
      </c>
      <c r="CF12" s="8">
        <f>CE12-CD12</f>
        <v>0</v>
      </c>
      <c r="CG12" s="1">
        <v>0</v>
      </c>
      <c r="CH12" s="1" cm="1">
        <f t="array" ref="CH12">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excel'!$F$2:$F$36),0),22)+INDEX('Cálculo excel'!$B$2:$X$36,MATCH(1,('Exemplos Validação'!$F12='Cálculo excel'!$B$2:$B$36)*('Cálculo excel'!$C$2:$C$36='Exemplos Validação'!$H12)*('Exemplos Validação'!$I12='Cálculo excel'!$D$2:$D$36)*('Cálculo excel'!$E$2:$E$36='Exemplos Validação'!$J12)*('Exemplos Validação'!$K12='Cálculo excel'!$F$2:$F$36),0),23)</f>
        <v>0</v>
      </c>
      <c r="CI12" s="8">
        <f>CH12-CG12</f>
        <v>0</v>
      </c>
    </row>
    <row r="13" spans="1:87" x14ac:dyDescent="0.3">
      <c r="A13" t="s">
        <v>63</v>
      </c>
      <c r="B13" t="s">
        <v>64</v>
      </c>
      <c r="C13" t="s">
        <v>65</v>
      </c>
      <c r="D13" t="s">
        <v>66</v>
      </c>
      <c r="E13" t="s">
        <v>159</v>
      </c>
      <c r="F13" t="s">
        <v>159</v>
      </c>
      <c r="G13" t="s">
        <v>159</v>
      </c>
      <c r="H13" t="s">
        <v>68</v>
      </c>
      <c r="I13" t="s">
        <v>69</v>
      </c>
      <c r="J13" t="s">
        <v>160</v>
      </c>
      <c r="K13" t="s">
        <v>161</v>
      </c>
      <c r="L13" t="s">
        <v>124</v>
      </c>
      <c r="M13" t="s">
        <v>125</v>
      </c>
      <c r="N13" t="s">
        <v>74</v>
      </c>
      <c r="O13" t="s">
        <v>74</v>
      </c>
      <c r="P13" t="s">
        <v>76</v>
      </c>
      <c r="Q13" t="s">
        <v>74</v>
      </c>
      <c r="R13" t="s">
        <v>77</v>
      </c>
      <c r="S13" t="s">
        <v>78</v>
      </c>
      <c r="T13" t="s">
        <v>77</v>
      </c>
      <c r="U13">
        <v>11111111111</v>
      </c>
      <c r="V13">
        <v>11111111111</v>
      </c>
      <c r="W13">
        <v>11111111111</v>
      </c>
      <c r="X13">
        <v>11111111111</v>
      </c>
      <c r="Y13">
        <v>11111111111</v>
      </c>
      <c r="Z13">
        <v>11111111111</v>
      </c>
      <c r="AA13">
        <v>11111111111</v>
      </c>
      <c r="AB13" t="s">
        <v>77</v>
      </c>
      <c r="AC13">
        <v>11111111111</v>
      </c>
      <c r="AD13">
        <v>11111111111</v>
      </c>
      <c r="AE13" t="s">
        <v>126</v>
      </c>
      <c r="AF13" t="s">
        <v>162</v>
      </c>
      <c r="AG13" t="s">
        <v>81</v>
      </c>
      <c r="AH13" t="s">
        <v>82</v>
      </c>
      <c r="AI13" t="s">
        <v>163</v>
      </c>
      <c r="AJ13" t="s">
        <v>84</v>
      </c>
      <c r="AK13" t="s">
        <v>85</v>
      </c>
      <c r="AL13" t="s">
        <v>85</v>
      </c>
      <c r="AM13" t="s">
        <v>164</v>
      </c>
      <c r="AN13" t="s">
        <v>165</v>
      </c>
      <c r="AO13" t="s">
        <v>64</v>
      </c>
      <c r="AP13" t="s">
        <v>77</v>
      </c>
      <c r="AQ13" t="s">
        <v>158</v>
      </c>
      <c r="AR13" t="s">
        <v>87</v>
      </c>
      <c r="AS13" t="s">
        <v>133</v>
      </c>
      <c r="AT13" t="s">
        <v>89</v>
      </c>
      <c r="AU13" t="s">
        <v>78</v>
      </c>
      <c r="AV13" s="1">
        <v>28431.8</v>
      </c>
      <c r="AW13" s="1">
        <v>28431.8</v>
      </c>
      <c r="AX13" s="2">
        <v>1</v>
      </c>
      <c r="AY13" s="1">
        <v>1</v>
      </c>
      <c r="AZ13" s="1">
        <v>8.25</v>
      </c>
      <c r="BA13" s="1">
        <f t="array" ref="BA13">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excel'!$F$2:$F$36),0),11)</f>
        <v>8.25</v>
      </c>
      <c r="BB13" s="1">
        <f>BA13-AZ13</f>
        <v>0</v>
      </c>
      <c r="BC13" s="1">
        <v>0</v>
      </c>
      <c r="BD13" s="1" cm="1">
        <f t="array" ref="BD13">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excel'!$F$2:$F$36),0),12)</f>
        <v>0</v>
      </c>
      <c r="BE13" s="1">
        <f>BD13-BC13</f>
        <v>0</v>
      </c>
      <c r="BF13" s="1">
        <v>0</v>
      </c>
      <c r="BG13" s="1" cm="1">
        <f t="array" ref="BG13">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excel'!$F$2:$F$36),0),13)</f>
        <v>0</v>
      </c>
      <c r="BH13" s="1">
        <f>BG13-BF13</f>
        <v>0</v>
      </c>
      <c r="BI13" s="1">
        <v>0</v>
      </c>
      <c r="BJ13" s="1" cm="1">
        <f t="array" ref="BJ13">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excel'!$F$2:$F$36),0),14)</f>
        <v>0</v>
      </c>
      <c r="BK13" s="1">
        <f>BJ13-BI13</f>
        <v>0</v>
      </c>
      <c r="BL13" s="1">
        <v>-4.1900000000000004</v>
      </c>
      <c r="BM13" s="1" cm="1">
        <f t="array" ref="BM13">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excel'!$F$2:$F$36),0),15)</f>
        <v>-4.1900000000000004</v>
      </c>
      <c r="BN13" s="7">
        <f>BM13-BL13</f>
        <v>0</v>
      </c>
      <c r="BO13" s="1">
        <v>0</v>
      </c>
      <c r="BP13" s="1" cm="1">
        <f t="array" ref="BP13">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excel'!$F$2:$F$36),0),16)</f>
        <v>0</v>
      </c>
      <c r="BQ13" s="1">
        <f>BP13-BO13</f>
        <v>0</v>
      </c>
      <c r="BR13" s="1">
        <v>270.67</v>
      </c>
      <c r="BS13" s="1" cm="1">
        <f t="array" ref="BS13">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excel'!$F$2:$F$36),0),17)</f>
        <v>270.67</v>
      </c>
      <c r="BT13" s="8">
        <f>BS13-BR13</f>
        <v>0</v>
      </c>
      <c r="BU13" s="1">
        <v>0</v>
      </c>
      <c r="BV13" s="1" cm="1">
        <f t="array" ref="BV13">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excel'!$F$2:$F$36),0),18)</f>
        <v>0</v>
      </c>
      <c r="BW13" s="1">
        <f>BV13-BU13</f>
        <v>0</v>
      </c>
      <c r="BX13" s="1">
        <v>0</v>
      </c>
      <c r="BY13" s="1" cm="1">
        <f t="array" ref="BY13">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excel'!$F$2:$F$36),0),19)</f>
        <v>0</v>
      </c>
      <c r="BZ13" s="1">
        <f>BY13-BX13</f>
        <v>0</v>
      </c>
      <c r="CA13" s="1">
        <v>51.37</v>
      </c>
      <c r="CB13" s="1" cm="1">
        <f t="array" ref="CB13">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excel'!$F$2:$F$36),0),20)</f>
        <v>51.36999999999999</v>
      </c>
      <c r="CC13" s="8">
        <f>CB13-CA13</f>
        <v>0</v>
      </c>
      <c r="CD13" s="1">
        <v>29657.11</v>
      </c>
      <c r="CE13" s="1" cm="1">
        <f t="array" ref="CE13">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excel'!$F$2:$F$36),0),21)</f>
        <v>29657.11</v>
      </c>
      <c r="CF13" s="8">
        <f>CE13-CD13</f>
        <v>0</v>
      </c>
      <c r="CG13" s="1">
        <v>0</v>
      </c>
      <c r="CH13" s="1" cm="1">
        <f t="array" ref="CH13">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excel'!$F$2:$F$36),0),22)+INDEX('Cálculo excel'!$B$2:$X$36,MATCH(1,('Exemplos Validação'!$F13='Cálculo excel'!$B$2:$B$36)*('Cálculo excel'!$C$2:$C$36='Exemplos Validação'!$H13)*('Exemplos Validação'!$I13='Cálculo excel'!$D$2:$D$36)*('Cálculo excel'!$E$2:$E$36='Exemplos Validação'!$J13)*('Exemplos Validação'!$K13='Cálculo excel'!$F$2:$F$36),0),23)</f>
        <v>0</v>
      </c>
      <c r="CI13" s="8">
        <f>CH13-CG13</f>
        <v>0</v>
      </c>
    </row>
    <row r="14" spans="1:87" x14ac:dyDescent="0.3">
      <c r="A14" t="s">
        <v>63</v>
      </c>
      <c r="B14" t="s">
        <v>64</v>
      </c>
      <c r="C14" t="s">
        <v>65</v>
      </c>
      <c r="D14" t="s">
        <v>66</v>
      </c>
      <c r="E14" t="s">
        <v>166</v>
      </c>
      <c r="F14" t="s">
        <v>166</v>
      </c>
      <c r="G14" t="s">
        <v>166</v>
      </c>
      <c r="H14" t="s">
        <v>68</v>
      </c>
      <c r="I14" t="s">
        <v>167</v>
      </c>
      <c r="J14" t="s">
        <v>168</v>
      </c>
      <c r="K14" t="s">
        <v>97</v>
      </c>
      <c r="L14" t="s">
        <v>98</v>
      </c>
      <c r="M14" t="s">
        <v>99</v>
      </c>
      <c r="N14" t="s">
        <v>74</v>
      </c>
      <c r="O14" t="s">
        <v>75</v>
      </c>
      <c r="P14" t="s">
        <v>76</v>
      </c>
      <c r="Q14" t="s">
        <v>74</v>
      </c>
      <c r="R14" t="s">
        <v>77</v>
      </c>
      <c r="S14" t="s">
        <v>78</v>
      </c>
      <c r="T14" t="s">
        <v>77</v>
      </c>
      <c r="U14">
        <v>11111111111</v>
      </c>
      <c r="V14">
        <v>11111111111</v>
      </c>
      <c r="W14">
        <v>11111111111</v>
      </c>
      <c r="X14">
        <v>11111111111</v>
      </c>
      <c r="Y14">
        <v>11111111111</v>
      </c>
      <c r="Z14">
        <v>11111111111</v>
      </c>
      <c r="AA14">
        <v>11111111111</v>
      </c>
      <c r="AB14" t="s">
        <v>77</v>
      </c>
      <c r="AC14">
        <v>11111111111</v>
      </c>
      <c r="AD14">
        <v>11111111111</v>
      </c>
      <c r="AE14" t="s">
        <v>169</v>
      </c>
      <c r="AF14" t="s">
        <v>170</v>
      </c>
      <c r="AG14" t="s">
        <v>81</v>
      </c>
      <c r="AH14" t="s">
        <v>82</v>
      </c>
      <c r="AI14" t="s">
        <v>171</v>
      </c>
      <c r="AJ14" t="s">
        <v>84</v>
      </c>
      <c r="AK14" t="s">
        <v>172</v>
      </c>
      <c r="AL14" t="s">
        <v>173</v>
      </c>
      <c r="AM14" t="s">
        <v>174</v>
      </c>
      <c r="AN14" t="s">
        <v>175</v>
      </c>
      <c r="AO14" t="s">
        <v>64</v>
      </c>
      <c r="AP14" t="s">
        <v>176</v>
      </c>
      <c r="AQ14" t="s">
        <v>105</v>
      </c>
      <c r="AR14" t="s">
        <v>87</v>
      </c>
      <c r="AS14" t="s">
        <v>177</v>
      </c>
      <c r="AT14" t="s">
        <v>89</v>
      </c>
      <c r="AU14" t="s">
        <v>78</v>
      </c>
      <c r="AV14" s="1">
        <v>832.38</v>
      </c>
      <c r="AW14" s="1">
        <v>1277.92</v>
      </c>
      <c r="AX14" s="2">
        <v>2</v>
      </c>
      <c r="AY14" s="1">
        <v>0.65135500000000002</v>
      </c>
      <c r="AZ14" s="1">
        <v>0</v>
      </c>
      <c r="BA14" s="1">
        <f t="array" ref="BA14">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excel'!$F$2:$F$36),0),11)</f>
        <v>0</v>
      </c>
      <c r="BB14" s="1">
        <f>BA14-AZ14</f>
        <v>0</v>
      </c>
      <c r="BC14" s="1">
        <v>0</v>
      </c>
      <c r="BD14" s="1" cm="1">
        <f t="array" ref="BD14">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excel'!$F$2:$F$36),0),12)</f>
        <v>0</v>
      </c>
      <c r="BE14" s="1">
        <f>BD14-BC14</f>
        <v>0</v>
      </c>
      <c r="BF14" s="1">
        <v>0</v>
      </c>
      <c r="BG14" s="1" cm="1">
        <f t="array" ref="BG14">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excel'!$F$2:$F$36),0),13)</f>
        <v>0</v>
      </c>
      <c r="BH14" s="1">
        <f>BG14-BF14</f>
        <v>0</v>
      </c>
      <c r="BI14" s="1">
        <v>0</v>
      </c>
      <c r="BJ14" s="1" cm="1">
        <f t="array" ref="BJ14">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excel'!$F$2:$F$36),0),14)</f>
        <v>0</v>
      </c>
      <c r="BK14" s="1">
        <f>BJ14-BI14</f>
        <v>0</v>
      </c>
      <c r="BL14" s="1">
        <v>-0.69694985000000009</v>
      </c>
      <c r="BM14" s="1" cm="1">
        <f t="array" ref="BM14">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excel'!$F$2:$F$36),0),15)</f>
        <v>-0.69695020032552912</v>
      </c>
      <c r="BN14" s="7">
        <f>BM14-BL14</f>
        <v>-3.5032552903047076E-7</v>
      </c>
      <c r="BO14" s="1">
        <v>0</v>
      </c>
      <c r="BP14" s="1" cm="1">
        <f t="array" ref="BP14">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excel'!$F$2:$F$36),0),16)</f>
        <v>0</v>
      </c>
      <c r="BQ14" s="1">
        <f>BP14-BO14</f>
        <v>0</v>
      </c>
      <c r="BR14" s="1">
        <v>31.9294221</v>
      </c>
      <c r="BS14" s="1" cm="1">
        <f t="array" ref="BS14">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excel'!$F$2:$F$36),0),17)</f>
        <v>31.929438149492924</v>
      </c>
      <c r="BT14" s="8">
        <f>BS14-BR14</f>
        <v>1.6049492923997377E-5</v>
      </c>
      <c r="BU14" s="1">
        <v>0</v>
      </c>
      <c r="BV14" s="1" cm="1">
        <f t="array" ref="BV14">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excel'!$F$2:$F$36),0),18)</f>
        <v>0</v>
      </c>
      <c r="BW14" s="1">
        <f>BV14-BU14</f>
        <v>0</v>
      </c>
      <c r="BX14" s="1">
        <v>0</v>
      </c>
      <c r="BY14" s="1" cm="1">
        <f t="array" ref="BY14">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excel'!$F$2:$F$36),0),19)</f>
        <v>0</v>
      </c>
      <c r="BZ14" s="1">
        <f>BY14-BX14</f>
        <v>0</v>
      </c>
      <c r="CA14" s="1">
        <v>1.1073035</v>
      </c>
      <c r="CB14" s="1" cm="1">
        <f t="array" ref="CB14">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excel'!$F$2:$F$36),0),20)</f>
        <v>1.1073040565919625</v>
      </c>
      <c r="CC14" s="8">
        <f>CB14-CA14</f>
        <v>5.565919625194482E-7</v>
      </c>
      <c r="CD14" s="1">
        <v>1306.7158332500001</v>
      </c>
      <c r="CE14" s="1" cm="1">
        <f t="array" ref="CE14">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excel'!$F$2:$F$36),0),21)</f>
        <v>1306.7164900776261</v>
      </c>
      <c r="CF14" s="8">
        <f>CE14-CD14</f>
        <v>6.5682762601682043E-4</v>
      </c>
      <c r="CG14" s="1">
        <v>1230.5007846999999</v>
      </c>
      <c r="CH14" s="1" cm="1">
        <f t="array" ref="CH14">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excel'!$F$2:$F$36),0),22)+INDEX('Cálculo excel'!$B$2:$X$36,MATCH(1,('Exemplos Validação'!$F14='Cálculo excel'!$B$2:$B$36)*('Cálculo excel'!$C$2:$C$36='Exemplos Validação'!$H14)*('Exemplos Validação'!$I14='Cálculo excel'!$D$2:$D$36)*('Cálculo excel'!$E$2:$E$36='Exemplos Validação'!$J14)*('Exemplos Validação'!$K14='Cálculo excel'!$F$2:$F$36),0),23)</f>
        <v>1230.5014032177287</v>
      </c>
      <c r="CI14" s="8">
        <f>CH14-CG14</f>
        <v>6.1851772875343158E-4</v>
      </c>
    </row>
    <row r="15" spans="1:87" x14ac:dyDescent="0.3">
      <c r="A15" t="s">
        <v>63</v>
      </c>
      <c r="B15" t="s">
        <v>64</v>
      </c>
      <c r="C15" t="s">
        <v>65</v>
      </c>
      <c r="D15" t="s">
        <v>66</v>
      </c>
      <c r="E15" t="s">
        <v>178</v>
      </c>
      <c r="F15" t="s">
        <v>178</v>
      </c>
      <c r="G15" t="s">
        <v>178</v>
      </c>
      <c r="H15" t="s">
        <v>68</v>
      </c>
      <c r="I15" t="s">
        <v>69</v>
      </c>
      <c r="J15" t="s">
        <v>70</v>
      </c>
      <c r="K15" t="s">
        <v>71</v>
      </c>
      <c r="L15" t="s">
        <v>72</v>
      </c>
      <c r="M15" t="s">
        <v>73</v>
      </c>
      <c r="N15" t="s">
        <v>74</v>
      </c>
      <c r="O15" t="s">
        <v>75</v>
      </c>
      <c r="P15" t="s">
        <v>76</v>
      </c>
      <c r="Q15" t="s">
        <v>74</v>
      </c>
      <c r="R15" t="s">
        <v>77</v>
      </c>
      <c r="S15" t="s">
        <v>78</v>
      </c>
      <c r="T15" t="s">
        <v>77</v>
      </c>
      <c r="U15">
        <v>11111111111</v>
      </c>
      <c r="V15">
        <v>11111111111</v>
      </c>
      <c r="W15">
        <v>11111111111</v>
      </c>
      <c r="X15">
        <v>11111111111</v>
      </c>
      <c r="Y15">
        <v>11111111111</v>
      </c>
      <c r="Z15">
        <v>11111111111</v>
      </c>
      <c r="AA15">
        <v>11111111111</v>
      </c>
      <c r="AB15" t="s">
        <v>77</v>
      </c>
      <c r="AC15">
        <v>11111111111</v>
      </c>
      <c r="AD15">
        <v>11111111111</v>
      </c>
      <c r="AE15" t="s">
        <v>79</v>
      </c>
      <c r="AF15" t="s">
        <v>179</v>
      </c>
      <c r="AG15" t="s">
        <v>81</v>
      </c>
      <c r="AH15" t="s">
        <v>82</v>
      </c>
      <c r="AI15" t="s">
        <v>180</v>
      </c>
      <c r="AJ15" t="s">
        <v>84</v>
      </c>
      <c r="AK15" t="s">
        <v>85</v>
      </c>
      <c r="AL15" t="s">
        <v>85</v>
      </c>
      <c r="AM15" t="s">
        <v>85</v>
      </c>
      <c r="AN15" t="s">
        <v>85</v>
      </c>
      <c r="AO15" t="s">
        <v>64</v>
      </c>
      <c r="AP15" t="s">
        <v>77</v>
      </c>
      <c r="AQ15" t="s">
        <v>86</v>
      </c>
      <c r="AR15" t="s">
        <v>87</v>
      </c>
      <c r="AS15" t="s">
        <v>88</v>
      </c>
      <c r="AT15" t="s">
        <v>89</v>
      </c>
      <c r="AU15" t="s">
        <v>78</v>
      </c>
      <c r="AV15" s="1">
        <v>2631.54</v>
      </c>
      <c r="AW15" s="1">
        <v>929165.44</v>
      </c>
      <c r="AX15" s="2">
        <v>21</v>
      </c>
      <c r="AY15" s="1">
        <v>2.8319999999999999E-3</v>
      </c>
      <c r="AZ15" s="1">
        <v>0</v>
      </c>
      <c r="BA15" s="1">
        <f t="array" ref="BA15">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excel'!$F$2:$F$36),0),11)</f>
        <v>0</v>
      </c>
      <c r="BB15" s="1">
        <f>BA15-AZ15</f>
        <v>0</v>
      </c>
      <c r="BC15" s="1">
        <v>0</v>
      </c>
      <c r="BD15" s="1" cm="1">
        <f t="array" ref="BD15">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excel'!$F$2:$F$36),0),12)</f>
        <v>0</v>
      </c>
      <c r="BE15" s="1">
        <f>BD15-BC15</f>
        <v>0</v>
      </c>
      <c r="BF15" s="1">
        <v>0</v>
      </c>
      <c r="BG15" s="1" cm="1">
        <f t="array" ref="BG15">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excel'!$F$2:$F$36),0),13)</f>
        <v>0</v>
      </c>
      <c r="BH15" s="1">
        <f>BG15-BF15</f>
        <v>0</v>
      </c>
      <c r="BI15" s="1">
        <v>0</v>
      </c>
      <c r="BJ15" s="1" cm="1">
        <f t="array" ref="BJ15">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excel'!$F$2:$F$36),0),14)</f>
        <v>0</v>
      </c>
      <c r="BK15" s="1">
        <f>BJ15-BI15</f>
        <v>0</v>
      </c>
      <c r="BL15" s="1">
        <v>0</v>
      </c>
      <c r="BM15" s="1" cm="1">
        <f t="array" ref="BM15">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excel'!$F$2:$F$36),0),15)</f>
        <v>0</v>
      </c>
      <c r="BN15" s="7">
        <f>BM15-BL15</f>
        <v>0</v>
      </c>
      <c r="BO15" s="1">
        <v>0</v>
      </c>
      <c r="BP15" s="1" cm="1">
        <f t="array" ref="BP15">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excel'!$F$2:$F$36),0),16)</f>
        <v>0</v>
      </c>
      <c r="BQ15" s="1">
        <f>BP15-BO15</f>
        <v>0</v>
      </c>
      <c r="BR15" s="1">
        <v>0</v>
      </c>
      <c r="BS15" s="1" cm="1">
        <f t="array" ref="BS15">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excel'!$F$2:$F$36),0),17)</f>
        <v>0</v>
      </c>
      <c r="BT15" s="8">
        <f>BS15-BR15</f>
        <v>0</v>
      </c>
      <c r="BU15" s="1">
        <v>0</v>
      </c>
      <c r="BV15" s="1" cm="1">
        <f t="array" ref="BV15">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excel'!$F$2:$F$36),0),18)</f>
        <v>0</v>
      </c>
      <c r="BW15" s="1">
        <f>BV15-BU15</f>
        <v>0</v>
      </c>
      <c r="BX15" s="1">
        <v>0</v>
      </c>
      <c r="BY15" s="1" cm="1">
        <f t="array" ref="BY15">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excel'!$F$2:$F$36),0),19)</f>
        <v>0</v>
      </c>
      <c r="BZ15" s="1">
        <f>BY15-BX15</f>
        <v>0</v>
      </c>
      <c r="CA15" s="1">
        <v>0</v>
      </c>
      <c r="CB15" s="1" cm="1">
        <f t="array" ref="CB15">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excel'!$F$2:$F$36),0),20)</f>
        <v>0</v>
      </c>
      <c r="CC15" s="8">
        <f>CB15-CA15</f>
        <v>0</v>
      </c>
      <c r="CD15" s="1">
        <v>0</v>
      </c>
      <c r="CE15" s="1" cm="1">
        <f t="array" ref="CE15">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excel'!$F$2:$F$36),0),21)</f>
        <v>0</v>
      </c>
      <c r="CF15" s="8">
        <f>CE15-CD15</f>
        <v>0</v>
      </c>
      <c r="CG15" s="1">
        <v>0</v>
      </c>
      <c r="CH15" s="1" cm="1">
        <f t="array" ref="CH15">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excel'!$F$2:$F$36),0),22)+INDEX('Cálculo excel'!$B$2:$X$36,MATCH(1,('Exemplos Validação'!$F15='Cálculo excel'!$B$2:$B$36)*('Cálculo excel'!$C$2:$C$36='Exemplos Validação'!$H15)*('Exemplos Validação'!$I15='Cálculo excel'!$D$2:$D$36)*('Cálculo excel'!$E$2:$E$36='Exemplos Validação'!$J15)*('Exemplos Validação'!$K15='Cálculo excel'!$F$2:$F$36),0),23)</f>
        <v>0</v>
      </c>
      <c r="CI15" s="8">
        <f>CH15-CG15</f>
        <v>0</v>
      </c>
    </row>
    <row r="16" spans="1:87" x14ac:dyDescent="0.3">
      <c r="A16" t="s">
        <v>63</v>
      </c>
      <c r="B16" t="s">
        <v>64</v>
      </c>
      <c r="C16" t="s">
        <v>65</v>
      </c>
      <c r="D16" t="s">
        <v>66</v>
      </c>
      <c r="E16" t="s">
        <v>181</v>
      </c>
      <c r="F16" t="s">
        <v>181</v>
      </c>
      <c r="G16" t="s">
        <v>181</v>
      </c>
      <c r="H16" t="s">
        <v>68</v>
      </c>
      <c r="I16" t="s">
        <v>69</v>
      </c>
      <c r="J16" t="s">
        <v>70</v>
      </c>
      <c r="K16" t="s">
        <v>71</v>
      </c>
      <c r="L16" t="s">
        <v>72</v>
      </c>
      <c r="M16" t="s">
        <v>73</v>
      </c>
      <c r="N16" t="s">
        <v>74</v>
      </c>
      <c r="O16" t="s">
        <v>75</v>
      </c>
      <c r="P16" t="s">
        <v>76</v>
      </c>
      <c r="Q16" t="s">
        <v>74</v>
      </c>
      <c r="R16" t="s">
        <v>77</v>
      </c>
      <c r="S16" t="s">
        <v>78</v>
      </c>
      <c r="T16" t="s">
        <v>77</v>
      </c>
      <c r="U16">
        <v>11111111111</v>
      </c>
      <c r="V16">
        <v>11111111111</v>
      </c>
      <c r="W16">
        <v>11111111111</v>
      </c>
      <c r="X16">
        <v>11111111111</v>
      </c>
      <c r="Y16">
        <v>11111111111</v>
      </c>
      <c r="Z16">
        <v>11111111111</v>
      </c>
      <c r="AA16">
        <v>11111111111</v>
      </c>
      <c r="AB16" t="s">
        <v>77</v>
      </c>
      <c r="AC16">
        <v>11111111111</v>
      </c>
      <c r="AD16">
        <v>11111111111</v>
      </c>
      <c r="AE16" t="s">
        <v>79</v>
      </c>
      <c r="AF16" t="s">
        <v>182</v>
      </c>
      <c r="AG16" t="s">
        <v>81</v>
      </c>
      <c r="AH16" t="s">
        <v>82</v>
      </c>
      <c r="AI16" t="s">
        <v>183</v>
      </c>
      <c r="AJ16" t="s">
        <v>84</v>
      </c>
      <c r="AK16" t="s">
        <v>85</v>
      </c>
      <c r="AL16" t="s">
        <v>85</v>
      </c>
      <c r="AM16" t="s">
        <v>85</v>
      </c>
      <c r="AN16" t="s">
        <v>85</v>
      </c>
      <c r="AO16" t="s">
        <v>64</v>
      </c>
      <c r="AP16" t="s">
        <v>77</v>
      </c>
      <c r="AQ16" t="s">
        <v>86</v>
      </c>
      <c r="AR16" t="s">
        <v>87</v>
      </c>
      <c r="AS16" t="s">
        <v>88</v>
      </c>
      <c r="AT16" t="s">
        <v>89</v>
      </c>
      <c r="AU16" t="s">
        <v>78</v>
      </c>
      <c r="AV16" s="1">
        <v>24087.23</v>
      </c>
      <c r="AW16" s="1">
        <v>929165.44</v>
      </c>
      <c r="AX16" s="2">
        <v>21</v>
      </c>
      <c r="AY16" s="1">
        <v>2.5923000000000002E-2</v>
      </c>
      <c r="AZ16" s="1">
        <v>0</v>
      </c>
      <c r="BA16" s="1">
        <f t="array" ref="BA16">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excel'!$F$2:$F$36),0),11)</f>
        <v>0</v>
      </c>
      <c r="BB16" s="1">
        <f>BA16-AZ16</f>
        <v>0</v>
      </c>
      <c r="BC16" s="1">
        <v>0</v>
      </c>
      <c r="BD16" s="1" cm="1">
        <f t="array" ref="BD16">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excel'!$F$2:$F$36),0),12)</f>
        <v>0</v>
      </c>
      <c r="BE16" s="1">
        <f>BD16-BC16</f>
        <v>0</v>
      </c>
      <c r="BF16" s="1">
        <v>0</v>
      </c>
      <c r="BG16" s="1" cm="1">
        <f t="array" ref="BG16">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excel'!$F$2:$F$36),0),13)</f>
        <v>0</v>
      </c>
      <c r="BH16" s="1">
        <f>BG16-BF16</f>
        <v>0</v>
      </c>
      <c r="BI16" s="1">
        <v>0</v>
      </c>
      <c r="BJ16" s="1" cm="1">
        <f t="array" ref="BJ16">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excel'!$F$2:$F$36),0),14)</f>
        <v>0</v>
      </c>
      <c r="BK16" s="1">
        <f>BJ16-BI16</f>
        <v>0</v>
      </c>
      <c r="BL16" s="1">
        <v>0</v>
      </c>
      <c r="BM16" s="1" cm="1">
        <f t="array" ref="BM16">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excel'!$F$2:$F$36),0),15)</f>
        <v>0</v>
      </c>
      <c r="BN16" s="7">
        <f>BM16-BL16</f>
        <v>0</v>
      </c>
      <c r="BO16" s="1">
        <v>0</v>
      </c>
      <c r="BP16" s="1" cm="1">
        <f t="array" ref="BP16">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excel'!$F$2:$F$36),0),16)</f>
        <v>0</v>
      </c>
      <c r="BQ16" s="1">
        <f>BP16-BO16</f>
        <v>0</v>
      </c>
      <c r="BR16" s="1">
        <v>0</v>
      </c>
      <c r="BS16" s="1" cm="1">
        <f t="array" ref="BS16">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excel'!$F$2:$F$36),0),17)</f>
        <v>0</v>
      </c>
      <c r="BT16" s="8">
        <f>BS16-BR16</f>
        <v>0</v>
      </c>
      <c r="BU16" s="1">
        <v>0</v>
      </c>
      <c r="BV16" s="1" cm="1">
        <f t="array" ref="BV16">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excel'!$F$2:$F$36),0),18)</f>
        <v>0</v>
      </c>
      <c r="BW16" s="1">
        <f>BV16-BU16</f>
        <v>0</v>
      </c>
      <c r="BX16" s="1">
        <v>0</v>
      </c>
      <c r="BY16" s="1" cm="1">
        <f t="array" ref="BY16">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excel'!$F$2:$F$36),0),19)</f>
        <v>0</v>
      </c>
      <c r="BZ16" s="1">
        <f>BY16-BX16</f>
        <v>0</v>
      </c>
      <c r="CA16" s="1">
        <v>0</v>
      </c>
      <c r="CB16" s="1" cm="1">
        <f t="array" ref="CB16">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excel'!$F$2:$F$36),0),20)</f>
        <v>0</v>
      </c>
      <c r="CC16" s="8">
        <f>CB16-CA16</f>
        <v>0</v>
      </c>
      <c r="CD16" s="1">
        <v>0</v>
      </c>
      <c r="CE16" s="1" cm="1">
        <f t="array" ref="CE16">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excel'!$F$2:$F$36),0),21)</f>
        <v>0</v>
      </c>
      <c r="CF16" s="8">
        <f>CE16-CD16</f>
        <v>0</v>
      </c>
      <c r="CG16" s="1">
        <v>0</v>
      </c>
      <c r="CH16" s="1" cm="1">
        <f t="array" ref="CH16">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excel'!$F$2:$F$36),0),22)+INDEX('Cálculo excel'!$B$2:$X$36,MATCH(1,('Exemplos Validação'!$F16='Cálculo excel'!$B$2:$B$36)*('Cálculo excel'!$C$2:$C$36='Exemplos Validação'!$H16)*('Exemplos Validação'!$I16='Cálculo excel'!$D$2:$D$36)*('Cálculo excel'!$E$2:$E$36='Exemplos Validação'!$J16)*('Exemplos Validação'!$K16='Cálculo excel'!$F$2:$F$36),0),23)</f>
        <v>0</v>
      </c>
      <c r="CI16" s="8">
        <f>CH16-CG16</f>
        <v>0</v>
      </c>
    </row>
    <row r="17" spans="1:87" x14ac:dyDescent="0.3">
      <c r="A17" t="s">
        <v>63</v>
      </c>
      <c r="B17" t="s">
        <v>64</v>
      </c>
      <c r="C17" t="s">
        <v>65</v>
      </c>
      <c r="D17" t="s">
        <v>66</v>
      </c>
      <c r="E17" t="s">
        <v>184</v>
      </c>
      <c r="F17" t="s">
        <v>184</v>
      </c>
      <c r="G17" t="s">
        <v>184</v>
      </c>
      <c r="H17" t="s">
        <v>68</v>
      </c>
      <c r="I17" t="s">
        <v>69</v>
      </c>
      <c r="J17" t="s">
        <v>70</v>
      </c>
      <c r="K17" t="s">
        <v>71</v>
      </c>
      <c r="L17" t="s">
        <v>72</v>
      </c>
      <c r="M17" t="s">
        <v>73</v>
      </c>
      <c r="N17" t="s">
        <v>74</v>
      </c>
      <c r="O17" t="s">
        <v>75</v>
      </c>
      <c r="P17" t="s">
        <v>76</v>
      </c>
      <c r="Q17" t="s">
        <v>74</v>
      </c>
      <c r="R17" t="s">
        <v>77</v>
      </c>
      <c r="S17" t="s">
        <v>78</v>
      </c>
      <c r="T17" t="s">
        <v>77</v>
      </c>
      <c r="U17">
        <v>11111111111</v>
      </c>
      <c r="V17">
        <v>11111111111</v>
      </c>
      <c r="W17">
        <v>11111111111</v>
      </c>
      <c r="X17">
        <v>11111111111</v>
      </c>
      <c r="Y17">
        <v>11111111111</v>
      </c>
      <c r="Z17">
        <v>11111111111</v>
      </c>
      <c r="AA17">
        <v>11111111111</v>
      </c>
      <c r="AB17" t="s">
        <v>77</v>
      </c>
      <c r="AC17">
        <v>11111111111</v>
      </c>
      <c r="AD17">
        <v>11111111111</v>
      </c>
      <c r="AE17" t="s">
        <v>79</v>
      </c>
      <c r="AF17" t="s">
        <v>185</v>
      </c>
      <c r="AG17" t="s">
        <v>81</v>
      </c>
      <c r="AH17" t="s">
        <v>82</v>
      </c>
      <c r="AI17" t="s">
        <v>186</v>
      </c>
      <c r="AJ17" t="s">
        <v>84</v>
      </c>
      <c r="AK17" t="s">
        <v>85</v>
      </c>
      <c r="AL17" t="s">
        <v>85</v>
      </c>
      <c r="AM17" t="s">
        <v>85</v>
      </c>
      <c r="AN17" t="s">
        <v>85</v>
      </c>
      <c r="AO17" t="s">
        <v>64</v>
      </c>
      <c r="AP17" t="s">
        <v>77</v>
      </c>
      <c r="AQ17" t="s">
        <v>86</v>
      </c>
      <c r="AR17" t="s">
        <v>87</v>
      </c>
      <c r="AS17" t="s">
        <v>88</v>
      </c>
      <c r="AT17" t="s">
        <v>89</v>
      </c>
      <c r="AU17" t="s">
        <v>78</v>
      </c>
      <c r="AV17" s="1">
        <v>25860.639999999999</v>
      </c>
      <c r="AW17" s="1">
        <v>929165.44</v>
      </c>
      <c r="AX17" s="2">
        <v>21</v>
      </c>
      <c r="AY17" s="1">
        <v>2.7831999999999999E-2</v>
      </c>
      <c r="AZ17" s="1">
        <v>0</v>
      </c>
      <c r="BA17" s="1">
        <f t="array" ref="BA17">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excel'!$F$2:$F$36),0),11)</f>
        <v>0</v>
      </c>
      <c r="BB17" s="1">
        <f>BA17-AZ17</f>
        <v>0</v>
      </c>
      <c r="BC17" s="1">
        <v>0</v>
      </c>
      <c r="BD17" s="1" cm="1">
        <f t="array" ref="BD17">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excel'!$F$2:$F$36),0),12)</f>
        <v>0</v>
      </c>
      <c r="BE17" s="1">
        <f>BD17-BC17</f>
        <v>0</v>
      </c>
      <c r="BF17" s="1">
        <v>0</v>
      </c>
      <c r="BG17" s="1" cm="1">
        <f t="array" ref="BG17">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excel'!$F$2:$F$36),0),13)</f>
        <v>0</v>
      </c>
      <c r="BH17" s="1">
        <f>BG17-BF17</f>
        <v>0</v>
      </c>
      <c r="BI17" s="1">
        <v>0</v>
      </c>
      <c r="BJ17" s="1" cm="1">
        <f t="array" ref="BJ17">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excel'!$F$2:$F$36),0),14)</f>
        <v>0</v>
      </c>
      <c r="BK17" s="1">
        <f>BJ17-BI17</f>
        <v>0</v>
      </c>
      <c r="BL17" s="1">
        <v>0</v>
      </c>
      <c r="BM17" s="1" cm="1">
        <f t="array" ref="BM17">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excel'!$F$2:$F$36),0),15)</f>
        <v>0</v>
      </c>
      <c r="BN17" s="7">
        <f>BM17-BL17</f>
        <v>0</v>
      </c>
      <c r="BO17" s="1">
        <v>0</v>
      </c>
      <c r="BP17" s="1" cm="1">
        <f t="array" ref="BP17">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excel'!$F$2:$F$36),0),16)</f>
        <v>0</v>
      </c>
      <c r="BQ17" s="1">
        <f>BP17-BO17</f>
        <v>0</v>
      </c>
      <c r="BR17" s="1">
        <v>0</v>
      </c>
      <c r="BS17" s="1" cm="1">
        <f t="array" ref="BS17">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excel'!$F$2:$F$36),0),17)</f>
        <v>0</v>
      </c>
      <c r="BT17" s="8">
        <f>BS17-BR17</f>
        <v>0</v>
      </c>
      <c r="BU17" s="1">
        <v>0</v>
      </c>
      <c r="BV17" s="1" cm="1">
        <f t="array" ref="BV17">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excel'!$F$2:$F$36),0),18)</f>
        <v>0</v>
      </c>
      <c r="BW17" s="1">
        <f>BV17-BU17</f>
        <v>0</v>
      </c>
      <c r="BX17" s="1">
        <v>0</v>
      </c>
      <c r="BY17" s="1" cm="1">
        <f t="array" ref="BY17">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excel'!$F$2:$F$36),0),19)</f>
        <v>0</v>
      </c>
      <c r="BZ17" s="1">
        <f>BY17-BX17</f>
        <v>0</v>
      </c>
      <c r="CA17" s="1">
        <v>0</v>
      </c>
      <c r="CB17" s="1" cm="1">
        <f t="array" ref="CB17">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excel'!$F$2:$F$36),0),20)</f>
        <v>0</v>
      </c>
      <c r="CC17" s="8">
        <f>CB17-CA17</f>
        <v>0</v>
      </c>
      <c r="CD17" s="1">
        <v>0</v>
      </c>
      <c r="CE17" s="1" cm="1">
        <f t="array" ref="CE17">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excel'!$F$2:$F$36),0),21)</f>
        <v>0</v>
      </c>
      <c r="CF17" s="8">
        <f>CE17-CD17</f>
        <v>0</v>
      </c>
      <c r="CG17" s="1">
        <v>0</v>
      </c>
      <c r="CH17" s="1" cm="1">
        <f t="array" ref="CH17">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excel'!$F$2:$F$36),0),22)+INDEX('Cálculo excel'!$B$2:$X$36,MATCH(1,('Exemplos Validação'!$F17='Cálculo excel'!$B$2:$B$36)*('Cálculo excel'!$C$2:$C$36='Exemplos Validação'!$H17)*('Exemplos Validação'!$I17='Cálculo excel'!$D$2:$D$36)*('Cálculo excel'!$E$2:$E$36='Exemplos Validação'!$J17)*('Exemplos Validação'!$K17='Cálculo excel'!$F$2:$F$36),0),23)</f>
        <v>0</v>
      </c>
      <c r="CI17" s="8">
        <f>CH17-CG17</f>
        <v>0</v>
      </c>
    </row>
    <row r="18" spans="1:87" x14ac:dyDescent="0.3">
      <c r="A18" t="s">
        <v>63</v>
      </c>
      <c r="B18" t="s">
        <v>64</v>
      </c>
      <c r="C18" t="s">
        <v>65</v>
      </c>
      <c r="D18" t="s">
        <v>66</v>
      </c>
      <c r="E18" t="s">
        <v>187</v>
      </c>
      <c r="F18" t="s">
        <v>187</v>
      </c>
      <c r="G18" t="s">
        <v>187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74</v>
      </c>
      <c r="O18" t="s">
        <v>75</v>
      </c>
      <c r="P18" t="s">
        <v>76</v>
      </c>
      <c r="Q18" t="s">
        <v>74</v>
      </c>
      <c r="R18" t="s">
        <v>77</v>
      </c>
      <c r="S18" t="s">
        <v>78</v>
      </c>
      <c r="T18" t="s">
        <v>77</v>
      </c>
      <c r="U18">
        <v>11111111111</v>
      </c>
      <c r="V18">
        <v>11111111111</v>
      </c>
      <c r="W18">
        <v>11111111111</v>
      </c>
      <c r="X18">
        <v>11111111111</v>
      </c>
      <c r="Y18">
        <v>11111111111</v>
      </c>
      <c r="Z18">
        <v>11111111111</v>
      </c>
      <c r="AA18">
        <v>11111111111</v>
      </c>
      <c r="AB18" t="s">
        <v>77</v>
      </c>
      <c r="AC18">
        <v>11111111111</v>
      </c>
      <c r="AD18">
        <v>11111111111</v>
      </c>
      <c r="AE18" t="s">
        <v>79</v>
      </c>
      <c r="AF18" t="s">
        <v>188</v>
      </c>
      <c r="AG18" t="s">
        <v>81</v>
      </c>
      <c r="AH18" t="s">
        <v>82</v>
      </c>
      <c r="AI18" t="s">
        <v>189</v>
      </c>
      <c r="AJ18" t="s">
        <v>84</v>
      </c>
      <c r="AK18" t="s">
        <v>85</v>
      </c>
      <c r="AL18" t="s">
        <v>85</v>
      </c>
      <c r="AM18" t="s">
        <v>85</v>
      </c>
      <c r="AN18" t="s">
        <v>85</v>
      </c>
      <c r="AO18" t="s">
        <v>64</v>
      </c>
      <c r="AP18" t="s">
        <v>77</v>
      </c>
      <c r="AQ18" t="s">
        <v>86</v>
      </c>
      <c r="AR18" t="s">
        <v>87</v>
      </c>
      <c r="AS18" t="s">
        <v>88</v>
      </c>
      <c r="AT18" t="s">
        <v>89</v>
      </c>
      <c r="AU18" t="s">
        <v>78</v>
      </c>
      <c r="AV18" s="1">
        <v>70613.399999999994</v>
      </c>
      <c r="AW18" s="1">
        <v>929165.44</v>
      </c>
      <c r="AX18" s="2">
        <v>21</v>
      </c>
      <c r="AY18" s="1">
        <v>7.5995999999999994E-2</v>
      </c>
      <c r="AZ18" s="1">
        <v>0</v>
      </c>
      <c r="BA18" s="1">
        <f t="array" ref="BA18">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excel'!$F$2:$F$36),0),11)</f>
        <v>0</v>
      </c>
      <c r="BB18" s="1">
        <f>BA18-AZ18</f>
        <v>0</v>
      </c>
      <c r="BC18" s="1">
        <v>0</v>
      </c>
      <c r="BD18" s="1" cm="1">
        <f t="array" ref="BD18">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excel'!$F$2:$F$36),0),12)</f>
        <v>0</v>
      </c>
      <c r="BE18" s="1">
        <f>BD18-BC18</f>
        <v>0</v>
      </c>
      <c r="BF18" s="1">
        <v>0</v>
      </c>
      <c r="BG18" s="1" cm="1">
        <f t="array" ref="BG18">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excel'!$F$2:$F$36),0),13)</f>
        <v>0</v>
      </c>
      <c r="BH18" s="1">
        <f>BG18-BF18</f>
        <v>0</v>
      </c>
      <c r="BI18" s="1">
        <v>0</v>
      </c>
      <c r="BJ18" s="1" cm="1">
        <f t="array" ref="BJ18">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excel'!$F$2:$F$36),0),14)</f>
        <v>0</v>
      </c>
      <c r="BK18" s="1">
        <f>BJ18-BI18</f>
        <v>0</v>
      </c>
      <c r="BL18" s="1">
        <v>0</v>
      </c>
      <c r="BM18" s="1" cm="1">
        <f t="array" ref="BM18">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excel'!$F$2:$F$36),0),15)</f>
        <v>0</v>
      </c>
      <c r="BN18" s="7">
        <f>BM18-BL18</f>
        <v>0</v>
      </c>
      <c r="BO18" s="1">
        <v>0</v>
      </c>
      <c r="BP18" s="1" cm="1">
        <f t="array" ref="BP18">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excel'!$F$2:$F$36),0),16)</f>
        <v>0</v>
      </c>
      <c r="BQ18" s="1">
        <f>BP18-BO18</f>
        <v>0</v>
      </c>
      <c r="BR18" s="1">
        <v>0</v>
      </c>
      <c r="BS18" s="1" cm="1">
        <f t="array" ref="BS18">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excel'!$F$2:$F$36),0),17)</f>
        <v>0</v>
      </c>
      <c r="BT18" s="8">
        <f>BS18-BR18</f>
        <v>0</v>
      </c>
      <c r="BU18" s="1">
        <v>0</v>
      </c>
      <c r="BV18" s="1" cm="1">
        <f t="array" ref="BV18">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excel'!$F$2:$F$36),0),18)</f>
        <v>0</v>
      </c>
      <c r="BW18" s="1">
        <f>BV18-BU18</f>
        <v>0</v>
      </c>
      <c r="BX18" s="1">
        <v>0</v>
      </c>
      <c r="BY18" s="1" cm="1">
        <f t="array" ref="BY18">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excel'!$F$2:$F$36),0),19)</f>
        <v>0</v>
      </c>
      <c r="BZ18" s="1">
        <f>BY18-BX18</f>
        <v>0</v>
      </c>
      <c r="CA18" s="1">
        <v>0</v>
      </c>
      <c r="CB18" s="1" cm="1">
        <f t="array" ref="CB18">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excel'!$F$2:$F$36),0),20)</f>
        <v>0</v>
      </c>
      <c r="CC18" s="8">
        <f>CB18-CA18</f>
        <v>0</v>
      </c>
      <c r="CD18" s="1">
        <v>0</v>
      </c>
      <c r="CE18" s="1" cm="1">
        <f t="array" ref="CE18">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excel'!$F$2:$F$36),0),21)</f>
        <v>0</v>
      </c>
      <c r="CF18" s="8">
        <f>CE18-CD18</f>
        <v>0</v>
      </c>
      <c r="CG18" s="1">
        <v>0</v>
      </c>
      <c r="CH18" s="1" cm="1">
        <f t="array" ref="CH18">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excel'!$F$2:$F$36),0),22)+INDEX('Cálculo excel'!$B$2:$X$36,MATCH(1,('Exemplos Validação'!$F18='Cálculo excel'!$B$2:$B$36)*('Cálculo excel'!$C$2:$C$36='Exemplos Validação'!$H18)*('Exemplos Validação'!$I18='Cálculo excel'!$D$2:$D$36)*('Cálculo excel'!$E$2:$E$36='Exemplos Validação'!$J18)*('Exemplos Validação'!$K18='Cálculo excel'!$F$2:$F$36),0),23)</f>
        <v>0</v>
      </c>
      <c r="CI18" s="8">
        <f>CH18-CG18</f>
        <v>0</v>
      </c>
    </row>
    <row r="19" spans="1:87" x14ac:dyDescent="0.3">
      <c r="A19" t="s">
        <v>63</v>
      </c>
      <c r="B19" t="s">
        <v>64</v>
      </c>
      <c r="C19" t="s">
        <v>65</v>
      </c>
      <c r="D19" t="s">
        <v>66</v>
      </c>
      <c r="E19" t="s">
        <v>190</v>
      </c>
      <c r="F19" t="s">
        <v>190</v>
      </c>
      <c r="G19" t="s">
        <v>190</v>
      </c>
      <c r="H19" t="s">
        <v>68</v>
      </c>
      <c r="I19" t="s">
        <v>69</v>
      </c>
      <c r="J19" t="s">
        <v>70</v>
      </c>
      <c r="K19" t="s">
        <v>71</v>
      </c>
      <c r="L19" t="s">
        <v>72</v>
      </c>
      <c r="M19" t="s">
        <v>73</v>
      </c>
      <c r="N19" t="s">
        <v>74</v>
      </c>
      <c r="O19" t="s">
        <v>75</v>
      </c>
      <c r="P19" t="s">
        <v>76</v>
      </c>
      <c r="Q19" t="s">
        <v>74</v>
      </c>
      <c r="R19" t="s">
        <v>77</v>
      </c>
      <c r="S19" t="s">
        <v>78</v>
      </c>
      <c r="T19" t="s">
        <v>77</v>
      </c>
      <c r="U19">
        <v>11111111111</v>
      </c>
      <c r="V19">
        <v>11111111111</v>
      </c>
      <c r="W19">
        <v>11111111111</v>
      </c>
      <c r="X19">
        <v>11111111111</v>
      </c>
      <c r="Y19">
        <v>11111111111</v>
      </c>
      <c r="Z19">
        <v>11111111111</v>
      </c>
      <c r="AA19">
        <v>11111111111</v>
      </c>
      <c r="AB19" t="s">
        <v>77</v>
      </c>
      <c r="AC19">
        <v>11111111111</v>
      </c>
      <c r="AD19">
        <v>11111111111</v>
      </c>
      <c r="AE19" t="s">
        <v>79</v>
      </c>
      <c r="AF19" t="s">
        <v>80</v>
      </c>
      <c r="AG19" t="s">
        <v>81</v>
      </c>
      <c r="AH19" t="s">
        <v>82</v>
      </c>
      <c r="AI19" t="s">
        <v>83</v>
      </c>
      <c r="AJ19" t="s">
        <v>84</v>
      </c>
      <c r="AK19" t="s">
        <v>85</v>
      </c>
      <c r="AL19" t="s">
        <v>85</v>
      </c>
      <c r="AM19" t="s">
        <v>85</v>
      </c>
      <c r="AN19" t="s">
        <v>85</v>
      </c>
      <c r="AO19" t="s">
        <v>64</v>
      </c>
      <c r="AP19" t="s">
        <v>77</v>
      </c>
      <c r="AQ19" t="s">
        <v>86</v>
      </c>
      <c r="AR19" t="s">
        <v>87</v>
      </c>
      <c r="AS19" t="s">
        <v>88</v>
      </c>
      <c r="AT19" t="s">
        <v>89</v>
      </c>
      <c r="AU19" t="s">
        <v>78</v>
      </c>
      <c r="AV19" s="1">
        <v>75291.08</v>
      </c>
      <c r="AW19" s="1">
        <v>929165.44</v>
      </c>
      <c r="AX19" s="2">
        <v>21</v>
      </c>
      <c r="AY19" s="1">
        <v>8.1030000000000005E-2</v>
      </c>
      <c r="AZ19" s="1">
        <v>0</v>
      </c>
      <c r="BA19" s="1">
        <f t="array" ref="BA19">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excel'!$F$2:$F$36),0),11)</f>
        <v>0</v>
      </c>
      <c r="BB19" s="1">
        <f>BA19-AZ19</f>
        <v>0</v>
      </c>
      <c r="BC19" s="1">
        <v>0</v>
      </c>
      <c r="BD19" s="1" cm="1">
        <f t="array" ref="BD19">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excel'!$F$2:$F$36),0),12)</f>
        <v>0</v>
      </c>
      <c r="BE19" s="1">
        <f>BD19-BC19</f>
        <v>0</v>
      </c>
      <c r="BF19" s="1">
        <v>0</v>
      </c>
      <c r="BG19" s="1" cm="1">
        <f t="array" ref="BG19">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excel'!$F$2:$F$36),0),13)</f>
        <v>0</v>
      </c>
      <c r="BH19" s="1">
        <f>BG19-BF19</f>
        <v>0</v>
      </c>
      <c r="BI19" s="1">
        <v>0</v>
      </c>
      <c r="BJ19" s="1" cm="1">
        <f t="array" ref="BJ19">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excel'!$F$2:$F$36),0),14)</f>
        <v>0</v>
      </c>
      <c r="BK19" s="1">
        <f>BJ19-BI19</f>
        <v>0</v>
      </c>
      <c r="BL19" s="1">
        <v>0</v>
      </c>
      <c r="BM19" s="1" cm="1">
        <f t="array" ref="BM19">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excel'!$F$2:$F$36),0),15)</f>
        <v>0</v>
      </c>
      <c r="BN19" s="7">
        <f>BM19-BL19</f>
        <v>0</v>
      </c>
      <c r="BO19" s="1">
        <v>0</v>
      </c>
      <c r="BP19" s="1" cm="1">
        <f t="array" ref="BP19">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excel'!$F$2:$F$36),0),16)</f>
        <v>0</v>
      </c>
      <c r="BQ19" s="1">
        <f>BP19-BO19</f>
        <v>0</v>
      </c>
      <c r="BR19" s="1">
        <v>0</v>
      </c>
      <c r="BS19" s="1" cm="1">
        <f t="array" ref="BS19">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excel'!$F$2:$F$36),0),17)</f>
        <v>0</v>
      </c>
      <c r="BT19" s="8">
        <f>BS19-BR19</f>
        <v>0</v>
      </c>
      <c r="BU19" s="1">
        <v>0</v>
      </c>
      <c r="BV19" s="1" cm="1">
        <f t="array" ref="BV19">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excel'!$F$2:$F$36),0),18)</f>
        <v>0</v>
      </c>
      <c r="BW19" s="1">
        <f>BV19-BU19</f>
        <v>0</v>
      </c>
      <c r="BX19" s="1">
        <v>0</v>
      </c>
      <c r="BY19" s="1" cm="1">
        <f t="array" ref="BY19">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excel'!$F$2:$F$36),0),19)</f>
        <v>0</v>
      </c>
      <c r="BZ19" s="1">
        <f>BY19-BX19</f>
        <v>0</v>
      </c>
      <c r="CA19" s="1">
        <v>0</v>
      </c>
      <c r="CB19" s="1" cm="1">
        <f t="array" ref="CB19">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excel'!$F$2:$F$36),0),20)</f>
        <v>0</v>
      </c>
      <c r="CC19" s="8">
        <f>CB19-CA19</f>
        <v>0</v>
      </c>
      <c r="CD19" s="1">
        <v>0</v>
      </c>
      <c r="CE19" s="1" cm="1">
        <f t="array" ref="CE19">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excel'!$F$2:$F$36),0),21)</f>
        <v>0</v>
      </c>
      <c r="CF19" s="8">
        <f>CE19-CD19</f>
        <v>0</v>
      </c>
      <c r="CG19" s="1">
        <v>0</v>
      </c>
      <c r="CH19" s="1" cm="1">
        <f t="array" ref="CH19">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excel'!$F$2:$F$36),0),22)+INDEX('Cálculo excel'!$B$2:$X$36,MATCH(1,('Exemplos Validação'!$F19='Cálculo excel'!$B$2:$B$36)*('Cálculo excel'!$C$2:$C$36='Exemplos Validação'!$H19)*('Exemplos Validação'!$I19='Cálculo excel'!$D$2:$D$36)*('Cálculo excel'!$E$2:$E$36='Exemplos Validação'!$J19)*('Exemplos Validação'!$K19='Cálculo excel'!$F$2:$F$36),0),23)</f>
        <v>0</v>
      </c>
      <c r="CI19" s="8">
        <f>CH19-CG19</f>
        <v>0</v>
      </c>
    </row>
    <row r="20" spans="1:87" x14ac:dyDescent="0.3">
      <c r="A20" t="s">
        <v>63</v>
      </c>
      <c r="B20" t="s">
        <v>64</v>
      </c>
      <c r="C20" t="s">
        <v>65</v>
      </c>
      <c r="D20" t="s">
        <v>66</v>
      </c>
      <c r="E20" t="s">
        <v>191</v>
      </c>
      <c r="F20" t="s">
        <v>191</v>
      </c>
      <c r="G20" t="s">
        <v>191</v>
      </c>
      <c r="H20" t="s">
        <v>68</v>
      </c>
      <c r="I20" t="s">
        <v>69</v>
      </c>
      <c r="J20" t="s">
        <v>70</v>
      </c>
      <c r="K20" t="s">
        <v>71</v>
      </c>
      <c r="L20" t="s">
        <v>72</v>
      </c>
      <c r="M20" t="s">
        <v>73</v>
      </c>
      <c r="N20" t="s">
        <v>74</v>
      </c>
      <c r="O20" t="s">
        <v>75</v>
      </c>
      <c r="P20" t="s">
        <v>76</v>
      </c>
      <c r="Q20" t="s">
        <v>74</v>
      </c>
      <c r="R20" t="s">
        <v>77</v>
      </c>
      <c r="S20" t="s">
        <v>78</v>
      </c>
      <c r="T20" t="s">
        <v>77</v>
      </c>
      <c r="U20">
        <v>11111111111</v>
      </c>
      <c r="V20">
        <v>11111111111</v>
      </c>
      <c r="W20">
        <v>11111111111</v>
      </c>
      <c r="X20">
        <v>11111111111</v>
      </c>
      <c r="Y20">
        <v>11111111111</v>
      </c>
      <c r="Z20">
        <v>11111111111</v>
      </c>
      <c r="AA20">
        <v>11111111111</v>
      </c>
      <c r="AB20" t="s">
        <v>77</v>
      </c>
      <c r="AC20">
        <v>11111111111</v>
      </c>
      <c r="AD20">
        <v>11111111111</v>
      </c>
      <c r="AE20" t="s">
        <v>79</v>
      </c>
      <c r="AF20" t="s">
        <v>192</v>
      </c>
      <c r="AG20" t="s">
        <v>81</v>
      </c>
      <c r="AH20" t="s">
        <v>82</v>
      </c>
      <c r="AI20" t="s">
        <v>193</v>
      </c>
      <c r="AJ20" t="s">
        <v>84</v>
      </c>
      <c r="AK20" t="s">
        <v>85</v>
      </c>
      <c r="AL20" t="s">
        <v>85</v>
      </c>
      <c r="AM20" t="s">
        <v>85</v>
      </c>
      <c r="AN20" t="s">
        <v>85</v>
      </c>
      <c r="AO20" t="s">
        <v>64</v>
      </c>
      <c r="AP20" t="s">
        <v>77</v>
      </c>
      <c r="AQ20" t="s">
        <v>86</v>
      </c>
      <c r="AR20" t="s">
        <v>87</v>
      </c>
      <c r="AS20" t="s">
        <v>88</v>
      </c>
      <c r="AT20" t="s">
        <v>89</v>
      </c>
      <c r="AU20" t="s">
        <v>78</v>
      </c>
      <c r="AV20" s="1">
        <v>154912.39000000001</v>
      </c>
      <c r="AW20" s="1">
        <v>929165.44</v>
      </c>
      <c r="AX20" s="2">
        <v>21</v>
      </c>
      <c r="AY20" s="1">
        <v>0.16672200000000001</v>
      </c>
      <c r="AZ20" s="1">
        <v>0</v>
      </c>
      <c r="BA20" s="1">
        <f t="array" ref="BA20">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excel'!$F$2:$F$36),0),11)</f>
        <v>0</v>
      </c>
      <c r="BB20" s="1">
        <f>BA20-AZ20</f>
        <v>0</v>
      </c>
      <c r="BC20" s="1">
        <v>0</v>
      </c>
      <c r="BD20" s="1" cm="1">
        <f t="array" ref="BD20">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excel'!$F$2:$F$36),0),12)</f>
        <v>0</v>
      </c>
      <c r="BE20" s="1">
        <f>BD20-BC20</f>
        <v>0</v>
      </c>
      <c r="BF20" s="1">
        <v>0</v>
      </c>
      <c r="BG20" s="1" cm="1">
        <f t="array" ref="BG20">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excel'!$F$2:$F$36),0),13)</f>
        <v>0</v>
      </c>
      <c r="BH20" s="1">
        <f>BG20-BF20</f>
        <v>0</v>
      </c>
      <c r="BI20" s="1">
        <v>0</v>
      </c>
      <c r="BJ20" s="1" cm="1">
        <f t="array" ref="BJ20">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excel'!$F$2:$F$36),0),14)</f>
        <v>0</v>
      </c>
      <c r="BK20" s="1">
        <f>BJ20-BI20</f>
        <v>0</v>
      </c>
      <c r="BL20" s="1">
        <v>0</v>
      </c>
      <c r="BM20" s="1" cm="1">
        <f t="array" ref="BM20">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excel'!$F$2:$F$36),0),15)</f>
        <v>0</v>
      </c>
      <c r="BN20" s="7">
        <f>BM20-BL20</f>
        <v>0</v>
      </c>
      <c r="BO20" s="1">
        <v>0</v>
      </c>
      <c r="BP20" s="1" cm="1">
        <f t="array" ref="BP20">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excel'!$F$2:$F$36),0),16)</f>
        <v>0</v>
      </c>
      <c r="BQ20" s="1">
        <f>BP20-BO20</f>
        <v>0</v>
      </c>
      <c r="BR20" s="1">
        <v>0</v>
      </c>
      <c r="BS20" s="1" cm="1">
        <f t="array" ref="BS20">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excel'!$F$2:$F$36),0),17)</f>
        <v>0</v>
      </c>
      <c r="BT20" s="8">
        <f>BS20-BR20</f>
        <v>0</v>
      </c>
      <c r="BU20" s="1">
        <v>0</v>
      </c>
      <c r="BV20" s="1" cm="1">
        <f t="array" ref="BV20">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excel'!$F$2:$F$36),0),18)</f>
        <v>0</v>
      </c>
      <c r="BW20" s="1">
        <f>BV20-BU20</f>
        <v>0</v>
      </c>
      <c r="BX20" s="1">
        <v>0</v>
      </c>
      <c r="BY20" s="1" cm="1">
        <f t="array" ref="BY20">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excel'!$F$2:$F$36),0),19)</f>
        <v>0</v>
      </c>
      <c r="BZ20" s="1">
        <f>BY20-BX20</f>
        <v>0</v>
      </c>
      <c r="CA20" s="1">
        <v>0</v>
      </c>
      <c r="CB20" s="1" cm="1">
        <f t="array" ref="CB20">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excel'!$F$2:$F$36),0),20)</f>
        <v>0</v>
      </c>
      <c r="CC20" s="8">
        <f>CB20-CA20</f>
        <v>0</v>
      </c>
      <c r="CD20" s="1">
        <v>0</v>
      </c>
      <c r="CE20" s="1" cm="1">
        <f t="array" ref="CE20">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excel'!$F$2:$F$36),0),21)</f>
        <v>0</v>
      </c>
      <c r="CF20" s="8">
        <f>CE20-CD20</f>
        <v>0</v>
      </c>
      <c r="CG20" s="1">
        <v>0</v>
      </c>
      <c r="CH20" s="1" cm="1">
        <f t="array" ref="CH20">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excel'!$F$2:$F$36),0),22)+INDEX('Cálculo excel'!$B$2:$X$36,MATCH(1,('Exemplos Validação'!$F20='Cálculo excel'!$B$2:$B$36)*('Cálculo excel'!$C$2:$C$36='Exemplos Validação'!$H20)*('Exemplos Validação'!$I20='Cálculo excel'!$D$2:$D$36)*('Cálculo excel'!$E$2:$E$36='Exemplos Validação'!$J20)*('Exemplos Validação'!$K20='Cálculo excel'!$F$2:$F$36),0),23)</f>
        <v>0</v>
      </c>
      <c r="CI20" s="8">
        <f>CH20-CG20</f>
        <v>0</v>
      </c>
    </row>
    <row r="21" spans="1:87" x14ac:dyDescent="0.3">
      <c r="A21" t="s">
        <v>63</v>
      </c>
      <c r="B21" t="s">
        <v>64</v>
      </c>
      <c r="C21" t="s">
        <v>65</v>
      </c>
      <c r="D21" t="s">
        <v>66</v>
      </c>
      <c r="E21" t="s">
        <v>194</v>
      </c>
      <c r="F21" t="s">
        <v>194</v>
      </c>
      <c r="G21" t="s">
        <v>194</v>
      </c>
      <c r="H21" t="s">
        <v>68</v>
      </c>
      <c r="I21" t="s">
        <v>69</v>
      </c>
      <c r="J21" t="s">
        <v>70</v>
      </c>
      <c r="K21" t="s">
        <v>71</v>
      </c>
      <c r="L21" t="s">
        <v>72</v>
      </c>
      <c r="M21" t="s">
        <v>73</v>
      </c>
      <c r="N21" t="s">
        <v>74</v>
      </c>
      <c r="O21" t="s">
        <v>75</v>
      </c>
      <c r="P21" t="s">
        <v>76</v>
      </c>
      <c r="Q21" t="s">
        <v>74</v>
      </c>
      <c r="R21" t="s">
        <v>77</v>
      </c>
      <c r="S21" t="s">
        <v>78</v>
      </c>
      <c r="T21" t="s">
        <v>77</v>
      </c>
      <c r="U21">
        <v>11111111111</v>
      </c>
      <c r="V21">
        <v>11111111111</v>
      </c>
      <c r="W21">
        <v>11111111111</v>
      </c>
      <c r="X21">
        <v>11111111111</v>
      </c>
      <c r="Y21">
        <v>11111111111</v>
      </c>
      <c r="Z21">
        <v>11111111111</v>
      </c>
      <c r="AA21">
        <v>11111111111</v>
      </c>
      <c r="AB21" t="s">
        <v>77</v>
      </c>
      <c r="AC21">
        <v>11111111111</v>
      </c>
      <c r="AD21">
        <v>11111111111</v>
      </c>
      <c r="AE21" t="s">
        <v>79</v>
      </c>
      <c r="AF21" t="s">
        <v>195</v>
      </c>
      <c r="AG21" t="s">
        <v>81</v>
      </c>
      <c r="AH21" t="s">
        <v>82</v>
      </c>
      <c r="AI21" t="s">
        <v>196</v>
      </c>
      <c r="AJ21" t="s">
        <v>84</v>
      </c>
      <c r="AK21" t="s">
        <v>85</v>
      </c>
      <c r="AL21" t="s">
        <v>85</v>
      </c>
      <c r="AM21" t="s">
        <v>85</v>
      </c>
      <c r="AN21" t="s">
        <v>85</v>
      </c>
      <c r="AO21" t="s">
        <v>64</v>
      </c>
      <c r="AP21" t="s">
        <v>77</v>
      </c>
      <c r="AQ21" t="s">
        <v>86</v>
      </c>
      <c r="AR21" t="s">
        <v>87</v>
      </c>
      <c r="AS21" t="s">
        <v>88</v>
      </c>
      <c r="AT21" t="s">
        <v>89</v>
      </c>
      <c r="AU21" t="s">
        <v>78</v>
      </c>
      <c r="AV21" s="1">
        <v>27813.1</v>
      </c>
      <c r="AW21" s="1">
        <v>929165.44</v>
      </c>
      <c r="AX21" s="2">
        <v>21</v>
      </c>
      <c r="AY21" s="1">
        <v>2.9933000000000001E-2</v>
      </c>
      <c r="AZ21" s="1">
        <v>0</v>
      </c>
      <c r="BA21" s="1">
        <f t="array" ref="BA21">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excel'!$F$2:$F$36),0),11)</f>
        <v>0</v>
      </c>
      <c r="BB21" s="1">
        <f>BA21-AZ21</f>
        <v>0</v>
      </c>
      <c r="BC21" s="1">
        <v>0</v>
      </c>
      <c r="BD21" s="1" cm="1">
        <f t="array" ref="BD21">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excel'!$F$2:$F$36),0),12)</f>
        <v>0</v>
      </c>
      <c r="BE21" s="1">
        <f>BD21-BC21</f>
        <v>0</v>
      </c>
      <c r="BF21" s="1">
        <v>0</v>
      </c>
      <c r="BG21" s="1" cm="1">
        <f t="array" ref="BG21">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excel'!$F$2:$F$36),0),13)</f>
        <v>0</v>
      </c>
      <c r="BH21" s="1">
        <f>BG21-BF21</f>
        <v>0</v>
      </c>
      <c r="BI21" s="1">
        <v>0</v>
      </c>
      <c r="BJ21" s="1" cm="1">
        <f t="array" ref="BJ21">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excel'!$F$2:$F$36),0),14)</f>
        <v>0</v>
      </c>
      <c r="BK21" s="1">
        <f>BJ21-BI21</f>
        <v>0</v>
      </c>
      <c r="BL21" s="1">
        <v>0</v>
      </c>
      <c r="BM21" s="1" cm="1">
        <f t="array" ref="BM21">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excel'!$F$2:$F$36),0),15)</f>
        <v>0</v>
      </c>
      <c r="BN21" s="7">
        <f>BM21-BL21</f>
        <v>0</v>
      </c>
      <c r="BO21" s="1">
        <v>0</v>
      </c>
      <c r="BP21" s="1" cm="1">
        <f t="array" ref="BP21">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excel'!$F$2:$F$36),0),16)</f>
        <v>0</v>
      </c>
      <c r="BQ21" s="1">
        <f>BP21-BO21</f>
        <v>0</v>
      </c>
      <c r="BR21" s="1">
        <v>0</v>
      </c>
      <c r="BS21" s="1" cm="1">
        <f t="array" ref="BS21">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excel'!$F$2:$F$36),0),17)</f>
        <v>0</v>
      </c>
      <c r="BT21" s="8">
        <f>BS21-BR21</f>
        <v>0</v>
      </c>
      <c r="BU21" s="1">
        <v>0</v>
      </c>
      <c r="BV21" s="1" cm="1">
        <f t="array" ref="BV21">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excel'!$F$2:$F$36),0),18)</f>
        <v>0</v>
      </c>
      <c r="BW21" s="1">
        <f>BV21-BU21</f>
        <v>0</v>
      </c>
      <c r="BX21" s="1">
        <v>0</v>
      </c>
      <c r="BY21" s="1" cm="1">
        <f t="array" ref="BY21">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excel'!$F$2:$F$36),0),19)</f>
        <v>0</v>
      </c>
      <c r="BZ21" s="1">
        <f>BY21-BX21</f>
        <v>0</v>
      </c>
      <c r="CA21" s="1">
        <v>0</v>
      </c>
      <c r="CB21" s="1" cm="1">
        <f t="array" ref="CB21">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excel'!$F$2:$F$36),0),20)</f>
        <v>0</v>
      </c>
      <c r="CC21" s="8">
        <f>CB21-CA21</f>
        <v>0</v>
      </c>
      <c r="CD21" s="1">
        <v>0</v>
      </c>
      <c r="CE21" s="1" cm="1">
        <f t="array" ref="CE21">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excel'!$F$2:$F$36),0),21)</f>
        <v>0</v>
      </c>
      <c r="CF21" s="8">
        <f>CE21-CD21</f>
        <v>0</v>
      </c>
      <c r="CG21" s="1">
        <v>0</v>
      </c>
      <c r="CH21" s="1" cm="1">
        <f t="array" ref="CH21">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excel'!$F$2:$F$36),0),22)+INDEX('Cálculo excel'!$B$2:$X$36,MATCH(1,('Exemplos Validação'!$F21='Cálculo excel'!$B$2:$B$36)*('Cálculo excel'!$C$2:$C$36='Exemplos Validação'!$H21)*('Exemplos Validação'!$I21='Cálculo excel'!$D$2:$D$36)*('Cálculo excel'!$E$2:$E$36='Exemplos Validação'!$J21)*('Exemplos Validação'!$K21='Cálculo excel'!$F$2:$F$36),0),23)</f>
        <v>0</v>
      </c>
      <c r="CI21" s="8">
        <f>CH21-CG21</f>
        <v>0</v>
      </c>
    </row>
    <row r="22" spans="1:87" x14ac:dyDescent="0.3">
      <c r="A22" t="s">
        <v>63</v>
      </c>
      <c r="B22" t="s">
        <v>64</v>
      </c>
      <c r="C22" t="s">
        <v>65</v>
      </c>
      <c r="D22" t="s">
        <v>66</v>
      </c>
      <c r="E22" t="s">
        <v>197</v>
      </c>
      <c r="F22" t="s">
        <v>197</v>
      </c>
      <c r="G22" t="s">
        <v>197</v>
      </c>
      <c r="H22" t="s">
        <v>68</v>
      </c>
      <c r="I22" t="s">
        <v>69</v>
      </c>
      <c r="J22" t="s">
        <v>70</v>
      </c>
      <c r="K22" t="s">
        <v>71</v>
      </c>
      <c r="L22" t="s">
        <v>72</v>
      </c>
      <c r="M22" t="s">
        <v>73</v>
      </c>
      <c r="N22" t="s">
        <v>74</v>
      </c>
      <c r="O22" t="s">
        <v>75</v>
      </c>
      <c r="P22" t="s">
        <v>76</v>
      </c>
      <c r="Q22" t="s">
        <v>74</v>
      </c>
      <c r="R22" t="s">
        <v>77</v>
      </c>
      <c r="S22" t="s">
        <v>78</v>
      </c>
      <c r="T22" t="s">
        <v>77</v>
      </c>
      <c r="U22">
        <v>11111111111</v>
      </c>
      <c r="V22">
        <v>11111111111</v>
      </c>
      <c r="W22">
        <v>11111111111</v>
      </c>
      <c r="X22">
        <v>11111111111</v>
      </c>
      <c r="Y22">
        <v>11111111111</v>
      </c>
      <c r="Z22">
        <v>11111111111</v>
      </c>
      <c r="AA22">
        <v>11111111111</v>
      </c>
      <c r="AB22" t="s">
        <v>77</v>
      </c>
      <c r="AC22">
        <v>11111111111</v>
      </c>
      <c r="AD22">
        <v>11111111111</v>
      </c>
      <c r="AE22" t="s">
        <v>79</v>
      </c>
      <c r="AF22" t="s">
        <v>198</v>
      </c>
      <c r="AG22" t="s">
        <v>81</v>
      </c>
      <c r="AH22" t="s">
        <v>82</v>
      </c>
      <c r="AI22" t="s">
        <v>199</v>
      </c>
      <c r="AJ22" t="s">
        <v>84</v>
      </c>
      <c r="AK22" t="s">
        <v>85</v>
      </c>
      <c r="AL22" t="s">
        <v>85</v>
      </c>
      <c r="AM22" t="s">
        <v>85</v>
      </c>
      <c r="AN22" t="s">
        <v>85</v>
      </c>
      <c r="AO22" t="s">
        <v>64</v>
      </c>
      <c r="AP22" t="s">
        <v>77</v>
      </c>
      <c r="AQ22" t="s">
        <v>86</v>
      </c>
      <c r="AR22" t="s">
        <v>87</v>
      </c>
      <c r="AS22" t="s">
        <v>88</v>
      </c>
      <c r="AT22" t="s">
        <v>89</v>
      </c>
      <c r="AU22" t="s">
        <v>78</v>
      </c>
      <c r="AV22" s="1">
        <v>3875.95</v>
      </c>
      <c r="AW22" s="1">
        <v>929165.44</v>
      </c>
      <c r="AX22" s="2">
        <v>21</v>
      </c>
      <c r="AY22" s="1">
        <v>4.1710000000000002E-3</v>
      </c>
      <c r="AZ22" s="1">
        <v>0</v>
      </c>
      <c r="BA22" s="1">
        <f t="array" ref="BA22">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excel'!$F$2:$F$36),0),11)</f>
        <v>0</v>
      </c>
      <c r="BB22" s="1">
        <f>BA22-AZ22</f>
        <v>0</v>
      </c>
      <c r="BC22" s="1">
        <v>0</v>
      </c>
      <c r="BD22" s="1" cm="1">
        <f t="array" ref="BD22">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excel'!$F$2:$F$36),0),12)</f>
        <v>0</v>
      </c>
      <c r="BE22" s="1">
        <f>BD22-BC22</f>
        <v>0</v>
      </c>
      <c r="BF22" s="1">
        <v>0</v>
      </c>
      <c r="BG22" s="1" cm="1">
        <f t="array" ref="BG22">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excel'!$F$2:$F$36),0),13)</f>
        <v>0</v>
      </c>
      <c r="BH22" s="1">
        <f>BG22-BF22</f>
        <v>0</v>
      </c>
      <c r="BI22" s="1">
        <v>0</v>
      </c>
      <c r="BJ22" s="1" cm="1">
        <f t="array" ref="BJ22">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excel'!$F$2:$F$36),0),14)</f>
        <v>0</v>
      </c>
      <c r="BK22" s="1">
        <f>BJ22-BI22</f>
        <v>0</v>
      </c>
      <c r="BL22" s="1">
        <v>0</v>
      </c>
      <c r="BM22" s="1" cm="1">
        <f t="array" ref="BM22">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excel'!$F$2:$F$36),0),15)</f>
        <v>0</v>
      </c>
      <c r="BN22" s="7">
        <f>BM22-BL22</f>
        <v>0</v>
      </c>
      <c r="BO22" s="1">
        <v>0</v>
      </c>
      <c r="BP22" s="1" cm="1">
        <f t="array" ref="BP22">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excel'!$F$2:$F$36),0),16)</f>
        <v>0</v>
      </c>
      <c r="BQ22" s="1">
        <f>BP22-BO22</f>
        <v>0</v>
      </c>
      <c r="BR22" s="1">
        <v>0</v>
      </c>
      <c r="BS22" s="1" cm="1">
        <f t="array" ref="BS22">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excel'!$F$2:$F$36),0),17)</f>
        <v>0</v>
      </c>
      <c r="BT22" s="8">
        <f>BS22-BR22</f>
        <v>0</v>
      </c>
      <c r="BU22" s="1">
        <v>0</v>
      </c>
      <c r="BV22" s="1" cm="1">
        <f t="array" ref="BV22">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excel'!$F$2:$F$36),0),18)</f>
        <v>0</v>
      </c>
      <c r="BW22" s="1">
        <f>BV22-BU22</f>
        <v>0</v>
      </c>
      <c r="BX22" s="1">
        <v>0</v>
      </c>
      <c r="BY22" s="1" cm="1">
        <f t="array" ref="BY22">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excel'!$F$2:$F$36),0),19)</f>
        <v>0</v>
      </c>
      <c r="BZ22" s="1">
        <f>BY22-BX22</f>
        <v>0</v>
      </c>
      <c r="CA22" s="1">
        <v>0</v>
      </c>
      <c r="CB22" s="1" cm="1">
        <f t="array" ref="CB22">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excel'!$F$2:$F$36),0),20)</f>
        <v>0</v>
      </c>
      <c r="CC22" s="8">
        <f>CB22-CA22</f>
        <v>0</v>
      </c>
      <c r="CD22" s="1">
        <v>0</v>
      </c>
      <c r="CE22" s="1" cm="1">
        <f t="array" ref="CE22">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excel'!$F$2:$F$36),0),21)</f>
        <v>0</v>
      </c>
      <c r="CF22" s="8">
        <f>CE22-CD22</f>
        <v>0</v>
      </c>
      <c r="CG22" s="1">
        <v>0</v>
      </c>
      <c r="CH22" s="1" cm="1">
        <f t="array" ref="CH22">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excel'!$F$2:$F$36),0),22)+INDEX('Cálculo excel'!$B$2:$X$36,MATCH(1,('Exemplos Validação'!$F22='Cálculo excel'!$B$2:$B$36)*('Cálculo excel'!$C$2:$C$36='Exemplos Validação'!$H22)*('Exemplos Validação'!$I22='Cálculo excel'!$D$2:$D$36)*('Cálculo excel'!$E$2:$E$36='Exemplos Validação'!$J22)*('Exemplos Validação'!$K22='Cálculo excel'!$F$2:$F$36),0),23)</f>
        <v>0</v>
      </c>
      <c r="CI22" s="8">
        <f>CH22-CG22</f>
        <v>0</v>
      </c>
    </row>
    <row r="23" spans="1:87" x14ac:dyDescent="0.3">
      <c r="A23" t="s">
        <v>63</v>
      </c>
      <c r="B23" t="s">
        <v>64</v>
      </c>
      <c r="C23" t="s">
        <v>65</v>
      </c>
      <c r="D23" t="s">
        <v>66</v>
      </c>
      <c r="E23" t="s">
        <v>200</v>
      </c>
      <c r="F23" t="s">
        <v>200</v>
      </c>
      <c r="G23" t="s">
        <v>200</v>
      </c>
      <c r="H23" t="s">
        <v>68</v>
      </c>
      <c r="I23" t="s">
        <v>69</v>
      </c>
      <c r="J23" t="s">
        <v>70</v>
      </c>
      <c r="K23" t="s">
        <v>71</v>
      </c>
      <c r="L23" t="s">
        <v>72</v>
      </c>
      <c r="M23" t="s">
        <v>73</v>
      </c>
      <c r="N23" t="s">
        <v>74</v>
      </c>
      <c r="O23" t="s">
        <v>75</v>
      </c>
      <c r="P23" t="s">
        <v>76</v>
      </c>
      <c r="Q23" t="s">
        <v>74</v>
      </c>
      <c r="R23" t="s">
        <v>77</v>
      </c>
      <c r="S23" t="s">
        <v>78</v>
      </c>
      <c r="T23" t="s">
        <v>77</v>
      </c>
      <c r="U23">
        <v>11111111111</v>
      </c>
      <c r="V23">
        <v>11111111111</v>
      </c>
      <c r="W23">
        <v>11111111111</v>
      </c>
      <c r="X23">
        <v>11111111111</v>
      </c>
      <c r="Y23">
        <v>11111111111</v>
      </c>
      <c r="Z23">
        <v>11111111111</v>
      </c>
      <c r="AA23">
        <v>11111111111</v>
      </c>
      <c r="AB23" t="s">
        <v>77</v>
      </c>
      <c r="AC23">
        <v>11111111111</v>
      </c>
      <c r="AD23">
        <v>11111111111</v>
      </c>
      <c r="AE23" t="s">
        <v>79</v>
      </c>
      <c r="AF23" t="s">
        <v>201</v>
      </c>
      <c r="AG23" t="s">
        <v>81</v>
      </c>
      <c r="AH23" t="s">
        <v>82</v>
      </c>
      <c r="AI23" t="s">
        <v>202</v>
      </c>
      <c r="AJ23" t="s">
        <v>84</v>
      </c>
      <c r="AK23" t="s">
        <v>85</v>
      </c>
      <c r="AL23" t="s">
        <v>85</v>
      </c>
      <c r="AM23" t="s">
        <v>85</v>
      </c>
      <c r="AN23" t="s">
        <v>85</v>
      </c>
      <c r="AO23" t="s">
        <v>64</v>
      </c>
      <c r="AP23" t="s">
        <v>77</v>
      </c>
      <c r="AQ23" t="s">
        <v>86</v>
      </c>
      <c r="AR23" t="s">
        <v>87</v>
      </c>
      <c r="AS23" t="s">
        <v>88</v>
      </c>
      <c r="AT23" t="s">
        <v>89</v>
      </c>
      <c r="AU23" t="s">
        <v>78</v>
      </c>
      <c r="AV23" s="1">
        <v>152421.56</v>
      </c>
      <c r="AW23" s="1">
        <v>929165.44</v>
      </c>
      <c r="AX23" s="2">
        <v>21</v>
      </c>
      <c r="AY23" s="1">
        <v>0.16404099999999999</v>
      </c>
      <c r="AZ23" s="1">
        <v>0</v>
      </c>
      <c r="BA23" s="1">
        <f t="array" ref="BA23">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excel'!$F$2:$F$36),0),11)</f>
        <v>0</v>
      </c>
      <c r="BB23" s="1">
        <f>BA23-AZ23</f>
        <v>0</v>
      </c>
      <c r="BC23" s="1">
        <v>0</v>
      </c>
      <c r="BD23" s="1" cm="1">
        <f t="array" ref="BD23">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excel'!$F$2:$F$36),0),12)</f>
        <v>0</v>
      </c>
      <c r="BE23" s="1">
        <f>BD23-BC23</f>
        <v>0</v>
      </c>
      <c r="BF23" s="1">
        <v>0</v>
      </c>
      <c r="BG23" s="1" cm="1">
        <f t="array" ref="BG23">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excel'!$F$2:$F$36),0),13)</f>
        <v>0</v>
      </c>
      <c r="BH23" s="1">
        <f>BG23-BF23</f>
        <v>0</v>
      </c>
      <c r="BI23" s="1">
        <v>0</v>
      </c>
      <c r="BJ23" s="1" cm="1">
        <f t="array" ref="BJ23">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excel'!$F$2:$F$36),0),14)</f>
        <v>0</v>
      </c>
      <c r="BK23" s="1">
        <f>BJ23-BI23</f>
        <v>0</v>
      </c>
      <c r="BL23" s="1">
        <v>0</v>
      </c>
      <c r="BM23" s="1" cm="1">
        <f t="array" ref="BM23">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excel'!$F$2:$F$36),0),15)</f>
        <v>0</v>
      </c>
      <c r="BN23" s="7">
        <f>BM23-BL23</f>
        <v>0</v>
      </c>
      <c r="BO23" s="1">
        <v>0</v>
      </c>
      <c r="BP23" s="1" cm="1">
        <f t="array" ref="BP23">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excel'!$F$2:$F$36),0),16)</f>
        <v>0</v>
      </c>
      <c r="BQ23" s="1">
        <f>BP23-BO23</f>
        <v>0</v>
      </c>
      <c r="BR23" s="1">
        <v>0</v>
      </c>
      <c r="BS23" s="1" cm="1">
        <f t="array" ref="BS23">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excel'!$F$2:$F$36),0),17)</f>
        <v>0</v>
      </c>
      <c r="BT23" s="8">
        <f>BS23-BR23</f>
        <v>0</v>
      </c>
      <c r="BU23" s="1">
        <v>0</v>
      </c>
      <c r="BV23" s="1" cm="1">
        <f t="array" ref="BV23">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excel'!$F$2:$F$36),0),18)</f>
        <v>0</v>
      </c>
      <c r="BW23" s="1">
        <f>BV23-BU23</f>
        <v>0</v>
      </c>
      <c r="BX23" s="1">
        <v>0</v>
      </c>
      <c r="BY23" s="1" cm="1">
        <f t="array" ref="BY23">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excel'!$F$2:$F$36),0),19)</f>
        <v>0</v>
      </c>
      <c r="BZ23" s="1">
        <f>BY23-BX23</f>
        <v>0</v>
      </c>
      <c r="CA23" s="1">
        <v>0</v>
      </c>
      <c r="CB23" s="1" cm="1">
        <f t="array" ref="CB23">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excel'!$F$2:$F$36),0),20)</f>
        <v>0</v>
      </c>
      <c r="CC23" s="8">
        <f>CB23-CA23</f>
        <v>0</v>
      </c>
      <c r="CD23" s="1">
        <v>0</v>
      </c>
      <c r="CE23" s="1" cm="1">
        <f t="array" ref="CE23">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excel'!$F$2:$F$36),0),21)</f>
        <v>0</v>
      </c>
      <c r="CF23" s="8">
        <f>CE23-CD23</f>
        <v>0</v>
      </c>
      <c r="CG23" s="1">
        <v>0</v>
      </c>
      <c r="CH23" s="1" cm="1">
        <f t="array" ref="CH23">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excel'!$F$2:$F$36),0),22)+INDEX('Cálculo excel'!$B$2:$X$36,MATCH(1,('Exemplos Validação'!$F23='Cálculo excel'!$B$2:$B$36)*('Cálculo excel'!$C$2:$C$36='Exemplos Validação'!$H23)*('Exemplos Validação'!$I23='Cálculo excel'!$D$2:$D$36)*('Cálculo excel'!$E$2:$E$36='Exemplos Validação'!$J23)*('Exemplos Validação'!$K23='Cálculo excel'!$F$2:$F$36),0),23)</f>
        <v>0</v>
      </c>
      <c r="CI23" s="8">
        <f>CH23-CG23</f>
        <v>0</v>
      </c>
    </row>
    <row r="24" spans="1:87" x14ac:dyDescent="0.3">
      <c r="A24" t="s">
        <v>63</v>
      </c>
      <c r="B24" t="s">
        <v>64</v>
      </c>
      <c r="C24" t="s">
        <v>65</v>
      </c>
      <c r="D24" t="s">
        <v>66</v>
      </c>
      <c r="E24" t="s">
        <v>203</v>
      </c>
      <c r="F24" t="s">
        <v>203</v>
      </c>
      <c r="G24" t="s">
        <v>203</v>
      </c>
      <c r="H24" t="s">
        <v>68</v>
      </c>
      <c r="I24" t="s">
        <v>69</v>
      </c>
      <c r="J24" t="s">
        <v>70</v>
      </c>
      <c r="K24" t="s">
        <v>71</v>
      </c>
      <c r="L24" t="s">
        <v>72</v>
      </c>
      <c r="M24" t="s">
        <v>73</v>
      </c>
      <c r="N24" t="s">
        <v>74</v>
      </c>
      <c r="O24" t="s">
        <v>75</v>
      </c>
      <c r="P24" t="s">
        <v>76</v>
      </c>
      <c r="Q24" t="s">
        <v>74</v>
      </c>
      <c r="R24" t="s">
        <v>77</v>
      </c>
      <c r="S24" t="s">
        <v>78</v>
      </c>
      <c r="T24" t="s">
        <v>77</v>
      </c>
      <c r="U24">
        <v>11111111111</v>
      </c>
      <c r="V24">
        <v>11111111111</v>
      </c>
      <c r="W24">
        <v>11111111111</v>
      </c>
      <c r="X24">
        <v>11111111111</v>
      </c>
      <c r="Y24">
        <v>11111111111</v>
      </c>
      <c r="Z24">
        <v>11111111111</v>
      </c>
      <c r="AA24">
        <v>11111111111</v>
      </c>
      <c r="AB24" t="s">
        <v>77</v>
      </c>
      <c r="AC24">
        <v>11111111111</v>
      </c>
      <c r="AD24">
        <v>11111111111</v>
      </c>
      <c r="AE24" t="s">
        <v>79</v>
      </c>
      <c r="AF24" t="s">
        <v>188</v>
      </c>
      <c r="AG24" t="s">
        <v>81</v>
      </c>
      <c r="AH24" t="s">
        <v>82</v>
      </c>
      <c r="AI24" t="s">
        <v>189</v>
      </c>
      <c r="AJ24" t="s">
        <v>84</v>
      </c>
      <c r="AK24" t="s">
        <v>85</v>
      </c>
      <c r="AL24" t="s">
        <v>85</v>
      </c>
      <c r="AM24" t="s">
        <v>85</v>
      </c>
      <c r="AN24" t="s">
        <v>85</v>
      </c>
      <c r="AO24" t="s">
        <v>64</v>
      </c>
      <c r="AP24" t="s">
        <v>77</v>
      </c>
      <c r="AQ24" t="s">
        <v>86</v>
      </c>
      <c r="AR24" t="s">
        <v>87</v>
      </c>
      <c r="AS24" t="s">
        <v>88</v>
      </c>
      <c r="AT24" t="s">
        <v>89</v>
      </c>
      <c r="AU24" t="s">
        <v>78</v>
      </c>
      <c r="AV24" s="1">
        <v>70613.399999999994</v>
      </c>
      <c r="AW24" s="1">
        <v>929165.44</v>
      </c>
      <c r="AX24" s="2">
        <v>21</v>
      </c>
      <c r="AY24" s="1">
        <v>7.5995999999999994E-2</v>
      </c>
      <c r="AZ24" s="1">
        <v>0</v>
      </c>
      <c r="BA24" s="1">
        <f t="array" ref="BA24">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excel'!$F$2:$F$36),0),11)</f>
        <v>0</v>
      </c>
      <c r="BB24" s="1">
        <f>BA24-AZ24</f>
        <v>0</v>
      </c>
      <c r="BC24" s="1">
        <v>0</v>
      </c>
      <c r="BD24" s="1" cm="1">
        <f t="array" ref="BD24">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excel'!$F$2:$F$36),0),12)</f>
        <v>0</v>
      </c>
      <c r="BE24" s="1">
        <f>BD24-BC24</f>
        <v>0</v>
      </c>
      <c r="BF24" s="1">
        <v>0</v>
      </c>
      <c r="BG24" s="1" cm="1">
        <f t="array" ref="BG24">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excel'!$F$2:$F$36),0),13)</f>
        <v>0</v>
      </c>
      <c r="BH24" s="1">
        <f>BG24-BF24</f>
        <v>0</v>
      </c>
      <c r="BI24" s="1">
        <v>0</v>
      </c>
      <c r="BJ24" s="1" cm="1">
        <f t="array" ref="BJ24">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excel'!$F$2:$F$36),0),14)</f>
        <v>0</v>
      </c>
      <c r="BK24" s="1">
        <f>BJ24-BI24</f>
        <v>0</v>
      </c>
      <c r="BL24" s="1">
        <v>0</v>
      </c>
      <c r="BM24" s="1" cm="1">
        <f t="array" ref="BM24">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excel'!$F$2:$F$36),0),15)</f>
        <v>0</v>
      </c>
      <c r="BN24" s="7">
        <f>BM24-BL24</f>
        <v>0</v>
      </c>
      <c r="BO24" s="1">
        <v>0</v>
      </c>
      <c r="BP24" s="1" cm="1">
        <f t="array" ref="BP24">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excel'!$F$2:$F$36),0),16)</f>
        <v>0</v>
      </c>
      <c r="BQ24" s="1">
        <f>BP24-BO24</f>
        <v>0</v>
      </c>
      <c r="BR24" s="1">
        <v>0</v>
      </c>
      <c r="BS24" s="1" cm="1">
        <f t="array" ref="BS24">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excel'!$F$2:$F$36),0),17)</f>
        <v>0</v>
      </c>
      <c r="BT24" s="8">
        <f>BS24-BR24</f>
        <v>0</v>
      </c>
      <c r="BU24" s="1">
        <v>0</v>
      </c>
      <c r="BV24" s="1" cm="1">
        <f t="array" ref="BV24">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excel'!$F$2:$F$36),0),18)</f>
        <v>0</v>
      </c>
      <c r="BW24" s="1">
        <f>BV24-BU24</f>
        <v>0</v>
      </c>
      <c r="BX24" s="1">
        <v>0</v>
      </c>
      <c r="BY24" s="1" cm="1">
        <f t="array" ref="BY24">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excel'!$F$2:$F$36),0),19)</f>
        <v>0</v>
      </c>
      <c r="BZ24" s="1">
        <f>BY24-BX24</f>
        <v>0</v>
      </c>
      <c r="CA24" s="1">
        <v>0</v>
      </c>
      <c r="CB24" s="1" cm="1">
        <f t="array" ref="CB24">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excel'!$F$2:$F$36),0),20)</f>
        <v>0</v>
      </c>
      <c r="CC24" s="8">
        <f>CB24-CA24</f>
        <v>0</v>
      </c>
      <c r="CD24" s="1">
        <v>0</v>
      </c>
      <c r="CE24" s="1" cm="1">
        <f t="array" ref="CE24">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excel'!$F$2:$F$36),0),21)</f>
        <v>0</v>
      </c>
      <c r="CF24" s="8">
        <f>CE24-CD24</f>
        <v>0</v>
      </c>
      <c r="CG24" s="1">
        <v>0</v>
      </c>
      <c r="CH24" s="1" cm="1">
        <f t="array" ref="CH24">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excel'!$F$2:$F$36),0),22)+INDEX('Cálculo excel'!$B$2:$X$36,MATCH(1,('Exemplos Validação'!$F24='Cálculo excel'!$B$2:$B$36)*('Cálculo excel'!$C$2:$C$36='Exemplos Validação'!$H24)*('Exemplos Validação'!$I24='Cálculo excel'!$D$2:$D$36)*('Cálculo excel'!$E$2:$E$36='Exemplos Validação'!$J24)*('Exemplos Validação'!$K24='Cálculo excel'!$F$2:$F$36),0),23)</f>
        <v>0</v>
      </c>
      <c r="CI24" s="8">
        <f>CH24-CG24</f>
        <v>0</v>
      </c>
    </row>
    <row r="25" spans="1:87" x14ac:dyDescent="0.3">
      <c r="A25" t="s">
        <v>63</v>
      </c>
      <c r="B25" t="s">
        <v>64</v>
      </c>
      <c r="C25" t="s">
        <v>65</v>
      </c>
      <c r="D25" t="s">
        <v>66</v>
      </c>
      <c r="E25" t="s">
        <v>204</v>
      </c>
      <c r="F25" t="s">
        <v>204</v>
      </c>
      <c r="G25" t="s">
        <v>204</v>
      </c>
      <c r="H25" t="s">
        <v>68</v>
      </c>
      <c r="I25" t="s">
        <v>69</v>
      </c>
      <c r="J25" t="s">
        <v>70</v>
      </c>
      <c r="K25" t="s">
        <v>71</v>
      </c>
      <c r="L25" t="s">
        <v>72</v>
      </c>
      <c r="M25" t="s">
        <v>73</v>
      </c>
      <c r="N25" t="s">
        <v>74</v>
      </c>
      <c r="O25" t="s">
        <v>75</v>
      </c>
      <c r="P25" t="s">
        <v>76</v>
      </c>
      <c r="Q25" t="s">
        <v>74</v>
      </c>
      <c r="R25" t="s">
        <v>77</v>
      </c>
      <c r="S25" t="s">
        <v>78</v>
      </c>
      <c r="T25" t="s">
        <v>77</v>
      </c>
      <c r="U25">
        <v>11111111111</v>
      </c>
      <c r="V25">
        <v>11111111111</v>
      </c>
      <c r="W25">
        <v>11111111111</v>
      </c>
      <c r="X25">
        <v>11111111111</v>
      </c>
      <c r="Y25">
        <v>11111111111</v>
      </c>
      <c r="Z25">
        <v>11111111111</v>
      </c>
      <c r="AA25">
        <v>11111111111</v>
      </c>
      <c r="AB25" t="s">
        <v>77</v>
      </c>
      <c r="AC25">
        <v>11111111111</v>
      </c>
      <c r="AD25">
        <v>11111111111</v>
      </c>
      <c r="AE25" t="s">
        <v>79</v>
      </c>
      <c r="AF25" t="s">
        <v>205</v>
      </c>
      <c r="AG25" t="s">
        <v>81</v>
      </c>
      <c r="AH25" t="s">
        <v>82</v>
      </c>
      <c r="AI25" t="s">
        <v>206</v>
      </c>
      <c r="AJ25" t="s">
        <v>84</v>
      </c>
      <c r="AK25" t="s">
        <v>85</v>
      </c>
      <c r="AL25" t="s">
        <v>85</v>
      </c>
      <c r="AM25" t="s">
        <v>85</v>
      </c>
      <c r="AN25" t="s">
        <v>85</v>
      </c>
      <c r="AO25" t="s">
        <v>64</v>
      </c>
      <c r="AP25" t="s">
        <v>77</v>
      </c>
      <c r="AQ25" t="s">
        <v>86</v>
      </c>
      <c r="AR25" t="s">
        <v>87</v>
      </c>
      <c r="AS25" t="s">
        <v>88</v>
      </c>
      <c r="AT25" t="s">
        <v>89</v>
      </c>
      <c r="AU25" t="s">
        <v>78</v>
      </c>
      <c r="AV25" s="1">
        <v>9082.01</v>
      </c>
      <c r="AW25" s="1">
        <v>929165.44</v>
      </c>
      <c r="AX25" s="2">
        <v>21</v>
      </c>
      <c r="AY25" s="1">
        <v>9.7739999999999997E-3</v>
      </c>
      <c r="AZ25" s="1">
        <v>0</v>
      </c>
      <c r="BA25" s="1">
        <f t="array" ref="BA25">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excel'!$F$2:$F$36),0),11)</f>
        <v>0</v>
      </c>
      <c r="BB25" s="1">
        <f>BA25-AZ25</f>
        <v>0</v>
      </c>
      <c r="BC25" s="1">
        <v>0</v>
      </c>
      <c r="BD25" s="1" cm="1">
        <f t="array" ref="BD25">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excel'!$F$2:$F$36),0),12)</f>
        <v>0</v>
      </c>
      <c r="BE25" s="1">
        <f>BD25-BC25</f>
        <v>0</v>
      </c>
      <c r="BF25" s="1">
        <v>0</v>
      </c>
      <c r="BG25" s="1" cm="1">
        <f t="array" ref="BG25">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excel'!$F$2:$F$36),0),13)</f>
        <v>0</v>
      </c>
      <c r="BH25" s="1">
        <f>BG25-BF25</f>
        <v>0</v>
      </c>
      <c r="BI25" s="1">
        <v>0</v>
      </c>
      <c r="BJ25" s="1" cm="1">
        <f t="array" ref="BJ25">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excel'!$F$2:$F$36),0),14)</f>
        <v>0</v>
      </c>
      <c r="BK25" s="1">
        <f>BJ25-BI25</f>
        <v>0</v>
      </c>
      <c r="BL25" s="1">
        <v>0</v>
      </c>
      <c r="BM25" s="1" cm="1">
        <f t="array" ref="BM25">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excel'!$F$2:$F$36),0),15)</f>
        <v>0</v>
      </c>
      <c r="BN25" s="7">
        <f>BM25-BL25</f>
        <v>0</v>
      </c>
      <c r="BO25" s="1">
        <v>0</v>
      </c>
      <c r="BP25" s="1" cm="1">
        <f t="array" ref="BP25">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excel'!$F$2:$F$36),0),16)</f>
        <v>0</v>
      </c>
      <c r="BQ25" s="1">
        <f>BP25-BO25</f>
        <v>0</v>
      </c>
      <c r="BR25" s="1">
        <v>0</v>
      </c>
      <c r="BS25" s="1" cm="1">
        <f t="array" ref="BS25">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excel'!$F$2:$F$36),0),17)</f>
        <v>0</v>
      </c>
      <c r="BT25" s="8">
        <f>BS25-BR25</f>
        <v>0</v>
      </c>
      <c r="BU25" s="1">
        <v>0</v>
      </c>
      <c r="BV25" s="1" cm="1">
        <f t="array" ref="BV25">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excel'!$F$2:$F$36),0),18)</f>
        <v>0</v>
      </c>
      <c r="BW25" s="1">
        <f>BV25-BU25</f>
        <v>0</v>
      </c>
      <c r="BX25" s="1">
        <v>0</v>
      </c>
      <c r="BY25" s="1" cm="1">
        <f t="array" ref="BY25">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excel'!$F$2:$F$36),0),19)</f>
        <v>0</v>
      </c>
      <c r="BZ25" s="1">
        <f>BY25-BX25</f>
        <v>0</v>
      </c>
      <c r="CA25" s="1">
        <v>0</v>
      </c>
      <c r="CB25" s="1" cm="1">
        <f t="array" ref="CB25">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excel'!$F$2:$F$36),0),20)</f>
        <v>0</v>
      </c>
      <c r="CC25" s="8">
        <f>CB25-CA25</f>
        <v>0</v>
      </c>
      <c r="CD25" s="1">
        <v>0</v>
      </c>
      <c r="CE25" s="1" cm="1">
        <f t="array" ref="CE25">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excel'!$F$2:$F$36),0),21)</f>
        <v>0</v>
      </c>
      <c r="CF25" s="8">
        <f>CE25-CD25</f>
        <v>0</v>
      </c>
      <c r="CG25" s="1">
        <v>0</v>
      </c>
      <c r="CH25" s="1" cm="1">
        <f t="array" ref="CH25">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excel'!$F$2:$F$36),0),22)+INDEX('Cálculo excel'!$B$2:$X$36,MATCH(1,('Exemplos Validação'!$F25='Cálculo excel'!$B$2:$B$36)*('Cálculo excel'!$C$2:$C$36='Exemplos Validação'!$H25)*('Exemplos Validação'!$I25='Cálculo excel'!$D$2:$D$36)*('Cálculo excel'!$E$2:$E$36='Exemplos Validação'!$J25)*('Exemplos Validação'!$K25='Cálculo excel'!$F$2:$F$36),0),23)</f>
        <v>0</v>
      </c>
      <c r="CI25" s="8">
        <f>CH25-CG25</f>
        <v>0</v>
      </c>
    </row>
    <row r="26" spans="1:87" x14ac:dyDescent="0.3">
      <c r="A26" t="s">
        <v>63</v>
      </c>
      <c r="B26" t="s">
        <v>64</v>
      </c>
      <c r="C26" t="s">
        <v>65</v>
      </c>
      <c r="D26" t="s">
        <v>66</v>
      </c>
      <c r="E26" t="s">
        <v>207</v>
      </c>
      <c r="F26" t="s">
        <v>207</v>
      </c>
      <c r="G26" t="s">
        <v>207</v>
      </c>
      <c r="H26" t="s">
        <v>68</v>
      </c>
      <c r="I26" t="s">
        <v>69</v>
      </c>
      <c r="J26" t="s">
        <v>70</v>
      </c>
      <c r="K26" t="s">
        <v>71</v>
      </c>
      <c r="L26" t="s">
        <v>72</v>
      </c>
      <c r="M26" t="s">
        <v>73</v>
      </c>
      <c r="N26" t="s">
        <v>74</v>
      </c>
      <c r="O26" t="s">
        <v>75</v>
      </c>
      <c r="P26" t="s">
        <v>76</v>
      </c>
      <c r="Q26" t="s">
        <v>74</v>
      </c>
      <c r="R26" t="s">
        <v>77</v>
      </c>
      <c r="S26" t="s">
        <v>78</v>
      </c>
      <c r="T26" t="s">
        <v>77</v>
      </c>
      <c r="U26">
        <v>11111111111</v>
      </c>
      <c r="V26">
        <v>11111111111</v>
      </c>
      <c r="W26">
        <v>11111111111</v>
      </c>
      <c r="X26">
        <v>11111111111</v>
      </c>
      <c r="Y26">
        <v>11111111111</v>
      </c>
      <c r="Z26">
        <v>11111111111</v>
      </c>
      <c r="AA26">
        <v>11111111111</v>
      </c>
      <c r="AB26" t="s">
        <v>77</v>
      </c>
      <c r="AC26">
        <v>11111111111</v>
      </c>
      <c r="AD26">
        <v>11111111111</v>
      </c>
      <c r="AE26" t="s">
        <v>79</v>
      </c>
      <c r="AF26" t="s">
        <v>208</v>
      </c>
      <c r="AG26" t="s">
        <v>81</v>
      </c>
      <c r="AH26" t="s">
        <v>82</v>
      </c>
      <c r="AI26" t="s">
        <v>209</v>
      </c>
      <c r="AJ26" t="s">
        <v>84</v>
      </c>
      <c r="AK26" t="s">
        <v>85</v>
      </c>
      <c r="AL26" t="s">
        <v>85</v>
      </c>
      <c r="AM26" t="s">
        <v>85</v>
      </c>
      <c r="AN26" t="s">
        <v>85</v>
      </c>
      <c r="AO26" t="s">
        <v>64</v>
      </c>
      <c r="AP26" t="s">
        <v>77</v>
      </c>
      <c r="AQ26" t="s">
        <v>86</v>
      </c>
      <c r="AR26" t="s">
        <v>87</v>
      </c>
      <c r="AS26" t="s">
        <v>88</v>
      </c>
      <c r="AT26" t="s">
        <v>89</v>
      </c>
      <c r="AU26" t="s">
        <v>78</v>
      </c>
      <c r="AV26" s="1">
        <v>144923.73000000001</v>
      </c>
      <c r="AW26" s="1">
        <v>929165.44</v>
      </c>
      <c r="AX26" s="2">
        <v>21</v>
      </c>
      <c r="AY26" s="1">
        <v>0.155971</v>
      </c>
      <c r="AZ26" s="1">
        <v>0</v>
      </c>
      <c r="BA26" s="1">
        <f t="array" ref="BA26">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excel'!$F$2:$F$36),0),11)</f>
        <v>0</v>
      </c>
      <c r="BB26" s="1">
        <f>BA26-AZ26</f>
        <v>0</v>
      </c>
      <c r="BC26" s="1">
        <v>0</v>
      </c>
      <c r="BD26" s="1" cm="1">
        <f t="array" ref="BD26">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excel'!$F$2:$F$36),0),12)</f>
        <v>0</v>
      </c>
      <c r="BE26" s="1">
        <f>BD26-BC26</f>
        <v>0</v>
      </c>
      <c r="BF26" s="1">
        <v>0</v>
      </c>
      <c r="BG26" s="1" cm="1">
        <f t="array" ref="BG26">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excel'!$F$2:$F$36),0),13)</f>
        <v>0</v>
      </c>
      <c r="BH26" s="1">
        <f>BG26-BF26</f>
        <v>0</v>
      </c>
      <c r="BI26" s="1">
        <v>0</v>
      </c>
      <c r="BJ26" s="1" cm="1">
        <f t="array" ref="BJ26">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excel'!$F$2:$F$36),0),14)</f>
        <v>0</v>
      </c>
      <c r="BK26" s="1">
        <f>BJ26-BI26</f>
        <v>0</v>
      </c>
      <c r="BL26" s="1">
        <v>0</v>
      </c>
      <c r="BM26" s="1" cm="1">
        <f t="array" ref="BM26">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excel'!$F$2:$F$36),0),15)</f>
        <v>0</v>
      </c>
      <c r="BN26" s="7">
        <f>BM26-BL26</f>
        <v>0</v>
      </c>
      <c r="BO26" s="1">
        <v>0</v>
      </c>
      <c r="BP26" s="1" cm="1">
        <f t="array" ref="BP26">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excel'!$F$2:$F$36),0),16)</f>
        <v>0</v>
      </c>
      <c r="BQ26" s="1">
        <f>BP26-BO26</f>
        <v>0</v>
      </c>
      <c r="BR26" s="1">
        <v>0</v>
      </c>
      <c r="BS26" s="1" cm="1">
        <f t="array" ref="BS26">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excel'!$F$2:$F$36),0),17)</f>
        <v>0</v>
      </c>
      <c r="BT26" s="8">
        <f>BS26-BR26</f>
        <v>0</v>
      </c>
      <c r="BU26" s="1">
        <v>0</v>
      </c>
      <c r="BV26" s="1" cm="1">
        <f t="array" ref="BV26">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excel'!$F$2:$F$36),0),18)</f>
        <v>0</v>
      </c>
      <c r="BW26" s="1">
        <f>BV26-BU26</f>
        <v>0</v>
      </c>
      <c r="BX26" s="1">
        <v>0</v>
      </c>
      <c r="BY26" s="1" cm="1">
        <f t="array" ref="BY26">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excel'!$F$2:$F$36),0),19)</f>
        <v>0</v>
      </c>
      <c r="BZ26" s="1">
        <f>BY26-BX26</f>
        <v>0</v>
      </c>
      <c r="CA26" s="1">
        <v>0</v>
      </c>
      <c r="CB26" s="1" cm="1">
        <f t="array" ref="CB26">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excel'!$F$2:$F$36),0),20)</f>
        <v>0</v>
      </c>
      <c r="CC26" s="8">
        <f>CB26-CA26</f>
        <v>0</v>
      </c>
      <c r="CD26" s="1">
        <v>0</v>
      </c>
      <c r="CE26" s="1" cm="1">
        <f t="array" ref="CE26">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excel'!$F$2:$F$36),0),21)</f>
        <v>0</v>
      </c>
      <c r="CF26" s="8">
        <f>CE26-CD26</f>
        <v>0</v>
      </c>
      <c r="CG26" s="1">
        <v>0</v>
      </c>
      <c r="CH26" s="1" cm="1">
        <f t="array" ref="CH26">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excel'!$F$2:$F$36),0),22)+INDEX('Cálculo excel'!$B$2:$X$36,MATCH(1,('Exemplos Validação'!$F26='Cálculo excel'!$B$2:$B$36)*('Cálculo excel'!$C$2:$C$36='Exemplos Validação'!$H26)*('Exemplos Validação'!$I26='Cálculo excel'!$D$2:$D$36)*('Cálculo excel'!$E$2:$E$36='Exemplos Validação'!$J26)*('Exemplos Validação'!$K26='Cálculo excel'!$F$2:$F$36),0),23)</f>
        <v>0</v>
      </c>
      <c r="CI26" s="8">
        <f>CH26-CG26</f>
        <v>0</v>
      </c>
    </row>
    <row r="27" spans="1:87" x14ac:dyDescent="0.3">
      <c r="A27" t="s">
        <v>63</v>
      </c>
      <c r="B27" t="s">
        <v>64</v>
      </c>
      <c r="C27" t="s">
        <v>65</v>
      </c>
      <c r="D27" t="s">
        <v>66</v>
      </c>
      <c r="E27" t="s">
        <v>210</v>
      </c>
      <c r="F27" t="s">
        <v>210</v>
      </c>
      <c r="G27" t="s">
        <v>210</v>
      </c>
      <c r="H27" t="s">
        <v>68</v>
      </c>
      <c r="I27" t="s">
        <v>69</v>
      </c>
      <c r="J27" t="s">
        <v>70</v>
      </c>
      <c r="K27" t="s">
        <v>71</v>
      </c>
      <c r="L27" t="s">
        <v>72</v>
      </c>
      <c r="M27" t="s">
        <v>73</v>
      </c>
      <c r="N27" t="s">
        <v>74</v>
      </c>
      <c r="O27" t="s">
        <v>75</v>
      </c>
      <c r="P27" t="s">
        <v>76</v>
      </c>
      <c r="Q27" t="s">
        <v>74</v>
      </c>
      <c r="R27" t="s">
        <v>77</v>
      </c>
      <c r="S27" t="s">
        <v>78</v>
      </c>
      <c r="T27" t="s">
        <v>77</v>
      </c>
      <c r="U27">
        <v>11111111111</v>
      </c>
      <c r="V27">
        <v>11111111111</v>
      </c>
      <c r="W27">
        <v>11111111111</v>
      </c>
      <c r="X27">
        <v>11111111111</v>
      </c>
      <c r="Y27">
        <v>11111111111</v>
      </c>
      <c r="Z27">
        <v>11111111111</v>
      </c>
      <c r="AA27">
        <v>11111111111</v>
      </c>
      <c r="AB27" t="s">
        <v>77</v>
      </c>
      <c r="AC27">
        <v>11111111111</v>
      </c>
      <c r="AD27">
        <v>11111111111</v>
      </c>
      <c r="AE27" t="s">
        <v>79</v>
      </c>
      <c r="AF27" t="s">
        <v>211</v>
      </c>
      <c r="AG27" t="s">
        <v>81</v>
      </c>
      <c r="AH27" t="s">
        <v>82</v>
      </c>
      <c r="AI27" t="s">
        <v>212</v>
      </c>
      <c r="AJ27" t="s">
        <v>84</v>
      </c>
      <c r="AK27" t="s">
        <v>85</v>
      </c>
      <c r="AL27" t="s">
        <v>85</v>
      </c>
      <c r="AM27" t="s">
        <v>85</v>
      </c>
      <c r="AN27" t="s">
        <v>85</v>
      </c>
      <c r="AO27" t="s">
        <v>64</v>
      </c>
      <c r="AP27" t="s">
        <v>77</v>
      </c>
      <c r="AQ27" t="s">
        <v>86</v>
      </c>
      <c r="AR27" t="s">
        <v>87</v>
      </c>
      <c r="AS27" t="s">
        <v>88</v>
      </c>
      <c r="AT27" t="s">
        <v>89</v>
      </c>
      <c r="AU27" t="s">
        <v>78</v>
      </c>
      <c r="AV27" s="1">
        <v>2620.7399999999998</v>
      </c>
      <c r="AW27" s="1">
        <v>929165.44</v>
      </c>
      <c r="AX27" s="2">
        <v>21</v>
      </c>
      <c r="AY27" s="1">
        <v>2.82E-3</v>
      </c>
      <c r="AZ27" s="1">
        <v>0</v>
      </c>
      <c r="BA27" s="1">
        <f t="array" ref="BA27">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excel'!$F$2:$F$36),0),11)</f>
        <v>0</v>
      </c>
      <c r="BB27" s="1">
        <f>BA27-AZ27</f>
        <v>0</v>
      </c>
      <c r="BC27" s="1">
        <v>0</v>
      </c>
      <c r="BD27" s="1" cm="1">
        <f t="array" ref="BD27">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excel'!$F$2:$F$36),0),12)</f>
        <v>0</v>
      </c>
      <c r="BE27" s="1">
        <f>BD27-BC27</f>
        <v>0</v>
      </c>
      <c r="BF27" s="1">
        <v>0</v>
      </c>
      <c r="BG27" s="1" cm="1">
        <f t="array" ref="BG27">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excel'!$F$2:$F$36),0),13)</f>
        <v>0</v>
      </c>
      <c r="BH27" s="1">
        <f>BG27-BF27</f>
        <v>0</v>
      </c>
      <c r="BI27" s="1">
        <v>0</v>
      </c>
      <c r="BJ27" s="1" cm="1">
        <f t="array" ref="BJ27">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excel'!$F$2:$F$36),0),14)</f>
        <v>0</v>
      </c>
      <c r="BK27" s="1">
        <f>BJ27-BI27</f>
        <v>0</v>
      </c>
      <c r="BL27" s="1">
        <v>0</v>
      </c>
      <c r="BM27" s="1" cm="1">
        <f t="array" ref="BM27">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excel'!$F$2:$F$36),0),15)</f>
        <v>0</v>
      </c>
      <c r="BN27" s="7">
        <f>BM27-BL27</f>
        <v>0</v>
      </c>
      <c r="BO27" s="1">
        <v>0</v>
      </c>
      <c r="BP27" s="1" cm="1">
        <f t="array" ref="BP27">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excel'!$F$2:$F$36),0),16)</f>
        <v>0</v>
      </c>
      <c r="BQ27" s="1">
        <f>BP27-BO27</f>
        <v>0</v>
      </c>
      <c r="BR27" s="1">
        <v>0</v>
      </c>
      <c r="BS27" s="1" cm="1">
        <f t="array" ref="BS27">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excel'!$F$2:$F$36),0),17)</f>
        <v>0</v>
      </c>
      <c r="BT27" s="8">
        <f>BS27-BR27</f>
        <v>0</v>
      </c>
      <c r="BU27" s="1">
        <v>0</v>
      </c>
      <c r="BV27" s="1" cm="1">
        <f t="array" ref="BV27">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excel'!$F$2:$F$36),0),18)</f>
        <v>0</v>
      </c>
      <c r="BW27" s="1">
        <f>BV27-BU27</f>
        <v>0</v>
      </c>
      <c r="BX27" s="1">
        <v>0</v>
      </c>
      <c r="BY27" s="1" cm="1">
        <f t="array" ref="BY27">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excel'!$F$2:$F$36),0),19)</f>
        <v>0</v>
      </c>
      <c r="BZ27" s="1">
        <f>BY27-BX27</f>
        <v>0</v>
      </c>
      <c r="CA27" s="1">
        <v>0</v>
      </c>
      <c r="CB27" s="1" cm="1">
        <f t="array" ref="CB27">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excel'!$F$2:$F$36),0),20)</f>
        <v>0</v>
      </c>
      <c r="CC27" s="8">
        <f>CB27-CA27</f>
        <v>0</v>
      </c>
      <c r="CD27" s="1">
        <v>0</v>
      </c>
      <c r="CE27" s="1" cm="1">
        <f t="array" ref="CE27">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excel'!$F$2:$F$36),0),21)</f>
        <v>0</v>
      </c>
      <c r="CF27" s="8">
        <f>CE27-CD27</f>
        <v>0</v>
      </c>
      <c r="CG27" s="1">
        <v>0</v>
      </c>
      <c r="CH27" s="1" cm="1">
        <f t="array" ref="CH27">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excel'!$F$2:$F$36),0),22)+INDEX('Cálculo excel'!$B$2:$X$36,MATCH(1,('Exemplos Validação'!$F27='Cálculo excel'!$B$2:$B$36)*('Cálculo excel'!$C$2:$C$36='Exemplos Validação'!$H27)*('Exemplos Validação'!$I27='Cálculo excel'!$D$2:$D$36)*('Cálculo excel'!$E$2:$E$36='Exemplos Validação'!$J27)*('Exemplos Validação'!$K27='Cálculo excel'!$F$2:$F$36),0),23)</f>
        <v>0</v>
      </c>
      <c r="CI27" s="8">
        <f>CH27-CG27</f>
        <v>0</v>
      </c>
    </row>
    <row r="28" spans="1:87" x14ac:dyDescent="0.3">
      <c r="A28" t="s">
        <v>63</v>
      </c>
      <c r="B28" t="s">
        <v>64</v>
      </c>
      <c r="C28" t="s">
        <v>65</v>
      </c>
      <c r="D28" t="s">
        <v>66</v>
      </c>
      <c r="E28" t="s">
        <v>213</v>
      </c>
      <c r="F28" t="s">
        <v>213</v>
      </c>
      <c r="G28" t="s">
        <v>213</v>
      </c>
      <c r="H28" t="s">
        <v>68</v>
      </c>
      <c r="I28" t="s">
        <v>69</v>
      </c>
      <c r="J28" t="s">
        <v>70</v>
      </c>
      <c r="K28" t="s">
        <v>71</v>
      </c>
      <c r="L28" t="s">
        <v>72</v>
      </c>
      <c r="M28" t="s">
        <v>73</v>
      </c>
      <c r="N28" t="s">
        <v>74</v>
      </c>
      <c r="O28" t="s">
        <v>75</v>
      </c>
      <c r="P28" t="s">
        <v>76</v>
      </c>
      <c r="Q28" t="s">
        <v>74</v>
      </c>
      <c r="R28" t="s">
        <v>77</v>
      </c>
      <c r="S28" t="s">
        <v>78</v>
      </c>
      <c r="T28" t="s">
        <v>77</v>
      </c>
      <c r="U28">
        <v>11111111111</v>
      </c>
      <c r="V28">
        <v>11111111111</v>
      </c>
      <c r="W28">
        <v>11111111111</v>
      </c>
      <c r="X28">
        <v>11111111111</v>
      </c>
      <c r="Y28">
        <v>11111111111</v>
      </c>
      <c r="Z28">
        <v>11111111111</v>
      </c>
      <c r="AA28">
        <v>11111111111</v>
      </c>
      <c r="AB28" t="s">
        <v>77</v>
      </c>
      <c r="AC28">
        <v>11111111111</v>
      </c>
      <c r="AD28">
        <v>11111111111</v>
      </c>
      <c r="AE28" t="s">
        <v>79</v>
      </c>
      <c r="AF28" t="s">
        <v>214</v>
      </c>
      <c r="AG28" t="s">
        <v>81</v>
      </c>
      <c r="AH28" t="s">
        <v>82</v>
      </c>
      <c r="AI28" t="s">
        <v>215</v>
      </c>
      <c r="AJ28" t="s">
        <v>84</v>
      </c>
      <c r="AK28" t="s">
        <v>85</v>
      </c>
      <c r="AL28" t="s">
        <v>85</v>
      </c>
      <c r="AM28" t="s">
        <v>85</v>
      </c>
      <c r="AN28" t="s">
        <v>85</v>
      </c>
      <c r="AO28" t="s">
        <v>64</v>
      </c>
      <c r="AP28" t="s">
        <v>77</v>
      </c>
      <c r="AQ28" t="s">
        <v>86</v>
      </c>
      <c r="AR28" t="s">
        <v>87</v>
      </c>
      <c r="AS28" t="s">
        <v>88</v>
      </c>
      <c r="AT28" t="s">
        <v>89</v>
      </c>
      <c r="AU28" t="s">
        <v>78</v>
      </c>
      <c r="AV28" s="1">
        <v>2768.47</v>
      </c>
      <c r="AW28" s="1">
        <v>929165.44</v>
      </c>
      <c r="AX28" s="2">
        <v>21</v>
      </c>
      <c r="AY28" s="1">
        <v>2.9789999999999999E-3</v>
      </c>
      <c r="AZ28" s="1">
        <v>0</v>
      </c>
      <c r="BA28" s="1">
        <f t="array" ref="BA28">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excel'!$F$2:$F$36),0),11)</f>
        <v>0</v>
      </c>
      <c r="BB28" s="1">
        <f>BA28-AZ28</f>
        <v>0</v>
      </c>
      <c r="BC28" s="1">
        <v>0</v>
      </c>
      <c r="BD28" s="1" cm="1">
        <f t="array" ref="BD28">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excel'!$F$2:$F$36),0),12)</f>
        <v>0</v>
      </c>
      <c r="BE28" s="1">
        <f>BD28-BC28</f>
        <v>0</v>
      </c>
      <c r="BF28" s="1">
        <v>0</v>
      </c>
      <c r="BG28" s="1" cm="1">
        <f t="array" ref="BG28">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excel'!$F$2:$F$36),0),13)</f>
        <v>0</v>
      </c>
      <c r="BH28" s="1">
        <f>BG28-BF28</f>
        <v>0</v>
      </c>
      <c r="BI28" s="1">
        <v>0</v>
      </c>
      <c r="BJ28" s="1" cm="1">
        <f t="array" ref="BJ28">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excel'!$F$2:$F$36),0),14)</f>
        <v>0</v>
      </c>
      <c r="BK28" s="1">
        <f>BJ28-BI28</f>
        <v>0</v>
      </c>
      <c r="BL28" s="1">
        <v>0</v>
      </c>
      <c r="BM28" s="1" cm="1">
        <f t="array" ref="BM28">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excel'!$F$2:$F$36),0),15)</f>
        <v>0</v>
      </c>
      <c r="BN28" s="7">
        <f>BM28-BL28</f>
        <v>0</v>
      </c>
      <c r="BO28" s="1">
        <v>0</v>
      </c>
      <c r="BP28" s="1" cm="1">
        <f t="array" ref="BP28">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excel'!$F$2:$F$36),0),16)</f>
        <v>0</v>
      </c>
      <c r="BQ28" s="1">
        <f>BP28-BO28</f>
        <v>0</v>
      </c>
      <c r="BR28" s="1">
        <v>0</v>
      </c>
      <c r="BS28" s="1" cm="1">
        <f t="array" ref="BS28">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excel'!$F$2:$F$36),0),17)</f>
        <v>0</v>
      </c>
      <c r="BT28" s="8">
        <f>BS28-BR28</f>
        <v>0</v>
      </c>
      <c r="BU28" s="1">
        <v>0</v>
      </c>
      <c r="BV28" s="1" cm="1">
        <f t="array" ref="BV28">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excel'!$F$2:$F$36),0),18)</f>
        <v>0</v>
      </c>
      <c r="BW28" s="1">
        <f>BV28-BU28</f>
        <v>0</v>
      </c>
      <c r="BX28" s="1">
        <v>0</v>
      </c>
      <c r="BY28" s="1" cm="1">
        <f t="array" ref="BY28">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excel'!$F$2:$F$36),0),19)</f>
        <v>0</v>
      </c>
      <c r="BZ28" s="1">
        <f>BY28-BX28</f>
        <v>0</v>
      </c>
      <c r="CA28" s="1">
        <v>0</v>
      </c>
      <c r="CB28" s="1" cm="1">
        <f t="array" ref="CB28">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excel'!$F$2:$F$36),0),20)</f>
        <v>0</v>
      </c>
      <c r="CC28" s="8">
        <f>CB28-CA28</f>
        <v>0</v>
      </c>
      <c r="CD28" s="1">
        <v>0</v>
      </c>
      <c r="CE28" s="1" cm="1">
        <f t="array" ref="CE28">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excel'!$F$2:$F$36),0),21)</f>
        <v>0</v>
      </c>
      <c r="CF28" s="8">
        <f>CE28-CD28</f>
        <v>0</v>
      </c>
      <c r="CG28" s="1">
        <v>0</v>
      </c>
      <c r="CH28" s="1" cm="1">
        <f t="array" ref="CH28">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excel'!$F$2:$F$36),0),22)+INDEX('Cálculo excel'!$B$2:$X$36,MATCH(1,('Exemplos Validação'!$F28='Cálculo excel'!$B$2:$B$36)*('Cálculo excel'!$C$2:$C$36='Exemplos Validação'!$H28)*('Exemplos Validação'!$I28='Cálculo excel'!$D$2:$D$36)*('Cálculo excel'!$E$2:$E$36='Exemplos Validação'!$J28)*('Exemplos Validação'!$K28='Cálculo excel'!$F$2:$F$36),0),23)</f>
        <v>0</v>
      </c>
      <c r="CI28" s="8">
        <f>CH28-CG28</f>
        <v>0</v>
      </c>
    </row>
    <row r="29" spans="1:87" x14ac:dyDescent="0.3">
      <c r="A29" t="s">
        <v>93</v>
      </c>
      <c r="B29" t="s">
        <v>64</v>
      </c>
      <c r="C29" t="s">
        <v>65</v>
      </c>
      <c r="D29" t="s">
        <v>66</v>
      </c>
      <c r="E29" t="s">
        <v>216</v>
      </c>
      <c r="F29" t="s">
        <v>216</v>
      </c>
      <c r="G29" t="s">
        <v>216</v>
      </c>
      <c r="H29" t="s">
        <v>68</v>
      </c>
      <c r="I29" t="s">
        <v>95</v>
      </c>
      <c r="J29" t="s">
        <v>217</v>
      </c>
      <c r="K29" t="s">
        <v>97</v>
      </c>
      <c r="L29" t="s">
        <v>98</v>
      </c>
      <c r="M29" t="s">
        <v>99</v>
      </c>
      <c r="N29" t="s">
        <v>100</v>
      </c>
      <c r="O29" t="s">
        <v>75</v>
      </c>
      <c r="P29" t="s">
        <v>101</v>
      </c>
      <c r="Q29" t="s">
        <v>74</v>
      </c>
      <c r="R29" t="s">
        <v>77</v>
      </c>
      <c r="S29" t="s">
        <v>78</v>
      </c>
      <c r="T29" t="s">
        <v>77</v>
      </c>
      <c r="U29">
        <v>11111111111</v>
      </c>
      <c r="V29">
        <v>11111111111</v>
      </c>
      <c r="W29">
        <v>11111111111</v>
      </c>
      <c r="X29">
        <v>11111111111</v>
      </c>
      <c r="Y29">
        <v>11111111111</v>
      </c>
      <c r="Z29">
        <v>11111111111</v>
      </c>
      <c r="AA29">
        <v>11111111111</v>
      </c>
      <c r="AB29" t="s">
        <v>77</v>
      </c>
      <c r="AC29">
        <v>11111111111</v>
      </c>
      <c r="AD29">
        <v>11111111111</v>
      </c>
      <c r="AE29" t="s">
        <v>102</v>
      </c>
      <c r="AF29" t="s">
        <v>84</v>
      </c>
      <c r="AG29" t="s">
        <v>103</v>
      </c>
      <c r="AH29" t="s">
        <v>103</v>
      </c>
      <c r="AI29" t="s">
        <v>85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218</v>
      </c>
      <c r="AP29" t="s">
        <v>219</v>
      </c>
      <c r="AQ29" t="s">
        <v>219</v>
      </c>
      <c r="AR29" t="s">
        <v>219</v>
      </c>
      <c r="AS29" t="s">
        <v>219</v>
      </c>
      <c r="AT29" t="s">
        <v>219</v>
      </c>
      <c r="AU29" t="s">
        <v>219</v>
      </c>
      <c r="AV29" s="1">
        <v>0</v>
      </c>
      <c r="AW29" s="1">
        <v>0</v>
      </c>
      <c r="AX29" s="2">
        <v>1</v>
      </c>
      <c r="AY29" s="1">
        <v>1</v>
      </c>
      <c r="AZ29" s="1">
        <v>640.01</v>
      </c>
      <c r="BA29" s="1">
        <f t="array" ref="BA29">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excel'!$F$2:$F$36),0),11)</f>
        <v>640.01</v>
      </c>
      <c r="BB29" s="1">
        <f>BA29-AZ29</f>
        <v>0</v>
      </c>
      <c r="BC29" s="1">
        <v>0</v>
      </c>
      <c r="BD29" s="1" cm="1">
        <f t="array" ref="BD29">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excel'!$F$2:$F$36),0),12)</f>
        <v>0</v>
      </c>
      <c r="BE29" s="1">
        <f>BD29-BC29</f>
        <v>0</v>
      </c>
      <c r="BF29" s="1">
        <v>324.18</v>
      </c>
      <c r="BG29" s="1" cm="1">
        <f t="array" ref="BG29">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excel'!$F$2:$F$36),0),13)</f>
        <v>324.18</v>
      </c>
      <c r="BH29" s="1">
        <f>BG29-BF29</f>
        <v>0</v>
      </c>
      <c r="BI29" s="1">
        <v>0</v>
      </c>
      <c r="BJ29" s="1" cm="1">
        <f t="array" ref="BJ29">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excel'!$F$2:$F$36),0),14)</f>
        <v>0</v>
      </c>
      <c r="BK29" s="1">
        <f>BJ29-BI29</f>
        <v>0</v>
      </c>
      <c r="BL29" s="1">
        <v>-101.21</v>
      </c>
      <c r="BM29" s="1" cm="1">
        <f t="array" ref="BM29">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excel'!$F$2:$F$36),0),15)</f>
        <v>-101.27999999999999</v>
      </c>
      <c r="BN29" s="7">
        <f>BM29-BL29</f>
        <v>-6.9999999999993179E-2</v>
      </c>
      <c r="BO29" s="1">
        <v>0</v>
      </c>
      <c r="BP29" s="1" cm="1">
        <f t="array" ref="BP29">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excel'!$F$2:$F$36),0),16)</f>
        <v>0</v>
      </c>
      <c r="BQ29" s="1">
        <f>BP29-BO29</f>
        <v>0</v>
      </c>
      <c r="BR29" s="1">
        <v>291.70999999999998</v>
      </c>
      <c r="BS29" s="1" cm="1">
        <f t="array" ref="BS29">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excel'!$F$2:$F$36),0),17)</f>
        <v>291.70999999999998</v>
      </c>
      <c r="BT29" s="8">
        <f>BS29-BR29</f>
        <v>0</v>
      </c>
      <c r="BU29" s="1">
        <v>0</v>
      </c>
      <c r="BV29" s="1" cm="1">
        <f t="array" ref="BV29">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excel'!$F$2:$F$36),0),18)</f>
        <v>0</v>
      </c>
      <c r="BW29" s="1">
        <f>BV29-BU29</f>
        <v>0</v>
      </c>
      <c r="BX29" s="1">
        <v>0</v>
      </c>
      <c r="BY29" s="1" cm="1">
        <f t="array" ref="BY29">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excel'!$F$2:$F$36),0),19)</f>
        <v>0</v>
      </c>
      <c r="BZ29" s="1">
        <f>BY29-BX29</f>
        <v>0</v>
      </c>
      <c r="CA29" s="1">
        <v>0</v>
      </c>
      <c r="CB29" s="1" cm="1">
        <f t="array" ref="CB29">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excel'!$F$2:$F$36),0),20)</f>
        <v>0</v>
      </c>
      <c r="CC29" s="8">
        <f>CB29-CA29</f>
        <v>0</v>
      </c>
      <c r="CD29" s="1">
        <v>26274.61</v>
      </c>
      <c r="CE29" s="1" cm="1">
        <f t="array" ref="CE29">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excel'!$F$2:$F$36),0),21)</f>
        <v>26274.61</v>
      </c>
      <c r="CF29" s="8">
        <f>CE29-CD29</f>
        <v>0</v>
      </c>
      <c r="CG29" s="1">
        <v>0</v>
      </c>
      <c r="CH29" s="1" cm="1">
        <f t="array" ref="CH29">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excel'!$F$2:$F$36),0),22)+INDEX('Cálculo excel'!$B$2:$X$36,MATCH(1,('Exemplos Validação'!$F29='Cálculo excel'!$B$2:$B$36)*('Cálculo excel'!$C$2:$C$36='Exemplos Validação'!$H29)*('Exemplos Validação'!$I29='Cálculo excel'!$D$2:$D$36)*('Cálculo excel'!$E$2:$E$36='Exemplos Validação'!$J29)*('Exemplos Validação'!$K29='Cálculo excel'!$F$2:$F$36),0),23)</f>
        <v>0</v>
      </c>
      <c r="CI29" s="8">
        <f>CH29-CG29</f>
        <v>0</v>
      </c>
    </row>
    <row r="30" spans="1:87" x14ac:dyDescent="0.3">
      <c r="A30" t="s">
        <v>63</v>
      </c>
      <c r="B30" t="s">
        <v>64</v>
      </c>
      <c r="C30" t="s">
        <v>65</v>
      </c>
      <c r="D30" t="s">
        <v>66</v>
      </c>
      <c r="E30" t="s">
        <v>220</v>
      </c>
      <c r="F30" t="s">
        <v>220</v>
      </c>
      <c r="G30" t="s">
        <v>220</v>
      </c>
      <c r="H30" t="s">
        <v>68</v>
      </c>
      <c r="I30" t="s">
        <v>167</v>
      </c>
      <c r="J30" t="s">
        <v>221</v>
      </c>
      <c r="K30" t="s">
        <v>97</v>
      </c>
      <c r="L30" t="s">
        <v>222</v>
      </c>
      <c r="M30" t="s">
        <v>99</v>
      </c>
      <c r="N30" t="s">
        <v>74</v>
      </c>
      <c r="O30" t="s">
        <v>75</v>
      </c>
      <c r="P30" t="s">
        <v>76</v>
      </c>
      <c r="Q30" t="s">
        <v>74</v>
      </c>
      <c r="R30" t="s">
        <v>77</v>
      </c>
      <c r="S30" t="s">
        <v>78</v>
      </c>
      <c r="T30" t="s">
        <v>77</v>
      </c>
      <c r="U30">
        <v>11111111111</v>
      </c>
      <c r="V30">
        <v>11111111111</v>
      </c>
      <c r="W30">
        <v>11111111111</v>
      </c>
      <c r="X30">
        <v>11111111111</v>
      </c>
      <c r="Y30">
        <v>11111111111</v>
      </c>
      <c r="Z30">
        <v>11111111111</v>
      </c>
      <c r="AA30">
        <v>11111111111</v>
      </c>
      <c r="AB30" t="s">
        <v>77</v>
      </c>
      <c r="AC30">
        <v>11111111111</v>
      </c>
      <c r="AD30">
        <v>11111111111</v>
      </c>
      <c r="AE30" t="s">
        <v>223</v>
      </c>
      <c r="AF30" t="s">
        <v>224</v>
      </c>
      <c r="AG30" t="s">
        <v>81</v>
      </c>
      <c r="AH30" t="s">
        <v>82</v>
      </c>
      <c r="AI30" t="s">
        <v>225</v>
      </c>
      <c r="AJ30" t="s">
        <v>84</v>
      </c>
      <c r="AK30" t="s">
        <v>226</v>
      </c>
      <c r="AL30" t="s">
        <v>227</v>
      </c>
      <c r="AM30" t="s">
        <v>228</v>
      </c>
      <c r="AN30" t="s">
        <v>229</v>
      </c>
      <c r="AO30" t="s">
        <v>64</v>
      </c>
      <c r="AP30" t="s">
        <v>176</v>
      </c>
      <c r="AQ30" t="s">
        <v>105</v>
      </c>
      <c r="AR30" t="s">
        <v>87</v>
      </c>
      <c r="AS30" t="s">
        <v>177</v>
      </c>
      <c r="AT30" t="s">
        <v>89</v>
      </c>
      <c r="AU30" t="s">
        <v>78</v>
      </c>
      <c r="AV30" s="1">
        <v>114.54</v>
      </c>
      <c r="AW30" s="1">
        <v>508.29</v>
      </c>
      <c r="AX30" s="2">
        <v>2</v>
      </c>
      <c r="AY30" s="1">
        <v>0.22534299999999999</v>
      </c>
      <c r="AZ30" s="1">
        <v>0</v>
      </c>
      <c r="BA30" s="1">
        <f t="array" ref="BA30">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excel'!$F$2:$F$36),0),11)</f>
        <v>0</v>
      </c>
      <c r="BB30" s="1">
        <f>BA30-AZ30</f>
        <v>0</v>
      </c>
      <c r="BC30" s="1">
        <v>0</v>
      </c>
      <c r="BD30" s="1" cm="1">
        <f t="array" ref="BD30">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excel'!$F$2:$F$36),0),12)</f>
        <v>0</v>
      </c>
      <c r="BE30" s="1">
        <f>BD30-BC30</f>
        <v>0</v>
      </c>
      <c r="BF30" s="1">
        <v>0</v>
      </c>
      <c r="BG30" s="1" cm="1">
        <f t="array" ref="BG30">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excel'!$F$2:$F$36),0),13)</f>
        <v>0</v>
      </c>
      <c r="BH30" s="1">
        <f>BG30-BF30</f>
        <v>0</v>
      </c>
      <c r="BI30" s="1">
        <v>0</v>
      </c>
      <c r="BJ30" s="1" cm="1">
        <f t="array" ref="BJ30">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excel'!$F$2:$F$36),0),14)</f>
        <v>0</v>
      </c>
      <c r="BK30" s="1">
        <f>BJ30-BI30</f>
        <v>0</v>
      </c>
      <c r="BL30" s="1">
        <v>-1.7982371399999999</v>
      </c>
      <c r="BM30" s="1" cm="1">
        <f t="array" ref="BM30">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excel'!$F$2:$F$36),0),15)</f>
        <v>-1.7982435223986306</v>
      </c>
      <c r="BN30" s="7">
        <f>BM30-BL30</f>
        <v>-6.3823986307109948E-6</v>
      </c>
      <c r="BO30" s="1">
        <v>0</v>
      </c>
      <c r="BP30" s="1" cm="1">
        <f t="array" ref="BP30">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excel'!$F$2:$F$36),0),16)</f>
        <v>0</v>
      </c>
      <c r="BQ30" s="1">
        <f>BP30-BO30</f>
        <v>0</v>
      </c>
      <c r="BR30" s="1">
        <v>0.25689102000000003</v>
      </c>
      <c r="BS30" s="1" cm="1">
        <f t="array" ref="BS30">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excel'!$F$2:$F$36),0),17)</f>
        <v>0.25689193177123293</v>
      </c>
      <c r="BT30" s="8">
        <f>BS30-BR30</f>
        <v>9.1177123290320239E-7</v>
      </c>
      <c r="BU30" s="1">
        <v>0</v>
      </c>
      <c r="BV30" s="1" cm="1">
        <f t="array" ref="BV30">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excel'!$F$2:$F$36),0),18)</f>
        <v>0</v>
      </c>
      <c r="BW30" s="1">
        <f>BV30-BU30</f>
        <v>0</v>
      </c>
      <c r="BX30" s="1">
        <v>0</v>
      </c>
      <c r="BY30" s="1" cm="1">
        <f t="array" ref="BY30">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excel'!$F$2:$F$36),0),19)</f>
        <v>0</v>
      </c>
      <c r="BZ30" s="1">
        <f>BY30-BX30</f>
        <v>0</v>
      </c>
      <c r="CA30" s="1">
        <v>0.26815816999999997</v>
      </c>
      <c r="CB30" s="1" cm="1">
        <f t="array" ref="CB30">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excel'!$F$2:$F$36),0),20)</f>
        <v>0.26815912176119927</v>
      </c>
      <c r="CC30" s="8">
        <f>CB30-CA30</f>
        <v>9.5176119929707426E-7</v>
      </c>
      <c r="CD30" s="1">
        <v>97.179168749999988</v>
      </c>
      <c r="CE30" s="1" cm="1">
        <f t="array" ref="CE30">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excel'!$F$2:$F$36),0),21)</f>
        <v>97.179513663459844</v>
      </c>
      <c r="CF30" s="8">
        <f>CE30-CD30</f>
        <v>3.4491345985543376E-4</v>
      </c>
      <c r="CG30" s="1">
        <v>1017.28393234</v>
      </c>
      <c r="CH30" s="1" cm="1">
        <f t="array" ref="CH30">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excel'!$F$2:$F$36),0),22)+INDEX('Cálculo excel'!$B$2:$X$36,MATCH(1,('Exemplos Validação'!$F30='Cálculo excel'!$B$2:$B$36)*('Cálculo excel'!$C$2:$C$36='Exemplos Validação'!$H30)*('Exemplos Validação'!$I30='Cálculo excel'!$D$2:$D$36)*('Cálculo excel'!$E$2:$E$36='Exemplos Validação'!$J30)*('Exemplos Validação'!$K30='Cálculo excel'!$F$2:$F$36),0),23)</f>
        <v>1017.2875429380866</v>
      </c>
      <c r="CI30" s="8">
        <f>CH30-CG30</f>
        <v>3.6105980866523169E-3</v>
      </c>
    </row>
    <row r="31" spans="1:87" x14ac:dyDescent="0.3">
      <c r="A31" t="s">
        <v>63</v>
      </c>
      <c r="B31" t="s">
        <v>64</v>
      </c>
      <c r="C31" t="s">
        <v>65</v>
      </c>
      <c r="D31" t="s">
        <v>66</v>
      </c>
      <c r="E31" t="s">
        <v>230</v>
      </c>
      <c r="F31" t="s">
        <v>230</v>
      </c>
      <c r="G31" t="s">
        <v>230</v>
      </c>
      <c r="H31" t="s">
        <v>68</v>
      </c>
      <c r="I31" t="s">
        <v>231</v>
      </c>
      <c r="J31" t="s">
        <v>232</v>
      </c>
      <c r="K31" t="s">
        <v>97</v>
      </c>
      <c r="L31" t="s">
        <v>98</v>
      </c>
      <c r="M31" t="s">
        <v>99</v>
      </c>
      <c r="N31" t="s">
        <v>74</v>
      </c>
      <c r="O31" t="s">
        <v>75</v>
      </c>
      <c r="P31" t="s">
        <v>76</v>
      </c>
      <c r="Q31" t="s">
        <v>74</v>
      </c>
      <c r="R31" t="s">
        <v>77</v>
      </c>
      <c r="S31" t="s">
        <v>78</v>
      </c>
      <c r="T31" t="s">
        <v>77</v>
      </c>
      <c r="U31">
        <v>11111111111</v>
      </c>
      <c r="V31">
        <v>11111111111</v>
      </c>
      <c r="W31">
        <v>11111111111</v>
      </c>
      <c r="X31">
        <v>11111111111</v>
      </c>
      <c r="Y31">
        <v>11111111111</v>
      </c>
      <c r="Z31">
        <v>11111111111</v>
      </c>
      <c r="AA31">
        <v>11111111111</v>
      </c>
      <c r="AB31" t="s">
        <v>77</v>
      </c>
      <c r="AC31">
        <v>11111111111</v>
      </c>
      <c r="AD31">
        <v>11111111111</v>
      </c>
      <c r="AE31" t="s">
        <v>79</v>
      </c>
      <c r="AF31" t="s">
        <v>233</v>
      </c>
      <c r="AG31" t="s">
        <v>81</v>
      </c>
      <c r="AH31" t="s">
        <v>82</v>
      </c>
      <c r="AI31" t="s">
        <v>234</v>
      </c>
      <c r="AJ31" t="s">
        <v>84</v>
      </c>
      <c r="AK31" t="s">
        <v>85</v>
      </c>
      <c r="AL31" t="s">
        <v>85</v>
      </c>
      <c r="AM31" t="s">
        <v>235</v>
      </c>
      <c r="AN31" t="s">
        <v>236</v>
      </c>
      <c r="AO31" t="s">
        <v>64</v>
      </c>
      <c r="AP31" t="s">
        <v>77</v>
      </c>
      <c r="AQ31" t="s">
        <v>105</v>
      </c>
      <c r="AR31" t="s">
        <v>87</v>
      </c>
      <c r="AS31" t="s">
        <v>177</v>
      </c>
      <c r="AT31" t="s">
        <v>89</v>
      </c>
      <c r="AU31" t="s">
        <v>78</v>
      </c>
      <c r="AV31" s="1">
        <v>306.31</v>
      </c>
      <c r="AW31" s="1">
        <v>3012.9</v>
      </c>
      <c r="AX31" s="2">
        <v>2</v>
      </c>
      <c r="AY31" s="1">
        <v>0.10166600000000001</v>
      </c>
      <c r="AZ31" s="1">
        <v>0</v>
      </c>
      <c r="BA31" s="1">
        <f t="array" ref="BA31">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excel'!$F$2:$F$36),0),11)</f>
        <v>0</v>
      </c>
      <c r="BB31" s="1">
        <f>BA31-AZ31</f>
        <v>0</v>
      </c>
      <c r="BC31" s="1">
        <v>0</v>
      </c>
      <c r="BD31" s="1" cm="1">
        <f t="array" ref="BD31">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excel'!$F$2:$F$36),0),12)</f>
        <v>0</v>
      </c>
      <c r="BE31" s="1">
        <f>BD31-BC31</f>
        <v>0</v>
      </c>
      <c r="BF31" s="1">
        <v>0</v>
      </c>
      <c r="BG31" s="1" cm="1">
        <f t="array" ref="BG31">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excel'!$F$2:$F$36),0),13)</f>
        <v>0</v>
      </c>
      <c r="BH31" s="1">
        <f>BG31-BF31</f>
        <v>0</v>
      </c>
      <c r="BI31" s="1">
        <v>0</v>
      </c>
      <c r="BJ31" s="1" cm="1">
        <f t="array" ref="BJ31">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excel'!$F$2:$F$36),0),14)</f>
        <v>0</v>
      </c>
      <c r="BK31" s="1">
        <f>BJ31-BI31</f>
        <v>0</v>
      </c>
      <c r="BL31" s="1">
        <v>3.3803945</v>
      </c>
      <c r="BM31" s="1" cm="1">
        <f t="array" ref="BM31">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excel'!$F$2:$F$36),0),15)</f>
        <v>3.3804001128480867</v>
      </c>
      <c r="BN31" s="7">
        <f>BM31-BL31</f>
        <v>5.6128480867556618E-6</v>
      </c>
      <c r="BO31" s="1">
        <v>0</v>
      </c>
      <c r="BP31" s="1" cm="1">
        <f t="array" ref="BP31">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excel'!$F$2:$F$36),0),16)</f>
        <v>0</v>
      </c>
      <c r="BQ31" s="1">
        <f>BP31-BO31</f>
        <v>0</v>
      </c>
      <c r="BR31" s="1">
        <v>3.53391016</v>
      </c>
      <c r="BS31" s="1" cm="1">
        <f t="array" ref="BS31">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excel'!$F$2:$F$36),0),17)</f>
        <v>3.5339160277473529</v>
      </c>
      <c r="BT31" s="8">
        <f>BS31-BR31</f>
        <v>5.8677473528945256E-6</v>
      </c>
      <c r="BU31" s="1">
        <v>0</v>
      </c>
      <c r="BV31" s="1" cm="1">
        <f t="array" ref="BV31">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excel'!$F$2:$F$36),0),18)</f>
        <v>0</v>
      </c>
      <c r="BW31" s="1">
        <f>BV31-BU31</f>
        <v>0</v>
      </c>
      <c r="BX31" s="1">
        <v>0</v>
      </c>
      <c r="BY31" s="1" cm="1">
        <f t="array" ref="BY31">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excel'!$F$2:$F$36),0),19)</f>
        <v>0</v>
      </c>
      <c r="BZ31" s="1">
        <f>BY31-BX31</f>
        <v>0</v>
      </c>
      <c r="CA31" s="1">
        <v>0.67912888000000005</v>
      </c>
      <c r="CB31" s="1" cm="1">
        <f t="array" ref="CB31">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excel'!$F$2:$F$36),0),20)</f>
        <v>0.67913000763384135</v>
      </c>
      <c r="CC31" s="8">
        <f>CB31-CA31</f>
        <v>1.1276338413024334E-6</v>
      </c>
      <c r="CD31" s="1">
        <v>298.61540852000002</v>
      </c>
      <c r="CE31" s="1" cm="1">
        <f t="array" ref="CE31">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excel'!$F$2:$F$36),0),21)</f>
        <v>298.61590434465131</v>
      </c>
      <c r="CF31" s="8">
        <f>CE31-CD31</f>
        <v>4.958246512956066E-4</v>
      </c>
      <c r="CG31" s="1">
        <v>0.97065613500000003</v>
      </c>
      <c r="CH31" s="1" cm="1">
        <f t="array" ref="CH31">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excel'!$F$2:$F$36),0),22)+INDEX('Cálculo excel'!$B$2:$X$36,MATCH(1,('Exemplos Validação'!$F31='Cálculo excel'!$B$2:$B$36)*('Cálculo excel'!$C$2:$C$36='Exemplos Validação'!$H31)*('Exemplos Validação'!$I31='Cálculo excel'!$D$2:$D$36)*('Cálculo excel'!$E$2:$E$36='Exemplos Validação'!$J31)*('Exemplos Validação'!$K31='Cálculo excel'!$F$2:$F$36),0),23)</f>
        <v>0.97065774668923621</v>
      </c>
      <c r="CI31" s="8">
        <f>CH31-CG31</f>
        <v>1.6116892361806023E-6</v>
      </c>
    </row>
    <row r="32" spans="1:87" x14ac:dyDescent="0.3">
      <c r="A32" t="s">
        <v>63</v>
      </c>
      <c r="B32" t="s">
        <v>64</v>
      </c>
      <c r="C32" t="s">
        <v>65</v>
      </c>
      <c r="D32" t="s">
        <v>66</v>
      </c>
      <c r="E32" t="s">
        <v>237</v>
      </c>
      <c r="F32" t="s">
        <v>237</v>
      </c>
      <c r="G32" t="s">
        <v>237</v>
      </c>
      <c r="H32" t="s">
        <v>68</v>
      </c>
      <c r="I32" t="s">
        <v>167</v>
      </c>
      <c r="J32" t="s">
        <v>221</v>
      </c>
      <c r="K32" t="s">
        <v>97</v>
      </c>
      <c r="L32" t="s">
        <v>222</v>
      </c>
      <c r="M32" t="s">
        <v>99</v>
      </c>
      <c r="N32" t="s">
        <v>74</v>
      </c>
      <c r="O32" t="s">
        <v>75</v>
      </c>
      <c r="P32" t="s">
        <v>76</v>
      </c>
      <c r="Q32" t="s">
        <v>74</v>
      </c>
      <c r="R32" t="s">
        <v>77</v>
      </c>
      <c r="S32" t="s">
        <v>78</v>
      </c>
      <c r="T32" t="s">
        <v>77</v>
      </c>
      <c r="U32">
        <v>11111111111</v>
      </c>
      <c r="V32">
        <v>11111111111</v>
      </c>
      <c r="W32">
        <v>11111111111</v>
      </c>
      <c r="X32">
        <v>11111111111</v>
      </c>
      <c r="Y32">
        <v>11111111111</v>
      </c>
      <c r="Z32">
        <v>11111111111</v>
      </c>
      <c r="AA32">
        <v>11111111111</v>
      </c>
      <c r="AB32" t="s">
        <v>77</v>
      </c>
      <c r="AC32">
        <v>11111111111</v>
      </c>
      <c r="AD32">
        <v>11111111111</v>
      </c>
      <c r="AE32" t="s">
        <v>223</v>
      </c>
      <c r="AF32" t="s">
        <v>238</v>
      </c>
      <c r="AG32" t="s">
        <v>81</v>
      </c>
      <c r="AH32" t="s">
        <v>82</v>
      </c>
      <c r="AI32" t="s">
        <v>239</v>
      </c>
      <c r="AJ32" t="s">
        <v>84</v>
      </c>
      <c r="AK32" t="s">
        <v>85</v>
      </c>
      <c r="AL32" t="s">
        <v>85</v>
      </c>
      <c r="AM32" t="s">
        <v>240</v>
      </c>
      <c r="AN32" t="s">
        <v>241</v>
      </c>
      <c r="AO32" t="s">
        <v>64</v>
      </c>
      <c r="AP32" t="s">
        <v>77</v>
      </c>
      <c r="AQ32" t="s">
        <v>105</v>
      </c>
      <c r="AR32" t="s">
        <v>87</v>
      </c>
      <c r="AS32" t="s">
        <v>177</v>
      </c>
      <c r="AT32" t="s">
        <v>89</v>
      </c>
      <c r="AU32" t="s">
        <v>78</v>
      </c>
      <c r="AV32" s="1">
        <v>393.75</v>
      </c>
      <c r="AW32" s="1">
        <v>508.29</v>
      </c>
      <c r="AX32" s="2">
        <v>2</v>
      </c>
      <c r="AY32" s="1">
        <v>0.77465600000000001</v>
      </c>
      <c r="AZ32" s="1">
        <v>0</v>
      </c>
      <c r="BA32" s="1">
        <f t="array" ref="BA32">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excel'!$F$2:$F$36),0),11)</f>
        <v>0</v>
      </c>
      <c r="BB32" s="1">
        <f>BA32-AZ32</f>
        <v>0</v>
      </c>
      <c r="BC32" s="1">
        <v>0</v>
      </c>
      <c r="BD32" s="1" cm="1">
        <f t="array" ref="BD32">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excel'!$F$2:$F$36),0),12)</f>
        <v>0</v>
      </c>
      <c r="BE32" s="1">
        <f>BD32-BC32</f>
        <v>0</v>
      </c>
      <c r="BF32" s="1">
        <v>0</v>
      </c>
      <c r="BG32" s="1" cm="1">
        <f t="array" ref="BG32">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excel'!$F$2:$F$36),0),13)</f>
        <v>0</v>
      </c>
      <c r="BH32" s="1">
        <f>BG32-BF32</f>
        <v>0</v>
      </c>
      <c r="BI32" s="1">
        <v>0</v>
      </c>
      <c r="BJ32" s="1" cm="1">
        <f t="array" ref="BJ32">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excel'!$F$2:$F$36),0),14)</f>
        <v>0</v>
      </c>
      <c r="BK32" s="1">
        <f>BJ32-BI32</f>
        <v>0</v>
      </c>
      <c r="BL32" s="1">
        <v>-6.1817548800000006</v>
      </c>
      <c r="BM32" s="1" cm="1">
        <f t="array" ref="BM32">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excel'!$F$2:$F$36),0),15)</f>
        <v>-6.1817564776013683</v>
      </c>
      <c r="BN32" s="7">
        <f>BM32-BL32</f>
        <v>-1.5976013676421985E-6</v>
      </c>
      <c r="BO32" s="1">
        <v>0</v>
      </c>
      <c r="BP32" s="1" cm="1">
        <f t="array" ref="BP32">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excel'!$F$2:$F$36),0),16)</f>
        <v>0</v>
      </c>
      <c r="BQ32" s="1">
        <f>BP32-BO32</f>
        <v>0</v>
      </c>
      <c r="BR32" s="1">
        <v>0.88310783999999998</v>
      </c>
      <c r="BS32" s="1" cm="1">
        <f t="array" ref="BS32">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excel'!$F$2:$F$36),0),17)</f>
        <v>0.88310806822876697</v>
      </c>
      <c r="BT32" s="8">
        <f>BS32-BR32</f>
        <v>2.2822876699635231E-7</v>
      </c>
      <c r="BU32" s="1">
        <v>0</v>
      </c>
      <c r="BV32" s="1" cm="1">
        <f t="array" ref="BV32">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excel'!$F$2:$F$36),0),18)</f>
        <v>0</v>
      </c>
      <c r="BW32" s="1">
        <f>BV32-BU32</f>
        <v>0</v>
      </c>
      <c r="BX32" s="1">
        <v>0</v>
      </c>
      <c r="BY32" s="1" cm="1">
        <f t="array" ref="BY32">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excel'!$F$2:$F$36),0),19)</f>
        <v>0</v>
      </c>
      <c r="BZ32" s="1">
        <f>BY32-BX32</f>
        <v>0</v>
      </c>
      <c r="CA32" s="1">
        <v>0.92184063999999999</v>
      </c>
      <c r="CB32" s="1" cm="1">
        <f t="array" ref="CB32">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excel'!$F$2:$F$36),0),20)</f>
        <v>0.92184087823880045</v>
      </c>
      <c r="CC32" s="8">
        <f>CB32-CA32</f>
        <v>2.3823880046514034E-7</v>
      </c>
      <c r="CD32" s="1">
        <v>334.07040000000001</v>
      </c>
      <c r="CE32" s="1" cm="1">
        <f t="array" ref="CE32">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excel'!$F$2:$F$36),0),21)</f>
        <v>334.07048633654017</v>
      </c>
      <c r="CF32" s="8">
        <f>CE32-CD32</f>
        <v>8.6336540164211328E-5</v>
      </c>
      <c r="CG32" s="1">
        <v>3497.09155328</v>
      </c>
      <c r="CH32" s="1" cm="1">
        <f t="array" ref="CH32">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excel'!$F$2:$F$36),0),22)+INDEX('Cálculo excel'!$B$2:$X$36,MATCH(1,('Exemplos Validação'!$F32='Cálculo excel'!$B$2:$B$36)*('Cálculo excel'!$C$2:$C$36='Exemplos Validação'!$H32)*('Exemplos Validação'!$I32='Cálculo excel'!$D$2:$D$36)*('Cálculo excel'!$E$2:$E$36='Exemplos Validação'!$J32)*('Exemplos Validação'!$K32='Cálculo excel'!$F$2:$F$36),0),23)</f>
        <v>3497.0924570619136</v>
      </c>
      <c r="CI32" s="8">
        <f>CH32-CG32</f>
        <v>9.0378191362106008E-4</v>
      </c>
    </row>
    <row r="33" spans="1:87" x14ac:dyDescent="0.3">
      <c r="A33" t="s">
        <v>63</v>
      </c>
      <c r="B33" t="s">
        <v>64</v>
      </c>
      <c r="C33" t="s">
        <v>65</v>
      </c>
      <c r="D33" t="s">
        <v>66</v>
      </c>
      <c r="E33" t="s">
        <v>242</v>
      </c>
      <c r="F33" t="s">
        <v>242</v>
      </c>
      <c r="G33" t="s">
        <v>242</v>
      </c>
      <c r="H33" t="s">
        <v>68</v>
      </c>
      <c r="I33" t="s">
        <v>167</v>
      </c>
      <c r="J33" t="s">
        <v>168</v>
      </c>
      <c r="K33" t="s">
        <v>97</v>
      </c>
      <c r="L33" t="s">
        <v>98</v>
      </c>
      <c r="M33" t="s">
        <v>99</v>
      </c>
      <c r="N33" t="s">
        <v>74</v>
      </c>
      <c r="O33" t="s">
        <v>75</v>
      </c>
      <c r="P33" t="s">
        <v>76</v>
      </c>
      <c r="Q33" t="s">
        <v>74</v>
      </c>
      <c r="R33" t="s">
        <v>77</v>
      </c>
      <c r="S33" t="s">
        <v>78</v>
      </c>
      <c r="T33" t="s">
        <v>77</v>
      </c>
      <c r="U33">
        <v>11111111111</v>
      </c>
      <c r="V33">
        <v>11111111111</v>
      </c>
      <c r="W33">
        <v>11111111111</v>
      </c>
      <c r="X33">
        <v>11111111111</v>
      </c>
      <c r="Y33">
        <v>11111111111</v>
      </c>
      <c r="Z33">
        <v>11111111111</v>
      </c>
      <c r="AA33">
        <v>11111111111</v>
      </c>
      <c r="AB33" t="s">
        <v>77</v>
      </c>
      <c r="AC33">
        <v>11111111111</v>
      </c>
      <c r="AD33">
        <v>11111111111</v>
      </c>
      <c r="AE33" t="s">
        <v>169</v>
      </c>
      <c r="AF33" t="s">
        <v>243</v>
      </c>
      <c r="AG33" t="s">
        <v>81</v>
      </c>
      <c r="AH33" t="s">
        <v>82</v>
      </c>
      <c r="AI33" t="s">
        <v>244</v>
      </c>
      <c r="AJ33" t="s">
        <v>84</v>
      </c>
      <c r="AK33" t="s">
        <v>85</v>
      </c>
      <c r="AL33" t="s">
        <v>85</v>
      </c>
      <c r="AM33" t="s">
        <v>245</v>
      </c>
      <c r="AN33" t="s">
        <v>246</v>
      </c>
      <c r="AO33" t="s">
        <v>64</v>
      </c>
      <c r="AP33" t="s">
        <v>77</v>
      </c>
      <c r="AQ33" t="s">
        <v>105</v>
      </c>
      <c r="AR33" t="s">
        <v>87</v>
      </c>
      <c r="AS33" t="s">
        <v>177</v>
      </c>
      <c r="AT33" t="s">
        <v>89</v>
      </c>
      <c r="AU33" t="s">
        <v>78</v>
      </c>
      <c r="AV33" s="1">
        <v>445.54</v>
      </c>
      <c r="AW33" s="1">
        <v>1277.92</v>
      </c>
      <c r="AX33" s="2">
        <v>2</v>
      </c>
      <c r="AY33" s="1">
        <v>0.34864400000000001</v>
      </c>
      <c r="AZ33" s="1">
        <v>0</v>
      </c>
      <c r="BA33" s="1">
        <f t="array" ref="BA33">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excel'!$F$2:$F$36),0),11)</f>
        <v>0</v>
      </c>
      <c r="BB33" s="1">
        <f>BA33-AZ33</f>
        <v>0</v>
      </c>
      <c r="BC33" s="1">
        <v>0</v>
      </c>
      <c r="BD33" s="1" cm="1">
        <f t="array" ref="BD33">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excel'!$F$2:$F$36),0),12)</f>
        <v>0</v>
      </c>
      <c r="BE33" s="1">
        <f>BD33-BC33</f>
        <v>0</v>
      </c>
      <c r="BF33" s="1">
        <v>0</v>
      </c>
      <c r="BG33" s="1" cm="1">
        <f t="array" ref="BG33">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excel'!$F$2:$F$36),0),13)</f>
        <v>0</v>
      </c>
      <c r="BH33" s="1">
        <f>BG33-BF33</f>
        <v>0</v>
      </c>
      <c r="BI33" s="1">
        <v>0</v>
      </c>
      <c r="BJ33" s="1" cm="1">
        <f t="array" ref="BJ33">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excel'!$F$2:$F$36),0),14)</f>
        <v>0</v>
      </c>
      <c r="BK33" s="1">
        <f>BJ33-BI33</f>
        <v>0</v>
      </c>
      <c r="BL33" s="1">
        <v>-0.37304907999999998</v>
      </c>
      <c r="BM33" s="1" cm="1">
        <f t="array" ref="BM33">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excel'!$F$2:$F$36),0),15)</f>
        <v>-0.37304979967447111</v>
      </c>
      <c r="BN33" s="7">
        <f>BM33-BL33</f>
        <v>-7.1967447112797345E-7</v>
      </c>
      <c r="BO33" s="1">
        <v>0</v>
      </c>
      <c r="BP33" s="1" cm="1">
        <f t="array" ref="BP33">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excel'!$F$2:$F$36),0),16)</f>
        <v>0</v>
      </c>
      <c r="BQ33" s="1">
        <f>BP33-BO33</f>
        <v>0</v>
      </c>
      <c r="BR33" s="1">
        <v>17.090528880000001</v>
      </c>
      <c r="BS33" s="1" cm="1">
        <f t="array" ref="BS33">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excel'!$F$2:$F$36),0),17)</f>
        <v>17.090561850507076</v>
      </c>
      <c r="BT33" s="8">
        <f>BS33-BR33</f>
        <v>3.2970507074736588E-5</v>
      </c>
      <c r="BU33" s="1">
        <v>0</v>
      </c>
      <c r="BV33" s="1" cm="1">
        <f t="array" ref="BV33">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excel'!$F$2:$F$36),0),18)</f>
        <v>0</v>
      </c>
      <c r="BW33" s="1">
        <f>BV33-BU33</f>
        <v>0</v>
      </c>
      <c r="BX33" s="1">
        <v>0</v>
      </c>
      <c r="BY33" s="1" cm="1">
        <f t="array" ref="BY33">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excel'!$F$2:$F$36),0),19)</f>
        <v>0</v>
      </c>
      <c r="BZ33" s="1">
        <f>BY33-BX33</f>
        <v>0</v>
      </c>
      <c r="CA33" s="1">
        <v>0.59269479999999997</v>
      </c>
      <c r="CB33" s="1" cm="1">
        <f t="array" ref="CB33">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excel'!$F$2:$F$36),0),20)</f>
        <v>0.59269594340803844</v>
      </c>
      <c r="CC33" s="8">
        <f>CB33-CA33</f>
        <v>1.143408038473126E-6</v>
      </c>
      <c r="CD33" s="1">
        <v>699.43216060000009</v>
      </c>
      <c r="CE33" s="1" cm="1">
        <f t="array" ref="CE33">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excel'!$F$2:$F$36),0),21)</f>
        <v>699.4335099223739</v>
      </c>
      <c r="CF33" s="8">
        <f>CE33-CD33</f>
        <v>1.3493223738123561E-3</v>
      </c>
      <c r="CG33" s="1">
        <v>658.63732616000004</v>
      </c>
      <c r="CH33" s="1" cm="1">
        <f t="array" ref="CH33">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excel'!$F$2:$F$36),0),22)+INDEX('Cálculo excel'!$B$2:$X$36,MATCH(1,('Exemplos Validação'!$F33='Cálculo excel'!$B$2:$B$36)*('Cálculo excel'!$C$2:$C$36='Exemplos Validação'!$H33)*('Exemplos Validação'!$I33='Cálculo excel'!$D$2:$D$36)*('Cálculo excel'!$E$2:$E$36='Exemplos Validação'!$J33)*('Exemplos Validação'!$K33='Cálculo excel'!$F$2:$F$36),0),23)</f>
        <v>658.63859678227118</v>
      </c>
      <c r="CI33" s="8">
        <f>CH33-CG33</f>
        <v>1.270622271135835E-3</v>
      </c>
    </row>
    <row r="34" spans="1:87" x14ac:dyDescent="0.3">
      <c r="A34" t="s">
        <v>63</v>
      </c>
      <c r="B34" t="s">
        <v>64</v>
      </c>
      <c r="C34" t="s">
        <v>65</v>
      </c>
      <c r="D34" t="s">
        <v>66</v>
      </c>
      <c r="E34" t="s">
        <v>247</v>
      </c>
      <c r="F34" t="s">
        <v>247</v>
      </c>
      <c r="G34" t="s">
        <v>247</v>
      </c>
      <c r="H34" t="s">
        <v>68</v>
      </c>
      <c r="I34" t="s">
        <v>69</v>
      </c>
      <c r="J34" t="s">
        <v>70</v>
      </c>
      <c r="K34" t="s">
        <v>71</v>
      </c>
      <c r="L34" t="s">
        <v>72</v>
      </c>
      <c r="M34" t="s">
        <v>73</v>
      </c>
      <c r="N34" t="s">
        <v>74</v>
      </c>
      <c r="O34" t="s">
        <v>75</v>
      </c>
      <c r="P34" t="s">
        <v>76</v>
      </c>
      <c r="Q34" t="s">
        <v>74</v>
      </c>
      <c r="R34" t="s">
        <v>77</v>
      </c>
      <c r="S34" t="s">
        <v>78</v>
      </c>
      <c r="T34" t="s">
        <v>77</v>
      </c>
      <c r="U34">
        <v>11111111111</v>
      </c>
      <c r="V34">
        <v>11111111111</v>
      </c>
      <c r="W34">
        <v>11111111111</v>
      </c>
      <c r="X34">
        <v>11111111111</v>
      </c>
      <c r="Y34">
        <v>11111111111</v>
      </c>
      <c r="Z34">
        <v>11111111111</v>
      </c>
      <c r="AA34">
        <v>11111111111</v>
      </c>
      <c r="AB34" t="s">
        <v>77</v>
      </c>
      <c r="AC34">
        <v>11111111111</v>
      </c>
      <c r="AD34">
        <v>11111111111</v>
      </c>
      <c r="AE34" t="s">
        <v>79</v>
      </c>
      <c r="AF34" t="s">
        <v>248</v>
      </c>
      <c r="AG34" t="s">
        <v>81</v>
      </c>
      <c r="AH34" t="s">
        <v>82</v>
      </c>
      <c r="AI34" t="s">
        <v>249</v>
      </c>
      <c r="AJ34" t="s">
        <v>84</v>
      </c>
      <c r="AK34" t="s">
        <v>85</v>
      </c>
      <c r="AL34" t="s">
        <v>85</v>
      </c>
      <c r="AM34" t="s">
        <v>85</v>
      </c>
      <c r="AN34" t="s">
        <v>85</v>
      </c>
      <c r="AO34" t="s">
        <v>64</v>
      </c>
      <c r="AP34" t="s">
        <v>77</v>
      </c>
      <c r="AQ34" t="s">
        <v>86</v>
      </c>
      <c r="AR34" t="s">
        <v>87</v>
      </c>
      <c r="AS34" t="s">
        <v>88</v>
      </c>
      <c r="AT34" t="s">
        <v>89</v>
      </c>
      <c r="AU34" t="s">
        <v>78</v>
      </c>
      <c r="AV34" s="1">
        <v>38777.910000000003</v>
      </c>
      <c r="AW34" s="1">
        <v>929165.44</v>
      </c>
      <c r="AX34" s="2">
        <v>21</v>
      </c>
      <c r="AY34" s="1">
        <v>4.1734E-2</v>
      </c>
      <c r="AZ34" s="1">
        <v>0</v>
      </c>
      <c r="BA34" s="1">
        <f t="array" ref="BA34">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excel'!$F$2:$F$36),0),11)</f>
        <v>0</v>
      </c>
      <c r="BB34" s="1">
        <f>BA34-AZ34</f>
        <v>0</v>
      </c>
      <c r="BC34" s="1">
        <v>0</v>
      </c>
      <c r="BD34" s="1" cm="1">
        <f t="array" ref="BD34">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excel'!$F$2:$F$36),0),12)</f>
        <v>0</v>
      </c>
      <c r="BE34" s="1">
        <f>BD34-BC34</f>
        <v>0</v>
      </c>
      <c r="BF34" s="1">
        <v>0</v>
      </c>
      <c r="BG34" s="1" cm="1">
        <f t="array" ref="BG34">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excel'!$F$2:$F$36),0),13)</f>
        <v>0</v>
      </c>
      <c r="BH34" s="1">
        <f>BG34-BF34</f>
        <v>0</v>
      </c>
      <c r="BI34" s="1">
        <v>0</v>
      </c>
      <c r="BJ34" s="1" cm="1">
        <f t="array" ref="BJ34">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excel'!$F$2:$F$36),0),14)</f>
        <v>0</v>
      </c>
      <c r="BK34" s="1">
        <f>BJ34-BI34</f>
        <v>0</v>
      </c>
      <c r="BL34" s="1">
        <v>0</v>
      </c>
      <c r="BM34" s="1" cm="1">
        <f t="array" ref="BM34">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excel'!$F$2:$F$36),0),15)</f>
        <v>0</v>
      </c>
      <c r="BN34" s="7">
        <f>BM34-BL34</f>
        <v>0</v>
      </c>
      <c r="BO34" s="1">
        <v>0</v>
      </c>
      <c r="BP34" s="1" cm="1">
        <f t="array" ref="BP34">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excel'!$F$2:$F$36),0),16)</f>
        <v>0</v>
      </c>
      <c r="BQ34" s="1">
        <f>BP34-BO34</f>
        <v>0</v>
      </c>
      <c r="BR34" s="1">
        <v>0</v>
      </c>
      <c r="BS34" s="1" cm="1">
        <f t="array" ref="BS34">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excel'!$F$2:$F$36),0),17)</f>
        <v>0</v>
      </c>
      <c r="BT34" s="8">
        <f>BS34-BR34</f>
        <v>0</v>
      </c>
      <c r="BU34" s="1">
        <v>0</v>
      </c>
      <c r="BV34" s="1" cm="1">
        <f t="array" ref="BV34">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excel'!$F$2:$F$36),0),18)</f>
        <v>0</v>
      </c>
      <c r="BW34" s="1">
        <f>BV34-BU34</f>
        <v>0</v>
      </c>
      <c r="BX34" s="1">
        <v>0</v>
      </c>
      <c r="BY34" s="1" cm="1">
        <f t="array" ref="BY34">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excel'!$F$2:$F$36),0),19)</f>
        <v>0</v>
      </c>
      <c r="BZ34" s="1">
        <f>BY34-BX34</f>
        <v>0</v>
      </c>
      <c r="CA34" s="1">
        <v>0</v>
      </c>
      <c r="CB34" s="1" cm="1">
        <f t="array" ref="CB34">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excel'!$F$2:$F$36),0),20)</f>
        <v>0</v>
      </c>
      <c r="CC34" s="8">
        <f>CB34-CA34</f>
        <v>0</v>
      </c>
      <c r="CD34" s="1">
        <v>0</v>
      </c>
      <c r="CE34" s="1" cm="1">
        <f t="array" ref="CE34">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excel'!$F$2:$F$36),0),21)</f>
        <v>0</v>
      </c>
      <c r="CF34" s="8">
        <f>CE34-CD34</f>
        <v>0</v>
      </c>
      <c r="CG34" s="1">
        <v>0</v>
      </c>
      <c r="CH34" s="1" cm="1">
        <f t="array" ref="CH34">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excel'!$F$2:$F$36),0),22)+INDEX('Cálculo excel'!$B$2:$X$36,MATCH(1,('Exemplos Validação'!$F34='Cálculo excel'!$B$2:$B$36)*('Cálculo excel'!$C$2:$C$36='Exemplos Validação'!$H34)*('Exemplos Validação'!$I34='Cálculo excel'!$D$2:$D$36)*('Cálculo excel'!$E$2:$E$36='Exemplos Validação'!$J34)*('Exemplos Validação'!$K34='Cálculo excel'!$F$2:$F$36),0),23)</f>
        <v>0</v>
      </c>
      <c r="CI34" s="8">
        <f>CH34-CG34</f>
        <v>0</v>
      </c>
    </row>
    <row r="35" spans="1:87" x14ac:dyDescent="0.3">
      <c r="A35" t="s">
        <v>63</v>
      </c>
      <c r="B35" t="s">
        <v>64</v>
      </c>
      <c r="C35" t="s">
        <v>65</v>
      </c>
      <c r="D35" t="s">
        <v>66</v>
      </c>
      <c r="E35" t="s">
        <v>250</v>
      </c>
      <c r="F35" t="s">
        <v>250</v>
      </c>
      <c r="G35" t="s">
        <v>250</v>
      </c>
      <c r="H35" t="s">
        <v>68</v>
      </c>
      <c r="I35" t="s">
        <v>231</v>
      </c>
      <c r="J35" t="s">
        <v>232</v>
      </c>
      <c r="K35" t="s">
        <v>97</v>
      </c>
      <c r="L35" t="s">
        <v>98</v>
      </c>
      <c r="M35" t="s">
        <v>99</v>
      </c>
      <c r="N35" t="s">
        <v>74</v>
      </c>
      <c r="O35" t="s">
        <v>75</v>
      </c>
      <c r="P35" t="s">
        <v>76</v>
      </c>
      <c r="Q35" t="s">
        <v>74</v>
      </c>
      <c r="R35" t="s">
        <v>77</v>
      </c>
      <c r="S35" t="s">
        <v>78</v>
      </c>
      <c r="T35" t="s">
        <v>77</v>
      </c>
      <c r="U35">
        <v>11111111111</v>
      </c>
      <c r="V35">
        <v>11111111111</v>
      </c>
      <c r="W35">
        <v>11111111111</v>
      </c>
      <c r="X35">
        <v>11111111111</v>
      </c>
      <c r="Y35">
        <v>11111111111</v>
      </c>
      <c r="Z35">
        <v>11111111111</v>
      </c>
      <c r="AA35">
        <v>11111111111</v>
      </c>
      <c r="AB35" t="s">
        <v>77</v>
      </c>
      <c r="AC35">
        <v>11111111111</v>
      </c>
      <c r="AD35">
        <v>11111111111</v>
      </c>
      <c r="AE35" t="s">
        <v>79</v>
      </c>
      <c r="AF35" t="s">
        <v>251</v>
      </c>
      <c r="AG35" t="s">
        <v>81</v>
      </c>
      <c r="AH35" t="s">
        <v>82</v>
      </c>
      <c r="AI35" t="s">
        <v>252</v>
      </c>
      <c r="AJ35" t="s">
        <v>84</v>
      </c>
      <c r="AK35" t="s">
        <v>85</v>
      </c>
      <c r="AL35" t="s">
        <v>85</v>
      </c>
      <c r="AM35" t="s">
        <v>253</v>
      </c>
      <c r="AN35" t="s">
        <v>254</v>
      </c>
      <c r="AO35" t="s">
        <v>64</v>
      </c>
      <c r="AP35" t="s">
        <v>77</v>
      </c>
      <c r="AQ35" t="s">
        <v>105</v>
      </c>
      <c r="AR35" t="s">
        <v>87</v>
      </c>
      <c r="AS35" t="s">
        <v>177</v>
      </c>
      <c r="AT35" t="s">
        <v>89</v>
      </c>
      <c r="AU35" t="s">
        <v>78</v>
      </c>
      <c r="AV35" s="1">
        <v>2706.59</v>
      </c>
      <c r="AW35" s="1">
        <v>3012.9</v>
      </c>
      <c r="AX35" s="2">
        <v>2</v>
      </c>
      <c r="AY35" s="1">
        <v>0.89833300000000005</v>
      </c>
      <c r="AZ35" s="1">
        <v>0</v>
      </c>
      <c r="BA35" s="1">
        <f t="array" ref="BA35">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excel'!$F$2:$F$36),0),11)</f>
        <v>0</v>
      </c>
      <c r="BB35" s="1">
        <f>BA35-AZ35</f>
        <v>0</v>
      </c>
      <c r="BC35" s="1">
        <v>0</v>
      </c>
      <c r="BD35" s="1" cm="1">
        <f t="array" ref="BD35">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excel'!$F$2:$F$36),0),12)</f>
        <v>0</v>
      </c>
      <c r="BE35" s="1">
        <f>BD35-BC35</f>
        <v>0</v>
      </c>
      <c r="BF35" s="1">
        <v>0</v>
      </c>
      <c r="BG35" s="1" cm="1">
        <f t="array" ref="BG35">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excel'!$F$2:$F$36),0),13)</f>
        <v>0</v>
      </c>
      <c r="BH35" s="1">
        <f>BG35-BF35</f>
        <v>0</v>
      </c>
      <c r="BI35" s="1">
        <v>0</v>
      </c>
      <c r="BJ35" s="1" cm="1">
        <f t="array" ref="BJ35">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excel'!$F$2:$F$36),0),14)</f>
        <v>0</v>
      </c>
      <c r="BK35" s="1">
        <f>BJ35-BI35</f>
        <v>0</v>
      </c>
      <c r="BL35" s="1">
        <v>29.869572250000001</v>
      </c>
      <c r="BM35" s="1" cm="1">
        <f t="array" ref="BM35">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excel'!$F$2:$F$36),0),15)</f>
        <v>29.869599887151914</v>
      </c>
      <c r="BN35" s="7">
        <f>BM35-BL35</f>
        <v>2.763715191278493E-5</v>
      </c>
      <c r="BO35" s="1">
        <v>0</v>
      </c>
      <c r="BP35" s="1" cm="1">
        <f t="array" ref="BP35">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excel'!$F$2:$F$36),0),16)</f>
        <v>0</v>
      </c>
      <c r="BQ35" s="1">
        <f>BP35-BO35</f>
        <v>0</v>
      </c>
      <c r="BR35" s="1">
        <v>31.226055079999998</v>
      </c>
      <c r="BS35" s="1" cm="1">
        <f t="array" ref="BS35">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excel'!$F$2:$F$36),0),17)</f>
        <v>31.226083972252646</v>
      </c>
      <c r="BT35" s="8">
        <f>BS35-BR35</f>
        <v>2.8892252647239047E-5</v>
      </c>
      <c r="BU35" s="1">
        <v>0</v>
      </c>
      <c r="BV35" s="1" cm="1">
        <f t="array" ref="BV35">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excel'!$F$2:$F$36),0),18)</f>
        <v>0</v>
      </c>
      <c r="BW35" s="1">
        <f>BV35-BU35</f>
        <v>0</v>
      </c>
      <c r="BX35" s="1">
        <v>0</v>
      </c>
      <c r="BY35" s="1" cm="1">
        <f t="array" ref="BY35">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excel'!$F$2:$F$36),0),19)</f>
        <v>0</v>
      </c>
      <c r="BZ35" s="1">
        <f>BY35-BX35</f>
        <v>0</v>
      </c>
      <c r="CA35" s="1">
        <v>6.00086444</v>
      </c>
      <c r="CB35" s="1" cm="1">
        <f t="array" ref="CB35">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excel'!$F$2:$F$36),0),20)</f>
        <v>6.0008699923661597</v>
      </c>
      <c r="CC35" s="8">
        <f>CB35-CA35</f>
        <v>5.552366159733424E-6</v>
      </c>
      <c r="CD35" s="1">
        <v>2638.60165426</v>
      </c>
      <c r="CE35" s="1" cm="1">
        <f t="array" ref="CE35">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excel'!$F$2:$F$36),0),21)</f>
        <v>2638.6040956553484</v>
      </c>
      <c r="CF35" s="8">
        <f>CE35-CD35</f>
        <v>2.4413953483417572E-3</v>
      </c>
      <c r="CG35" s="1">
        <v>8.5768343174999995</v>
      </c>
      <c r="CH35" s="1" cm="1">
        <f t="array" ref="CH35">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excel'!$F$2:$F$36),0),22)+INDEX('Cálculo excel'!$B$2:$X$36,MATCH(1,('Exemplos Validação'!$F35='Cálculo excel'!$B$2:$B$36)*('Cálculo excel'!$C$2:$C$36='Exemplos Validação'!$H35)*('Exemplos Validação'!$I35='Cálculo excel'!$D$2:$D$36)*('Cálculo excel'!$E$2:$E$36='Exemplos Validação'!$J35)*('Exemplos Validação'!$K35='Cálculo excel'!$F$2:$F$36),0),23)</f>
        <v>8.5768422533107636</v>
      </c>
      <c r="CI35" s="8">
        <f>CH35-CG35</f>
        <v>7.9358107640814524E-6</v>
      </c>
    </row>
  </sheetData>
  <autoFilter ref="A1:CG35" xr:uid="{00000000-0001-0000-0000-000000000000}"/>
  <conditionalFormatting sqref="BB2:BB35">
    <cfRule type="cellIs" dxfId="23" priority="23" operator="notEqual">
      <formula>0</formula>
    </cfRule>
    <cfRule type="cellIs" dxfId="22" priority="24" operator="equal">
      <formula>0</formula>
    </cfRule>
  </conditionalFormatting>
  <conditionalFormatting sqref="BE2:BE35">
    <cfRule type="cellIs" dxfId="21" priority="21" operator="notEqual">
      <formula>0</formula>
    </cfRule>
    <cfRule type="cellIs" dxfId="20" priority="22" operator="equal">
      <formula>0</formula>
    </cfRule>
  </conditionalFormatting>
  <conditionalFormatting sqref="BH2:BH35">
    <cfRule type="cellIs" dxfId="19" priority="19" operator="notEqual">
      <formula>0</formula>
    </cfRule>
    <cfRule type="cellIs" dxfId="18" priority="20" operator="equal">
      <formula>0</formula>
    </cfRule>
  </conditionalFormatting>
  <conditionalFormatting sqref="BK2:BK35">
    <cfRule type="cellIs" dxfId="17" priority="17" operator="notEqual">
      <formula>0</formula>
    </cfRule>
    <cfRule type="cellIs" dxfId="16" priority="18" operator="equal">
      <formula>0</formula>
    </cfRule>
  </conditionalFormatting>
  <conditionalFormatting sqref="BN2:BN35">
    <cfRule type="cellIs" dxfId="15" priority="15" operator="notEqual">
      <formula>0</formula>
    </cfRule>
    <cfRule type="cellIs" dxfId="14" priority="16" operator="equal">
      <formula>0</formula>
    </cfRule>
  </conditionalFormatting>
  <conditionalFormatting sqref="BQ2:BQ35">
    <cfRule type="cellIs" dxfId="13" priority="13" operator="notEqual">
      <formula>0</formula>
    </cfRule>
    <cfRule type="cellIs" dxfId="12" priority="14" operator="equal">
      <formula>0</formula>
    </cfRule>
  </conditionalFormatting>
  <conditionalFormatting sqref="BT2:BT35">
    <cfRule type="cellIs" dxfId="11" priority="11" operator="notEqual">
      <formula>0</formula>
    </cfRule>
    <cfRule type="cellIs" dxfId="10" priority="12" operator="equal">
      <formula>0</formula>
    </cfRule>
  </conditionalFormatting>
  <conditionalFormatting sqref="BW2:BW35">
    <cfRule type="cellIs" dxfId="9" priority="9" operator="notEqual">
      <formula>0</formula>
    </cfRule>
    <cfRule type="cellIs" dxfId="8" priority="10" operator="equal">
      <formula>0</formula>
    </cfRule>
  </conditionalFormatting>
  <conditionalFormatting sqref="BZ2:BZ35">
    <cfRule type="cellIs" dxfId="7" priority="7" operator="notEqual">
      <formula>0</formula>
    </cfRule>
    <cfRule type="cellIs" dxfId="6" priority="8" operator="equal">
      <formula>0</formula>
    </cfRule>
  </conditionalFormatting>
  <conditionalFormatting sqref="CC2:CC35">
    <cfRule type="cellIs" dxfId="5" priority="5" operator="notEqual">
      <formula>0</formula>
    </cfRule>
    <cfRule type="cellIs" dxfId="4" priority="6" operator="equal">
      <formula>0</formula>
    </cfRule>
  </conditionalFormatting>
  <conditionalFormatting sqref="CF2:CF35">
    <cfRule type="cellIs" dxfId="3" priority="3" operator="notEqual">
      <formula>0</formula>
    </cfRule>
    <cfRule type="cellIs" dxfId="2" priority="4" operator="equal">
      <formula>0</formula>
    </cfRule>
  </conditionalFormatting>
  <conditionalFormatting sqref="CI2:CI35">
    <cfRule type="cellIs" dxfId="1" priority="1" operator="notEqual">
      <formula>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E7A0-9135-4394-BAC8-68972DE13CBE}">
  <dimension ref="B1:X36"/>
  <sheetViews>
    <sheetView workbookViewId="0">
      <pane xSplit="7" ySplit="2" topLeftCell="P3" activePane="bottomRight" state="frozen"/>
      <selection pane="topRight" activeCell="H1" sqref="H1"/>
      <selection pane="bottomLeft" activeCell="A3" sqref="A3"/>
      <selection pane="bottomRight" activeCell="V2" sqref="V2"/>
    </sheetView>
  </sheetViews>
  <sheetFormatPr defaultRowHeight="14.4" x14ac:dyDescent="0.3"/>
  <cols>
    <col min="2" max="2" width="33.6640625" bestFit="1" customWidth="1"/>
    <col min="3" max="3" width="8" bestFit="1" customWidth="1"/>
    <col min="4" max="4" width="8.21875" bestFit="1" customWidth="1"/>
    <col min="5" max="5" width="12" bestFit="1" customWidth="1"/>
    <col min="6" max="6" width="16.109375" bestFit="1" customWidth="1"/>
    <col min="7" max="7" width="10" bestFit="1" customWidth="1"/>
    <col min="8" max="8" width="11.44140625" bestFit="1" customWidth="1"/>
    <col min="9" max="9" width="10.6640625" bestFit="1" customWidth="1"/>
    <col min="10" max="10" width="11.44140625" bestFit="1" customWidth="1"/>
    <col min="11" max="11" width="10.5546875" bestFit="1" customWidth="1"/>
    <col min="12" max="12" width="16.6640625" bestFit="1" customWidth="1"/>
    <col min="13" max="13" width="24.6640625" bestFit="1" customWidth="1"/>
    <col min="14" max="14" width="17.5546875" bestFit="1" customWidth="1"/>
    <col min="15" max="15" width="25.5546875" bestFit="1" customWidth="1"/>
    <col min="16" max="16" width="13.5546875" bestFit="1" customWidth="1"/>
    <col min="17" max="17" width="21.5546875" bestFit="1" customWidth="1"/>
    <col min="18" max="18" width="14.33203125" bestFit="1" customWidth="1"/>
    <col min="19" max="19" width="15.109375" bestFit="1" customWidth="1"/>
    <col min="20" max="20" width="29.109375" bestFit="1" customWidth="1"/>
    <col min="21" max="21" width="13.109375" bestFit="1" customWidth="1"/>
    <col min="22" max="22" width="11.88671875" customWidth="1"/>
    <col min="23" max="24" width="16.6640625" bestFit="1" customWidth="1"/>
  </cols>
  <sheetData>
    <row r="1" spans="2:24" x14ac:dyDescent="0.3">
      <c r="W1" t="s">
        <v>341</v>
      </c>
      <c r="X1" t="s">
        <v>342</v>
      </c>
    </row>
    <row r="2" spans="2:24" x14ac:dyDescent="0.3">
      <c r="B2" t="s">
        <v>5</v>
      </c>
      <c r="C2" t="s">
        <v>7</v>
      </c>
      <c r="D2" t="s">
        <v>8</v>
      </c>
      <c r="E2" t="s">
        <v>9</v>
      </c>
      <c r="F2" t="s">
        <v>10</v>
      </c>
      <c r="G2" t="s">
        <v>12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62</v>
      </c>
    </row>
    <row r="3" spans="2:24" x14ac:dyDescent="0.3">
      <c r="B3" t="s">
        <v>121</v>
      </c>
      <c r="C3" t="s">
        <v>68</v>
      </c>
      <c r="D3" t="s">
        <v>69</v>
      </c>
      <c r="E3" t="s">
        <v>122</v>
      </c>
      <c r="F3" t="s">
        <v>123</v>
      </c>
      <c r="G3" t="s">
        <v>125</v>
      </c>
      <c r="H3" s="1">
        <f>_xlfn.IFNA(INDEX('Info LT001'!$G:$H,MATCH('Cálculo excel'!B3,'Info LT001'!$G:$G,0),2),0)</f>
        <v>17067.509999999998</v>
      </c>
      <c r="I3" s="1">
        <f>SUMIFS($H$3:$H$36,$C$3:$C$36,C3,$D$3:$D$36,D3,$E$3:$E$36,E3,$F$3:$F$36,F3,$G$3:$G$36,G3)</f>
        <v>17067.509999999998</v>
      </c>
      <c r="J3">
        <f>COUNTIFS($C$3:$C$36,C3,$D$3:$D$36,D3,$E$3:$E$36,E3,$F$3:$F$36,F3,$G$3:$G$36,G3)</f>
        <v>1</v>
      </c>
      <c r="K3" s="1">
        <f>IF(I3=0,1/J3,IF(AND(H3=0,I3&lt;&gt;0),0,H3/I3))</f>
        <v>1</v>
      </c>
      <c r="L3" cm="1">
        <f t="array" ref="L3">INDEX(MIS_MAR25!$A:$AR,MATCH(1,('Cálculo excel'!$C3=MIS_MAR25!$B:$B)*('Cálculo excel'!$D3=MIS_MAR25!$C:$C)*(MIS_MAR25!$D:$D='Cálculo excel'!$E3)*('Cálculo excel'!$F3=MIS_MAR25!$E:$E),0),36)-INDEX(MIS_MAR25!$A:$AR,MATCH(1,('Cálculo excel'!$C3=MIS_MAR25!$B:$B)*('Cálculo excel'!$D3=MIS_MAR25!$C:$C)*(MIS_MAR25!$D:$D='Cálculo excel'!$E3)*('Cálculo excel'!$F3=MIS_MAR25!$E:$E),0),38)*K3</f>
        <v>16.5</v>
      </c>
      <c r="M3" cm="1">
        <f t="array" ref="M3">INDEX(MIS_MAR25!$A:$AR,MATCH(1,('Cálculo excel'!$C3=MIS_MAR25!$B:$B)*('Cálculo excel'!$D3=MIS_MAR25!$C:$C)*(MIS_MAR25!$D:$D='Cálculo excel'!$E3)*('Cálculo excel'!$F3=MIS_MAR25!$E:$E),0),37)-INDEX(MIS_MAR25!$A:$AR,MATCH(1,('Cálculo excel'!$C3=MIS_MAR25!$B:$B)*('Cálculo excel'!$D3=MIS_MAR25!$C:$C)*(MIS_MAR25!$D:$D='Cálculo excel'!$E3)*('Cálculo excel'!$F3=MIS_MAR25!$E:$E),0),39)*K3</f>
        <v>0</v>
      </c>
      <c r="N3" cm="1">
        <f t="array" ref="N3">INDEX(MIS_MAR25!$A:$AR,MATCH(1,('Cálculo excel'!$C3=MIS_MAR25!$B:$B)*('Cálculo excel'!$D3=MIS_MAR25!$C:$C)*(MIS_MAR25!$D:$D='Cálculo excel'!$E3)*('Cálculo excel'!$F3=MIS_MAR25!$E:$E),0),40)-INDEX(MIS_MAR25!$A:$AR,MATCH(1,('Cálculo excel'!$C3=MIS_MAR25!$B:$B)*('Cálculo excel'!$D3=MIS_MAR25!$C:$C)*(MIS_MAR25!$D:$D='Cálculo excel'!$E3)*('Cálculo excel'!$F3=MIS_MAR25!$E:$E),0),42)*K3</f>
        <v>0</v>
      </c>
      <c r="O3" cm="1">
        <f t="array" ref="O3">INDEX(MIS_MAR25!$A:$AR,MATCH(1,('Cálculo excel'!$C3=MIS_MAR25!$B:$B)*('Cálculo excel'!$D3=MIS_MAR25!$C:$C)*(MIS_MAR25!$D:$D='Cálculo excel'!$E3)*('Cálculo excel'!$F3=MIS_MAR25!$E:$E),0),41)-INDEX(MIS_MAR25!$A:$AR,MATCH(1,('Cálculo excel'!$C3=MIS_MAR25!$B:$B)*('Cálculo excel'!$D3=MIS_MAR25!$C:$C)*(MIS_MAR25!$D:$D='Cálculo excel'!$E3)*('Cálculo excel'!$F3=MIS_MAR25!$E:$E),0),43)*K3</f>
        <v>0</v>
      </c>
      <c r="P3" cm="1">
        <f t="array" ref="P3">(INDEX(MIS_MAR25!$A:$AR,MATCH(1,('Cálculo excel'!$C3=MIS_MAR25!$B:$B)*('Cálculo excel'!$D3=MIS_MAR25!$C:$C)*(MIS_MAR25!$D:$D='Cálculo excel'!$E3)*('Cálculo excel'!$F3=MIS_MAR25!$E:$E),0),31)+INDEX(MIS_FEV25!$A:$AR,MATCH(1,('Cálculo excel'!$C3=MIS_FEV25!$B:$B)*('Cálculo excel'!$D3=MIS_FEV25!$C:$C)*(MIS_FEV25!$D:$D='Cálculo excel'!$E3)*('Cálculo excel'!$F3=MIS_FEV25!$E:$E),0),31)+INDEX(MIS_JAN25!$A:$AR,MATCH(1,('Cálculo excel'!$C3=MIS_JAN25!$B:$B)*('Cálculo excel'!$D3=MIS_JAN25!$C:$C)*(MIS_JAN25!$D:$D='Cálculo excel'!$E3)*('Cálculo excel'!$F3=MIS_JAN25!$E:$E),0),31))*K3</f>
        <v>-69.400000000000006</v>
      </c>
      <c r="Q3" cm="1">
        <f t="array" ref="Q3">INDEX(MIS_MAR25!$A:$AR,MATCH(1,('Cálculo excel'!$C3=MIS_MAR25!$B:$B)*('Cálculo excel'!$D3=MIS_MAR25!$C:$C)*(MIS_MAR25!$D:$D='Cálculo excel'!$E3)*('Cálculo excel'!$F3=MIS_MAR25!$E:$E),0),32)+INDEX(MIS_FEV25!$A:$AR,MATCH(1,('Cálculo excel'!$C3=MIS_FEV25!$B:$B)*('Cálculo excel'!$D3=MIS_FEV25!$C:$C)*(MIS_FEV25!$D:$D='Cálculo excel'!$E3)*('Cálculo excel'!$F3=MIS_FEV25!$E:$E),0),32)+INDEX(MIS_JAN25!$A:$AR,MATCH(1,('Cálculo excel'!$C3=MIS_JAN25!$B:$B)*('Cálculo excel'!$D3=MIS_JAN25!$C:$C)*(MIS_JAN25!$D:$D='Cálculo excel'!$E3)*('Cálculo excel'!$F3=MIS_JAN25!$E:$E),0),32)*K3</f>
        <v>0</v>
      </c>
      <c r="R3" cm="1">
        <f t="array" ref="R3">INDEX(MIS_MAR25!$A:$AR,MATCH(1,('Cálculo excel'!$C3=MIS_MAR25!$B:$B)*('Cálculo excel'!$D3=MIS_MAR25!$C:$C)*(MIS_MAR25!$D:$D='Cálculo excel'!$E3)*('Cálculo excel'!$F3=MIS_MAR25!$E:$E),0),25)*K3</f>
        <v>215.11</v>
      </c>
      <c r="S3" cm="1">
        <f t="array" ref="S3">INDEX(MIS_MAR25!$A:$AR,MATCH(1,('Cálculo excel'!$C3=MIS_MAR25!$B:$B)*('Cálculo excel'!$D3=MIS_MAR25!$C:$C)*(MIS_MAR25!$D:$D='Cálculo excel'!$E3)*('Cálculo excel'!$F3=MIS_MAR25!$E:$E),0),27)*K3</f>
        <v>0</v>
      </c>
      <c r="T3" cm="1">
        <f t="array" ref="T3">INDEX(MIS_MAR25!$A:$AR,MATCH(1,('Cálculo excel'!$C3=MIS_MAR25!$B:$B)*('Cálculo excel'!$D3=MIS_MAR25!$C:$C)*(MIS_MAR25!$D:$D='Cálculo excel'!$E3)*('Cálculo excel'!$F3=MIS_MAR25!$E:$E),0),34)*K3</f>
        <v>0</v>
      </c>
      <c r="U3" s="1" cm="1">
        <f t="array" ref="U3">(INDEX(MIS_MAR25!$A:$AR,MATCH(1,('Cálculo excel'!$C3=MIS_MAR25!$B:$B)*('Cálculo excel'!$D3=MIS_MAR25!$C:$C)*(MIS_MAR25!$D:$D='Cálculo excel'!$E3)*('Cálculo excel'!$F3=MIS_MAR25!$E:$E),0),29)-INDEX(MIS_FEV25!$A:$AR,MATCH(1,('Cálculo excel'!$C3=MIS_FEV25!$B:$B)*('Cálculo excel'!$D3=MIS_FEV25!$C:$C)*(MIS_FEV25!$D:$D='Cálculo excel'!$E3)*('Cálculo excel'!$F3=MIS_FEV25!$E:$E),0),29))*K3</f>
        <v>37.699999999999989</v>
      </c>
      <c r="V3" s="1" cm="1">
        <f t="array" ref="V3">(INDEX(MIS_MAR25!$A:$AR,MATCH(1,('Cálculo excel'!$C3=MIS_MAR25!$B:$B)*('Cálculo excel'!$D3=MIS_MAR25!$C:$C)*(MIS_MAR25!$D:$D='Cálculo excel'!$E3)*('Cálculo excel'!$F3=MIS_MAR25!$E:$E),0),22)+(INDEX(MIS_MAR25!$A:$AR,MATCH(1,('Cálculo excel'!$C3=MIS_MAR25!$B:$B)*('Cálculo excel'!$D3=MIS_MAR25!$C:$C)*(MIS_MAR25!$D:$D='Cálculo excel'!$E3)*('Cálculo excel'!$F3=MIS_MAR25!$E:$E),0),19)+INDEX(MIS_FEV25!$A:$AR,MATCH(1,('Cálculo excel'!$C3=MIS_FEV25!$B:$B)*('Cálculo excel'!$D3=MIS_FEV25!$C:$C)*(MIS_FEV25!$D:$D='Cálculo excel'!$E3)*('Cálculo excel'!$F3=MIS_FEV25!$E:$E),0),19)+INDEX(MIS_JAN25!$A:$AR,MATCH(1,('Cálculo excel'!$C3=MIS_JAN25!$B:$B)*('Cálculo excel'!$D3=MIS_JAN25!$C:$C)*(MIS_JAN25!$D:$D='Cálculo excel'!$E3)*('Cálculo excel'!$F3=MIS_JAN25!$E:$E),0),19)+INDEX(MIS_DEZ24!$A:$AR,MATCH(1,('Cálculo excel'!$C3=MIS_DEZ24!$B:$B)*('Cálculo excel'!$D3=MIS_DEZ24!$C:$C)*(MIS_DEZ24!$D:$D='Cálculo excel'!$E3)*('Cálculo excel'!$F3=MIS_DEZ24!$E:$E),0),19))/4)*K3</f>
        <v>17381.96</v>
      </c>
      <c r="W3" s="1" cm="1">
        <f t="array" ref="W3">(INDEX(MIS_MAR25!$A:$AR,MATCH(1,('Cálculo excel'!$C3=MIS_MAR25!$B:$B)*('Cálculo excel'!$D3=MIS_MAR25!$C:$C)*(MIS_MAR25!$D:$D='Cálculo excel'!$E3)*('Cálculo excel'!$F3=MIS_MAR25!$E:$E),0),23)+(INDEX(MIS_MAR25!$A:$AR,MATCH(1,('Cálculo excel'!$C3=MIS_MAR25!$B:$B)*('Cálculo excel'!$D3=MIS_MAR25!$C:$C)*(MIS_MAR25!$D:$D='Cálculo excel'!$E3)*('Cálculo excel'!$F3=MIS_MAR25!$E:$E),0),20)+INDEX(MIS_FEV25!$A:$AR,MATCH(1,('Cálculo excel'!$C3=MIS_FEV25!$B:$B)*('Cálculo excel'!$D3=MIS_FEV25!$C:$C)*(MIS_FEV25!$D:$D='Cálculo excel'!$E3)*('Cálculo excel'!$F3=MIS_FEV25!$E:$E),0),20)+INDEX(MIS_JAN25!$A:$AR,MATCH(1,('Cálculo excel'!$C3=MIS_JAN25!$B:$B)*('Cálculo excel'!$D3=MIS_JAN25!$C:$C)*(MIS_JAN25!$D:$D='Cálculo excel'!$E3)*('Cálculo excel'!$F3=MIS_JAN25!$E:$E),0),20)+INDEX(MIS_DEZ24!$A:$AR,MATCH(1,('Cálculo excel'!$C3=MIS_DEZ24!$B:$B)*('Cálculo excel'!$D3=MIS_DEZ24!$C:$C)*(MIS_DEZ24!$D:$D='Cálculo excel'!$E3)*('Cálculo excel'!$F3=MIS_DEZ24!$E:$E),0),20))/4+(INDEX(MIS_MAR25!$A:$AR,MATCH(1,('Cálculo excel'!$C3=MIS_MAR25!$B:$B)*('Cálculo excel'!$D3=MIS_MAR25!$C:$C)*(MIS_MAR25!$D:$D='Cálculo excel'!$E3)*('Cálculo excel'!$F3=MIS_MAR25!$E:$E),0),17)+INDEX(MIS_FEV25!$A:$AR,MATCH(1,('Cálculo excel'!$C3=MIS_FEV25!$B:$B)*('Cálculo excel'!$D3=MIS_FEV25!$C:$C)*(MIS_FEV25!$D:$D='Cálculo excel'!$E3)*('Cálculo excel'!$F3=MIS_FEV25!$E:$E),0),17)+INDEX(MIS_JAN25!$A:$AR,MATCH(1,('Cálculo excel'!$C3=MIS_JAN25!$B:$B)*('Cálculo excel'!$D3=MIS_JAN25!$C:$C)*(MIS_JAN25!$D:$D='Cálculo excel'!$E3)*('Cálculo excel'!$F3=MIS_JAN25!$E:$E),0),17)+INDEX(MIS_DEZ24!$A:$AR,MATCH(1,('Cálculo excel'!$C3=MIS_DEZ24!$B:$B)*('Cálculo excel'!$D3=MIS_DEZ24!$C:$C)*(MIS_DEZ24!$D:$D='Cálculo excel'!$E3)*('Cálculo excel'!$F3=MIS_DEZ24!$E:$E),0),17))/4)*K3</f>
        <v>0</v>
      </c>
      <c r="X3" s="1" cm="1">
        <f t="array" ref="X3">+((INDEX(MIS_MAR25!$A:$AR,MATCH(1,('Cálculo excel'!$C3=MIS_MAR25!$B:$B)*('Cálculo excel'!$D3=MIS_MAR25!$C:$C)*(MIS_MAR25!$D:$D='Cálculo excel'!$E3)*('Cálculo excel'!$F3=MIS_MAR25!$E:$E),0),18)+INDEX(MIS_FEV25!$A:$AR,MATCH(1,('Cálculo excel'!$C3=MIS_FEV25!$B:$B)*('Cálculo excel'!$D3=MIS_FEV25!$C:$C)*(MIS_FEV25!$D:$D='Cálculo excel'!$E3)*('Cálculo excel'!$F3=MIS_FEV25!$E:$E),0),18)+INDEX(MIS_JAN25!$A:$AR,MATCH(1,('Cálculo excel'!$C3=MIS_JAN25!$B:$B)*('Cálculo excel'!$D3=MIS_JAN25!$C:$C)*(MIS_JAN25!$D:$D='Cálculo excel'!$E3)*('Cálculo excel'!$F3=MIS_JAN25!$E:$E),0),18)+INDEX(MIS_DEZ24!$A:$AR,MATCH(1,('Cálculo excel'!$C3=MIS_DEZ24!$B:$B)*('Cálculo excel'!$D3=MIS_DEZ24!$C:$C)*(MIS_DEZ24!$D:$D='Cálculo excel'!$E3)*('Cálculo excel'!$F3=MIS_DEZ24!$E:$E),0),18))/4)*K3</f>
        <v>0</v>
      </c>
    </row>
    <row r="4" spans="2:24" x14ac:dyDescent="0.3">
      <c r="B4" t="s">
        <v>134</v>
      </c>
      <c r="C4" s="5" t="s">
        <v>68</v>
      </c>
      <c r="D4" s="5" t="s">
        <v>69</v>
      </c>
      <c r="E4" s="5" t="s">
        <v>135</v>
      </c>
      <c r="F4" s="5" t="s">
        <v>136</v>
      </c>
      <c r="G4" t="s">
        <v>125</v>
      </c>
      <c r="H4" s="1">
        <f>_xlfn.IFNA(INDEX('Info LT001'!$G:$H,MATCH('Cálculo excel'!B4,'Info LT001'!$G:$G,0),2),0)</f>
        <v>4650.25</v>
      </c>
      <c r="I4" s="1">
        <f t="shared" ref="I4:I36" si="0">SUMIFS($H$3:$H$36,$C$3:$C$36,C4,$D$3:$D$36,D4,$E$3:$E$36,E4,$F$3:$F$36,F4,$G$3:$G$36,G4)</f>
        <v>4650.25</v>
      </c>
      <c r="J4">
        <f t="shared" ref="J4:J36" si="1">COUNTIFS($C$3:$C$36,C4,$D$3:$D$36,D4,$E$3:$E$36,E4,$F$3:$F$36,F4,$G$3:$G$36,G4)</f>
        <v>1</v>
      </c>
      <c r="K4" s="1">
        <f t="shared" ref="K4:K36" si="2">IF(I4=0,1/J4,IF(AND(H4=0,I4&lt;&gt;0),0,H4/I4))</f>
        <v>1</v>
      </c>
      <c r="L4">
        <v>0</v>
      </c>
      <c r="M4">
        <v>0</v>
      </c>
      <c r="N4">
        <v>0</v>
      </c>
      <c r="O4">
        <v>0</v>
      </c>
      <c r="P4">
        <v>227.07</v>
      </c>
      <c r="Q4">
        <v>0</v>
      </c>
      <c r="R4">
        <v>0</v>
      </c>
      <c r="S4">
        <v>0</v>
      </c>
      <c r="T4">
        <v>0</v>
      </c>
      <c r="U4" s="1">
        <v>0</v>
      </c>
      <c r="V4" s="1">
        <v>4650.25</v>
      </c>
      <c r="W4" s="1">
        <v>0</v>
      </c>
      <c r="X4" s="1">
        <v>0</v>
      </c>
    </row>
    <row r="5" spans="2:24" x14ac:dyDescent="0.3">
      <c r="B5" t="s">
        <v>144</v>
      </c>
      <c r="C5" t="s">
        <v>68</v>
      </c>
      <c r="D5" t="s">
        <v>69</v>
      </c>
      <c r="E5" t="s">
        <v>145</v>
      </c>
      <c r="F5" t="s">
        <v>146</v>
      </c>
      <c r="G5" t="s">
        <v>125</v>
      </c>
      <c r="H5" s="1">
        <f>_xlfn.IFNA(INDEX('Info LT001'!$G:$H,MATCH('Cálculo excel'!B5,'Info LT001'!$G:$G,0),2),0)</f>
        <v>23223.74</v>
      </c>
      <c r="I5" s="1">
        <f t="shared" si="0"/>
        <v>23223.74</v>
      </c>
      <c r="J5">
        <f t="shared" si="1"/>
        <v>1</v>
      </c>
      <c r="K5" s="1">
        <f t="shared" si="2"/>
        <v>1</v>
      </c>
      <c r="L5">
        <v>87.45</v>
      </c>
      <c r="M5">
        <v>0</v>
      </c>
      <c r="N5">
        <v>0</v>
      </c>
      <c r="O5">
        <v>0</v>
      </c>
      <c r="P5">
        <v>5263.09</v>
      </c>
      <c r="Q5">
        <v>0</v>
      </c>
      <c r="R5">
        <v>190.22</v>
      </c>
      <c r="S5">
        <v>0</v>
      </c>
      <c r="T5">
        <v>0</v>
      </c>
      <c r="U5" s="1">
        <v>41.980000000000004</v>
      </c>
      <c r="V5" s="1">
        <v>23910.355</v>
      </c>
      <c r="W5" s="1">
        <v>0</v>
      </c>
      <c r="X5" s="1">
        <v>0</v>
      </c>
    </row>
    <row r="6" spans="2:24" x14ac:dyDescent="0.3">
      <c r="B6" t="s">
        <v>151</v>
      </c>
      <c r="C6" t="s">
        <v>68</v>
      </c>
      <c r="D6" t="s">
        <v>69</v>
      </c>
      <c r="E6" t="s">
        <v>152</v>
      </c>
      <c r="F6" t="s">
        <v>153</v>
      </c>
      <c r="G6" t="s">
        <v>125</v>
      </c>
      <c r="H6" s="1">
        <f>_xlfn.IFNA(INDEX('Info LT001'!$G:$H,MATCH('Cálculo excel'!B6,'Info LT001'!$G:$G,0),2),0)</f>
        <v>13138.68</v>
      </c>
      <c r="I6" s="1">
        <f t="shared" si="0"/>
        <v>13138.68</v>
      </c>
      <c r="J6">
        <f t="shared" si="1"/>
        <v>1</v>
      </c>
      <c r="K6" s="1">
        <f t="shared" si="2"/>
        <v>1</v>
      </c>
      <c r="L6">
        <v>16.5</v>
      </c>
      <c r="M6">
        <v>0</v>
      </c>
      <c r="N6">
        <v>0</v>
      </c>
      <c r="O6">
        <v>0</v>
      </c>
      <c r="P6">
        <v>-1.54</v>
      </c>
      <c r="Q6">
        <v>0</v>
      </c>
      <c r="R6">
        <v>127.23</v>
      </c>
      <c r="S6">
        <v>0</v>
      </c>
      <c r="T6">
        <v>0</v>
      </c>
      <c r="U6" s="1">
        <v>24.42</v>
      </c>
      <c r="V6" s="1">
        <v>13549.84</v>
      </c>
      <c r="W6" s="1">
        <v>0</v>
      </c>
      <c r="X6" s="1">
        <v>0</v>
      </c>
    </row>
    <row r="7" spans="2:24" x14ac:dyDescent="0.3">
      <c r="B7" t="s">
        <v>159</v>
      </c>
      <c r="C7" t="s">
        <v>68</v>
      </c>
      <c r="D7" t="s">
        <v>69</v>
      </c>
      <c r="E7" t="s">
        <v>160</v>
      </c>
      <c r="F7" t="s">
        <v>161</v>
      </c>
      <c r="G7" t="s">
        <v>125</v>
      </c>
      <c r="H7" s="1">
        <f>_xlfn.IFNA(INDEX('Info LT001'!$G:$H,MATCH('Cálculo excel'!B7,'Info LT001'!$G:$G,0),2),0)</f>
        <v>28431.8</v>
      </c>
      <c r="I7" s="1">
        <f t="shared" si="0"/>
        <v>28431.8</v>
      </c>
      <c r="J7">
        <f t="shared" si="1"/>
        <v>1</v>
      </c>
      <c r="K7" s="1">
        <f t="shared" si="2"/>
        <v>1</v>
      </c>
      <c r="L7">
        <v>8.25</v>
      </c>
      <c r="M7">
        <v>0</v>
      </c>
      <c r="N7">
        <v>0</v>
      </c>
      <c r="O7">
        <v>0</v>
      </c>
      <c r="P7">
        <v>-4.1900000000000004</v>
      </c>
      <c r="Q7">
        <v>0</v>
      </c>
      <c r="R7">
        <v>270.67</v>
      </c>
      <c r="S7">
        <v>0</v>
      </c>
      <c r="T7">
        <v>0</v>
      </c>
      <c r="U7" s="1">
        <v>51.36999999999999</v>
      </c>
      <c r="V7" s="1">
        <v>29657.11</v>
      </c>
      <c r="W7" s="1">
        <v>0</v>
      </c>
      <c r="X7" s="1">
        <v>0</v>
      </c>
    </row>
    <row r="8" spans="2:24" x14ac:dyDescent="0.3"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73</v>
      </c>
      <c r="H8" s="1">
        <f>_xlfn.IFNA(INDEX('Info LT001'!$G:$H,MATCH('Cálculo excel'!B8,'Info LT001'!$G:$G,0),2),0)</f>
        <v>75291.08</v>
      </c>
      <c r="I8" s="1">
        <f t="shared" si="0"/>
        <v>929165.44</v>
      </c>
      <c r="J8">
        <f t="shared" si="1"/>
        <v>21</v>
      </c>
      <c r="K8" s="1">
        <f t="shared" si="2"/>
        <v>8.1030865719672066E-2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s="1">
        <v>0</v>
      </c>
      <c r="V8" s="1">
        <v>0</v>
      </c>
      <c r="W8" s="1">
        <v>0</v>
      </c>
      <c r="X8" s="1">
        <v>0</v>
      </c>
    </row>
    <row r="9" spans="2:24" x14ac:dyDescent="0.3">
      <c r="B9" t="s">
        <v>90</v>
      </c>
      <c r="C9" t="s">
        <v>68</v>
      </c>
      <c r="D9" t="s">
        <v>69</v>
      </c>
      <c r="E9" t="s">
        <v>70</v>
      </c>
      <c r="F9" t="s">
        <v>71</v>
      </c>
      <c r="G9" t="s">
        <v>73</v>
      </c>
      <c r="H9" s="1">
        <f>_xlfn.IFNA(INDEX('Info LT001'!$G:$H,MATCH('Cálculo excel'!B9,'Info LT001'!$G:$G,0),2),0)</f>
        <v>2211.0100000000002</v>
      </c>
      <c r="I9" s="1">
        <f t="shared" si="0"/>
        <v>929165.44</v>
      </c>
      <c r="J9">
        <f t="shared" si="1"/>
        <v>21</v>
      </c>
      <c r="K9" s="1">
        <f t="shared" si="2"/>
        <v>2.3795654732918182E-3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s="1">
        <v>0</v>
      </c>
      <c r="V9" s="1">
        <v>0</v>
      </c>
      <c r="W9" s="1">
        <v>0</v>
      </c>
      <c r="X9" s="1">
        <v>0</v>
      </c>
    </row>
    <row r="10" spans="2:24" x14ac:dyDescent="0.3">
      <c r="B10" t="s">
        <v>107</v>
      </c>
      <c r="C10" t="s">
        <v>68</v>
      </c>
      <c r="D10" t="s">
        <v>69</v>
      </c>
      <c r="E10" t="s">
        <v>70</v>
      </c>
      <c r="F10" t="s">
        <v>71</v>
      </c>
      <c r="G10" t="s">
        <v>73</v>
      </c>
      <c r="H10" s="1">
        <f>_xlfn.IFNA(INDEX('Info LT001'!$G:$H,MATCH('Cálculo excel'!B10,'Info LT001'!$G:$G,0),2),0)</f>
        <v>0</v>
      </c>
      <c r="I10" s="1">
        <f t="shared" si="0"/>
        <v>929165.44</v>
      </c>
      <c r="J10">
        <f t="shared" si="1"/>
        <v>21</v>
      </c>
      <c r="K10" s="1">
        <f t="shared" si="2"/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1">
        <v>0</v>
      </c>
      <c r="V10" s="1">
        <v>0</v>
      </c>
      <c r="W10" s="1">
        <v>0</v>
      </c>
      <c r="X10" s="1">
        <v>0</v>
      </c>
    </row>
    <row r="11" spans="2:24" x14ac:dyDescent="0.3">
      <c r="B11" t="s">
        <v>112</v>
      </c>
      <c r="C11" t="s">
        <v>68</v>
      </c>
      <c r="D11" t="s">
        <v>69</v>
      </c>
      <c r="E11" t="s">
        <v>70</v>
      </c>
      <c r="F11" t="s">
        <v>71</v>
      </c>
      <c r="G11" t="s">
        <v>73</v>
      </c>
      <c r="H11" s="1">
        <f>_xlfn.IFNA(INDEX('Info LT001'!$G:$H,MATCH('Cálculo excel'!B11,'Info LT001'!$G:$G,0),2),0)</f>
        <v>1838.72</v>
      </c>
      <c r="I11" s="1">
        <f t="shared" si="0"/>
        <v>929165.44</v>
      </c>
      <c r="J11">
        <f t="shared" si="1"/>
        <v>21</v>
      </c>
      <c r="K11" s="1">
        <f t="shared" si="2"/>
        <v>1.9788940923157884E-3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s="1">
        <v>0</v>
      </c>
      <c r="V11" s="1">
        <v>0</v>
      </c>
      <c r="W11" s="1">
        <v>0</v>
      </c>
      <c r="X11" s="1">
        <v>0</v>
      </c>
    </row>
    <row r="12" spans="2:24" x14ac:dyDescent="0.3">
      <c r="B12" t="s">
        <v>115</v>
      </c>
      <c r="C12" t="s">
        <v>68</v>
      </c>
      <c r="D12" t="s">
        <v>69</v>
      </c>
      <c r="E12" t="s">
        <v>70</v>
      </c>
      <c r="F12" t="s">
        <v>71</v>
      </c>
      <c r="G12" t="s">
        <v>73</v>
      </c>
      <c r="H12" s="1">
        <f>_xlfn.IFNA(INDEX('Info LT001'!$G:$H,MATCH('Cálculo excel'!B12,'Info LT001'!$G:$G,0),2),0)</f>
        <v>43530.97</v>
      </c>
      <c r="I12" s="1">
        <f t="shared" si="0"/>
        <v>929165.44</v>
      </c>
      <c r="J12">
        <f t="shared" si="1"/>
        <v>21</v>
      </c>
      <c r="K12" s="1">
        <f t="shared" si="2"/>
        <v>4.6849536289253292E-2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s="1">
        <v>0</v>
      </c>
      <c r="V12" s="1">
        <v>0</v>
      </c>
      <c r="W12" s="1">
        <v>0</v>
      </c>
      <c r="X12" s="1">
        <v>0</v>
      </c>
    </row>
    <row r="13" spans="2:24" x14ac:dyDescent="0.3">
      <c r="B13" t="s">
        <v>118</v>
      </c>
      <c r="C13" t="s">
        <v>68</v>
      </c>
      <c r="D13" t="s">
        <v>69</v>
      </c>
      <c r="E13" t="s">
        <v>70</v>
      </c>
      <c r="F13" t="s">
        <v>71</v>
      </c>
      <c r="G13" t="s">
        <v>73</v>
      </c>
      <c r="H13" s="1">
        <f>_xlfn.IFNA(INDEX('Info LT001'!$G:$H,MATCH('Cálculo excel'!B13,'Info LT001'!$G:$G,0),2),0)</f>
        <v>0.51</v>
      </c>
      <c r="I13" s="1">
        <f t="shared" si="0"/>
        <v>929165.44</v>
      </c>
      <c r="J13">
        <f t="shared" si="1"/>
        <v>21</v>
      </c>
      <c r="K13" s="1">
        <f t="shared" si="2"/>
        <v>5.4887964838640576E-7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s="1">
        <v>0</v>
      </c>
      <c r="V13" s="1">
        <v>0</v>
      </c>
      <c r="W13" s="1">
        <v>0</v>
      </c>
      <c r="X13" s="1">
        <v>0</v>
      </c>
    </row>
    <row r="14" spans="2:24" x14ac:dyDescent="0.3">
      <c r="B14" t="s">
        <v>178</v>
      </c>
      <c r="C14" t="s">
        <v>68</v>
      </c>
      <c r="D14" t="s">
        <v>69</v>
      </c>
      <c r="E14" t="s">
        <v>70</v>
      </c>
      <c r="F14" t="s">
        <v>71</v>
      </c>
      <c r="G14" t="s">
        <v>73</v>
      </c>
      <c r="H14" s="1">
        <f>_xlfn.IFNA(INDEX('Info LT001'!$G:$H,MATCH('Cálculo excel'!B14,'Info LT001'!$G:$G,0),2),0)</f>
        <v>2631.54</v>
      </c>
      <c r="I14" s="1">
        <f t="shared" si="0"/>
        <v>929165.44</v>
      </c>
      <c r="J14">
        <f t="shared" si="1"/>
        <v>21</v>
      </c>
      <c r="K14" s="1">
        <f t="shared" si="2"/>
        <v>2.8321544115975732E-3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s="1">
        <v>0</v>
      </c>
      <c r="V14" s="1">
        <v>0</v>
      </c>
      <c r="W14" s="1">
        <v>0</v>
      </c>
      <c r="X14" s="1">
        <v>0</v>
      </c>
    </row>
    <row r="15" spans="2:24" x14ac:dyDescent="0.3">
      <c r="B15" t="s">
        <v>181</v>
      </c>
      <c r="C15" t="s">
        <v>68</v>
      </c>
      <c r="D15" t="s">
        <v>69</v>
      </c>
      <c r="E15" t="s">
        <v>70</v>
      </c>
      <c r="F15" t="s">
        <v>71</v>
      </c>
      <c r="G15" t="s">
        <v>73</v>
      </c>
      <c r="H15" s="1">
        <f>_xlfn.IFNA(INDEX('Info LT001'!$G:$H,MATCH('Cálculo excel'!B15,'Info LT001'!$G:$G,0),2),0)</f>
        <v>24087.23</v>
      </c>
      <c r="I15" s="1">
        <f t="shared" si="0"/>
        <v>929165.44</v>
      </c>
      <c r="J15">
        <f t="shared" si="1"/>
        <v>21</v>
      </c>
      <c r="K15" s="1">
        <f t="shared" si="2"/>
        <v>2.5923510456867617E-2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s="1">
        <v>0</v>
      </c>
      <c r="V15" s="1">
        <v>0</v>
      </c>
      <c r="W15" s="1">
        <v>0</v>
      </c>
      <c r="X15" s="1">
        <v>0</v>
      </c>
    </row>
    <row r="16" spans="2:24" x14ac:dyDescent="0.3">
      <c r="B16" t="s">
        <v>184</v>
      </c>
      <c r="C16" t="s">
        <v>68</v>
      </c>
      <c r="D16" t="s">
        <v>69</v>
      </c>
      <c r="E16" t="s">
        <v>70</v>
      </c>
      <c r="F16" t="s">
        <v>71</v>
      </c>
      <c r="G16" t="s">
        <v>73</v>
      </c>
      <c r="H16" s="1">
        <f>_xlfn.IFNA(INDEX('Info LT001'!$G:$H,MATCH('Cálculo excel'!B16,'Info LT001'!$G:$G,0),2),0)</f>
        <v>25860.639999999999</v>
      </c>
      <c r="I16" s="1">
        <f t="shared" si="0"/>
        <v>929165.44</v>
      </c>
      <c r="J16">
        <f t="shared" si="1"/>
        <v>21</v>
      </c>
      <c r="K16" s="1">
        <f t="shared" si="2"/>
        <v>2.7832115667151807E-2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s="1">
        <v>0</v>
      </c>
      <c r="V16" s="1">
        <v>0</v>
      </c>
      <c r="W16" s="1">
        <v>0</v>
      </c>
      <c r="X16" s="1">
        <v>0</v>
      </c>
    </row>
    <row r="17" spans="2:24" x14ac:dyDescent="0.3">
      <c r="B17" t="s">
        <v>187</v>
      </c>
      <c r="C17" t="s">
        <v>68</v>
      </c>
      <c r="D17" t="s">
        <v>69</v>
      </c>
      <c r="E17" t="s">
        <v>70</v>
      </c>
      <c r="F17" t="s">
        <v>71</v>
      </c>
      <c r="G17" t="s">
        <v>73</v>
      </c>
      <c r="H17" s="1">
        <f>_xlfn.IFNA(INDEX('Info LT001'!$G:$H,MATCH('Cálculo excel'!B17,'Info LT001'!$G:$G,0),2),0)</f>
        <v>70613.399999999994</v>
      </c>
      <c r="I17" s="1">
        <f t="shared" si="0"/>
        <v>929165.44</v>
      </c>
      <c r="J17">
        <f t="shared" si="1"/>
        <v>21</v>
      </c>
      <c r="K17" s="1">
        <f t="shared" si="2"/>
        <v>7.5996584634056119E-2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s="1">
        <v>0</v>
      </c>
      <c r="V17" s="1">
        <v>0</v>
      </c>
      <c r="W17" s="1">
        <v>0</v>
      </c>
      <c r="X17" s="1">
        <v>0</v>
      </c>
    </row>
    <row r="18" spans="2:24" x14ac:dyDescent="0.3">
      <c r="B18" t="s">
        <v>190</v>
      </c>
      <c r="C18" t="s">
        <v>68</v>
      </c>
      <c r="D18" t="s">
        <v>69</v>
      </c>
      <c r="E18" t="s">
        <v>70</v>
      </c>
      <c r="F18" t="s">
        <v>71</v>
      </c>
      <c r="G18" t="s">
        <v>73</v>
      </c>
      <c r="H18" s="1">
        <f>_xlfn.IFNA(INDEX('Info LT001'!$G:$H,MATCH('Cálculo excel'!B18,'Info LT001'!$G:$G,0),2),0)</f>
        <v>75291.08</v>
      </c>
      <c r="I18" s="1">
        <f t="shared" si="0"/>
        <v>929165.44</v>
      </c>
      <c r="J18">
        <f t="shared" si="1"/>
        <v>21</v>
      </c>
      <c r="K18" s="1">
        <f t="shared" si="2"/>
        <v>8.1030865719672066E-2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s="1">
        <v>0</v>
      </c>
      <c r="V18" s="1">
        <v>0</v>
      </c>
      <c r="W18" s="1">
        <v>0</v>
      </c>
      <c r="X18" s="1">
        <v>0</v>
      </c>
    </row>
    <row r="19" spans="2:24" x14ac:dyDescent="0.3">
      <c r="B19" t="s">
        <v>191</v>
      </c>
      <c r="C19" t="s">
        <v>68</v>
      </c>
      <c r="D19" t="s">
        <v>69</v>
      </c>
      <c r="E19" t="s">
        <v>70</v>
      </c>
      <c r="F19" t="s">
        <v>71</v>
      </c>
      <c r="G19" t="s">
        <v>73</v>
      </c>
      <c r="H19" s="1">
        <f>_xlfn.IFNA(INDEX('Info LT001'!$G:$H,MATCH('Cálculo excel'!B19,'Info LT001'!$G:$G,0),2),0)</f>
        <v>154912.39000000001</v>
      </c>
      <c r="I19" s="1">
        <f t="shared" si="0"/>
        <v>929165.44</v>
      </c>
      <c r="J19">
        <f t="shared" si="1"/>
        <v>21</v>
      </c>
      <c r="K19" s="1">
        <f t="shared" si="2"/>
        <v>0.16672207481156426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s="1">
        <v>0</v>
      </c>
      <c r="V19" s="1">
        <v>0</v>
      </c>
      <c r="W19" s="1">
        <v>0</v>
      </c>
      <c r="X19" s="1">
        <v>0</v>
      </c>
    </row>
    <row r="20" spans="2:24" x14ac:dyDescent="0.3">
      <c r="B20" t="s">
        <v>194</v>
      </c>
      <c r="C20" t="s">
        <v>68</v>
      </c>
      <c r="D20" t="s">
        <v>69</v>
      </c>
      <c r="E20" t="s">
        <v>70</v>
      </c>
      <c r="F20" t="s">
        <v>71</v>
      </c>
      <c r="G20" t="s">
        <v>73</v>
      </c>
      <c r="H20" s="1">
        <f>_xlfn.IFNA(INDEX('Info LT001'!$G:$H,MATCH('Cálculo excel'!B20,'Info LT001'!$G:$G,0),2),0)</f>
        <v>27813.1</v>
      </c>
      <c r="I20" s="1">
        <f t="shared" si="0"/>
        <v>929165.44</v>
      </c>
      <c r="J20">
        <f t="shared" si="1"/>
        <v>21</v>
      </c>
      <c r="K20" s="1">
        <f t="shared" si="2"/>
        <v>2.9933420683403808E-2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s="1">
        <v>0</v>
      </c>
      <c r="V20" s="1">
        <v>0</v>
      </c>
      <c r="W20" s="1">
        <v>0</v>
      </c>
      <c r="X20" s="1">
        <v>0</v>
      </c>
    </row>
    <row r="21" spans="2:24" x14ac:dyDescent="0.3">
      <c r="B21" t="s">
        <v>197</v>
      </c>
      <c r="C21" t="s">
        <v>68</v>
      </c>
      <c r="D21" t="s">
        <v>69</v>
      </c>
      <c r="E21" t="s">
        <v>70</v>
      </c>
      <c r="F21" t="s">
        <v>71</v>
      </c>
      <c r="G21" t="s">
        <v>73</v>
      </c>
      <c r="H21" s="1">
        <f>_xlfn.IFNA(INDEX('Info LT001'!$G:$H,MATCH('Cálculo excel'!B21,'Info LT001'!$G:$G,0),2),0)</f>
        <v>3875.95</v>
      </c>
      <c r="I21" s="1">
        <f t="shared" si="0"/>
        <v>929165.44</v>
      </c>
      <c r="J21">
        <f t="shared" si="1"/>
        <v>21</v>
      </c>
      <c r="K21" s="1">
        <f t="shared" si="2"/>
        <v>4.17143151600645E-3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s="1">
        <v>0</v>
      </c>
      <c r="V21" s="1">
        <v>0</v>
      </c>
      <c r="W21" s="1">
        <v>0</v>
      </c>
      <c r="X21" s="1">
        <v>0</v>
      </c>
    </row>
    <row r="22" spans="2:24" x14ac:dyDescent="0.3">
      <c r="B22" t="s">
        <v>200</v>
      </c>
      <c r="C22" t="s">
        <v>68</v>
      </c>
      <c r="D22" t="s">
        <v>69</v>
      </c>
      <c r="E22" t="s">
        <v>70</v>
      </c>
      <c r="F22" t="s">
        <v>71</v>
      </c>
      <c r="G22" t="s">
        <v>73</v>
      </c>
      <c r="H22" s="1">
        <f>_xlfn.IFNA(INDEX('Info LT001'!$G:$H,MATCH('Cálculo excel'!B22,'Info LT001'!$G:$G,0),2),0)</f>
        <v>152421.56</v>
      </c>
      <c r="I22" s="1">
        <f t="shared" si="0"/>
        <v>929165.44</v>
      </c>
      <c r="J22">
        <f t="shared" si="1"/>
        <v>21</v>
      </c>
      <c r="K22" s="1">
        <f t="shared" si="2"/>
        <v>0.16404135737119108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s="1">
        <v>0</v>
      </c>
      <c r="V22" s="1">
        <v>0</v>
      </c>
      <c r="W22" s="1">
        <v>0</v>
      </c>
      <c r="X22" s="1">
        <v>0</v>
      </c>
    </row>
    <row r="23" spans="2:24" x14ac:dyDescent="0.3">
      <c r="B23" t="s">
        <v>203</v>
      </c>
      <c r="C23" t="s">
        <v>68</v>
      </c>
      <c r="D23" t="s">
        <v>69</v>
      </c>
      <c r="E23" t="s">
        <v>70</v>
      </c>
      <c r="F23" t="s">
        <v>71</v>
      </c>
      <c r="G23" t="s">
        <v>73</v>
      </c>
      <c r="H23" s="1">
        <f>_xlfn.IFNA(INDEX('Info LT001'!$G:$H,MATCH('Cálculo excel'!B23,'Info LT001'!$G:$G,0),2),0)</f>
        <v>70613.399999999994</v>
      </c>
      <c r="I23" s="1">
        <f t="shared" si="0"/>
        <v>929165.44</v>
      </c>
      <c r="J23">
        <f t="shared" si="1"/>
        <v>21</v>
      </c>
      <c r="K23" s="1">
        <f t="shared" si="2"/>
        <v>7.5996584634056119E-2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s="1">
        <v>0</v>
      </c>
      <c r="V23" s="1">
        <v>0</v>
      </c>
      <c r="W23" s="1">
        <v>0</v>
      </c>
      <c r="X23" s="1">
        <v>0</v>
      </c>
    </row>
    <row r="24" spans="2:24" x14ac:dyDescent="0.3">
      <c r="B24" t="s">
        <v>204</v>
      </c>
      <c r="C24" t="s">
        <v>68</v>
      </c>
      <c r="D24" t="s">
        <v>69</v>
      </c>
      <c r="E24" t="s">
        <v>70</v>
      </c>
      <c r="F24" t="s">
        <v>71</v>
      </c>
      <c r="G24" t="s">
        <v>73</v>
      </c>
      <c r="H24" s="1">
        <f>_xlfn.IFNA(INDEX('Info LT001'!$G:$H,MATCH('Cálculo excel'!B24,'Info LT001'!$G:$G,0),2),0)</f>
        <v>9082.01</v>
      </c>
      <c r="I24" s="1">
        <f t="shared" si="0"/>
        <v>929165.44</v>
      </c>
      <c r="J24">
        <f t="shared" si="1"/>
        <v>21</v>
      </c>
      <c r="K24" s="1">
        <f t="shared" si="2"/>
        <v>9.7743734420427872E-3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s="1">
        <v>0</v>
      </c>
      <c r="V24" s="1">
        <v>0</v>
      </c>
      <c r="W24" s="1">
        <v>0</v>
      </c>
      <c r="X24" s="1">
        <v>0</v>
      </c>
    </row>
    <row r="25" spans="2:24" x14ac:dyDescent="0.3">
      <c r="B25" t="s">
        <v>207</v>
      </c>
      <c r="C25" t="s">
        <v>68</v>
      </c>
      <c r="D25" t="s">
        <v>69</v>
      </c>
      <c r="E25" t="s">
        <v>70</v>
      </c>
      <c r="F25" t="s">
        <v>71</v>
      </c>
      <c r="G25" t="s">
        <v>73</v>
      </c>
      <c r="H25" s="1">
        <f>_xlfn.IFNA(INDEX('Info LT001'!$G:$H,MATCH('Cálculo excel'!B25,'Info LT001'!$G:$G,0),2),0)</f>
        <v>144923.73000000001</v>
      </c>
      <c r="I25" s="1">
        <f t="shared" si="0"/>
        <v>929165.44</v>
      </c>
      <c r="J25">
        <f t="shared" si="1"/>
        <v>21</v>
      </c>
      <c r="K25" s="1">
        <f t="shared" si="2"/>
        <v>0.15597193326518904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s="1">
        <v>0</v>
      </c>
      <c r="V25" s="1">
        <v>0</v>
      </c>
      <c r="W25" s="1">
        <v>0</v>
      </c>
      <c r="X25" s="1">
        <v>0</v>
      </c>
    </row>
    <row r="26" spans="2:24" x14ac:dyDescent="0.3">
      <c r="B26" t="s">
        <v>210</v>
      </c>
      <c r="C26" t="s">
        <v>68</v>
      </c>
      <c r="D26" t="s">
        <v>69</v>
      </c>
      <c r="E26" t="s">
        <v>70</v>
      </c>
      <c r="F26" t="s">
        <v>71</v>
      </c>
      <c r="G26" t="s">
        <v>73</v>
      </c>
      <c r="H26" s="1">
        <f>_xlfn.IFNA(INDEX('Info LT001'!$G:$H,MATCH('Cálculo excel'!B26,'Info LT001'!$G:$G,0),2),0)</f>
        <v>2620.7399999999998</v>
      </c>
      <c r="I26" s="1">
        <f t="shared" si="0"/>
        <v>929165.44</v>
      </c>
      <c r="J26">
        <f t="shared" si="1"/>
        <v>21</v>
      </c>
      <c r="K26" s="1">
        <f t="shared" si="2"/>
        <v>2.8205310778670373E-3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s="1">
        <v>0</v>
      </c>
      <c r="V26" s="1">
        <v>0</v>
      </c>
      <c r="W26" s="1">
        <v>0</v>
      </c>
      <c r="X26" s="1">
        <v>0</v>
      </c>
    </row>
    <row r="27" spans="2:24" x14ac:dyDescent="0.3">
      <c r="B27" t="s">
        <v>213</v>
      </c>
      <c r="C27" t="s">
        <v>68</v>
      </c>
      <c r="D27" t="s">
        <v>69</v>
      </c>
      <c r="E27" t="s">
        <v>70</v>
      </c>
      <c r="F27" t="s">
        <v>71</v>
      </c>
      <c r="G27" t="s">
        <v>73</v>
      </c>
      <c r="H27" s="1">
        <f>_xlfn.IFNA(INDEX('Info LT001'!$G:$H,MATCH('Cálculo excel'!B27,'Info LT001'!$G:$G,0),2),0)</f>
        <v>2768.47</v>
      </c>
      <c r="I27" s="1">
        <f t="shared" si="0"/>
        <v>929165.44</v>
      </c>
      <c r="J27">
        <f t="shared" si="1"/>
        <v>21</v>
      </c>
      <c r="K27" s="1">
        <f t="shared" si="2"/>
        <v>2.9795232160162994E-3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s="1">
        <v>0</v>
      </c>
      <c r="V27" s="1">
        <v>0</v>
      </c>
      <c r="W27" s="1">
        <v>0</v>
      </c>
      <c r="X27" s="1">
        <v>0</v>
      </c>
    </row>
    <row r="28" spans="2:24" x14ac:dyDescent="0.3">
      <c r="B28" t="s">
        <v>247</v>
      </c>
      <c r="C28" t="s">
        <v>68</v>
      </c>
      <c r="D28" t="s">
        <v>69</v>
      </c>
      <c r="E28" t="s">
        <v>70</v>
      </c>
      <c r="F28" t="s">
        <v>71</v>
      </c>
      <c r="G28" t="s">
        <v>73</v>
      </c>
      <c r="H28" s="1">
        <f>_xlfn.IFNA(INDEX('Info LT001'!$G:$H,MATCH('Cálculo excel'!B28,'Info LT001'!$G:$G,0),2),0)</f>
        <v>38777.910000000003</v>
      </c>
      <c r="I28" s="1">
        <f t="shared" si="0"/>
        <v>929165.44</v>
      </c>
      <c r="J28">
        <f t="shared" si="1"/>
        <v>21</v>
      </c>
      <c r="K28" s="1">
        <f t="shared" si="2"/>
        <v>4.1734128639136649E-2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s="1">
        <v>0</v>
      </c>
      <c r="V28" s="1">
        <v>0</v>
      </c>
      <c r="W28" s="1">
        <v>0</v>
      </c>
      <c r="X28" s="1">
        <v>0</v>
      </c>
    </row>
    <row r="29" spans="2:24" x14ac:dyDescent="0.3">
      <c r="B29" t="s">
        <v>216</v>
      </c>
      <c r="C29" t="s">
        <v>68</v>
      </c>
      <c r="D29" t="s">
        <v>95</v>
      </c>
      <c r="E29" t="s">
        <v>217</v>
      </c>
      <c r="F29" t="s">
        <v>97</v>
      </c>
      <c r="G29" t="s">
        <v>99</v>
      </c>
      <c r="H29" s="1">
        <f>_xlfn.IFNA(INDEX('Info LT001'!$G:$H,MATCH('Cálculo excel'!B29,'Info LT001'!$G:$G,0),2),0)</f>
        <v>57931.91</v>
      </c>
      <c r="I29" s="1">
        <f t="shared" si="0"/>
        <v>57931.91</v>
      </c>
      <c r="J29">
        <f t="shared" si="1"/>
        <v>1</v>
      </c>
      <c r="K29" s="1">
        <f t="shared" si="2"/>
        <v>1</v>
      </c>
      <c r="L29">
        <v>640.01</v>
      </c>
      <c r="M29">
        <v>0</v>
      </c>
      <c r="N29">
        <v>324.18</v>
      </c>
      <c r="O29">
        <v>0</v>
      </c>
      <c r="P29">
        <v>-101.27999999999999</v>
      </c>
      <c r="Q29">
        <v>0</v>
      </c>
      <c r="R29">
        <v>291.70999999999998</v>
      </c>
      <c r="S29">
        <v>0</v>
      </c>
      <c r="T29">
        <v>0</v>
      </c>
      <c r="U29" s="1">
        <v>0</v>
      </c>
      <c r="V29" s="1">
        <v>26274.61</v>
      </c>
      <c r="W29" s="1">
        <v>0</v>
      </c>
      <c r="X29" s="1">
        <v>0</v>
      </c>
    </row>
    <row r="30" spans="2:24" x14ac:dyDescent="0.3">
      <c r="B30" t="s">
        <v>94</v>
      </c>
      <c r="C30" t="s">
        <v>68</v>
      </c>
      <c r="D30" t="s">
        <v>95</v>
      </c>
      <c r="E30" t="s">
        <v>96</v>
      </c>
      <c r="F30" t="s">
        <v>97</v>
      </c>
      <c r="G30" t="s">
        <v>99</v>
      </c>
      <c r="H30" s="1">
        <f>_xlfn.IFNA(INDEX('Info LT001'!$G:$H,MATCH('Cálculo excel'!B30,'Info LT001'!$G:$G,0),2),0)</f>
        <v>29706.82</v>
      </c>
      <c r="I30" s="1">
        <f t="shared" si="0"/>
        <v>29706.82</v>
      </c>
      <c r="J30">
        <f t="shared" si="1"/>
        <v>1</v>
      </c>
      <c r="K30" s="1">
        <f t="shared" si="2"/>
        <v>1</v>
      </c>
      <c r="L30">
        <v>947.63</v>
      </c>
      <c r="M30">
        <v>0</v>
      </c>
      <c r="N30">
        <v>285.38</v>
      </c>
      <c r="O30">
        <v>0</v>
      </c>
      <c r="P30">
        <v>-3.07</v>
      </c>
      <c r="Q30">
        <v>0</v>
      </c>
      <c r="R30">
        <v>134.29</v>
      </c>
      <c r="S30">
        <v>0</v>
      </c>
      <c r="T30">
        <v>0</v>
      </c>
      <c r="U30" s="1">
        <v>36.97</v>
      </c>
      <c r="V30" s="1">
        <v>14152.03</v>
      </c>
      <c r="W30" s="1">
        <v>0</v>
      </c>
      <c r="X30" s="1">
        <v>0</v>
      </c>
    </row>
    <row r="31" spans="2:24" x14ac:dyDescent="0.3">
      <c r="B31" t="s">
        <v>230</v>
      </c>
      <c r="C31" t="s">
        <v>68</v>
      </c>
      <c r="D31" t="s">
        <v>231</v>
      </c>
      <c r="E31" t="s">
        <v>232</v>
      </c>
      <c r="F31" t="s">
        <v>97</v>
      </c>
      <c r="G31" t="s">
        <v>99</v>
      </c>
      <c r="H31" s="1">
        <f>_xlfn.IFNA(INDEX('Info LT001'!$G:$H,MATCH('Cálculo excel'!B31,'Info LT001'!$G:$G,0),2),0)</f>
        <v>306.31</v>
      </c>
      <c r="I31" s="1">
        <f t="shared" si="0"/>
        <v>3012.9</v>
      </c>
      <c r="J31">
        <f t="shared" si="1"/>
        <v>2</v>
      </c>
      <c r="K31" s="1">
        <f t="shared" si="2"/>
        <v>0.10166616880746125</v>
      </c>
      <c r="L31">
        <v>0</v>
      </c>
      <c r="M31">
        <v>0</v>
      </c>
      <c r="N31">
        <v>0</v>
      </c>
      <c r="O31">
        <v>0</v>
      </c>
      <c r="P31">
        <v>3.3804001128480867</v>
      </c>
      <c r="Q31">
        <v>0</v>
      </c>
      <c r="R31">
        <v>3.5339160277473529</v>
      </c>
      <c r="S31">
        <v>0</v>
      </c>
      <c r="T31">
        <v>0</v>
      </c>
      <c r="U31" s="1">
        <v>0.67913000763384135</v>
      </c>
      <c r="V31" s="1">
        <v>298.61590434465131</v>
      </c>
      <c r="W31" s="1">
        <v>0</v>
      </c>
      <c r="X31" s="1">
        <v>0.97065774668923621</v>
      </c>
    </row>
    <row r="32" spans="2:24" x14ac:dyDescent="0.3">
      <c r="B32" t="s">
        <v>250</v>
      </c>
      <c r="C32" t="s">
        <v>68</v>
      </c>
      <c r="D32" t="s">
        <v>231</v>
      </c>
      <c r="E32" t="s">
        <v>232</v>
      </c>
      <c r="F32" t="s">
        <v>97</v>
      </c>
      <c r="G32" t="s">
        <v>99</v>
      </c>
      <c r="H32" s="1">
        <f>_xlfn.IFNA(INDEX('Info LT001'!$G:$H,MATCH('Cálculo excel'!B32,'Info LT001'!$G:$G,0),2),0)</f>
        <v>2706.59</v>
      </c>
      <c r="I32" s="1">
        <f t="shared" si="0"/>
        <v>3012.9</v>
      </c>
      <c r="J32">
        <f t="shared" si="1"/>
        <v>2</v>
      </c>
      <c r="K32" s="1">
        <f t="shared" si="2"/>
        <v>0.89833383119253873</v>
      </c>
      <c r="L32">
        <v>0</v>
      </c>
      <c r="M32">
        <v>0</v>
      </c>
      <c r="N32">
        <v>0</v>
      </c>
      <c r="O32">
        <v>0</v>
      </c>
      <c r="P32">
        <v>29.869599887151914</v>
      </c>
      <c r="Q32">
        <v>0</v>
      </c>
      <c r="R32">
        <v>31.226083972252646</v>
      </c>
      <c r="S32">
        <v>0</v>
      </c>
      <c r="T32">
        <v>0</v>
      </c>
      <c r="U32" s="1">
        <v>6.0008699923661597</v>
      </c>
      <c r="V32" s="1">
        <v>2638.6040956553484</v>
      </c>
      <c r="W32" s="1">
        <v>0</v>
      </c>
      <c r="X32" s="1">
        <v>8.5768422533107636</v>
      </c>
    </row>
    <row r="33" spans="2:24" x14ac:dyDescent="0.3">
      <c r="B33" t="s">
        <v>220</v>
      </c>
      <c r="C33" t="s">
        <v>68</v>
      </c>
      <c r="D33" t="s">
        <v>167</v>
      </c>
      <c r="E33" t="s">
        <v>221</v>
      </c>
      <c r="F33" t="s">
        <v>97</v>
      </c>
      <c r="G33" t="s">
        <v>99</v>
      </c>
      <c r="H33" s="1">
        <f>_xlfn.IFNA(INDEX('Info LT001'!$G:$H,MATCH('Cálculo excel'!B33,'Info LT001'!$G:$G,0),2),0)</f>
        <v>114.54</v>
      </c>
      <c r="I33" s="1">
        <f t="shared" si="0"/>
        <v>508.29</v>
      </c>
      <c r="J33">
        <f t="shared" si="1"/>
        <v>2</v>
      </c>
      <c r="K33" s="1">
        <f t="shared" si="2"/>
        <v>0.22534379979932717</v>
      </c>
      <c r="L33">
        <v>0</v>
      </c>
      <c r="M33">
        <v>0</v>
      </c>
      <c r="N33">
        <v>0</v>
      </c>
      <c r="O33">
        <v>0</v>
      </c>
      <c r="P33">
        <v>-1.7982435223986306</v>
      </c>
      <c r="Q33">
        <v>0</v>
      </c>
      <c r="R33">
        <v>0.25689193177123293</v>
      </c>
      <c r="S33">
        <v>0</v>
      </c>
      <c r="T33">
        <v>0</v>
      </c>
      <c r="U33" s="1">
        <v>0.26815912176119927</v>
      </c>
      <c r="V33" s="1">
        <v>97.179513663459844</v>
      </c>
      <c r="W33" s="1">
        <v>0</v>
      </c>
      <c r="X33" s="1">
        <v>1017.2875429380866</v>
      </c>
    </row>
    <row r="34" spans="2:24" x14ac:dyDescent="0.3">
      <c r="B34" t="s">
        <v>237</v>
      </c>
      <c r="C34" t="s">
        <v>68</v>
      </c>
      <c r="D34" t="s">
        <v>167</v>
      </c>
      <c r="E34" t="s">
        <v>221</v>
      </c>
      <c r="F34" t="s">
        <v>97</v>
      </c>
      <c r="G34" t="s">
        <v>99</v>
      </c>
      <c r="H34" s="1">
        <f>_xlfn.IFNA(INDEX('Info LT001'!$G:$H,MATCH('Cálculo excel'!B34,'Info LT001'!$G:$G,0),2),0)</f>
        <v>393.75</v>
      </c>
      <c r="I34" s="1">
        <f t="shared" si="0"/>
        <v>508.29</v>
      </c>
      <c r="J34">
        <f t="shared" si="1"/>
        <v>2</v>
      </c>
      <c r="K34" s="1">
        <f t="shared" si="2"/>
        <v>0.77465620020067283</v>
      </c>
      <c r="L34">
        <v>0</v>
      </c>
      <c r="M34">
        <v>0</v>
      </c>
      <c r="N34">
        <v>0</v>
      </c>
      <c r="O34">
        <v>0</v>
      </c>
      <c r="P34">
        <v>-6.1817564776013683</v>
      </c>
      <c r="Q34">
        <v>0</v>
      </c>
      <c r="R34">
        <v>0.88310806822876697</v>
      </c>
      <c r="S34">
        <v>0</v>
      </c>
      <c r="T34">
        <v>0</v>
      </c>
      <c r="U34" s="1">
        <v>0.92184087823880045</v>
      </c>
      <c r="V34" s="1">
        <v>334.07048633654017</v>
      </c>
      <c r="W34" s="1">
        <v>0</v>
      </c>
      <c r="X34" s="1">
        <v>3497.0924570619136</v>
      </c>
    </row>
    <row r="35" spans="2:24" x14ac:dyDescent="0.3">
      <c r="B35" t="s">
        <v>166</v>
      </c>
      <c r="C35" t="s">
        <v>68</v>
      </c>
      <c r="D35" t="s">
        <v>167</v>
      </c>
      <c r="E35" t="s">
        <v>168</v>
      </c>
      <c r="F35" t="s">
        <v>97</v>
      </c>
      <c r="G35" t="s">
        <v>99</v>
      </c>
      <c r="H35" s="1">
        <f>_xlfn.IFNA(INDEX('Info LT001'!$G:$H,MATCH('Cálculo excel'!B35,'Info LT001'!$G:$G,0),2),0)</f>
        <v>832.38</v>
      </c>
      <c r="I35" s="1">
        <f t="shared" si="0"/>
        <v>1277.92</v>
      </c>
      <c r="J35">
        <f t="shared" si="1"/>
        <v>2</v>
      </c>
      <c r="K35" s="1">
        <f t="shared" si="2"/>
        <v>0.65135532740703639</v>
      </c>
      <c r="L35">
        <v>0</v>
      </c>
      <c r="M35">
        <v>0</v>
      </c>
      <c r="N35">
        <v>0</v>
      </c>
      <c r="O35">
        <v>0</v>
      </c>
      <c r="P35">
        <v>-0.69695020032552912</v>
      </c>
      <c r="Q35">
        <v>0</v>
      </c>
      <c r="R35">
        <v>31.929438149492924</v>
      </c>
      <c r="S35">
        <v>0</v>
      </c>
      <c r="T35">
        <v>0</v>
      </c>
      <c r="U35" s="1">
        <v>1.1073040565919625</v>
      </c>
      <c r="V35" s="1">
        <v>1306.7164900776261</v>
      </c>
      <c r="W35" s="1">
        <v>0</v>
      </c>
      <c r="X35" s="1">
        <v>1230.5014032177287</v>
      </c>
    </row>
    <row r="36" spans="2:24" x14ac:dyDescent="0.3">
      <c r="B36" t="s">
        <v>242</v>
      </c>
      <c r="C36" t="s">
        <v>68</v>
      </c>
      <c r="D36" t="s">
        <v>167</v>
      </c>
      <c r="E36" t="s">
        <v>168</v>
      </c>
      <c r="F36" t="s">
        <v>97</v>
      </c>
      <c r="G36" t="s">
        <v>99</v>
      </c>
      <c r="H36" s="1">
        <f>_xlfn.IFNA(INDEX('Info LT001'!$G:$H,MATCH('Cálculo excel'!B36,'Info LT001'!$G:$G,0),2),0)</f>
        <v>445.54</v>
      </c>
      <c r="I36" s="1">
        <f t="shared" si="0"/>
        <v>1277.92</v>
      </c>
      <c r="J36">
        <f t="shared" si="1"/>
        <v>2</v>
      </c>
      <c r="K36" s="1">
        <f t="shared" si="2"/>
        <v>0.34864467259296356</v>
      </c>
      <c r="L36">
        <v>0</v>
      </c>
      <c r="M36">
        <v>0</v>
      </c>
      <c r="N36">
        <v>0</v>
      </c>
      <c r="O36">
        <v>0</v>
      </c>
      <c r="P36">
        <v>-0.37304979967447111</v>
      </c>
      <c r="Q36">
        <v>0</v>
      </c>
      <c r="R36">
        <v>17.090561850507076</v>
      </c>
      <c r="S36">
        <v>0</v>
      </c>
      <c r="T36">
        <v>0</v>
      </c>
      <c r="U36" s="1">
        <v>0.59269594340803844</v>
      </c>
      <c r="V36" s="1">
        <v>699.4335099223739</v>
      </c>
      <c r="W36" s="1">
        <v>0</v>
      </c>
      <c r="X36" s="1">
        <v>658.63859678227118</v>
      </c>
    </row>
  </sheetData>
  <autoFilter ref="B2:X36" xr:uid="{AF6BE7A0-9135-4394-BAC8-68972DE13CBE}"/>
  <sortState xmlns:xlrd2="http://schemas.microsoft.com/office/spreadsheetml/2017/richdata2" ref="B3:W37">
    <sortCondition ref="C3:C37"/>
    <sortCondition ref="D3:D37"/>
    <sortCondition ref="E3:E37"/>
    <sortCondition ref="F3:F37"/>
    <sortCondition ref="G3:G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66C6-9475-4205-942F-EB203D92C73A}">
  <sheetPr filterMode="1"/>
  <dimension ref="A1:AR12"/>
  <sheetViews>
    <sheetView topLeftCell="Q1" workbookViewId="0">
      <selection sqref="A1:AC10"/>
    </sheetView>
  </sheetViews>
  <sheetFormatPr defaultRowHeight="14.4" x14ac:dyDescent="0.3"/>
  <cols>
    <col min="1" max="1" width="10.33203125" bestFit="1" customWidth="1"/>
    <col min="2" max="2" width="8" bestFit="1" customWidth="1"/>
    <col min="3" max="3" width="8.21875" bestFit="1" customWidth="1"/>
    <col min="4" max="4" width="12" bestFit="1" customWidth="1"/>
    <col min="5" max="5" width="16.109375" bestFit="1" customWidth="1"/>
    <col min="6" max="6" width="9.77734375" bestFit="1" customWidth="1"/>
    <col min="7" max="7" width="11.44140625" bestFit="1" customWidth="1"/>
    <col min="8" max="8" width="10.77734375" bestFit="1" customWidth="1"/>
    <col min="9" max="9" width="11.109375" bestFit="1" customWidth="1"/>
    <col min="10" max="10" width="10.77734375" bestFit="1" customWidth="1"/>
    <col min="11" max="11" width="11.109375" bestFit="1" customWidth="1"/>
    <col min="12" max="12" width="10.77734375" bestFit="1" customWidth="1"/>
    <col min="13" max="13" width="11.109375" bestFit="1" customWidth="1"/>
    <col min="14" max="14" width="10.77734375" bestFit="1" customWidth="1"/>
    <col min="15" max="15" width="11.109375" bestFit="1" customWidth="1"/>
    <col min="16" max="16" width="10.77734375" bestFit="1" customWidth="1"/>
    <col min="17" max="17" width="14.109375" bestFit="1" customWidth="1"/>
    <col min="18" max="18" width="13.5546875" bestFit="1" customWidth="1"/>
    <col min="19" max="19" width="10.77734375" bestFit="1" customWidth="1"/>
    <col min="20" max="20" width="14.109375" bestFit="1" customWidth="1"/>
    <col min="21" max="21" width="13.5546875" bestFit="1" customWidth="1"/>
    <col min="22" max="22" width="10.77734375" bestFit="1" customWidth="1"/>
    <col min="23" max="23" width="14.109375" bestFit="1" customWidth="1"/>
    <col min="24" max="24" width="13.5546875" bestFit="1" customWidth="1"/>
    <col min="25" max="25" width="10.77734375" bestFit="1" customWidth="1"/>
    <col min="26" max="26" width="11.109375" bestFit="1" customWidth="1"/>
    <col min="27" max="27" width="10.77734375" bestFit="1" customWidth="1"/>
    <col min="28" max="28" width="11.109375" bestFit="1" customWidth="1"/>
    <col min="29" max="29" width="10.77734375" bestFit="1" customWidth="1"/>
    <col min="30" max="30" width="11.109375" bestFit="1" customWidth="1"/>
    <col min="31" max="31" width="11.44140625" bestFit="1" customWidth="1"/>
    <col min="32" max="32" width="14.77734375" bestFit="1" customWidth="1"/>
    <col min="33" max="33" width="14.21875" bestFit="1" customWidth="1"/>
    <col min="34" max="34" width="11.77734375" bestFit="1" customWidth="1"/>
    <col min="35" max="35" width="12.109375" bestFit="1" customWidth="1"/>
    <col min="36" max="36" width="10.77734375" bestFit="1" customWidth="1"/>
    <col min="37" max="37" width="11.109375" bestFit="1" customWidth="1"/>
    <col min="38" max="38" width="10.77734375" bestFit="1" customWidth="1"/>
    <col min="39" max="39" width="11.109375" bestFit="1" customWidth="1"/>
    <col min="40" max="40" width="10.77734375" bestFit="1" customWidth="1"/>
    <col min="41" max="41" width="11.109375" bestFit="1" customWidth="1"/>
    <col min="42" max="42" width="10.77734375" bestFit="1" customWidth="1"/>
    <col min="43" max="43" width="11.109375" bestFit="1" customWidth="1"/>
    <col min="44" max="44" width="11.5546875" bestFit="1" customWidth="1"/>
  </cols>
  <sheetData>
    <row r="1" spans="1:44" x14ac:dyDescent="0.3">
      <c r="A1" t="s">
        <v>1</v>
      </c>
      <c r="B1" t="s">
        <v>7</v>
      </c>
      <c r="C1" t="s">
        <v>8</v>
      </c>
      <c r="D1" t="s">
        <v>9</v>
      </c>
      <c r="E1" t="s">
        <v>255</v>
      </c>
      <c r="F1" t="s">
        <v>256</v>
      </c>
      <c r="G1" t="s">
        <v>11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  <c r="Q1" t="s">
        <v>266</v>
      </c>
      <c r="R1" t="s">
        <v>267</v>
      </c>
      <c r="S1" t="s">
        <v>268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  <c r="Y1" t="s">
        <v>274</v>
      </c>
      <c r="Z1" t="s">
        <v>275</v>
      </c>
      <c r="AA1" t="s">
        <v>276</v>
      </c>
      <c r="AB1" t="s">
        <v>277</v>
      </c>
      <c r="AC1" t="s">
        <v>278</v>
      </c>
      <c r="AD1" t="s">
        <v>279</v>
      </c>
      <c r="AE1" t="s">
        <v>280</v>
      </c>
      <c r="AF1" t="s">
        <v>281</v>
      </c>
      <c r="AG1" t="s">
        <v>282</v>
      </c>
      <c r="AH1" t="s">
        <v>283</v>
      </c>
      <c r="AI1" t="s">
        <v>284</v>
      </c>
      <c r="AJ1" s="4" t="s">
        <v>285</v>
      </c>
      <c r="AK1" t="s">
        <v>286</v>
      </c>
      <c r="AL1" s="4" t="s">
        <v>287</v>
      </c>
      <c r="AM1" t="s">
        <v>288</v>
      </c>
      <c r="AN1" t="s">
        <v>289</v>
      </c>
      <c r="AO1" t="s">
        <v>290</v>
      </c>
      <c r="AP1" t="s">
        <v>291</v>
      </c>
      <c r="AQ1" t="s">
        <v>292</v>
      </c>
      <c r="AR1" t="s">
        <v>293</v>
      </c>
    </row>
    <row r="2" spans="1:44" hidden="1" x14ac:dyDescent="0.3">
      <c r="A2" t="s">
        <v>64</v>
      </c>
      <c r="B2" t="s">
        <v>68</v>
      </c>
      <c r="C2" t="s">
        <v>69</v>
      </c>
      <c r="D2" t="s">
        <v>122</v>
      </c>
      <c r="E2" t="s">
        <v>123</v>
      </c>
      <c r="F2" t="s">
        <v>294</v>
      </c>
      <c r="G2" t="s">
        <v>124</v>
      </c>
      <c r="H2" s="1">
        <v>17051.400000000001</v>
      </c>
      <c r="I2" s="1">
        <v>17051.400000000001</v>
      </c>
      <c r="J2" s="1">
        <v>16997.59</v>
      </c>
      <c r="K2" s="1">
        <v>16997.59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17381.96</v>
      </c>
      <c r="W2" s="1">
        <v>0</v>
      </c>
      <c r="X2" s="1">
        <v>17381.96</v>
      </c>
      <c r="Y2" s="1">
        <v>215.11</v>
      </c>
      <c r="Z2" s="1">
        <v>215.11</v>
      </c>
      <c r="AA2" s="1">
        <v>0</v>
      </c>
      <c r="AB2" s="1">
        <v>0</v>
      </c>
      <c r="AC2" s="1">
        <v>112.38</v>
      </c>
      <c r="AD2" s="1">
        <v>112.38</v>
      </c>
      <c r="AE2" s="1">
        <v>-27.97</v>
      </c>
      <c r="AF2" s="1">
        <v>0</v>
      </c>
      <c r="AG2" s="1">
        <v>0</v>
      </c>
      <c r="AH2" s="1">
        <v>0</v>
      </c>
      <c r="AI2" s="1">
        <v>0</v>
      </c>
      <c r="AJ2" s="1">
        <v>16.5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t="s">
        <v>295</v>
      </c>
    </row>
    <row r="3" spans="1:44" hidden="1" x14ac:dyDescent="0.3">
      <c r="A3" t="s">
        <v>64</v>
      </c>
      <c r="B3" t="s">
        <v>68</v>
      </c>
      <c r="C3" t="s">
        <v>69</v>
      </c>
      <c r="D3" t="s">
        <v>70</v>
      </c>
      <c r="E3" t="s">
        <v>71</v>
      </c>
      <c r="F3" t="s">
        <v>296</v>
      </c>
      <c r="G3" t="s">
        <v>72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t="s">
        <v>297</v>
      </c>
    </row>
    <row r="4" spans="1:44" hidden="1" x14ac:dyDescent="0.3">
      <c r="A4" t="s">
        <v>64</v>
      </c>
      <c r="B4" t="s">
        <v>68</v>
      </c>
      <c r="C4" t="s">
        <v>69</v>
      </c>
      <c r="D4" t="s">
        <v>152</v>
      </c>
      <c r="E4" t="s">
        <v>153</v>
      </c>
      <c r="F4" t="s">
        <v>294</v>
      </c>
      <c r="G4" t="s">
        <v>124</v>
      </c>
      <c r="H4" s="1">
        <v>13272.75</v>
      </c>
      <c r="I4" s="1">
        <v>13272.75</v>
      </c>
      <c r="J4" s="1">
        <v>13116.17</v>
      </c>
      <c r="K4" s="1">
        <v>13116.17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13549.84</v>
      </c>
      <c r="W4" s="1">
        <v>0</v>
      </c>
      <c r="X4" s="1">
        <v>13549.84</v>
      </c>
      <c r="Y4" s="1">
        <v>127.23</v>
      </c>
      <c r="Z4" s="1">
        <v>127.23</v>
      </c>
      <c r="AA4" s="1">
        <v>0</v>
      </c>
      <c r="AB4" s="1">
        <v>0</v>
      </c>
      <c r="AC4" s="1">
        <v>72.36</v>
      </c>
      <c r="AD4" s="1">
        <v>72.36</v>
      </c>
      <c r="AE4" s="1">
        <v>-0.51</v>
      </c>
      <c r="AF4" s="1">
        <v>0</v>
      </c>
      <c r="AG4" s="1">
        <v>0</v>
      </c>
      <c r="AH4" s="1">
        <v>0</v>
      </c>
      <c r="AI4" s="1">
        <v>0</v>
      </c>
      <c r="AJ4" s="1">
        <v>16.5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t="s">
        <v>298</v>
      </c>
    </row>
    <row r="5" spans="1:44" hidden="1" x14ac:dyDescent="0.3">
      <c r="A5" t="s">
        <v>64</v>
      </c>
      <c r="B5" t="s">
        <v>68</v>
      </c>
      <c r="C5" t="s">
        <v>167</v>
      </c>
      <c r="D5" t="s">
        <v>221</v>
      </c>
      <c r="E5" t="s">
        <v>97</v>
      </c>
      <c r="F5" t="s">
        <v>299</v>
      </c>
      <c r="G5" t="s">
        <v>222</v>
      </c>
      <c r="H5" s="1">
        <v>519.91</v>
      </c>
      <c r="I5" s="1">
        <v>519.91</v>
      </c>
      <c r="J5" s="1">
        <v>508.29</v>
      </c>
      <c r="K5" s="1">
        <v>508.29</v>
      </c>
      <c r="L5" s="1">
        <v>0</v>
      </c>
      <c r="M5" s="1">
        <v>0</v>
      </c>
      <c r="N5" s="1">
        <v>13.66</v>
      </c>
      <c r="O5" s="1">
        <v>13.66</v>
      </c>
      <c r="P5" s="1">
        <v>4491.71</v>
      </c>
      <c r="Q5" s="1">
        <v>0</v>
      </c>
      <c r="R5" s="1">
        <v>4491.71</v>
      </c>
      <c r="S5" s="1">
        <v>0</v>
      </c>
      <c r="T5" s="1">
        <v>0</v>
      </c>
      <c r="U5" s="1">
        <v>0</v>
      </c>
      <c r="V5" s="1">
        <v>431.25</v>
      </c>
      <c r="W5" s="1">
        <v>0</v>
      </c>
      <c r="X5" s="1">
        <v>431.25</v>
      </c>
      <c r="Y5" s="1">
        <v>1.1399999999999999</v>
      </c>
      <c r="Z5" s="1">
        <v>1.1399999999999999</v>
      </c>
      <c r="AA5" s="1">
        <v>0</v>
      </c>
      <c r="AB5" s="1">
        <v>0</v>
      </c>
      <c r="AC5" s="1">
        <v>3.01</v>
      </c>
      <c r="AD5" s="1">
        <v>3.01</v>
      </c>
      <c r="AE5" s="1">
        <v>23.98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t="s">
        <v>300</v>
      </c>
    </row>
    <row r="6" spans="1:44" hidden="1" x14ac:dyDescent="0.3">
      <c r="A6" t="s">
        <v>64</v>
      </c>
      <c r="B6" s="5" t="s">
        <v>68</v>
      </c>
      <c r="C6" s="5" t="s">
        <v>69</v>
      </c>
      <c r="D6" s="5" t="s">
        <v>135</v>
      </c>
      <c r="E6" s="5" t="s">
        <v>136</v>
      </c>
      <c r="F6" t="s">
        <v>301</v>
      </c>
      <c r="G6" t="s">
        <v>124</v>
      </c>
      <c r="H6" s="1">
        <v>0.05</v>
      </c>
      <c r="I6" s="1">
        <v>0.05</v>
      </c>
      <c r="J6" s="1">
        <v>0.05</v>
      </c>
      <c r="K6" s="1">
        <v>0.05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4650.2</v>
      </c>
      <c r="T6" s="1">
        <v>0</v>
      </c>
      <c r="U6" s="1">
        <v>4650.2</v>
      </c>
      <c r="V6" s="1">
        <v>0.05</v>
      </c>
      <c r="W6" s="1">
        <v>0</v>
      </c>
      <c r="X6" s="1">
        <v>0.05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43.98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t="s">
        <v>295</v>
      </c>
    </row>
    <row r="7" spans="1:44" hidden="1" x14ac:dyDescent="0.3">
      <c r="A7" t="s">
        <v>64</v>
      </c>
      <c r="B7" t="s">
        <v>68</v>
      </c>
      <c r="C7" t="s">
        <v>167</v>
      </c>
      <c r="D7" t="s">
        <v>168</v>
      </c>
      <c r="E7" t="s">
        <v>97</v>
      </c>
      <c r="F7" t="s">
        <v>299</v>
      </c>
      <c r="G7" t="s">
        <v>98</v>
      </c>
      <c r="H7" s="1">
        <v>753.24</v>
      </c>
      <c r="I7" s="1">
        <v>753.24</v>
      </c>
      <c r="J7" s="1">
        <v>1277.92</v>
      </c>
      <c r="K7" s="1">
        <v>1277.92</v>
      </c>
      <c r="L7" s="1">
        <v>445.54</v>
      </c>
      <c r="M7" s="1">
        <v>445.54</v>
      </c>
      <c r="N7" s="1">
        <v>205.26</v>
      </c>
      <c r="O7" s="1">
        <v>205.26</v>
      </c>
      <c r="P7" s="1">
        <v>2722.08</v>
      </c>
      <c r="Q7" s="1">
        <v>0</v>
      </c>
      <c r="R7" s="1">
        <v>2722.08</v>
      </c>
      <c r="S7" s="1">
        <v>0</v>
      </c>
      <c r="T7" s="1">
        <v>0</v>
      </c>
      <c r="U7" s="1">
        <v>0</v>
      </c>
      <c r="V7" s="1">
        <v>2006.15</v>
      </c>
      <c r="W7" s="1">
        <v>0</v>
      </c>
      <c r="X7" s="1">
        <v>2006.15</v>
      </c>
      <c r="Y7" s="1">
        <v>49.02</v>
      </c>
      <c r="Z7" s="1">
        <v>49.02</v>
      </c>
      <c r="AA7" s="1">
        <v>0</v>
      </c>
      <c r="AB7" s="1">
        <v>0</v>
      </c>
      <c r="AC7" s="1">
        <v>14.72</v>
      </c>
      <c r="AD7" s="1">
        <v>14.72</v>
      </c>
      <c r="AE7" s="1">
        <v>2.77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t="s">
        <v>302</v>
      </c>
    </row>
    <row r="8" spans="1:44" hidden="1" x14ac:dyDescent="0.3">
      <c r="A8" t="s">
        <v>64</v>
      </c>
      <c r="B8" t="s">
        <v>68</v>
      </c>
      <c r="C8" t="s">
        <v>69</v>
      </c>
      <c r="D8" t="s">
        <v>145</v>
      </c>
      <c r="E8" t="s">
        <v>146</v>
      </c>
      <c r="F8" t="s">
        <v>294</v>
      </c>
      <c r="G8" t="s">
        <v>124</v>
      </c>
      <c r="H8" s="1">
        <v>22824.880000000001</v>
      </c>
      <c r="I8" s="1">
        <v>22824.880000000001</v>
      </c>
      <c r="J8" s="1">
        <v>22471</v>
      </c>
      <c r="K8" s="1">
        <v>22471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719.3</v>
      </c>
      <c r="T8" s="1">
        <v>0</v>
      </c>
      <c r="U8" s="1">
        <v>719.3</v>
      </c>
      <c r="V8" s="1">
        <v>23369.18</v>
      </c>
      <c r="W8" s="1">
        <v>0</v>
      </c>
      <c r="X8" s="1">
        <v>23369.18</v>
      </c>
      <c r="Y8" s="1">
        <v>190.22</v>
      </c>
      <c r="Z8" s="1">
        <v>190.22</v>
      </c>
      <c r="AA8" s="1">
        <v>0</v>
      </c>
      <c r="AB8" s="1">
        <v>0</v>
      </c>
      <c r="AC8" s="1">
        <v>124.79</v>
      </c>
      <c r="AD8" s="1">
        <v>124.79</v>
      </c>
      <c r="AE8" s="1">
        <v>-155.56</v>
      </c>
      <c r="AF8" s="1">
        <v>0</v>
      </c>
      <c r="AG8" s="1">
        <v>0</v>
      </c>
      <c r="AH8" s="1">
        <v>0</v>
      </c>
      <c r="AI8" s="1">
        <v>0</v>
      </c>
      <c r="AJ8" s="1">
        <v>87.45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t="s">
        <v>298</v>
      </c>
    </row>
    <row r="9" spans="1:44" hidden="1" x14ac:dyDescent="0.3">
      <c r="A9" t="s">
        <v>64</v>
      </c>
      <c r="B9" t="s">
        <v>68</v>
      </c>
      <c r="C9" t="s">
        <v>95</v>
      </c>
      <c r="D9" t="s">
        <v>96</v>
      </c>
      <c r="E9" t="s">
        <v>97</v>
      </c>
      <c r="F9" t="s">
        <v>303</v>
      </c>
      <c r="G9" t="s">
        <v>98</v>
      </c>
      <c r="H9" s="1">
        <v>12885.25</v>
      </c>
      <c r="I9" s="1">
        <v>12885.25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14152.03</v>
      </c>
      <c r="W9" s="1">
        <v>0</v>
      </c>
      <c r="X9" s="1">
        <v>14152.03</v>
      </c>
      <c r="Y9" s="1">
        <v>134.29</v>
      </c>
      <c r="Z9" s="1">
        <v>134.29</v>
      </c>
      <c r="AA9" s="1">
        <v>0</v>
      </c>
      <c r="AB9" s="1">
        <v>0</v>
      </c>
      <c r="AC9" s="1">
        <v>117.89</v>
      </c>
      <c r="AD9" s="1">
        <v>117.89</v>
      </c>
      <c r="AE9" s="1">
        <v>-3.06</v>
      </c>
      <c r="AF9" s="1">
        <v>0</v>
      </c>
      <c r="AG9" s="1">
        <v>0</v>
      </c>
      <c r="AH9" s="1">
        <v>0</v>
      </c>
      <c r="AI9" s="1">
        <v>0</v>
      </c>
      <c r="AJ9" s="1">
        <v>947.63</v>
      </c>
      <c r="AK9" s="1">
        <v>0</v>
      </c>
      <c r="AL9" s="1">
        <v>0</v>
      </c>
      <c r="AM9" s="1">
        <v>0</v>
      </c>
      <c r="AN9" s="1">
        <v>285.38</v>
      </c>
      <c r="AO9" s="1">
        <v>0</v>
      </c>
      <c r="AP9" s="1">
        <v>0</v>
      </c>
      <c r="AQ9" s="1">
        <v>0</v>
      </c>
      <c r="AR9" t="s">
        <v>304</v>
      </c>
    </row>
    <row r="10" spans="1:44" x14ac:dyDescent="0.3">
      <c r="A10" t="s">
        <v>64</v>
      </c>
      <c r="B10" t="s">
        <v>68</v>
      </c>
      <c r="C10" t="s">
        <v>231</v>
      </c>
      <c r="D10" t="s">
        <v>232</v>
      </c>
      <c r="E10" t="s">
        <v>97</v>
      </c>
      <c r="F10" t="s">
        <v>299</v>
      </c>
      <c r="G10" t="s">
        <v>98</v>
      </c>
      <c r="H10" s="1">
        <v>2968.04</v>
      </c>
      <c r="I10" s="1">
        <v>2968.04</v>
      </c>
      <c r="J10" s="1">
        <v>3012.9</v>
      </c>
      <c r="K10" s="1">
        <v>3012.9</v>
      </c>
      <c r="L10" s="1">
        <v>0</v>
      </c>
      <c r="M10" s="1">
        <v>0</v>
      </c>
      <c r="N10" s="1">
        <v>74.290000000000006</v>
      </c>
      <c r="O10" s="1">
        <v>74.290000000000006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2937.22</v>
      </c>
      <c r="W10" s="1">
        <v>0</v>
      </c>
      <c r="X10" s="1">
        <v>2937.22</v>
      </c>
      <c r="Y10" s="1">
        <v>34.76</v>
      </c>
      <c r="Z10" s="1">
        <v>34.76</v>
      </c>
      <c r="AA10" s="1">
        <v>0</v>
      </c>
      <c r="AB10" s="1">
        <v>0</v>
      </c>
      <c r="AC10" s="1">
        <v>20.69</v>
      </c>
      <c r="AD10" s="1">
        <v>20.69</v>
      </c>
      <c r="AE10" s="6">
        <v>18.91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t="s">
        <v>305</v>
      </c>
    </row>
    <row r="11" spans="1:44" hidden="1" x14ac:dyDescent="0.3">
      <c r="A11" t="s">
        <v>64</v>
      </c>
      <c r="B11" t="s">
        <v>68</v>
      </c>
      <c r="C11" t="s">
        <v>95</v>
      </c>
      <c r="D11" t="s">
        <v>217</v>
      </c>
      <c r="E11" t="s">
        <v>97</v>
      </c>
      <c r="F11" t="s">
        <v>303</v>
      </c>
      <c r="G11" t="s">
        <v>98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26274.61</v>
      </c>
      <c r="W11" s="1">
        <v>0</v>
      </c>
      <c r="X11" s="1">
        <v>26274.61</v>
      </c>
      <c r="Y11" s="1">
        <v>291.70999999999998</v>
      </c>
      <c r="Z11" s="1">
        <v>291.70999999999998</v>
      </c>
      <c r="AA11" s="1">
        <v>0</v>
      </c>
      <c r="AB11" s="1">
        <v>0</v>
      </c>
      <c r="AC11" s="1">
        <v>216.9</v>
      </c>
      <c r="AD11" s="1">
        <v>216.9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640.01</v>
      </c>
      <c r="AK11" s="1">
        <v>0</v>
      </c>
      <c r="AL11" s="1">
        <v>0</v>
      </c>
      <c r="AM11" s="1">
        <v>0</v>
      </c>
      <c r="AN11" s="1">
        <v>324.18</v>
      </c>
      <c r="AO11" s="1">
        <v>0</v>
      </c>
      <c r="AP11" s="1">
        <v>0</v>
      </c>
      <c r="AQ11" s="1">
        <v>0</v>
      </c>
      <c r="AR11" t="s">
        <v>306</v>
      </c>
    </row>
    <row r="12" spans="1:44" hidden="1" x14ac:dyDescent="0.3">
      <c r="A12" t="s">
        <v>64</v>
      </c>
      <c r="B12" t="s">
        <v>68</v>
      </c>
      <c r="C12" t="s">
        <v>69</v>
      </c>
      <c r="D12" t="s">
        <v>160</v>
      </c>
      <c r="E12" t="s">
        <v>161</v>
      </c>
      <c r="F12" t="s">
        <v>294</v>
      </c>
      <c r="G12" t="s">
        <v>124</v>
      </c>
      <c r="H12" s="1">
        <v>28846.799999999999</v>
      </c>
      <c r="I12" s="1">
        <v>28846.799999999999</v>
      </c>
      <c r="J12" s="1">
        <v>28387.23</v>
      </c>
      <c r="K12" s="1">
        <v>28387.23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29657.11</v>
      </c>
      <c r="W12" s="1">
        <v>0</v>
      </c>
      <c r="X12" s="1">
        <v>29657.11</v>
      </c>
      <c r="Y12" s="1">
        <v>270.67</v>
      </c>
      <c r="Z12" s="1">
        <v>270.67</v>
      </c>
      <c r="AA12" s="1">
        <v>0</v>
      </c>
      <c r="AB12" s="1">
        <v>0</v>
      </c>
      <c r="AC12" s="1">
        <v>168.1</v>
      </c>
      <c r="AD12" s="1">
        <v>168.1</v>
      </c>
      <c r="AE12" s="1">
        <v>-1.51</v>
      </c>
      <c r="AF12" s="1">
        <v>0</v>
      </c>
      <c r="AG12" s="1">
        <v>0</v>
      </c>
      <c r="AH12" s="1">
        <v>0</v>
      </c>
      <c r="AI12" s="1">
        <v>0</v>
      </c>
      <c r="AJ12" s="1">
        <v>8.25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t="s">
        <v>307</v>
      </c>
    </row>
  </sheetData>
  <autoFilter ref="A1:AR12" xr:uid="{4A2766C6-9475-4205-942F-EB203D92C73A}">
    <filterColumn colId="3">
      <filters>
        <filter val="9555223001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A630-928E-498F-9C2B-C2CFECA1FA9A}">
  <sheetPr filterMode="1"/>
  <dimension ref="A1:AR12"/>
  <sheetViews>
    <sheetView topLeftCell="W1" workbookViewId="0">
      <selection activeCell="AC3" sqref="AC3"/>
    </sheetView>
  </sheetViews>
  <sheetFormatPr defaultRowHeight="14.4" x14ac:dyDescent="0.3"/>
  <cols>
    <col min="1" max="1" width="10.33203125" bestFit="1" customWidth="1"/>
    <col min="2" max="2" width="8" bestFit="1" customWidth="1"/>
    <col min="3" max="3" width="8.21875" bestFit="1" customWidth="1"/>
    <col min="4" max="4" width="12" bestFit="1" customWidth="1"/>
    <col min="5" max="5" width="16.109375" bestFit="1" customWidth="1"/>
    <col min="6" max="6" width="9.77734375" bestFit="1" customWidth="1"/>
    <col min="7" max="7" width="11.44140625" bestFit="1" customWidth="1"/>
    <col min="8" max="8" width="10.77734375" bestFit="1" customWidth="1"/>
    <col min="9" max="9" width="11.109375" bestFit="1" customWidth="1"/>
    <col min="10" max="10" width="10.77734375" bestFit="1" customWidth="1"/>
    <col min="11" max="11" width="11.109375" bestFit="1" customWidth="1"/>
    <col min="12" max="12" width="10.77734375" bestFit="1" customWidth="1"/>
    <col min="13" max="13" width="11.109375" bestFit="1" customWidth="1"/>
    <col min="14" max="14" width="10.77734375" bestFit="1" customWidth="1"/>
    <col min="15" max="15" width="11.109375" bestFit="1" customWidth="1"/>
    <col min="16" max="16" width="10.77734375" bestFit="1" customWidth="1"/>
    <col min="17" max="17" width="14.109375" bestFit="1" customWidth="1"/>
    <col min="18" max="18" width="13.5546875" bestFit="1" customWidth="1"/>
    <col min="19" max="19" width="10.77734375" bestFit="1" customWidth="1"/>
    <col min="20" max="20" width="14.109375" bestFit="1" customWidth="1"/>
    <col min="21" max="21" width="13.5546875" bestFit="1" customWidth="1"/>
    <col min="22" max="22" width="10.77734375" bestFit="1" customWidth="1"/>
    <col min="23" max="23" width="14.109375" bestFit="1" customWidth="1"/>
    <col min="24" max="24" width="13.5546875" bestFit="1" customWidth="1"/>
    <col min="25" max="25" width="10.77734375" bestFit="1" customWidth="1"/>
    <col min="26" max="26" width="11.109375" bestFit="1" customWidth="1"/>
    <col min="27" max="27" width="10.77734375" bestFit="1" customWidth="1"/>
    <col min="28" max="28" width="11.109375" bestFit="1" customWidth="1"/>
    <col min="29" max="29" width="10.77734375" bestFit="1" customWidth="1"/>
    <col min="30" max="30" width="11.109375" bestFit="1" customWidth="1"/>
    <col min="31" max="31" width="11.44140625" bestFit="1" customWidth="1"/>
    <col min="32" max="32" width="14.77734375" bestFit="1" customWidth="1"/>
    <col min="33" max="33" width="14.21875" bestFit="1" customWidth="1"/>
    <col min="34" max="34" width="11.77734375" bestFit="1" customWidth="1"/>
    <col min="35" max="35" width="12.109375" bestFit="1" customWidth="1"/>
    <col min="36" max="36" width="10.77734375" bestFit="1" customWidth="1"/>
    <col min="37" max="37" width="11.109375" bestFit="1" customWidth="1"/>
    <col min="38" max="38" width="10.77734375" bestFit="1" customWidth="1"/>
    <col min="39" max="39" width="11.109375" bestFit="1" customWidth="1"/>
    <col min="40" max="40" width="10.77734375" bestFit="1" customWidth="1"/>
    <col min="41" max="41" width="11.109375" bestFit="1" customWidth="1"/>
    <col min="42" max="42" width="10.77734375" bestFit="1" customWidth="1"/>
    <col min="43" max="43" width="11.109375" bestFit="1" customWidth="1"/>
    <col min="44" max="44" width="11.5546875" bestFit="1" customWidth="1"/>
  </cols>
  <sheetData>
    <row r="1" spans="1:44" x14ac:dyDescent="0.3">
      <c r="A1" t="s">
        <v>1</v>
      </c>
      <c r="B1" t="s">
        <v>7</v>
      </c>
      <c r="C1" t="s">
        <v>8</v>
      </c>
      <c r="D1" t="s">
        <v>9</v>
      </c>
      <c r="E1" t="s">
        <v>255</v>
      </c>
      <c r="F1" t="s">
        <v>256</v>
      </c>
      <c r="G1" t="s">
        <v>11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  <c r="Q1" t="s">
        <v>266</v>
      </c>
      <c r="R1" t="s">
        <v>267</v>
      </c>
      <c r="S1" t="s">
        <v>268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  <c r="Y1" t="s">
        <v>274</v>
      </c>
      <c r="Z1" t="s">
        <v>275</v>
      </c>
      <c r="AA1" t="s">
        <v>276</v>
      </c>
      <c r="AB1" t="s">
        <v>277</v>
      </c>
      <c r="AC1" t="s">
        <v>278</v>
      </c>
      <c r="AD1" t="s">
        <v>279</v>
      </c>
      <c r="AE1" t="s">
        <v>280</v>
      </c>
      <c r="AF1" t="s">
        <v>281</v>
      </c>
      <c r="AG1" t="s">
        <v>282</v>
      </c>
      <c r="AH1" t="s">
        <v>283</v>
      </c>
      <c r="AI1" t="s">
        <v>284</v>
      </c>
      <c r="AJ1" t="s">
        <v>285</v>
      </c>
      <c r="AK1" t="s">
        <v>286</v>
      </c>
      <c r="AL1" t="s">
        <v>287</v>
      </c>
      <c r="AM1" t="s">
        <v>288</v>
      </c>
      <c r="AN1" t="s">
        <v>289</v>
      </c>
      <c r="AO1" t="s">
        <v>290</v>
      </c>
      <c r="AP1" t="s">
        <v>291</v>
      </c>
      <c r="AQ1" t="s">
        <v>292</v>
      </c>
      <c r="AR1" t="s">
        <v>293</v>
      </c>
    </row>
    <row r="2" spans="1:44" hidden="1" x14ac:dyDescent="0.3">
      <c r="A2" t="s">
        <v>104</v>
      </c>
      <c r="B2" t="s">
        <v>68</v>
      </c>
      <c r="C2" t="s">
        <v>69</v>
      </c>
      <c r="D2" t="s">
        <v>152</v>
      </c>
      <c r="E2" t="s">
        <v>153</v>
      </c>
      <c r="F2" t="s">
        <v>294</v>
      </c>
      <c r="G2" t="s">
        <v>124</v>
      </c>
      <c r="H2" s="1">
        <v>13558.67</v>
      </c>
      <c r="I2" s="1">
        <v>13558.67</v>
      </c>
      <c r="J2" s="1">
        <v>13385.85</v>
      </c>
      <c r="K2" s="1">
        <v>13385.85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13695.42</v>
      </c>
      <c r="W2" s="1">
        <v>0</v>
      </c>
      <c r="X2" s="1">
        <v>13695.42</v>
      </c>
      <c r="Y2" s="1">
        <v>85.67</v>
      </c>
      <c r="Z2" s="1">
        <v>85.67</v>
      </c>
      <c r="AA2" s="1">
        <v>0</v>
      </c>
      <c r="AB2" s="1">
        <v>0</v>
      </c>
      <c r="AC2" s="1">
        <v>47.94</v>
      </c>
      <c r="AD2" s="1">
        <v>47.94</v>
      </c>
      <c r="AE2" s="1">
        <v>-0.52</v>
      </c>
      <c r="AF2" s="1">
        <v>0</v>
      </c>
      <c r="AG2" s="1">
        <v>0</v>
      </c>
      <c r="AH2" s="1">
        <v>0</v>
      </c>
      <c r="AI2" s="1">
        <v>0</v>
      </c>
      <c r="AJ2" s="1">
        <v>11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t="s">
        <v>298</v>
      </c>
    </row>
    <row r="3" spans="1:44" x14ac:dyDescent="0.3">
      <c r="A3" t="s">
        <v>104</v>
      </c>
      <c r="B3" t="s">
        <v>68</v>
      </c>
      <c r="C3" t="s">
        <v>231</v>
      </c>
      <c r="D3" t="s">
        <v>232</v>
      </c>
      <c r="E3" t="s">
        <v>97</v>
      </c>
      <c r="F3" t="s">
        <v>299</v>
      </c>
      <c r="G3" t="s">
        <v>98</v>
      </c>
      <c r="H3" s="1">
        <v>2933.18</v>
      </c>
      <c r="I3" s="1">
        <v>2933.18</v>
      </c>
      <c r="J3" s="1">
        <v>2999.62</v>
      </c>
      <c r="K3" s="1">
        <v>2999.62</v>
      </c>
      <c r="L3" s="1">
        <v>0</v>
      </c>
      <c r="M3" s="1">
        <v>0</v>
      </c>
      <c r="N3" s="1">
        <v>71.819999999999993</v>
      </c>
      <c r="O3" s="1">
        <v>71.819999999999993</v>
      </c>
      <c r="P3" s="1">
        <v>0.38</v>
      </c>
      <c r="Q3" s="1">
        <v>0</v>
      </c>
      <c r="R3" s="1">
        <v>0.38</v>
      </c>
      <c r="S3" s="1">
        <v>0</v>
      </c>
      <c r="T3" s="1">
        <v>0</v>
      </c>
      <c r="U3" s="1">
        <v>0</v>
      </c>
      <c r="V3" s="1">
        <v>2921.02</v>
      </c>
      <c r="W3" s="1">
        <v>0</v>
      </c>
      <c r="X3" s="1">
        <v>2921.02</v>
      </c>
      <c r="Y3" s="1">
        <v>22.8</v>
      </c>
      <c r="Z3" s="1">
        <v>22.8</v>
      </c>
      <c r="AA3" s="1">
        <v>0</v>
      </c>
      <c r="AB3" s="1">
        <v>0</v>
      </c>
      <c r="AC3" s="1">
        <v>14.01</v>
      </c>
      <c r="AD3" s="1">
        <v>14.01</v>
      </c>
      <c r="AE3" s="6">
        <v>-0.04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t="s">
        <v>305</v>
      </c>
    </row>
    <row r="4" spans="1:44" hidden="1" x14ac:dyDescent="0.3">
      <c r="A4" t="s">
        <v>104</v>
      </c>
      <c r="B4" t="s">
        <v>68</v>
      </c>
      <c r="C4" t="s">
        <v>69</v>
      </c>
      <c r="D4" t="s">
        <v>145</v>
      </c>
      <c r="E4" t="s">
        <v>146</v>
      </c>
      <c r="F4" t="s">
        <v>294</v>
      </c>
      <c r="G4" t="s">
        <v>124</v>
      </c>
      <c r="H4" s="1">
        <v>23384.17</v>
      </c>
      <c r="I4" s="1">
        <v>23384.17</v>
      </c>
      <c r="J4" s="1">
        <v>22993.4</v>
      </c>
      <c r="K4" s="1">
        <v>22993.4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726.1</v>
      </c>
      <c r="T4" s="1">
        <v>0</v>
      </c>
      <c r="U4" s="1">
        <v>726.1</v>
      </c>
      <c r="V4" s="1">
        <v>23655.17</v>
      </c>
      <c r="W4" s="1">
        <v>0</v>
      </c>
      <c r="X4" s="1">
        <v>23655.17</v>
      </c>
      <c r="Y4" s="1">
        <v>128.26</v>
      </c>
      <c r="Z4" s="1">
        <v>128.26</v>
      </c>
      <c r="AA4" s="1">
        <v>0</v>
      </c>
      <c r="AB4" s="1">
        <v>0</v>
      </c>
      <c r="AC4" s="1">
        <v>82.81</v>
      </c>
      <c r="AD4" s="1">
        <v>82.81</v>
      </c>
      <c r="AE4" s="1">
        <v>-152.94999999999999</v>
      </c>
      <c r="AF4" s="1">
        <v>0</v>
      </c>
      <c r="AG4" s="1">
        <v>0</v>
      </c>
      <c r="AH4" s="1">
        <v>0</v>
      </c>
      <c r="AI4" s="1">
        <v>0</v>
      </c>
      <c r="AJ4" s="1">
        <v>35.17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t="s">
        <v>298</v>
      </c>
    </row>
    <row r="5" spans="1:44" hidden="1" x14ac:dyDescent="0.3">
      <c r="A5" t="s">
        <v>104</v>
      </c>
      <c r="B5" t="s">
        <v>68</v>
      </c>
      <c r="C5" t="s">
        <v>69</v>
      </c>
      <c r="D5" t="s">
        <v>160</v>
      </c>
      <c r="E5" t="s">
        <v>161</v>
      </c>
      <c r="F5" t="s">
        <v>294</v>
      </c>
      <c r="G5" t="s">
        <v>124</v>
      </c>
      <c r="H5" s="1">
        <v>29686.080000000002</v>
      </c>
      <c r="I5" s="1">
        <v>29686.080000000002</v>
      </c>
      <c r="J5" s="1">
        <v>29178.720000000001</v>
      </c>
      <c r="K5" s="1">
        <v>29178.720000000001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30082.86</v>
      </c>
      <c r="W5" s="1">
        <v>0</v>
      </c>
      <c r="X5" s="1">
        <v>30082.86</v>
      </c>
      <c r="Y5" s="1">
        <v>188.03</v>
      </c>
      <c r="Z5" s="1">
        <v>188.03</v>
      </c>
      <c r="AA5" s="1">
        <v>0</v>
      </c>
      <c r="AB5" s="1">
        <v>0</v>
      </c>
      <c r="AC5" s="1">
        <v>116.73</v>
      </c>
      <c r="AD5" s="1">
        <v>116.73</v>
      </c>
      <c r="AE5" s="1">
        <v>-1.52</v>
      </c>
      <c r="AF5" s="1">
        <v>0</v>
      </c>
      <c r="AG5" s="1">
        <v>0</v>
      </c>
      <c r="AH5" s="1">
        <v>0</v>
      </c>
      <c r="AI5" s="1">
        <v>0</v>
      </c>
      <c r="AJ5" s="1">
        <v>5.5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t="s">
        <v>307</v>
      </c>
    </row>
    <row r="6" spans="1:44" hidden="1" x14ac:dyDescent="0.3">
      <c r="A6" t="s">
        <v>104</v>
      </c>
      <c r="B6" t="s">
        <v>68</v>
      </c>
      <c r="C6" t="s">
        <v>69</v>
      </c>
      <c r="D6" t="s">
        <v>135</v>
      </c>
      <c r="E6" t="s">
        <v>136</v>
      </c>
      <c r="F6" t="s">
        <v>301</v>
      </c>
      <c r="G6" t="s">
        <v>124</v>
      </c>
      <c r="H6" s="1">
        <v>0.05</v>
      </c>
      <c r="I6" s="1">
        <v>0.05</v>
      </c>
      <c r="J6" s="1">
        <v>0.05</v>
      </c>
      <c r="K6" s="1">
        <v>0.05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4650.2</v>
      </c>
      <c r="T6" s="1">
        <v>0</v>
      </c>
      <c r="U6" s="1">
        <v>4650.2</v>
      </c>
      <c r="V6" s="1">
        <v>0.05</v>
      </c>
      <c r="W6" s="1">
        <v>0</v>
      </c>
      <c r="X6" s="1">
        <v>0.05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91.55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t="s">
        <v>295</v>
      </c>
    </row>
    <row r="7" spans="1:44" hidden="1" x14ac:dyDescent="0.3">
      <c r="A7" t="s">
        <v>104</v>
      </c>
      <c r="B7" t="s">
        <v>68</v>
      </c>
      <c r="C7" t="s">
        <v>167</v>
      </c>
      <c r="D7" t="s">
        <v>221</v>
      </c>
      <c r="E7" t="s">
        <v>97</v>
      </c>
      <c r="F7" t="s">
        <v>299</v>
      </c>
      <c r="G7" t="s">
        <v>222</v>
      </c>
      <c r="H7" s="1">
        <v>591.78</v>
      </c>
      <c r="I7" s="1">
        <v>591.78</v>
      </c>
      <c r="J7" s="1">
        <v>587.12</v>
      </c>
      <c r="K7" s="1">
        <v>587.12</v>
      </c>
      <c r="L7" s="1">
        <v>429.27</v>
      </c>
      <c r="M7" s="1">
        <v>429.27</v>
      </c>
      <c r="N7" s="1">
        <v>0</v>
      </c>
      <c r="O7" s="1">
        <v>0</v>
      </c>
      <c r="P7" s="1">
        <v>4412.88</v>
      </c>
      <c r="Q7" s="1">
        <v>0</v>
      </c>
      <c r="R7" s="1">
        <v>4412.88</v>
      </c>
      <c r="S7" s="1">
        <v>0</v>
      </c>
      <c r="T7" s="1">
        <v>0</v>
      </c>
      <c r="U7" s="1">
        <v>0</v>
      </c>
      <c r="V7" s="1">
        <v>384.66</v>
      </c>
      <c r="W7" s="1">
        <v>0</v>
      </c>
      <c r="X7" s="1">
        <v>384.66</v>
      </c>
      <c r="Y7" s="1">
        <v>0.53</v>
      </c>
      <c r="Z7" s="1">
        <v>0.53</v>
      </c>
      <c r="AA7" s="1">
        <v>0</v>
      </c>
      <c r="AB7" s="1">
        <v>0</v>
      </c>
      <c r="AC7" s="1">
        <v>1.82</v>
      </c>
      <c r="AD7" s="1">
        <v>1.82</v>
      </c>
      <c r="AE7" s="1">
        <v>-25.45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t="s">
        <v>300</v>
      </c>
    </row>
    <row r="8" spans="1:44" hidden="1" x14ac:dyDescent="0.3">
      <c r="A8" t="s">
        <v>104</v>
      </c>
      <c r="B8" t="s">
        <v>68</v>
      </c>
      <c r="C8" t="s">
        <v>69</v>
      </c>
      <c r="D8" t="s">
        <v>122</v>
      </c>
      <c r="E8" t="s">
        <v>123</v>
      </c>
      <c r="F8" t="s">
        <v>294</v>
      </c>
      <c r="G8" t="s">
        <v>124</v>
      </c>
      <c r="H8" s="1">
        <v>17378.68</v>
      </c>
      <c r="I8" s="1">
        <v>17378.68</v>
      </c>
      <c r="J8" s="1">
        <v>17331.22</v>
      </c>
      <c r="K8" s="1">
        <v>17331.22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17555.650000000001</v>
      </c>
      <c r="W8" s="1">
        <v>0</v>
      </c>
      <c r="X8" s="1">
        <v>17555.650000000001</v>
      </c>
      <c r="Y8" s="1">
        <v>144.97</v>
      </c>
      <c r="Z8" s="1">
        <v>144.97</v>
      </c>
      <c r="AA8" s="1">
        <v>0</v>
      </c>
      <c r="AB8" s="1">
        <v>0</v>
      </c>
      <c r="AC8" s="1">
        <v>74.680000000000007</v>
      </c>
      <c r="AD8" s="1">
        <v>74.680000000000007</v>
      </c>
      <c r="AE8" s="1">
        <v>-27.86</v>
      </c>
      <c r="AF8" s="1">
        <v>0</v>
      </c>
      <c r="AG8" s="1">
        <v>0</v>
      </c>
      <c r="AH8" s="1">
        <v>0</v>
      </c>
      <c r="AI8" s="1">
        <v>0</v>
      </c>
      <c r="AJ8" s="1">
        <v>11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t="s">
        <v>295</v>
      </c>
    </row>
    <row r="9" spans="1:44" hidden="1" x14ac:dyDescent="0.3">
      <c r="A9" t="s">
        <v>104</v>
      </c>
      <c r="B9" t="s">
        <v>68</v>
      </c>
      <c r="C9" t="s">
        <v>69</v>
      </c>
      <c r="D9" t="s">
        <v>70</v>
      </c>
      <c r="E9" t="s">
        <v>71</v>
      </c>
      <c r="F9" t="s">
        <v>296</v>
      </c>
      <c r="G9" t="s">
        <v>72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t="s">
        <v>297</v>
      </c>
    </row>
    <row r="10" spans="1:44" hidden="1" x14ac:dyDescent="0.3">
      <c r="A10" t="s">
        <v>104</v>
      </c>
      <c r="B10" t="s">
        <v>68</v>
      </c>
      <c r="C10" t="s">
        <v>167</v>
      </c>
      <c r="D10" t="s">
        <v>168</v>
      </c>
      <c r="E10" t="s">
        <v>97</v>
      </c>
      <c r="F10" t="s">
        <v>299</v>
      </c>
      <c r="G10" t="s">
        <v>98</v>
      </c>
      <c r="H10" s="1">
        <v>2099.38</v>
      </c>
      <c r="I10" s="1">
        <v>2099.38</v>
      </c>
      <c r="J10" s="1">
        <v>627.12</v>
      </c>
      <c r="K10" s="1">
        <v>627.12</v>
      </c>
      <c r="L10" s="1">
        <v>0</v>
      </c>
      <c r="M10" s="1">
        <v>0</v>
      </c>
      <c r="N10" s="1">
        <v>0</v>
      </c>
      <c r="O10" s="1">
        <v>0</v>
      </c>
      <c r="P10" s="1">
        <v>3372.88</v>
      </c>
      <c r="Q10" s="1">
        <v>0</v>
      </c>
      <c r="R10" s="1">
        <v>3372.88</v>
      </c>
      <c r="S10" s="1">
        <v>0</v>
      </c>
      <c r="T10" s="1">
        <v>0</v>
      </c>
      <c r="U10" s="1">
        <v>0</v>
      </c>
      <c r="V10" s="1">
        <v>2664.47</v>
      </c>
      <c r="W10" s="1">
        <v>0</v>
      </c>
      <c r="X10" s="1">
        <v>2664.47</v>
      </c>
      <c r="Y10" s="1">
        <v>38.6</v>
      </c>
      <c r="Z10" s="1">
        <v>38.6</v>
      </c>
      <c r="AA10" s="1">
        <v>0</v>
      </c>
      <c r="AB10" s="1">
        <v>0</v>
      </c>
      <c r="AC10" s="1">
        <v>13.02</v>
      </c>
      <c r="AD10" s="1">
        <v>13.02</v>
      </c>
      <c r="AE10" s="1">
        <v>-3.45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t="s">
        <v>302</v>
      </c>
    </row>
    <row r="11" spans="1:44" hidden="1" x14ac:dyDescent="0.3">
      <c r="A11" t="s">
        <v>104</v>
      </c>
      <c r="B11" t="s">
        <v>68</v>
      </c>
      <c r="C11" t="s">
        <v>95</v>
      </c>
      <c r="D11" t="s">
        <v>217</v>
      </c>
      <c r="E11" t="s">
        <v>97</v>
      </c>
      <c r="F11" t="s">
        <v>303</v>
      </c>
      <c r="G11" t="s">
        <v>98</v>
      </c>
      <c r="H11" s="1">
        <v>20590.03</v>
      </c>
      <c r="I11" s="1">
        <v>20590.03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40079.910000000003</v>
      </c>
      <c r="W11" s="1">
        <v>0</v>
      </c>
      <c r="X11" s="1">
        <v>40079.910000000003</v>
      </c>
      <c r="Y11" s="1">
        <v>291.70999999999998</v>
      </c>
      <c r="Z11" s="1">
        <v>291.70999999999998</v>
      </c>
      <c r="AA11" s="1">
        <v>0</v>
      </c>
      <c r="AB11" s="1">
        <v>0</v>
      </c>
      <c r="AC11" s="1">
        <v>216.9</v>
      </c>
      <c r="AD11" s="1">
        <v>216.9</v>
      </c>
      <c r="AE11" s="1">
        <v>-101.21</v>
      </c>
      <c r="AF11" s="1">
        <v>0</v>
      </c>
      <c r="AG11" s="1">
        <v>0</v>
      </c>
      <c r="AH11" s="1">
        <v>0</v>
      </c>
      <c r="AI11" s="1">
        <v>0</v>
      </c>
      <c r="AJ11" s="1">
        <v>640.01</v>
      </c>
      <c r="AK11" s="1">
        <v>0</v>
      </c>
      <c r="AL11" s="1">
        <v>0</v>
      </c>
      <c r="AM11" s="1">
        <v>0</v>
      </c>
      <c r="AN11" s="1">
        <v>324.18</v>
      </c>
      <c r="AO11" s="1">
        <v>0</v>
      </c>
      <c r="AP11" s="1">
        <v>0</v>
      </c>
      <c r="AQ11" s="1">
        <v>0</v>
      </c>
      <c r="AR11" t="s">
        <v>306</v>
      </c>
    </row>
    <row r="12" spans="1:44" hidden="1" x14ac:dyDescent="0.3">
      <c r="A12" t="s">
        <v>104</v>
      </c>
      <c r="B12" t="s">
        <v>68</v>
      </c>
      <c r="C12" t="s">
        <v>95</v>
      </c>
      <c r="D12" t="s">
        <v>96</v>
      </c>
      <c r="E12" t="s">
        <v>97</v>
      </c>
      <c r="F12" t="s">
        <v>303</v>
      </c>
      <c r="G12" t="s">
        <v>98</v>
      </c>
      <c r="H12" s="1">
        <v>14809.76</v>
      </c>
      <c r="I12" s="1">
        <v>14809.76</v>
      </c>
      <c r="J12" s="1">
        <v>14808.65</v>
      </c>
      <c r="K12" s="1">
        <v>14808.65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14817.62</v>
      </c>
      <c r="W12" s="1">
        <v>0</v>
      </c>
      <c r="X12" s="1">
        <v>14817.62</v>
      </c>
      <c r="Y12" s="1">
        <v>92.66</v>
      </c>
      <c r="Z12" s="1">
        <v>92.66</v>
      </c>
      <c r="AA12" s="1">
        <v>0</v>
      </c>
      <c r="AB12" s="1">
        <v>0</v>
      </c>
      <c r="AC12" s="1">
        <v>80.92</v>
      </c>
      <c r="AD12" s="1">
        <v>80.92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8.5299999999999994</v>
      </c>
      <c r="AK12" s="1">
        <v>0</v>
      </c>
      <c r="AL12" s="1">
        <v>0</v>
      </c>
      <c r="AM12" s="1">
        <v>0</v>
      </c>
      <c r="AN12" s="1">
        <v>1.25</v>
      </c>
      <c r="AO12" s="1">
        <v>0</v>
      </c>
      <c r="AP12" s="1">
        <v>0</v>
      </c>
      <c r="AQ12" s="1">
        <v>0</v>
      </c>
      <c r="AR12" t="s">
        <v>304</v>
      </c>
    </row>
  </sheetData>
  <autoFilter ref="A1:AR12" xr:uid="{72D8A630-928E-498F-9C2B-C2CFECA1FA9A}">
    <filterColumn colId="3">
      <filters>
        <filter val="9555223001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31F3-FB9B-4AA8-B976-AEAE389C61F6}">
  <sheetPr filterMode="1"/>
  <dimension ref="A1:AR12"/>
  <sheetViews>
    <sheetView topLeftCell="M1" workbookViewId="0">
      <selection activeCell="X29" sqref="X29"/>
    </sheetView>
  </sheetViews>
  <sheetFormatPr defaultRowHeight="14.4" x14ac:dyDescent="0.3"/>
  <cols>
    <col min="1" max="1" width="10.33203125" bestFit="1" customWidth="1"/>
    <col min="2" max="2" width="8" bestFit="1" customWidth="1"/>
    <col min="3" max="3" width="8.21875" bestFit="1" customWidth="1"/>
    <col min="4" max="4" width="12" bestFit="1" customWidth="1"/>
    <col min="5" max="5" width="16.109375" bestFit="1" customWidth="1"/>
    <col min="6" max="6" width="9.77734375" bestFit="1" customWidth="1"/>
    <col min="7" max="7" width="11.44140625" bestFit="1" customWidth="1"/>
    <col min="8" max="8" width="10.77734375" bestFit="1" customWidth="1"/>
    <col min="9" max="9" width="11.109375" bestFit="1" customWidth="1"/>
    <col min="10" max="10" width="10.77734375" bestFit="1" customWidth="1"/>
    <col min="11" max="11" width="11.109375" bestFit="1" customWidth="1"/>
    <col min="12" max="12" width="10.77734375" bestFit="1" customWidth="1"/>
    <col min="13" max="13" width="11.109375" bestFit="1" customWidth="1"/>
    <col min="14" max="14" width="10.77734375" bestFit="1" customWidth="1"/>
    <col min="15" max="15" width="11.109375" bestFit="1" customWidth="1"/>
    <col min="16" max="16" width="10.77734375" bestFit="1" customWidth="1"/>
    <col min="17" max="17" width="14.109375" bestFit="1" customWidth="1"/>
    <col min="18" max="18" width="13.5546875" bestFit="1" customWidth="1"/>
    <col min="19" max="19" width="10.77734375" bestFit="1" customWidth="1"/>
    <col min="20" max="20" width="14.109375" bestFit="1" customWidth="1"/>
    <col min="21" max="21" width="13.5546875" bestFit="1" customWidth="1"/>
    <col min="22" max="22" width="10.77734375" bestFit="1" customWidth="1"/>
    <col min="23" max="23" width="14.109375" bestFit="1" customWidth="1"/>
    <col min="24" max="24" width="13.5546875" bestFit="1" customWidth="1"/>
    <col min="25" max="25" width="10.77734375" bestFit="1" customWidth="1"/>
    <col min="26" max="26" width="11.109375" bestFit="1" customWidth="1"/>
    <col min="27" max="27" width="10.77734375" bestFit="1" customWidth="1"/>
    <col min="28" max="28" width="11.109375" bestFit="1" customWidth="1"/>
    <col min="29" max="29" width="10.77734375" bestFit="1" customWidth="1"/>
    <col min="30" max="30" width="11.109375" bestFit="1" customWidth="1"/>
    <col min="31" max="31" width="11.44140625" bestFit="1" customWidth="1"/>
    <col min="32" max="32" width="14.77734375" bestFit="1" customWidth="1"/>
    <col min="33" max="33" width="14.21875" bestFit="1" customWidth="1"/>
    <col min="34" max="34" width="11.77734375" bestFit="1" customWidth="1"/>
    <col min="35" max="35" width="12.109375" bestFit="1" customWidth="1"/>
    <col min="36" max="36" width="10.77734375" bestFit="1" customWidth="1"/>
    <col min="37" max="37" width="11.109375" bestFit="1" customWidth="1"/>
    <col min="38" max="38" width="10.77734375" bestFit="1" customWidth="1"/>
    <col min="39" max="39" width="11.109375" bestFit="1" customWidth="1"/>
    <col min="40" max="40" width="10.77734375" bestFit="1" customWidth="1"/>
    <col min="41" max="41" width="11.109375" bestFit="1" customWidth="1"/>
    <col min="42" max="42" width="10.77734375" bestFit="1" customWidth="1"/>
    <col min="43" max="43" width="11.109375" bestFit="1" customWidth="1"/>
    <col min="44" max="44" width="11.5546875" bestFit="1" customWidth="1"/>
  </cols>
  <sheetData>
    <row r="1" spans="1:44" x14ac:dyDescent="0.3">
      <c r="A1" t="s">
        <v>1</v>
      </c>
      <c r="B1" t="s">
        <v>7</v>
      </c>
      <c r="C1" t="s">
        <v>8</v>
      </c>
      <c r="D1" t="s">
        <v>9</v>
      </c>
      <c r="E1" t="s">
        <v>255</v>
      </c>
      <c r="F1" t="s">
        <v>256</v>
      </c>
      <c r="G1" t="s">
        <v>11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  <c r="Q1" t="s">
        <v>266</v>
      </c>
      <c r="R1" t="s">
        <v>267</v>
      </c>
      <c r="S1" t="s">
        <v>268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  <c r="Y1" t="s">
        <v>274</v>
      </c>
      <c r="Z1" t="s">
        <v>275</v>
      </c>
      <c r="AA1" t="s">
        <v>276</v>
      </c>
      <c r="AB1" t="s">
        <v>277</v>
      </c>
      <c r="AC1" t="s">
        <v>278</v>
      </c>
      <c r="AD1" t="s">
        <v>279</v>
      </c>
      <c r="AE1" t="s">
        <v>280</v>
      </c>
      <c r="AF1" t="s">
        <v>281</v>
      </c>
      <c r="AG1" t="s">
        <v>282</v>
      </c>
      <c r="AH1" t="s">
        <v>283</v>
      </c>
      <c r="AI1" t="s">
        <v>284</v>
      </c>
      <c r="AJ1" t="s">
        <v>285</v>
      </c>
      <c r="AK1" t="s">
        <v>286</v>
      </c>
      <c r="AL1" t="s">
        <v>287</v>
      </c>
      <c r="AM1" t="s">
        <v>288</v>
      </c>
      <c r="AN1" t="s">
        <v>289</v>
      </c>
      <c r="AO1" t="s">
        <v>290</v>
      </c>
      <c r="AP1" t="s">
        <v>291</v>
      </c>
      <c r="AQ1" t="s">
        <v>292</v>
      </c>
      <c r="AR1" t="s">
        <v>293</v>
      </c>
    </row>
    <row r="2" spans="1:44" hidden="1" x14ac:dyDescent="0.3">
      <c r="A2" t="s">
        <v>218</v>
      </c>
      <c r="B2" t="s">
        <v>68</v>
      </c>
      <c r="C2" t="s">
        <v>69</v>
      </c>
      <c r="D2" t="s">
        <v>70</v>
      </c>
      <c r="E2" t="s">
        <v>71</v>
      </c>
      <c r="F2" t="s">
        <v>296</v>
      </c>
      <c r="G2" t="s">
        <v>72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t="s">
        <v>297</v>
      </c>
    </row>
    <row r="3" spans="1:44" hidden="1" x14ac:dyDescent="0.3">
      <c r="A3" t="s">
        <v>218</v>
      </c>
      <c r="B3" t="s">
        <v>68</v>
      </c>
      <c r="C3" t="s">
        <v>69</v>
      </c>
      <c r="D3" t="s">
        <v>122</v>
      </c>
      <c r="E3" t="s">
        <v>123</v>
      </c>
      <c r="F3" t="s">
        <v>294</v>
      </c>
      <c r="G3" t="s">
        <v>124</v>
      </c>
      <c r="H3" s="1">
        <v>17715.5</v>
      </c>
      <c r="I3" s="1">
        <v>17715.5</v>
      </c>
      <c r="J3" s="1">
        <v>17663.48</v>
      </c>
      <c r="K3" s="1">
        <v>17663.48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17715.5</v>
      </c>
      <c r="W3" s="1">
        <v>0</v>
      </c>
      <c r="X3" s="1">
        <v>17715.5</v>
      </c>
      <c r="Y3" s="1">
        <v>73.5</v>
      </c>
      <c r="Z3" s="1">
        <v>73.5</v>
      </c>
      <c r="AA3" s="1">
        <v>0</v>
      </c>
      <c r="AB3" s="1">
        <v>0</v>
      </c>
      <c r="AC3" s="1">
        <v>39.97</v>
      </c>
      <c r="AD3" s="1">
        <v>39.97</v>
      </c>
      <c r="AE3" s="1">
        <v>-13.57</v>
      </c>
      <c r="AF3" s="1">
        <v>0</v>
      </c>
      <c r="AG3" s="1">
        <v>0</v>
      </c>
      <c r="AH3" s="1">
        <v>0</v>
      </c>
      <c r="AI3" s="1">
        <v>0</v>
      </c>
      <c r="AJ3" s="1">
        <v>5.5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t="s">
        <v>295</v>
      </c>
    </row>
    <row r="4" spans="1:44" hidden="1" x14ac:dyDescent="0.3">
      <c r="A4" t="s">
        <v>218</v>
      </c>
      <c r="B4" t="s">
        <v>68</v>
      </c>
      <c r="C4" t="s">
        <v>167</v>
      </c>
      <c r="D4" t="s">
        <v>168</v>
      </c>
      <c r="E4" t="s">
        <v>97</v>
      </c>
      <c r="F4" t="s">
        <v>299</v>
      </c>
      <c r="G4" t="s">
        <v>98</v>
      </c>
      <c r="H4" s="1">
        <v>3174.87</v>
      </c>
      <c r="I4" s="1">
        <v>3174.87</v>
      </c>
      <c r="J4" s="1">
        <v>3243.95</v>
      </c>
      <c r="K4" s="1">
        <v>3243.95</v>
      </c>
      <c r="L4" s="1">
        <v>0</v>
      </c>
      <c r="M4" s="1">
        <v>0</v>
      </c>
      <c r="N4" s="1">
        <v>0</v>
      </c>
      <c r="O4" s="1">
        <v>0</v>
      </c>
      <c r="P4" s="1">
        <v>756.05</v>
      </c>
      <c r="Q4" s="1">
        <v>0</v>
      </c>
      <c r="R4" s="1">
        <v>756.05</v>
      </c>
      <c r="S4" s="1">
        <v>0</v>
      </c>
      <c r="T4" s="1">
        <v>0</v>
      </c>
      <c r="U4" s="1">
        <v>0</v>
      </c>
      <c r="V4" s="1">
        <v>3174.87</v>
      </c>
      <c r="W4" s="1">
        <v>0</v>
      </c>
      <c r="X4" s="1">
        <v>3174.87</v>
      </c>
      <c r="Y4" s="1">
        <v>19.690000000000001</v>
      </c>
      <c r="Z4" s="1">
        <v>19.690000000000001</v>
      </c>
      <c r="AA4" s="1">
        <v>0</v>
      </c>
      <c r="AB4" s="1">
        <v>0</v>
      </c>
      <c r="AC4" s="1">
        <v>8.34</v>
      </c>
      <c r="AD4" s="1">
        <v>8.34</v>
      </c>
      <c r="AE4" s="1">
        <v>-0.39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t="s">
        <v>302</v>
      </c>
    </row>
    <row r="5" spans="1:44" hidden="1" x14ac:dyDescent="0.3">
      <c r="A5" t="s">
        <v>218</v>
      </c>
      <c r="B5" t="s">
        <v>68</v>
      </c>
      <c r="C5" t="s">
        <v>69</v>
      </c>
      <c r="D5" t="s">
        <v>160</v>
      </c>
      <c r="E5" t="s">
        <v>161</v>
      </c>
      <c r="F5" t="s">
        <v>294</v>
      </c>
      <c r="G5" t="s">
        <v>124</v>
      </c>
      <c r="H5" s="1">
        <v>30441.25</v>
      </c>
      <c r="I5" s="1">
        <v>30441.25</v>
      </c>
      <c r="J5" s="1">
        <v>29967.95</v>
      </c>
      <c r="K5" s="1">
        <v>29967.95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30441.25</v>
      </c>
      <c r="W5" s="1">
        <v>0</v>
      </c>
      <c r="X5" s="1">
        <v>30441.25</v>
      </c>
      <c r="Y5" s="1">
        <v>103.13</v>
      </c>
      <c r="Z5" s="1">
        <v>103.13</v>
      </c>
      <c r="AA5" s="1">
        <v>0</v>
      </c>
      <c r="AB5" s="1">
        <v>0</v>
      </c>
      <c r="AC5" s="1">
        <v>68.98</v>
      </c>
      <c r="AD5" s="1">
        <v>68.98</v>
      </c>
      <c r="AE5" s="1">
        <v>-1.1599999999999999</v>
      </c>
      <c r="AF5" s="1">
        <v>0</v>
      </c>
      <c r="AG5" s="1">
        <v>0</v>
      </c>
      <c r="AH5" s="1">
        <v>0</v>
      </c>
      <c r="AI5" s="1">
        <v>0</v>
      </c>
      <c r="AJ5" s="1">
        <v>2.75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t="s">
        <v>307</v>
      </c>
    </row>
    <row r="6" spans="1:44" hidden="1" x14ac:dyDescent="0.3">
      <c r="A6" t="s">
        <v>218</v>
      </c>
      <c r="B6" t="s">
        <v>68</v>
      </c>
      <c r="C6" t="s">
        <v>69</v>
      </c>
      <c r="D6" t="s">
        <v>135</v>
      </c>
      <c r="E6" t="s">
        <v>136</v>
      </c>
      <c r="F6" t="s">
        <v>301</v>
      </c>
      <c r="G6" t="s">
        <v>124</v>
      </c>
      <c r="H6" s="1">
        <v>0.05</v>
      </c>
      <c r="I6" s="1">
        <v>0.05</v>
      </c>
      <c r="J6" s="1">
        <v>0.05</v>
      </c>
      <c r="K6" s="1">
        <v>0.05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4650.2</v>
      </c>
      <c r="T6" s="1">
        <v>0</v>
      </c>
      <c r="U6" s="1">
        <v>4650.2</v>
      </c>
      <c r="V6" s="1">
        <v>0.05</v>
      </c>
      <c r="W6" s="1">
        <v>0</v>
      </c>
      <c r="X6" s="1">
        <v>0.05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91.54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t="s">
        <v>295</v>
      </c>
    </row>
    <row r="7" spans="1:44" hidden="1" x14ac:dyDescent="0.3">
      <c r="A7" t="s">
        <v>218</v>
      </c>
      <c r="B7" t="s">
        <v>68</v>
      </c>
      <c r="C7" t="s">
        <v>95</v>
      </c>
      <c r="D7" t="s">
        <v>217</v>
      </c>
      <c r="E7" t="s">
        <v>97</v>
      </c>
      <c r="F7" t="s">
        <v>303</v>
      </c>
      <c r="G7" t="s">
        <v>222</v>
      </c>
      <c r="H7" s="1">
        <v>57683.67</v>
      </c>
      <c r="I7" s="1">
        <v>57683.67</v>
      </c>
      <c r="J7" s="1">
        <v>57682.46</v>
      </c>
      <c r="K7" s="1">
        <v>57682.46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57683.67</v>
      </c>
      <c r="W7" s="1">
        <v>0</v>
      </c>
      <c r="X7" s="1">
        <v>57683.67</v>
      </c>
      <c r="Y7" s="1">
        <v>218.82</v>
      </c>
      <c r="Z7" s="1">
        <v>218.82</v>
      </c>
      <c r="AA7" s="1">
        <v>0</v>
      </c>
      <c r="AB7" s="1">
        <v>0</v>
      </c>
      <c r="AC7" s="1">
        <v>164.02</v>
      </c>
      <c r="AD7" s="1">
        <v>164.02</v>
      </c>
      <c r="AE7" s="1">
        <v>-7.0000000000000007E-2</v>
      </c>
      <c r="AF7" s="1">
        <v>0</v>
      </c>
      <c r="AG7" s="1">
        <v>0</v>
      </c>
      <c r="AH7" s="1">
        <v>0</v>
      </c>
      <c r="AI7" s="1">
        <v>0</v>
      </c>
      <c r="AJ7" s="1">
        <v>2.5299999999999998</v>
      </c>
      <c r="AK7" s="1">
        <v>0</v>
      </c>
      <c r="AL7" s="1">
        <v>0</v>
      </c>
      <c r="AM7" s="1">
        <v>0</v>
      </c>
      <c r="AN7" s="1">
        <v>0.65</v>
      </c>
      <c r="AO7" s="1">
        <v>0</v>
      </c>
      <c r="AP7" s="1">
        <v>0</v>
      </c>
      <c r="AQ7" s="1">
        <v>0</v>
      </c>
      <c r="AR7" t="s">
        <v>306</v>
      </c>
    </row>
    <row r="8" spans="1:44" hidden="1" x14ac:dyDescent="0.3">
      <c r="A8" t="s">
        <v>218</v>
      </c>
      <c r="B8" t="s">
        <v>68</v>
      </c>
      <c r="C8" t="s">
        <v>69</v>
      </c>
      <c r="D8" t="s">
        <v>152</v>
      </c>
      <c r="E8" t="s">
        <v>153</v>
      </c>
      <c r="F8" t="s">
        <v>294</v>
      </c>
      <c r="G8" t="s">
        <v>124</v>
      </c>
      <c r="H8" s="1">
        <v>13818.94</v>
      </c>
      <c r="I8" s="1">
        <v>13818.94</v>
      </c>
      <c r="J8" s="1">
        <v>13654.69</v>
      </c>
      <c r="K8" s="1">
        <v>13654.69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13818.94</v>
      </c>
      <c r="W8" s="1">
        <v>0</v>
      </c>
      <c r="X8" s="1">
        <v>13818.94</v>
      </c>
      <c r="Y8" s="1">
        <v>43.27</v>
      </c>
      <c r="Z8" s="1">
        <v>43.27</v>
      </c>
      <c r="AA8" s="1">
        <v>0</v>
      </c>
      <c r="AB8" s="1">
        <v>0</v>
      </c>
      <c r="AC8" s="1">
        <v>25.42</v>
      </c>
      <c r="AD8" s="1">
        <v>25.42</v>
      </c>
      <c r="AE8" s="1">
        <v>-0.51</v>
      </c>
      <c r="AF8" s="1">
        <v>0</v>
      </c>
      <c r="AG8" s="1">
        <v>0</v>
      </c>
      <c r="AH8" s="1">
        <v>0</v>
      </c>
      <c r="AI8" s="1">
        <v>0</v>
      </c>
      <c r="AJ8" s="1">
        <v>5.5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t="s">
        <v>298</v>
      </c>
    </row>
    <row r="9" spans="1:44" x14ac:dyDescent="0.3">
      <c r="A9" t="s">
        <v>218</v>
      </c>
      <c r="B9" t="s">
        <v>68</v>
      </c>
      <c r="C9" t="s">
        <v>231</v>
      </c>
      <c r="D9" t="s">
        <v>232</v>
      </c>
      <c r="E9" t="s">
        <v>97</v>
      </c>
      <c r="F9" t="s">
        <v>299</v>
      </c>
      <c r="G9" t="s">
        <v>98</v>
      </c>
      <c r="H9" s="1">
        <v>2910.04</v>
      </c>
      <c r="I9" s="1">
        <v>2910.04</v>
      </c>
      <c r="J9" s="1">
        <v>2988.73</v>
      </c>
      <c r="K9" s="1">
        <v>2988.73</v>
      </c>
      <c r="L9" s="1">
        <v>0</v>
      </c>
      <c r="M9" s="1">
        <v>0</v>
      </c>
      <c r="N9" s="1">
        <v>76.13</v>
      </c>
      <c r="O9" s="1">
        <v>76.13</v>
      </c>
      <c r="P9" s="1">
        <v>11.27</v>
      </c>
      <c r="Q9" s="1">
        <v>0</v>
      </c>
      <c r="R9" s="1">
        <v>11.27</v>
      </c>
      <c r="S9" s="1">
        <v>0</v>
      </c>
      <c r="T9" s="1">
        <v>0</v>
      </c>
      <c r="U9" s="1">
        <v>0</v>
      </c>
      <c r="V9" s="1">
        <v>2910.04</v>
      </c>
      <c r="W9" s="1">
        <v>0</v>
      </c>
      <c r="X9" s="1">
        <v>2910.04</v>
      </c>
      <c r="Y9" s="1">
        <v>11.24</v>
      </c>
      <c r="Z9" s="1">
        <v>11.24</v>
      </c>
      <c r="AA9" s="1">
        <v>0</v>
      </c>
      <c r="AB9" s="1">
        <v>0</v>
      </c>
      <c r="AC9" s="1">
        <v>7.58</v>
      </c>
      <c r="AD9" s="1">
        <v>7.58</v>
      </c>
      <c r="AE9" s="6">
        <v>14.38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t="s">
        <v>305</v>
      </c>
    </row>
    <row r="10" spans="1:44" hidden="1" x14ac:dyDescent="0.3">
      <c r="A10" t="s">
        <v>218</v>
      </c>
      <c r="B10" t="s">
        <v>68</v>
      </c>
      <c r="C10" t="s">
        <v>95</v>
      </c>
      <c r="D10" t="s">
        <v>96</v>
      </c>
      <c r="E10" t="s">
        <v>97</v>
      </c>
      <c r="F10" t="s">
        <v>303</v>
      </c>
      <c r="G10" t="s">
        <v>98</v>
      </c>
      <c r="H10" s="1">
        <v>14824.73</v>
      </c>
      <c r="I10" s="1">
        <v>14824.73</v>
      </c>
      <c r="J10" s="1">
        <v>14824.23</v>
      </c>
      <c r="K10" s="1">
        <v>14824.23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14824.73</v>
      </c>
      <c r="W10" s="1">
        <v>0</v>
      </c>
      <c r="X10" s="1">
        <v>14824.73</v>
      </c>
      <c r="Y10" s="1">
        <v>46.36</v>
      </c>
      <c r="Z10" s="1">
        <v>46.36</v>
      </c>
      <c r="AA10" s="1">
        <v>0</v>
      </c>
      <c r="AB10" s="1">
        <v>0</v>
      </c>
      <c r="AC10" s="1">
        <v>42.54</v>
      </c>
      <c r="AD10" s="1">
        <v>42.54</v>
      </c>
      <c r="AE10" s="1">
        <v>-0.01</v>
      </c>
      <c r="AF10" s="1">
        <v>0</v>
      </c>
      <c r="AG10" s="1">
        <v>0</v>
      </c>
      <c r="AH10" s="1">
        <v>0</v>
      </c>
      <c r="AI10" s="1">
        <v>0</v>
      </c>
      <c r="AJ10" s="1">
        <v>4.2699999999999996</v>
      </c>
      <c r="AK10" s="1">
        <v>0</v>
      </c>
      <c r="AL10" s="1">
        <v>0</v>
      </c>
      <c r="AM10" s="1">
        <v>0</v>
      </c>
      <c r="AN10" s="1">
        <v>0.66</v>
      </c>
      <c r="AO10" s="1">
        <v>0</v>
      </c>
      <c r="AP10" s="1">
        <v>0</v>
      </c>
      <c r="AQ10" s="1">
        <v>0</v>
      </c>
      <c r="AR10" t="s">
        <v>304</v>
      </c>
    </row>
    <row r="11" spans="1:44" hidden="1" x14ac:dyDescent="0.3">
      <c r="A11" t="s">
        <v>218</v>
      </c>
      <c r="B11" t="s">
        <v>68</v>
      </c>
      <c r="C11" t="s">
        <v>167</v>
      </c>
      <c r="D11" t="s">
        <v>221</v>
      </c>
      <c r="E11" t="s">
        <v>97</v>
      </c>
      <c r="F11" t="s">
        <v>299</v>
      </c>
      <c r="G11" t="s">
        <v>222</v>
      </c>
      <c r="H11" s="1">
        <v>197.6</v>
      </c>
      <c r="I11" s="1">
        <v>197.6</v>
      </c>
      <c r="J11" s="1">
        <v>616.5</v>
      </c>
      <c r="K11" s="1">
        <v>616.5</v>
      </c>
      <c r="L11" s="1">
        <v>0</v>
      </c>
      <c r="M11" s="1">
        <v>0</v>
      </c>
      <c r="N11" s="1">
        <v>442.66</v>
      </c>
      <c r="O11" s="1">
        <v>442.66</v>
      </c>
      <c r="P11" s="1">
        <v>4383.5</v>
      </c>
      <c r="Q11" s="1">
        <v>0</v>
      </c>
      <c r="R11" s="1">
        <v>4383.5</v>
      </c>
      <c r="S11" s="1">
        <v>0</v>
      </c>
      <c r="T11" s="1">
        <v>0</v>
      </c>
      <c r="U11" s="1">
        <v>0</v>
      </c>
      <c r="V11" s="1">
        <v>197.6</v>
      </c>
      <c r="W11" s="1">
        <v>0</v>
      </c>
      <c r="X11" s="1">
        <v>197.6</v>
      </c>
      <c r="Y11" s="1">
        <v>0.18</v>
      </c>
      <c r="Z11" s="1">
        <v>0.18</v>
      </c>
      <c r="AA11" s="1">
        <v>0</v>
      </c>
      <c r="AB11" s="1">
        <v>0</v>
      </c>
      <c r="AC11" s="1">
        <v>0.52</v>
      </c>
      <c r="AD11" s="1">
        <v>0.52</v>
      </c>
      <c r="AE11" s="1">
        <v>-6.51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t="s">
        <v>300</v>
      </c>
    </row>
    <row r="12" spans="1:44" hidden="1" x14ac:dyDescent="0.3">
      <c r="A12" t="s">
        <v>218</v>
      </c>
      <c r="B12" t="s">
        <v>68</v>
      </c>
      <c r="C12" t="s">
        <v>69</v>
      </c>
      <c r="D12" t="s">
        <v>145</v>
      </c>
      <c r="E12" t="s">
        <v>146</v>
      </c>
      <c r="F12" t="s">
        <v>294</v>
      </c>
      <c r="G12" t="s">
        <v>124</v>
      </c>
      <c r="H12" s="1">
        <v>23899.93</v>
      </c>
      <c r="I12" s="1">
        <v>23899.93</v>
      </c>
      <c r="J12" s="1">
        <v>23514.45</v>
      </c>
      <c r="K12" s="1">
        <v>23514.45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719.3</v>
      </c>
      <c r="T12" s="1">
        <v>0</v>
      </c>
      <c r="U12" s="1">
        <v>719.3</v>
      </c>
      <c r="V12" s="1">
        <v>23899.93</v>
      </c>
      <c r="W12" s="1">
        <v>0</v>
      </c>
      <c r="X12" s="1">
        <v>23899.93</v>
      </c>
      <c r="Y12" s="1">
        <v>64.88</v>
      </c>
      <c r="Z12" s="1">
        <v>64.88</v>
      </c>
      <c r="AA12" s="1">
        <v>0</v>
      </c>
      <c r="AB12" s="1">
        <v>0</v>
      </c>
      <c r="AC12" s="1">
        <v>43.96</v>
      </c>
      <c r="AD12" s="1">
        <v>43.96</v>
      </c>
      <c r="AE12" s="1">
        <v>5571.6</v>
      </c>
      <c r="AF12" s="1">
        <v>0</v>
      </c>
      <c r="AG12" s="1">
        <v>0</v>
      </c>
      <c r="AH12" s="1">
        <v>0</v>
      </c>
      <c r="AI12" s="1">
        <v>0</v>
      </c>
      <c r="AJ12" s="1">
        <v>29.67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t="s">
        <v>298</v>
      </c>
    </row>
  </sheetData>
  <autoFilter ref="A1:AR12" xr:uid="{261531F3-FB9B-4AA8-B976-AEAE389C61F6}">
    <filterColumn colId="3">
      <filters>
        <filter val="95552230011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0BFE0-2E71-4B7B-A70C-D70849C15B09}">
  <dimension ref="A1:AR12"/>
  <sheetViews>
    <sheetView topLeftCell="W1" workbookViewId="0">
      <selection activeCell="AJ1" sqref="AJ1:AQ13"/>
    </sheetView>
  </sheetViews>
  <sheetFormatPr defaultRowHeight="14.4" x14ac:dyDescent="0.3"/>
  <cols>
    <col min="1" max="1" width="10.33203125" bestFit="1" customWidth="1"/>
    <col min="2" max="2" width="8" bestFit="1" customWidth="1"/>
    <col min="3" max="3" width="8.21875" bestFit="1" customWidth="1"/>
    <col min="4" max="4" width="12" bestFit="1" customWidth="1"/>
    <col min="5" max="5" width="16.109375" bestFit="1" customWidth="1"/>
    <col min="6" max="6" width="9.77734375" bestFit="1" customWidth="1"/>
    <col min="7" max="7" width="11.44140625" bestFit="1" customWidth="1"/>
    <col min="8" max="8" width="10.77734375" bestFit="1" customWidth="1"/>
    <col min="9" max="9" width="11.109375" bestFit="1" customWidth="1"/>
    <col min="10" max="10" width="10.77734375" bestFit="1" customWidth="1"/>
    <col min="11" max="11" width="11.109375" bestFit="1" customWidth="1"/>
    <col min="12" max="12" width="10.77734375" bestFit="1" customWidth="1"/>
    <col min="13" max="13" width="11.109375" bestFit="1" customWidth="1"/>
    <col min="14" max="14" width="10.77734375" bestFit="1" customWidth="1"/>
    <col min="15" max="15" width="11.109375" bestFit="1" customWidth="1"/>
    <col min="16" max="16" width="10.77734375" bestFit="1" customWidth="1"/>
    <col min="17" max="17" width="14.109375" bestFit="1" customWidth="1"/>
    <col min="18" max="18" width="13.5546875" bestFit="1" customWidth="1"/>
    <col min="19" max="19" width="10.77734375" bestFit="1" customWidth="1"/>
    <col min="20" max="20" width="14.109375" bestFit="1" customWidth="1"/>
    <col min="21" max="21" width="13.5546875" bestFit="1" customWidth="1"/>
    <col min="22" max="22" width="10.77734375" bestFit="1" customWidth="1"/>
    <col min="23" max="23" width="14.109375" bestFit="1" customWidth="1"/>
    <col min="24" max="24" width="13.5546875" bestFit="1" customWidth="1"/>
    <col min="25" max="25" width="10.77734375" bestFit="1" customWidth="1"/>
    <col min="26" max="26" width="11.109375" bestFit="1" customWidth="1"/>
    <col min="27" max="27" width="10.77734375" bestFit="1" customWidth="1"/>
    <col min="28" max="28" width="11.109375" bestFit="1" customWidth="1"/>
    <col min="29" max="29" width="10.77734375" bestFit="1" customWidth="1"/>
    <col min="30" max="30" width="11.109375" bestFit="1" customWidth="1"/>
    <col min="31" max="31" width="11.44140625" bestFit="1" customWidth="1"/>
    <col min="32" max="32" width="14.77734375" bestFit="1" customWidth="1"/>
    <col min="33" max="33" width="14.21875" bestFit="1" customWidth="1"/>
    <col min="34" max="34" width="11.77734375" bestFit="1" customWidth="1"/>
    <col min="35" max="35" width="12.109375" bestFit="1" customWidth="1"/>
    <col min="36" max="36" width="10.77734375" bestFit="1" customWidth="1"/>
    <col min="37" max="37" width="11.109375" bestFit="1" customWidth="1"/>
    <col min="38" max="38" width="10.77734375" bestFit="1" customWidth="1"/>
    <col min="39" max="39" width="11.109375" bestFit="1" customWidth="1"/>
    <col min="40" max="40" width="10.77734375" bestFit="1" customWidth="1"/>
    <col min="41" max="41" width="11.109375" bestFit="1" customWidth="1"/>
    <col min="42" max="42" width="10.77734375" bestFit="1" customWidth="1"/>
    <col min="43" max="43" width="11.109375" bestFit="1" customWidth="1"/>
    <col min="44" max="44" width="11.5546875" bestFit="1" customWidth="1"/>
  </cols>
  <sheetData>
    <row r="1" spans="1:44" x14ac:dyDescent="0.3">
      <c r="A1" t="s">
        <v>1</v>
      </c>
      <c r="B1" t="s">
        <v>7</v>
      </c>
      <c r="C1" t="s">
        <v>8</v>
      </c>
      <c r="D1" t="s">
        <v>9</v>
      </c>
      <c r="E1" t="s">
        <v>255</v>
      </c>
      <c r="F1" t="s">
        <v>256</v>
      </c>
      <c r="G1" t="s">
        <v>11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  <c r="Q1" t="s">
        <v>266</v>
      </c>
      <c r="R1" t="s">
        <v>267</v>
      </c>
      <c r="S1" t="s">
        <v>268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  <c r="Y1" t="s">
        <v>274</v>
      </c>
      <c r="Z1" t="s">
        <v>275</v>
      </c>
      <c r="AA1" t="s">
        <v>276</v>
      </c>
      <c r="AB1" t="s">
        <v>277</v>
      </c>
      <c r="AC1" t="s">
        <v>278</v>
      </c>
      <c r="AD1" t="s">
        <v>279</v>
      </c>
      <c r="AE1" t="s">
        <v>280</v>
      </c>
      <c r="AF1" t="s">
        <v>281</v>
      </c>
      <c r="AG1" t="s">
        <v>282</v>
      </c>
      <c r="AH1" t="s">
        <v>283</v>
      </c>
      <c r="AI1" t="s">
        <v>284</v>
      </c>
      <c r="AJ1" t="s">
        <v>285</v>
      </c>
      <c r="AK1" t="s">
        <v>286</v>
      </c>
      <c r="AL1" t="s">
        <v>287</v>
      </c>
      <c r="AM1" t="s">
        <v>288</v>
      </c>
      <c r="AN1" t="s">
        <v>289</v>
      </c>
      <c r="AO1" t="s">
        <v>290</v>
      </c>
      <c r="AP1" t="s">
        <v>291</v>
      </c>
      <c r="AQ1" t="s">
        <v>292</v>
      </c>
      <c r="AR1" t="s">
        <v>293</v>
      </c>
    </row>
    <row r="2" spans="1:44" x14ac:dyDescent="0.3">
      <c r="A2" t="s">
        <v>308</v>
      </c>
      <c r="B2" t="s">
        <v>68</v>
      </c>
      <c r="C2" t="s">
        <v>69</v>
      </c>
      <c r="D2" t="s">
        <v>160</v>
      </c>
      <c r="E2" t="s">
        <v>161</v>
      </c>
      <c r="F2" t="s">
        <v>294</v>
      </c>
      <c r="G2" t="s">
        <v>124</v>
      </c>
      <c r="H2" s="1">
        <v>31186.84</v>
      </c>
      <c r="I2" s="1">
        <v>31186.84</v>
      </c>
      <c r="J2" s="1">
        <v>30740.19</v>
      </c>
      <c r="K2" s="1">
        <v>30740.19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33827.47</v>
      </c>
      <c r="W2" s="1">
        <v>0</v>
      </c>
      <c r="X2" s="1">
        <v>33827.47</v>
      </c>
      <c r="Y2" s="1">
        <v>1582.42</v>
      </c>
      <c r="Z2" s="1">
        <v>1582.42</v>
      </c>
      <c r="AA2" s="1">
        <v>0</v>
      </c>
      <c r="AB2" s="1">
        <v>0</v>
      </c>
      <c r="AC2" s="1">
        <v>1136.29</v>
      </c>
      <c r="AD2" s="1">
        <v>1136.29</v>
      </c>
      <c r="AE2" s="1">
        <v>-1539.47</v>
      </c>
      <c r="AF2" s="1">
        <v>0</v>
      </c>
      <c r="AG2" s="1">
        <v>0</v>
      </c>
      <c r="AH2" s="1">
        <v>0</v>
      </c>
      <c r="AI2" s="1">
        <v>0</v>
      </c>
      <c r="AJ2" s="1">
        <v>155.5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t="s">
        <v>307</v>
      </c>
    </row>
    <row r="3" spans="1:44" x14ac:dyDescent="0.3">
      <c r="A3" t="s">
        <v>308</v>
      </c>
      <c r="B3" t="s">
        <v>68</v>
      </c>
      <c r="C3" t="s">
        <v>69</v>
      </c>
      <c r="D3" t="s">
        <v>145</v>
      </c>
      <c r="E3" t="s">
        <v>146</v>
      </c>
      <c r="F3" t="s">
        <v>294</v>
      </c>
      <c r="G3" t="s">
        <v>124</v>
      </c>
      <c r="H3" s="1">
        <v>24442.53</v>
      </c>
      <c r="I3" s="1">
        <v>24442.53</v>
      </c>
      <c r="J3" s="1">
        <v>24034.03</v>
      </c>
      <c r="K3" s="1">
        <v>24034.03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27110.799999999999</v>
      </c>
      <c r="W3" s="1">
        <v>0</v>
      </c>
      <c r="X3" s="1">
        <v>27110.799999999999</v>
      </c>
      <c r="Y3" s="1">
        <v>1278.92</v>
      </c>
      <c r="Z3" s="1">
        <v>1278.92</v>
      </c>
      <c r="AA3" s="1">
        <v>0</v>
      </c>
      <c r="AB3" s="1">
        <v>0</v>
      </c>
      <c r="AC3" s="1">
        <v>990.18</v>
      </c>
      <c r="AD3" s="1">
        <v>990.18</v>
      </c>
      <c r="AE3" s="1">
        <v>-26.65</v>
      </c>
      <c r="AF3" s="1">
        <v>0</v>
      </c>
      <c r="AG3" s="1">
        <v>0</v>
      </c>
      <c r="AH3" s="1">
        <v>0</v>
      </c>
      <c r="AI3" s="1">
        <v>0</v>
      </c>
      <c r="AJ3" s="1">
        <v>90.17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t="s">
        <v>298</v>
      </c>
    </row>
    <row r="4" spans="1:44" x14ac:dyDescent="0.3">
      <c r="A4" t="s">
        <v>308</v>
      </c>
      <c r="B4" t="s">
        <v>68</v>
      </c>
      <c r="C4" t="s">
        <v>167</v>
      </c>
      <c r="D4" t="s">
        <v>168</v>
      </c>
      <c r="E4" t="s">
        <v>97</v>
      </c>
      <c r="F4" t="s">
        <v>299</v>
      </c>
      <c r="G4" t="s">
        <v>98</v>
      </c>
      <c r="H4" s="1">
        <v>3310.19</v>
      </c>
      <c r="I4" s="1">
        <v>3310.19</v>
      </c>
      <c r="J4" s="1">
        <v>3294.45</v>
      </c>
      <c r="K4" s="1">
        <v>3294.45</v>
      </c>
      <c r="L4" s="1">
        <v>0</v>
      </c>
      <c r="M4" s="1">
        <v>0</v>
      </c>
      <c r="N4" s="1">
        <v>0</v>
      </c>
      <c r="O4" s="1">
        <v>0</v>
      </c>
      <c r="P4" s="1">
        <v>705.55</v>
      </c>
      <c r="Q4" s="1">
        <v>0</v>
      </c>
      <c r="R4" s="1">
        <v>705.55</v>
      </c>
      <c r="S4" s="1">
        <v>0</v>
      </c>
      <c r="T4" s="1">
        <v>0</v>
      </c>
      <c r="U4" s="1">
        <v>0</v>
      </c>
      <c r="V4" s="1">
        <v>2617.12</v>
      </c>
      <c r="W4" s="1">
        <v>0</v>
      </c>
      <c r="X4" s="1">
        <v>2617.12</v>
      </c>
      <c r="Y4" s="1">
        <v>149.44999999999999</v>
      </c>
      <c r="Z4" s="1">
        <v>149.44999999999999</v>
      </c>
      <c r="AA4" s="1">
        <v>0</v>
      </c>
      <c r="AB4" s="1">
        <v>0</v>
      </c>
      <c r="AC4" s="1">
        <v>98</v>
      </c>
      <c r="AD4" s="1">
        <v>98</v>
      </c>
      <c r="AE4" s="1">
        <v>-1.1299999999999999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t="s">
        <v>302</v>
      </c>
    </row>
    <row r="5" spans="1:44" x14ac:dyDescent="0.3">
      <c r="A5" t="s">
        <v>308</v>
      </c>
      <c r="B5" t="s">
        <v>68</v>
      </c>
      <c r="C5" t="s">
        <v>95</v>
      </c>
      <c r="D5" t="s">
        <v>96</v>
      </c>
      <c r="E5" t="s">
        <v>97</v>
      </c>
      <c r="F5" t="s">
        <v>303</v>
      </c>
      <c r="G5" t="s">
        <v>222</v>
      </c>
      <c r="H5" s="1">
        <v>14840.25</v>
      </c>
      <c r="I5" s="1">
        <v>14840.25</v>
      </c>
      <c r="J5" s="1">
        <v>14839.76</v>
      </c>
      <c r="K5" s="1">
        <v>14839.76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14911.34</v>
      </c>
      <c r="W5" s="1">
        <v>0</v>
      </c>
      <c r="X5" s="1">
        <v>14911.34</v>
      </c>
      <c r="Y5" s="1">
        <v>677.73</v>
      </c>
      <c r="Z5" s="1">
        <v>677.73</v>
      </c>
      <c r="AA5" s="1">
        <v>0</v>
      </c>
      <c r="AB5" s="1">
        <v>0</v>
      </c>
      <c r="AC5" s="1">
        <v>626.45000000000005</v>
      </c>
      <c r="AD5" s="1">
        <v>626.45000000000005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51.97</v>
      </c>
      <c r="AK5" s="1">
        <v>0</v>
      </c>
      <c r="AL5" s="1">
        <v>0</v>
      </c>
      <c r="AM5" s="1">
        <v>0</v>
      </c>
      <c r="AN5" s="1">
        <v>3810.85</v>
      </c>
      <c r="AO5" s="1">
        <v>0</v>
      </c>
      <c r="AP5" s="1">
        <v>3786.23</v>
      </c>
      <c r="AQ5" s="1">
        <v>0</v>
      </c>
      <c r="AR5" t="s">
        <v>304</v>
      </c>
    </row>
    <row r="6" spans="1:44" x14ac:dyDescent="0.3">
      <c r="A6" t="s">
        <v>308</v>
      </c>
      <c r="B6" t="s">
        <v>68</v>
      </c>
      <c r="C6" t="s">
        <v>231</v>
      </c>
      <c r="D6" t="s">
        <v>232</v>
      </c>
      <c r="E6" t="s">
        <v>97</v>
      </c>
      <c r="F6" t="s">
        <v>299</v>
      </c>
      <c r="G6" t="s">
        <v>98</v>
      </c>
      <c r="H6" s="1">
        <v>2890.08</v>
      </c>
      <c r="I6" s="1">
        <v>2890.08</v>
      </c>
      <c r="J6" s="1">
        <v>2973.46</v>
      </c>
      <c r="K6" s="1">
        <v>2973.46</v>
      </c>
      <c r="L6" s="1">
        <v>0</v>
      </c>
      <c r="M6" s="1">
        <v>0</v>
      </c>
      <c r="N6" s="1">
        <v>55.3</v>
      </c>
      <c r="O6" s="1">
        <v>55.3</v>
      </c>
      <c r="P6" s="1">
        <v>26.54</v>
      </c>
      <c r="Q6" s="1">
        <v>0</v>
      </c>
      <c r="R6" s="1">
        <v>26.54</v>
      </c>
      <c r="S6" s="1">
        <v>0</v>
      </c>
      <c r="T6" s="1">
        <v>0</v>
      </c>
      <c r="U6" s="1">
        <v>0</v>
      </c>
      <c r="V6" s="1">
        <v>1632.19</v>
      </c>
      <c r="W6" s="1">
        <v>0</v>
      </c>
      <c r="X6" s="1">
        <v>1632.19</v>
      </c>
      <c r="Y6" s="1">
        <v>42.1</v>
      </c>
      <c r="Z6" s="1">
        <v>42.1</v>
      </c>
      <c r="AA6" s="1">
        <v>0</v>
      </c>
      <c r="AB6" s="1">
        <v>0</v>
      </c>
      <c r="AC6" s="1">
        <v>59.64</v>
      </c>
      <c r="AD6" s="1">
        <v>59.64</v>
      </c>
      <c r="AE6" s="1">
        <v>-0.34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t="s">
        <v>305</v>
      </c>
    </row>
    <row r="7" spans="1:44" x14ac:dyDescent="0.3">
      <c r="A7" t="s">
        <v>308</v>
      </c>
      <c r="B7" t="s">
        <v>68</v>
      </c>
      <c r="C7" t="s">
        <v>69</v>
      </c>
      <c r="D7" t="s">
        <v>70</v>
      </c>
      <c r="E7" t="s">
        <v>71</v>
      </c>
      <c r="F7" t="s">
        <v>296</v>
      </c>
      <c r="G7" t="s">
        <v>72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t="s">
        <v>297</v>
      </c>
    </row>
    <row r="8" spans="1:44" x14ac:dyDescent="0.3">
      <c r="A8" t="s">
        <v>308</v>
      </c>
      <c r="B8" t="s">
        <v>68</v>
      </c>
      <c r="C8" t="s">
        <v>167</v>
      </c>
      <c r="D8" t="s">
        <v>221</v>
      </c>
      <c r="E8" t="s">
        <v>97</v>
      </c>
      <c r="F8" t="s">
        <v>299</v>
      </c>
      <c r="G8" t="s">
        <v>222</v>
      </c>
      <c r="H8" s="1">
        <v>251.9</v>
      </c>
      <c r="I8" s="1">
        <v>251.9</v>
      </c>
      <c r="J8" s="1">
        <v>230.57</v>
      </c>
      <c r="K8" s="1">
        <v>230.57</v>
      </c>
      <c r="L8" s="1">
        <v>0</v>
      </c>
      <c r="M8" s="1">
        <v>0</v>
      </c>
      <c r="N8" s="1">
        <v>0</v>
      </c>
      <c r="O8" s="1">
        <v>0</v>
      </c>
      <c r="P8" s="1">
        <v>4769.43</v>
      </c>
      <c r="Q8" s="1">
        <v>0</v>
      </c>
      <c r="R8" s="1">
        <v>4769.43</v>
      </c>
      <c r="S8" s="1">
        <v>0</v>
      </c>
      <c r="T8" s="1">
        <v>0</v>
      </c>
      <c r="U8" s="1">
        <v>0</v>
      </c>
      <c r="V8" s="1">
        <v>1061.6400000000001</v>
      </c>
      <c r="W8" s="1">
        <v>0</v>
      </c>
      <c r="X8" s="1">
        <v>1061.6400000000001</v>
      </c>
      <c r="Y8" s="1">
        <v>16.71</v>
      </c>
      <c r="Z8" s="1">
        <v>16.71</v>
      </c>
      <c r="AA8" s="1">
        <v>0</v>
      </c>
      <c r="AB8" s="1">
        <v>0</v>
      </c>
      <c r="AC8" s="1">
        <v>42.08</v>
      </c>
      <c r="AD8" s="1">
        <v>42.08</v>
      </c>
      <c r="AE8" s="1">
        <v>7.77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t="s">
        <v>300</v>
      </c>
    </row>
    <row r="9" spans="1:44" x14ac:dyDescent="0.3">
      <c r="A9" t="s">
        <v>308</v>
      </c>
      <c r="B9" t="s">
        <v>68</v>
      </c>
      <c r="C9" t="s">
        <v>95</v>
      </c>
      <c r="D9" t="s">
        <v>217</v>
      </c>
      <c r="E9" t="s">
        <v>97</v>
      </c>
      <c r="F9" t="s">
        <v>303</v>
      </c>
      <c r="G9" t="s">
        <v>222</v>
      </c>
      <c r="H9" s="1">
        <v>57721.47</v>
      </c>
      <c r="I9" s="1">
        <v>57721.47</v>
      </c>
      <c r="J9" s="1">
        <v>57720.26</v>
      </c>
      <c r="K9" s="1">
        <v>57720.26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57888.14</v>
      </c>
      <c r="W9" s="1">
        <v>0</v>
      </c>
      <c r="X9" s="1">
        <v>57888.14</v>
      </c>
      <c r="Y9" s="1">
        <v>3093.9</v>
      </c>
      <c r="Z9" s="1">
        <v>3093.9</v>
      </c>
      <c r="AA9" s="1">
        <v>0</v>
      </c>
      <c r="AB9" s="1">
        <v>0</v>
      </c>
      <c r="AC9" s="1">
        <v>2414.1</v>
      </c>
      <c r="AD9" s="1">
        <v>2414.1</v>
      </c>
      <c r="AE9" s="1">
        <v>-7.0000000000000007E-2</v>
      </c>
      <c r="AF9" s="1">
        <v>0</v>
      </c>
      <c r="AG9" s="1">
        <v>0</v>
      </c>
      <c r="AH9" s="1">
        <v>0</v>
      </c>
      <c r="AI9" s="1">
        <v>0</v>
      </c>
      <c r="AJ9" s="1">
        <v>30.67</v>
      </c>
      <c r="AK9" s="1">
        <v>0</v>
      </c>
      <c r="AL9" s="1">
        <v>0</v>
      </c>
      <c r="AM9" s="1">
        <v>0</v>
      </c>
      <c r="AN9" s="1">
        <v>4344.1099999999997</v>
      </c>
      <c r="AO9" s="1">
        <v>0</v>
      </c>
      <c r="AP9" s="1">
        <v>4290.29</v>
      </c>
      <c r="AQ9" s="1">
        <v>0</v>
      </c>
      <c r="AR9" t="s">
        <v>306</v>
      </c>
    </row>
    <row r="10" spans="1:44" x14ac:dyDescent="0.3">
      <c r="A10" t="s">
        <v>308</v>
      </c>
      <c r="B10" t="s">
        <v>68</v>
      </c>
      <c r="C10" t="s">
        <v>69</v>
      </c>
      <c r="D10" t="s">
        <v>152</v>
      </c>
      <c r="E10" t="s">
        <v>153</v>
      </c>
      <c r="F10" t="s">
        <v>294</v>
      </c>
      <c r="G10" t="s">
        <v>124</v>
      </c>
      <c r="H10" s="1">
        <v>14073.08</v>
      </c>
      <c r="I10" s="1">
        <v>14073.08</v>
      </c>
      <c r="J10" s="1">
        <v>13922.69</v>
      </c>
      <c r="K10" s="1">
        <v>13922.69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15474.51</v>
      </c>
      <c r="W10" s="1">
        <v>0</v>
      </c>
      <c r="X10" s="1">
        <v>15474.51</v>
      </c>
      <c r="Y10" s="1">
        <v>807.3</v>
      </c>
      <c r="Z10" s="1">
        <v>807.3</v>
      </c>
      <c r="AA10" s="1">
        <v>0</v>
      </c>
      <c r="AB10" s="1">
        <v>0</v>
      </c>
      <c r="AC10" s="1">
        <v>565.14</v>
      </c>
      <c r="AD10" s="1">
        <v>565.14</v>
      </c>
      <c r="AE10" s="1">
        <v>-0.32</v>
      </c>
      <c r="AF10" s="1">
        <v>0</v>
      </c>
      <c r="AG10" s="1">
        <v>0</v>
      </c>
      <c r="AH10" s="1">
        <v>0</v>
      </c>
      <c r="AI10" s="1">
        <v>0</v>
      </c>
      <c r="AJ10" s="1">
        <v>66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t="s">
        <v>298</v>
      </c>
    </row>
    <row r="11" spans="1:44" x14ac:dyDescent="0.3">
      <c r="A11" t="s">
        <v>308</v>
      </c>
      <c r="B11" t="s">
        <v>68</v>
      </c>
      <c r="C11" t="s">
        <v>69</v>
      </c>
      <c r="D11" t="s">
        <v>122</v>
      </c>
      <c r="E11" t="s">
        <v>123</v>
      </c>
      <c r="F11" t="s">
        <v>294</v>
      </c>
      <c r="G11" t="s">
        <v>124</v>
      </c>
      <c r="H11" s="1">
        <v>18017.07</v>
      </c>
      <c r="I11" s="1">
        <v>18017.07</v>
      </c>
      <c r="J11" s="1">
        <v>17986.02</v>
      </c>
      <c r="K11" s="1">
        <v>17986.02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19795.68</v>
      </c>
      <c r="W11" s="1">
        <v>0</v>
      </c>
      <c r="X11" s="1">
        <v>19795.68</v>
      </c>
      <c r="Y11" s="1">
        <v>1223.52</v>
      </c>
      <c r="Z11" s="1">
        <v>1223.52</v>
      </c>
      <c r="AA11" s="1">
        <v>0</v>
      </c>
      <c r="AB11" s="1">
        <v>0</v>
      </c>
      <c r="AC11" s="1">
        <v>835.62</v>
      </c>
      <c r="AD11" s="1">
        <v>835.62</v>
      </c>
      <c r="AE11" s="1">
        <v>-28</v>
      </c>
      <c r="AF11" s="1">
        <v>0</v>
      </c>
      <c r="AG11" s="1">
        <v>0</v>
      </c>
      <c r="AH11" s="1">
        <v>0</v>
      </c>
      <c r="AI11" s="1">
        <v>0</v>
      </c>
      <c r="AJ11" s="1">
        <v>227.5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t="s">
        <v>295</v>
      </c>
    </row>
    <row r="12" spans="1:44" x14ac:dyDescent="0.3">
      <c r="A12" t="s">
        <v>308</v>
      </c>
      <c r="B12" t="s">
        <v>68</v>
      </c>
      <c r="C12" t="s">
        <v>69</v>
      </c>
      <c r="D12" t="s">
        <v>135</v>
      </c>
      <c r="E12" t="s">
        <v>136</v>
      </c>
      <c r="F12" t="s">
        <v>301</v>
      </c>
      <c r="G12" t="s">
        <v>124</v>
      </c>
      <c r="H12" s="1">
        <v>0.05</v>
      </c>
      <c r="I12" s="1">
        <v>0.05</v>
      </c>
      <c r="J12" s="1">
        <v>0.05</v>
      </c>
      <c r="K12" s="1">
        <v>0.05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4650.2</v>
      </c>
      <c r="T12" s="1">
        <v>0</v>
      </c>
      <c r="U12" s="1">
        <v>4650.2</v>
      </c>
      <c r="V12" s="1">
        <v>33839.199999999997</v>
      </c>
      <c r="W12" s="1">
        <v>0</v>
      </c>
      <c r="X12" s="1">
        <v>33839.199999999997</v>
      </c>
      <c r="Y12" s="1">
        <v>1925.49</v>
      </c>
      <c r="Z12" s="1">
        <v>1925.49</v>
      </c>
      <c r="AA12" s="1">
        <v>0</v>
      </c>
      <c r="AB12" s="1">
        <v>0</v>
      </c>
      <c r="AC12" s="1">
        <v>1428.42</v>
      </c>
      <c r="AD12" s="1">
        <v>1428.42</v>
      </c>
      <c r="AE12" s="1">
        <v>91.55</v>
      </c>
      <c r="AF12" s="1">
        <v>0</v>
      </c>
      <c r="AG12" s="1">
        <v>0</v>
      </c>
      <c r="AH12" s="1">
        <v>0</v>
      </c>
      <c r="AI12" s="1">
        <v>0</v>
      </c>
      <c r="AJ12" s="1">
        <v>271.12</v>
      </c>
      <c r="AK12" s="1">
        <v>0</v>
      </c>
      <c r="AL12" s="1">
        <v>10.68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t="s">
        <v>295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CADC-406F-4A02-A27B-8CFC7B3DC1DE}">
  <dimension ref="A1:H34"/>
  <sheetViews>
    <sheetView workbookViewId="0">
      <selection activeCell="H3" sqref="H3"/>
    </sheetView>
  </sheetViews>
  <sheetFormatPr defaultRowHeight="14.4" x14ac:dyDescent="0.3"/>
  <cols>
    <col min="1" max="1" width="12.44140625" bestFit="1" customWidth="1"/>
    <col min="2" max="2" width="10.33203125" bestFit="1" customWidth="1"/>
    <col min="3" max="3" width="8.88671875" bestFit="1" customWidth="1"/>
    <col min="4" max="4" width="7.33203125" bestFit="1" customWidth="1"/>
    <col min="5" max="5" width="12" bestFit="1" customWidth="1"/>
    <col min="6" max="6" width="16.109375" bestFit="1" customWidth="1"/>
    <col min="7" max="7" width="33.6640625" bestFit="1" customWidth="1"/>
    <col min="8" max="9" width="13.6640625" bestFit="1" customWidth="1"/>
  </cols>
  <sheetData>
    <row r="1" spans="1:8" x14ac:dyDescent="0.3">
      <c r="A1" t="s">
        <v>309</v>
      </c>
      <c r="B1" t="s">
        <v>1</v>
      </c>
      <c r="C1" t="s">
        <v>310</v>
      </c>
      <c r="D1" t="s">
        <v>311</v>
      </c>
      <c r="E1" t="s">
        <v>312</v>
      </c>
      <c r="F1" t="s">
        <v>255</v>
      </c>
      <c r="G1" t="s">
        <v>340</v>
      </c>
      <c r="H1" t="s">
        <v>47</v>
      </c>
    </row>
    <row r="2" spans="1:8" x14ac:dyDescent="0.3">
      <c r="A2" t="s">
        <v>64</v>
      </c>
      <c r="B2" t="s">
        <v>64</v>
      </c>
      <c r="C2" t="s">
        <v>68</v>
      </c>
      <c r="D2" t="s">
        <v>231</v>
      </c>
      <c r="E2" t="s">
        <v>232</v>
      </c>
      <c r="F2" t="s">
        <v>313</v>
      </c>
      <c r="G2" t="s">
        <v>230</v>
      </c>
      <c r="H2" s="1">
        <v>306.31</v>
      </c>
    </row>
    <row r="3" spans="1:8" x14ac:dyDescent="0.3">
      <c r="A3" t="s">
        <v>64</v>
      </c>
      <c r="B3" t="s">
        <v>64</v>
      </c>
      <c r="C3" t="s">
        <v>68</v>
      </c>
      <c r="D3" t="s">
        <v>167</v>
      </c>
      <c r="E3" t="s">
        <v>168</v>
      </c>
      <c r="F3" t="s">
        <v>314</v>
      </c>
      <c r="G3" t="s">
        <v>166</v>
      </c>
      <c r="H3" s="1">
        <v>832.38</v>
      </c>
    </row>
    <row r="4" spans="1:8" x14ac:dyDescent="0.3">
      <c r="A4" t="s">
        <v>64</v>
      </c>
      <c r="B4" t="s">
        <v>64</v>
      </c>
      <c r="C4" t="s">
        <v>315</v>
      </c>
      <c r="D4" t="s">
        <v>69</v>
      </c>
      <c r="E4" t="s">
        <v>70</v>
      </c>
      <c r="F4" t="s">
        <v>316</v>
      </c>
      <c r="G4" t="s">
        <v>207</v>
      </c>
      <c r="H4" s="1">
        <v>144923.73000000001</v>
      </c>
    </row>
    <row r="5" spans="1:8" x14ac:dyDescent="0.3">
      <c r="A5" t="s">
        <v>64</v>
      </c>
      <c r="B5" t="s">
        <v>64</v>
      </c>
      <c r="C5" t="s">
        <v>315</v>
      </c>
      <c r="D5" t="s">
        <v>69</v>
      </c>
      <c r="E5" t="s">
        <v>70</v>
      </c>
      <c r="F5" t="s">
        <v>317</v>
      </c>
      <c r="G5" t="s">
        <v>210</v>
      </c>
      <c r="H5" s="1">
        <v>2620.7399999999998</v>
      </c>
    </row>
    <row r="6" spans="1:8" x14ac:dyDescent="0.3">
      <c r="A6" t="s">
        <v>64</v>
      </c>
      <c r="B6" t="s">
        <v>64</v>
      </c>
      <c r="C6" t="s">
        <v>315</v>
      </c>
      <c r="D6" t="s">
        <v>69</v>
      </c>
      <c r="E6" t="s">
        <v>135</v>
      </c>
      <c r="F6" t="s">
        <v>136</v>
      </c>
      <c r="G6" t="s">
        <v>134</v>
      </c>
      <c r="H6" s="1">
        <v>4650.25</v>
      </c>
    </row>
    <row r="7" spans="1:8" x14ac:dyDescent="0.3">
      <c r="A7" t="s">
        <v>64</v>
      </c>
      <c r="B7" t="s">
        <v>64</v>
      </c>
      <c r="C7" t="s">
        <v>315</v>
      </c>
      <c r="D7" t="s">
        <v>69</v>
      </c>
      <c r="E7" t="s">
        <v>70</v>
      </c>
      <c r="F7" t="s">
        <v>318</v>
      </c>
      <c r="G7" t="s">
        <v>203</v>
      </c>
      <c r="H7" s="1">
        <v>70613.399999999994</v>
      </c>
    </row>
    <row r="8" spans="1:8" x14ac:dyDescent="0.3">
      <c r="A8" t="s">
        <v>64</v>
      </c>
      <c r="B8" t="s">
        <v>64</v>
      </c>
      <c r="C8" t="s">
        <v>68</v>
      </c>
      <c r="D8" t="s">
        <v>231</v>
      </c>
      <c r="E8" t="s">
        <v>232</v>
      </c>
      <c r="F8" t="s">
        <v>319</v>
      </c>
      <c r="G8" t="s">
        <v>250</v>
      </c>
      <c r="H8" s="1">
        <v>2706.59</v>
      </c>
    </row>
    <row r="9" spans="1:8" x14ac:dyDescent="0.3">
      <c r="A9" t="s">
        <v>64</v>
      </c>
      <c r="B9" t="s">
        <v>64</v>
      </c>
      <c r="C9" t="s">
        <v>315</v>
      </c>
      <c r="D9" t="s">
        <v>69</v>
      </c>
      <c r="E9" t="s">
        <v>145</v>
      </c>
      <c r="F9" t="s">
        <v>146</v>
      </c>
      <c r="G9" t="s">
        <v>144</v>
      </c>
      <c r="H9" s="1">
        <v>23223.74</v>
      </c>
    </row>
    <row r="10" spans="1:8" x14ac:dyDescent="0.3">
      <c r="A10" t="s">
        <v>64</v>
      </c>
      <c r="B10" t="s">
        <v>64</v>
      </c>
      <c r="C10" t="s">
        <v>315</v>
      </c>
      <c r="D10" t="s">
        <v>69</v>
      </c>
      <c r="E10" t="s">
        <v>160</v>
      </c>
      <c r="F10" t="s">
        <v>161</v>
      </c>
      <c r="G10" t="s">
        <v>159</v>
      </c>
      <c r="H10" s="1">
        <v>28431.8</v>
      </c>
    </row>
    <row r="11" spans="1:8" x14ac:dyDescent="0.3">
      <c r="A11" t="s">
        <v>64</v>
      </c>
      <c r="B11" t="s">
        <v>64</v>
      </c>
      <c r="C11" t="s">
        <v>315</v>
      </c>
      <c r="D11" t="s">
        <v>69</v>
      </c>
      <c r="E11" t="s">
        <v>70</v>
      </c>
      <c r="F11" t="s">
        <v>320</v>
      </c>
      <c r="G11" t="s">
        <v>197</v>
      </c>
      <c r="H11" s="1">
        <v>3875.95</v>
      </c>
    </row>
    <row r="12" spans="1:8" x14ac:dyDescent="0.3">
      <c r="A12" t="s">
        <v>64</v>
      </c>
      <c r="B12" t="s">
        <v>64</v>
      </c>
      <c r="C12" t="s">
        <v>315</v>
      </c>
      <c r="D12" t="s">
        <v>69</v>
      </c>
      <c r="E12" t="s">
        <v>70</v>
      </c>
      <c r="F12" t="s">
        <v>321</v>
      </c>
      <c r="G12" t="s">
        <v>200</v>
      </c>
      <c r="H12" s="1">
        <v>152421.56</v>
      </c>
    </row>
    <row r="13" spans="1:8" x14ac:dyDescent="0.3">
      <c r="A13" t="s">
        <v>64</v>
      </c>
      <c r="B13" t="s">
        <v>64</v>
      </c>
      <c r="C13" t="s">
        <v>315</v>
      </c>
      <c r="D13" t="s">
        <v>69</v>
      </c>
      <c r="E13" t="s">
        <v>70</v>
      </c>
      <c r="F13" t="s">
        <v>322</v>
      </c>
      <c r="G13" t="s">
        <v>213</v>
      </c>
      <c r="H13" s="1">
        <v>2768.47</v>
      </c>
    </row>
    <row r="14" spans="1:8" x14ac:dyDescent="0.3">
      <c r="A14" t="s">
        <v>308</v>
      </c>
      <c r="B14" t="s">
        <v>308</v>
      </c>
      <c r="C14" t="s">
        <v>68</v>
      </c>
      <c r="D14" t="s">
        <v>95</v>
      </c>
      <c r="E14" t="s">
        <v>217</v>
      </c>
      <c r="F14" t="s">
        <v>97</v>
      </c>
      <c r="G14" t="s">
        <v>216</v>
      </c>
      <c r="H14" s="1">
        <v>57931.91</v>
      </c>
    </row>
    <row r="15" spans="1:8" x14ac:dyDescent="0.3">
      <c r="A15" t="s">
        <v>64</v>
      </c>
      <c r="B15" t="s">
        <v>64</v>
      </c>
      <c r="C15" t="s">
        <v>315</v>
      </c>
      <c r="D15" t="s">
        <v>69</v>
      </c>
      <c r="E15" t="s">
        <v>70</v>
      </c>
      <c r="F15" t="s">
        <v>323</v>
      </c>
      <c r="G15" t="s">
        <v>178</v>
      </c>
      <c r="H15" s="1">
        <v>2631.54</v>
      </c>
    </row>
    <row r="16" spans="1:8" x14ac:dyDescent="0.3">
      <c r="A16" t="s">
        <v>64</v>
      </c>
      <c r="B16" t="s">
        <v>64</v>
      </c>
      <c r="C16" t="s">
        <v>315</v>
      </c>
      <c r="D16" t="s">
        <v>69</v>
      </c>
      <c r="E16" t="s">
        <v>70</v>
      </c>
      <c r="F16" t="s">
        <v>324</v>
      </c>
      <c r="G16" t="s">
        <v>194</v>
      </c>
      <c r="H16" s="1">
        <v>27813.1</v>
      </c>
    </row>
    <row r="17" spans="1:8" x14ac:dyDescent="0.3">
      <c r="A17" t="s">
        <v>104</v>
      </c>
      <c r="B17" t="s">
        <v>104</v>
      </c>
      <c r="C17" t="s">
        <v>68</v>
      </c>
      <c r="D17" t="s">
        <v>95</v>
      </c>
      <c r="E17" t="s">
        <v>96</v>
      </c>
      <c r="F17" t="s">
        <v>97</v>
      </c>
      <c r="G17" t="s">
        <v>94</v>
      </c>
      <c r="H17" s="1">
        <v>29706.82</v>
      </c>
    </row>
    <row r="18" spans="1:8" x14ac:dyDescent="0.3">
      <c r="A18" t="s">
        <v>64</v>
      </c>
      <c r="B18" t="s">
        <v>64</v>
      </c>
      <c r="C18" t="s">
        <v>68</v>
      </c>
      <c r="D18" t="s">
        <v>167</v>
      </c>
      <c r="E18" t="s">
        <v>221</v>
      </c>
      <c r="F18" t="s">
        <v>325</v>
      </c>
      <c r="G18" t="s">
        <v>220</v>
      </c>
      <c r="H18" s="1">
        <v>114.54</v>
      </c>
    </row>
    <row r="19" spans="1:8" x14ac:dyDescent="0.3">
      <c r="A19" t="s">
        <v>64</v>
      </c>
      <c r="B19" t="s">
        <v>64</v>
      </c>
      <c r="C19" t="s">
        <v>315</v>
      </c>
      <c r="D19" t="s">
        <v>69</v>
      </c>
      <c r="E19" t="s">
        <v>70</v>
      </c>
      <c r="F19" t="s">
        <v>326</v>
      </c>
      <c r="G19" t="s">
        <v>187</v>
      </c>
      <c r="H19" s="1">
        <v>70613.399999999994</v>
      </c>
    </row>
    <row r="20" spans="1:8" x14ac:dyDescent="0.3">
      <c r="A20" t="s">
        <v>64</v>
      </c>
      <c r="B20" t="s">
        <v>64</v>
      </c>
      <c r="C20" t="s">
        <v>315</v>
      </c>
      <c r="D20" t="s">
        <v>69</v>
      </c>
      <c r="E20" t="s">
        <v>70</v>
      </c>
      <c r="F20" t="s">
        <v>327</v>
      </c>
      <c r="G20" t="s">
        <v>112</v>
      </c>
      <c r="H20" s="1">
        <v>1838.72</v>
      </c>
    </row>
    <row r="21" spans="1:8" x14ac:dyDescent="0.3">
      <c r="A21" t="s">
        <v>64</v>
      </c>
      <c r="B21" t="s">
        <v>64</v>
      </c>
      <c r="C21" t="s">
        <v>315</v>
      </c>
      <c r="D21" t="s">
        <v>69</v>
      </c>
      <c r="E21" t="s">
        <v>70</v>
      </c>
      <c r="F21" t="s">
        <v>328</v>
      </c>
      <c r="G21" t="s">
        <v>115</v>
      </c>
      <c r="H21" s="1">
        <v>43530.97</v>
      </c>
    </row>
    <row r="22" spans="1:8" x14ac:dyDescent="0.3">
      <c r="A22" t="s">
        <v>64</v>
      </c>
      <c r="B22" t="s">
        <v>64</v>
      </c>
      <c r="C22" t="s">
        <v>68</v>
      </c>
      <c r="D22" t="s">
        <v>167</v>
      </c>
      <c r="E22" t="s">
        <v>168</v>
      </c>
      <c r="F22" t="s">
        <v>329</v>
      </c>
      <c r="G22" t="s">
        <v>242</v>
      </c>
      <c r="H22" s="1">
        <v>445.54</v>
      </c>
    </row>
    <row r="23" spans="1:8" x14ac:dyDescent="0.3">
      <c r="A23" t="s">
        <v>64</v>
      </c>
      <c r="B23" t="s">
        <v>64</v>
      </c>
      <c r="C23" t="s">
        <v>315</v>
      </c>
      <c r="D23" t="s">
        <v>69</v>
      </c>
      <c r="E23" t="s">
        <v>122</v>
      </c>
      <c r="F23" t="s">
        <v>123</v>
      </c>
      <c r="G23" t="s">
        <v>121</v>
      </c>
      <c r="H23" s="1">
        <v>17067.509999999998</v>
      </c>
    </row>
    <row r="24" spans="1:8" x14ac:dyDescent="0.3">
      <c r="A24" t="s">
        <v>64</v>
      </c>
      <c r="B24" t="s">
        <v>64</v>
      </c>
      <c r="C24" t="s">
        <v>315</v>
      </c>
      <c r="D24" t="s">
        <v>69</v>
      </c>
      <c r="E24" t="s">
        <v>70</v>
      </c>
      <c r="F24" t="s">
        <v>330</v>
      </c>
      <c r="G24" t="s">
        <v>67</v>
      </c>
      <c r="H24" s="1">
        <v>75291.08</v>
      </c>
    </row>
    <row r="25" spans="1:8" x14ac:dyDescent="0.3">
      <c r="A25" t="s">
        <v>64</v>
      </c>
      <c r="B25" t="s">
        <v>64</v>
      </c>
      <c r="C25" t="s">
        <v>315</v>
      </c>
      <c r="D25" t="s">
        <v>69</v>
      </c>
      <c r="E25" t="s">
        <v>70</v>
      </c>
      <c r="F25" t="s">
        <v>331</v>
      </c>
      <c r="G25" t="s">
        <v>191</v>
      </c>
      <c r="H25" s="1">
        <v>154912.39000000001</v>
      </c>
    </row>
    <row r="26" spans="1:8" x14ac:dyDescent="0.3">
      <c r="A26" t="s">
        <v>64</v>
      </c>
      <c r="B26" t="s">
        <v>64</v>
      </c>
      <c r="C26" t="s">
        <v>315</v>
      </c>
      <c r="D26" t="s">
        <v>69</v>
      </c>
      <c r="E26" t="s">
        <v>152</v>
      </c>
      <c r="F26" t="s">
        <v>153</v>
      </c>
      <c r="G26" t="s">
        <v>151</v>
      </c>
      <c r="H26" s="1">
        <v>13138.68</v>
      </c>
    </row>
    <row r="27" spans="1:8" x14ac:dyDescent="0.3">
      <c r="A27" t="s">
        <v>64</v>
      </c>
      <c r="B27" t="s">
        <v>64</v>
      </c>
      <c r="C27" t="s">
        <v>315</v>
      </c>
      <c r="D27" t="s">
        <v>69</v>
      </c>
      <c r="E27" t="s">
        <v>70</v>
      </c>
      <c r="F27" t="s">
        <v>332</v>
      </c>
      <c r="G27" t="s">
        <v>190</v>
      </c>
      <c r="H27" s="1">
        <v>75291.08</v>
      </c>
    </row>
    <row r="28" spans="1:8" x14ac:dyDescent="0.3">
      <c r="A28" t="s">
        <v>64</v>
      </c>
      <c r="B28" t="s">
        <v>64</v>
      </c>
      <c r="C28" t="s">
        <v>315</v>
      </c>
      <c r="D28" t="s">
        <v>69</v>
      </c>
      <c r="E28" t="s">
        <v>70</v>
      </c>
      <c r="F28" t="s">
        <v>333</v>
      </c>
      <c r="G28" t="s">
        <v>247</v>
      </c>
      <c r="H28" s="1">
        <v>38777.910000000003</v>
      </c>
    </row>
    <row r="29" spans="1:8" x14ac:dyDescent="0.3">
      <c r="A29" t="s">
        <v>64</v>
      </c>
      <c r="B29" t="s">
        <v>64</v>
      </c>
      <c r="C29" t="s">
        <v>68</v>
      </c>
      <c r="D29" t="s">
        <v>167</v>
      </c>
      <c r="E29" t="s">
        <v>221</v>
      </c>
      <c r="F29" t="s">
        <v>334</v>
      </c>
      <c r="G29" t="s">
        <v>237</v>
      </c>
      <c r="H29" s="1">
        <v>393.75</v>
      </c>
    </row>
    <row r="30" spans="1:8" x14ac:dyDescent="0.3">
      <c r="A30" t="s">
        <v>64</v>
      </c>
      <c r="B30" t="s">
        <v>64</v>
      </c>
      <c r="C30" t="s">
        <v>315</v>
      </c>
      <c r="D30" t="s">
        <v>69</v>
      </c>
      <c r="E30" t="s">
        <v>70</v>
      </c>
      <c r="F30" t="s">
        <v>335</v>
      </c>
      <c r="G30" t="s">
        <v>204</v>
      </c>
      <c r="H30" s="1">
        <v>9082.01</v>
      </c>
    </row>
    <row r="31" spans="1:8" x14ac:dyDescent="0.3">
      <c r="A31" t="s">
        <v>64</v>
      </c>
      <c r="B31" t="s">
        <v>64</v>
      </c>
      <c r="C31" t="s">
        <v>315</v>
      </c>
      <c r="D31" t="s">
        <v>69</v>
      </c>
      <c r="E31" t="s">
        <v>70</v>
      </c>
      <c r="F31" t="s">
        <v>336</v>
      </c>
      <c r="G31" t="s">
        <v>90</v>
      </c>
      <c r="H31" s="1">
        <v>2211.0100000000002</v>
      </c>
    </row>
    <row r="32" spans="1:8" x14ac:dyDescent="0.3">
      <c r="A32" t="s">
        <v>64</v>
      </c>
      <c r="B32" t="s">
        <v>64</v>
      </c>
      <c r="C32" t="s">
        <v>315</v>
      </c>
      <c r="D32" t="s">
        <v>69</v>
      </c>
      <c r="E32" t="s">
        <v>70</v>
      </c>
      <c r="F32" t="s">
        <v>337</v>
      </c>
      <c r="G32" t="s">
        <v>118</v>
      </c>
      <c r="H32" s="1">
        <v>0.51</v>
      </c>
    </row>
    <row r="33" spans="1:8" x14ac:dyDescent="0.3">
      <c r="A33" t="s">
        <v>64</v>
      </c>
      <c r="B33" t="s">
        <v>64</v>
      </c>
      <c r="C33" t="s">
        <v>315</v>
      </c>
      <c r="D33" t="s">
        <v>69</v>
      </c>
      <c r="E33" t="s">
        <v>70</v>
      </c>
      <c r="F33" t="s">
        <v>338</v>
      </c>
      <c r="G33" t="s">
        <v>181</v>
      </c>
      <c r="H33" s="1">
        <v>24087.23</v>
      </c>
    </row>
    <row r="34" spans="1:8" x14ac:dyDescent="0.3">
      <c r="A34" t="s">
        <v>64</v>
      </c>
      <c r="B34" t="s">
        <v>64</v>
      </c>
      <c r="C34" t="s">
        <v>315</v>
      </c>
      <c r="D34" t="s">
        <v>69</v>
      </c>
      <c r="E34" t="s">
        <v>70</v>
      </c>
      <c r="F34" t="s">
        <v>339</v>
      </c>
      <c r="G34" t="s">
        <v>184</v>
      </c>
      <c r="H34" s="1">
        <v>25860.639999999999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D554589-9B58-44A8-82EC-D619C8A2D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406E0D-F0D2-46D7-93FE-C2A1F10191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503E0F-45C8-4541-AB83-80EA0502092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Exemplos Validação</vt:lpstr>
      <vt:lpstr>Cálculo excel</vt:lpstr>
      <vt:lpstr>MIS_MAR25</vt:lpstr>
      <vt:lpstr>MIS_FEV25</vt:lpstr>
      <vt:lpstr>MIS_JAN25</vt:lpstr>
      <vt:lpstr>MIS_DEZ24</vt:lpstr>
      <vt:lpstr>Info LT001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2025-06-22T03:15:37Z</dcterms:created>
  <dcterms:modified xsi:type="dcterms:W3CDTF">2025-07-02T11:40:03Z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2025-07-01T10:38:03Z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e283cef5-6463-42b5-bd80-03f99a3c49fa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