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7. Análises/09. Universo GD/"/>
    </mc:Choice>
  </mc:AlternateContent>
  <xr:revisionPtr revIDLastSave="89" documentId="8_{39D236EB-B611-43E5-8F84-F2531039EE17}" xr6:coauthVersionLast="47" xr6:coauthVersionMax="47" xr10:uidLastSave="{4505E423-71E7-4226-A97C-5E846864A632}"/>
  <bookViews>
    <workbookView xWindow="-108" yWindow="-108" windowWidth="23256" windowHeight="12456" xr2:uid="{00000000-000D-0000-FFFF-FFFF00000000}"/>
  </bookViews>
  <sheets>
    <sheet name="Universo" sheetId="1" r:id="rId1"/>
    <sheet name="Contratos sem chave MIS" sheetId="8" r:id="rId2"/>
    <sheet name="Sheet2" sheetId="2" state="hidden" r:id="rId3"/>
    <sheet name="Sheet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tc={CB6532D5-C37A-4C9E-A185-049E8B78D005}</author>
  </authors>
  <commentList>
    <comment ref="D36" authorId="0" shapeId="0" xr:uid="{CB6532D5-C37A-4C9E-A185-049E8B78D00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Chaves MIS apenas para o universo de contratos cancelados, para o universo comum com PM, só vai ser feita a atribuição na tabela seguinte</t>
      </text>
    </comment>
  </commentList>
</comments>
</file>

<file path=xl/sharedStrings.xml><?xml version="1.0" encoding="utf-8"?>
<sst xmlns="http://schemas.openxmlformats.org/spreadsheetml/2006/main" count="1135" uniqueCount="197">
  <si>
    <t>1. Controlo ao universo da LT002_INSTRUMENT para âmbito GD</t>
  </si>
  <si>
    <t>REF_DATE</t>
  </si>
  <si>
    <t xml:space="preserve">Parte 1 </t>
  </si>
  <si>
    <t># Contratos</t>
  </si>
  <si>
    <t>UNIV_LT_GD_PARTE1</t>
  </si>
  <si>
    <t>Parte 2</t>
  </si>
  <si>
    <t>Universo de operações canceladas que apresentem rentabilidade no mês de reporte</t>
  </si>
  <si>
    <t>UNIV_LT_GD_PARTE2_AUX1</t>
  </si>
  <si>
    <t>Chave FINREP</t>
  </si>
  <si>
    <t>Chave MIS</t>
  </si>
  <si>
    <t>Chave Master</t>
  </si>
  <si>
    <t>n/a</t>
  </si>
  <si>
    <t>UNIV_LT_GD_PARTE2_AUX2</t>
  </si>
  <si>
    <t># Registos</t>
  </si>
  <si>
    <t>UNIV_LT_GD_PARTE2_AUX3</t>
  </si>
  <si>
    <t>UNIV_LT_GD_PARTE2_AUX4</t>
  </si>
  <si>
    <t>UNIV_LT_GD_PARTE2</t>
  </si>
  <si>
    <t>junção da aux2, aux3 e aux4</t>
  </si>
  <si>
    <t>UNIV_LT_GD_PARTE1_2</t>
  </si>
  <si>
    <t>Parte 3</t>
  </si>
  <si>
    <t>Junção das Business Areas e criação de nova chave para as linhas adicionais</t>
  </si>
  <si>
    <t>UNIV_LT_GD_PARTE3_AUX1</t>
  </si>
  <si>
    <t>UNIV_LT_GD_PARTE3_AUX2</t>
  </si>
  <si>
    <t>Notas:</t>
  </si>
  <si>
    <t>Existem 83 contratos comuns com PM para os quais não conseguimos identificar chave MIS</t>
  </si>
  <si>
    <t>UNIV_LT_GD_PARTE3_AUX3</t>
  </si>
  <si>
    <t>identificação dos contratos cancelados que não foram apanhados nos passos anteriores e por isso não apresentam chave FINREP, assim sendo, foi-lhes atribuida a chave MIS</t>
  </si>
  <si>
    <t>cempcta</t>
  </si>
  <si>
    <t>COMUM PM</t>
  </si>
  <si>
    <t>Outros registos</t>
  </si>
  <si>
    <t>identificação do universo cancelado que se encontrava vivo no mês anterior (existe no tradutor do mês anterior), e cruzamento com a lt001 para não trazer chaves que já se encontram no universo da contabilidade</t>
  </si>
  <si>
    <t>identificação da chave finrep para o universo cancelado que não tinha sido apanhado no processo anterior, e cruzamento com a lt001 para não trazer chaves que já se encontram no universo da contabilidade</t>
  </si>
  <si>
    <t>seleção das operações com rentabilidade e que não têm posição de fim de mês (c007=0); e não têm chave finrep durante o ano de reporte</t>
  </si>
  <si>
    <t>c/ BA atribuida</t>
  </si>
  <si>
    <t>UNIV_LT_GD_PARTE3_AUX4</t>
  </si>
  <si>
    <t>UNIV_RENTABILIDADE_AUX</t>
  </si>
  <si>
    <t>UNIV_RENTAB_NW_BSNSS_AUX</t>
  </si>
  <si>
    <t>universo de rentabilidade para classificação de new business</t>
  </si>
  <si>
    <t>universo de rentabilidade para cálculo das variáveis YTD</t>
  </si>
  <si>
    <t>Universo comum com âmbito PM</t>
  </si>
  <si>
    <t>junção do universo da parte 1 (univ pm) e parte 2 (univ cancelados com chave mis associada)</t>
  </si>
  <si>
    <t>UNIV_LT_GD_PARTE1_2_FINAL</t>
  </si>
  <si>
    <t>Registos de ajustes</t>
  </si>
  <si>
    <t>Universo de Rentabilidade Auxiliar</t>
  </si>
  <si>
    <t>UNIV_RENTAB_JAN25_AUX1</t>
  </si>
  <si>
    <t>UNIV_RENTAB_JAN25_AUX2</t>
  </si>
  <si>
    <t>UNIV_RENTAB_JAN25_AUX3</t>
  </si>
  <si>
    <t>UNIV_RENTAB_JAN25_AUX4</t>
  </si>
  <si>
    <t>cruzamento entre a última tabela da Parte 2 e a tabela auxiliar com os dados de rentabilidade para atribuição da ckarea e criação do campo BSNSS_AREA</t>
  </si>
  <si>
    <t>atribuição da chave MIS ao universo comum com PM (necessário fazer inner join entre tradutor de chaves FINREP e MIS)</t>
  </si>
  <si>
    <r>
      <t xml:space="preserve">Da atribuição da chave MIS ao universo comum com PM, existem </t>
    </r>
    <r>
      <rPr>
        <u/>
        <sz val="11"/>
        <color theme="1"/>
        <rFont val="Calibri"/>
        <family val="2"/>
        <scheme val="minor"/>
      </rPr>
      <t>134 registos para os quais não foi possível associar uma chave MIS à chave FINREP</t>
    </r>
    <r>
      <rPr>
        <sz val="11"/>
        <color theme="1"/>
        <rFont val="Calibri"/>
        <family val="2"/>
        <scheme val="minor"/>
      </rPr>
      <t>.</t>
    </r>
  </si>
  <si>
    <t>atribuição da BA principal e criação do novo instrmnt_id (existe um maior número de INSTRMNT_ID uma vez que estamos a desagregar por BA) + simulação do LCL_INSTMRNT_ID</t>
  </si>
  <si>
    <t>simulação do campo CNCLLD_INSTRMNT_STTS</t>
  </si>
  <si>
    <t>cruzamento entre a ct209 e a ct831 para seleção dos contratos associados a produtos de ativo</t>
  </si>
  <si>
    <t>cruzamento entre a ct211 e act831 para seleção dos contratos associados a comissões de ativo</t>
  </si>
  <si>
    <t>criação dos campos de patrimonial e extrapatrimonial e consolidação da informação para termos apenas uma linha única por contrato</t>
  </si>
  <si>
    <t>UNIV_RENTAB_JAN25_AUX5</t>
  </si>
  <si>
    <t>junção da aux2 com a aux4</t>
  </si>
  <si>
    <t>UNIV_RENTAB_JAN25_AUX6</t>
  </si>
  <si>
    <t>cruzamento com a ct207 para obtenção da ckarea</t>
  </si>
  <si>
    <t>UNIV_RENTAB_JAN25_AUX7</t>
  </si>
  <si>
    <t>UNIV_RENTAB_JAN25_AUX7_CARTOES</t>
  </si>
  <si>
    <t>cruzamento com a ct201 para obtenção da dinioper para cartões</t>
  </si>
  <si>
    <t>UNIV_RENTAB_JAN25_AUX7_RESTO</t>
  </si>
  <si>
    <t>cruzamento com a ct201 para obtenção da dinioper para resto</t>
  </si>
  <si>
    <t>junção da aux7_cartoes e aux7_resto</t>
  </si>
  <si>
    <t>TRAD_MIS_AUX</t>
  </si>
  <si>
    <t>Do universo de 3.369.277 da AUX7, 584.531 contratos não apresentam dinioper atribuida</t>
  </si>
  <si>
    <t>criação de um tradutor MIS auxiliar, no qual o zdeposit de cartões é transformado em 15 zeros</t>
  </si>
  <si>
    <t>os registos que não apresenta BA atribuida são: 19 registos de ajustes + 1.059 registos com cempresa 31 + 128.896 com cempresa 82 + 157 com cempresa 89 (factoring) ---&gt; Deste universo, apenas 8155 registos não apresentam BA a partir de outra combinação de INSTRMNT_ID e CEMPECTA, CKBALCAO, CKNUMCTA</t>
  </si>
  <si>
    <t>univ</t>
  </si>
  <si>
    <t>ref_date</t>
  </si>
  <si>
    <t>ambito</t>
  </si>
  <si>
    <t>segmento</t>
  </si>
  <si>
    <t>instrmnt_id</t>
  </si>
  <si>
    <t>ckbalcao</t>
  </si>
  <si>
    <t>cknumcta</t>
  </si>
  <si>
    <t>zdeposit_mis</t>
  </si>
  <si>
    <t>2025-01-31</t>
  </si>
  <si>
    <t>GD</t>
  </si>
  <si>
    <t>ESTR</t>
  </si>
  <si>
    <t>31000310575608090069889690100000</t>
  </si>
  <si>
    <t>NULL</t>
  </si>
  <si>
    <t>31000310196321091069889500100000</t>
  </si>
  <si>
    <t>31000315391484096000000000000000</t>
  </si>
  <si>
    <t>82000000000116136000420000106336</t>
  </si>
  <si>
    <t>31663600350227662363603502276620</t>
  </si>
  <si>
    <t>31000310567225090069889590100000</t>
  </si>
  <si>
    <t>31663600350241334363603502413340</t>
  </si>
  <si>
    <t>82000000000102342000420000415032</t>
  </si>
  <si>
    <t>31000310499056090069888130100000</t>
  </si>
  <si>
    <t>82000000000135765000420000415359</t>
  </si>
  <si>
    <t>89000020230000046000490C117944I1</t>
  </si>
  <si>
    <t>31000310583180090069889010100000</t>
  </si>
  <si>
    <t>82000000000980843000420000323920</t>
  </si>
  <si>
    <t>31000310195554091069889180100000</t>
  </si>
  <si>
    <t>31663600350227674363603502276740</t>
  </si>
  <si>
    <t>31663600350227680363603502276800</t>
  </si>
  <si>
    <t>31641600038220127531545650000000</t>
  </si>
  <si>
    <t>82000000000113621000450000421091</t>
  </si>
  <si>
    <t>31663600350242389363603502423890</t>
  </si>
  <si>
    <t>31663600350236012363603502360120</t>
  </si>
  <si>
    <t>31000310193054091069889650100000</t>
  </si>
  <si>
    <t>31663600350227664363603502276640</t>
  </si>
  <si>
    <t>82000000000120873000450000423976</t>
  </si>
  <si>
    <t>31000311754182029000000000000000</t>
  </si>
  <si>
    <t>82000000000070017000450000105698</t>
  </si>
  <si>
    <t>31000310580525090069888450100000</t>
  </si>
  <si>
    <t>31000310149411091069889670100000</t>
  </si>
  <si>
    <t>31663600350227677363603502276770</t>
  </si>
  <si>
    <t>31663600350236556363603502365560</t>
  </si>
  <si>
    <t>31663600350227665363603502276650</t>
  </si>
  <si>
    <t>31663600350241339363603502413390</t>
  </si>
  <si>
    <t>31000310149411091069889110100000</t>
  </si>
  <si>
    <t>31663600350227673363603502276730</t>
  </si>
  <si>
    <t>31000310021693091069889120100000</t>
  </si>
  <si>
    <t>31663600350227668363603502276680</t>
  </si>
  <si>
    <t>31000310180267091069889350100000</t>
  </si>
  <si>
    <t>31000310431984090069888200100000</t>
  </si>
  <si>
    <t>82000000008007606000530000504892</t>
  </si>
  <si>
    <t>31663600350241737363603502417370</t>
  </si>
  <si>
    <t>82000000000110505000420000416255</t>
  </si>
  <si>
    <t>31663600350243046363603502430460</t>
  </si>
  <si>
    <t>31641600038220099531531780000000</t>
  </si>
  <si>
    <t>82000000000121090000450000416648</t>
  </si>
  <si>
    <t>31000310573801090069889190100000</t>
  </si>
  <si>
    <t>31000310580160090069889400100000</t>
  </si>
  <si>
    <t>82000000000126917000450000426454</t>
  </si>
  <si>
    <t>31663600350236552363603502365520</t>
  </si>
  <si>
    <t>82000000000121529000420000424412</t>
  </si>
  <si>
    <t>31000310574098090069889250100000</t>
  </si>
  <si>
    <t>31000310171217091069888960100000</t>
  </si>
  <si>
    <t>82000000005034180000510000504892</t>
  </si>
  <si>
    <t>82000000000119708000450000423452</t>
  </si>
  <si>
    <t>316416SUPRIMENTOSPTTAE0AN0006000</t>
  </si>
  <si>
    <t>82000000005051764000510000539884</t>
  </si>
  <si>
    <t>31663600350227676363603502276760</t>
  </si>
  <si>
    <t>31663600350227667363603502276670</t>
  </si>
  <si>
    <t>82000000000144384000450000514295</t>
  </si>
  <si>
    <t>82000000000137315000450000508004</t>
  </si>
  <si>
    <t>31000310518582090069888980100000</t>
  </si>
  <si>
    <t>31000310578180090069889340100000</t>
  </si>
  <si>
    <t>31663600350242885363603502428850</t>
  </si>
  <si>
    <t>82000000005045211000510000512979</t>
  </si>
  <si>
    <t>31517600001605091069889700100000</t>
  </si>
  <si>
    <t>31517600001027091069889390100000</t>
  </si>
  <si>
    <t>82000000000054268000450000404379</t>
  </si>
  <si>
    <t>31663600350244142363603502441420</t>
  </si>
  <si>
    <t>31663600350242794363603502427940</t>
  </si>
  <si>
    <t>31000310466618090069889330100000</t>
  </si>
  <si>
    <t>82000000001100418000430000500149</t>
  </si>
  <si>
    <t>82000000000021154000450000404079</t>
  </si>
  <si>
    <t>31663600350242883363603502428830</t>
  </si>
  <si>
    <t>31000310384522090069886580100000</t>
  </si>
  <si>
    <t>82000000000118828000450000105698</t>
  </si>
  <si>
    <t>31000310577562090069889280100000</t>
  </si>
  <si>
    <t>31000310528847090069888840100000</t>
  </si>
  <si>
    <t>82000000000140978000450000327186</t>
  </si>
  <si>
    <t>31663600350242388363603502423880</t>
  </si>
  <si>
    <t>31663600350241736363603502417360</t>
  </si>
  <si>
    <t>82000000000137313000450000508004</t>
  </si>
  <si>
    <t>82000000000102341000420000415032</t>
  </si>
  <si>
    <t>31000310369150090069889630100000</t>
  </si>
  <si>
    <t>82000000005036118000510000724633</t>
  </si>
  <si>
    <t>82000000000105981000450000410339</t>
  </si>
  <si>
    <t>31000310193054091069888280100000</t>
  </si>
  <si>
    <t>82000000000135441000420000424268</t>
  </si>
  <si>
    <t>82000000005034180000510000723244</t>
  </si>
  <si>
    <t>31663600350227670363603502276700</t>
  </si>
  <si>
    <t>82000000000153940000450000532666</t>
  </si>
  <si>
    <t>31663600350240421363603502404210</t>
  </si>
  <si>
    <t>31663600350236013363603502360130</t>
  </si>
  <si>
    <t>31663600350242889363603502428890</t>
  </si>
  <si>
    <t>31000310571656090069889420100000</t>
  </si>
  <si>
    <t>82000000000113155000420000421367</t>
  </si>
  <si>
    <t>82000000000019732000420000416255</t>
  </si>
  <si>
    <t>31000310578230090069889060100000</t>
  </si>
  <si>
    <t>31663600350235482363603502354820</t>
  </si>
  <si>
    <t>31663600350241077363603502410770</t>
  </si>
  <si>
    <t>82000000001101741000430000500573</t>
  </si>
  <si>
    <t>82000000000119190000450000105698</t>
  </si>
  <si>
    <t>31000311105617029000000000000000</t>
  </si>
  <si>
    <t>82000000000123267000450000416648</t>
  </si>
  <si>
    <t>31000310583206090069889040100000</t>
  </si>
  <si>
    <t>31663600350241335363603502413350</t>
  </si>
  <si>
    <t>31663600350240232363603502402320</t>
  </si>
  <si>
    <t>82000000000116807000450000105698</t>
  </si>
  <si>
    <t>31000310583172090069888950100000</t>
  </si>
  <si>
    <t>82000000008007126000530000504892</t>
  </si>
  <si>
    <t>82000000000136141000450000506204</t>
  </si>
  <si>
    <t>31000310572852090069889050100000</t>
  </si>
  <si>
    <t>31000310583222090069889090100000</t>
  </si>
  <si>
    <t>82000000000136140000450000506204</t>
  </si>
  <si>
    <t>31000311930032043000000000000000</t>
  </si>
  <si>
    <t>31663600350227671363603502276710</t>
  </si>
  <si>
    <t>31663600350241333363603502413330</t>
  </si>
  <si>
    <t>31000310583115090069888800100000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</si>
</sst>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3" fontId="0" fillId="0" borderId="0" xfId="0" applyNumberFormat="1"/>
    <xf numFmtId="0" fontId="0" fillId="0" borderId="0" xfId="0" quotePrefix="1"/>
    <xf numFmtId="0" fontId="1" fillId="2" borderId="0" xfId="0" applyFont="1" applyFill="1"/>
    <xf numFmtId="0" fontId="2" fillId="0" borderId="0" xfId="0" applyFont="1"/>
    <xf numFmtId="0" fontId="3" fillId="0" borderId="0" xfId="0" applyFont="1" applyAlignment="1">
      <alignment horizontal="right" indent="1"/>
    </xf>
    <xf numFmtId="3" fontId="3" fillId="0" borderId="0" xfId="0" applyNumberFormat="1" applyFont="1"/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 indent="1"/>
    </xf>
    <xf numFmtId="3" fontId="0" fillId="3" borderId="0" xfId="0" applyNumberFormat="1" applyFill="1"/>
    <xf numFmtId="3" fontId="0" fillId="3" borderId="0" xfId="0" applyNumberFormat="1" applyFill="1" applyAlignment="1">
      <alignment horizontal="right" vertical="center"/>
    </xf>
    <xf numFmtId="3" fontId="4" fillId="3" borderId="0" xfId="0" applyNumberFormat="1" applyFont="1" applyFill="1" applyAlignment="1">
      <alignment horizontal="right" vertical="center"/>
    </xf>
    <xf numFmtId="3" fontId="4" fillId="3" borderId="0" xfId="0" applyNumberFormat="1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4D04E67C-1C93-4165-BDD4-F871E1F515A8}" userId="S::E801803@corp.santander.pt::8b9d2cd8-bf8b-4ed8-b68f-b8ba1ba995c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6" dT="2025-03-19T12:50:36.03" personId="{4D04E67C-1C93-4165-BDD4-F871E1F515A8}" id="{CB6532D5-C37A-4C9E-A185-049E8B78D005}">
    <text>Chaves MIS apenas para o universo de contratos cancelados, para o universo comum com PM, só vai ser feita a atribuição na tabela seguinte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64"/>
  <sheetViews>
    <sheetView tabSelected="1" workbookViewId="0">
      <selection activeCell="E10" sqref="E10"/>
    </sheetView>
  </sheetViews>
  <sheetFormatPr defaultRowHeight="14.4" x14ac:dyDescent="0.3"/>
  <cols>
    <col min="1" max="1" width="3.77734375" customWidth="1"/>
    <col min="2" max="2" width="33.77734375" bestFit="1" customWidth="1"/>
    <col min="3" max="6" width="12.33203125" bestFit="1" customWidth="1"/>
    <col min="11" max="11" width="9.5546875" bestFit="1" customWidth="1"/>
  </cols>
  <sheetData>
    <row r="2" spans="2:10" x14ac:dyDescent="0.3">
      <c r="B2" s="2" t="s">
        <v>0</v>
      </c>
    </row>
    <row r="4" spans="2:10" x14ac:dyDescent="0.3">
      <c r="B4" s="2" t="s">
        <v>1</v>
      </c>
      <c r="C4" s="1">
        <v>45688</v>
      </c>
    </row>
    <row r="5" spans="2:10" x14ac:dyDescent="0.3">
      <c r="J5" s="4"/>
    </row>
    <row r="6" spans="2:10" x14ac:dyDescent="0.3">
      <c r="B6" s="5" t="s">
        <v>43</v>
      </c>
      <c r="J6" s="4"/>
    </row>
    <row r="7" spans="2:10" x14ac:dyDescent="0.3">
      <c r="C7" t="s">
        <v>13</v>
      </c>
      <c r="D7" t="s">
        <v>9</v>
      </c>
      <c r="J7" s="4"/>
    </row>
    <row r="8" spans="2:10" x14ac:dyDescent="0.3">
      <c r="B8" t="s">
        <v>44</v>
      </c>
      <c r="C8" s="11">
        <v>6453378</v>
      </c>
      <c r="D8" s="3"/>
      <c r="E8" t="s">
        <v>53</v>
      </c>
      <c r="J8" s="4"/>
    </row>
    <row r="9" spans="2:10" x14ac:dyDescent="0.3">
      <c r="B9" t="s">
        <v>45</v>
      </c>
      <c r="C9" s="11">
        <v>3249855</v>
      </c>
      <c r="D9" s="3"/>
      <c r="E9" t="s">
        <v>55</v>
      </c>
      <c r="J9" s="4"/>
    </row>
    <row r="10" spans="2:10" x14ac:dyDescent="0.3">
      <c r="B10" t="s">
        <v>46</v>
      </c>
      <c r="C10" s="11">
        <v>1480598</v>
      </c>
      <c r="D10" s="3"/>
      <c r="E10" t="s">
        <v>54</v>
      </c>
      <c r="J10" s="4"/>
    </row>
    <row r="11" spans="2:10" x14ac:dyDescent="0.3">
      <c r="B11" t="s">
        <v>47</v>
      </c>
      <c r="C11" s="11">
        <v>695507</v>
      </c>
      <c r="D11" s="3"/>
      <c r="E11" t="s">
        <v>55</v>
      </c>
      <c r="J11" s="4"/>
    </row>
    <row r="12" spans="2:10" x14ac:dyDescent="0.3">
      <c r="B12" t="s">
        <v>56</v>
      </c>
      <c r="C12" s="11">
        <v>3280924</v>
      </c>
      <c r="D12" s="3"/>
      <c r="E12" t="s">
        <v>57</v>
      </c>
      <c r="J12" s="4"/>
    </row>
    <row r="13" spans="2:10" x14ac:dyDescent="0.3">
      <c r="B13" t="s">
        <v>58</v>
      </c>
      <c r="C13" s="11">
        <v>3280928</v>
      </c>
      <c r="D13" s="3"/>
      <c r="E13" t="s">
        <v>59</v>
      </c>
      <c r="J13" s="4"/>
    </row>
    <row r="14" spans="2:10" x14ac:dyDescent="0.3">
      <c r="B14" t="s">
        <v>61</v>
      </c>
      <c r="C14" s="11">
        <v>1431677</v>
      </c>
      <c r="D14" s="3"/>
      <c r="E14" t="s">
        <v>62</v>
      </c>
      <c r="J14" s="4"/>
    </row>
    <row r="15" spans="2:10" x14ac:dyDescent="0.3">
      <c r="B15" t="s">
        <v>63</v>
      </c>
      <c r="C15" s="11">
        <v>1937600</v>
      </c>
      <c r="D15" s="3"/>
      <c r="E15" t="s">
        <v>64</v>
      </c>
      <c r="J15" s="4"/>
    </row>
    <row r="16" spans="2:10" x14ac:dyDescent="0.3">
      <c r="B16" t="s">
        <v>60</v>
      </c>
      <c r="C16" s="11">
        <v>3369277</v>
      </c>
      <c r="D16" s="3"/>
      <c r="E16" t="s">
        <v>65</v>
      </c>
      <c r="J16" s="4"/>
    </row>
    <row r="17" spans="2:11" x14ac:dyDescent="0.3">
      <c r="J17" s="4"/>
    </row>
    <row r="18" spans="2:11" x14ac:dyDescent="0.3">
      <c r="B18" s="6" t="s">
        <v>23</v>
      </c>
      <c r="J18" s="4"/>
    </row>
    <row r="19" spans="2:11" x14ac:dyDescent="0.3">
      <c r="B19" t="s">
        <v>67</v>
      </c>
      <c r="J19" s="4"/>
    </row>
    <row r="20" spans="2:11" x14ac:dyDescent="0.3">
      <c r="J20" s="4"/>
    </row>
    <row r="21" spans="2:11" x14ac:dyDescent="0.3">
      <c r="B21" s="5" t="s">
        <v>2</v>
      </c>
      <c r="C21" t="s">
        <v>39</v>
      </c>
      <c r="K21" s="9"/>
    </row>
    <row r="22" spans="2:11" x14ac:dyDescent="0.3">
      <c r="K22" s="3"/>
    </row>
    <row r="23" spans="2:11" x14ac:dyDescent="0.3">
      <c r="D23" t="s">
        <v>3</v>
      </c>
    </row>
    <row r="24" spans="2:11" x14ac:dyDescent="0.3">
      <c r="C24" t="s">
        <v>13</v>
      </c>
      <c r="D24" t="s">
        <v>8</v>
      </c>
    </row>
    <row r="25" spans="2:11" x14ac:dyDescent="0.3">
      <c r="B25" t="s">
        <v>4</v>
      </c>
      <c r="C25" s="3">
        <v>2085945</v>
      </c>
      <c r="D25" s="3">
        <v>2085945</v>
      </c>
      <c r="F25" s="3"/>
    </row>
    <row r="27" spans="2:11" x14ac:dyDescent="0.3">
      <c r="B27" s="5" t="s">
        <v>5</v>
      </c>
      <c r="C27" t="s">
        <v>6</v>
      </c>
    </row>
    <row r="29" spans="2:11" x14ac:dyDescent="0.3">
      <c r="D29" s="15" t="s">
        <v>3</v>
      </c>
      <c r="E29" s="15"/>
      <c r="F29" s="15"/>
    </row>
    <row r="30" spans="2:11" x14ac:dyDescent="0.3">
      <c r="C30" t="s">
        <v>13</v>
      </c>
      <c r="D30" t="s">
        <v>9</v>
      </c>
      <c r="E30" t="s">
        <v>10</v>
      </c>
      <c r="F30" t="s">
        <v>8</v>
      </c>
    </row>
    <row r="31" spans="2:11" x14ac:dyDescent="0.3">
      <c r="B31" t="s">
        <v>7</v>
      </c>
      <c r="C31" s="12">
        <v>48506</v>
      </c>
      <c r="D31" s="12">
        <v>43104</v>
      </c>
      <c r="E31" s="12">
        <v>48446</v>
      </c>
      <c r="F31" s="9" t="s">
        <v>11</v>
      </c>
      <c r="G31" t="s">
        <v>32</v>
      </c>
    </row>
    <row r="32" spans="2:11" x14ac:dyDescent="0.3">
      <c r="B32" t="s">
        <v>12</v>
      </c>
      <c r="C32" s="12">
        <v>41257</v>
      </c>
      <c r="D32" s="12">
        <v>41193</v>
      </c>
      <c r="E32" s="9" t="s">
        <v>11</v>
      </c>
      <c r="F32" s="12">
        <v>41203</v>
      </c>
      <c r="G32" t="s">
        <v>30</v>
      </c>
    </row>
    <row r="33" spans="2:7" x14ac:dyDescent="0.3">
      <c r="B33" t="s">
        <v>14</v>
      </c>
      <c r="C33" s="12">
        <v>833</v>
      </c>
      <c r="D33" s="12">
        <v>833</v>
      </c>
      <c r="E33" s="9" t="s">
        <v>11</v>
      </c>
      <c r="F33" s="12">
        <v>833</v>
      </c>
      <c r="G33" t="s">
        <v>31</v>
      </c>
    </row>
    <row r="34" spans="2:7" x14ac:dyDescent="0.3">
      <c r="B34" t="s">
        <v>15</v>
      </c>
      <c r="C34" s="12">
        <v>698</v>
      </c>
      <c r="D34" s="12">
        <v>698</v>
      </c>
      <c r="E34" s="9" t="s">
        <v>11</v>
      </c>
      <c r="F34" s="12">
        <v>698</v>
      </c>
      <c r="G34" t="s">
        <v>26</v>
      </c>
    </row>
    <row r="35" spans="2:7" x14ac:dyDescent="0.3">
      <c r="B35" t="s">
        <v>16</v>
      </c>
      <c r="C35" s="12">
        <v>42788</v>
      </c>
      <c r="D35" s="12">
        <v>42724</v>
      </c>
      <c r="E35" s="9" t="s">
        <v>11</v>
      </c>
      <c r="F35" s="12">
        <v>42734</v>
      </c>
      <c r="G35" t="s">
        <v>17</v>
      </c>
    </row>
    <row r="36" spans="2:7" x14ac:dyDescent="0.3">
      <c r="B36" t="s">
        <v>18</v>
      </c>
      <c r="C36" s="12">
        <v>2128733</v>
      </c>
      <c r="D36" s="12">
        <v>42725</v>
      </c>
      <c r="E36" s="9" t="s">
        <v>11</v>
      </c>
      <c r="F36" s="12">
        <v>2128679</v>
      </c>
      <c r="G36" t="s">
        <v>40</v>
      </c>
    </row>
    <row r="37" spans="2:7" x14ac:dyDescent="0.3">
      <c r="B37" t="s">
        <v>66</v>
      </c>
      <c r="C37" s="3">
        <v>7239239</v>
      </c>
      <c r="D37" s="9">
        <v>6819373</v>
      </c>
      <c r="E37" s="9">
        <v>6841698</v>
      </c>
      <c r="F37" s="9" t="s">
        <v>11</v>
      </c>
      <c r="G37" t="s">
        <v>68</v>
      </c>
    </row>
    <row r="38" spans="2:7" x14ac:dyDescent="0.3">
      <c r="B38" t="s">
        <v>41</v>
      </c>
      <c r="C38" s="12">
        <v>2399265</v>
      </c>
      <c r="D38" s="14">
        <v>2157888</v>
      </c>
      <c r="E38" s="9" t="s">
        <v>11</v>
      </c>
      <c r="F38" s="13">
        <v>2128679</v>
      </c>
      <c r="G38" t="s">
        <v>49</v>
      </c>
    </row>
    <row r="39" spans="2:7" x14ac:dyDescent="0.3">
      <c r="C39" s="9"/>
      <c r="D39" s="3"/>
    </row>
    <row r="40" spans="2:7" x14ac:dyDescent="0.3">
      <c r="B40" t="s">
        <v>50</v>
      </c>
    </row>
    <row r="41" spans="2:7" x14ac:dyDescent="0.3">
      <c r="B41" s="10" t="s">
        <v>42</v>
      </c>
      <c r="C41" s="9">
        <v>19</v>
      </c>
    </row>
    <row r="42" spans="2:7" x14ac:dyDescent="0.3">
      <c r="B42" s="10" t="s">
        <v>29</v>
      </c>
      <c r="C42">
        <f>134-19</f>
        <v>115</v>
      </c>
    </row>
    <row r="43" spans="2:7" x14ac:dyDescent="0.3">
      <c r="C43" s="3"/>
    </row>
    <row r="44" spans="2:7" x14ac:dyDescent="0.3">
      <c r="B44" s="5" t="s">
        <v>19</v>
      </c>
      <c r="C44" t="s">
        <v>20</v>
      </c>
    </row>
    <row r="46" spans="2:7" x14ac:dyDescent="0.3">
      <c r="C46" t="s">
        <v>13</v>
      </c>
      <c r="D46" t="s">
        <v>9</v>
      </c>
      <c r="E46" t="s">
        <v>8</v>
      </c>
    </row>
    <row r="47" spans="2:7" x14ac:dyDescent="0.3">
      <c r="B47" t="s">
        <v>21</v>
      </c>
      <c r="C47" s="11">
        <v>2399572</v>
      </c>
      <c r="D47" s="3"/>
      <c r="E47" s="3"/>
      <c r="F47" t="s">
        <v>48</v>
      </c>
    </row>
    <row r="48" spans="2:7" x14ac:dyDescent="0.3">
      <c r="B48" s="7" t="s">
        <v>33</v>
      </c>
      <c r="C48" s="8"/>
      <c r="D48" s="8"/>
      <c r="E48" s="8"/>
      <c r="F48" t="s">
        <v>69</v>
      </c>
    </row>
    <row r="49" spans="2:6" x14ac:dyDescent="0.3">
      <c r="B49" t="s">
        <v>22</v>
      </c>
      <c r="C49" s="11">
        <v>2399572</v>
      </c>
      <c r="D49" s="3"/>
      <c r="E49" s="3"/>
      <c r="F49" t="s">
        <v>51</v>
      </c>
    </row>
    <row r="50" spans="2:6" x14ac:dyDescent="0.3">
      <c r="B50" s="7" t="s">
        <v>33</v>
      </c>
      <c r="C50" s="8"/>
      <c r="D50" s="8"/>
      <c r="E50" s="8"/>
    </row>
    <row r="51" spans="2:6" x14ac:dyDescent="0.3">
      <c r="B51" t="s">
        <v>25</v>
      </c>
      <c r="C51" s="3">
        <v>2399631</v>
      </c>
      <c r="D51" s="3"/>
      <c r="E51" s="3"/>
      <c r="F51" t="s">
        <v>52</v>
      </c>
    </row>
    <row r="52" spans="2:6" x14ac:dyDescent="0.3">
      <c r="B52" s="7" t="s">
        <v>33</v>
      </c>
      <c r="C52" s="8"/>
      <c r="D52" s="8"/>
      <c r="E52" s="8"/>
    </row>
    <row r="53" spans="2:6" x14ac:dyDescent="0.3">
      <c r="B53" t="s">
        <v>34</v>
      </c>
      <c r="C53" s="3"/>
      <c r="D53" s="3"/>
      <c r="E53" s="3"/>
    </row>
    <row r="54" spans="2:6" x14ac:dyDescent="0.3">
      <c r="B54" s="7" t="s">
        <v>33</v>
      </c>
      <c r="C54" s="8"/>
      <c r="D54" s="8"/>
      <c r="E54" s="8"/>
    </row>
    <row r="55" spans="2:6" x14ac:dyDescent="0.3">
      <c r="C55" s="3"/>
      <c r="D55" s="3"/>
      <c r="E55" s="3"/>
    </row>
    <row r="56" spans="2:6" x14ac:dyDescent="0.3">
      <c r="B56" t="s">
        <v>35</v>
      </c>
      <c r="C56" s="3">
        <v>4655428</v>
      </c>
      <c r="D56" s="3"/>
      <c r="E56" s="3" t="s">
        <v>11</v>
      </c>
      <c r="F56" t="s">
        <v>38</v>
      </c>
    </row>
    <row r="57" spans="2:6" x14ac:dyDescent="0.3">
      <c r="B57" t="s">
        <v>36</v>
      </c>
      <c r="C57" s="3">
        <v>4655428</v>
      </c>
      <c r="D57" s="3"/>
      <c r="E57" s="3" t="s">
        <v>11</v>
      </c>
      <c r="F57" t="s">
        <v>37</v>
      </c>
    </row>
    <row r="58" spans="2:6" x14ac:dyDescent="0.3">
      <c r="C58" s="3"/>
      <c r="D58" s="3"/>
      <c r="E58" s="3"/>
    </row>
    <row r="59" spans="2:6" x14ac:dyDescent="0.3">
      <c r="C59" s="3"/>
      <c r="D59" s="3"/>
      <c r="E59" s="3"/>
    </row>
    <row r="60" spans="2:6" x14ac:dyDescent="0.3">
      <c r="C60" s="3"/>
      <c r="D60" s="3"/>
      <c r="E60" s="3"/>
    </row>
    <row r="61" spans="2:6" x14ac:dyDescent="0.3">
      <c r="C61" s="3"/>
      <c r="D61" s="3"/>
      <c r="E61" s="3"/>
    </row>
    <row r="62" spans="2:6" x14ac:dyDescent="0.3">
      <c r="B62" t="s">
        <v>23</v>
      </c>
      <c r="C62" s="3"/>
      <c r="D62" s="3"/>
      <c r="E62" s="3"/>
    </row>
    <row r="63" spans="2:6" x14ac:dyDescent="0.3">
      <c r="B63" t="s">
        <v>21</v>
      </c>
    </row>
    <row r="64" spans="2:6" x14ac:dyDescent="0.3">
      <c r="B64" t="s">
        <v>24</v>
      </c>
    </row>
  </sheetData>
  <mergeCells count="1">
    <mergeCell ref="D29:F2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E264-90C5-48B3-B7B3-516C409B0CE8}">
  <dimension ref="A1:I116"/>
  <sheetViews>
    <sheetView workbookViewId="0">
      <selection activeCell="E5" sqref="E5"/>
    </sheetView>
  </sheetViews>
  <sheetFormatPr defaultRowHeight="14.4" x14ac:dyDescent="0.3"/>
  <cols>
    <col min="1" max="1" width="11.21875" bestFit="1" customWidth="1"/>
    <col min="2" max="2" width="10.33203125" bestFit="1" customWidth="1"/>
    <col min="3" max="3" width="6.77734375" bestFit="1" customWidth="1"/>
    <col min="4" max="4" width="9" bestFit="1" customWidth="1"/>
    <col min="5" max="5" width="35.33203125" bestFit="1" customWidth="1"/>
    <col min="6" max="6" width="8" bestFit="1" customWidth="1"/>
    <col min="7" max="7" width="8.21875" bestFit="1" customWidth="1"/>
    <col min="9" max="9" width="11.5546875" bestFit="1" customWidth="1"/>
  </cols>
  <sheetData>
    <row r="1" spans="1:9" x14ac:dyDescent="0.3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27</v>
      </c>
      <c r="G1" t="s">
        <v>75</v>
      </c>
      <c r="H1" t="s">
        <v>76</v>
      </c>
      <c r="I1" t="s">
        <v>77</v>
      </c>
    </row>
    <row r="2" spans="1:9" x14ac:dyDescent="0.3">
      <c r="A2" t="s">
        <v>28</v>
      </c>
      <c r="B2" t="s">
        <v>78</v>
      </c>
      <c r="C2" t="s">
        <v>79</v>
      </c>
      <c r="D2" t="s">
        <v>80</v>
      </c>
      <c r="E2" t="s">
        <v>81</v>
      </c>
      <c r="F2" t="s">
        <v>82</v>
      </c>
      <c r="G2" t="s">
        <v>82</v>
      </c>
      <c r="H2" t="s">
        <v>82</v>
      </c>
      <c r="I2" t="s">
        <v>82</v>
      </c>
    </row>
    <row r="3" spans="1:9" x14ac:dyDescent="0.3">
      <c r="A3" t="s">
        <v>28</v>
      </c>
      <c r="B3" t="s">
        <v>78</v>
      </c>
      <c r="C3" t="s">
        <v>79</v>
      </c>
      <c r="D3" t="s">
        <v>80</v>
      </c>
      <c r="E3" t="s">
        <v>83</v>
      </c>
      <c r="F3" t="s">
        <v>82</v>
      </c>
      <c r="G3" t="s">
        <v>82</v>
      </c>
      <c r="H3" t="s">
        <v>82</v>
      </c>
      <c r="I3" t="s">
        <v>82</v>
      </c>
    </row>
    <row r="4" spans="1:9" x14ac:dyDescent="0.3">
      <c r="A4" t="s">
        <v>28</v>
      </c>
      <c r="B4" t="s">
        <v>78</v>
      </c>
      <c r="C4" t="s">
        <v>79</v>
      </c>
      <c r="D4" t="s">
        <v>80</v>
      </c>
      <c r="E4" t="s">
        <v>84</v>
      </c>
      <c r="F4" t="s">
        <v>82</v>
      </c>
      <c r="G4" t="s">
        <v>82</v>
      </c>
      <c r="H4" t="s">
        <v>82</v>
      </c>
      <c r="I4" t="s">
        <v>82</v>
      </c>
    </row>
    <row r="5" spans="1:9" x14ac:dyDescent="0.3">
      <c r="A5" t="s">
        <v>28</v>
      </c>
      <c r="B5" t="s">
        <v>78</v>
      </c>
      <c r="C5" t="s">
        <v>79</v>
      </c>
      <c r="D5" t="s">
        <v>80</v>
      </c>
      <c r="E5" t="s">
        <v>85</v>
      </c>
      <c r="F5" t="s">
        <v>82</v>
      </c>
      <c r="G5" t="s">
        <v>82</v>
      </c>
      <c r="H5" t="s">
        <v>82</v>
      </c>
      <c r="I5" t="s">
        <v>82</v>
      </c>
    </row>
    <row r="6" spans="1:9" x14ac:dyDescent="0.3">
      <c r="A6" t="s">
        <v>28</v>
      </c>
      <c r="B6" t="s">
        <v>78</v>
      </c>
      <c r="C6" t="s">
        <v>79</v>
      </c>
      <c r="D6" t="s">
        <v>80</v>
      </c>
      <c r="E6" t="s">
        <v>86</v>
      </c>
      <c r="F6" t="s">
        <v>82</v>
      </c>
      <c r="G6" t="s">
        <v>82</v>
      </c>
      <c r="H6" t="s">
        <v>82</v>
      </c>
      <c r="I6" t="s">
        <v>82</v>
      </c>
    </row>
    <row r="7" spans="1:9" x14ac:dyDescent="0.3">
      <c r="A7" t="s">
        <v>28</v>
      </c>
      <c r="B7" t="s">
        <v>78</v>
      </c>
      <c r="C7" t="s">
        <v>79</v>
      </c>
      <c r="D7" t="s">
        <v>80</v>
      </c>
      <c r="E7" t="s">
        <v>87</v>
      </c>
      <c r="F7" t="s">
        <v>82</v>
      </c>
      <c r="G7" t="s">
        <v>82</v>
      </c>
      <c r="H7" t="s">
        <v>82</v>
      </c>
      <c r="I7" t="s">
        <v>82</v>
      </c>
    </row>
    <row r="8" spans="1:9" x14ac:dyDescent="0.3">
      <c r="A8" t="s">
        <v>28</v>
      </c>
      <c r="B8" t="s">
        <v>78</v>
      </c>
      <c r="C8" t="s">
        <v>79</v>
      </c>
      <c r="D8" t="s">
        <v>80</v>
      </c>
      <c r="E8" t="s">
        <v>88</v>
      </c>
      <c r="F8" t="s">
        <v>82</v>
      </c>
      <c r="G8" t="s">
        <v>82</v>
      </c>
      <c r="H8" t="s">
        <v>82</v>
      </c>
      <c r="I8" t="s">
        <v>82</v>
      </c>
    </row>
    <row r="9" spans="1:9" x14ac:dyDescent="0.3">
      <c r="A9" t="s">
        <v>28</v>
      </c>
      <c r="B9" t="s">
        <v>78</v>
      </c>
      <c r="C9" t="s">
        <v>79</v>
      </c>
      <c r="D9" t="s">
        <v>80</v>
      </c>
      <c r="E9" t="s">
        <v>89</v>
      </c>
      <c r="F9" t="s">
        <v>82</v>
      </c>
      <c r="G9" t="s">
        <v>82</v>
      </c>
      <c r="H9" t="s">
        <v>82</v>
      </c>
      <c r="I9" t="s">
        <v>82</v>
      </c>
    </row>
    <row r="10" spans="1:9" x14ac:dyDescent="0.3">
      <c r="A10" t="s">
        <v>28</v>
      </c>
      <c r="B10" t="s">
        <v>78</v>
      </c>
      <c r="C10" t="s">
        <v>79</v>
      </c>
      <c r="D10" t="s">
        <v>80</v>
      </c>
      <c r="E10" t="s">
        <v>90</v>
      </c>
      <c r="F10" t="s">
        <v>82</v>
      </c>
      <c r="G10" t="s">
        <v>82</v>
      </c>
      <c r="H10" t="s">
        <v>82</v>
      </c>
      <c r="I10" t="s">
        <v>82</v>
      </c>
    </row>
    <row r="11" spans="1:9" x14ac:dyDescent="0.3">
      <c r="A11" t="s">
        <v>28</v>
      </c>
      <c r="B11" t="s">
        <v>78</v>
      </c>
      <c r="C11" t="s">
        <v>79</v>
      </c>
      <c r="D11" t="s">
        <v>80</v>
      </c>
      <c r="E11" t="s">
        <v>91</v>
      </c>
      <c r="F11" t="s">
        <v>82</v>
      </c>
      <c r="G11" t="s">
        <v>82</v>
      </c>
      <c r="H11" t="s">
        <v>82</v>
      </c>
      <c r="I11" t="s">
        <v>82</v>
      </c>
    </row>
    <row r="12" spans="1:9" x14ac:dyDescent="0.3">
      <c r="A12" t="s">
        <v>28</v>
      </c>
      <c r="B12" t="s">
        <v>78</v>
      </c>
      <c r="C12" t="s">
        <v>79</v>
      </c>
      <c r="D12" t="s">
        <v>80</v>
      </c>
      <c r="E12" t="s">
        <v>92</v>
      </c>
      <c r="F12" t="s">
        <v>82</v>
      </c>
      <c r="G12" t="s">
        <v>82</v>
      </c>
      <c r="H12" t="s">
        <v>82</v>
      </c>
      <c r="I12" t="s">
        <v>82</v>
      </c>
    </row>
    <row r="13" spans="1:9" x14ac:dyDescent="0.3">
      <c r="A13" t="s">
        <v>28</v>
      </c>
      <c r="B13" t="s">
        <v>78</v>
      </c>
      <c r="C13" t="s">
        <v>79</v>
      </c>
      <c r="D13" t="s">
        <v>80</v>
      </c>
      <c r="E13" t="s">
        <v>93</v>
      </c>
      <c r="F13" t="s">
        <v>82</v>
      </c>
      <c r="G13" t="s">
        <v>82</v>
      </c>
      <c r="H13" t="s">
        <v>82</v>
      </c>
      <c r="I13" t="s">
        <v>82</v>
      </c>
    </row>
    <row r="14" spans="1:9" x14ac:dyDescent="0.3">
      <c r="A14" t="s">
        <v>28</v>
      </c>
      <c r="B14" t="s">
        <v>78</v>
      </c>
      <c r="C14" t="s">
        <v>79</v>
      </c>
      <c r="D14" t="s">
        <v>80</v>
      </c>
      <c r="E14" t="s">
        <v>94</v>
      </c>
      <c r="F14" t="s">
        <v>82</v>
      </c>
      <c r="G14" t="s">
        <v>82</v>
      </c>
      <c r="H14" t="s">
        <v>82</v>
      </c>
      <c r="I14" t="s">
        <v>82</v>
      </c>
    </row>
    <row r="15" spans="1:9" x14ac:dyDescent="0.3">
      <c r="A15" t="s">
        <v>28</v>
      </c>
      <c r="B15" t="s">
        <v>78</v>
      </c>
      <c r="C15" t="s">
        <v>79</v>
      </c>
      <c r="D15" t="s">
        <v>80</v>
      </c>
      <c r="E15" t="s">
        <v>95</v>
      </c>
      <c r="F15" t="s">
        <v>82</v>
      </c>
      <c r="G15" t="s">
        <v>82</v>
      </c>
      <c r="H15" t="s">
        <v>82</v>
      </c>
      <c r="I15" t="s">
        <v>82</v>
      </c>
    </row>
    <row r="16" spans="1:9" x14ac:dyDescent="0.3">
      <c r="A16" t="s">
        <v>28</v>
      </c>
      <c r="B16" t="s">
        <v>78</v>
      </c>
      <c r="C16" t="s">
        <v>79</v>
      </c>
      <c r="D16" t="s">
        <v>80</v>
      </c>
      <c r="E16" t="s">
        <v>96</v>
      </c>
      <c r="F16" t="s">
        <v>82</v>
      </c>
      <c r="G16" t="s">
        <v>82</v>
      </c>
      <c r="H16" t="s">
        <v>82</v>
      </c>
      <c r="I16" t="s">
        <v>82</v>
      </c>
    </row>
    <row r="17" spans="1:9" x14ac:dyDescent="0.3">
      <c r="A17" t="s">
        <v>28</v>
      </c>
      <c r="B17" t="s">
        <v>78</v>
      </c>
      <c r="C17" t="s">
        <v>79</v>
      </c>
      <c r="D17" t="s">
        <v>80</v>
      </c>
      <c r="E17" t="s">
        <v>97</v>
      </c>
      <c r="F17" t="s">
        <v>82</v>
      </c>
      <c r="G17" t="s">
        <v>82</v>
      </c>
      <c r="H17" t="s">
        <v>82</v>
      </c>
      <c r="I17" t="s">
        <v>82</v>
      </c>
    </row>
    <row r="18" spans="1:9" x14ac:dyDescent="0.3">
      <c r="A18" t="s">
        <v>28</v>
      </c>
      <c r="B18" t="s">
        <v>78</v>
      </c>
      <c r="C18" t="s">
        <v>79</v>
      </c>
      <c r="D18" t="s">
        <v>80</v>
      </c>
      <c r="E18" t="s">
        <v>98</v>
      </c>
      <c r="F18" t="s">
        <v>82</v>
      </c>
      <c r="G18" t="s">
        <v>82</v>
      </c>
      <c r="H18" t="s">
        <v>82</v>
      </c>
      <c r="I18" t="s">
        <v>82</v>
      </c>
    </row>
    <row r="19" spans="1:9" x14ac:dyDescent="0.3">
      <c r="A19" t="s">
        <v>28</v>
      </c>
      <c r="B19" t="s">
        <v>78</v>
      </c>
      <c r="C19" t="s">
        <v>79</v>
      </c>
      <c r="D19" t="s">
        <v>80</v>
      </c>
      <c r="E19" t="s">
        <v>99</v>
      </c>
      <c r="F19" t="s">
        <v>82</v>
      </c>
      <c r="G19" t="s">
        <v>82</v>
      </c>
      <c r="H19" t="s">
        <v>82</v>
      </c>
      <c r="I19" t="s">
        <v>82</v>
      </c>
    </row>
    <row r="20" spans="1:9" x14ac:dyDescent="0.3">
      <c r="A20" t="s">
        <v>28</v>
      </c>
      <c r="B20" t="s">
        <v>78</v>
      </c>
      <c r="C20" t="s">
        <v>79</v>
      </c>
      <c r="D20" t="s">
        <v>80</v>
      </c>
      <c r="E20" t="s">
        <v>100</v>
      </c>
      <c r="F20" t="s">
        <v>82</v>
      </c>
      <c r="G20" t="s">
        <v>82</v>
      </c>
      <c r="H20" t="s">
        <v>82</v>
      </c>
      <c r="I20" t="s">
        <v>82</v>
      </c>
    </row>
    <row r="21" spans="1:9" x14ac:dyDescent="0.3">
      <c r="A21" t="s">
        <v>28</v>
      </c>
      <c r="B21" t="s">
        <v>78</v>
      </c>
      <c r="C21" t="s">
        <v>79</v>
      </c>
      <c r="D21" t="s">
        <v>80</v>
      </c>
      <c r="E21" t="s">
        <v>101</v>
      </c>
      <c r="F21" t="s">
        <v>82</v>
      </c>
      <c r="G21" t="s">
        <v>82</v>
      </c>
      <c r="H21" t="s">
        <v>82</v>
      </c>
      <c r="I21" t="s">
        <v>82</v>
      </c>
    </row>
    <row r="22" spans="1:9" x14ac:dyDescent="0.3">
      <c r="A22" t="s">
        <v>28</v>
      </c>
      <c r="B22" t="s">
        <v>78</v>
      </c>
      <c r="C22" t="s">
        <v>79</v>
      </c>
      <c r="D22" t="s">
        <v>80</v>
      </c>
      <c r="E22" t="s">
        <v>102</v>
      </c>
      <c r="F22" t="s">
        <v>82</v>
      </c>
      <c r="G22" t="s">
        <v>82</v>
      </c>
      <c r="H22" t="s">
        <v>82</v>
      </c>
      <c r="I22" t="s">
        <v>82</v>
      </c>
    </row>
    <row r="23" spans="1:9" x14ac:dyDescent="0.3">
      <c r="A23" t="s">
        <v>28</v>
      </c>
      <c r="B23" t="s">
        <v>78</v>
      </c>
      <c r="C23" t="s">
        <v>79</v>
      </c>
      <c r="D23" t="s">
        <v>80</v>
      </c>
      <c r="E23" t="s">
        <v>103</v>
      </c>
      <c r="F23" t="s">
        <v>82</v>
      </c>
      <c r="G23" t="s">
        <v>82</v>
      </c>
      <c r="H23" t="s">
        <v>82</v>
      </c>
      <c r="I23" t="s">
        <v>82</v>
      </c>
    </row>
    <row r="24" spans="1:9" x14ac:dyDescent="0.3">
      <c r="A24" t="s">
        <v>28</v>
      </c>
      <c r="B24" t="s">
        <v>78</v>
      </c>
      <c r="C24" t="s">
        <v>79</v>
      </c>
      <c r="D24" t="s">
        <v>80</v>
      </c>
      <c r="E24" t="s">
        <v>104</v>
      </c>
      <c r="F24" t="s">
        <v>82</v>
      </c>
      <c r="G24" t="s">
        <v>82</v>
      </c>
      <c r="H24" t="s">
        <v>82</v>
      </c>
      <c r="I24" t="s">
        <v>82</v>
      </c>
    </row>
    <row r="25" spans="1:9" x14ac:dyDescent="0.3">
      <c r="A25" t="s">
        <v>28</v>
      </c>
      <c r="B25" t="s">
        <v>78</v>
      </c>
      <c r="C25" t="s">
        <v>79</v>
      </c>
      <c r="D25" t="s">
        <v>80</v>
      </c>
      <c r="E25" t="s">
        <v>105</v>
      </c>
      <c r="F25" t="s">
        <v>82</v>
      </c>
      <c r="G25" t="s">
        <v>82</v>
      </c>
      <c r="H25" t="s">
        <v>82</v>
      </c>
      <c r="I25" t="s">
        <v>82</v>
      </c>
    </row>
    <row r="26" spans="1:9" x14ac:dyDescent="0.3">
      <c r="A26" t="s">
        <v>28</v>
      </c>
      <c r="B26" t="s">
        <v>78</v>
      </c>
      <c r="C26" t="s">
        <v>79</v>
      </c>
      <c r="D26" t="s">
        <v>80</v>
      </c>
      <c r="E26" t="s">
        <v>106</v>
      </c>
      <c r="F26" t="s">
        <v>82</v>
      </c>
      <c r="G26" t="s">
        <v>82</v>
      </c>
      <c r="H26" t="s">
        <v>82</v>
      </c>
      <c r="I26" t="s">
        <v>82</v>
      </c>
    </row>
    <row r="27" spans="1:9" x14ac:dyDescent="0.3">
      <c r="A27" t="s">
        <v>28</v>
      </c>
      <c r="B27" t="s">
        <v>78</v>
      </c>
      <c r="C27" t="s">
        <v>79</v>
      </c>
      <c r="D27" t="s">
        <v>80</v>
      </c>
      <c r="E27" t="s">
        <v>107</v>
      </c>
      <c r="F27" t="s">
        <v>82</v>
      </c>
      <c r="G27" t="s">
        <v>82</v>
      </c>
      <c r="H27" t="s">
        <v>82</v>
      </c>
      <c r="I27" t="s">
        <v>82</v>
      </c>
    </row>
    <row r="28" spans="1:9" x14ac:dyDescent="0.3">
      <c r="A28" t="s">
        <v>28</v>
      </c>
      <c r="B28" t="s">
        <v>78</v>
      </c>
      <c r="C28" t="s">
        <v>79</v>
      </c>
      <c r="D28" t="s">
        <v>80</v>
      </c>
      <c r="E28" t="s">
        <v>108</v>
      </c>
      <c r="F28" t="s">
        <v>82</v>
      </c>
      <c r="G28" t="s">
        <v>82</v>
      </c>
      <c r="H28" t="s">
        <v>82</v>
      </c>
      <c r="I28" t="s">
        <v>82</v>
      </c>
    </row>
    <row r="29" spans="1:9" x14ac:dyDescent="0.3">
      <c r="A29" t="s">
        <v>28</v>
      </c>
      <c r="B29" t="s">
        <v>78</v>
      </c>
      <c r="C29" t="s">
        <v>79</v>
      </c>
      <c r="D29" t="s">
        <v>80</v>
      </c>
      <c r="E29" t="s">
        <v>109</v>
      </c>
      <c r="F29" t="s">
        <v>82</v>
      </c>
      <c r="G29" t="s">
        <v>82</v>
      </c>
      <c r="H29" t="s">
        <v>82</v>
      </c>
      <c r="I29" t="s">
        <v>82</v>
      </c>
    </row>
    <row r="30" spans="1:9" x14ac:dyDescent="0.3">
      <c r="A30" t="s">
        <v>28</v>
      </c>
      <c r="B30" t="s">
        <v>78</v>
      </c>
      <c r="C30" t="s">
        <v>79</v>
      </c>
      <c r="D30" t="s">
        <v>80</v>
      </c>
      <c r="E30" t="s">
        <v>110</v>
      </c>
      <c r="F30" t="s">
        <v>82</v>
      </c>
      <c r="G30" t="s">
        <v>82</v>
      </c>
      <c r="H30" t="s">
        <v>82</v>
      </c>
      <c r="I30" t="s">
        <v>82</v>
      </c>
    </row>
    <row r="31" spans="1:9" x14ac:dyDescent="0.3">
      <c r="A31" t="s">
        <v>28</v>
      </c>
      <c r="B31" t="s">
        <v>78</v>
      </c>
      <c r="C31" t="s">
        <v>79</v>
      </c>
      <c r="D31" t="s">
        <v>80</v>
      </c>
      <c r="E31" t="s">
        <v>111</v>
      </c>
      <c r="F31" t="s">
        <v>82</v>
      </c>
      <c r="G31" t="s">
        <v>82</v>
      </c>
      <c r="H31" t="s">
        <v>82</v>
      </c>
      <c r="I31" t="s">
        <v>82</v>
      </c>
    </row>
    <row r="32" spans="1:9" x14ac:dyDescent="0.3">
      <c r="A32" t="s">
        <v>28</v>
      </c>
      <c r="B32" t="s">
        <v>78</v>
      </c>
      <c r="C32" t="s">
        <v>79</v>
      </c>
      <c r="D32" t="s">
        <v>80</v>
      </c>
      <c r="E32" t="s">
        <v>112</v>
      </c>
      <c r="F32" t="s">
        <v>82</v>
      </c>
      <c r="G32" t="s">
        <v>82</v>
      </c>
      <c r="H32" t="s">
        <v>82</v>
      </c>
      <c r="I32" t="s">
        <v>82</v>
      </c>
    </row>
    <row r="33" spans="1:9" x14ac:dyDescent="0.3">
      <c r="A33" t="s">
        <v>28</v>
      </c>
      <c r="B33" t="s">
        <v>78</v>
      </c>
      <c r="C33" t="s">
        <v>79</v>
      </c>
      <c r="D33" t="s">
        <v>80</v>
      </c>
      <c r="E33" t="s">
        <v>113</v>
      </c>
      <c r="F33" t="s">
        <v>82</v>
      </c>
      <c r="G33" t="s">
        <v>82</v>
      </c>
      <c r="H33" t="s">
        <v>82</v>
      </c>
      <c r="I33" t="s">
        <v>82</v>
      </c>
    </row>
    <row r="34" spans="1:9" x14ac:dyDescent="0.3">
      <c r="A34" t="s">
        <v>28</v>
      </c>
      <c r="B34" t="s">
        <v>78</v>
      </c>
      <c r="C34" t="s">
        <v>79</v>
      </c>
      <c r="D34" t="s">
        <v>80</v>
      </c>
      <c r="E34" t="s">
        <v>114</v>
      </c>
      <c r="F34" t="s">
        <v>82</v>
      </c>
      <c r="G34" t="s">
        <v>82</v>
      </c>
      <c r="H34" t="s">
        <v>82</v>
      </c>
      <c r="I34" t="s">
        <v>82</v>
      </c>
    </row>
    <row r="35" spans="1:9" x14ac:dyDescent="0.3">
      <c r="A35" t="s">
        <v>28</v>
      </c>
      <c r="B35" t="s">
        <v>78</v>
      </c>
      <c r="C35" t="s">
        <v>79</v>
      </c>
      <c r="D35" t="s">
        <v>80</v>
      </c>
      <c r="E35" t="s">
        <v>115</v>
      </c>
      <c r="F35" t="s">
        <v>82</v>
      </c>
      <c r="G35" t="s">
        <v>82</v>
      </c>
      <c r="H35" t="s">
        <v>82</v>
      </c>
      <c r="I35" t="s">
        <v>82</v>
      </c>
    </row>
    <row r="36" spans="1:9" x14ac:dyDescent="0.3">
      <c r="A36" t="s">
        <v>28</v>
      </c>
      <c r="B36" t="s">
        <v>78</v>
      </c>
      <c r="C36" t="s">
        <v>79</v>
      </c>
      <c r="D36" t="s">
        <v>80</v>
      </c>
      <c r="E36" t="s">
        <v>116</v>
      </c>
      <c r="F36" t="s">
        <v>82</v>
      </c>
      <c r="G36" t="s">
        <v>82</v>
      </c>
      <c r="H36" t="s">
        <v>82</v>
      </c>
      <c r="I36" t="s">
        <v>82</v>
      </c>
    </row>
    <row r="37" spans="1:9" x14ac:dyDescent="0.3">
      <c r="A37" t="s">
        <v>28</v>
      </c>
      <c r="B37" t="s">
        <v>78</v>
      </c>
      <c r="C37" t="s">
        <v>79</v>
      </c>
      <c r="D37" t="s">
        <v>80</v>
      </c>
      <c r="E37" t="s">
        <v>117</v>
      </c>
      <c r="F37" t="s">
        <v>82</v>
      </c>
      <c r="G37" t="s">
        <v>82</v>
      </c>
      <c r="H37" t="s">
        <v>82</v>
      </c>
      <c r="I37" t="s">
        <v>82</v>
      </c>
    </row>
    <row r="38" spans="1:9" x14ac:dyDescent="0.3">
      <c r="A38" t="s">
        <v>28</v>
      </c>
      <c r="B38" t="s">
        <v>78</v>
      </c>
      <c r="C38" t="s">
        <v>79</v>
      </c>
      <c r="D38" t="s">
        <v>80</v>
      </c>
      <c r="E38" t="s">
        <v>118</v>
      </c>
      <c r="F38" t="s">
        <v>82</v>
      </c>
      <c r="G38" t="s">
        <v>82</v>
      </c>
      <c r="H38" t="s">
        <v>82</v>
      </c>
      <c r="I38" t="s">
        <v>82</v>
      </c>
    </row>
    <row r="39" spans="1:9" x14ac:dyDescent="0.3">
      <c r="A39" t="s">
        <v>28</v>
      </c>
      <c r="B39" t="s">
        <v>78</v>
      </c>
      <c r="C39" t="s">
        <v>79</v>
      </c>
      <c r="D39" t="s">
        <v>80</v>
      </c>
      <c r="E39" t="s">
        <v>119</v>
      </c>
      <c r="F39" t="s">
        <v>82</v>
      </c>
      <c r="G39" t="s">
        <v>82</v>
      </c>
      <c r="H39" t="s">
        <v>82</v>
      </c>
      <c r="I39" t="s">
        <v>82</v>
      </c>
    </row>
    <row r="40" spans="1:9" x14ac:dyDescent="0.3">
      <c r="A40" t="s">
        <v>28</v>
      </c>
      <c r="B40" t="s">
        <v>78</v>
      </c>
      <c r="C40" t="s">
        <v>79</v>
      </c>
      <c r="D40" t="s">
        <v>80</v>
      </c>
      <c r="E40" t="s">
        <v>120</v>
      </c>
      <c r="F40" t="s">
        <v>82</v>
      </c>
      <c r="G40" t="s">
        <v>82</v>
      </c>
      <c r="H40" t="s">
        <v>82</v>
      </c>
      <c r="I40" t="s">
        <v>82</v>
      </c>
    </row>
    <row r="41" spans="1:9" x14ac:dyDescent="0.3">
      <c r="A41" t="s">
        <v>28</v>
      </c>
      <c r="B41" t="s">
        <v>78</v>
      </c>
      <c r="C41" t="s">
        <v>79</v>
      </c>
      <c r="D41" t="s">
        <v>80</v>
      </c>
      <c r="E41" t="s">
        <v>121</v>
      </c>
      <c r="F41" t="s">
        <v>82</v>
      </c>
      <c r="G41" t="s">
        <v>82</v>
      </c>
      <c r="H41" t="s">
        <v>82</v>
      </c>
      <c r="I41" t="s">
        <v>82</v>
      </c>
    </row>
    <row r="42" spans="1:9" x14ac:dyDescent="0.3">
      <c r="A42" t="s">
        <v>28</v>
      </c>
      <c r="B42" t="s">
        <v>78</v>
      </c>
      <c r="C42" t="s">
        <v>79</v>
      </c>
      <c r="D42" t="s">
        <v>80</v>
      </c>
      <c r="E42" t="s">
        <v>122</v>
      </c>
      <c r="F42" t="s">
        <v>82</v>
      </c>
      <c r="G42" t="s">
        <v>82</v>
      </c>
      <c r="H42" t="s">
        <v>82</v>
      </c>
      <c r="I42" t="s">
        <v>82</v>
      </c>
    </row>
    <row r="43" spans="1:9" x14ac:dyDescent="0.3">
      <c r="A43" t="s">
        <v>28</v>
      </c>
      <c r="B43" t="s">
        <v>78</v>
      </c>
      <c r="C43" t="s">
        <v>79</v>
      </c>
      <c r="D43" t="s">
        <v>80</v>
      </c>
      <c r="E43" t="s">
        <v>123</v>
      </c>
      <c r="F43" t="s">
        <v>82</v>
      </c>
      <c r="G43" t="s">
        <v>82</v>
      </c>
      <c r="H43" t="s">
        <v>82</v>
      </c>
      <c r="I43" t="s">
        <v>82</v>
      </c>
    </row>
    <row r="44" spans="1:9" x14ac:dyDescent="0.3">
      <c r="A44" t="s">
        <v>28</v>
      </c>
      <c r="B44" t="s">
        <v>78</v>
      </c>
      <c r="C44" t="s">
        <v>79</v>
      </c>
      <c r="D44" t="s">
        <v>80</v>
      </c>
      <c r="E44" t="s">
        <v>124</v>
      </c>
      <c r="F44" t="s">
        <v>82</v>
      </c>
      <c r="G44" t="s">
        <v>82</v>
      </c>
      <c r="H44" t="s">
        <v>82</v>
      </c>
      <c r="I44" t="s">
        <v>82</v>
      </c>
    </row>
    <row r="45" spans="1:9" x14ac:dyDescent="0.3">
      <c r="A45" t="s">
        <v>28</v>
      </c>
      <c r="B45" t="s">
        <v>78</v>
      </c>
      <c r="C45" t="s">
        <v>79</v>
      </c>
      <c r="D45" t="s">
        <v>80</v>
      </c>
      <c r="E45" t="s">
        <v>125</v>
      </c>
      <c r="F45" t="s">
        <v>82</v>
      </c>
      <c r="G45" t="s">
        <v>82</v>
      </c>
      <c r="H45" t="s">
        <v>82</v>
      </c>
      <c r="I45" t="s">
        <v>82</v>
      </c>
    </row>
    <row r="46" spans="1:9" x14ac:dyDescent="0.3">
      <c r="A46" t="s">
        <v>28</v>
      </c>
      <c r="B46" t="s">
        <v>78</v>
      </c>
      <c r="C46" t="s">
        <v>79</v>
      </c>
      <c r="D46" t="s">
        <v>80</v>
      </c>
      <c r="E46" t="s">
        <v>126</v>
      </c>
      <c r="F46" t="s">
        <v>82</v>
      </c>
      <c r="G46" t="s">
        <v>82</v>
      </c>
      <c r="H46" t="s">
        <v>82</v>
      </c>
      <c r="I46" t="s">
        <v>82</v>
      </c>
    </row>
    <row r="47" spans="1:9" x14ac:dyDescent="0.3">
      <c r="A47" t="s">
        <v>28</v>
      </c>
      <c r="B47" t="s">
        <v>78</v>
      </c>
      <c r="C47" t="s">
        <v>79</v>
      </c>
      <c r="D47" t="s">
        <v>80</v>
      </c>
      <c r="E47" t="s">
        <v>127</v>
      </c>
      <c r="F47" t="s">
        <v>82</v>
      </c>
      <c r="G47" t="s">
        <v>82</v>
      </c>
      <c r="H47" t="s">
        <v>82</v>
      </c>
      <c r="I47" t="s">
        <v>82</v>
      </c>
    </row>
    <row r="48" spans="1:9" x14ac:dyDescent="0.3">
      <c r="A48" t="s">
        <v>28</v>
      </c>
      <c r="B48" t="s">
        <v>78</v>
      </c>
      <c r="C48" t="s">
        <v>79</v>
      </c>
      <c r="D48" t="s">
        <v>80</v>
      </c>
      <c r="E48" t="s">
        <v>128</v>
      </c>
      <c r="F48" t="s">
        <v>82</v>
      </c>
      <c r="G48" t="s">
        <v>82</v>
      </c>
      <c r="H48" t="s">
        <v>82</v>
      </c>
      <c r="I48" t="s">
        <v>82</v>
      </c>
    </row>
    <row r="49" spans="1:9" x14ac:dyDescent="0.3">
      <c r="A49" t="s">
        <v>28</v>
      </c>
      <c r="B49" t="s">
        <v>78</v>
      </c>
      <c r="C49" t="s">
        <v>79</v>
      </c>
      <c r="D49" t="s">
        <v>80</v>
      </c>
      <c r="E49" t="s">
        <v>129</v>
      </c>
      <c r="F49" t="s">
        <v>82</v>
      </c>
      <c r="G49" t="s">
        <v>82</v>
      </c>
      <c r="H49" t="s">
        <v>82</v>
      </c>
      <c r="I49" t="s">
        <v>82</v>
      </c>
    </row>
    <row r="50" spans="1:9" x14ac:dyDescent="0.3">
      <c r="A50" t="s">
        <v>28</v>
      </c>
      <c r="B50" t="s">
        <v>78</v>
      </c>
      <c r="C50" t="s">
        <v>79</v>
      </c>
      <c r="D50" t="s">
        <v>80</v>
      </c>
      <c r="E50" t="s">
        <v>130</v>
      </c>
      <c r="F50" t="s">
        <v>82</v>
      </c>
      <c r="G50" t="s">
        <v>82</v>
      </c>
      <c r="H50" t="s">
        <v>82</v>
      </c>
      <c r="I50" t="s">
        <v>82</v>
      </c>
    </row>
    <row r="51" spans="1:9" x14ac:dyDescent="0.3">
      <c r="A51" t="s">
        <v>28</v>
      </c>
      <c r="B51" t="s">
        <v>78</v>
      </c>
      <c r="C51" t="s">
        <v>79</v>
      </c>
      <c r="D51" t="s">
        <v>80</v>
      </c>
      <c r="E51" t="s">
        <v>131</v>
      </c>
      <c r="F51" t="s">
        <v>82</v>
      </c>
      <c r="G51" t="s">
        <v>82</v>
      </c>
      <c r="H51" t="s">
        <v>82</v>
      </c>
      <c r="I51" t="s">
        <v>82</v>
      </c>
    </row>
    <row r="52" spans="1:9" x14ac:dyDescent="0.3">
      <c r="A52" t="s">
        <v>28</v>
      </c>
      <c r="B52" t="s">
        <v>78</v>
      </c>
      <c r="C52" t="s">
        <v>79</v>
      </c>
      <c r="D52" t="s">
        <v>80</v>
      </c>
      <c r="E52" t="s">
        <v>132</v>
      </c>
      <c r="F52" t="s">
        <v>82</v>
      </c>
      <c r="G52" t="s">
        <v>82</v>
      </c>
      <c r="H52" t="s">
        <v>82</v>
      </c>
      <c r="I52" t="s">
        <v>82</v>
      </c>
    </row>
    <row r="53" spans="1:9" x14ac:dyDescent="0.3">
      <c r="A53" t="s">
        <v>28</v>
      </c>
      <c r="B53" t="s">
        <v>78</v>
      </c>
      <c r="C53" t="s">
        <v>79</v>
      </c>
      <c r="D53" t="s">
        <v>80</v>
      </c>
      <c r="E53" t="s">
        <v>133</v>
      </c>
      <c r="F53" t="s">
        <v>82</v>
      </c>
      <c r="G53" t="s">
        <v>82</v>
      </c>
      <c r="H53" t="s">
        <v>82</v>
      </c>
      <c r="I53" t="s">
        <v>82</v>
      </c>
    </row>
    <row r="54" spans="1:9" x14ac:dyDescent="0.3">
      <c r="A54" t="s">
        <v>28</v>
      </c>
      <c r="B54" t="s">
        <v>78</v>
      </c>
      <c r="C54" t="s">
        <v>79</v>
      </c>
      <c r="D54" t="s">
        <v>80</v>
      </c>
      <c r="E54" t="s">
        <v>134</v>
      </c>
      <c r="F54" t="s">
        <v>82</v>
      </c>
      <c r="G54" t="s">
        <v>82</v>
      </c>
      <c r="H54" t="s">
        <v>82</v>
      </c>
      <c r="I54" t="s">
        <v>82</v>
      </c>
    </row>
    <row r="55" spans="1:9" x14ac:dyDescent="0.3">
      <c r="A55" t="s">
        <v>28</v>
      </c>
      <c r="B55" t="s">
        <v>78</v>
      </c>
      <c r="C55" t="s">
        <v>79</v>
      </c>
      <c r="D55" t="s">
        <v>80</v>
      </c>
      <c r="E55" t="s">
        <v>135</v>
      </c>
      <c r="F55" t="s">
        <v>82</v>
      </c>
      <c r="G55" t="s">
        <v>82</v>
      </c>
      <c r="H55" t="s">
        <v>82</v>
      </c>
      <c r="I55" t="s">
        <v>82</v>
      </c>
    </row>
    <row r="56" spans="1:9" x14ac:dyDescent="0.3">
      <c r="A56" t="s">
        <v>28</v>
      </c>
      <c r="B56" t="s">
        <v>78</v>
      </c>
      <c r="C56" t="s">
        <v>79</v>
      </c>
      <c r="D56" t="s">
        <v>80</v>
      </c>
      <c r="E56" t="s">
        <v>136</v>
      </c>
      <c r="F56" t="s">
        <v>82</v>
      </c>
      <c r="G56" t="s">
        <v>82</v>
      </c>
      <c r="H56" t="s">
        <v>82</v>
      </c>
      <c r="I56" t="s">
        <v>82</v>
      </c>
    </row>
    <row r="57" spans="1:9" x14ac:dyDescent="0.3">
      <c r="A57" t="s">
        <v>28</v>
      </c>
      <c r="B57" t="s">
        <v>78</v>
      </c>
      <c r="C57" t="s">
        <v>79</v>
      </c>
      <c r="D57" t="s">
        <v>80</v>
      </c>
      <c r="E57" t="s">
        <v>137</v>
      </c>
      <c r="F57" t="s">
        <v>82</v>
      </c>
      <c r="G57" t="s">
        <v>82</v>
      </c>
      <c r="H57" t="s">
        <v>82</v>
      </c>
      <c r="I57" t="s">
        <v>82</v>
      </c>
    </row>
    <row r="58" spans="1:9" x14ac:dyDescent="0.3">
      <c r="A58" t="s">
        <v>28</v>
      </c>
      <c r="B58" t="s">
        <v>78</v>
      </c>
      <c r="C58" t="s">
        <v>79</v>
      </c>
      <c r="D58" t="s">
        <v>80</v>
      </c>
      <c r="E58" t="s">
        <v>138</v>
      </c>
      <c r="F58" t="s">
        <v>82</v>
      </c>
      <c r="G58" t="s">
        <v>82</v>
      </c>
      <c r="H58" t="s">
        <v>82</v>
      </c>
      <c r="I58" t="s">
        <v>82</v>
      </c>
    </row>
    <row r="59" spans="1:9" x14ac:dyDescent="0.3">
      <c r="A59" t="s">
        <v>28</v>
      </c>
      <c r="B59" t="s">
        <v>78</v>
      </c>
      <c r="C59" t="s">
        <v>79</v>
      </c>
      <c r="D59" t="s">
        <v>80</v>
      </c>
      <c r="E59" t="s">
        <v>139</v>
      </c>
      <c r="F59" t="s">
        <v>82</v>
      </c>
      <c r="G59" t="s">
        <v>82</v>
      </c>
      <c r="H59" t="s">
        <v>82</v>
      </c>
      <c r="I59" t="s">
        <v>82</v>
      </c>
    </row>
    <row r="60" spans="1:9" x14ac:dyDescent="0.3">
      <c r="A60" t="s">
        <v>28</v>
      </c>
      <c r="B60" t="s">
        <v>78</v>
      </c>
      <c r="C60" t="s">
        <v>79</v>
      </c>
      <c r="D60" t="s">
        <v>80</v>
      </c>
      <c r="E60" t="s">
        <v>140</v>
      </c>
      <c r="F60" t="s">
        <v>82</v>
      </c>
      <c r="G60" t="s">
        <v>82</v>
      </c>
      <c r="H60" t="s">
        <v>82</v>
      </c>
      <c r="I60" t="s">
        <v>82</v>
      </c>
    </row>
    <row r="61" spans="1:9" x14ac:dyDescent="0.3">
      <c r="A61" t="s">
        <v>28</v>
      </c>
      <c r="B61" t="s">
        <v>78</v>
      </c>
      <c r="C61" t="s">
        <v>79</v>
      </c>
      <c r="D61" t="s">
        <v>80</v>
      </c>
      <c r="E61" t="s">
        <v>141</v>
      </c>
      <c r="F61" t="s">
        <v>82</v>
      </c>
      <c r="G61" t="s">
        <v>82</v>
      </c>
      <c r="H61" t="s">
        <v>82</v>
      </c>
      <c r="I61" t="s">
        <v>82</v>
      </c>
    </row>
    <row r="62" spans="1:9" x14ac:dyDescent="0.3">
      <c r="A62" t="s">
        <v>28</v>
      </c>
      <c r="B62" t="s">
        <v>78</v>
      </c>
      <c r="C62" t="s">
        <v>79</v>
      </c>
      <c r="D62" t="s">
        <v>80</v>
      </c>
      <c r="E62" t="s">
        <v>142</v>
      </c>
      <c r="F62" t="s">
        <v>82</v>
      </c>
      <c r="G62" t="s">
        <v>82</v>
      </c>
      <c r="H62" t="s">
        <v>82</v>
      </c>
      <c r="I62" t="s">
        <v>82</v>
      </c>
    </row>
    <row r="63" spans="1:9" x14ac:dyDescent="0.3">
      <c r="A63" t="s">
        <v>28</v>
      </c>
      <c r="B63" t="s">
        <v>78</v>
      </c>
      <c r="C63" t="s">
        <v>79</v>
      </c>
      <c r="D63" t="s">
        <v>80</v>
      </c>
      <c r="E63" t="s">
        <v>143</v>
      </c>
      <c r="F63" t="s">
        <v>82</v>
      </c>
      <c r="G63" t="s">
        <v>82</v>
      </c>
      <c r="H63" t="s">
        <v>82</v>
      </c>
      <c r="I63" t="s">
        <v>82</v>
      </c>
    </row>
    <row r="64" spans="1:9" x14ac:dyDescent="0.3">
      <c r="A64" t="s">
        <v>28</v>
      </c>
      <c r="B64" t="s">
        <v>78</v>
      </c>
      <c r="C64" t="s">
        <v>79</v>
      </c>
      <c r="D64" t="s">
        <v>80</v>
      </c>
      <c r="E64" t="s">
        <v>144</v>
      </c>
      <c r="F64" t="s">
        <v>82</v>
      </c>
      <c r="G64" t="s">
        <v>82</v>
      </c>
      <c r="H64" t="s">
        <v>82</v>
      </c>
      <c r="I64" t="s">
        <v>82</v>
      </c>
    </row>
    <row r="65" spans="1:9" x14ac:dyDescent="0.3">
      <c r="A65" t="s">
        <v>28</v>
      </c>
      <c r="B65" t="s">
        <v>78</v>
      </c>
      <c r="C65" t="s">
        <v>79</v>
      </c>
      <c r="D65" t="s">
        <v>80</v>
      </c>
      <c r="E65" t="s">
        <v>145</v>
      </c>
      <c r="F65" t="s">
        <v>82</v>
      </c>
      <c r="G65" t="s">
        <v>82</v>
      </c>
      <c r="H65" t="s">
        <v>82</v>
      </c>
      <c r="I65" t="s">
        <v>82</v>
      </c>
    </row>
    <row r="66" spans="1:9" x14ac:dyDescent="0.3">
      <c r="A66" t="s">
        <v>28</v>
      </c>
      <c r="B66" t="s">
        <v>78</v>
      </c>
      <c r="C66" t="s">
        <v>79</v>
      </c>
      <c r="D66" t="s">
        <v>80</v>
      </c>
      <c r="E66" t="s">
        <v>146</v>
      </c>
      <c r="F66" t="s">
        <v>82</v>
      </c>
      <c r="G66" t="s">
        <v>82</v>
      </c>
      <c r="H66" t="s">
        <v>82</v>
      </c>
      <c r="I66" t="s">
        <v>82</v>
      </c>
    </row>
    <row r="67" spans="1:9" x14ac:dyDescent="0.3">
      <c r="A67" t="s">
        <v>28</v>
      </c>
      <c r="B67" t="s">
        <v>78</v>
      </c>
      <c r="C67" t="s">
        <v>79</v>
      </c>
      <c r="D67" t="s">
        <v>80</v>
      </c>
      <c r="E67" t="s">
        <v>147</v>
      </c>
      <c r="F67" t="s">
        <v>82</v>
      </c>
      <c r="G67" t="s">
        <v>82</v>
      </c>
      <c r="H67" t="s">
        <v>82</v>
      </c>
      <c r="I67" t="s">
        <v>82</v>
      </c>
    </row>
    <row r="68" spans="1:9" x14ac:dyDescent="0.3">
      <c r="A68" t="s">
        <v>28</v>
      </c>
      <c r="B68" t="s">
        <v>78</v>
      </c>
      <c r="C68" t="s">
        <v>79</v>
      </c>
      <c r="D68" t="s">
        <v>80</v>
      </c>
      <c r="E68" t="s">
        <v>148</v>
      </c>
      <c r="F68" t="s">
        <v>82</v>
      </c>
      <c r="G68" t="s">
        <v>82</v>
      </c>
      <c r="H68" t="s">
        <v>82</v>
      </c>
      <c r="I68" t="s">
        <v>82</v>
      </c>
    </row>
    <row r="69" spans="1:9" x14ac:dyDescent="0.3">
      <c r="A69" t="s">
        <v>28</v>
      </c>
      <c r="B69" t="s">
        <v>78</v>
      </c>
      <c r="C69" t="s">
        <v>79</v>
      </c>
      <c r="D69" t="s">
        <v>80</v>
      </c>
      <c r="E69" t="s">
        <v>149</v>
      </c>
      <c r="F69" t="s">
        <v>82</v>
      </c>
      <c r="G69" t="s">
        <v>82</v>
      </c>
      <c r="H69" t="s">
        <v>82</v>
      </c>
      <c r="I69" t="s">
        <v>82</v>
      </c>
    </row>
    <row r="70" spans="1:9" x14ac:dyDescent="0.3">
      <c r="A70" t="s">
        <v>28</v>
      </c>
      <c r="B70" t="s">
        <v>78</v>
      </c>
      <c r="C70" t="s">
        <v>79</v>
      </c>
      <c r="D70" t="s">
        <v>80</v>
      </c>
      <c r="E70" t="s">
        <v>150</v>
      </c>
      <c r="F70" t="s">
        <v>82</v>
      </c>
      <c r="G70" t="s">
        <v>82</v>
      </c>
      <c r="H70" t="s">
        <v>82</v>
      </c>
      <c r="I70" t="s">
        <v>82</v>
      </c>
    </row>
    <row r="71" spans="1:9" x14ac:dyDescent="0.3">
      <c r="A71" t="s">
        <v>28</v>
      </c>
      <c r="B71" t="s">
        <v>78</v>
      </c>
      <c r="C71" t="s">
        <v>79</v>
      </c>
      <c r="D71" t="s">
        <v>80</v>
      </c>
      <c r="E71" t="s">
        <v>151</v>
      </c>
      <c r="F71" t="s">
        <v>82</v>
      </c>
      <c r="G71" t="s">
        <v>82</v>
      </c>
      <c r="H71" t="s">
        <v>82</v>
      </c>
      <c r="I71" t="s">
        <v>82</v>
      </c>
    </row>
    <row r="72" spans="1:9" x14ac:dyDescent="0.3">
      <c r="A72" t="s">
        <v>28</v>
      </c>
      <c r="B72" t="s">
        <v>78</v>
      </c>
      <c r="C72" t="s">
        <v>79</v>
      </c>
      <c r="D72" t="s">
        <v>80</v>
      </c>
      <c r="E72" t="s">
        <v>152</v>
      </c>
      <c r="F72" t="s">
        <v>82</v>
      </c>
      <c r="G72" t="s">
        <v>82</v>
      </c>
      <c r="H72" t="s">
        <v>82</v>
      </c>
      <c r="I72" t="s">
        <v>82</v>
      </c>
    </row>
    <row r="73" spans="1:9" x14ac:dyDescent="0.3">
      <c r="A73" t="s">
        <v>28</v>
      </c>
      <c r="B73" t="s">
        <v>78</v>
      </c>
      <c r="C73" t="s">
        <v>79</v>
      </c>
      <c r="D73" t="s">
        <v>80</v>
      </c>
      <c r="E73" t="s">
        <v>153</v>
      </c>
      <c r="F73" t="s">
        <v>82</v>
      </c>
      <c r="G73" t="s">
        <v>82</v>
      </c>
      <c r="H73" t="s">
        <v>82</v>
      </c>
      <c r="I73" t="s">
        <v>82</v>
      </c>
    </row>
    <row r="74" spans="1:9" x14ac:dyDescent="0.3">
      <c r="A74" t="s">
        <v>28</v>
      </c>
      <c r="B74" t="s">
        <v>78</v>
      </c>
      <c r="C74" t="s">
        <v>79</v>
      </c>
      <c r="D74" t="s">
        <v>80</v>
      </c>
      <c r="E74" t="s">
        <v>154</v>
      </c>
      <c r="F74" t="s">
        <v>82</v>
      </c>
      <c r="G74" t="s">
        <v>82</v>
      </c>
      <c r="H74" t="s">
        <v>82</v>
      </c>
      <c r="I74" t="s">
        <v>82</v>
      </c>
    </row>
    <row r="75" spans="1:9" x14ac:dyDescent="0.3">
      <c r="A75" t="s">
        <v>28</v>
      </c>
      <c r="B75" t="s">
        <v>78</v>
      </c>
      <c r="C75" t="s">
        <v>79</v>
      </c>
      <c r="D75" t="s">
        <v>80</v>
      </c>
      <c r="E75" t="s">
        <v>155</v>
      </c>
      <c r="F75" t="s">
        <v>82</v>
      </c>
      <c r="G75" t="s">
        <v>82</v>
      </c>
      <c r="H75" t="s">
        <v>82</v>
      </c>
      <c r="I75" t="s">
        <v>82</v>
      </c>
    </row>
    <row r="76" spans="1:9" x14ac:dyDescent="0.3">
      <c r="A76" t="s">
        <v>28</v>
      </c>
      <c r="B76" t="s">
        <v>78</v>
      </c>
      <c r="C76" t="s">
        <v>79</v>
      </c>
      <c r="D76" t="s">
        <v>80</v>
      </c>
      <c r="E76" t="s">
        <v>156</v>
      </c>
      <c r="F76" t="s">
        <v>82</v>
      </c>
      <c r="G76" t="s">
        <v>82</v>
      </c>
      <c r="H76" t="s">
        <v>82</v>
      </c>
      <c r="I76" t="s">
        <v>82</v>
      </c>
    </row>
    <row r="77" spans="1:9" x14ac:dyDescent="0.3">
      <c r="A77" t="s">
        <v>28</v>
      </c>
      <c r="B77" t="s">
        <v>78</v>
      </c>
      <c r="C77" t="s">
        <v>79</v>
      </c>
      <c r="D77" t="s">
        <v>80</v>
      </c>
      <c r="E77" t="s">
        <v>157</v>
      </c>
      <c r="F77" t="s">
        <v>82</v>
      </c>
      <c r="G77" t="s">
        <v>82</v>
      </c>
      <c r="H77" t="s">
        <v>82</v>
      </c>
      <c r="I77" t="s">
        <v>82</v>
      </c>
    </row>
    <row r="78" spans="1:9" x14ac:dyDescent="0.3">
      <c r="A78" t="s">
        <v>28</v>
      </c>
      <c r="B78" t="s">
        <v>78</v>
      </c>
      <c r="C78" t="s">
        <v>79</v>
      </c>
      <c r="D78" t="s">
        <v>80</v>
      </c>
      <c r="E78" t="s">
        <v>158</v>
      </c>
      <c r="F78" t="s">
        <v>82</v>
      </c>
      <c r="G78" t="s">
        <v>82</v>
      </c>
      <c r="H78" t="s">
        <v>82</v>
      </c>
      <c r="I78" t="s">
        <v>82</v>
      </c>
    </row>
    <row r="79" spans="1:9" x14ac:dyDescent="0.3">
      <c r="A79" t="s">
        <v>28</v>
      </c>
      <c r="B79" t="s">
        <v>78</v>
      </c>
      <c r="C79" t="s">
        <v>79</v>
      </c>
      <c r="D79" t="s">
        <v>80</v>
      </c>
      <c r="E79" t="s">
        <v>159</v>
      </c>
      <c r="F79" t="s">
        <v>82</v>
      </c>
      <c r="G79" t="s">
        <v>82</v>
      </c>
      <c r="H79" t="s">
        <v>82</v>
      </c>
      <c r="I79" t="s">
        <v>82</v>
      </c>
    </row>
    <row r="80" spans="1:9" x14ac:dyDescent="0.3">
      <c r="A80" t="s">
        <v>28</v>
      </c>
      <c r="B80" t="s">
        <v>78</v>
      </c>
      <c r="C80" t="s">
        <v>79</v>
      </c>
      <c r="D80" t="s">
        <v>80</v>
      </c>
      <c r="E80" t="s">
        <v>160</v>
      </c>
      <c r="F80" t="s">
        <v>82</v>
      </c>
      <c r="G80" t="s">
        <v>82</v>
      </c>
      <c r="H80" t="s">
        <v>82</v>
      </c>
      <c r="I80" t="s">
        <v>82</v>
      </c>
    </row>
    <row r="81" spans="1:9" x14ac:dyDescent="0.3">
      <c r="A81" t="s">
        <v>28</v>
      </c>
      <c r="B81" t="s">
        <v>78</v>
      </c>
      <c r="C81" t="s">
        <v>79</v>
      </c>
      <c r="D81" t="s">
        <v>80</v>
      </c>
      <c r="E81" t="s">
        <v>161</v>
      </c>
      <c r="F81" t="s">
        <v>82</v>
      </c>
      <c r="G81" t="s">
        <v>82</v>
      </c>
      <c r="H81" t="s">
        <v>82</v>
      </c>
      <c r="I81" t="s">
        <v>82</v>
      </c>
    </row>
    <row r="82" spans="1:9" x14ac:dyDescent="0.3">
      <c r="A82" t="s">
        <v>28</v>
      </c>
      <c r="B82" t="s">
        <v>78</v>
      </c>
      <c r="C82" t="s">
        <v>79</v>
      </c>
      <c r="D82" t="s">
        <v>80</v>
      </c>
      <c r="E82" t="s">
        <v>162</v>
      </c>
      <c r="F82" t="s">
        <v>82</v>
      </c>
      <c r="G82" t="s">
        <v>82</v>
      </c>
      <c r="H82" t="s">
        <v>82</v>
      </c>
      <c r="I82" t="s">
        <v>82</v>
      </c>
    </row>
    <row r="83" spans="1:9" x14ac:dyDescent="0.3">
      <c r="A83" t="s">
        <v>28</v>
      </c>
      <c r="B83" t="s">
        <v>78</v>
      </c>
      <c r="C83" t="s">
        <v>79</v>
      </c>
      <c r="D83" t="s">
        <v>80</v>
      </c>
      <c r="E83" t="s">
        <v>163</v>
      </c>
      <c r="F83" t="s">
        <v>82</v>
      </c>
      <c r="G83" t="s">
        <v>82</v>
      </c>
      <c r="H83" t="s">
        <v>82</v>
      </c>
      <c r="I83" t="s">
        <v>82</v>
      </c>
    </row>
    <row r="84" spans="1:9" x14ac:dyDescent="0.3">
      <c r="A84" t="s">
        <v>28</v>
      </c>
      <c r="B84" t="s">
        <v>78</v>
      </c>
      <c r="C84" t="s">
        <v>79</v>
      </c>
      <c r="D84" t="s">
        <v>80</v>
      </c>
      <c r="E84" t="s">
        <v>164</v>
      </c>
      <c r="F84" t="s">
        <v>82</v>
      </c>
      <c r="G84" t="s">
        <v>82</v>
      </c>
      <c r="H84" t="s">
        <v>82</v>
      </c>
      <c r="I84" t="s">
        <v>82</v>
      </c>
    </row>
    <row r="85" spans="1:9" x14ac:dyDescent="0.3">
      <c r="A85" t="s">
        <v>28</v>
      </c>
      <c r="B85" t="s">
        <v>78</v>
      </c>
      <c r="C85" t="s">
        <v>79</v>
      </c>
      <c r="D85" t="s">
        <v>80</v>
      </c>
      <c r="E85" t="s">
        <v>165</v>
      </c>
      <c r="F85" t="s">
        <v>82</v>
      </c>
      <c r="G85" t="s">
        <v>82</v>
      </c>
      <c r="H85" t="s">
        <v>82</v>
      </c>
      <c r="I85" t="s">
        <v>82</v>
      </c>
    </row>
    <row r="86" spans="1:9" x14ac:dyDescent="0.3">
      <c r="A86" t="s">
        <v>28</v>
      </c>
      <c r="B86" t="s">
        <v>78</v>
      </c>
      <c r="C86" t="s">
        <v>79</v>
      </c>
      <c r="D86" t="s">
        <v>80</v>
      </c>
      <c r="E86" t="s">
        <v>166</v>
      </c>
      <c r="F86" t="s">
        <v>82</v>
      </c>
      <c r="G86" t="s">
        <v>82</v>
      </c>
      <c r="H86" t="s">
        <v>82</v>
      </c>
      <c r="I86" t="s">
        <v>82</v>
      </c>
    </row>
    <row r="87" spans="1:9" x14ac:dyDescent="0.3">
      <c r="A87" t="s">
        <v>28</v>
      </c>
      <c r="B87" t="s">
        <v>78</v>
      </c>
      <c r="C87" t="s">
        <v>79</v>
      </c>
      <c r="D87" t="s">
        <v>80</v>
      </c>
      <c r="E87" t="s">
        <v>167</v>
      </c>
      <c r="F87" t="s">
        <v>82</v>
      </c>
      <c r="G87" t="s">
        <v>82</v>
      </c>
      <c r="H87" t="s">
        <v>82</v>
      </c>
      <c r="I87" t="s">
        <v>82</v>
      </c>
    </row>
    <row r="88" spans="1:9" x14ac:dyDescent="0.3">
      <c r="A88" t="s">
        <v>28</v>
      </c>
      <c r="B88" t="s">
        <v>78</v>
      </c>
      <c r="C88" t="s">
        <v>79</v>
      </c>
      <c r="D88" t="s">
        <v>80</v>
      </c>
      <c r="E88" t="s">
        <v>168</v>
      </c>
      <c r="F88" t="s">
        <v>82</v>
      </c>
      <c r="G88" t="s">
        <v>82</v>
      </c>
      <c r="H88" t="s">
        <v>82</v>
      </c>
      <c r="I88" t="s">
        <v>82</v>
      </c>
    </row>
    <row r="89" spans="1:9" x14ac:dyDescent="0.3">
      <c r="A89" t="s">
        <v>28</v>
      </c>
      <c r="B89" t="s">
        <v>78</v>
      </c>
      <c r="C89" t="s">
        <v>79</v>
      </c>
      <c r="D89" t="s">
        <v>80</v>
      </c>
      <c r="E89" t="s">
        <v>169</v>
      </c>
      <c r="F89" t="s">
        <v>82</v>
      </c>
      <c r="G89" t="s">
        <v>82</v>
      </c>
      <c r="H89" t="s">
        <v>82</v>
      </c>
      <c r="I89" t="s">
        <v>82</v>
      </c>
    </row>
    <row r="90" spans="1:9" x14ac:dyDescent="0.3">
      <c r="A90" t="s">
        <v>28</v>
      </c>
      <c r="B90" t="s">
        <v>78</v>
      </c>
      <c r="C90" t="s">
        <v>79</v>
      </c>
      <c r="D90" t="s">
        <v>80</v>
      </c>
      <c r="E90" t="s">
        <v>170</v>
      </c>
      <c r="F90" t="s">
        <v>82</v>
      </c>
      <c r="G90" t="s">
        <v>82</v>
      </c>
      <c r="H90" t="s">
        <v>82</v>
      </c>
      <c r="I90" t="s">
        <v>82</v>
      </c>
    </row>
    <row r="91" spans="1:9" x14ac:dyDescent="0.3">
      <c r="A91" t="s">
        <v>28</v>
      </c>
      <c r="B91" t="s">
        <v>78</v>
      </c>
      <c r="C91" t="s">
        <v>79</v>
      </c>
      <c r="D91" t="s">
        <v>80</v>
      </c>
      <c r="E91" t="s">
        <v>171</v>
      </c>
      <c r="F91" t="s">
        <v>82</v>
      </c>
      <c r="G91" t="s">
        <v>82</v>
      </c>
      <c r="H91" t="s">
        <v>82</v>
      </c>
      <c r="I91" t="s">
        <v>82</v>
      </c>
    </row>
    <row r="92" spans="1:9" x14ac:dyDescent="0.3">
      <c r="A92" t="s">
        <v>28</v>
      </c>
      <c r="B92" t="s">
        <v>78</v>
      </c>
      <c r="C92" t="s">
        <v>79</v>
      </c>
      <c r="D92" t="s">
        <v>80</v>
      </c>
      <c r="E92" t="s">
        <v>172</v>
      </c>
      <c r="F92" t="s">
        <v>82</v>
      </c>
      <c r="G92" t="s">
        <v>82</v>
      </c>
      <c r="H92" t="s">
        <v>82</v>
      </c>
      <c r="I92" t="s">
        <v>82</v>
      </c>
    </row>
    <row r="93" spans="1:9" x14ac:dyDescent="0.3">
      <c r="A93" t="s">
        <v>28</v>
      </c>
      <c r="B93" t="s">
        <v>78</v>
      </c>
      <c r="C93" t="s">
        <v>79</v>
      </c>
      <c r="D93" t="s">
        <v>80</v>
      </c>
      <c r="E93" t="s">
        <v>173</v>
      </c>
      <c r="F93" t="s">
        <v>82</v>
      </c>
      <c r="G93" t="s">
        <v>82</v>
      </c>
      <c r="H93" t="s">
        <v>82</v>
      </c>
      <c r="I93" t="s">
        <v>82</v>
      </c>
    </row>
    <row r="94" spans="1:9" x14ac:dyDescent="0.3">
      <c r="A94" t="s">
        <v>28</v>
      </c>
      <c r="B94" t="s">
        <v>78</v>
      </c>
      <c r="C94" t="s">
        <v>79</v>
      </c>
      <c r="D94" t="s">
        <v>80</v>
      </c>
      <c r="E94" t="s">
        <v>174</v>
      </c>
      <c r="F94" t="s">
        <v>82</v>
      </c>
      <c r="G94" t="s">
        <v>82</v>
      </c>
      <c r="H94" t="s">
        <v>82</v>
      </c>
      <c r="I94" t="s">
        <v>82</v>
      </c>
    </row>
    <row r="95" spans="1:9" x14ac:dyDescent="0.3">
      <c r="A95" t="s">
        <v>28</v>
      </c>
      <c r="B95" t="s">
        <v>78</v>
      </c>
      <c r="C95" t="s">
        <v>79</v>
      </c>
      <c r="D95" t="s">
        <v>80</v>
      </c>
      <c r="E95" t="s">
        <v>175</v>
      </c>
      <c r="F95" t="s">
        <v>82</v>
      </c>
      <c r="G95" t="s">
        <v>82</v>
      </c>
      <c r="H95" t="s">
        <v>82</v>
      </c>
      <c r="I95" t="s">
        <v>82</v>
      </c>
    </row>
    <row r="96" spans="1:9" x14ac:dyDescent="0.3">
      <c r="A96" t="s">
        <v>28</v>
      </c>
      <c r="B96" t="s">
        <v>78</v>
      </c>
      <c r="C96" t="s">
        <v>79</v>
      </c>
      <c r="D96" t="s">
        <v>80</v>
      </c>
      <c r="E96" t="s">
        <v>176</v>
      </c>
      <c r="F96" t="s">
        <v>82</v>
      </c>
      <c r="G96" t="s">
        <v>82</v>
      </c>
      <c r="H96" t="s">
        <v>82</v>
      </c>
      <c r="I96" t="s">
        <v>82</v>
      </c>
    </row>
    <row r="97" spans="1:9" x14ac:dyDescent="0.3">
      <c r="A97" t="s">
        <v>28</v>
      </c>
      <c r="B97" t="s">
        <v>78</v>
      </c>
      <c r="C97" t="s">
        <v>79</v>
      </c>
      <c r="D97" t="s">
        <v>80</v>
      </c>
      <c r="E97" t="s">
        <v>177</v>
      </c>
      <c r="F97" t="s">
        <v>82</v>
      </c>
      <c r="G97" t="s">
        <v>82</v>
      </c>
      <c r="H97" t="s">
        <v>82</v>
      </c>
      <c r="I97" t="s">
        <v>82</v>
      </c>
    </row>
    <row r="98" spans="1:9" x14ac:dyDescent="0.3">
      <c r="A98" t="s">
        <v>28</v>
      </c>
      <c r="B98" t="s">
        <v>78</v>
      </c>
      <c r="C98" t="s">
        <v>79</v>
      </c>
      <c r="D98" t="s">
        <v>80</v>
      </c>
      <c r="E98" t="s">
        <v>178</v>
      </c>
      <c r="F98" t="s">
        <v>82</v>
      </c>
      <c r="G98" t="s">
        <v>82</v>
      </c>
      <c r="H98" t="s">
        <v>82</v>
      </c>
      <c r="I98" t="s">
        <v>82</v>
      </c>
    </row>
    <row r="99" spans="1:9" x14ac:dyDescent="0.3">
      <c r="A99" t="s">
        <v>28</v>
      </c>
      <c r="B99" t="s">
        <v>78</v>
      </c>
      <c r="C99" t="s">
        <v>79</v>
      </c>
      <c r="D99" t="s">
        <v>80</v>
      </c>
      <c r="E99" t="s">
        <v>179</v>
      </c>
      <c r="F99" t="s">
        <v>82</v>
      </c>
      <c r="G99" t="s">
        <v>82</v>
      </c>
      <c r="H99" t="s">
        <v>82</v>
      </c>
      <c r="I99" t="s">
        <v>82</v>
      </c>
    </row>
    <row r="100" spans="1:9" x14ac:dyDescent="0.3">
      <c r="A100" t="s">
        <v>28</v>
      </c>
      <c r="B100" t="s">
        <v>78</v>
      </c>
      <c r="C100" t="s">
        <v>79</v>
      </c>
      <c r="D100" t="s">
        <v>80</v>
      </c>
      <c r="E100" t="s">
        <v>180</v>
      </c>
      <c r="F100" t="s">
        <v>82</v>
      </c>
      <c r="G100" t="s">
        <v>82</v>
      </c>
      <c r="H100" t="s">
        <v>82</v>
      </c>
      <c r="I100" t="s">
        <v>82</v>
      </c>
    </row>
    <row r="101" spans="1:9" x14ac:dyDescent="0.3">
      <c r="A101" t="s">
        <v>28</v>
      </c>
      <c r="B101" t="s">
        <v>78</v>
      </c>
      <c r="C101" t="s">
        <v>79</v>
      </c>
      <c r="D101" t="s">
        <v>80</v>
      </c>
      <c r="E101" t="s">
        <v>181</v>
      </c>
      <c r="F101" t="s">
        <v>82</v>
      </c>
      <c r="G101" t="s">
        <v>82</v>
      </c>
      <c r="H101" t="s">
        <v>82</v>
      </c>
      <c r="I101" t="s">
        <v>82</v>
      </c>
    </row>
    <row r="102" spans="1:9" x14ac:dyDescent="0.3">
      <c r="A102" t="s">
        <v>28</v>
      </c>
      <c r="B102" t="s">
        <v>78</v>
      </c>
      <c r="C102" t="s">
        <v>79</v>
      </c>
      <c r="D102" t="s">
        <v>80</v>
      </c>
      <c r="E102" t="s">
        <v>182</v>
      </c>
      <c r="F102" t="s">
        <v>82</v>
      </c>
      <c r="G102" t="s">
        <v>82</v>
      </c>
      <c r="H102" t="s">
        <v>82</v>
      </c>
      <c r="I102" t="s">
        <v>82</v>
      </c>
    </row>
    <row r="103" spans="1:9" x14ac:dyDescent="0.3">
      <c r="A103" t="s">
        <v>28</v>
      </c>
      <c r="B103" t="s">
        <v>78</v>
      </c>
      <c r="C103" t="s">
        <v>79</v>
      </c>
      <c r="D103" t="s">
        <v>80</v>
      </c>
      <c r="E103" t="s">
        <v>183</v>
      </c>
      <c r="F103" t="s">
        <v>82</v>
      </c>
      <c r="G103" t="s">
        <v>82</v>
      </c>
      <c r="H103" t="s">
        <v>82</v>
      </c>
      <c r="I103" t="s">
        <v>82</v>
      </c>
    </row>
    <row r="104" spans="1:9" x14ac:dyDescent="0.3">
      <c r="A104" t="s">
        <v>28</v>
      </c>
      <c r="B104" t="s">
        <v>78</v>
      </c>
      <c r="C104" t="s">
        <v>79</v>
      </c>
      <c r="D104" t="s">
        <v>80</v>
      </c>
      <c r="E104" t="s">
        <v>184</v>
      </c>
      <c r="F104" t="s">
        <v>82</v>
      </c>
      <c r="G104" t="s">
        <v>82</v>
      </c>
      <c r="H104" t="s">
        <v>82</v>
      </c>
      <c r="I104" t="s">
        <v>82</v>
      </c>
    </row>
    <row r="105" spans="1:9" x14ac:dyDescent="0.3">
      <c r="A105" t="s">
        <v>28</v>
      </c>
      <c r="B105" t="s">
        <v>78</v>
      </c>
      <c r="C105" t="s">
        <v>79</v>
      </c>
      <c r="D105" t="s">
        <v>80</v>
      </c>
      <c r="E105" t="s">
        <v>185</v>
      </c>
      <c r="F105" t="s">
        <v>82</v>
      </c>
      <c r="G105" t="s">
        <v>82</v>
      </c>
      <c r="H105" t="s">
        <v>82</v>
      </c>
      <c r="I105" t="s">
        <v>82</v>
      </c>
    </row>
    <row r="106" spans="1:9" x14ac:dyDescent="0.3">
      <c r="A106" t="s">
        <v>28</v>
      </c>
      <c r="B106" t="s">
        <v>78</v>
      </c>
      <c r="C106" t="s">
        <v>79</v>
      </c>
      <c r="D106" t="s">
        <v>80</v>
      </c>
      <c r="E106" t="s">
        <v>186</v>
      </c>
      <c r="F106" t="s">
        <v>82</v>
      </c>
      <c r="G106" t="s">
        <v>82</v>
      </c>
      <c r="H106" t="s">
        <v>82</v>
      </c>
      <c r="I106" t="s">
        <v>82</v>
      </c>
    </row>
    <row r="107" spans="1:9" x14ac:dyDescent="0.3">
      <c r="A107" t="s">
        <v>28</v>
      </c>
      <c r="B107" t="s">
        <v>78</v>
      </c>
      <c r="C107" t="s">
        <v>79</v>
      </c>
      <c r="D107" t="s">
        <v>80</v>
      </c>
      <c r="E107" t="s">
        <v>187</v>
      </c>
      <c r="F107" t="s">
        <v>82</v>
      </c>
      <c r="G107" t="s">
        <v>82</v>
      </c>
      <c r="H107" t="s">
        <v>82</v>
      </c>
      <c r="I107" t="s">
        <v>82</v>
      </c>
    </row>
    <row r="108" spans="1:9" x14ac:dyDescent="0.3">
      <c r="A108" t="s">
        <v>28</v>
      </c>
      <c r="B108" t="s">
        <v>78</v>
      </c>
      <c r="C108" t="s">
        <v>79</v>
      </c>
      <c r="D108" t="s">
        <v>80</v>
      </c>
      <c r="E108" t="s">
        <v>188</v>
      </c>
      <c r="F108" t="s">
        <v>82</v>
      </c>
      <c r="G108" t="s">
        <v>82</v>
      </c>
      <c r="H108" t="s">
        <v>82</v>
      </c>
      <c r="I108" t="s">
        <v>82</v>
      </c>
    </row>
    <row r="109" spans="1:9" x14ac:dyDescent="0.3">
      <c r="A109" t="s">
        <v>28</v>
      </c>
      <c r="B109" t="s">
        <v>78</v>
      </c>
      <c r="C109" t="s">
        <v>79</v>
      </c>
      <c r="D109" t="s">
        <v>80</v>
      </c>
      <c r="E109" t="s">
        <v>189</v>
      </c>
      <c r="F109" t="s">
        <v>82</v>
      </c>
      <c r="G109" t="s">
        <v>82</v>
      </c>
      <c r="H109" t="s">
        <v>82</v>
      </c>
      <c r="I109" t="s">
        <v>82</v>
      </c>
    </row>
    <row r="110" spans="1:9" x14ac:dyDescent="0.3">
      <c r="A110" t="s">
        <v>28</v>
      </c>
      <c r="B110" t="s">
        <v>78</v>
      </c>
      <c r="C110" t="s">
        <v>79</v>
      </c>
      <c r="D110" t="s">
        <v>80</v>
      </c>
      <c r="E110" t="s">
        <v>190</v>
      </c>
      <c r="F110" t="s">
        <v>82</v>
      </c>
      <c r="G110" t="s">
        <v>82</v>
      </c>
      <c r="H110" t="s">
        <v>82</v>
      </c>
      <c r="I110" t="s">
        <v>82</v>
      </c>
    </row>
    <row r="111" spans="1:9" x14ac:dyDescent="0.3">
      <c r="A111" t="s">
        <v>28</v>
      </c>
      <c r="B111" t="s">
        <v>78</v>
      </c>
      <c r="C111" t="s">
        <v>79</v>
      </c>
      <c r="D111" t="s">
        <v>80</v>
      </c>
      <c r="E111" t="s">
        <v>191</v>
      </c>
      <c r="F111" t="s">
        <v>82</v>
      </c>
      <c r="G111" t="s">
        <v>82</v>
      </c>
      <c r="H111" t="s">
        <v>82</v>
      </c>
      <c r="I111" t="s">
        <v>82</v>
      </c>
    </row>
    <row r="112" spans="1:9" x14ac:dyDescent="0.3">
      <c r="A112" t="s">
        <v>28</v>
      </c>
      <c r="B112" t="s">
        <v>78</v>
      </c>
      <c r="C112" t="s">
        <v>79</v>
      </c>
      <c r="D112" t="s">
        <v>80</v>
      </c>
      <c r="E112" t="s">
        <v>192</v>
      </c>
      <c r="F112" t="s">
        <v>82</v>
      </c>
      <c r="G112" t="s">
        <v>82</v>
      </c>
      <c r="H112" t="s">
        <v>82</v>
      </c>
      <c r="I112" t="s">
        <v>82</v>
      </c>
    </row>
    <row r="113" spans="1:9" x14ac:dyDescent="0.3">
      <c r="A113" t="s">
        <v>28</v>
      </c>
      <c r="B113" t="s">
        <v>78</v>
      </c>
      <c r="C113" t="s">
        <v>79</v>
      </c>
      <c r="D113" t="s">
        <v>80</v>
      </c>
      <c r="E113" t="s">
        <v>193</v>
      </c>
      <c r="F113" t="s">
        <v>82</v>
      </c>
      <c r="G113" t="s">
        <v>82</v>
      </c>
      <c r="H113" t="s">
        <v>82</v>
      </c>
      <c r="I113" t="s">
        <v>82</v>
      </c>
    </row>
    <row r="114" spans="1:9" x14ac:dyDescent="0.3">
      <c r="A114" t="s">
        <v>28</v>
      </c>
      <c r="B114" t="s">
        <v>78</v>
      </c>
      <c r="C114" t="s">
        <v>79</v>
      </c>
      <c r="D114" t="s">
        <v>80</v>
      </c>
      <c r="E114" t="s">
        <v>194</v>
      </c>
      <c r="F114" t="s">
        <v>82</v>
      </c>
      <c r="G114" t="s">
        <v>82</v>
      </c>
      <c r="H114" t="s">
        <v>82</v>
      </c>
      <c r="I114" t="s">
        <v>82</v>
      </c>
    </row>
    <row r="115" spans="1:9" x14ac:dyDescent="0.3">
      <c r="A115" t="s">
        <v>28</v>
      </c>
      <c r="B115" t="s">
        <v>78</v>
      </c>
      <c r="C115" t="s">
        <v>79</v>
      </c>
      <c r="D115" t="s">
        <v>80</v>
      </c>
      <c r="E115" t="s">
        <v>195</v>
      </c>
      <c r="F115" t="s">
        <v>82</v>
      </c>
      <c r="G115" t="s">
        <v>82</v>
      </c>
      <c r="H115" t="s">
        <v>82</v>
      </c>
      <c r="I115" t="s">
        <v>82</v>
      </c>
    </row>
    <row r="116" spans="1:9" x14ac:dyDescent="0.3">
      <c r="A116" t="s">
        <v>28</v>
      </c>
      <c r="B116" t="s">
        <v>78</v>
      </c>
      <c r="C116" t="s">
        <v>79</v>
      </c>
      <c r="D116" t="s">
        <v>80</v>
      </c>
      <c r="E116" t="s">
        <v>196</v>
      </c>
      <c r="F116" t="s">
        <v>82</v>
      </c>
      <c r="G116" t="s">
        <v>82</v>
      </c>
      <c r="H116" t="s">
        <v>82</v>
      </c>
      <c r="I11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711F-1650-48AD-B1FD-3E424A0F9AD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1A69-2473-480E-9887-3AD1A3985D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EC5F31-73B2-48AC-8F2B-6024F5B33CE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68AC1BB9-BDC0-47BE-9993-231FCE8146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5AA30AD-35C0-40C2-ABDE-DB5A796960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Universo</vt:lpstr>
      <vt:lpstr>Contratos sem chave MIS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2015-06-05T18:17:20Z</dcterms:created>
  <dcterms:modified xsi:type="dcterms:W3CDTF">2025-05-13T14:11:00Z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0x010100B0F2CD0D646C4A4BA134F31D4B24B40E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2025-02-14T10:07:12Z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d62d63ad-3db3-465f-ab21-718946407c84</vt:lpwstr>
  </property>
  <property fmtid="{D5CDD505-2E9C-101B-9397-08002B2CF9AE}" pid="9" name="MSIP_Label_0c2abd79-57a9-4473-8700-c843f76a1e37_ContentBits">
    <vt:lpwstr>0</vt:lpwstr>
  </property>
</Properties>
</file>