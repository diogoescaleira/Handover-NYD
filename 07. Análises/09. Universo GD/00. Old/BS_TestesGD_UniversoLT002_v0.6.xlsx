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122" documentId="8_{7964BC79-91AE-4C93-9EE8-D4C9AEF8382C}" xr6:coauthVersionLast="47" xr6:coauthVersionMax="47" xr10:uidLastSave="{9C3E50AB-8E27-40D6-89BD-3E4F6A448DA4}"/>
  <bookViews>
    <workbookView xWindow="-108" yWindow="-108" windowWidth="23256" windowHeight="12456" xr2:uid="{00000000-000D-0000-FFFF-FFFF00000000}"/>
  </bookViews>
  <sheets>
    <sheet name="Universo" sheetId="1" r:id="rId1"/>
    <sheet name="Cancelados" sheetId="7" r:id="rId2"/>
    <sheet name="Sheet1" sheetId="5" r:id="rId3"/>
    <sheet name="Análises" sheetId="4" r:id="rId4"/>
    <sheet name="Sheet4" sheetId="6" r:id="rId5"/>
    <sheet name="Sheet2" sheetId="2" state="hidden" r:id="rId6"/>
    <sheet name="Sheet3" sheetId="3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tc={CB6532D5-C37A-4C9E-A185-049E8B78D005}</author>
  </authors>
  <commentList>
    <comment ref="D36" authorId="0" shapeId="0" xr:uid="{CB6532D5-C37A-4C9E-A185-049E8B78D00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</commentList>
</comments>
</file>

<file path=xl/sharedStrings.xml><?xml version="1.0" encoding="utf-8"?>
<sst xmlns="http://schemas.openxmlformats.org/spreadsheetml/2006/main" count="160" uniqueCount="123">
  <si>
    <t>1. Controlo ao universo da LT002_INSTRUMENT para âmbito GD</t>
  </si>
  <si>
    <t>REF_DATE</t>
  </si>
  <si>
    <t xml:space="preserve">Parte 1 </t>
  </si>
  <si>
    <t># Contratos</t>
  </si>
  <si>
    <t>UNIV_LT_GD_PARTE1</t>
  </si>
  <si>
    <t>Parte 2</t>
  </si>
  <si>
    <t>Universo de operações canceladas que apresentem rentabilidade no mês de reporte</t>
  </si>
  <si>
    <t>UNIV_LT_GD_PARTE2_AUX1</t>
  </si>
  <si>
    <t>Chave FINREP</t>
  </si>
  <si>
    <t>Chave MIS</t>
  </si>
  <si>
    <t>Chave Master</t>
  </si>
  <si>
    <t>n/a</t>
  </si>
  <si>
    <t>UNIV_LT_GD_PARTE2_AUX2</t>
  </si>
  <si>
    <t># Registos</t>
  </si>
  <si>
    <t>UNIV_LT_GD_PARTE2_AUX3</t>
  </si>
  <si>
    <t>UNIV_LT_GD_PARTE2_AUX4</t>
  </si>
  <si>
    <t>UNIV_LT_GD_PARTE2</t>
  </si>
  <si>
    <t>junção da aux2, aux3 e aux4</t>
  </si>
  <si>
    <t>UNIV_LT_GD_PARTE1_2</t>
  </si>
  <si>
    <t>Parte 3</t>
  </si>
  <si>
    <t>Junção das Business Areas e criação de nova chave para as linhas adicionais</t>
  </si>
  <si>
    <t>UNIV_LT_GD_PARTE3_AUX1</t>
  </si>
  <si>
    <t>UNIV_LT_GD_PARTE3_AUX2</t>
  </si>
  <si>
    <t>Notas:</t>
  </si>
  <si>
    <t>Existem 83 contratos comuns com PM para os quais não conseguimos identificar chave MIS</t>
  </si>
  <si>
    <t>UNIV_LT_GD_PARTE3_AUX3</t>
  </si>
  <si>
    <t>identificação dos contratos cancelados que não foram apanhados nos passos anteriores e por isso não apresentam chave FINREP, assim sendo, foi-lhes atribuida a chave MIS</t>
  </si>
  <si>
    <t>1. Correspondência do código de empresa entre chaves MIS e chaves FINREP</t>
  </si>
  <si>
    <t>cempcta</t>
  </si>
  <si>
    <t>cempresa_fr</t>
  </si>
  <si>
    <t>80 --&gt; Totta Ireland</t>
  </si>
  <si>
    <t>31 --&gt; Santander</t>
  </si>
  <si>
    <t>A partir da tabela UNIV_LT_GD_PARTE1_2</t>
  </si>
  <si>
    <t>2. Chaves FINREP sem correspondência para chave MIS</t>
  </si>
  <si>
    <t>Univ</t>
  </si>
  <si>
    <t>COMUM PM</t>
  </si>
  <si>
    <t>Dos quais:</t>
  </si>
  <si>
    <t>Referentes a ajustes (like SNCN%)</t>
  </si>
  <si>
    <t>Outros registos</t>
  </si>
  <si>
    <t>Dos 126 temos:</t>
  </si>
  <si>
    <t>empresa</t>
  </si>
  <si>
    <t>SS</t>
  </si>
  <si>
    <t>A partir da tabela UNIV_LT_GD_PARTE3_AUX1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</si>
  <si>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</si>
  <si>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</si>
  <si>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BA2</t>
  </si>
  <si>
    <t>seleção das operações com rentabilidade e que não têm posição de fim de mês (c007=0); e não têm chave finrep durante o ano de reporte</t>
  </si>
  <si>
    <t>Universo CT209</t>
  </si>
  <si>
    <t>contratos sem saldo pontual a dez/24 com rentabilidade nesse mês</t>
  </si>
  <si>
    <t>KT_CHAVES_FINREP</t>
  </si>
  <si>
    <t>como temos de informar os contratos cancelados ao longo do ano, precisamos de detetar, entre jan/24 e dez/24 o mês para o qual o contrato apresentou pela 1ª vez saldo pontual = 0, saldo medio mês &lt;&gt; 0 e rentabilidade</t>
  </si>
  <si>
    <t>Perceber se é um contrato intermitente</t>
  </si>
  <si>
    <t>31000000000226249000450000702255</t>
  </si>
  <si>
    <t>referente a leasing</t>
  </si>
  <si>
    <t>no final do dia interessa me as datas que vêm da ct209? Depois vamos querer detetar a chave FINREP mais recente…</t>
  </si>
  <si>
    <t>preciso de ter um universo acumulado de contratos cancelados desde jan/24 até dez/24 --&gt; sugestão: criar tabela auxiliar que seria incremental? Para a criar em vez de olhar para a tabela como um todo, se calhar é melhor criar uma tabela para cada mês e depois juntamos tudo</t>
  </si>
  <si>
    <t>se temos de trazer todos os cancelados ao longo do ano, podem haver contratos que a dez/24 já não apresentem valores. Nesse caso o que devemos considerar?</t>
  </si>
  <si>
    <t xml:space="preserve">para os que aparecem e desaparecem de um momento para o outro devemos considerar o min ou o max da data? </t>
  </si>
  <si>
    <t>INSTRUMENT_ID</t>
  </si>
  <si>
    <t>9374982749217498214</t>
  </si>
  <si>
    <t>9374982749217498214BA2</t>
  </si>
  <si>
    <t>9374982749217498214BA7</t>
  </si>
  <si>
    <t>BSNSS_AREA</t>
  </si>
  <si>
    <t>BA1</t>
  </si>
  <si>
    <t>BA7</t>
  </si>
  <si>
    <t>LT002</t>
  </si>
  <si>
    <t>KT_CHAVES_LT</t>
  </si>
  <si>
    <t xml:space="preserve">CEMPRESA </t>
  </si>
  <si>
    <t>CBALCAO</t>
  </si>
  <si>
    <t>CNUMENCTA</t>
  </si>
  <si>
    <t>ZDEPOSTI</t>
  </si>
  <si>
    <t>CONTRACT_ID</t>
  </si>
  <si>
    <t>CHAVE_FINREP</t>
  </si>
  <si>
    <t>CHAVE_MASTER</t>
  </si>
  <si>
    <t>205379835739579</t>
  </si>
  <si>
    <t>KT_CHAVES_MIS</t>
  </si>
  <si>
    <t>3. Análise universo cancelados Jan/24 a Dez/24</t>
  </si>
  <si>
    <t>Existe univ CdG?</t>
  </si>
  <si>
    <t>N</t>
  </si>
  <si>
    <t>c/ BA atribuida</t>
  </si>
  <si>
    <t>UNIV_LT_GD_PARTE3_AUX4</t>
  </si>
  <si>
    <t>UNIV_RENTABILIDADE_AUX</t>
  </si>
  <si>
    <t>UNIV_RENTAB_NW_BSNSS_AUX</t>
  </si>
  <si>
    <t>universo de rentabilidade para classificação de new business</t>
  </si>
  <si>
    <t>universo de rentabilidade para cálculo das variáveis YTD</t>
  </si>
  <si>
    <t>Universo comum com âmbito PM</t>
  </si>
  <si>
    <t>junção do universo da parte 1 (univ pm) e parte 2 (univ cancelados com chave mis associada)</t>
  </si>
  <si>
    <t>UNIV_LT_GD_PARTE1_2_FINAL</t>
  </si>
  <si>
    <t>Registos de ajustes</t>
  </si>
  <si>
    <t>Universo de Rentabilidade Auxiliar</t>
  </si>
  <si>
    <t>UNIV_RENTAB_JAN25_AUX1</t>
  </si>
  <si>
    <t>UNIV_RENTAB_JAN25_AUX2</t>
  </si>
  <si>
    <t>UNIV_RENTAB_JAN25_AUX3</t>
  </si>
  <si>
    <t>UNIV_RENTAB_JAN25_AUX4</t>
  </si>
  <si>
    <t>cruzamento entre a última tabela da Parte 2 e a tabela auxiliar com os dados de rentabilidade para atribuição da ckarea e criação do campo BSNSS_AREA</t>
  </si>
  <si>
    <t>atribuição da chave MIS ao universo comum com PM (necessário fazer inner join entre tradutor de chaves FINREP e MIS)</t>
  </si>
  <si>
    <r>
      <t xml:space="preserve">Da atribuição da chave MIS ao universo comum com PM, existem </t>
    </r>
    <r>
      <rPr>
        <u/>
        <sz val="11"/>
        <color theme="1"/>
        <rFont val="Calibri"/>
        <family val="2"/>
        <scheme val="minor"/>
      </rPr>
      <t>134 registos para os quais não foi possível associar uma chave MIS à chave FINREP</t>
    </r>
    <r>
      <rPr>
        <sz val="11"/>
        <color theme="1"/>
        <rFont val="Calibri"/>
        <family val="2"/>
        <scheme val="minor"/>
      </rPr>
      <t>.</t>
    </r>
  </si>
  <si>
    <t>atribuição da BA principal e criação do novo instrmnt_id (existe um maior número de INSTRMNT_ID uma vez que estamos a desagregar por BA) + simulação do LCL_INSTMRNT_ID</t>
  </si>
  <si>
    <t>simulação do campo CNCLLD_INSTRMNT_STTS</t>
  </si>
  <si>
    <t>CNCLLD_INSTRMNT_STTS NOT IN ('N', 'ANALISE')</t>
  </si>
  <si>
    <t>AND DINIOPER IS NULL</t>
  </si>
  <si>
    <t>ok</t>
  </si>
  <si>
    <t>UNIV = 'CANCELADOS'</t>
  </si>
  <si>
    <t>nok</t>
  </si>
  <si>
    <t>UNIV = 'COMUM PM'</t>
  </si>
  <si>
    <t>AND CNCLLD_INSTRMNT_STTS IN ('C', 'M')</t>
  </si>
  <si>
    <t>Tudo o que é universo comum com PM encontra-se classificado com "N", inclusivé os ajustes.</t>
  </si>
  <si>
    <t>cruzamento entre a ct209 e a ct831 para seleção dos contratos associados a produtos de ativo</t>
  </si>
  <si>
    <t>cruzamento entre a ct211 e act831 para seleção dos contratos associados a comissões de ativo</t>
  </si>
  <si>
    <t>criação dos campos de patrimonial e extrapatrimonial e consolidação da informação para termos apenas uma linha única por contrato</t>
  </si>
  <si>
    <t>UNIV_RENTAB_JAN25_AUX5</t>
  </si>
  <si>
    <t>junção da aux2 com a aux4</t>
  </si>
  <si>
    <t>UNIV_RENTAB_JAN25_AUX6</t>
  </si>
  <si>
    <t>cruzamento com a ct207 para obtenção da ckarea</t>
  </si>
  <si>
    <t>UNIV_RENTAB_JAN25_AUX7</t>
  </si>
  <si>
    <t>UNIV_RENTAB_JAN25_AUX7_CARTOES</t>
  </si>
  <si>
    <t>cruzamento com a ct201 para obtenção da dinioper para cartões</t>
  </si>
  <si>
    <t>UNIV_RENTAB_JAN25_AUX7_RESTO</t>
  </si>
  <si>
    <t>cruzamento com a ct201 para obtenção da dinioper para resto</t>
  </si>
  <si>
    <t>junção da aux7_cartoes e aux7_resto</t>
  </si>
  <si>
    <t>TRAD_MIS_AUX</t>
  </si>
  <si>
    <t>os registos que não apresenta BA atribuida são: 19 registos de ajustes + 4.257 registos com cempresa 31 + 128.896 com cempresa 82 (factoring ?) + 157 com cempresa 89</t>
  </si>
  <si>
    <t>Do universo de 3.369.277 da AUX7, 584.531 contratos não apresentam dinioper atribuida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</si>
</sst>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DD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1" fillId="2" borderId="0" xfId="0" applyFont="1" applyFill="1"/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1" fillId="4" borderId="2" xfId="0" applyFont="1" applyFill="1" applyBorder="1" applyAlignment="1">
      <alignment horizontal="center" vertical="center"/>
    </xf>
    <xf numFmtId="17" fontId="0" fillId="0" borderId="0" xfId="0" applyNumberFormat="1"/>
    <xf numFmtId="17" fontId="0" fillId="0" borderId="0" xfId="0" quotePrefix="1" applyNumberFormat="1"/>
    <xf numFmtId="0" fontId="4" fillId="0" borderId="0" xfId="0" applyFont="1" applyAlignment="1">
      <alignment horizontal="right" indent="1"/>
    </xf>
    <xf numFmtId="3" fontId="4" fillId="0" borderId="0" xfId="0" applyNumberFormat="1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0" fontId="0" fillId="8" borderId="0" xfId="0" applyFill="1"/>
    <xf numFmtId="0" fontId="0" fillId="9" borderId="0" xfId="0" applyFill="1"/>
    <xf numFmtId="3" fontId="5" fillId="0" borderId="0" xfId="0" applyNumberFormat="1" applyFont="1"/>
    <xf numFmtId="0" fontId="5" fillId="0" borderId="0" xfId="0" applyFont="1"/>
    <xf numFmtId="3" fontId="5" fillId="0" borderId="0" xfId="0" applyNumberFormat="1" applyFont="1" applyAlignment="1">
      <alignment horizontal="right" vertical="center"/>
    </xf>
    <xf numFmtId="3" fontId="0" fillId="6" borderId="0" xfId="0" applyNumberFormat="1" applyFill="1"/>
    <xf numFmtId="3" fontId="0" fillId="6" borderId="0" xfId="0" applyNumberForma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quotePrefix="1" applyAlignment="1">
      <alignment horizontal="left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1</xdr:row>
      <xdr:rowOff>38100</xdr:rowOff>
    </xdr:from>
    <xdr:to>
      <xdr:col>19</xdr:col>
      <xdr:colOff>424412</xdr:colOff>
      <xdr:row>4</xdr:row>
      <xdr:rowOff>89619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14E86C-58F6-6F1E-8F7D-5C28ED089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060" y="220980"/>
          <a:ext cx="10764752" cy="600159"/>
        </a:xfrm>
        <a:prstGeom prst="rect">
          <a:avLst/>
        </a:prstGeom>
      </xdr:spPr>
    </xdr:pic>
    <xdr:clientData/>
  </xdr:twoCellAnchor>
  <xdr:twoCellAnchor editAs="oneCell">
    <xdr:from>
      <xdr:col>2</xdr:col>
      <xdr:colOff>464820</xdr:colOff>
      <xdr:row>31</xdr:row>
      <xdr:rowOff>121920</xdr:rowOff>
    </xdr:from>
    <xdr:to>
      <xdr:col>26</xdr:col>
      <xdr:colOff>400178</xdr:colOff>
      <xdr:row>40</xdr:row>
      <xdr:rowOff>76423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5F0401-7360-8D1B-5465-10A2AAA3B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020" y="5242560"/>
          <a:ext cx="14565758" cy="160042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6" dT="2025-03-19T12:50:36.03" personId="{4D04E67C-1C93-4165-BDD4-F871E1F515A8}" id="{CB6532D5-C37A-4C9E-A185-049E8B78D005}">
    <text>Chaves MIS apenas para o universo de contratos cancelados, para o universo comum com PM, só vai ser feita a atribuição na tabela seguinte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4"/>
  <sheetViews>
    <sheetView tabSelected="1" workbookViewId="0">
      <selection activeCell="B20" sqref="B20"/>
    </sheetView>
  </sheetViews>
  <sheetFormatPr defaultRowHeight="14.4" x14ac:dyDescent="0.3"/>
  <cols>
    <col min="1" max="1" width="3.77734375" customWidth="1"/>
    <col min="2" max="2" width="33.77734375" bestFit="1" customWidth="1"/>
    <col min="3" max="6" width="12.33203125" bestFit="1" customWidth="1"/>
  </cols>
  <sheetData>
    <row r="2" spans="2:10" x14ac:dyDescent="0.3">
      <c r="B2" s="2" t="s">
        <v>0</v>
      </c>
    </row>
    <row r="4" spans="2:10" x14ac:dyDescent="0.3">
      <c r="B4" s="2" t="s">
        <v>1</v>
      </c>
      <c r="C4" s="1">
        <v>45688</v>
      </c>
    </row>
    <row r="5" spans="2:10" x14ac:dyDescent="0.3">
      <c r="J5" s="4"/>
    </row>
    <row r="6" spans="2:10" x14ac:dyDescent="0.3">
      <c r="B6" s="10" t="s">
        <v>89</v>
      </c>
      <c r="J6" s="4"/>
    </row>
    <row r="7" spans="2:10" x14ac:dyDescent="0.3">
      <c r="C7" t="s">
        <v>13</v>
      </c>
      <c r="D7" t="s">
        <v>9</v>
      </c>
      <c r="J7" s="4"/>
    </row>
    <row r="8" spans="2:10" x14ac:dyDescent="0.3">
      <c r="B8" t="s">
        <v>90</v>
      </c>
      <c r="C8" s="30">
        <v>6453378</v>
      </c>
      <c r="D8" s="3"/>
      <c r="E8" t="s">
        <v>107</v>
      </c>
      <c r="J8" s="4"/>
    </row>
    <row r="9" spans="2:10" x14ac:dyDescent="0.3">
      <c r="B9" t="s">
        <v>91</v>
      </c>
      <c r="C9" s="30">
        <v>3249855</v>
      </c>
      <c r="D9" s="3"/>
      <c r="E9" t="s">
        <v>109</v>
      </c>
      <c r="J9" s="4"/>
    </row>
    <row r="10" spans="2:10" x14ac:dyDescent="0.3">
      <c r="B10" t="s">
        <v>92</v>
      </c>
      <c r="C10" s="30">
        <v>1480598</v>
      </c>
      <c r="D10" s="3"/>
      <c r="E10" t="s">
        <v>108</v>
      </c>
      <c r="J10" s="4"/>
    </row>
    <row r="11" spans="2:10" x14ac:dyDescent="0.3">
      <c r="B11" t="s">
        <v>93</v>
      </c>
      <c r="C11" s="30">
        <v>695507</v>
      </c>
      <c r="D11" s="3"/>
      <c r="E11" t="s">
        <v>109</v>
      </c>
      <c r="J11" s="4"/>
    </row>
    <row r="12" spans="2:10" x14ac:dyDescent="0.3">
      <c r="B12" t="s">
        <v>110</v>
      </c>
      <c r="C12" s="30">
        <v>3280924</v>
      </c>
      <c r="D12" s="3"/>
      <c r="E12" t="s">
        <v>111</v>
      </c>
      <c r="J12" s="4"/>
    </row>
    <row r="13" spans="2:10" x14ac:dyDescent="0.3">
      <c r="B13" t="s">
        <v>112</v>
      </c>
      <c r="C13" s="30">
        <v>3280928</v>
      </c>
      <c r="D13" s="3"/>
      <c r="E13" t="s">
        <v>113</v>
      </c>
      <c r="J13" s="4"/>
    </row>
    <row r="14" spans="2:10" x14ac:dyDescent="0.3">
      <c r="B14" t="s">
        <v>115</v>
      </c>
      <c r="C14" s="30">
        <v>1431677</v>
      </c>
      <c r="D14" s="3"/>
      <c r="E14" t="s">
        <v>116</v>
      </c>
      <c r="J14" s="4"/>
    </row>
    <row r="15" spans="2:10" x14ac:dyDescent="0.3">
      <c r="B15" t="s">
        <v>117</v>
      </c>
      <c r="C15" s="30">
        <v>1937600</v>
      </c>
      <c r="D15" s="3"/>
      <c r="E15" t="s">
        <v>118</v>
      </c>
      <c r="J15" s="4"/>
    </row>
    <row r="16" spans="2:10" x14ac:dyDescent="0.3">
      <c r="B16" t="s">
        <v>114</v>
      </c>
      <c r="C16" s="30">
        <v>3369277</v>
      </c>
      <c r="D16" s="3"/>
      <c r="E16" t="s">
        <v>119</v>
      </c>
      <c r="J16" s="4"/>
    </row>
    <row r="17" spans="2:10" x14ac:dyDescent="0.3">
      <c r="J17" s="4"/>
    </row>
    <row r="18" spans="2:10" x14ac:dyDescent="0.3">
      <c r="B18" s="13" t="s">
        <v>23</v>
      </c>
      <c r="J18" s="4"/>
    </row>
    <row r="19" spans="2:10" x14ac:dyDescent="0.3">
      <c r="B19" t="s">
        <v>122</v>
      </c>
      <c r="J19" s="4"/>
    </row>
    <row r="20" spans="2:10" x14ac:dyDescent="0.3">
      <c r="J20" s="4"/>
    </row>
    <row r="21" spans="2:10" x14ac:dyDescent="0.3">
      <c r="B21" s="10" t="s">
        <v>2</v>
      </c>
      <c r="C21" t="s">
        <v>85</v>
      </c>
    </row>
    <row r="23" spans="2:10" x14ac:dyDescent="0.3">
      <c r="D23" t="s">
        <v>3</v>
      </c>
    </row>
    <row r="24" spans="2:10" x14ac:dyDescent="0.3">
      <c r="C24" t="s">
        <v>13</v>
      </c>
      <c r="D24" t="s">
        <v>8</v>
      </c>
    </row>
    <row r="25" spans="2:10" x14ac:dyDescent="0.3">
      <c r="B25" t="s">
        <v>4</v>
      </c>
      <c r="C25" s="3">
        <v>2085945</v>
      </c>
      <c r="D25" s="3">
        <v>2085945</v>
      </c>
      <c r="F25" s="3"/>
    </row>
    <row r="27" spans="2:10" x14ac:dyDescent="0.3">
      <c r="B27" s="10" t="s">
        <v>5</v>
      </c>
      <c r="C27" t="s">
        <v>6</v>
      </c>
    </row>
    <row r="29" spans="2:10" x14ac:dyDescent="0.3">
      <c r="D29" s="32" t="s">
        <v>3</v>
      </c>
      <c r="E29" s="32"/>
      <c r="F29" s="32"/>
    </row>
    <row r="30" spans="2:10" x14ac:dyDescent="0.3">
      <c r="C30" t="s">
        <v>13</v>
      </c>
      <c r="D30" t="s">
        <v>9</v>
      </c>
      <c r="E30" t="s">
        <v>10</v>
      </c>
      <c r="F30" t="s">
        <v>8</v>
      </c>
    </row>
    <row r="31" spans="2:10" x14ac:dyDescent="0.3">
      <c r="B31" t="s">
        <v>7</v>
      </c>
      <c r="C31" s="23">
        <v>44941</v>
      </c>
      <c r="D31" s="23">
        <v>43769</v>
      </c>
      <c r="E31" s="23">
        <v>44817</v>
      </c>
      <c r="F31" s="23" t="s">
        <v>11</v>
      </c>
      <c r="G31" t="s">
        <v>46</v>
      </c>
    </row>
    <row r="32" spans="2:10" x14ac:dyDescent="0.3">
      <c r="B32" t="s">
        <v>12</v>
      </c>
      <c r="C32" s="23">
        <v>42017</v>
      </c>
      <c r="D32" s="23">
        <v>41958</v>
      </c>
      <c r="E32" s="23" t="s">
        <v>11</v>
      </c>
      <c r="F32" s="23">
        <v>41939</v>
      </c>
      <c r="G32" t="s">
        <v>43</v>
      </c>
    </row>
    <row r="33" spans="2:7" x14ac:dyDescent="0.3">
      <c r="B33" t="s">
        <v>14</v>
      </c>
      <c r="C33" s="23">
        <v>821</v>
      </c>
      <c r="D33" s="23">
        <v>821</v>
      </c>
      <c r="E33" s="23" t="s">
        <v>11</v>
      </c>
      <c r="F33" s="23">
        <v>821</v>
      </c>
      <c r="G33" t="s">
        <v>44</v>
      </c>
    </row>
    <row r="34" spans="2:7" x14ac:dyDescent="0.3">
      <c r="B34" t="s">
        <v>15</v>
      </c>
      <c r="C34" s="23">
        <v>610</v>
      </c>
      <c r="D34" s="23">
        <v>610</v>
      </c>
      <c r="E34" s="23" t="s">
        <v>11</v>
      </c>
      <c r="F34" s="23">
        <v>610</v>
      </c>
      <c r="G34" t="s">
        <v>26</v>
      </c>
    </row>
    <row r="35" spans="2:7" x14ac:dyDescent="0.3">
      <c r="B35" t="s">
        <v>16</v>
      </c>
      <c r="C35" s="23">
        <v>43448</v>
      </c>
      <c r="D35" s="23">
        <v>43389</v>
      </c>
      <c r="E35" s="23" t="s">
        <v>11</v>
      </c>
      <c r="F35" s="23">
        <v>43370</v>
      </c>
      <c r="G35" t="s">
        <v>17</v>
      </c>
    </row>
    <row r="36" spans="2:7" x14ac:dyDescent="0.3">
      <c r="B36" t="s">
        <v>18</v>
      </c>
      <c r="C36" s="23">
        <v>2129393</v>
      </c>
      <c r="D36" s="23">
        <v>43389</v>
      </c>
      <c r="E36" s="23" t="s">
        <v>11</v>
      </c>
      <c r="F36" s="23">
        <v>2129315</v>
      </c>
      <c r="G36" t="s">
        <v>86</v>
      </c>
    </row>
    <row r="37" spans="2:7" x14ac:dyDescent="0.3">
      <c r="B37" t="s">
        <v>120</v>
      </c>
      <c r="C37" s="3">
        <v>8593668</v>
      </c>
      <c r="D37" s="23"/>
      <c r="E37" s="23"/>
      <c r="F37" s="23"/>
    </row>
    <row r="38" spans="2:7" x14ac:dyDescent="0.3">
      <c r="B38" t="s">
        <v>87</v>
      </c>
      <c r="C38" s="31">
        <v>2399925</v>
      </c>
      <c r="D38" s="27">
        <v>3473646</v>
      </c>
      <c r="E38" s="28"/>
      <c r="F38" s="29">
        <v>2129315</v>
      </c>
      <c r="G38" t="s">
        <v>95</v>
      </c>
    </row>
    <row r="39" spans="2:7" x14ac:dyDescent="0.3">
      <c r="C39" s="23"/>
      <c r="D39" s="3"/>
    </row>
    <row r="40" spans="2:7" x14ac:dyDescent="0.3">
      <c r="B40" t="s">
        <v>96</v>
      </c>
    </row>
    <row r="41" spans="2:7" x14ac:dyDescent="0.3">
      <c r="B41" s="24" t="s">
        <v>88</v>
      </c>
      <c r="C41" s="23">
        <v>19</v>
      </c>
    </row>
    <row r="42" spans="2:7" x14ac:dyDescent="0.3">
      <c r="B42" s="24" t="s">
        <v>38</v>
      </c>
      <c r="C42">
        <f>134-19</f>
        <v>115</v>
      </c>
    </row>
    <row r="43" spans="2:7" x14ac:dyDescent="0.3">
      <c r="C43" s="3"/>
    </row>
    <row r="44" spans="2:7" x14ac:dyDescent="0.3">
      <c r="B44" s="10" t="s">
        <v>19</v>
      </c>
      <c r="C44" t="s">
        <v>20</v>
      </c>
    </row>
    <row r="46" spans="2:7" x14ac:dyDescent="0.3">
      <c r="C46" t="s">
        <v>13</v>
      </c>
      <c r="D46" t="s">
        <v>9</v>
      </c>
      <c r="E46" t="s">
        <v>8</v>
      </c>
    </row>
    <row r="47" spans="2:7" x14ac:dyDescent="0.3">
      <c r="B47" t="s">
        <v>21</v>
      </c>
      <c r="C47" s="3">
        <v>2402185</v>
      </c>
      <c r="D47" s="3"/>
      <c r="E47" s="3"/>
      <c r="F47" t="s">
        <v>94</v>
      </c>
    </row>
    <row r="48" spans="2:7" x14ac:dyDescent="0.3">
      <c r="B48" s="21" t="s">
        <v>79</v>
      </c>
      <c r="C48" s="22">
        <v>2268856</v>
      </c>
      <c r="D48" s="22"/>
      <c r="E48" s="22"/>
      <c r="F48" t="s">
        <v>121</v>
      </c>
    </row>
    <row r="49" spans="2:6" x14ac:dyDescent="0.3">
      <c r="B49" t="s">
        <v>22</v>
      </c>
      <c r="C49" s="3">
        <v>2402185</v>
      </c>
      <c r="D49" s="3"/>
      <c r="E49" s="3"/>
      <c r="F49" t="s">
        <v>97</v>
      </c>
    </row>
    <row r="50" spans="2:6" x14ac:dyDescent="0.3">
      <c r="B50" s="21" t="s">
        <v>79</v>
      </c>
      <c r="C50" s="22"/>
      <c r="D50" s="22"/>
      <c r="E50" s="22"/>
    </row>
    <row r="51" spans="2:6" x14ac:dyDescent="0.3">
      <c r="B51" t="s">
        <v>25</v>
      </c>
      <c r="C51" s="3">
        <v>2471557</v>
      </c>
      <c r="D51" s="3"/>
      <c r="E51" s="3"/>
      <c r="F51" t="s">
        <v>98</v>
      </c>
    </row>
    <row r="52" spans="2:6" x14ac:dyDescent="0.3">
      <c r="B52" s="21" t="s">
        <v>79</v>
      </c>
      <c r="C52" s="22"/>
      <c r="D52" s="22"/>
      <c r="E52" s="22"/>
    </row>
    <row r="53" spans="2:6" x14ac:dyDescent="0.3">
      <c r="B53" t="s">
        <v>80</v>
      </c>
      <c r="C53" s="3"/>
      <c r="D53" s="3"/>
      <c r="E53" s="3"/>
    </row>
    <row r="54" spans="2:6" x14ac:dyDescent="0.3">
      <c r="B54" s="21" t="s">
        <v>79</v>
      </c>
      <c r="C54" s="22"/>
      <c r="D54" s="22"/>
      <c r="E54" s="22"/>
    </row>
    <row r="55" spans="2:6" x14ac:dyDescent="0.3">
      <c r="C55" s="3"/>
      <c r="D55" s="3"/>
      <c r="E55" s="3"/>
    </row>
    <row r="56" spans="2:6" x14ac:dyDescent="0.3">
      <c r="B56" t="s">
        <v>81</v>
      </c>
      <c r="C56" s="3">
        <v>4655428</v>
      </c>
      <c r="D56" s="3"/>
      <c r="E56" s="3" t="s">
        <v>11</v>
      </c>
      <c r="F56" t="s">
        <v>84</v>
      </c>
    </row>
    <row r="57" spans="2:6" x14ac:dyDescent="0.3">
      <c r="B57" t="s">
        <v>82</v>
      </c>
      <c r="C57" s="3">
        <v>4655428</v>
      </c>
      <c r="D57" s="3"/>
      <c r="E57" s="3" t="s">
        <v>11</v>
      </c>
      <c r="F57" t="s">
        <v>83</v>
      </c>
    </row>
    <row r="58" spans="2:6" x14ac:dyDescent="0.3">
      <c r="C58" s="3"/>
      <c r="D58" s="3"/>
      <c r="E58" s="3"/>
    </row>
    <row r="59" spans="2:6" x14ac:dyDescent="0.3">
      <c r="C59" s="3"/>
      <c r="D59" s="3"/>
      <c r="E59" s="3"/>
    </row>
    <row r="60" spans="2:6" x14ac:dyDescent="0.3">
      <c r="C60" s="3"/>
      <c r="D60" s="3"/>
      <c r="E60" s="3"/>
    </row>
    <row r="61" spans="2:6" x14ac:dyDescent="0.3">
      <c r="C61" s="3"/>
      <c r="D61" s="3"/>
      <c r="E61" s="3"/>
    </row>
    <row r="62" spans="2:6" x14ac:dyDescent="0.3">
      <c r="B62" t="s">
        <v>23</v>
      </c>
      <c r="C62" s="3"/>
      <c r="D62" s="3"/>
      <c r="E62" s="3"/>
    </row>
    <row r="63" spans="2:6" x14ac:dyDescent="0.3">
      <c r="B63" t="s">
        <v>21</v>
      </c>
    </row>
    <row r="64" spans="2:6" x14ac:dyDescent="0.3">
      <c r="B64" t="s">
        <v>24</v>
      </c>
    </row>
  </sheetData>
  <mergeCells count="1">
    <mergeCell ref="D29:F2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0624-E161-4E0E-BBD9-CFA59A248F9F}">
  <dimension ref="B2:E8"/>
  <sheetViews>
    <sheetView workbookViewId="0">
      <selection activeCell="B4" sqref="B4:I4"/>
    </sheetView>
  </sheetViews>
  <sheetFormatPr defaultRowHeight="14.4" x14ac:dyDescent="0.3"/>
  <cols>
    <col min="2" max="3" width="42" bestFit="1" customWidth="1"/>
  </cols>
  <sheetData>
    <row r="2" spans="2:5" x14ac:dyDescent="0.3">
      <c r="D2" t="s">
        <v>13</v>
      </c>
    </row>
    <row r="3" spans="2:5" x14ac:dyDescent="0.3">
      <c r="B3" t="s">
        <v>99</v>
      </c>
      <c r="C3" t="s">
        <v>100</v>
      </c>
      <c r="D3">
        <v>0</v>
      </c>
      <c r="E3" s="25" t="s">
        <v>101</v>
      </c>
    </row>
    <row r="4" spans="2:5" x14ac:dyDescent="0.3">
      <c r="B4" t="s">
        <v>102</v>
      </c>
      <c r="C4" t="s">
        <v>100</v>
      </c>
      <c r="D4" s="3">
        <v>2931</v>
      </c>
      <c r="E4" s="26" t="s">
        <v>103</v>
      </c>
    </row>
    <row r="5" spans="2:5" x14ac:dyDescent="0.3">
      <c r="B5" t="s">
        <v>104</v>
      </c>
      <c r="C5" t="s">
        <v>105</v>
      </c>
      <c r="D5">
        <v>0</v>
      </c>
      <c r="E5" s="25" t="s">
        <v>101</v>
      </c>
    </row>
    <row r="8" spans="2:5" x14ac:dyDescent="0.3">
      <c r="B8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FE3D-6B41-499E-B23F-A51A7C1DA032}">
  <dimension ref="D7:G30"/>
  <sheetViews>
    <sheetView workbookViewId="0">
      <selection activeCell="D26" sqref="D26"/>
    </sheetView>
  </sheetViews>
  <sheetFormatPr defaultRowHeight="14.4" x14ac:dyDescent="0.3"/>
  <sheetData>
    <row r="7" spans="4:7" x14ac:dyDescent="0.3">
      <c r="D7" s="33" t="s">
        <v>47</v>
      </c>
      <c r="E7" s="33"/>
      <c r="F7" s="33"/>
      <c r="G7" t="s">
        <v>48</v>
      </c>
    </row>
    <row r="8" spans="4:7" x14ac:dyDescent="0.3">
      <c r="D8" s="33"/>
      <c r="E8" s="33"/>
      <c r="F8" s="33"/>
    </row>
    <row r="9" spans="4:7" x14ac:dyDescent="0.3">
      <c r="D9" s="33"/>
      <c r="E9" s="33"/>
      <c r="F9" s="33"/>
    </row>
    <row r="12" spans="4:7" x14ac:dyDescent="0.3">
      <c r="D12" s="34" t="s">
        <v>49</v>
      </c>
      <c r="E12" s="34"/>
      <c r="F12" s="34"/>
    </row>
    <row r="13" spans="4:7" x14ac:dyDescent="0.3">
      <c r="D13" s="34"/>
      <c r="E13" s="34"/>
      <c r="F13" s="34"/>
    </row>
    <row r="14" spans="4:7" x14ac:dyDescent="0.3">
      <c r="D14" s="34"/>
      <c r="E14" s="34"/>
      <c r="F14" s="34"/>
    </row>
    <row r="15" spans="4:7" x14ac:dyDescent="0.3">
      <c r="D15" s="34"/>
      <c r="E15" s="34"/>
      <c r="F15" s="34"/>
    </row>
    <row r="16" spans="4:7" x14ac:dyDescent="0.3">
      <c r="D16" s="34"/>
      <c r="E16" s="34"/>
      <c r="F16" s="34"/>
    </row>
    <row r="17" spans="4:6" x14ac:dyDescent="0.3">
      <c r="D17" s="34"/>
      <c r="E17" s="34"/>
      <c r="F17" s="34"/>
    </row>
    <row r="18" spans="4:6" x14ac:dyDescent="0.3">
      <c r="D18" s="34"/>
      <c r="E18" s="34"/>
      <c r="F18" s="34"/>
    </row>
    <row r="21" spans="4:6" x14ac:dyDescent="0.3">
      <c r="D21" t="s">
        <v>50</v>
      </c>
    </row>
    <row r="22" spans="4:6" x14ac:dyDescent="0.3">
      <c r="D22" t="s">
        <v>54</v>
      </c>
    </row>
    <row r="23" spans="4:6" x14ac:dyDescent="0.3">
      <c r="D23" t="s">
        <v>55</v>
      </c>
    </row>
    <row r="24" spans="4:6" x14ac:dyDescent="0.3">
      <c r="D24" t="s">
        <v>56</v>
      </c>
    </row>
    <row r="25" spans="4:6" x14ac:dyDescent="0.3">
      <c r="D25" t="s">
        <v>57</v>
      </c>
    </row>
    <row r="28" spans="4:6" x14ac:dyDescent="0.3">
      <c r="D28" t="s">
        <v>51</v>
      </c>
    </row>
    <row r="29" spans="4:6" x14ac:dyDescent="0.3">
      <c r="D29" s="4" t="s">
        <v>52</v>
      </c>
    </row>
    <row r="30" spans="4:6" x14ac:dyDescent="0.3">
      <c r="D30" t="s">
        <v>53</v>
      </c>
    </row>
  </sheetData>
  <mergeCells count="2">
    <mergeCell ref="D7:F9"/>
    <mergeCell ref="D12:F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D2DD-D95C-4BDD-9E7E-492124D8DD29}">
  <dimension ref="B2:I42"/>
  <sheetViews>
    <sheetView showGridLines="0" topLeftCell="A14" workbookViewId="0">
      <selection activeCell="C33" sqref="C33"/>
    </sheetView>
  </sheetViews>
  <sheetFormatPr defaultRowHeight="14.4" x14ac:dyDescent="0.3"/>
  <cols>
    <col min="1" max="1" width="3.77734375" customWidth="1"/>
    <col min="2" max="2" width="12.77734375" customWidth="1"/>
    <col min="3" max="3" width="14.33203125" bestFit="1" customWidth="1"/>
    <col min="5" max="5" width="11.21875" customWidth="1"/>
  </cols>
  <sheetData>
    <row r="2" spans="2:9" x14ac:dyDescent="0.3">
      <c r="B2" s="5" t="s">
        <v>27</v>
      </c>
      <c r="C2" s="6"/>
      <c r="D2" s="6"/>
      <c r="E2" s="6"/>
      <c r="F2" s="6"/>
      <c r="G2" s="6"/>
      <c r="H2" s="6"/>
      <c r="I2" s="6"/>
    </row>
    <row r="3" spans="2:9" ht="7.05" customHeight="1" x14ac:dyDescent="0.3"/>
    <row r="4" spans="2:9" x14ac:dyDescent="0.3">
      <c r="B4" t="s">
        <v>32</v>
      </c>
    </row>
    <row r="5" spans="2:9" ht="7.05" customHeight="1" x14ac:dyDescent="0.3"/>
    <row r="6" spans="2:9" x14ac:dyDescent="0.3">
      <c r="B6" s="9" t="s">
        <v>28</v>
      </c>
      <c r="C6" s="9" t="s">
        <v>29</v>
      </c>
    </row>
    <row r="7" spans="2:9" x14ac:dyDescent="0.3">
      <c r="B7" s="8">
        <v>80</v>
      </c>
      <c r="C7" s="8">
        <v>80</v>
      </c>
      <c r="E7" t="s">
        <v>30</v>
      </c>
    </row>
    <row r="8" spans="2:9" x14ac:dyDescent="0.3">
      <c r="B8" s="8">
        <v>31</v>
      </c>
      <c r="C8" s="8">
        <v>89</v>
      </c>
      <c r="E8" t="s">
        <v>31</v>
      </c>
    </row>
    <row r="9" spans="2:9" x14ac:dyDescent="0.3">
      <c r="B9" s="8">
        <v>31</v>
      </c>
      <c r="C9" s="8">
        <v>82</v>
      </c>
    </row>
    <row r="10" spans="2:9" x14ac:dyDescent="0.3">
      <c r="B10" s="8">
        <v>31</v>
      </c>
      <c r="C10" s="8">
        <v>31</v>
      </c>
    </row>
    <row r="12" spans="2:9" x14ac:dyDescent="0.3">
      <c r="B12" s="5" t="s">
        <v>33</v>
      </c>
      <c r="C12" s="6"/>
      <c r="D12" s="6"/>
      <c r="E12" s="6"/>
      <c r="F12" s="6"/>
      <c r="G12" s="6"/>
      <c r="H12" s="6"/>
      <c r="I12" s="6"/>
    </row>
    <row r="13" spans="2:9" ht="7.05" customHeight="1" x14ac:dyDescent="0.3"/>
    <row r="14" spans="2:9" x14ac:dyDescent="0.3">
      <c r="B14" t="s">
        <v>42</v>
      </c>
    </row>
    <row r="15" spans="2:9" ht="7.05" customHeight="1" x14ac:dyDescent="0.3"/>
    <row r="16" spans="2:9" x14ac:dyDescent="0.3">
      <c r="B16" s="11" t="s">
        <v>34</v>
      </c>
      <c r="C16" s="11" t="s">
        <v>13</v>
      </c>
      <c r="E16" s="14" t="s">
        <v>36</v>
      </c>
      <c r="F16" s="15"/>
      <c r="G16" s="15"/>
    </row>
    <row r="17" spans="2:9" x14ac:dyDescent="0.3">
      <c r="B17" s="12" t="s">
        <v>35</v>
      </c>
      <c r="C17" s="7">
        <v>816</v>
      </c>
      <c r="E17" s="16">
        <v>690</v>
      </c>
      <c r="F17" s="17" t="s">
        <v>37</v>
      </c>
      <c r="G17" s="15"/>
    </row>
    <row r="18" spans="2:9" x14ac:dyDescent="0.3">
      <c r="E18" s="16">
        <v>126</v>
      </c>
      <c r="F18" s="17" t="s">
        <v>38</v>
      </c>
      <c r="G18" s="15"/>
    </row>
    <row r="20" spans="2:9" x14ac:dyDescent="0.3">
      <c r="E20" s="13" t="s">
        <v>39</v>
      </c>
    </row>
    <row r="21" spans="2:9" x14ac:dyDescent="0.3">
      <c r="E21" s="18" t="s">
        <v>40</v>
      </c>
      <c r="F21" s="18" t="s">
        <v>13</v>
      </c>
    </row>
    <row r="22" spans="2:9" x14ac:dyDescent="0.3">
      <c r="E22" s="8">
        <v>31</v>
      </c>
      <c r="F22" s="8">
        <v>83</v>
      </c>
    </row>
    <row r="23" spans="2:9" x14ac:dyDescent="0.3">
      <c r="E23" s="8">
        <v>82</v>
      </c>
      <c r="F23" s="8">
        <v>39</v>
      </c>
    </row>
    <row r="24" spans="2:9" x14ac:dyDescent="0.3">
      <c r="E24" s="8">
        <v>89</v>
      </c>
      <c r="F24" s="8">
        <v>1</v>
      </c>
    </row>
    <row r="25" spans="2:9" x14ac:dyDescent="0.3">
      <c r="E25" s="8" t="s">
        <v>41</v>
      </c>
      <c r="F25" s="8">
        <v>3</v>
      </c>
    </row>
    <row r="27" spans="2:9" x14ac:dyDescent="0.3">
      <c r="B27" s="5" t="s">
        <v>76</v>
      </c>
      <c r="C27" s="6"/>
      <c r="D27" s="6"/>
      <c r="E27" s="6"/>
      <c r="F27" s="6"/>
      <c r="G27" s="6"/>
      <c r="H27" s="6"/>
      <c r="I27" s="6"/>
    </row>
    <row r="28" spans="2:9" ht="7.05" customHeight="1" x14ac:dyDescent="0.3"/>
    <row r="30" spans="2:9" x14ac:dyDescent="0.3">
      <c r="C30" t="s">
        <v>77</v>
      </c>
    </row>
    <row r="31" spans="2:9" x14ac:dyDescent="0.3">
      <c r="B31" s="20">
        <v>45292</v>
      </c>
      <c r="C31" t="s">
        <v>78</v>
      </c>
    </row>
    <row r="32" spans="2:9" x14ac:dyDescent="0.3">
      <c r="B32" s="19">
        <v>45323</v>
      </c>
      <c r="C32" t="s">
        <v>78</v>
      </c>
    </row>
    <row r="33" spans="2:2" x14ac:dyDescent="0.3">
      <c r="B33" s="19">
        <v>45352</v>
      </c>
    </row>
    <row r="34" spans="2:2" x14ac:dyDescent="0.3">
      <c r="B34" s="20">
        <v>45383</v>
      </c>
    </row>
    <row r="35" spans="2:2" x14ac:dyDescent="0.3">
      <c r="B35" s="19">
        <v>45413</v>
      </c>
    </row>
    <row r="36" spans="2:2" x14ac:dyDescent="0.3">
      <c r="B36" s="19">
        <v>45444</v>
      </c>
    </row>
    <row r="37" spans="2:2" x14ac:dyDescent="0.3">
      <c r="B37" s="20">
        <v>45474</v>
      </c>
    </row>
    <row r="38" spans="2:2" x14ac:dyDescent="0.3">
      <c r="B38" s="19">
        <v>45505</v>
      </c>
    </row>
    <row r="39" spans="2:2" x14ac:dyDescent="0.3">
      <c r="B39" s="19">
        <v>45536</v>
      </c>
    </row>
    <row r="40" spans="2:2" x14ac:dyDescent="0.3">
      <c r="B40" s="20">
        <v>45566</v>
      </c>
    </row>
    <row r="41" spans="2:2" x14ac:dyDescent="0.3">
      <c r="B41" s="19">
        <v>45597</v>
      </c>
    </row>
    <row r="42" spans="2:2" x14ac:dyDescent="0.3">
      <c r="B42" s="19">
        <v>45627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F5F8-126B-4911-ACD2-F07D4EDE7BCE}">
  <dimension ref="D2:L15"/>
  <sheetViews>
    <sheetView workbookViewId="0">
      <selection activeCell="H6" sqref="H6"/>
    </sheetView>
  </sheetViews>
  <sheetFormatPr defaultRowHeight="14.4" x14ac:dyDescent="0.3"/>
  <cols>
    <col min="4" max="4" width="23.5546875" bestFit="1" customWidth="1"/>
    <col min="5" max="5" width="11.88671875" bestFit="1" customWidth="1"/>
    <col min="8" max="8" width="23.5546875" bestFit="1" customWidth="1"/>
    <col min="9" max="9" width="14.88671875" bestFit="1" customWidth="1"/>
    <col min="10" max="10" width="9" bestFit="1" customWidth="1"/>
    <col min="11" max="11" width="12.109375" bestFit="1" customWidth="1"/>
    <col min="12" max="12" width="9.109375" bestFit="1" customWidth="1"/>
  </cols>
  <sheetData>
    <row r="2" spans="4:12" x14ac:dyDescent="0.3">
      <c r="D2" s="35" t="s">
        <v>65</v>
      </c>
      <c r="E2" s="35"/>
      <c r="H2" s="37" t="s">
        <v>66</v>
      </c>
      <c r="I2" s="37"/>
      <c r="J2" s="37"/>
      <c r="K2" s="37"/>
      <c r="L2" s="37"/>
    </row>
    <row r="3" spans="4:12" x14ac:dyDescent="0.3">
      <c r="I3" s="32" t="s">
        <v>71</v>
      </c>
      <c r="J3" s="32"/>
      <c r="K3" s="32"/>
      <c r="L3" s="32"/>
    </row>
    <row r="4" spans="4:12" x14ac:dyDescent="0.3">
      <c r="D4" t="s">
        <v>58</v>
      </c>
      <c r="E4" t="s">
        <v>62</v>
      </c>
      <c r="H4" t="s">
        <v>58</v>
      </c>
      <c r="I4" t="s">
        <v>67</v>
      </c>
      <c r="J4" t="s">
        <v>68</v>
      </c>
      <c r="K4" t="s">
        <v>69</v>
      </c>
      <c r="L4" t="s">
        <v>70</v>
      </c>
    </row>
    <row r="5" spans="4:12" x14ac:dyDescent="0.3">
      <c r="D5" s="4" t="s">
        <v>59</v>
      </c>
      <c r="E5" t="s">
        <v>63</v>
      </c>
      <c r="H5" s="4" t="s">
        <v>59</v>
      </c>
      <c r="I5" s="36" t="s">
        <v>59</v>
      </c>
      <c r="J5" s="36"/>
      <c r="K5" s="36"/>
      <c r="L5" s="36"/>
    </row>
    <row r="6" spans="4:12" x14ac:dyDescent="0.3">
      <c r="D6" s="4" t="s">
        <v>60</v>
      </c>
      <c r="E6" t="s">
        <v>45</v>
      </c>
      <c r="H6" s="4" t="s">
        <v>60</v>
      </c>
      <c r="I6" s="36" t="s">
        <v>59</v>
      </c>
      <c r="J6" s="36"/>
      <c r="K6" s="36"/>
      <c r="L6" s="36"/>
    </row>
    <row r="7" spans="4:12" x14ac:dyDescent="0.3">
      <c r="D7" s="4" t="s">
        <v>61</v>
      </c>
      <c r="E7" t="s">
        <v>64</v>
      </c>
      <c r="H7" s="4" t="s">
        <v>61</v>
      </c>
      <c r="I7" s="36" t="s">
        <v>59</v>
      </c>
      <c r="J7" s="36"/>
      <c r="K7" s="36"/>
      <c r="L7" s="36"/>
    </row>
    <row r="10" spans="4:12" x14ac:dyDescent="0.3">
      <c r="H10" t="s">
        <v>49</v>
      </c>
    </row>
    <row r="12" spans="4:12" x14ac:dyDescent="0.3">
      <c r="H12" t="s">
        <v>72</v>
      </c>
      <c r="I12" t="s">
        <v>73</v>
      </c>
    </row>
    <row r="13" spans="4:12" x14ac:dyDescent="0.3">
      <c r="H13" s="4" t="s">
        <v>59</v>
      </c>
      <c r="I13" s="4" t="s">
        <v>74</v>
      </c>
    </row>
    <row r="15" spans="4:12" x14ac:dyDescent="0.3">
      <c r="H15" t="s">
        <v>75</v>
      </c>
    </row>
  </sheetData>
  <mergeCells count="6">
    <mergeCell ref="D2:E2"/>
    <mergeCell ref="I3:L3"/>
    <mergeCell ref="I5:L5"/>
    <mergeCell ref="I6:L6"/>
    <mergeCell ref="I7:L7"/>
    <mergeCell ref="H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3E6E6A-3A5D-4341-8497-64706628FE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Universo</vt:lpstr>
      <vt:lpstr>Cancelados</vt:lpstr>
      <vt:lpstr>Sheet1</vt:lpstr>
      <vt:lpstr>Análises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2025-05-11T15:10:41Z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