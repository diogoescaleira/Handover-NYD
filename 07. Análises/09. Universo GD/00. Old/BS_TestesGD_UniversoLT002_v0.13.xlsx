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653" documentId="8_{DD57AD26-B7E3-4A87-8979-3E6E903D4065}" xr6:coauthVersionLast="47" xr6:coauthVersionMax="47" xr10:uidLastSave="{16601354-0B52-42B9-BBB9-396DC8F7683B}"/>
  <bookViews>
    <workbookView xWindow="-108" yWindow="-108" windowWidth="23256" windowHeight="12456" tabRatio="788" activeTab="3" xr2:uid="{00000000-000D-0000-FFFF-FFFF00000000}"/>
  </bookViews>
  <sheets>
    <sheet name="Val_Univ_LT002" sheetId="1" r:id="rId1"/>
    <sheet name="val_exemplos" sheetId="17" r:id="rId2"/>
    <sheet name="val_nw_bsnss" sheetId="18" r:id="rId3"/>
    <sheet name="val_mngmnt_prdct" sheetId="19" r:id="rId4"/>
    <sheet name="ckarea is NULL" sheetId="10" r:id="rId5"/>
    <sheet name="Regitos Passivo" sheetId="15" state="hidden" r:id="rId6"/>
    <sheet name="cnclld_instrmnt_stts" sheetId="12" state="hidden" r:id="rId7"/>
    <sheet name="Sheet1" sheetId="14" state="hidden" r:id="rId8"/>
    <sheet name="Sheet2" sheetId="2" state="hidden" r:id="rId9"/>
    <sheet name="Sheet3" sheetId="3" state="hidden" r:id="rId10"/>
  </sheets>
  <definedNames>
    <definedName name="_xlnm._FilterDatabase" localSheetId="1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J86" i="1"/>
  <c r="G73" i="1"/>
  <c r="E73" i="1"/>
  <c r="D73" i="1"/>
  <c r="G24" i="1"/>
  <c r="F24" i="1"/>
  <c r="E24" i="1"/>
  <c r="D24" i="1"/>
  <c r="G23" i="1"/>
  <c r="F23" i="1"/>
  <c r="E23" i="1"/>
  <c r="D23" i="1"/>
  <c r="G62" i="1"/>
  <c r="E62" i="1"/>
  <c r="D62" i="1"/>
  <c r="G51" i="1"/>
  <c r="E51" i="1"/>
  <c r="D51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  <author>tc={6CA6E472-344C-4714-BE4B-769AC8008C7D}</author>
  </authors>
  <commentList>
    <comment ref="E84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H98" authorId="1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<sst xmlns="http://schemas.openxmlformats.org/spreadsheetml/2006/main" count="2789" uniqueCount="643">
  <si>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</si>
  <si>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</si>
  <si>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</si>
  <si>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</si>
  <si>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</si>
  <si>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</si>
  <si>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</si>
  <si>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</si>
  <si>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</si>
  <si>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</si>
  <si>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</si>
  <si>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</si>
  <si>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</si>
  <si>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</si>
  <si>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</si>
  <si>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</si>
  <si>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</si>
  <si>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</si>
  <si>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</si>
  <si>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</si>
  <si>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junção do universo da parte 1 (univ pm) e parte 2 (univ cancelados com chave mis associada)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</si>
  <si>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</si>
  <si>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</si>
  <si>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</si>
  <si>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</si>
  <si>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</si>
  <si>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</si>
  <si>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</si>
  <si>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</si>
  <si>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</si>
  <si>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</si>
  <si>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</si>
  <si>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</si>
  <si>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</si>
  <si>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</si>
  <si>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</si>
  <si>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</si>
  <si>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</si>
  <si>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</si>
  <si>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</si>
  <si>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</si>
  <si>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</si>
  <si>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</si>
  <si>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</si>
  <si>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</si>
  <si>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</si>
  <si>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</si>
  <si>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</si>
  <si>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</si>
  <si>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</si>
  <si>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</si>
  <si>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</si>
  <si>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</si>
  <si>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</si>
  <si>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</si>
  <si>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</si>
  <si>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</si>
  <si>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</si>
  <si>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</si>
  <si>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</si>
  <si>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</si>
  <si>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</si>
  <si>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</si>
  <si>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</si>
  <si>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</si>
  <si>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</si>
  <si>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</si>
  <si>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</si>
  <si>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</si>
  <si>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</si>
  <si>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</si>
  <si>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</si>
  <si>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</si>
  <si>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</si>
  <si>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</si>
  <si>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</si>
  <si>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</si>
  <si>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</si>
  <si>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</si>
  <si>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</si>
  <si>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</si>
  <si>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</si>
  <si>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</si>
  <si>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</si>
  <si>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</si>
  <si>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</si>
  <si>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</si>
  <si>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</si>
  <si>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</si>
  <si>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</si>
  <si>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</si>
  <si>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</si>
  <si>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</si>
  <si>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</si>
  <si>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</si>
  <si>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</si>
  <si>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</si>
  <si>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</si>
  <si>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</si>
  <si>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</si>
  <si>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</si>
  <si>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</si>
  <si>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</si>
  <si>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</si>
  <si>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</si>
  <si>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</si>
  <si>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</si>
  <si>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</si>
  <si>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</si>
  <si>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</si>
  <si>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</si>
  <si>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</si>
  <si>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</si>
  <si>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</si>
  <si>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</si>
  <si>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</si>
  <si>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</si>
  <si>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</si>
  <si>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</si>
  <si>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</si>
  <si>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</si>
  <si>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</si>
  <si>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</si>
  <si>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</si>
  <si>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</si>
  <si>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</si>
  <si>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</si>
  <si>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</si>
  <si>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</si>
  <si>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</si>
  <si>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</si>
  <si>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</si>
  <si>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</si>
  <si>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</si>
  <si>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</si>
  <si>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</si>
  <si>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</si>
  <si>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</si>
  <si>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</si>
  <si>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</si>
  <si>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</si>
  <si>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</si>
  <si>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</si>
  <si>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</si>
  <si>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</si>
  <si>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</si>
  <si>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</si>
  <si>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</si>
  <si>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</si>
  <si>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</si>
  <si>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</si>
  <si>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</si>
  <si>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</si>
  <si>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</si>
  <si>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</si>
  <si>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</si>
  <si>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</si>
  <si>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</si>
  <si>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</si>
  <si>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</si>
  <si>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</si>
  <si>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</si>
  <si>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</si>
  <si>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</si>
  <si>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</si>
  <si>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</si>
  <si>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</si>
  <si>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</si>
  <si>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</si>
  <si>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</si>
  <si>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</si>
  <si>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</si>
  <si>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</si>
  <si>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</si>
  <si>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</si>
  <si>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</si>
  <si>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</si>
  <si>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</si>
  <si>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</si>
  <si>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</si>
  <si>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</si>
  <si>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</si>
  <si>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</si>
  <si>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</si>
  <si>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</si>
  <si>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</si>
  <si>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</si>
  <si>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</si>
  <si>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</si>
  <si>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</si>
  <si>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</si>
  <si>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</si>
  <si>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</si>
  <si>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</si>
  <si>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</si>
  <si>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</si>
  <si>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</si>
  <si>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</si>
  <si>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</si>
  <si>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</si>
  <si>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</si>
  <si>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</si>
  <si>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</si>
  <si>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</si>
  <si>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</si>
  <si>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</si>
  <si>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</si>
  <si>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</si>
  <si>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</si>
  <si>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</si>
  <si>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</si>
  <si>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</si>
  <si>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</si>
  <si>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</si>
  <si>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</si>
  <si>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</si>
  <si>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</si>
  <si>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</si>
  <si>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</si>
  <si>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</si>
  <si>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</si>
  <si>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</si>
  <si>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</si>
  <si>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</si>
  <si>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</si>
  <si>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</si>
  <si>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</si>
  <si>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</si>
  <si>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</si>
  <si>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</si>
  <si>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</si>
  <si>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</si>
  <si>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</si>
  <si>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</si>
  <si>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</si>
  <si>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</si>
  <si>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</si>
  <si>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</si>
  <si>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</si>
  <si>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</si>
  <si>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</si>
  <si>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</si>
  <si>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</si>
  <si>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</si>
  <si>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</si>
  <si>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</si>
  <si>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</si>
  <si>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</si>
  <si>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</si>
  <si>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</si>
  <si>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</si>
  <si>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</si>
  <si>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</si>
  <si>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</si>
  <si>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</si>
  <si>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</si>
  <si>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</si>
  <si>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</si>
  <si>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</si>
  <si>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</si>
  <si>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</si>
  <si>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</si>
  <si>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</si>
  <si>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</si>
  <si>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</si>
  <si>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</si>
  <si>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</si>
  <si>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</si>
  <si>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</si>
  <si>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</si>
  <si>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</si>
  <si>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</si>
  <si>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</si>
  <si>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</si>
  <si>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</si>
  <si>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</si>
  <si>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</si>
  <si>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</si>
  <si>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</si>
  <si>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</si>
  <si>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</si>
  <si>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</si>
  <si>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</si>
  <si>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</si>
  <si>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</si>
  <si>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</si>
  <si>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</si>
  <si>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</si>
  <si>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</si>
  <si>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</si>
  <si>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</si>
  <si>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</si>
  <si>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</si>
  <si>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</si>
  <si>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</si>
  <si>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</si>
  <si>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</si>
  <si>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</si>
  <si>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</si>
  <si>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</si>
  <si>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</si>
  <si>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</si>
  <si>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</si>
  <si>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</si>
  <si>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</si>
  <si>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</si>
  <si>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</si>
  <si>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</si>
  <si>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</si>
  <si>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</si>
  <si>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</si>
  <si>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</si>
  <si>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</si>
  <si>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</si>
  <si>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</si>
  <si>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</si>
  <si>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</si>
  <si>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</si>
  <si>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</si>
  <si>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</si>
  <si>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</si>
  <si>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</si>
  <si>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</si>
  <si>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</si>
  <si>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</si>
  <si>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</si>
  <si>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</si>
  <si>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</si>
  <si>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</si>
  <si>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</si>
  <si>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</si>
  <si>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</si>
  <si>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</si>
  <si>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</si>
  <si>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</si>
  <si>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</si>
  <si>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</si>
  <si>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</si>
  <si>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</si>
  <si>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</si>
  <si>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</si>
  <si>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</si>
  <si>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</si>
  <si>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</si>
  <si>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</si>
  <si>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</si>
  <si>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</si>
  <si>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</si>
  <si>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</si>
  <si>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</si>
  <si>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</si>
  <si>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</si>
  <si>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</si>
  <si>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</si>
  <si>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</si>
  <si>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</si>
  <si>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</si>
  <si>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</si>
  <si>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</si>
  <si>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</si>
  <si>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</si>
  <si>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</si>
  <si>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</si>
  <si>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</si>
  <si>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</si>
  <si>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</si>
  <si>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</si>
  <si>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</si>
  <si>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</si>
  <si>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</si>
  <si>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</si>
  <si>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</si>
  <si>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</si>
  <si>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</si>
  <si>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</si>
  <si>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</si>
  <si>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</si>
  <si>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</si>
  <si>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</si>
  <si>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</si>
  <si>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</si>
  <si>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</si>
  <si>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</si>
  <si>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</si>
  <si>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</si>
  <si>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</si>
  <si>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</si>
  <si>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</si>
  <si>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</si>
  <si>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</si>
  <si>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</si>
  <si>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</si>
  <si>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</si>
  <si>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</si>
  <si>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</si>
  <si>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</si>
  <si>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</si>
  <si>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</si>
  <si>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</si>
  <si>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</si>
  <si>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</si>
  <si>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</si>
  <si>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</si>
  <si>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</si>
  <si>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</si>
  <si>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</si>
  <si>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</si>
  <si>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</si>
  <si>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</si>
  <si>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</si>
  <si>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</si>
  <si>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</si>
  <si>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</si>
  <si>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</si>
  <si>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</si>
  <si>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</si>
  <si>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</si>
  <si>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</si>
  <si>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</si>
  <si>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</si>
  <si>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</si>
  <si>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</si>
  <si>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</si>
  <si>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</si>
  <si>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</si>
  <si>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</si>
  <si>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</si>
  <si>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</si>
  <si>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</si>
  <si>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</si>
  <si>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</si>
  <si>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</si>
  <si>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</si>
  <si>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</si>
  <si>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</si>
  <si>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</si>
  <si>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</si>
  <si>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</si>
  <si>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</si>
  <si>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</si>
  <si>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</si>
  <si>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</si>
  <si>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</si>
  <si>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</si>
  <si>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agregação dos valores por chave MIS + ckarea de forma a garantir que não temos duplicação dos valores por contrato (junção do ckmetamis)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</si>
  <si>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</si>
  <si>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</si>
  <si>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</si>
  <si>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</si>
  <si>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</si>
  <si>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</si>
  <si>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</si>
  <si>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</si>
  <si>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</si>
  <si>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</si>
  <si>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</si>
  <si>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</si>
  <si>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</si>
  <si>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</si>
  <si>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</si>
  <si>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</si>
  <si>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</si>
  <si>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</si>
  <si>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</si>
  <si>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</si>
  <si>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</si>
  <si>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</si>
  <si>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</si>
  <si>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</si>
  <si>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</si>
  <si>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</si>
  <si>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</si>
  <si>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</si>
  <si>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</si>
  <si>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</si>
  <si>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</si>
  <si>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</si>
  <si>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</si>
  <si>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</si>
  <si>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</si>
  <si>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</si>
  <si>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</si>
  <si>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</si>
  <si>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</si>
  <si>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</si>
  <si>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</si>
  <si>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</si>
  <si>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</si>
  <si>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</si>
  <si>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</si>
  <si>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</si>
  <si>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</si>
  <si>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</si>
  <si>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</si>
  <si>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</si>
  <si>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</si>
  <si>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</si>
  <si>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</si>
  <si>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</si>
  <si>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</si>
  <si>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</si>
  <si>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</si>
  <si>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</si>
  <si>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</si>
  <si>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</si>
  <si>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</si>
  <si>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</si>
  <si>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</si>
  <si>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</si>
  <si>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</si>
  <si>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</si>
  <si>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r>
      <t>Da atribuição da chave MIS ao universo comum com PM, existem 769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</si>
  <si>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768 dizem respeito a ajustes.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</si>
  <si>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</si>
  <si>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</si>
  <si>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</si>
  <si>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</si>
  <si>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</si>
  <si>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</si>
  <si>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</si>
  <si>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</si>
  <si>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</si>
  <si>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</si>
  <si>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</si>
  <si>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</si>
  <si>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</si>
  <si>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</si>
  <si>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</si>
  <si>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</si>
  <si>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</si>
  <si>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</si>
  <si>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</si>
  <si>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</si>
  <si>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</si>
  <si>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</si>
  <si>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</si>
  <si>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</si>
  <si>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</si>
  <si>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</si>
  <si>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</si>
  <si>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</si>
  <si>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</si>
  <si>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</si>
  <si>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</si>
  <si>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</si>
  <si>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</si>
  <si>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</si>
  <si>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</si>
  <si>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</si>
  <si>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</si>
  <si>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</si>
  <si>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</si>
  <si>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</si>
  <si>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</si>
  <si>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</si>
  <si>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</si>
  <si>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</si>
  <si>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</si>
  <si>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</si>
  <si>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</si>
  <si>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</si>
  <si>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</si>
  <si>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</si>
  <si>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</si>
  <si>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</si>
  <si>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</si>
  <si>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</si>
  <si>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</si>
  <si>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</si>
  <si>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</si>
  <si>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</si>
  <si>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</si>
  <si>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</si>
  <si>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</si>
  <si>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</si>
  <si>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</si>
  <si>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</si>
  <si>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</si>
  <si>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</si>
  <si>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</si>
  <si>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</si>
  <si>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</si>
  <si>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</si>
  <si>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</si>
  <si>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</si>
  <si>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</si>
  <si>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</si>
  <si>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</si>
  <si>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</si>
  <si>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</si>
  <si>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</si>
  <si>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</si>
  <si>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</si>
  <si>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</si>
  <si>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</si>
  <si>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</si>
  <si>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</si>
  <si>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</si>
  <si>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</si>
  <si>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</si>
  <si>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</si>
  <si>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</si>
  <si>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</si>
  <si>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</si>
  <si>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</si>
  <si>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</si>
  <si>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</si>
  <si>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</si>
  <si>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</si>
  <si>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</si>
  <si>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</si>
  <si>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</si>
  <si>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</si>
  <si>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</si>
  <si>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</si>
  <si>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</si>
  <si>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</si>
  <si>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</si>
  <si>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</si>
  <si>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</si>
  <si>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</si>
  <si>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</si>
  <si>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</si>
  <si>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</si>
  <si>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</si>
  <si>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</si>
  <si>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</si>
  <si>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</si>
  <si>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</si>
  <si>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</si>
  <si>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</si>
  <si>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</si>
  <si>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</si>
  <si>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</si>
  <si>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</si>
  <si>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</si>
  <si>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</si>
  <si>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</si>
  <si>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</si>
  <si>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TYP_OFF_BLNC_PRDCT, SUBPORTFOLIO_ID, DFLT_STTS_INSTRMNT, TYP_INSTRMNT, ACCNTNG_CLSSFCTN, COD_SOC_INTRGRP</t>
  </si>
  <si>
    <t>simulação dos campos provenientes da rentabilidade (saldos, juros e comissões)</t>
  </si>
  <si>
    <t>criação da tabela final sem a chave MIS</t>
  </si>
  <si>
    <t>validação: não existem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</si>
</sst>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</cellXfs>
  <cellStyles count="1">
    <cellStyle name="Normal" xfId="0" builtinId="0"/>
  </cellStyles>
  <dxfs count="12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4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  <threadedComment ref="H98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H98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4"/>
  <sheetViews>
    <sheetView showGridLines="0" topLeftCell="A90" zoomScale="90" zoomScaleNormal="90" workbookViewId="0">
      <selection activeCell="H110" sqref="H110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7" width="13.33203125" customWidth="1"/>
    <col min="9" max="10" width="9.88671875" bestFit="1" customWidth="1"/>
    <col min="11" max="11" width="9.5546875" bestFit="1" customWidth="1"/>
  </cols>
  <sheetData>
    <row r="2" spans="2:12" x14ac:dyDescent="0.3">
      <c r="B2" s="21" t="s">
        <v>67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 x14ac:dyDescent="0.3">
      <c r="B4" s="65" t="s">
        <v>68</v>
      </c>
      <c r="C4" s="65"/>
      <c r="D4" s="65"/>
      <c r="E4" s="65"/>
      <c r="F4" s="65"/>
      <c r="G4" s="65"/>
      <c r="J4" s="3"/>
    </row>
    <row r="5" spans="2:12" x14ac:dyDescent="0.3">
      <c r="B5" s="1"/>
      <c r="J5" s="3"/>
    </row>
    <row r="6" spans="2:12" ht="25.05" customHeight="1" x14ac:dyDescent="0.3">
      <c r="B6" s="67" t="s">
        <v>69</v>
      </c>
      <c r="C6" s="67"/>
      <c r="D6" s="67"/>
      <c r="E6" s="67"/>
      <c r="F6" s="67"/>
      <c r="G6" s="67"/>
      <c r="J6" s="3"/>
    </row>
    <row r="7" spans="2:12" ht="25.05" customHeight="1" x14ac:dyDescent="0.3">
      <c r="B7" s="67"/>
      <c r="C7" s="67"/>
      <c r="D7" s="67"/>
      <c r="E7" s="67"/>
      <c r="F7" s="67"/>
      <c r="G7" s="67"/>
      <c r="J7" s="3"/>
    </row>
    <row r="8" spans="2:12" ht="25.05" customHeight="1" x14ac:dyDescent="0.3">
      <c r="B8" s="67"/>
      <c r="C8" s="67"/>
      <c r="D8" s="67"/>
      <c r="E8" s="67"/>
      <c r="F8" s="67"/>
      <c r="G8" s="67"/>
      <c r="J8" s="3"/>
    </row>
    <row r="9" spans="2:12" ht="25.05" customHeight="1" x14ac:dyDescent="0.3">
      <c r="B9" s="67"/>
      <c r="C9" s="67"/>
      <c r="D9" s="67"/>
      <c r="E9" s="67"/>
      <c r="F9" s="67"/>
      <c r="G9" s="67"/>
      <c r="J9" s="3"/>
    </row>
    <row r="10" spans="2:12" x14ac:dyDescent="0.3">
      <c r="B10" s="1"/>
      <c r="D10" t="s">
        <v>446</v>
      </c>
      <c r="E10" t="s">
        <v>446</v>
      </c>
      <c r="F10" t="s">
        <v>446</v>
      </c>
      <c r="G10" t="s">
        <v>446</v>
      </c>
      <c r="J10" s="3"/>
    </row>
    <row r="11" spans="2:12" ht="15" customHeight="1" x14ac:dyDescent="0.3">
      <c r="B11" s="9" t="s">
        <v>65</v>
      </c>
      <c r="C11" s="11" t="s">
        <v>66</v>
      </c>
      <c r="D11" s="10" t="s">
        <v>51</v>
      </c>
      <c r="E11" s="11" t="s">
        <v>52</v>
      </c>
      <c r="F11" s="11" t="s">
        <v>53</v>
      </c>
      <c r="G11" s="11" t="s">
        <v>445</v>
      </c>
      <c r="J11" s="3"/>
    </row>
    <row r="12" spans="2:12" s="18" customFormat="1" ht="28.8" x14ac:dyDescent="0.3">
      <c r="B12" s="16" t="s">
        <v>45</v>
      </c>
      <c r="C12" s="15" t="s">
        <v>24</v>
      </c>
      <c r="D12" s="48">
        <v>8152721</v>
      </c>
      <c r="E12" s="48">
        <v>6534042</v>
      </c>
      <c r="F12" s="17">
        <v>6707443</v>
      </c>
      <c r="G12" s="17">
        <v>6809372</v>
      </c>
      <c r="J12" s="19"/>
    </row>
    <row r="13" spans="2:12" s="18" customFormat="1" ht="43.2" x14ac:dyDescent="0.3">
      <c r="B13" s="16" t="s">
        <v>46</v>
      </c>
      <c r="C13" s="15" t="s">
        <v>26</v>
      </c>
      <c r="D13" s="48">
        <v>4147739</v>
      </c>
      <c r="E13" s="48">
        <v>3330519</v>
      </c>
      <c r="F13" s="17">
        <v>3403912</v>
      </c>
      <c r="G13" s="17">
        <v>3477950</v>
      </c>
      <c r="J13" s="19"/>
    </row>
    <row r="14" spans="2:12" s="18" customFormat="1" ht="28.8" x14ac:dyDescent="0.3">
      <c r="B14" s="16" t="s">
        <v>47</v>
      </c>
      <c r="C14" s="15" t="s">
        <v>25</v>
      </c>
      <c r="D14" s="48">
        <v>3030316</v>
      </c>
      <c r="E14" s="48">
        <v>1480598</v>
      </c>
      <c r="F14" s="17">
        <v>1663373</v>
      </c>
      <c r="G14" s="17">
        <v>1821322</v>
      </c>
      <c r="J14" s="19"/>
    </row>
    <row r="15" spans="2:12" s="18" customFormat="1" ht="43.2" x14ac:dyDescent="0.3">
      <c r="B15" s="16" t="s">
        <v>48</v>
      </c>
      <c r="C15" s="15" t="s">
        <v>26</v>
      </c>
      <c r="D15" s="48">
        <v>1558975</v>
      </c>
      <c r="E15" s="48">
        <v>695507</v>
      </c>
      <c r="F15" s="17">
        <v>796684</v>
      </c>
      <c r="G15" s="17">
        <v>888481</v>
      </c>
      <c r="J15" s="19"/>
    </row>
    <row r="16" spans="2:12" s="18" customFormat="1" ht="19.8" customHeight="1" x14ac:dyDescent="0.3">
      <c r="B16" s="16" t="s">
        <v>49</v>
      </c>
      <c r="C16" s="15" t="s">
        <v>27</v>
      </c>
      <c r="D16" s="48">
        <v>4578522</v>
      </c>
      <c r="E16" s="48">
        <v>3361588</v>
      </c>
      <c r="F16" s="17">
        <v>3475526</v>
      </c>
      <c r="G16" s="17">
        <v>3587252</v>
      </c>
      <c r="J16" s="19"/>
    </row>
    <row r="17" spans="2:10" s="18" customFormat="1" ht="19.8" customHeight="1" x14ac:dyDescent="0.3">
      <c r="B17" s="16" t="s">
        <v>50</v>
      </c>
      <c r="C17" s="15" t="s">
        <v>28</v>
      </c>
      <c r="D17" s="48">
        <v>4578527</v>
      </c>
      <c r="E17" s="48">
        <v>3361592</v>
      </c>
      <c r="F17" s="17">
        <v>3475531</v>
      </c>
      <c r="G17" s="17">
        <v>3587256</v>
      </c>
      <c r="J17" s="19"/>
    </row>
    <row r="18" spans="2:10" s="18" customFormat="1" ht="43.2" x14ac:dyDescent="0.3">
      <c r="B18" s="16" t="s">
        <v>440</v>
      </c>
      <c r="C18" s="15" t="s">
        <v>444</v>
      </c>
      <c r="D18" s="17">
        <v>3458311</v>
      </c>
      <c r="E18" s="17">
        <v>2442556</v>
      </c>
      <c r="F18" s="17">
        <v>2532046</v>
      </c>
      <c r="G18" s="17">
        <v>2651903</v>
      </c>
      <c r="J18" s="19"/>
    </row>
    <row r="19" spans="2:10" s="18" customFormat="1" ht="28.8" x14ac:dyDescent="0.3">
      <c r="B19" s="16" t="s">
        <v>441</v>
      </c>
      <c r="C19" s="15" t="s">
        <v>29</v>
      </c>
      <c r="D19" s="17">
        <v>694551</v>
      </c>
      <c r="E19" s="17">
        <v>656679</v>
      </c>
      <c r="F19" s="17">
        <v>661739</v>
      </c>
      <c r="G19" s="17">
        <v>667480</v>
      </c>
      <c r="J19" s="19"/>
    </row>
    <row r="20" spans="2:10" s="18" customFormat="1" ht="28.8" x14ac:dyDescent="0.3">
      <c r="B20" s="16" t="s">
        <v>442</v>
      </c>
      <c r="C20" s="15" t="s">
        <v>30</v>
      </c>
      <c r="D20" s="17">
        <v>2763760</v>
      </c>
      <c r="E20" s="17">
        <v>1785877</v>
      </c>
      <c r="F20" s="17">
        <v>1870307</v>
      </c>
      <c r="G20" s="17">
        <v>1984423</v>
      </c>
      <c r="J20" s="19"/>
    </row>
    <row r="21" spans="2:10" s="18" customFormat="1" ht="28.8" x14ac:dyDescent="0.3">
      <c r="B21" s="16" t="s">
        <v>54</v>
      </c>
      <c r="C21" s="15" t="s">
        <v>443</v>
      </c>
      <c r="D21" s="17">
        <v>3458311</v>
      </c>
      <c r="E21" s="17">
        <v>2442556</v>
      </c>
      <c r="F21" s="17">
        <v>2532046</v>
      </c>
      <c r="G21" s="17">
        <v>2651903</v>
      </c>
      <c r="J21" s="19"/>
    </row>
    <row r="22" spans="2:10" x14ac:dyDescent="0.3">
      <c r="J22" s="3"/>
    </row>
    <row r="23" spans="2:10" x14ac:dyDescent="0.3">
      <c r="B23" s="68" t="s">
        <v>75</v>
      </c>
      <c r="C23" s="68"/>
      <c r="D23" s="25">
        <f>SUM(D19:D20)-D18</f>
        <v>0</v>
      </c>
      <c r="E23" s="25">
        <f>SUM(E19:E20)-E18</f>
        <v>0</v>
      </c>
      <c r="F23" s="25">
        <f>SUM(F19:F20)-F18</f>
        <v>0</v>
      </c>
      <c r="G23" s="25">
        <f>SUM(G19:G20)-G18</f>
        <v>0</v>
      </c>
      <c r="J23" s="3"/>
    </row>
    <row r="24" spans="2:10" x14ac:dyDescent="0.3">
      <c r="B24" s="68"/>
      <c r="C24" s="68"/>
      <c r="D24" s="25">
        <f>D21-D18</f>
        <v>0</v>
      </c>
      <c r="E24" s="25">
        <f>E21-E18</f>
        <v>0</v>
      </c>
      <c r="F24" s="25">
        <f>F21-F18</f>
        <v>0</v>
      </c>
      <c r="G24" s="25">
        <f>G21-G18</f>
        <v>0</v>
      </c>
      <c r="J24" s="3"/>
    </row>
    <row r="25" spans="2:10" x14ac:dyDescent="0.3">
      <c r="J25" s="3"/>
    </row>
    <row r="26" spans="2:10" x14ac:dyDescent="0.3">
      <c r="B26" s="4" t="s">
        <v>11</v>
      </c>
      <c r="J26" s="3"/>
    </row>
    <row r="27" spans="2:10" x14ac:dyDescent="0.3">
      <c r="B27" t="s">
        <v>32</v>
      </c>
      <c r="J27" s="3"/>
    </row>
    <row r="28" spans="2:10" x14ac:dyDescent="0.3">
      <c r="J28" s="3"/>
    </row>
    <row r="29" spans="2:10" x14ac:dyDescent="0.3">
      <c r="B29" s="65" t="s">
        <v>70</v>
      </c>
      <c r="C29" s="65"/>
      <c r="D29" s="65"/>
      <c r="E29" s="65"/>
      <c r="F29" s="65"/>
      <c r="G29" s="65"/>
      <c r="J29" s="3"/>
    </row>
    <row r="30" spans="2:10" x14ac:dyDescent="0.3">
      <c r="J30" s="3"/>
    </row>
    <row r="31" spans="2:10" ht="14.4" customHeight="1" x14ac:dyDescent="0.3">
      <c r="B31" s="71" t="s">
        <v>71</v>
      </c>
      <c r="C31" s="71"/>
      <c r="D31" s="71"/>
      <c r="E31" s="71"/>
      <c r="F31" s="71"/>
      <c r="G31" s="71"/>
      <c r="J31" s="3"/>
    </row>
    <row r="32" spans="2:10" x14ac:dyDescent="0.3">
      <c r="B32" s="71"/>
      <c r="C32" s="71"/>
      <c r="D32" s="71"/>
      <c r="E32" s="71"/>
      <c r="F32" s="71"/>
      <c r="G32" s="71"/>
      <c r="J32" s="3"/>
    </row>
    <row r="33" spans="2:10" x14ac:dyDescent="0.3">
      <c r="J33" s="3"/>
    </row>
    <row r="34" spans="2:10" x14ac:dyDescent="0.3">
      <c r="B34" s="9" t="s">
        <v>65</v>
      </c>
      <c r="C34" s="11" t="s">
        <v>66</v>
      </c>
      <c r="D34" s="9" t="s">
        <v>5</v>
      </c>
      <c r="E34" s="9" t="s">
        <v>1</v>
      </c>
    </row>
    <row r="35" spans="2:10" x14ac:dyDescent="0.3">
      <c r="B35" s="14" t="s">
        <v>0</v>
      </c>
      <c r="C35" s="12"/>
      <c r="D35" s="13">
        <v>2102094</v>
      </c>
      <c r="E35" s="13">
        <v>2085945</v>
      </c>
      <c r="F35" s="2"/>
    </row>
    <row r="37" spans="2:10" x14ac:dyDescent="0.3">
      <c r="B37" s="65" t="s">
        <v>72</v>
      </c>
      <c r="C37" s="65"/>
      <c r="D37" s="65"/>
      <c r="E37" s="65"/>
      <c r="F37" s="65"/>
      <c r="G37" s="65"/>
      <c r="J37" s="3"/>
    </row>
    <row r="38" spans="2:10" x14ac:dyDescent="0.3">
      <c r="J38" s="3"/>
    </row>
    <row r="39" spans="2:10" ht="14.4" customHeight="1" x14ac:dyDescent="0.3">
      <c r="B39" s="71" t="s">
        <v>73</v>
      </c>
      <c r="C39" s="71"/>
      <c r="D39" s="71"/>
      <c r="E39" s="71"/>
      <c r="F39" s="71"/>
      <c r="G39" s="71"/>
      <c r="J39" s="3"/>
    </row>
    <row r="40" spans="2:10" x14ac:dyDescent="0.3">
      <c r="B40" s="71"/>
      <c r="C40" s="71"/>
      <c r="D40" s="71"/>
      <c r="E40" s="71"/>
      <c r="F40" s="71"/>
      <c r="G40" s="71"/>
      <c r="J40" s="3"/>
    </row>
    <row r="41" spans="2:10" x14ac:dyDescent="0.3">
      <c r="B41" s="22"/>
      <c r="C41" s="22"/>
      <c r="D41" s="22"/>
      <c r="E41" s="22"/>
      <c r="F41" s="22"/>
      <c r="J41" s="3"/>
    </row>
    <row r="42" spans="2:10" x14ac:dyDescent="0.3">
      <c r="B42" s="23" t="s">
        <v>74</v>
      </c>
      <c r="C42" s="22"/>
      <c r="D42" s="22" t="s">
        <v>446</v>
      </c>
      <c r="E42" s="22"/>
      <c r="F42" s="22"/>
      <c r="J42" s="3"/>
    </row>
    <row r="43" spans="2:10" ht="7.05" customHeight="1" x14ac:dyDescent="0.3">
      <c r="J43" s="3"/>
    </row>
    <row r="44" spans="2:10" x14ac:dyDescent="0.3">
      <c r="B44" s="9" t="s">
        <v>65</v>
      </c>
      <c r="C44" s="11" t="s">
        <v>66</v>
      </c>
      <c r="D44" s="9" t="s">
        <v>5</v>
      </c>
      <c r="E44" s="9" t="s">
        <v>2</v>
      </c>
      <c r="F44" s="9" t="s">
        <v>3</v>
      </c>
      <c r="G44" s="9" t="s">
        <v>1</v>
      </c>
    </row>
    <row r="45" spans="2:10" ht="43.2" x14ac:dyDescent="0.3">
      <c r="B45" s="16" t="s">
        <v>55</v>
      </c>
      <c r="C45" s="15" t="s">
        <v>18</v>
      </c>
      <c r="D45" s="24">
        <v>47791</v>
      </c>
      <c r="E45" s="24"/>
      <c r="F45" s="24"/>
      <c r="G45" s="24" t="s">
        <v>4</v>
      </c>
    </row>
    <row r="46" spans="2:10" ht="72" x14ac:dyDescent="0.3">
      <c r="B46" s="16" t="s">
        <v>56</v>
      </c>
      <c r="C46" s="15" t="s">
        <v>16</v>
      </c>
      <c r="D46" s="24">
        <v>42599</v>
      </c>
      <c r="E46" s="24"/>
      <c r="F46" s="24" t="s">
        <v>4</v>
      </c>
      <c r="G46" s="24"/>
    </row>
    <row r="47" spans="2:10" ht="72" x14ac:dyDescent="0.3">
      <c r="B47" s="16" t="s">
        <v>57</v>
      </c>
      <c r="C47" s="15" t="s">
        <v>17</v>
      </c>
      <c r="D47" s="24">
        <v>822</v>
      </c>
      <c r="E47" s="24"/>
      <c r="F47" s="24" t="s">
        <v>4</v>
      </c>
      <c r="G47" s="24"/>
    </row>
    <row r="48" spans="2:10" ht="57.6" x14ac:dyDescent="0.3">
      <c r="B48" s="16" t="s">
        <v>58</v>
      </c>
      <c r="C48" s="15" t="s">
        <v>13</v>
      </c>
      <c r="D48" s="24">
        <v>760</v>
      </c>
      <c r="E48" s="24"/>
      <c r="F48" s="24" t="s">
        <v>4</v>
      </c>
      <c r="G48" s="24"/>
    </row>
    <row r="49" spans="2:10" ht="21.6" customHeight="1" x14ac:dyDescent="0.3">
      <c r="B49" s="16" t="s">
        <v>59</v>
      </c>
      <c r="C49" s="15" t="s">
        <v>7</v>
      </c>
      <c r="D49" s="24">
        <v>44181</v>
      </c>
      <c r="E49" s="24"/>
      <c r="F49" s="24" t="s">
        <v>4</v>
      </c>
      <c r="G49" s="24"/>
    </row>
    <row r="50" spans="2:10" x14ac:dyDescent="0.3">
      <c r="C50" s="5"/>
      <c r="D50" s="5"/>
      <c r="E50" s="5"/>
      <c r="F50" s="5"/>
    </row>
    <row r="51" spans="2:10" x14ac:dyDescent="0.3">
      <c r="B51" s="69" t="s">
        <v>75</v>
      </c>
      <c r="C51" s="70"/>
      <c r="D51" s="25">
        <f>D49-SUM(D46:D48)</f>
        <v>0</v>
      </c>
      <c r="E51" s="25">
        <f>E49-SUM(E46:E48)</f>
        <v>0</v>
      </c>
      <c r="F51" s="25" t="s">
        <v>4</v>
      </c>
      <c r="G51" s="25">
        <f>G49-SUM(G46:G48)</f>
        <v>0</v>
      </c>
    </row>
    <row r="52" spans="2:10" x14ac:dyDescent="0.3">
      <c r="C52" s="5"/>
      <c r="D52" s="5"/>
      <c r="E52" s="5"/>
      <c r="F52" s="5"/>
    </row>
    <row r="53" spans="2:10" x14ac:dyDescent="0.3">
      <c r="B53" s="23" t="s">
        <v>76</v>
      </c>
      <c r="C53" s="22"/>
      <c r="D53" s="22" t="s">
        <v>446</v>
      </c>
      <c r="E53" s="22"/>
      <c r="F53" s="22"/>
      <c r="J53" s="3"/>
    </row>
    <row r="54" spans="2:10" ht="7.05" customHeight="1" x14ac:dyDescent="0.3">
      <c r="J54" s="3"/>
    </row>
    <row r="55" spans="2:10" x14ac:dyDescent="0.3">
      <c r="B55" s="9" t="s">
        <v>65</v>
      </c>
      <c r="C55" s="11" t="s">
        <v>66</v>
      </c>
      <c r="D55" s="9" t="s">
        <v>5</v>
      </c>
      <c r="E55" s="9" t="s">
        <v>2</v>
      </c>
      <c r="F55" s="9" t="s">
        <v>3</v>
      </c>
      <c r="G55" s="9" t="s">
        <v>1</v>
      </c>
    </row>
    <row r="56" spans="2:10" ht="43.2" x14ac:dyDescent="0.3">
      <c r="B56" s="16" t="s">
        <v>60</v>
      </c>
      <c r="C56" s="15" t="s">
        <v>18</v>
      </c>
      <c r="D56" s="24">
        <v>46565</v>
      </c>
      <c r="E56" s="24"/>
      <c r="F56" s="24"/>
      <c r="G56" s="24" t="s">
        <v>4</v>
      </c>
    </row>
    <row r="57" spans="2:10" ht="72" x14ac:dyDescent="0.3">
      <c r="B57" s="16" t="s">
        <v>61</v>
      </c>
      <c r="C57" s="15" t="s">
        <v>16</v>
      </c>
      <c r="D57" s="24">
        <v>39989</v>
      </c>
      <c r="E57" s="24"/>
      <c r="F57" s="24" t="s">
        <v>4</v>
      </c>
      <c r="G57" s="12"/>
    </row>
    <row r="58" spans="2:10" ht="72" x14ac:dyDescent="0.3">
      <c r="B58" s="16" t="s">
        <v>62</v>
      </c>
      <c r="C58" s="15" t="s">
        <v>17</v>
      </c>
      <c r="D58" s="24">
        <v>578</v>
      </c>
      <c r="E58" s="24"/>
      <c r="F58" s="24" t="s">
        <v>4</v>
      </c>
      <c r="G58" s="12"/>
    </row>
    <row r="59" spans="2:10" ht="57.6" x14ac:dyDescent="0.3">
      <c r="B59" s="16" t="s">
        <v>63</v>
      </c>
      <c r="C59" s="15" t="s">
        <v>13</v>
      </c>
      <c r="D59" s="24">
        <v>724</v>
      </c>
      <c r="E59" s="24"/>
      <c r="F59" s="24" t="s">
        <v>4</v>
      </c>
      <c r="G59" s="12"/>
    </row>
    <row r="60" spans="2:10" ht="21.6" customHeight="1" x14ac:dyDescent="0.3">
      <c r="B60" s="16" t="s">
        <v>64</v>
      </c>
      <c r="C60" s="15" t="s">
        <v>7</v>
      </c>
      <c r="D60" s="24">
        <v>41291</v>
      </c>
      <c r="E60" s="24"/>
      <c r="F60" s="24" t="s">
        <v>4</v>
      </c>
      <c r="G60" s="12"/>
    </row>
    <row r="61" spans="2:10" x14ac:dyDescent="0.3">
      <c r="C61" s="5"/>
      <c r="D61" s="5"/>
      <c r="E61" s="5"/>
      <c r="F61" s="5"/>
    </row>
    <row r="62" spans="2:10" x14ac:dyDescent="0.3">
      <c r="B62" s="69" t="s">
        <v>75</v>
      </c>
      <c r="C62" s="70"/>
      <c r="D62" s="25">
        <f>D60-SUM(D57:D59)</f>
        <v>0</v>
      </c>
      <c r="E62" s="25">
        <f>E60-SUM(E57:E59)</f>
        <v>0</v>
      </c>
      <c r="F62" s="25" t="s">
        <v>4</v>
      </c>
      <c r="G62" s="25">
        <f>G60-SUM(G57:G59)</f>
        <v>0</v>
      </c>
    </row>
    <row r="63" spans="2:10" x14ac:dyDescent="0.3">
      <c r="C63" s="5"/>
      <c r="D63" s="5"/>
      <c r="E63" s="5"/>
      <c r="F63" s="5"/>
    </row>
    <row r="64" spans="2:10" x14ac:dyDescent="0.3">
      <c r="B64" s="23" t="s">
        <v>447</v>
      </c>
      <c r="C64" s="22"/>
      <c r="D64" s="22" t="s">
        <v>507</v>
      </c>
      <c r="E64" s="22"/>
      <c r="F64" s="22"/>
      <c r="J64" s="3"/>
    </row>
    <row r="65" spans="2:10" ht="7.05" customHeight="1" x14ac:dyDescent="0.3">
      <c r="J65" s="3"/>
    </row>
    <row r="66" spans="2:10" x14ac:dyDescent="0.3">
      <c r="B66" s="9" t="s">
        <v>65</v>
      </c>
      <c r="C66" s="11" t="s">
        <v>66</v>
      </c>
      <c r="D66" s="9" t="s">
        <v>5</v>
      </c>
      <c r="E66" s="9" t="s">
        <v>2</v>
      </c>
      <c r="F66" s="9" t="s">
        <v>3</v>
      </c>
      <c r="G66" s="9" t="s">
        <v>1</v>
      </c>
    </row>
    <row r="67" spans="2:10" ht="43.2" x14ac:dyDescent="0.3">
      <c r="B67" s="16" t="s">
        <v>448</v>
      </c>
      <c r="C67" s="15" t="s">
        <v>18</v>
      </c>
      <c r="D67" s="24">
        <v>54163</v>
      </c>
      <c r="E67" s="24"/>
      <c r="F67" s="24"/>
      <c r="G67" s="24" t="s">
        <v>4</v>
      </c>
    </row>
    <row r="68" spans="2:10" ht="72" x14ac:dyDescent="0.3">
      <c r="B68" s="16" t="s">
        <v>449</v>
      </c>
      <c r="C68" s="15" t="s">
        <v>16</v>
      </c>
      <c r="D68" s="24">
        <v>39388</v>
      </c>
      <c r="E68" s="24"/>
      <c r="F68" s="24" t="s">
        <v>4</v>
      </c>
      <c r="G68" s="12"/>
    </row>
    <row r="69" spans="2:10" ht="72" x14ac:dyDescent="0.3">
      <c r="B69" s="16" t="s">
        <v>450</v>
      </c>
      <c r="C69" s="15" t="s">
        <v>17</v>
      </c>
      <c r="D69" s="24">
        <v>565</v>
      </c>
      <c r="E69" s="24"/>
      <c r="F69" s="24" t="s">
        <v>4</v>
      </c>
      <c r="G69" s="12"/>
    </row>
    <row r="70" spans="2:10" ht="57.6" x14ac:dyDescent="0.3">
      <c r="B70" s="16" t="s">
        <v>451</v>
      </c>
      <c r="C70" s="15" t="s">
        <v>13</v>
      </c>
      <c r="D70" s="24">
        <v>682</v>
      </c>
      <c r="E70" s="24"/>
      <c r="F70" s="24" t="s">
        <v>4</v>
      </c>
      <c r="G70" s="12"/>
    </row>
    <row r="71" spans="2:10" ht="21.6" customHeight="1" x14ac:dyDescent="0.3">
      <c r="B71" s="16" t="s">
        <v>508</v>
      </c>
      <c r="C71" s="15" t="s">
        <v>7</v>
      </c>
      <c r="D71" s="24">
        <v>40635</v>
      </c>
      <c r="E71" s="24"/>
      <c r="F71" s="24" t="s">
        <v>4</v>
      </c>
      <c r="G71" s="12"/>
    </row>
    <row r="72" spans="2:10" x14ac:dyDescent="0.3">
      <c r="C72" s="5"/>
      <c r="D72" s="5"/>
      <c r="E72" s="5"/>
      <c r="F72" s="5"/>
    </row>
    <row r="73" spans="2:10" x14ac:dyDescent="0.3">
      <c r="B73" s="69" t="s">
        <v>75</v>
      </c>
      <c r="C73" s="70"/>
      <c r="D73" s="25">
        <f>D71-SUM(D68:D70)</f>
        <v>0</v>
      </c>
      <c r="E73" s="25">
        <f>E71-SUM(E68:E70)</f>
        <v>0</v>
      </c>
      <c r="F73" s="25" t="s">
        <v>4</v>
      </c>
      <c r="G73" s="25">
        <f>G71-SUM(G68:G70)</f>
        <v>0</v>
      </c>
    </row>
    <row r="74" spans="2:10" x14ac:dyDescent="0.3">
      <c r="C74" s="5"/>
      <c r="D74" s="5"/>
      <c r="E74" s="5"/>
      <c r="F74" s="5"/>
    </row>
    <row r="75" spans="2:10" x14ac:dyDescent="0.3">
      <c r="B75" s="23" t="s">
        <v>77</v>
      </c>
      <c r="C75" s="5"/>
      <c r="D75" s="5"/>
      <c r="E75" s="5"/>
      <c r="F75" s="5"/>
    </row>
    <row r="76" spans="2:10" ht="7.05" customHeight="1" x14ac:dyDescent="0.3">
      <c r="B76" s="23"/>
      <c r="C76" s="5"/>
      <c r="D76" s="5"/>
      <c r="E76" s="5"/>
      <c r="F76" s="5"/>
    </row>
    <row r="77" spans="2:10" x14ac:dyDescent="0.3">
      <c r="B77" s="9" t="s">
        <v>65</v>
      </c>
      <c r="C77" s="11" t="s">
        <v>66</v>
      </c>
      <c r="D77" s="9" t="s">
        <v>5</v>
      </c>
      <c r="E77" s="9" t="s">
        <v>2</v>
      </c>
      <c r="F77" s="9" t="s">
        <v>3</v>
      </c>
      <c r="G77" s="9" t="s">
        <v>1</v>
      </c>
    </row>
    <row r="78" spans="2:10" ht="43.2" x14ac:dyDescent="0.3">
      <c r="B78" s="16" t="s">
        <v>6</v>
      </c>
      <c r="C78" s="15" t="s">
        <v>510</v>
      </c>
      <c r="D78" s="24">
        <v>125497</v>
      </c>
      <c r="E78" s="24"/>
      <c r="F78" s="24"/>
      <c r="G78" s="24"/>
    </row>
    <row r="79" spans="2:10" x14ac:dyDescent="0.3">
      <c r="C79" s="5"/>
      <c r="D79" s="5"/>
      <c r="E79" s="5"/>
      <c r="F79" s="5"/>
    </row>
    <row r="80" spans="2:10" x14ac:dyDescent="0.3">
      <c r="B80" s="65" t="s">
        <v>79</v>
      </c>
      <c r="C80" s="65"/>
      <c r="D80" s="65"/>
      <c r="E80" s="65"/>
      <c r="F80" s="65"/>
      <c r="G80" s="65"/>
    </row>
    <row r="81" spans="2:10" x14ac:dyDescent="0.3">
      <c r="C81" s="5"/>
      <c r="D81" s="5"/>
      <c r="E81" s="5"/>
      <c r="F81" s="5"/>
    </row>
    <row r="82" spans="2:10" x14ac:dyDescent="0.3">
      <c r="B82" s="9" t="s">
        <v>65</v>
      </c>
      <c r="C82" s="11" t="s">
        <v>66</v>
      </c>
      <c r="D82" s="9" t="s">
        <v>5</v>
      </c>
      <c r="E82" s="9" t="s">
        <v>2</v>
      </c>
      <c r="F82" s="9" t="s">
        <v>3</v>
      </c>
      <c r="G82" s="9" t="s">
        <v>1</v>
      </c>
    </row>
    <row r="83" spans="2:10" ht="21.6" customHeight="1" x14ac:dyDescent="0.3">
      <c r="B83" s="16" t="s">
        <v>0</v>
      </c>
      <c r="C83" s="15" t="s">
        <v>509</v>
      </c>
      <c r="D83" s="24">
        <v>4221569</v>
      </c>
      <c r="E83" s="24"/>
      <c r="F83" s="24"/>
      <c r="G83" s="24"/>
    </row>
    <row r="84" spans="2:10" ht="28.8" x14ac:dyDescent="0.3">
      <c r="B84" s="16" t="s">
        <v>8</v>
      </c>
      <c r="C84" s="15" t="s">
        <v>20</v>
      </c>
      <c r="D84" s="24">
        <v>2235231</v>
      </c>
      <c r="E84" s="24"/>
      <c r="F84" s="24" t="s">
        <v>4</v>
      </c>
      <c r="G84" s="24"/>
      <c r="I84" s="24">
        <v>2185091</v>
      </c>
    </row>
    <row r="85" spans="2:10" ht="28.8" x14ac:dyDescent="0.3">
      <c r="B85" s="16" t="s">
        <v>31</v>
      </c>
      <c r="C85" s="15" t="s">
        <v>33</v>
      </c>
      <c r="D85" s="24">
        <v>11815915</v>
      </c>
      <c r="E85" s="24"/>
      <c r="F85" s="24"/>
      <c r="G85" s="24" t="s">
        <v>4</v>
      </c>
      <c r="I85" s="24">
        <v>7827883</v>
      </c>
    </row>
    <row r="86" spans="2:10" ht="43.2" x14ac:dyDescent="0.3">
      <c r="B86" s="16" t="s">
        <v>21</v>
      </c>
      <c r="C86" s="15" t="s">
        <v>22</v>
      </c>
      <c r="D86" s="24">
        <v>6375150</v>
      </c>
      <c r="E86" s="24"/>
      <c r="F86" s="24" t="s">
        <v>4</v>
      </c>
      <c r="G86" s="24"/>
      <c r="I86" s="24">
        <v>2939411</v>
      </c>
      <c r="J86" s="2">
        <f>D86-I86</f>
        <v>3435739</v>
      </c>
    </row>
    <row r="87" spans="2:10" x14ac:dyDescent="0.3">
      <c r="C87" s="5"/>
      <c r="D87" s="5"/>
      <c r="E87" s="5"/>
      <c r="F87" s="5"/>
    </row>
    <row r="88" spans="2:10" x14ac:dyDescent="0.3">
      <c r="B88" s="26" t="s">
        <v>78</v>
      </c>
      <c r="C88" s="2"/>
      <c r="D88" s="5"/>
      <c r="E88" s="5"/>
      <c r="F88" s="5"/>
    </row>
    <row r="89" spans="2:10" x14ac:dyDescent="0.3">
      <c r="B89" s="51" t="s">
        <v>511</v>
      </c>
      <c r="D89" s="7"/>
      <c r="E89" s="5"/>
      <c r="F89" s="8"/>
    </row>
    <row r="90" spans="2:10" x14ac:dyDescent="0.3">
      <c r="B90" s="51" t="s">
        <v>512</v>
      </c>
      <c r="C90" s="5"/>
      <c r="D90" s="2"/>
    </row>
    <row r="91" spans="2:10" x14ac:dyDescent="0.3">
      <c r="B91" s="51" t="s">
        <v>513</v>
      </c>
      <c r="C91" s="5"/>
      <c r="D91" s="2"/>
    </row>
    <row r="92" spans="2:10" x14ac:dyDescent="0.3">
      <c r="B92" s="6"/>
    </row>
    <row r="93" spans="2:10" x14ac:dyDescent="0.3">
      <c r="B93" s="66" t="s">
        <v>80</v>
      </c>
      <c r="C93" s="66"/>
      <c r="D93" s="66"/>
      <c r="E93" s="66"/>
      <c r="F93" s="66"/>
      <c r="G93" s="66"/>
    </row>
    <row r="94" spans="2:10" x14ac:dyDescent="0.3">
      <c r="B94" s="6"/>
      <c r="C94" s="5"/>
    </row>
    <row r="95" spans="2:10" x14ac:dyDescent="0.3">
      <c r="B95" s="9" t="s">
        <v>65</v>
      </c>
      <c r="C95" s="11" t="s">
        <v>66</v>
      </c>
      <c r="D95" s="9" t="s">
        <v>5</v>
      </c>
      <c r="E95" s="9" t="s">
        <v>2</v>
      </c>
      <c r="F95" s="9" t="s">
        <v>3</v>
      </c>
      <c r="G95" s="9" t="s">
        <v>1</v>
      </c>
    </row>
    <row r="96" spans="2:10" ht="55.2" customHeight="1" x14ac:dyDescent="0.3">
      <c r="B96" s="16" t="s">
        <v>9</v>
      </c>
      <c r="C96" s="15" t="s">
        <v>81</v>
      </c>
      <c r="D96" s="24">
        <v>6375329</v>
      </c>
      <c r="E96" s="24"/>
      <c r="F96" s="24" t="s">
        <v>4</v>
      </c>
      <c r="G96" s="24"/>
      <c r="H96" s="18" t="s">
        <v>530</v>
      </c>
      <c r="I96" s="18"/>
    </row>
    <row r="97" spans="2:8" x14ac:dyDescent="0.3">
      <c r="B97" s="27" t="s">
        <v>19</v>
      </c>
      <c r="C97" s="28"/>
      <c r="D97" s="25">
        <v>6369096</v>
      </c>
      <c r="E97" s="25"/>
      <c r="F97" s="25"/>
      <c r="G97" s="25"/>
      <c r="H97" s="2"/>
    </row>
    <row r="98" spans="2:8" ht="28.8" x14ac:dyDescent="0.3">
      <c r="B98" s="16" t="s">
        <v>10</v>
      </c>
      <c r="C98" s="15" t="s">
        <v>629</v>
      </c>
      <c r="D98" s="24">
        <v>6375331</v>
      </c>
      <c r="E98" s="25"/>
      <c r="F98" s="25"/>
      <c r="G98" s="25"/>
      <c r="H98" s="64" t="s">
        <v>630</v>
      </c>
    </row>
    <row r="99" spans="2:8" ht="57.6" x14ac:dyDescent="0.3">
      <c r="B99" s="16" t="s">
        <v>12</v>
      </c>
      <c r="C99" s="15" t="s">
        <v>23</v>
      </c>
      <c r="D99" s="24">
        <v>6375331</v>
      </c>
      <c r="E99" s="25"/>
      <c r="F99" s="25"/>
      <c r="G99" s="25"/>
      <c r="H99" s="2"/>
    </row>
    <row r="100" spans="2:8" ht="43.2" x14ac:dyDescent="0.3">
      <c r="B100" s="16" t="s">
        <v>187</v>
      </c>
      <c r="C100" s="15" t="s">
        <v>439</v>
      </c>
      <c r="D100" s="24">
        <v>6375331</v>
      </c>
      <c r="E100" s="25"/>
      <c r="F100" s="25"/>
      <c r="G100" s="25"/>
    </row>
    <row r="101" spans="2:8" x14ac:dyDescent="0.3">
      <c r="B101" s="16" t="s">
        <v>536</v>
      </c>
      <c r="C101" s="15" t="s">
        <v>188</v>
      </c>
      <c r="D101" s="24">
        <v>6375331</v>
      </c>
      <c r="E101" s="25"/>
      <c r="F101" s="25"/>
      <c r="G101" s="25"/>
    </row>
    <row r="102" spans="2:8" x14ac:dyDescent="0.3">
      <c r="B102" s="16" t="s">
        <v>626</v>
      </c>
      <c r="C102" s="15" t="s">
        <v>537</v>
      </c>
      <c r="D102" s="75">
        <v>6375331</v>
      </c>
      <c r="E102" s="25"/>
      <c r="F102" s="25"/>
      <c r="G102" s="25"/>
    </row>
    <row r="103" spans="2:8" ht="57.6" x14ac:dyDescent="0.3">
      <c r="B103" s="16" t="s">
        <v>631</v>
      </c>
      <c r="C103" s="15" t="s">
        <v>637</v>
      </c>
      <c r="D103" s="75">
        <v>6375331</v>
      </c>
      <c r="E103" s="25"/>
      <c r="F103" s="25"/>
      <c r="G103" s="25"/>
    </row>
    <row r="104" spans="2:8" ht="82.2" customHeight="1" x14ac:dyDescent="0.3">
      <c r="B104" s="16" t="s">
        <v>628</v>
      </c>
      <c r="C104" s="40" t="s">
        <v>638</v>
      </c>
      <c r="D104" s="75">
        <v>6375331</v>
      </c>
      <c r="E104" s="25"/>
      <c r="F104" s="25"/>
      <c r="G104" s="25"/>
      <c r="H104" s="18" t="s">
        <v>627</v>
      </c>
    </row>
    <row r="105" spans="2:8" ht="24.6" customHeight="1" x14ac:dyDescent="0.3">
      <c r="B105" s="16" t="s">
        <v>632</v>
      </c>
      <c r="C105" s="76" t="s">
        <v>639</v>
      </c>
      <c r="D105" s="75">
        <v>6375331</v>
      </c>
      <c r="E105" s="25"/>
      <c r="F105" s="25"/>
      <c r="G105" s="25"/>
    </row>
    <row r="106" spans="2:8" ht="24.6" customHeight="1" x14ac:dyDescent="0.3">
      <c r="B106" s="16" t="s">
        <v>633</v>
      </c>
      <c r="C106" s="77"/>
      <c r="D106" s="75">
        <v>6375331</v>
      </c>
      <c r="E106" s="12"/>
      <c r="F106" s="12"/>
      <c r="G106" s="12"/>
    </row>
    <row r="107" spans="2:8" x14ac:dyDescent="0.3">
      <c r="B107" s="16" t="s">
        <v>634</v>
      </c>
      <c r="C107" s="78" t="s">
        <v>640</v>
      </c>
      <c r="D107" s="75">
        <v>6375331</v>
      </c>
      <c r="E107" s="12"/>
      <c r="F107" s="12"/>
      <c r="G107" s="12"/>
    </row>
    <row r="108" spans="2:8" x14ac:dyDescent="0.3">
      <c r="B108" s="16" t="s">
        <v>635</v>
      </c>
      <c r="C108" s="79"/>
      <c r="D108" s="75">
        <v>6375331</v>
      </c>
      <c r="E108" s="12"/>
      <c r="F108" s="12"/>
      <c r="G108" s="12"/>
    </row>
    <row r="109" spans="2:8" x14ac:dyDescent="0.3">
      <c r="B109" s="16" t="s">
        <v>636</v>
      </c>
      <c r="C109" s="12" t="s">
        <v>641</v>
      </c>
      <c r="D109" s="75">
        <v>2317470</v>
      </c>
      <c r="E109" s="12"/>
      <c r="F109" s="12"/>
      <c r="G109" s="12"/>
      <c r="H109" t="s">
        <v>642</v>
      </c>
    </row>
    <row r="110" spans="2:8" x14ac:dyDescent="0.3">
      <c r="C110" s="2"/>
      <c r="D110" s="2"/>
      <c r="E110" s="2"/>
    </row>
    <row r="111" spans="2:8" x14ac:dyDescent="0.3">
      <c r="C111" s="2"/>
      <c r="D111" s="2"/>
      <c r="E111" s="2"/>
    </row>
    <row r="112" spans="2:8" x14ac:dyDescent="0.3">
      <c r="C112" s="2"/>
      <c r="D112" s="2"/>
      <c r="E112" s="2"/>
    </row>
    <row r="113" spans="3:5" x14ac:dyDescent="0.3">
      <c r="C113" s="2"/>
      <c r="D113" s="2"/>
      <c r="E113" s="2"/>
    </row>
    <row r="114" spans="3:5" x14ac:dyDescent="0.3">
      <c r="C114" s="2"/>
      <c r="D114" s="2"/>
      <c r="E114" s="2"/>
    </row>
  </sheetData>
  <mergeCells count="14">
    <mergeCell ref="C105:C106"/>
    <mergeCell ref="C107:C108"/>
    <mergeCell ref="B80:G80"/>
    <mergeCell ref="B93:G93"/>
    <mergeCell ref="B6:G9"/>
    <mergeCell ref="B4:G4"/>
    <mergeCell ref="B23:C24"/>
    <mergeCell ref="B37:G37"/>
    <mergeCell ref="B73:C73"/>
    <mergeCell ref="B29:G29"/>
    <mergeCell ref="B31:G32"/>
    <mergeCell ref="B39:G40"/>
    <mergeCell ref="B51:C51"/>
    <mergeCell ref="B62:C62"/>
  </mergeCells>
  <conditionalFormatting sqref="D23:G24">
    <cfRule type="cellIs" dxfId="10" priority="5" operator="equal">
      <formula>0</formula>
    </cfRule>
    <cfRule type="cellIs" dxfId="9" priority="6" operator="notEqual">
      <formula>0</formula>
    </cfRule>
  </conditionalFormatting>
  <conditionalFormatting sqref="D51:G51">
    <cfRule type="cellIs" dxfId="7" priority="11" operator="equal">
      <formula>0</formula>
    </cfRule>
    <cfRule type="cellIs" dxfId="6" priority="12" operator="notEqual">
      <formula>0</formula>
    </cfRule>
  </conditionalFormatting>
  <conditionalFormatting sqref="D62:G62">
    <cfRule type="cellIs" dxfId="4" priority="8" operator="equal">
      <formula>0</formula>
    </cfRule>
    <cfRule type="cellIs" dxfId="3" priority="9" operator="notEqual">
      <formula>0</formula>
    </cfRule>
  </conditionalFormatting>
  <conditionalFormatting sqref="D73:G73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6B71168-D4B1-489A-944E-0AFD07008D85}">
            <xm:f>NOT(ISERROR(SEARCH("n/a",D23)))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D23:G24</xm:sqref>
        </x14:conditionalFormatting>
        <x14:conditionalFormatting xmlns:xm="http://schemas.microsoft.com/office/excel/2006/main">
          <x14:cfRule type="containsText" priority="10" operator="containsText" id="{2775DFC7-848A-40A9-9648-9C9B73BB5535}">
            <xm:f>NOT(ISERROR(SEARCH("n/a",D51)))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D51:G51</xm:sqref>
        </x14:conditionalFormatting>
        <x14:conditionalFormatting xmlns:xm="http://schemas.microsoft.com/office/excel/2006/main">
          <x14:cfRule type="containsText" priority="7" operator="containsText" id="{68EEFCA7-1F1C-48EE-9BF7-412D27C5B179}">
            <xm:f>NOT(ISERROR(SEARCH("n/a",D62)))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D62:G62</xm:sqref>
        </x14:conditionalFormatting>
        <x14:conditionalFormatting xmlns:xm="http://schemas.microsoft.com/office/excel/2006/main">
          <x14:cfRule type="containsText" priority="1" operator="containsText" id="{83E3A281-D375-4567-8347-4429172574C5}">
            <xm:f>NOT(ISERROR(SEARCH("n/a",D73)))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D73:G73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514</v>
      </c>
    </row>
    <row r="4" spans="2:46" x14ac:dyDescent="0.3">
      <c r="B4" s="52" t="s">
        <v>35</v>
      </c>
      <c r="C4" s="52" t="s">
        <v>14</v>
      </c>
      <c r="D4" s="52" t="s">
        <v>39</v>
      </c>
      <c r="E4" s="52" t="s">
        <v>40</v>
      </c>
      <c r="F4" s="52" t="s">
        <v>452</v>
      </c>
      <c r="G4" s="52" t="s">
        <v>103</v>
      </c>
      <c r="H4" s="52" t="s">
        <v>88</v>
      </c>
      <c r="I4" s="52" t="s">
        <v>453</v>
      </c>
      <c r="J4" s="52" t="s">
        <v>454</v>
      </c>
      <c r="K4" s="52" t="s">
        <v>455</v>
      </c>
      <c r="L4" s="52" t="s">
        <v>456</v>
      </c>
      <c r="M4" s="52" t="s">
        <v>457</v>
      </c>
      <c r="N4" s="52" t="s">
        <v>458</v>
      </c>
      <c r="O4" s="52" t="s">
        <v>459</v>
      </c>
      <c r="P4" s="52" t="s">
        <v>460</v>
      </c>
      <c r="Q4" s="52" t="s">
        <v>461</v>
      </c>
      <c r="R4" s="52" t="s">
        <v>462</v>
      </c>
      <c r="S4" s="52" t="s">
        <v>463</v>
      </c>
      <c r="T4" s="52" t="s">
        <v>464</v>
      </c>
      <c r="U4" s="52" t="s">
        <v>465</v>
      </c>
      <c r="V4" s="52" t="s">
        <v>466</v>
      </c>
      <c r="W4" s="52" t="s">
        <v>467</v>
      </c>
      <c r="X4" s="52" t="s">
        <v>468</v>
      </c>
      <c r="Y4" s="52" t="s">
        <v>469</v>
      </c>
      <c r="Z4" s="52" t="s">
        <v>470</v>
      </c>
      <c r="AA4" s="52" t="s">
        <v>471</v>
      </c>
      <c r="AB4" s="52" t="s">
        <v>472</v>
      </c>
      <c r="AC4" s="52" t="s">
        <v>473</v>
      </c>
      <c r="AD4" s="52" t="s">
        <v>474</v>
      </c>
      <c r="AE4" s="52" t="s">
        <v>475</v>
      </c>
      <c r="AF4" s="52" t="s">
        <v>476</v>
      </c>
      <c r="AG4" s="52" t="s">
        <v>477</v>
      </c>
      <c r="AH4" s="52" t="s">
        <v>478</v>
      </c>
      <c r="AI4" s="52" t="s">
        <v>479</v>
      </c>
      <c r="AJ4" s="52" t="s">
        <v>480</v>
      </c>
      <c r="AK4" s="52" t="s">
        <v>481</v>
      </c>
      <c r="AL4" s="52" t="s">
        <v>482</v>
      </c>
      <c r="AM4" s="52" t="s">
        <v>483</v>
      </c>
      <c r="AN4" s="52" t="s">
        <v>484</v>
      </c>
      <c r="AO4" s="52" t="s">
        <v>485</v>
      </c>
      <c r="AP4" s="52" t="s">
        <v>486</v>
      </c>
      <c r="AQ4" s="52" t="s">
        <v>487</v>
      </c>
      <c r="AR4" s="52" t="s">
        <v>488</v>
      </c>
      <c r="AS4" s="52" t="s">
        <v>125</v>
      </c>
    </row>
    <row r="5" spans="2:46" x14ac:dyDescent="0.3">
      <c r="B5" s="12" t="s">
        <v>489</v>
      </c>
      <c r="C5" s="12" t="s">
        <v>92</v>
      </c>
      <c r="D5" s="12" t="s">
        <v>93</v>
      </c>
      <c r="E5" s="12" t="s">
        <v>490</v>
      </c>
      <c r="F5" s="12" t="s">
        <v>124</v>
      </c>
      <c r="G5" s="12" t="s">
        <v>491</v>
      </c>
      <c r="H5" s="12" t="s">
        <v>128</v>
      </c>
      <c r="I5" s="53">
        <v>0</v>
      </c>
      <c r="J5" s="53">
        <v>0</v>
      </c>
      <c r="K5" s="53">
        <v>0</v>
      </c>
      <c r="L5" s="53">
        <v>0</v>
      </c>
      <c r="M5" s="53">
        <v>0</v>
      </c>
      <c r="N5" s="53">
        <v>0</v>
      </c>
      <c r="O5" s="53">
        <v>0</v>
      </c>
      <c r="P5" s="53">
        <v>0</v>
      </c>
      <c r="Q5" s="53">
        <v>0</v>
      </c>
      <c r="R5" s="53">
        <v>0</v>
      </c>
      <c r="S5" s="53">
        <v>0</v>
      </c>
      <c r="T5" s="53">
        <v>0</v>
      </c>
      <c r="U5" s="53">
        <v>0</v>
      </c>
      <c r="V5" s="53">
        <v>0</v>
      </c>
      <c r="W5" s="53">
        <v>0</v>
      </c>
      <c r="X5" s="53">
        <v>0</v>
      </c>
      <c r="Y5" s="53">
        <v>0</v>
      </c>
      <c r="Z5" s="53">
        <v>0</v>
      </c>
      <c r="AA5" s="53">
        <v>0</v>
      </c>
      <c r="AB5" s="53">
        <v>0</v>
      </c>
      <c r="AC5" s="53">
        <v>0</v>
      </c>
      <c r="AD5" s="53">
        <v>0</v>
      </c>
      <c r="AE5" s="53">
        <v>0</v>
      </c>
      <c r="AF5" s="53">
        <v>-0.28000000000000003</v>
      </c>
      <c r="AG5" s="53">
        <v>0</v>
      </c>
      <c r="AH5" s="53">
        <v>0</v>
      </c>
      <c r="AI5" s="53">
        <v>0</v>
      </c>
      <c r="AJ5" s="53">
        <v>0</v>
      </c>
      <c r="AK5" s="53" t="s">
        <v>44</v>
      </c>
      <c r="AL5" s="53" t="s">
        <v>44</v>
      </c>
      <c r="AM5" s="53" t="s">
        <v>44</v>
      </c>
      <c r="AN5" s="53" t="s">
        <v>44</v>
      </c>
      <c r="AO5" s="53" t="s">
        <v>44</v>
      </c>
      <c r="AP5" s="53" t="s">
        <v>44</v>
      </c>
      <c r="AQ5" s="53" t="s">
        <v>44</v>
      </c>
      <c r="AR5" s="53" t="s">
        <v>44</v>
      </c>
      <c r="AS5" s="12" t="s">
        <v>44</v>
      </c>
      <c r="AT5" s="49" t="s">
        <v>446</v>
      </c>
    </row>
    <row r="6" spans="2:46" x14ac:dyDescent="0.3">
      <c r="B6" s="12" t="s">
        <v>489</v>
      </c>
      <c r="C6" s="12" t="s">
        <v>92</v>
      </c>
      <c r="D6" s="12" t="s">
        <v>93</v>
      </c>
      <c r="E6" s="12" t="s">
        <v>490</v>
      </c>
      <c r="F6" s="12" t="s">
        <v>124</v>
      </c>
      <c r="G6" s="12" t="s">
        <v>195</v>
      </c>
      <c r="H6" s="12" t="s">
        <v>128</v>
      </c>
      <c r="I6" s="53" t="s">
        <v>44</v>
      </c>
      <c r="J6" s="53" t="s">
        <v>44</v>
      </c>
      <c r="K6" s="53" t="s">
        <v>44</v>
      </c>
      <c r="L6" s="53" t="s">
        <v>44</v>
      </c>
      <c r="M6" s="53" t="s">
        <v>44</v>
      </c>
      <c r="N6" s="53" t="s">
        <v>44</v>
      </c>
      <c r="O6" s="53" t="s">
        <v>44</v>
      </c>
      <c r="P6" s="53" t="s">
        <v>44</v>
      </c>
      <c r="Q6" s="53" t="s">
        <v>44</v>
      </c>
      <c r="R6" s="53" t="s">
        <v>44</v>
      </c>
      <c r="S6" s="53" t="s">
        <v>44</v>
      </c>
      <c r="T6" s="53" t="s">
        <v>44</v>
      </c>
      <c r="U6" s="53" t="s">
        <v>44</v>
      </c>
      <c r="V6" s="53" t="s">
        <v>44</v>
      </c>
      <c r="W6" s="53" t="s">
        <v>44</v>
      </c>
      <c r="X6" s="53" t="s">
        <v>44</v>
      </c>
      <c r="Y6" s="53" t="s">
        <v>44</v>
      </c>
      <c r="Z6" s="53" t="s">
        <v>44</v>
      </c>
      <c r="AA6" s="53" t="s">
        <v>44</v>
      </c>
      <c r="AB6" s="53" t="s">
        <v>44</v>
      </c>
      <c r="AC6" s="53" t="s">
        <v>44</v>
      </c>
      <c r="AD6" s="53" t="s">
        <v>44</v>
      </c>
      <c r="AE6" s="53" t="s">
        <v>44</v>
      </c>
      <c r="AF6" s="53" t="s">
        <v>44</v>
      </c>
      <c r="AG6" s="53" t="s">
        <v>44</v>
      </c>
      <c r="AH6" s="53" t="s">
        <v>44</v>
      </c>
      <c r="AI6" s="53" t="s">
        <v>44</v>
      </c>
      <c r="AJ6" s="53" t="s">
        <v>44</v>
      </c>
      <c r="AK6" s="53">
        <v>4.5</v>
      </c>
      <c r="AL6" s="53">
        <v>0</v>
      </c>
      <c r="AM6" s="53">
        <v>0</v>
      </c>
      <c r="AN6" s="53">
        <v>0</v>
      </c>
      <c r="AO6" s="53">
        <v>0</v>
      </c>
      <c r="AP6" s="53">
        <v>0</v>
      </c>
      <c r="AQ6" s="53">
        <v>0</v>
      </c>
      <c r="AR6" s="53">
        <v>0</v>
      </c>
      <c r="AS6" s="12" t="s">
        <v>44</v>
      </c>
      <c r="AT6" s="50" t="s">
        <v>446</v>
      </c>
    </row>
    <row r="7" spans="2:46" x14ac:dyDescent="0.3">
      <c r="B7" s="12" t="s">
        <v>489</v>
      </c>
      <c r="C7" s="12" t="s">
        <v>92</v>
      </c>
      <c r="D7" s="12" t="s">
        <v>93</v>
      </c>
      <c r="E7" s="12" t="s">
        <v>490</v>
      </c>
      <c r="F7" s="12" t="s">
        <v>124</v>
      </c>
      <c r="G7" s="12" t="s">
        <v>492</v>
      </c>
      <c r="H7" s="12" t="s">
        <v>128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2002.79</v>
      </c>
      <c r="R7" s="53">
        <v>0</v>
      </c>
      <c r="S7" s="53">
        <v>2002.79</v>
      </c>
      <c r="T7" s="53">
        <v>0</v>
      </c>
      <c r="U7" s="53">
        <v>0</v>
      </c>
      <c r="V7" s="53">
        <v>0</v>
      </c>
      <c r="W7" s="53">
        <v>0</v>
      </c>
      <c r="X7" s="53">
        <v>0</v>
      </c>
      <c r="Y7" s="53">
        <v>0</v>
      </c>
      <c r="Z7" s="53">
        <v>0</v>
      </c>
      <c r="AA7" s="53">
        <v>0</v>
      </c>
      <c r="AB7" s="53">
        <v>0</v>
      </c>
      <c r="AC7" s="53">
        <v>0</v>
      </c>
      <c r="AD7" s="53">
        <v>0</v>
      </c>
      <c r="AE7" s="53">
        <v>0</v>
      </c>
      <c r="AF7" s="53">
        <v>0.19</v>
      </c>
      <c r="AG7" s="53">
        <v>0</v>
      </c>
      <c r="AH7" s="53">
        <v>0</v>
      </c>
      <c r="AI7" s="53">
        <v>0</v>
      </c>
      <c r="AJ7" s="53">
        <v>0</v>
      </c>
      <c r="AK7" s="53" t="s">
        <v>44</v>
      </c>
      <c r="AL7" s="53" t="s">
        <v>44</v>
      </c>
      <c r="AM7" s="53" t="s">
        <v>44</v>
      </c>
      <c r="AN7" s="53" t="s">
        <v>44</v>
      </c>
      <c r="AO7" s="53" t="s">
        <v>44</v>
      </c>
      <c r="AP7" s="53" t="s">
        <v>44</v>
      </c>
      <c r="AQ7" s="53" t="s">
        <v>44</v>
      </c>
      <c r="AR7" s="53" t="s">
        <v>44</v>
      </c>
      <c r="AS7" s="12" t="s">
        <v>44</v>
      </c>
      <c r="AT7" s="49" t="s">
        <v>446</v>
      </c>
    </row>
    <row r="8" spans="2:46" x14ac:dyDescent="0.3">
      <c r="B8" s="12" t="s">
        <v>489</v>
      </c>
      <c r="C8" s="12" t="s">
        <v>92</v>
      </c>
      <c r="D8" s="12" t="s">
        <v>93</v>
      </c>
      <c r="E8" s="12" t="s">
        <v>493</v>
      </c>
      <c r="F8" s="12" t="s">
        <v>124</v>
      </c>
      <c r="G8" s="12" t="s">
        <v>497</v>
      </c>
      <c r="H8" s="12" t="s">
        <v>495</v>
      </c>
      <c r="I8" s="53">
        <v>24907.47</v>
      </c>
      <c r="J8" s="53">
        <v>24907.47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>
        <v>48767.519999999997</v>
      </c>
      <c r="U8" s="53">
        <v>0</v>
      </c>
      <c r="V8" s="53">
        <v>48767.519999999997</v>
      </c>
      <c r="W8" s="53">
        <v>24907.47</v>
      </c>
      <c r="X8" s="53">
        <v>0</v>
      </c>
      <c r="Y8" s="53">
        <v>24907.47</v>
      </c>
      <c r="Z8" s="53">
        <v>16.14</v>
      </c>
      <c r="AA8" s="53">
        <v>16.14</v>
      </c>
      <c r="AB8" s="53">
        <v>0</v>
      </c>
      <c r="AC8" s="53">
        <v>0</v>
      </c>
      <c r="AD8" s="53">
        <v>64.489999999999995</v>
      </c>
      <c r="AE8" s="53">
        <v>64.489999999999995</v>
      </c>
      <c r="AF8" s="53">
        <v>6441.86</v>
      </c>
      <c r="AG8" s="53">
        <v>0</v>
      </c>
      <c r="AH8" s="53">
        <v>0</v>
      </c>
      <c r="AI8" s="53">
        <v>0</v>
      </c>
      <c r="AJ8" s="53">
        <v>0</v>
      </c>
      <c r="AK8" s="53" t="s">
        <v>44</v>
      </c>
      <c r="AL8" s="53" t="s">
        <v>44</v>
      </c>
      <c r="AM8" s="53" t="s">
        <v>44</v>
      </c>
      <c r="AN8" s="53" t="s">
        <v>44</v>
      </c>
      <c r="AO8" s="53" t="s">
        <v>44</v>
      </c>
      <c r="AP8" s="53" t="s">
        <v>44</v>
      </c>
      <c r="AQ8" s="53" t="s">
        <v>44</v>
      </c>
      <c r="AR8" s="53" t="s">
        <v>44</v>
      </c>
      <c r="AS8" s="12" t="s">
        <v>496</v>
      </c>
      <c r="AT8" s="49" t="s">
        <v>446</v>
      </c>
    </row>
    <row r="9" spans="2:46" x14ac:dyDescent="0.3">
      <c r="B9" s="12" t="s">
        <v>489</v>
      </c>
      <c r="C9" s="12" t="s">
        <v>92</v>
      </c>
      <c r="D9" s="12" t="s">
        <v>93</v>
      </c>
      <c r="E9" s="12" t="s">
        <v>493</v>
      </c>
      <c r="F9" s="12" t="s">
        <v>124</v>
      </c>
      <c r="G9" s="12" t="s">
        <v>494</v>
      </c>
      <c r="H9" s="12" t="s">
        <v>495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>
        <v>0</v>
      </c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0</v>
      </c>
      <c r="Z9" s="53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-5797.75</v>
      </c>
      <c r="AG9" s="53">
        <v>0</v>
      </c>
      <c r="AH9" s="53">
        <v>0</v>
      </c>
      <c r="AI9" s="53">
        <v>0</v>
      </c>
      <c r="AJ9" s="53">
        <v>0</v>
      </c>
      <c r="AK9" s="53" t="s">
        <v>44</v>
      </c>
      <c r="AL9" s="53" t="s">
        <v>44</v>
      </c>
      <c r="AM9" s="53" t="s">
        <v>44</v>
      </c>
      <c r="AN9" s="53" t="s">
        <v>44</v>
      </c>
      <c r="AO9" s="53" t="s">
        <v>44</v>
      </c>
      <c r="AP9" s="53" t="s">
        <v>44</v>
      </c>
      <c r="AQ9" s="53" t="s">
        <v>44</v>
      </c>
      <c r="AR9" s="53" t="s">
        <v>44</v>
      </c>
      <c r="AS9" s="12" t="s">
        <v>496</v>
      </c>
      <c r="AT9" s="49" t="s">
        <v>446</v>
      </c>
    </row>
    <row r="10" spans="2:46" x14ac:dyDescent="0.3">
      <c r="B10" s="12" t="s">
        <v>489</v>
      </c>
      <c r="C10" s="12" t="s">
        <v>92</v>
      </c>
      <c r="D10" s="12" t="s">
        <v>123</v>
      </c>
      <c r="E10" s="12" t="s">
        <v>498</v>
      </c>
      <c r="F10" s="12" t="s">
        <v>124</v>
      </c>
      <c r="G10" s="12" t="s">
        <v>499</v>
      </c>
      <c r="H10" s="12" t="s">
        <v>128</v>
      </c>
      <c r="I10" s="53">
        <v>2187.42</v>
      </c>
      <c r="J10" s="53">
        <v>2187.42</v>
      </c>
      <c r="K10" s="53">
        <v>2157.1</v>
      </c>
      <c r="L10" s="53">
        <v>2157.1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53">
        <v>2187.42</v>
      </c>
      <c r="X10" s="53">
        <v>0</v>
      </c>
      <c r="Y10" s="53">
        <v>2187.42</v>
      </c>
      <c r="Z10" s="53">
        <v>14.5</v>
      </c>
      <c r="AA10" s="53">
        <v>14.5</v>
      </c>
      <c r="AB10" s="53">
        <v>0</v>
      </c>
      <c r="AC10" s="53">
        <v>0</v>
      </c>
      <c r="AD10" s="53">
        <v>-0.63</v>
      </c>
      <c r="AE10" s="53">
        <v>-0.63</v>
      </c>
      <c r="AF10" s="53">
        <v>-0.1</v>
      </c>
      <c r="AG10" s="53">
        <v>0</v>
      </c>
      <c r="AH10" s="53">
        <v>0</v>
      </c>
      <c r="AI10" s="53">
        <v>0</v>
      </c>
      <c r="AJ10" s="53">
        <v>0</v>
      </c>
      <c r="AK10" s="53">
        <v>2.2999999999999998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0</v>
      </c>
      <c r="AR10" s="53">
        <v>0</v>
      </c>
      <c r="AS10" s="12" t="s">
        <v>500</v>
      </c>
      <c r="AT10" s="49" t="s">
        <v>446</v>
      </c>
    </row>
    <row r="11" spans="2:46" x14ac:dyDescent="0.3">
      <c r="B11" s="12" t="s">
        <v>489</v>
      </c>
      <c r="C11" s="12" t="s">
        <v>92</v>
      </c>
      <c r="D11" s="12" t="s">
        <v>292</v>
      </c>
      <c r="E11" s="12" t="s">
        <v>501</v>
      </c>
      <c r="F11" s="12" t="s">
        <v>124</v>
      </c>
      <c r="G11" s="12" t="s">
        <v>492</v>
      </c>
      <c r="H11" s="12" t="s">
        <v>495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1000</v>
      </c>
      <c r="R11" s="53">
        <v>0</v>
      </c>
      <c r="S11" s="53">
        <v>1000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 t="s">
        <v>44</v>
      </c>
      <c r="AL11" s="53" t="s">
        <v>44</v>
      </c>
      <c r="AM11" s="53" t="s">
        <v>44</v>
      </c>
      <c r="AN11" s="53" t="s">
        <v>44</v>
      </c>
      <c r="AO11" s="53" t="s">
        <v>44</v>
      </c>
      <c r="AP11" s="53" t="s">
        <v>44</v>
      </c>
      <c r="AQ11" s="53" t="s">
        <v>44</v>
      </c>
      <c r="AR11" s="53" t="s">
        <v>44</v>
      </c>
      <c r="AS11" s="12" t="s">
        <v>44</v>
      </c>
      <c r="AT11" s="49" t="s">
        <v>446</v>
      </c>
    </row>
    <row r="12" spans="2:46" x14ac:dyDescent="0.3">
      <c r="B12" s="12" t="s">
        <v>489</v>
      </c>
      <c r="C12" s="12" t="s">
        <v>92</v>
      </c>
      <c r="D12" s="12" t="s">
        <v>130</v>
      </c>
      <c r="E12" s="12" t="s">
        <v>502</v>
      </c>
      <c r="F12" s="12" t="s">
        <v>124</v>
      </c>
      <c r="G12" s="12" t="s">
        <v>503</v>
      </c>
      <c r="H12" s="12" t="s">
        <v>128</v>
      </c>
      <c r="I12" s="53">
        <v>184.98</v>
      </c>
      <c r="J12" s="53">
        <v>184.98</v>
      </c>
      <c r="K12" s="53">
        <v>175</v>
      </c>
      <c r="L12" s="53">
        <v>175</v>
      </c>
      <c r="M12" s="53">
        <v>0</v>
      </c>
      <c r="N12" s="53">
        <v>0</v>
      </c>
      <c r="O12" s="53">
        <v>0</v>
      </c>
      <c r="P12" s="53">
        <v>0</v>
      </c>
      <c r="Q12" s="53">
        <v>825</v>
      </c>
      <c r="R12" s="53">
        <v>0</v>
      </c>
      <c r="S12" s="53">
        <v>825</v>
      </c>
      <c r="T12" s="53">
        <v>0</v>
      </c>
      <c r="U12" s="53">
        <v>0</v>
      </c>
      <c r="V12" s="53">
        <v>0</v>
      </c>
      <c r="W12" s="53">
        <v>184.98</v>
      </c>
      <c r="X12" s="53">
        <v>0</v>
      </c>
      <c r="Y12" s="53">
        <v>184.98</v>
      </c>
      <c r="Z12" s="53">
        <v>0</v>
      </c>
      <c r="AA12" s="53">
        <v>0</v>
      </c>
      <c r="AB12" s="53">
        <v>0</v>
      </c>
      <c r="AC12" s="53">
        <v>0</v>
      </c>
      <c r="AD12" s="53">
        <v>0.49</v>
      </c>
      <c r="AE12" s="53">
        <v>0.49</v>
      </c>
      <c r="AF12" s="53">
        <v>-0.06</v>
      </c>
      <c r="AG12" s="53">
        <v>0</v>
      </c>
      <c r="AH12" s="53">
        <v>0</v>
      </c>
      <c r="AI12" s="53">
        <v>0</v>
      </c>
      <c r="AJ12" s="53">
        <v>0</v>
      </c>
      <c r="AK12" s="53" t="s">
        <v>44</v>
      </c>
      <c r="AL12" s="53" t="s">
        <v>44</v>
      </c>
      <c r="AM12" s="53" t="s">
        <v>44</v>
      </c>
      <c r="AN12" s="53" t="s">
        <v>44</v>
      </c>
      <c r="AO12" s="53" t="s">
        <v>44</v>
      </c>
      <c r="AP12" s="53" t="s">
        <v>44</v>
      </c>
      <c r="AQ12" s="53" t="s">
        <v>44</v>
      </c>
      <c r="AR12" s="53" t="s">
        <v>44</v>
      </c>
      <c r="AS12" s="12" t="s">
        <v>504</v>
      </c>
      <c r="AT12" s="49" t="s">
        <v>446</v>
      </c>
    </row>
    <row r="13" spans="2:46" x14ac:dyDescent="0.3">
      <c r="B13" s="12" t="s">
        <v>489</v>
      </c>
      <c r="C13" s="12" t="s">
        <v>92</v>
      </c>
      <c r="D13" s="12" t="s">
        <v>130</v>
      </c>
      <c r="E13" s="12" t="s">
        <v>505</v>
      </c>
      <c r="F13" s="12" t="s">
        <v>124</v>
      </c>
      <c r="G13" s="12" t="s">
        <v>503</v>
      </c>
      <c r="H13" s="12" t="s">
        <v>495</v>
      </c>
      <c r="I13" s="53">
        <v>6521.56</v>
      </c>
      <c r="J13" s="53">
        <v>6521.56</v>
      </c>
      <c r="K13" s="53">
        <v>6543.6</v>
      </c>
      <c r="L13" s="53">
        <v>6543.6</v>
      </c>
      <c r="M13" s="53">
        <v>0</v>
      </c>
      <c r="N13" s="53">
        <v>0</v>
      </c>
      <c r="O13" s="53">
        <v>32.85</v>
      </c>
      <c r="P13" s="53">
        <v>32.85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6521.56</v>
      </c>
      <c r="X13" s="53">
        <v>0</v>
      </c>
      <c r="Y13" s="53">
        <v>6521.56</v>
      </c>
      <c r="Z13" s="53">
        <v>33.01</v>
      </c>
      <c r="AA13" s="53">
        <v>33.01</v>
      </c>
      <c r="AB13" s="53">
        <v>0</v>
      </c>
      <c r="AC13" s="53">
        <v>0</v>
      </c>
      <c r="AD13" s="53">
        <v>16.96</v>
      </c>
      <c r="AE13" s="53">
        <v>16.96</v>
      </c>
      <c r="AF13" s="53">
        <v>2.11</v>
      </c>
      <c r="AG13" s="53">
        <v>0</v>
      </c>
      <c r="AH13" s="53">
        <v>0</v>
      </c>
      <c r="AI13" s="53">
        <v>0</v>
      </c>
      <c r="AJ13" s="53">
        <v>0</v>
      </c>
      <c r="AK13" s="53" t="s">
        <v>44</v>
      </c>
      <c r="AL13" s="53" t="s">
        <v>44</v>
      </c>
      <c r="AM13" s="53" t="s">
        <v>44</v>
      </c>
      <c r="AN13" s="53" t="s">
        <v>44</v>
      </c>
      <c r="AO13" s="53" t="s">
        <v>44</v>
      </c>
      <c r="AP13" s="53" t="s">
        <v>44</v>
      </c>
      <c r="AQ13" s="53" t="s">
        <v>44</v>
      </c>
      <c r="AR13" s="53" t="s">
        <v>44</v>
      </c>
      <c r="AS13" s="12" t="s">
        <v>506</v>
      </c>
      <c r="AT13" s="49" t="s">
        <v>446</v>
      </c>
    </row>
    <row r="15" spans="2:46" x14ac:dyDescent="0.3">
      <c r="B15" s="1" t="s">
        <v>515</v>
      </c>
    </row>
    <row r="17" spans="2:9" x14ac:dyDescent="0.3">
      <c r="B17" s="52" t="s">
        <v>14</v>
      </c>
      <c r="C17" s="52" t="s">
        <v>39</v>
      </c>
      <c r="D17" s="52" t="s">
        <v>40</v>
      </c>
      <c r="E17" s="52" t="s">
        <v>452</v>
      </c>
      <c r="F17" s="52" t="s">
        <v>88</v>
      </c>
      <c r="G17" s="52" t="s">
        <v>35</v>
      </c>
      <c r="H17" s="52" t="s">
        <v>516</v>
      </c>
    </row>
    <row r="18" spans="2:9" x14ac:dyDescent="0.3">
      <c r="B18" s="12" t="s">
        <v>92</v>
      </c>
      <c r="C18" s="12" t="s">
        <v>93</v>
      </c>
      <c r="D18" s="12" t="s">
        <v>517</v>
      </c>
      <c r="E18" s="12" t="s">
        <v>518</v>
      </c>
      <c r="F18" s="12" t="s">
        <v>238</v>
      </c>
      <c r="G18" s="12" t="s">
        <v>519</v>
      </c>
      <c r="H18" s="12" t="s">
        <v>519</v>
      </c>
      <c r="I18" s="50" t="s">
        <v>446</v>
      </c>
    </row>
    <row r="19" spans="2:9" x14ac:dyDescent="0.3">
      <c r="B19" s="12" t="s">
        <v>92</v>
      </c>
      <c r="C19" s="12" t="s">
        <v>93</v>
      </c>
      <c r="D19" s="12" t="s">
        <v>520</v>
      </c>
      <c r="E19" s="12" t="s">
        <v>521</v>
      </c>
      <c r="F19" s="12" t="s">
        <v>128</v>
      </c>
      <c r="G19" s="12" t="s">
        <v>519</v>
      </c>
      <c r="H19" s="12" t="s">
        <v>519</v>
      </c>
      <c r="I19" s="50" t="s">
        <v>446</v>
      </c>
    </row>
    <row r="20" spans="2:9" x14ac:dyDescent="0.3">
      <c r="B20" s="12" t="s">
        <v>92</v>
      </c>
      <c r="C20" s="12" t="s">
        <v>93</v>
      </c>
      <c r="D20" s="12" t="s">
        <v>522</v>
      </c>
      <c r="E20" s="12" t="s">
        <v>124</v>
      </c>
      <c r="F20" s="12" t="s">
        <v>128</v>
      </c>
      <c r="G20" s="12" t="s">
        <v>519</v>
      </c>
      <c r="H20" s="12" t="s">
        <v>519</v>
      </c>
      <c r="I20" s="50" t="s">
        <v>446</v>
      </c>
    </row>
    <row r="21" spans="2:9" x14ac:dyDescent="0.3">
      <c r="B21" s="12" t="s">
        <v>92</v>
      </c>
      <c r="C21" s="12" t="s">
        <v>93</v>
      </c>
      <c r="D21" s="12" t="s">
        <v>523</v>
      </c>
      <c r="E21" s="12" t="s">
        <v>124</v>
      </c>
      <c r="F21" s="12" t="s">
        <v>495</v>
      </c>
      <c r="G21" s="12" t="s">
        <v>90</v>
      </c>
      <c r="H21" s="12" t="s">
        <v>90</v>
      </c>
      <c r="I21" s="50" t="s">
        <v>446</v>
      </c>
    </row>
    <row r="22" spans="2:9" x14ac:dyDescent="0.3">
      <c r="B22" s="12" t="s">
        <v>92</v>
      </c>
      <c r="C22" s="12" t="s">
        <v>93</v>
      </c>
      <c r="D22" s="12" t="s">
        <v>524</v>
      </c>
      <c r="E22" s="12" t="s">
        <v>525</v>
      </c>
      <c r="F22" s="12" t="s">
        <v>526</v>
      </c>
      <c r="G22" s="12" t="s">
        <v>90</v>
      </c>
      <c r="H22" s="12" t="s">
        <v>90</v>
      </c>
      <c r="I22" s="50" t="s">
        <v>446</v>
      </c>
    </row>
    <row r="23" spans="2:9" x14ac:dyDescent="0.3">
      <c r="B23" s="12" t="s">
        <v>92</v>
      </c>
      <c r="C23" s="12" t="s">
        <v>123</v>
      </c>
      <c r="D23" s="12" t="s">
        <v>527</v>
      </c>
      <c r="E23" s="12" t="s">
        <v>124</v>
      </c>
      <c r="F23" s="12" t="s">
        <v>238</v>
      </c>
      <c r="G23" s="12" t="s">
        <v>489</v>
      </c>
      <c r="H23" s="12" t="s">
        <v>489</v>
      </c>
      <c r="I23" s="50" t="s">
        <v>446</v>
      </c>
    </row>
    <row r="24" spans="2:9" x14ac:dyDescent="0.3">
      <c r="B24" s="12" t="s">
        <v>92</v>
      </c>
      <c r="C24" s="12" t="s">
        <v>123</v>
      </c>
      <c r="D24" s="12" t="s">
        <v>527</v>
      </c>
      <c r="E24" s="12" t="s">
        <v>124</v>
      </c>
      <c r="F24" s="12" t="s">
        <v>526</v>
      </c>
      <c r="G24" s="12" t="s">
        <v>489</v>
      </c>
      <c r="H24" s="12" t="s">
        <v>489</v>
      </c>
      <c r="I24" s="50" t="s">
        <v>446</v>
      </c>
    </row>
    <row r="26" spans="2:9" x14ac:dyDescent="0.3">
      <c r="B26" s="54" t="s">
        <v>101</v>
      </c>
      <c r="C26" s="31" t="s">
        <v>528</v>
      </c>
      <c r="D26" s="3" t="s">
        <v>529</v>
      </c>
    </row>
  </sheetData>
  <autoFilter ref="B4:AS13" xr:uid="{069967F1-E0E3-408D-89A7-0F703F8B8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596</v>
      </c>
    </row>
    <row r="4" spans="2:39" x14ac:dyDescent="0.3">
      <c r="B4" s="9" t="s">
        <v>34</v>
      </c>
      <c r="C4" s="9" t="s">
        <v>35</v>
      </c>
      <c r="D4" s="9" t="s">
        <v>36</v>
      </c>
      <c r="E4" s="9" t="s">
        <v>37</v>
      </c>
      <c r="F4" s="9" t="s">
        <v>232</v>
      </c>
      <c r="G4" s="9" t="s">
        <v>38</v>
      </c>
      <c r="H4" s="9" t="s">
        <v>595</v>
      </c>
      <c r="I4" s="9" t="s">
        <v>14</v>
      </c>
      <c r="J4" s="9" t="s">
        <v>39</v>
      </c>
      <c r="K4" s="9" t="s">
        <v>40</v>
      </c>
      <c r="L4" s="9" t="s">
        <v>41</v>
      </c>
      <c r="M4" s="9" t="s">
        <v>88</v>
      </c>
      <c r="N4" s="9" t="s">
        <v>89</v>
      </c>
      <c r="O4" s="9" t="s">
        <v>126</v>
      </c>
      <c r="P4" s="9" t="s">
        <v>594</v>
      </c>
      <c r="Q4" s="9" t="s">
        <v>593</v>
      </c>
      <c r="R4" s="9" t="s">
        <v>592</v>
      </c>
      <c r="S4" s="9" t="s">
        <v>591</v>
      </c>
      <c r="T4" s="9" t="s">
        <v>590</v>
      </c>
      <c r="U4" s="9" t="s">
        <v>589</v>
      </c>
      <c r="V4" s="9" t="s">
        <v>588</v>
      </c>
      <c r="W4" s="9" t="s">
        <v>587</v>
      </c>
      <c r="X4" s="9" t="s">
        <v>586</v>
      </c>
      <c r="Y4" s="9" t="s">
        <v>585</v>
      </c>
      <c r="Z4" s="9" t="s">
        <v>584</v>
      </c>
      <c r="AA4" s="9" t="s">
        <v>583</v>
      </c>
      <c r="AB4" s="9" t="s">
        <v>582</v>
      </c>
      <c r="AC4" s="9" t="s">
        <v>581</v>
      </c>
      <c r="AD4" s="9" t="s">
        <v>580</v>
      </c>
      <c r="AE4" s="9" t="s">
        <v>579</v>
      </c>
      <c r="AF4" s="9" t="s">
        <v>578</v>
      </c>
      <c r="AG4" s="9" t="s">
        <v>260</v>
      </c>
      <c r="AH4" s="57" t="s">
        <v>577</v>
      </c>
      <c r="AI4" s="57" t="s">
        <v>576</v>
      </c>
      <c r="AJ4" s="57" t="s">
        <v>575</v>
      </c>
      <c r="AK4" s="57" t="s">
        <v>574</v>
      </c>
      <c r="AL4" s="57" t="s">
        <v>573</v>
      </c>
      <c r="AM4" s="57" t="s">
        <v>572</v>
      </c>
    </row>
    <row r="5" spans="2:39" x14ac:dyDescent="0.3">
      <c r="B5" s="12" t="s">
        <v>15</v>
      </c>
      <c r="C5" s="12" t="s">
        <v>519</v>
      </c>
      <c r="D5" s="12" t="s">
        <v>42</v>
      </c>
      <c r="E5" s="12" t="s">
        <v>43</v>
      </c>
      <c r="F5" s="12" t="s">
        <v>571</v>
      </c>
      <c r="G5" s="12" t="s">
        <v>571</v>
      </c>
      <c r="H5" s="12" t="s">
        <v>571</v>
      </c>
      <c r="I5" s="12" t="s">
        <v>92</v>
      </c>
      <c r="J5" s="12" t="s">
        <v>551</v>
      </c>
      <c r="K5" s="12" t="s">
        <v>550</v>
      </c>
      <c r="L5" s="12" t="s">
        <v>570</v>
      </c>
      <c r="M5" s="12" t="s">
        <v>118</v>
      </c>
      <c r="N5" s="12" t="s">
        <v>119</v>
      </c>
      <c r="O5" s="12" t="s">
        <v>261</v>
      </c>
      <c r="P5" s="53">
        <v>1344.54</v>
      </c>
      <c r="Q5" s="53">
        <v>0</v>
      </c>
      <c r="R5" s="53">
        <v>0</v>
      </c>
      <c r="S5" s="53">
        <v>0</v>
      </c>
      <c r="T5" s="53">
        <v>1366.08</v>
      </c>
      <c r="U5" s="53">
        <v>0</v>
      </c>
      <c r="V5" s="53">
        <v>29.04</v>
      </c>
      <c r="W5" s="53">
        <v>0</v>
      </c>
      <c r="X5" s="53">
        <v>1373.58</v>
      </c>
      <c r="Y5" s="53">
        <v>0</v>
      </c>
      <c r="Z5" s="53">
        <v>0</v>
      </c>
      <c r="AA5" s="53">
        <v>0</v>
      </c>
      <c r="AB5" s="53">
        <v>1373.58</v>
      </c>
      <c r="AC5" s="53">
        <v>0</v>
      </c>
      <c r="AD5" s="53">
        <v>0</v>
      </c>
      <c r="AE5" s="53">
        <v>0</v>
      </c>
      <c r="AF5" s="12">
        <v>1</v>
      </c>
      <c r="AG5" s="12" t="s">
        <v>538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8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9" t="s">
        <v>15</v>
      </c>
      <c r="C6" s="59" t="s">
        <v>519</v>
      </c>
      <c r="D6" s="59" t="s">
        <v>42</v>
      </c>
      <c r="E6" s="59" t="s">
        <v>43</v>
      </c>
      <c r="F6" s="59" t="s">
        <v>569</v>
      </c>
      <c r="G6" s="59" t="s">
        <v>569</v>
      </c>
      <c r="H6" s="59" t="s">
        <v>569</v>
      </c>
      <c r="I6" s="59" t="s">
        <v>92</v>
      </c>
      <c r="J6" s="59" t="s">
        <v>551</v>
      </c>
      <c r="K6" s="59" t="s">
        <v>550</v>
      </c>
      <c r="L6" s="59" t="s">
        <v>568</v>
      </c>
      <c r="M6" s="59" t="s">
        <v>555</v>
      </c>
      <c r="N6" s="59" t="s">
        <v>119</v>
      </c>
      <c r="O6" s="59" t="s">
        <v>261</v>
      </c>
      <c r="P6" s="60">
        <v>59839.08</v>
      </c>
      <c r="Q6" s="60">
        <v>0</v>
      </c>
      <c r="R6" s="60">
        <v>980.13</v>
      </c>
      <c r="S6" s="60">
        <v>0</v>
      </c>
      <c r="T6" s="60">
        <v>59816.05</v>
      </c>
      <c r="U6" s="60">
        <v>0</v>
      </c>
      <c r="V6" s="60">
        <v>0</v>
      </c>
      <c r="W6" s="60">
        <v>0</v>
      </c>
      <c r="X6" s="60">
        <v>59712.639999999999</v>
      </c>
      <c r="Y6" s="60">
        <v>0</v>
      </c>
      <c r="Z6" s="60">
        <v>0</v>
      </c>
      <c r="AA6" s="60">
        <v>0</v>
      </c>
      <c r="AB6" s="60">
        <v>57482.04</v>
      </c>
      <c r="AC6" s="60">
        <v>0</v>
      </c>
      <c r="AD6" s="60">
        <v>0</v>
      </c>
      <c r="AE6" s="60">
        <v>0</v>
      </c>
      <c r="AF6" s="59">
        <v>0</v>
      </c>
      <c r="AG6" s="59" t="s">
        <v>261</v>
      </c>
      <c r="AH6" s="59">
        <f t="shared" si="0"/>
        <v>0</v>
      </c>
      <c r="AI6" s="59">
        <f t="shared" si="1"/>
        <v>0</v>
      </c>
      <c r="AJ6" s="59">
        <f t="shared" si="2"/>
        <v>0</v>
      </c>
      <c r="AK6" s="59">
        <f t="shared" si="3"/>
        <v>0</v>
      </c>
      <c r="AL6" s="61" t="str">
        <f t="shared" si="4"/>
        <v>N</v>
      </c>
      <c r="AM6" s="59" t="b">
        <f t="shared" si="5"/>
        <v>1</v>
      </c>
    </row>
    <row r="7" spans="2:39" x14ac:dyDescent="0.3">
      <c r="B7" s="59" t="s">
        <v>127</v>
      </c>
      <c r="C7" s="59" t="s">
        <v>519</v>
      </c>
      <c r="D7" s="59" t="s">
        <v>42</v>
      </c>
      <c r="E7" s="59" t="s">
        <v>43</v>
      </c>
      <c r="F7" s="59" t="s">
        <v>567</v>
      </c>
      <c r="G7" s="59" t="s">
        <v>567</v>
      </c>
      <c r="H7" s="59" t="s">
        <v>567</v>
      </c>
      <c r="I7" s="59" t="s">
        <v>92</v>
      </c>
      <c r="J7" s="59" t="s">
        <v>551</v>
      </c>
      <c r="K7" s="59" t="s">
        <v>550</v>
      </c>
      <c r="L7" s="59" t="s">
        <v>566</v>
      </c>
      <c r="M7" s="59" t="s">
        <v>96</v>
      </c>
      <c r="N7" s="59" t="s">
        <v>97</v>
      </c>
      <c r="O7" s="59" t="s">
        <v>135</v>
      </c>
      <c r="P7" s="60">
        <v>2063602.06</v>
      </c>
      <c r="Q7" s="60">
        <v>0</v>
      </c>
      <c r="R7" s="60">
        <v>33800.720000000001</v>
      </c>
      <c r="S7" s="60">
        <v>0</v>
      </c>
      <c r="T7" s="60">
        <v>1929166.59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59">
        <v>0</v>
      </c>
      <c r="AG7" s="59" t="s">
        <v>261</v>
      </c>
      <c r="AH7" s="59">
        <f t="shared" si="0"/>
        <v>0</v>
      </c>
      <c r="AI7" s="59">
        <f t="shared" si="1"/>
        <v>0</v>
      </c>
      <c r="AJ7" s="59">
        <f t="shared" si="2"/>
        <v>0</v>
      </c>
      <c r="AK7" s="59">
        <f t="shared" si="3"/>
        <v>0</v>
      </c>
      <c r="AL7" s="61" t="str">
        <f t="shared" si="4"/>
        <v>N</v>
      </c>
      <c r="AM7" s="59" t="b">
        <f t="shared" si="5"/>
        <v>1</v>
      </c>
    </row>
    <row r="8" spans="2:39" x14ac:dyDescent="0.3">
      <c r="B8" s="12" t="s">
        <v>15</v>
      </c>
      <c r="C8" s="12" t="s">
        <v>519</v>
      </c>
      <c r="D8" s="12" t="s">
        <v>42</v>
      </c>
      <c r="E8" s="12" t="s">
        <v>43</v>
      </c>
      <c r="F8" s="12" t="s">
        <v>565</v>
      </c>
      <c r="G8" s="12" t="s">
        <v>565</v>
      </c>
      <c r="H8" s="12" t="s">
        <v>565</v>
      </c>
      <c r="I8" s="12" t="s">
        <v>92</v>
      </c>
      <c r="J8" s="12" t="s">
        <v>551</v>
      </c>
      <c r="K8" s="12" t="s">
        <v>550</v>
      </c>
      <c r="L8" s="12" t="s">
        <v>564</v>
      </c>
      <c r="M8" s="12" t="s">
        <v>555</v>
      </c>
      <c r="N8" s="12" t="s">
        <v>119</v>
      </c>
      <c r="O8" s="12" t="s">
        <v>261</v>
      </c>
      <c r="P8" s="53">
        <v>4727373.42</v>
      </c>
      <c r="Q8" s="53">
        <v>0</v>
      </c>
      <c r="R8" s="53">
        <v>16306.19</v>
      </c>
      <c r="S8" s="53">
        <v>0</v>
      </c>
      <c r="T8" s="53">
        <v>4688359.3600000003</v>
      </c>
      <c r="U8" s="53">
        <v>0</v>
      </c>
      <c r="V8" s="53">
        <v>0</v>
      </c>
      <c r="W8" s="53">
        <v>0</v>
      </c>
      <c r="X8" s="53">
        <v>4745113.66</v>
      </c>
      <c r="Y8" s="53">
        <v>0</v>
      </c>
      <c r="Z8" s="53">
        <v>56754.3</v>
      </c>
      <c r="AA8" s="53">
        <v>0</v>
      </c>
      <c r="AB8" s="53">
        <v>4692400.28</v>
      </c>
      <c r="AC8" s="53">
        <v>0</v>
      </c>
      <c r="AD8" s="53">
        <v>0</v>
      </c>
      <c r="AE8" s="53">
        <v>0</v>
      </c>
      <c r="AF8" s="12">
        <v>1</v>
      </c>
      <c r="AG8" s="12" t="s">
        <v>538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8" t="str">
        <f t="shared" si="4"/>
        <v>Y</v>
      </c>
      <c r="AM8" s="12" t="b">
        <f t="shared" si="5"/>
        <v>1</v>
      </c>
    </row>
    <row r="9" spans="2:39" x14ac:dyDescent="0.3">
      <c r="B9" s="12" t="s">
        <v>15</v>
      </c>
      <c r="C9" s="12" t="s">
        <v>519</v>
      </c>
      <c r="D9" s="12" t="s">
        <v>42</v>
      </c>
      <c r="E9" s="12" t="s">
        <v>43</v>
      </c>
      <c r="F9" s="12" t="s">
        <v>563</v>
      </c>
      <c r="G9" s="12" t="s">
        <v>563</v>
      </c>
      <c r="H9" s="12" t="s">
        <v>563</v>
      </c>
      <c r="I9" s="12" t="s">
        <v>92</v>
      </c>
      <c r="J9" s="12" t="s">
        <v>551</v>
      </c>
      <c r="K9" s="12" t="s">
        <v>550</v>
      </c>
      <c r="L9" s="12" t="s">
        <v>562</v>
      </c>
      <c r="M9" s="12" t="s">
        <v>555</v>
      </c>
      <c r="N9" s="12" t="s">
        <v>119</v>
      </c>
      <c r="O9" s="12" t="s">
        <v>261</v>
      </c>
      <c r="P9" s="53">
        <v>4727373.42</v>
      </c>
      <c r="Q9" s="53">
        <v>0</v>
      </c>
      <c r="R9" s="53">
        <v>16306.19</v>
      </c>
      <c r="S9" s="53">
        <v>0</v>
      </c>
      <c r="T9" s="53">
        <v>4688359.3600000003</v>
      </c>
      <c r="U9" s="53">
        <v>0</v>
      </c>
      <c r="V9" s="53">
        <v>0</v>
      </c>
      <c r="W9" s="53">
        <v>0</v>
      </c>
      <c r="X9" s="53">
        <v>4745113.66</v>
      </c>
      <c r="Y9" s="53">
        <v>0</v>
      </c>
      <c r="Z9" s="53">
        <v>56754.3</v>
      </c>
      <c r="AA9" s="53">
        <v>0</v>
      </c>
      <c r="AB9" s="53">
        <v>4692400.28</v>
      </c>
      <c r="AC9" s="53">
        <v>0</v>
      </c>
      <c r="AD9" s="53">
        <v>0</v>
      </c>
      <c r="AE9" s="53">
        <v>0</v>
      </c>
      <c r="AF9" s="12">
        <v>1</v>
      </c>
      <c r="AG9" s="12" t="s">
        <v>538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8" t="str">
        <f t="shared" si="4"/>
        <v>Y</v>
      </c>
      <c r="AM9" s="12" t="b">
        <f t="shared" si="5"/>
        <v>1</v>
      </c>
    </row>
    <row r="10" spans="2:39" x14ac:dyDescent="0.3">
      <c r="B10" s="12" t="s">
        <v>15</v>
      </c>
      <c r="C10" s="12" t="s">
        <v>519</v>
      </c>
      <c r="D10" s="12" t="s">
        <v>42</v>
      </c>
      <c r="E10" s="12" t="s">
        <v>43</v>
      </c>
      <c r="F10" s="12" t="s">
        <v>561</v>
      </c>
      <c r="G10" s="12" t="s">
        <v>561</v>
      </c>
      <c r="H10" s="12" t="s">
        <v>561</v>
      </c>
      <c r="I10" s="12" t="s">
        <v>92</v>
      </c>
      <c r="J10" s="12" t="s">
        <v>551</v>
      </c>
      <c r="K10" s="12" t="s">
        <v>550</v>
      </c>
      <c r="L10" s="12" t="s">
        <v>560</v>
      </c>
      <c r="M10" s="12" t="s">
        <v>96</v>
      </c>
      <c r="N10" s="12" t="s">
        <v>97</v>
      </c>
      <c r="O10" s="12" t="s">
        <v>261</v>
      </c>
      <c r="P10" s="53">
        <v>90322.58</v>
      </c>
      <c r="Q10" s="53">
        <v>100000</v>
      </c>
      <c r="R10" s="53">
        <v>0</v>
      </c>
      <c r="S10" s="53">
        <v>0</v>
      </c>
      <c r="T10" s="53">
        <v>100000</v>
      </c>
      <c r="U10" s="53">
        <v>0</v>
      </c>
      <c r="V10" s="53">
        <v>0</v>
      </c>
      <c r="W10" s="53">
        <v>0</v>
      </c>
      <c r="X10" s="53">
        <v>100000</v>
      </c>
      <c r="Y10" s="53">
        <v>0</v>
      </c>
      <c r="Z10" s="53">
        <v>0</v>
      </c>
      <c r="AA10" s="53">
        <v>0</v>
      </c>
      <c r="AB10" s="53">
        <v>100000</v>
      </c>
      <c r="AC10" s="53">
        <v>0</v>
      </c>
      <c r="AD10" s="53">
        <v>0</v>
      </c>
      <c r="AE10" s="53">
        <v>0</v>
      </c>
      <c r="AF10" s="12">
        <v>1</v>
      </c>
      <c r="AG10" s="12" t="s">
        <v>538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8" t="str">
        <f t="shared" si="4"/>
        <v>Y</v>
      </c>
      <c r="AM10" s="12" t="b">
        <f t="shared" si="5"/>
        <v>1</v>
      </c>
    </row>
    <row r="11" spans="2:39" x14ac:dyDescent="0.3">
      <c r="B11" s="12" t="s">
        <v>15</v>
      </c>
      <c r="C11" s="12" t="s">
        <v>519</v>
      </c>
      <c r="D11" s="12" t="s">
        <v>42</v>
      </c>
      <c r="E11" s="12" t="s">
        <v>43</v>
      </c>
      <c r="F11" s="12" t="s">
        <v>559</v>
      </c>
      <c r="G11" s="12" t="s">
        <v>559</v>
      </c>
      <c r="H11" s="12" t="s">
        <v>559</v>
      </c>
      <c r="I11" s="12" t="s">
        <v>92</v>
      </c>
      <c r="J11" s="12" t="s">
        <v>551</v>
      </c>
      <c r="K11" s="12" t="s">
        <v>550</v>
      </c>
      <c r="L11" s="12" t="s">
        <v>558</v>
      </c>
      <c r="M11" s="12" t="s">
        <v>555</v>
      </c>
      <c r="N11" s="12" t="s">
        <v>119</v>
      </c>
      <c r="O11" s="12" t="s">
        <v>261</v>
      </c>
      <c r="P11" s="53">
        <v>6503.22</v>
      </c>
      <c r="Q11" s="53">
        <v>9600</v>
      </c>
      <c r="R11" s="53">
        <v>0</v>
      </c>
      <c r="S11" s="53">
        <v>0</v>
      </c>
      <c r="T11" s="53">
        <v>9600</v>
      </c>
      <c r="U11" s="53">
        <v>0</v>
      </c>
      <c r="V11" s="53">
        <v>0</v>
      </c>
      <c r="W11" s="53">
        <v>0</v>
      </c>
      <c r="X11" s="53">
        <v>9600</v>
      </c>
      <c r="Y11" s="53">
        <v>0</v>
      </c>
      <c r="Z11" s="53">
        <v>0</v>
      </c>
      <c r="AA11" s="53">
        <v>0</v>
      </c>
      <c r="AB11" s="53">
        <v>9600</v>
      </c>
      <c r="AC11" s="53">
        <v>0</v>
      </c>
      <c r="AD11" s="53">
        <v>0</v>
      </c>
      <c r="AE11" s="53">
        <v>0</v>
      </c>
      <c r="AF11" s="12">
        <v>1</v>
      </c>
      <c r="AG11" s="12" t="s">
        <v>538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8" t="str">
        <f t="shared" si="4"/>
        <v>Y</v>
      </c>
      <c r="AM11" s="12" t="b">
        <f t="shared" si="5"/>
        <v>1</v>
      </c>
    </row>
    <row r="12" spans="2:39" x14ac:dyDescent="0.3">
      <c r="B12" s="12" t="s">
        <v>15</v>
      </c>
      <c r="C12" s="12" t="s">
        <v>519</v>
      </c>
      <c r="D12" s="12" t="s">
        <v>42</v>
      </c>
      <c r="E12" s="12" t="s">
        <v>43</v>
      </c>
      <c r="F12" s="12" t="s">
        <v>557</v>
      </c>
      <c r="G12" s="12" t="s">
        <v>557</v>
      </c>
      <c r="H12" s="12" t="s">
        <v>557</v>
      </c>
      <c r="I12" s="12" t="s">
        <v>92</v>
      </c>
      <c r="J12" s="12" t="s">
        <v>551</v>
      </c>
      <c r="K12" s="12" t="s">
        <v>550</v>
      </c>
      <c r="L12" s="12" t="s">
        <v>556</v>
      </c>
      <c r="M12" s="12" t="s">
        <v>555</v>
      </c>
      <c r="N12" s="12" t="s">
        <v>119</v>
      </c>
      <c r="O12" s="12" t="s">
        <v>261</v>
      </c>
      <c r="P12" s="53">
        <v>264514.42</v>
      </c>
      <c r="Q12" s="53">
        <v>409997.36</v>
      </c>
      <c r="R12" s="53">
        <v>0</v>
      </c>
      <c r="S12" s="53">
        <v>0</v>
      </c>
      <c r="T12" s="53">
        <v>409997.36</v>
      </c>
      <c r="U12" s="53">
        <v>0</v>
      </c>
      <c r="V12" s="53">
        <v>0</v>
      </c>
      <c r="W12" s="53">
        <v>0</v>
      </c>
      <c r="X12" s="53">
        <v>409997.36</v>
      </c>
      <c r="Y12" s="53">
        <v>0</v>
      </c>
      <c r="Z12" s="53">
        <v>0</v>
      </c>
      <c r="AA12" s="53">
        <v>0</v>
      </c>
      <c r="AB12" s="53">
        <v>409997.36</v>
      </c>
      <c r="AC12" s="53">
        <v>0</v>
      </c>
      <c r="AD12" s="53">
        <v>0</v>
      </c>
      <c r="AE12" s="53">
        <v>0</v>
      </c>
      <c r="AF12" s="12">
        <v>1</v>
      </c>
      <c r="AG12" s="12" t="s">
        <v>538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8" t="str">
        <f t="shared" si="4"/>
        <v>Y</v>
      </c>
      <c r="AM12" s="12" t="b">
        <f t="shared" si="5"/>
        <v>1</v>
      </c>
    </row>
    <row r="13" spans="2:39" x14ac:dyDescent="0.3">
      <c r="B13" s="12" t="s">
        <v>15</v>
      </c>
      <c r="C13" s="12" t="s">
        <v>519</v>
      </c>
      <c r="D13" s="12" t="s">
        <v>42</v>
      </c>
      <c r="E13" s="12" t="s">
        <v>43</v>
      </c>
      <c r="F13" s="12" t="s">
        <v>554</v>
      </c>
      <c r="G13" s="12" t="s">
        <v>554</v>
      </c>
      <c r="H13" s="12" t="s">
        <v>554</v>
      </c>
      <c r="I13" s="12" t="s">
        <v>92</v>
      </c>
      <c r="J13" s="12" t="s">
        <v>551</v>
      </c>
      <c r="K13" s="12" t="s">
        <v>550</v>
      </c>
      <c r="L13" s="12" t="s">
        <v>553</v>
      </c>
      <c r="M13" s="12" t="s">
        <v>238</v>
      </c>
      <c r="N13" s="12" t="s">
        <v>239</v>
      </c>
      <c r="O13" s="12" t="s">
        <v>261</v>
      </c>
      <c r="P13" s="53">
        <v>11124507.460000001</v>
      </c>
      <c r="Q13" s="53">
        <v>22990648.760000002</v>
      </c>
      <c r="R13" s="53">
        <v>0</v>
      </c>
      <c r="S13" s="53">
        <v>0</v>
      </c>
      <c r="T13" s="53">
        <v>22981800.239999998</v>
      </c>
      <c r="U13" s="53">
        <v>0</v>
      </c>
      <c r="V13" s="53">
        <v>0</v>
      </c>
      <c r="W13" s="53">
        <v>0</v>
      </c>
      <c r="X13" s="53">
        <v>22942066.079999998</v>
      </c>
      <c r="Y13" s="53">
        <v>0</v>
      </c>
      <c r="Z13" s="53">
        <v>0</v>
      </c>
      <c r="AA13" s="53">
        <v>0</v>
      </c>
      <c r="AB13" s="53">
        <v>22085053.16</v>
      </c>
      <c r="AC13" s="53">
        <v>0</v>
      </c>
      <c r="AD13" s="53">
        <v>0</v>
      </c>
      <c r="AE13" s="53">
        <v>0</v>
      </c>
      <c r="AF13" s="12">
        <v>1</v>
      </c>
      <c r="AG13" s="12" t="s">
        <v>538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8" t="str">
        <f t="shared" si="4"/>
        <v>Y</v>
      </c>
      <c r="AM13" s="12" t="b">
        <f t="shared" si="5"/>
        <v>1</v>
      </c>
    </row>
    <row r="14" spans="2:39" x14ac:dyDescent="0.3">
      <c r="B14" s="12" t="s">
        <v>15</v>
      </c>
      <c r="C14" s="12" t="s">
        <v>519</v>
      </c>
      <c r="D14" s="12" t="s">
        <v>42</v>
      </c>
      <c r="E14" s="12" t="s">
        <v>43</v>
      </c>
      <c r="F14" s="12" t="s">
        <v>552</v>
      </c>
      <c r="G14" s="12" t="s">
        <v>552</v>
      </c>
      <c r="H14" s="12" t="s">
        <v>552</v>
      </c>
      <c r="I14" s="12" t="s">
        <v>92</v>
      </c>
      <c r="J14" s="12" t="s">
        <v>551</v>
      </c>
      <c r="K14" s="12" t="s">
        <v>550</v>
      </c>
      <c r="L14" s="12" t="s">
        <v>549</v>
      </c>
      <c r="M14" s="12" t="s">
        <v>96</v>
      </c>
      <c r="N14" s="12" t="s">
        <v>97</v>
      </c>
      <c r="O14" s="12" t="s">
        <v>261</v>
      </c>
      <c r="P14" s="53">
        <v>794.35</v>
      </c>
      <c r="Q14" s="53">
        <v>4925</v>
      </c>
      <c r="R14" s="53">
        <v>0</v>
      </c>
      <c r="S14" s="53">
        <v>0</v>
      </c>
      <c r="T14" s="53">
        <v>4925</v>
      </c>
      <c r="U14" s="53">
        <v>0</v>
      </c>
      <c r="V14" s="53">
        <v>0</v>
      </c>
      <c r="W14" s="53">
        <v>0</v>
      </c>
      <c r="X14" s="53">
        <v>4925</v>
      </c>
      <c r="Y14" s="53">
        <v>0</v>
      </c>
      <c r="Z14" s="53">
        <v>0</v>
      </c>
      <c r="AA14" s="53">
        <v>0</v>
      </c>
      <c r="AB14" s="53">
        <v>4925</v>
      </c>
      <c r="AC14" s="53">
        <v>0</v>
      </c>
      <c r="AD14" s="53">
        <v>0</v>
      </c>
      <c r="AE14" s="53">
        <v>0</v>
      </c>
      <c r="AF14" s="12">
        <v>1</v>
      </c>
      <c r="AG14" s="12" t="s">
        <v>538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8" t="str">
        <f t="shared" si="4"/>
        <v>Y</v>
      </c>
      <c r="AM14" s="12" t="b">
        <f t="shared" si="5"/>
        <v>1</v>
      </c>
    </row>
    <row r="15" spans="2:39" x14ac:dyDescent="0.3">
      <c r="B15" s="12" t="s">
        <v>15</v>
      </c>
      <c r="C15" s="12" t="s">
        <v>519</v>
      </c>
      <c r="D15" s="12" t="s">
        <v>42</v>
      </c>
      <c r="E15" s="12" t="s">
        <v>43</v>
      </c>
      <c r="F15" s="12" t="s">
        <v>548</v>
      </c>
      <c r="G15" s="12" t="s">
        <v>548</v>
      </c>
      <c r="H15" s="12" t="s">
        <v>548</v>
      </c>
      <c r="I15" s="12" t="s">
        <v>92</v>
      </c>
      <c r="J15" s="12" t="s">
        <v>93</v>
      </c>
      <c r="K15" s="12" t="s">
        <v>547</v>
      </c>
      <c r="L15" s="12" t="s">
        <v>124</v>
      </c>
      <c r="M15" s="12" t="s">
        <v>96</v>
      </c>
      <c r="N15" s="12" t="s">
        <v>97</v>
      </c>
      <c r="O15" s="12" t="s">
        <v>261</v>
      </c>
      <c r="P15" s="53">
        <v>600.49</v>
      </c>
      <c r="Q15" s="53">
        <v>0</v>
      </c>
      <c r="R15" s="53">
        <v>0</v>
      </c>
      <c r="S15" s="53">
        <v>0.01</v>
      </c>
      <c r="T15" s="53">
        <v>3640.44</v>
      </c>
      <c r="U15" s="53">
        <v>0</v>
      </c>
      <c r="V15" s="53">
        <v>0</v>
      </c>
      <c r="W15" s="53">
        <v>0.01</v>
      </c>
      <c r="X15" s="53">
        <v>15521.15</v>
      </c>
      <c r="Y15" s="53">
        <v>0</v>
      </c>
      <c r="Z15" s="53">
        <v>0</v>
      </c>
      <c r="AA15" s="53">
        <v>0.01</v>
      </c>
      <c r="AB15" s="53">
        <v>100127.1</v>
      </c>
      <c r="AC15" s="53">
        <v>0</v>
      </c>
      <c r="AD15" s="53">
        <v>0</v>
      </c>
      <c r="AE15" s="53">
        <v>0.01</v>
      </c>
      <c r="AF15" s="12">
        <v>1</v>
      </c>
      <c r="AG15" s="12" t="s">
        <v>538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8" t="str">
        <f t="shared" si="4"/>
        <v>Y</v>
      </c>
      <c r="AM15" s="12" t="b">
        <f t="shared" si="5"/>
        <v>1</v>
      </c>
    </row>
    <row r="16" spans="2:39" x14ac:dyDescent="0.3">
      <c r="B16" s="12" t="s">
        <v>15</v>
      </c>
      <c r="C16" s="12" t="s">
        <v>519</v>
      </c>
      <c r="D16" s="12" t="s">
        <v>42</v>
      </c>
      <c r="E16" s="12" t="s">
        <v>43</v>
      </c>
      <c r="F16" s="12" t="s">
        <v>546</v>
      </c>
      <c r="G16" s="12" t="s">
        <v>546</v>
      </c>
      <c r="H16" s="12" t="s">
        <v>546</v>
      </c>
      <c r="I16" s="12" t="s">
        <v>92</v>
      </c>
      <c r="J16" s="12" t="s">
        <v>93</v>
      </c>
      <c r="K16" s="12" t="s">
        <v>545</v>
      </c>
      <c r="L16" s="12" t="s">
        <v>124</v>
      </c>
      <c r="M16" s="12" t="s">
        <v>495</v>
      </c>
      <c r="N16" s="12" t="s">
        <v>129</v>
      </c>
      <c r="O16" s="12" t="s">
        <v>261</v>
      </c>
      <c r="P16" s="53">
        <v>0</v>
      </c>
      <c r="Q16" s="53">
        <v>0</v>
      </c>
      <c r="R16" s="53">
        <v>0</v>
      </c>
      <c r="S16" s="53">
        <v>1951.52</v>
      </c>
      <c r="T16" s="53">
        <v>0</v>
      </c>
      <c r="U16" s="53">
        <v>0</v>
      </c>
      <c r="V16" s="53">
        <v>0</v>
      </c>
      <c r="W16" s="53">
        <v>1329.96</v>
      </c>
      <c r="X16" s="53">
        <v>0</v>
      </c>
      <c r="Y16" s="53">
        <v>0</v>
      </c>
      <c r="Z16" s="53">
        <v>0</v>
      </c>
      <c r="AA16" s="53">
        <v>1531.88</v>
      </c>
      <c r="AB16" s="53">
        <v>0</v>
      </c>
      <c r="AC16" s="53">
        <v>0</v>
      </c>
      <c r="AD16" s="53">
        <v>0</v>
      </c>
      <c r="AE16" s="53">
        <v>1527.55</v>
      </c>
      <c r="AF16" s="12">
        <v>1</v>
      </c>
      <c r="AG16" s="12" t="s">
        <v>538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8" t="str">
        <f t="shared" si="4"/>
        <v>Y</v>
      </c>
      <c r="AM16" s="12" t="b">
        <f t="shared" si="5"/>
        <v>1</v>
      </c>
    </row>
    <row r="17" spans="2:39" x14ac:dyDescent="0.3">
      <c r="B17" s="12" t="s">
        <v>15</v>
      </c>
      <c r="C17" s="12" t="s">
        <v>519</v>
      </c>
      <c r="D17" s="12" t="s">
        <v>42</v>
      </c>
      <c r="E17" s="12" t="s">
        <v>43</v>
      </c>
      <c r="F17" s="12" t="s">
        <v>544</v>
      </c>
      <c r="G17" s="12" t="s">
        <v>544</v>
      </c>
      <c r="H17" s="12" t="s">
        <v>544</v>
      </c>
      <c r="I17" s="12" t="s">
        <v>92</v>
      </c>
      <c r="J17" s="12" t="s">
        <v>93</v>
      </c>
      <c r="K17" s="12" t="s">
        <v>543</v>
      </c>
      <c r="L17" s="12" t="s">
        <v>124</v>
      </c>
      <c r="M17" s="12" t="s">
        <v>128</v>
      </c>
      <c r="N17" s="12" t="s">
        <v>129</v>
      </c>
      <c r="O17" s="12" t="s">
        <v>261</v>
      </c>
      <c r="P17" s="53">
        <v>0</v>
      </c>
      <c r="Q17" s="53">
        <v>0</v>
      </c>
      <c r="R17" s="53">
        <v>0</v>
      </c>
      <c r="S17" s="53">
        <v>6000</v>
      </c>
      <c r="T17" s="53">
        <v>0</v>
      </c>
      <c r="U17" s="53">
        <v>0</v>
      </c>
      <c r="V17" s="53">
        <v>0</v>
      </c>
      <c r="W17" s="53">
        <v>6000</v>
      </c>
      <c r="X17" s="53">
        <v>0</v>
      </c>
      <c r="Y17" s="53">
        <v>0</v>
      </c>
      <c r="Z17" s="53">
        <v>0</v>
      </c>
      <c r="AA17" s="53">
        <v>6000</v>
      </c>
      <c r="AB17" s="53">
        <v>0</v>
      </c>
      <c r="AC17" s="53">
        <v>0</v>
      </c>
      <c r="AD17" s="53">
        <v>0</v>
      </c>
      <c r="AE17" s="53">
        <v>6000</v>
      </c>
      <c r="AF17" s="12">
        <v>0</v>
      </c>
      <c r="AG17" s="12" t="s">
        <v>261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8" t="str">
        <f t="shared" si="4"/>
        <v>N</v>
      </c>
      <c r="AM17" s="12" t="b">
        <f t="shared" si="5"/>
        <v>1</v>
      </c>
    </row>
    <row r="18" spans="2:39" x14ac:dyDescent="0.3">
      <c r="B18" s="12" t="s">
        <v>15</v>
      </c>
      <c r="C18" s="12" t="s">
        <v>519</v>
      </c>
      <c r="D18" s="12" t="s">
        <v>42</v>
      </c>
      <c r="E18" s="12" t="s">
        <v>43</v>
      </c>
      <c r="F18" s="12" t="s">
        <v>542</v>
      </c>
      <c r="G18" s="12" t="s">
        <v>542</v>
      </c>
      <c r="H18" s="12" t="s">
        <v>542</v>
      </c>
      <c r="I18" s="12" t="s">
        <v>92</v>
      </c>
      <c r="J18" s="12" t="s">
        <v>93</v>
      </c>
      <c r="K18" s="12" t="s">
        <v>541</v>
      </c>
      <c r="L18" s="12" t="s">
        <v>124</v>
      </c>
      <c r="M18" s="12" t="s">
        <v>495</v>
      </c>
      <c r="N18" s="12" t="s">
        <v>129</v>
      </c>
      <c r="O18" s="12" t="s">
        <v>261</v>
      </c>
      <c r="P18" s="53">
        <v>0</v>
      </c>
      <c r="Q18" s="53">
        <v>0</v>
      </c>
      <c r="R18" s="53">
        <v>0</v>
      </c>
      <c r="S18" s="53">
        <v>269.94</v>
      </c>
      <c r="T18" s="53">
        <v>0</v>
      </c>
      <c r="U18" s="53">
        <v>0</v>
      </c>
      <c r="V18" s="53">
        <v>0</v>
      </c>
      <c r="W18" s="53">
        <v>323.92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1450</v>
      </c>
      <c r="AF18" s="12">
        <v>1</v>
      </c>
      <c r="AG18" s="12" t="s">
        <v>538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8" t="str">
        <f t="shared" si="4"/>
        <v>Y</v>
      </c>
      <c r="AM18" s="12" t="b">
        <f t="shared" si="5"/>
        <v>1</v>
      </c>
    </row>
    <row r="19" spans="2:39" x14ac:dyDescent="0.3">
      <c r="B19" s="12" t="s">
        <v>15</v>
      </c>
      <c r="C19" s="12" t="s">
        <v>519</v>
      </c>
      <c r="D19" s="12" t="s">
        <v>42</v>
      </c>
      <c r="E19" s="12" t="s">
        <v>43</v>
      </c>
      <c r="F19" s="12" t="s">
        <v>540</v>
      </c>
      <c r="G19" s="12" t="s">
        <v>540</v>
      </c>
      <c r="H19" s="12" t="s">
        <v>540</v>
      </c>
      <c r="I19" s="12" t="s">
        <v>92</v>
      </c>
      <c r="J19" s="12" t="s">
        <v>93</v>
      </c>
      <c r="K19" s="12" t="s">
        <v>539</v>
      </c>
      <c r="L19" s="12" t="s">
        <v>124</v>
      </c>
      <c r="M19" s="12" t="s">
        <v>128</v>
      </c>
      <c r="N19" s="12" t="s">
        <v>129</v>
      </c>
      <c r="O19" s="12" t="s">
        <v>261</v>
      </c>
      <c r="P19" s="53">
        <v>4.7300000000000004</v>
      </c>
      <c r="Q19" s="53">
        <v>0</v>
      </c>
      <c r="R19" s="53">
        <v>0</v>
      </c>
      <c r="S19" s="53">
        <v>3868.96</v>
      </c>
      <c r="T19" s="53">
        <v>13.32</v>
      </c>
      <c r="U19" s="53">
        <v>0</v>
      </c>
      <c r="V19" s="53">
        <v>0</v>
      </c>
      <c r="W19" s="53">
        <v>2864.64</v>
      </c>
      <c r="X19" s="53">
        <v>0.68</v>
      </c>
      <c r="Y19" s="53">
        <v>0</v>
      </c>
      <c r="Z19" s="53">
        <v>0</v>
      </c>
      <c r="AA19" s="53">
        <v>2708.02</v>
      </c>
      <c r="AB19" s="53">
        <v>0.12</v>
      </c>
      <c r="AC19" s="53">
        <v>0</v>
      </c>
      <c r="AD19" s="53">
        <v>0</v>
      </c>
      <c r="AE19" s="53">
        <v>2721.07</v>
      </c>
      <c r="AF19" s="12">
        <v>1</v>
      </c>
      <c r="AG19" s="12" t="s">
        <v>538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8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tabSelected="1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597</v>
      </c>
    </row>
    <row r="4" spans="2:18" x14ac:dyDescent="0.3">
      <c r="B4" s="9" t="s">
        <v>34</v>
      </c>
      <c r="C4" s="9" t="s">
        <v>35</v>
      </c>
      <c r="D4" s="9" t="s">
        <v>36</v>
      </c>
      <c r="E4" s="9" t="s">
        <v>37</v>
      </c>
      <c r="F4" s="9" t="s">
        <v>232</v>
      </c>
      <c r="G4" s="9" t="s">
        <v>38</v>
      </c>
      <c r="H4" s="9" t="s">
        <v>277</v>
      </c>
      <c r="I4" s="9" t="s">
        <v>14</v>
      </c>
      <c r="J4" s="9" t="s">
        <v>39</v>
      </c>
      <c r="K4" s="9" t="s">
        <v>40</v>
      </c>
      <c r="L4" s="9" t="s">
        <v>41</v>
      </c>
      <c r="M4" s="9" t="s">
        <v>88</v>
      </c>
      <c r="N4" s="9" t="s">
        <v>89</v>
      </c>
      <c r="O4" s="9" t="s">
        <v>126</v>
      </c>
      <c r="P4" s="9" t="s">
        <v>260</v>
      </c>
      <c r="Q4" s="9" t="s">
        <v>598</v>
      </c>
      <c r="R4" s="57" t="s">
        <v>75</v>
      </c>
    </row>
    <row r="5" spans="2:18" x14ac:dyDescent="0.3">
      <c r="B5" s="12" t="s">
        <v>15</v>
      </c>
      <c r="C5" s="12" t="s">
        <v>519</v>
      </c>
      <c r="D5" s="12" t="s">
        <v>42</v>
      </c>
      <c r="E5" s="12" t="s">
        <v>43</v>
      </c>
      <c r="F5" s="12" t="s">
        <v>599</v>
      </c>
      <c r="G5" s="12" t="s">
        <v>599</v>
      </c>
      <c r="H5" s="12" t="s">
        <v>599</v>
      </c>
      <c r="I5" s="12" t="s">
        <v>92</v>
      </c>
      <c r="J5" s="12" t="s">
        <v>551</v>
      </c>
      <c r="K5" s="12" t="s">
        <v>550</v>
      </c>
      <c r="L5" s="12" t="s">
        <v>600</v>
      </c>
      <c r="M5" s="12" t="s">
        <v>118</v>
      </c>
      <c r="N5" s="12" t="s">
        <v>119</v>
      </c>
      <c r="O5" s="12" t="s">
        <v>261</v>
      </c>
      <c r="P5" s="53" t="s">
        <v>261</v>
      </c>
      <c r="Q5" s="53" t="s">
        <v>601</v>
      </c>
      <c r="R5" s="62" t="s">
        <v>507</v>
      </c>
    </row>
    <row r="6" spans="2:18" x14ac:dyDescent="0.3">
      <c r="B6" s="59" t="s">
        <v>15</v>
      </c>
      <c r="C6" s="59" t="s">
        <v>519</v>
      </c>
      <c r="D6" s="59" t="s">
        <v>42</v>
      </c>
      <c r="E6" s="59" t="s">
        <v>43</v>
      </c>
      <c r="F6" s="59" t="s">
        <v>602</v>
      </c>
      <c r="G6" s="59" t="s">
        <v>602</v>
      </c>
      <c r="H6" s="59" t="s">
        <v>602</v>
      </c>
      <c r="I6" s="59" t="s">
        <v>92</v>
      </c>
      <c r="J6" s="59" t="s">
        <v>551</v>
      </c>
      <c r="K6" s="59" t="s">
        <v>550</v>
      </c>
      <c r="L6" s="59" t="s">
        <v>603</v>
      </c>
      <c r="M6" s="59" t="s">
        <v>118</v>
      </c>
      <c r="N6" s="59" t="s">
        <v>119</v>
      </c>
      <c r="O6" s="59" t="s">
        <v>261</v>
      </c>
      <c r="P6" s="60" t="s">
        <v>261</v>
      </c>
      <c r="Q6" s="60" t="s">
        <v>601</v>
      </c>
      <c r="R6" s="63" t="s">
        <v>507</v>
      </c>
    </row>
    <row r="7" spans="2:18" x14ac:dyDescent="0.3">
      <c r="B7" s="59" t="s">
        <v>15</v>
      </c>
      <c r="C7" s="59" t="s">
        <v>519</v>
      </c>
      <c r="D7" s="59" t="s">
        <v>42</v>
      </c>
      <c r="E7" s="59" t="s">
        <v>43</v>
      </c>
      <c r="F7" s="59" t="s">
        <v>604</v>
      </c>
      <c r="G7" s="59" t="s">
        <v>604</v>
      </c>
      <c r="H7" s="59" t="s">
        <v>604</v>
      </c>
      <c r="I7" s="59" t="s">
        <v>92</v>
      </c>
      <c r="J7" s="59" t="s">
        <v>551</v>
      </c>
      <c r="K7" s="59" t="s">
        <v>550</v>
      </c>
      <c r="L7" s="59" t="s">
        <v>605</v>
      </c>
      <c r="M7" s="59" t="s">
        <v>96</v>
      </c>
      <c r="N7" s="59" t="s">
        <v>97</v>
      </c>
      <c r="O7" s="59" t="s">
        <v>261</v>
      </c>
      <c r="P7" s="60" t="s">
        <v>261</v>
      </c>
      <c r="Q7" s="60" t="s">
        <v>601</v>
      </c>
      <c r="R7" s="63" t="s">
        <v>507</v>
      </c>
    </row>
    <row r="8" spans="2:18" x14ac:dyDescent="0.3">
      <c r="B8" s="12" t="s">
        <v>15</v>
      </c>
      <c r="C8" s="12" t="s">
        <v>519</v>
      </c>
      <c r="D8" s="12" t="s">
        <v>42</v>
      </c>
      <c r="E8" s="12" t="s">
        <v>43</v>
      </c>
      <c r="F8" s="12" t="s">
        <v>606</v>
      </c>
      <c r="G8" s="12" t="s">
        <v>607</v>
      </c>
      <c r="H8" s="12" t="s">
        <v>607</v>
      </c>
      <c r="I8" s="12" t="s">
        <v>92</v>
      </c>
      <c r="J8" s="12" t="s">
        <v>93</v>
      </c>
      <c r="K8" s="12" t="s">
        <v>608</v>
      </c>
      <c r="L8" s="12" t="s">
        <v>609</v>
      </c>
      <c r="M8" s="12" t="s">
        <v>526</v>
      </c>
      <c r="N8" s="12" t="s">
        <v>610</v>
      </c>
      <c r="O8" s="12" t="s">
        <v>261</v>
      </c>
      <c r="P8" s="53" t="s">
        <v>261</v>
      </c>
      <c r="Q8" s="53" t="s">
        <v>611</v>
      </c>
      <c r="R8" s="63" t="s">
        <v>507</v>
      </c>
    </row>
    <row r="9" spans="2:18" x14ac:dyDescent="0.3">
      <c r="B9" s="12" t="s">
        <v>15</v>
      </c>
      <c r="C9" s="12" t="s">
        <v>519</v>
      </c>
      <c r="D9" s="12" t="s">
        <v>42</v>
      </c>
      <c r="E9" s="12" t="s">
        <v>43</v>
      </c>
      <c r="F9" s="12" t="s">
        <v>606</v>
      </c>
      <c r="G9" s="12" t="s">
        <v>607</v>
      </c>
      <c r="H9" s="12" t="s">
        <v>607</v>
      </c>
      <c r="I9" s="12" t="s">
        <v>92</v>
      </c>
      <c r="J9" s="12" t="s">
        <v>93</v>
      </c>
      <c r="K9" s="12" t="s">
        <v>608</v>
      </c>
      <c r="L9" s="12" t="s">
        <v>612</v>
      </c>
      <c r="M9" s="12" t="s">
        <v>526</v>
      </c>
      <c r="N9" s="12" t="s">
        <v>610</v>
      </c>
      <c r="O9" s="12" t="s">
        <v>261</v>
      </c>
      <c r="P9" s="53" t="s">
        <v>261</v>
      </c>
      <c r="Q9" s="53" t="s">
        <v>611</v>
      </c>
      <c r="R9" s="63" t="s">
        <v>507</v>
      </c>
    </row>
    <row r="10" spans="2:18" x14ac:dyDescent="0.3">
      <c r="B10" s="12" t="s">
        <v>15</v>
      </c>
      <c r="C10" s="12" t="s">
        <v>519</v>
      </c>
      <c r="D10" s="12" t="s">
        <v>42</v>
      </c>
      <c r="E10" s="12" t="s">
        <v>43</v>
      </c>
      <c r="F10" s="12" t="s">
        <v>613</v>
      </c>
      <c r="G10" s="12" t="s">
        <v>613</v>
      </c>
      <c r="H10" s="12" t="s">
        <v>613</v>
      </c>
      <c r="I10" s="12" t="s">
        <v>92</v>
      </c>
      <c r="J10" s="12" t="s">
        <v>551</v>
      </c>
      <c r="K10" s="12" t="s">
        <v>550</v>
      </c>
      <c r="L10" s="12" t="s">
        <v>614</v>
      </c>
      <c r="M10" s="12" t="s">
        <v>615</v>
      </c>
      <c r="N10" s="12" t="s">
        <v>616</v>
      </c>
      <c r="O10" s="12" t="s">
        <v>261</v>
      </c>
      <c r="P10" s="53" t="s">
        <v>538</v>
      </c>
      <c r="Q10" s="53" t="s">
        <v>617</v>
      </c>
      <c r="R10" s="63" t="s">
        <v>507</v>
      </c>
    </row>
    <row r="11" spans="2:18" x14ac:dyDescent="0.3">
      <c r="B11" s="12" t="s">
        <v>15</v>
      </c>
      <c r="C11" s="12" t="s">
        <v>519</v>
      </c>
      <c r="D11" s="12" t="s">
        <v>42</v>
      </c>
      <c r="E11" s="12" t="s">
        <v>43</v>
      </c>
      <c r="F11" s="12" t="s">
        <v>618</v>
      </c>
      <c r="G11" s="12" t="s">
        <v>618</v>
      </c>
      <c r="H11" s="12" t="s">
        <v>618</v>
      </c>
      <c r="I11" s="12" t="s">
        <v>92</v>
      </c>
      <c r="J11" s="12" t="s">
        <v>123</v>
      </c>
      <c r="K11" s="12" t="s">
        <v>619</v>
      </c>
      <c r="L11" s="12" t="s">
        <v>124</v>
      </c>
      <c r="M11" s="12" t="s">
        <v>615</v>
      </c>
      <c r="N11" s="12" t="s">
        <v>616</v>
      </c>
      <c r="O11" s="12" t="s">
        <v>261</v>
      </c>
      <c r="P11" s="53" t="s">
        <v>538</v>
      </c>
      <c r="Q11" s="53" t="s">
        <v>617</v>
      </c>
      <c r="R11" s="63" t="s">
        <v>507</v>
      </c>
    </row>
    <row r="12" spans="2:18" x14ac:dyDescent="0.3">
      <c r="B12" s="12" t="s">
        <v>15</v>
      </c>
      <c r="C12" s="12" t="s">
        <v>519</v>
      </c>
      <c r="D12" s="12" t="s">
        <v>42</v>
      </c>
      <c r="E12" s="12" t="s">
        <v>43</v>
      </c>
      <c r="F12" s="12" t="s">
        <v>620</v>
      </c>
      <c r="G12" s="12" t="s">
        <v>620</v>
      </c>
      <c r="H12" s="12" t="s">
        <v>620</v>
      </c>
      <c r="I12" s="12" t="s">
        <v>92</v>
      </c>
      <c r="J12" s="12" t="s">
        <v>242</v>
      </c>
      <c r="K12" s="12" t="s">
        <v>621</v>
      </c>
      <c r="L12" s="12" t="s">
        <v>622</v>
      </c>
      <c r="M12" s="12" t="s">
        <v>96</v>
      </c>
      <c r="N12" s="12" t="s">
        <v>97</v>
      </c>
      <c r="O12" s="12" t="s">
        <v>261</v>
      </c>
      <c r="P12" s="53" t="s">
        <v>261</v>
      </c>
      <c r="Q12" s="53" t="s">
        <v>623</v>
      </c>
      <c r="R12" s="63" t="s">
        <v>507</v>
      </c>
    </row>
    <row r="13" spans="2:18" x14ac:dyDescent="0.3">
      <c r="B13" s="12" t="s">
        <v>15</v>
      </c>
      <c r="C13" s="12" t="s">
        <v>519</v>
      </c>
      <c r="D13" s="12" t="s">
        <v>42</v>
      </c>
      <c r="E13" s="12" t="s">
        <v>43</v>
      </c>
      <c r="F13" s="12" t="s">
        <v>624</v>
      </c>
      <c r="G13" s="12" t="s">
        <v>624</v>
      </c>
      <c r="H13" s="12" t="s">
        <v>624</v>
      </c>
      <c r="I13" s="12" t="s">
        <v>92</v>
      </c>
      <c r="J13" s="12" t="s">
        <v>242</v>
      </c>
      <c r="K13" s="12" t="s">
        <v>621</v>
      </c>
      <c r="L13" s="12" t="s">
        <v>625</v>
      </c>
      <c r="M13" s="12" t="s">
        <v>96</v>
      </c>
      <c r="N13" s="12" t="s">
        <v>97</v>
      </c>
      <c r="O13" s="12" t="s">
        <v>261</v>
      </c>
      <c r="P13" s="53" t="s">
        <v>261</v>
      </c>
      <c r="Q13" s="53" t="s">
        <v>623</v>
      </c>
      <c r="R13" s="63" t="s">
        <v>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E14" sqref="E14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1" t="s">
        <v>85</v>
      </c>
      <c r="C2" s="21"/>
      <c r="D2" s="21"/>
      <c r="E2" s="2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4" spans="2:21" x14ac:dyDescent="0.3">
      <c r="D4" s="74" t="s">
        <v>5</v>
      </c>
      <c r="E4" s="74"/>
    </row>
    <row r="5" spans="2:21" ht="14.4" customHeight="1" x14ac:dyDescent="0.3">
      <c r="B5" s="29" t="s">
        <v>14</v>
      </c>
      <c r="C5" s="29" t="s">
        <v>82</v>
      </c>
      <c r="D5" s="55" t="s">
        <v>533</v>
      </c>
      <c r="E5" s="55" t="s">
        <v>532</v>
      </c>
      <c r="J5" s="39" t="s">
        <v>101</v>
      </c>
      <c r="K5" s="40" t="s">
        <v>102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114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87</v>
      </c>
      <c r="J9" s="9" t="s">
        <v>34</v>
      </c>
      <c r="K9" s="9" t="s">
        <v>35</v>
      </c>
      <c r="L9" s="9" t="s">
        <v>36</v>
      </c>
      <c r="M9" s="9" t="s">
        <v>37</v>
      </c>
      <c r="N9" s="9" t="s">
        <v>38</v>
      </c>
      <c r="O9" s="9" t="s">
        <v>14</v>
      </c>
      <c r="P9" s="9" t="s">
        <v>39</v>
      </c>
      <c r="Q9" s="9" t="s">
        <v>40</v>
      </c>
      <c r="R9" s="9" t="s">
        <v>41</v>
      </c>
      <c r="S9" s="9" t="s">
        <v>88</v>
      </c>
      <c r="T9" s="9" t="s">
        <v>89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87</v>
      </c>
      <c r="J10" s="12" t="s">
        <v>15</v>
      </c>
      <c r="K10" s="12" t="s">
        <v>90</v>
      </c>
      <c r="L10" s="12" t="s">
        <v>42</v>
      </c>
      <c r="M10" s="12" t="s">
        <v>43</v>
      </c>
      <c r="N10" s="12" t="s">
        <v>91</v>
      </c>
      <c r="O10" s="12" t="s">
        <v>92</v>
      </c>
      <c r="P10" s="12" t="s">
        <v>93</v>
      </c>
      <c r="Q10" s="12" t="s">
        <v>94</v>
      </c>
      <c r="R10" s="12" t="s">
        <v>95</v>
      </c>
      <c r="S10" s="12" t="s">
        <v>96</v>
      </c>
      <c r="T10" s="12" t="s">
        <v>97</v>
      </c>
      <c r="U10" s="45" t="s">
        <v>275</v>
      </c>
    </row>
    <row r="11" spans="2:21" x14ac:dyDescent="0.3">
      <c r="B11" s="12" t="s">
        <v>44</v>
      </c>
      <c r="C11" s="12">
        <v>31</v>
      </c>
      <c r="D11" s="13" t="s">
        <v>534</v>
      </c>
      <c r="E11" s="13">
        <v>1</v>
      </c>
      <c r="J11" s="12" t="s">
        <v>15</v>
      </c>
      <c r="K11" s="12" t="s">
        <v>90</v>
      </c>
      <c r="L11" s="12" t="s">
        <v>42</v>
      </c>
      <c r="M11" s="12" t="s">
        <v>43</v>
      </c>
      <c r="N11" s="12" t="s">
        <v>91</v>
      </c>
      <c r="O11" s="12" t="s">
        <v>92</v>
      </c>
      <c r="P11" s="12" t="s">
        <v>93</v>
      </c>
      <c r="Q11" s="12" t="s">
        <v>94</v>
      </c>
      <c r="R11" s="12" t="s">
        <v>98</v>
      </c>
      <c r="S11" s="12" t="s">
        <v>44</v>
      </c>
      <c r="T11" s="12" t="s">
        <v>99</v>
      </c>
      <c r="U11" s="45" t="s">
        <v>274</v>
      </c>
    </row>
    <row r="12" spans="2:21" x14ac:dyDescent="0.3">
      <c r="B12" s="12" t="s">
        <v>44</v>
      </c>
      <c r="C12" s="12" t="s">
        <v>84</v>
      </c>
      <c r="D12" s="13">
        <v>728</v>
      </c>
      <c r="E12" s="13">
        <v>765</v>
      </c>
      <c r="F12" t="s">
        <v>86</v>
      </c>
      <c r="J12" s="12" t="s">
        <v>15</v>
      </c>
      <c r="K12" s="12" t="s">
        <v>90</v>
      </c>
      <c r="L12" s="12" t="s">
        <v>42</v>
      </c>
      <c r="M12" s="12" t="s">
        <v>43</v>
      </c>
      <c r="N12" s="12" t="s">
        <v>91</v>
      </c>
      <c r="O12" s="12" t="s">
        <v>92</v>
      </c>
      <c r="P12" s="12" t="s">
        <v>93</v>
      </c>
      <c r="Q12" s="12" t="s">
        <v>94</v>
      </c>
      <c r="R12" s="12" t="s">
        <v>100</v>
      </c>
      <c r="S12" s="12" t="s">
        <v>44</v>
      </c>
      <c r="T12" s="12" t="s">
        <v>99</v>
      </c>
      <c r="U12" s="45" t="s">
        <v>273</v>
      </c>
    </row>
    <row r="13" spans="2:21" x14ac:dyDescent="0.3">
      <c r="B13" s="12" t="s">
        <v>44</v>
      </c>
      <c r="C13" s="12" t="s">
        <v>83</v>
      </c>
      <c r="D13" s="12">
        <v>4</v>
      </c>
      <c r="E13" s="12">
        <v>3</v>
      </c>
      <c r="F13" t="s">
        <v>86</v>
      </c>
    </row>
    <row r="14" spans="2:21" x14ac:dyDescent="0.3">
      <c r="B14" s="72" t="s">
        <v>531</v>
      </c>
      <c r="C14" s="73"/>
      <c r="D14" s="56">
        <f>SUM(D6:D13)</f>
        <v>123587</v>
      </c>
      <c r="E14" s="56">
        <f>SUM(E6:E13)</f>
        <v>6233</v>
      </c>
    </row>
    <row r="15" spans="2:21" x14ac:dyDescent="0.3">
      <c r="O15" s="1" t="s">
        <v>109</v>
      </c>
    </row>
    <row r="16" spans="2:21" x14ac:dyDescent="0.3">
      <c r="D16" s="74" t="s">
        <v>5</v>
      </c>
      <c r="E16" s="74"/>
      <c r="O16" s="1"/>
    </row>
    <row r="17" spans="2:21" ht="14.4" customHeight="1" x14ac:dyDescent="0.3">
      <c r="B17" s="42" t="s">
        <v>103</v>
      </c>
      <c r="C17" s="42" t="s">
        <v>535</v>
      </c>
      <c r="D17" s="55" t="s">
        <v>533</v>
      </c>
      <c r="E17" s="55" t="s">
        <v>532</v>
      </c>
    </row>
    <row r="18" spans="2:21" x14ac:dyDescent="0.3">
      <c r="B18" s="47" t="s">
        <v>110</v>
      </c>
      <c r="C18" s="41" t="s">
        <v>111</v>
      </c>
      <c r="D18" s="17">
        <v>106309</v>
      </c>
      <c r="E18" s="17" t="s">
        <v>534</v>
      </c>
      <c r="O18" s="9" t="s">
        <v>14</v>
      </c>
      <c r="P18" s="9" t="s">
        <v>39</v>
      </c>
      <c r="Q18" s="9" t="s">
        <v>40</v>
      </c>
      <c r="R18" s="9" t="s">
        <v>41</v>
      </c>
      <c r="S18" s="30" t="s">
        <v>104</v>
      </c>
      <c r="T18" s="30" t="s">
        <v>103</v>
      </c>
    </row>
    <row r="19" spans="2:21" x14ac:dyDescent="0.3">
      <c r="B19" s="47" t="s">
        <v>191</v>
      </c>
      <c r="C19" s="41" t="s">
        <v>209</v>
      </c>
      <c r="D19" s="17">
        <v>27627</v>
      </c>
      <c r="E19" s="17" t="s">
        <v>534</v>
      </c>
      <c r="O19" s="12" t="s">
        <v>92</v>
      </c>
      <c r="P19" s="12" t="s">
        <v>93</v>
      </c>
      <c r="Q19" s="12" t="s">
        <v>94</v>
      </c>
      <c r="R19" s="12" t="s">
        <v>95</v>
      </c>
      <c r="S19" s="31" t="s">
        <v>105</v>
      </c>
      <c r="T19" s="12" t="s">
        <v>106</v>
      </c>
      <c r="U19" s="32" t="s">
        <v>107</v>
      </c>
    </row>
    <row r="20" spans="2:21" x14ac:dyDescent="0.3">
      <c r="B20" s="41" t="s">
        <v>44</v>
      </c>
      <c r="C20" s="41"/>
      <c r="D20" s="17">
        <v>4244</v>
      </c>
      <c r="E20" s="17">
        <v>4339</v>
      </c>
      <c r="O20" s="12" t="s">
        <v>92</v>
      </c>
      <c r="P20" s="12" t="s">
        <v>93</v>
      </c>
      <c r="Q20" s="12" t="s">
        <v>94</v>
      </c>
      <c r="R20" s="12" t="s">
        <v>98</v>
      </c>
      <c r="S20" s="12" t="s">
        <v>108</v>
      </c>
      <c r="T20" s="12" t="s">
        <v>110</v>
      </c>
      <c r="U20" s="33" t="s">
        <v>111</v>
      </c>
    </row>
    <row r="21" spans="2:21" x14ac:dyDescent="0.3">
      <c r="B21" s="41" t="s">
        <v>201</v>
      </c>
      <c r="C21" s="41" t="s">
        <v>210</v>
      </c>
      <c r="D21" s="17">
        <v>810</v>
      </c>
      <c r="E21" s="17">
        <v>1034</v>
      </c>
      <c r="O21" s="12" t="s">
        <v>92</v>
      </c>
      <c r="P21" s="12" t="s">
        <v>93</v>
      </c>
      <c r="Q21" s="12" t="s">
        <v>94</v>
      </c>
      <c r="R21" s="12" t="s">
        <v>100</v>
      </c>
      <c r="S21" s="12" t="s">
        <v>112</v>
      </c>
      <c r="T21" s="12" t="s">
        <v>110</v>
      </c>
      <c r="U21" s="32" t="s">
        <v>107</v>
      </c>
    </row>
    <row r="22" spans="2:21" x14ac:dyDescent="0.3">
      <c r="B22" s="41" t="s">
        <v>192</v>
      </c>
      <c r="C22" s="41" t="s">
        <v>211</v>
      </c>
      <c r="D22" s="17">
        <v>302</v>
      </c>
      <c r="E22" s="17" t="s">
        <v>534</v>
      </c>
    </row>
    <row r="23" spans="2:21" x14ac:dyDescent="0.3">
      <c r="B23" s="46" t="s">
        <v>189</v>
      </c>
      <c r="C23" s="41"/>
      <c r="D23" s="17">
        <v>40</v>
      </c>
      <c r="E23" s="17">
        <v>22</v>
      </c>
      <c r="O23" t="s">
        <v>113</v>
      </c>
    </row>
    <row r="24" spans="2:21" x14ac:dyDescent="0.3">
      <c r="B24" s="46" t="s">
        <v>195</v>
      </c>
      <c r="C24" s="41" t="s">
        <v>212</v>
      </c>
      <c r="D24" s="17">
        <v>30</v>
      </c>
      <c r="E24" s="17">
        <v>34</v>
      </c>
    </row>
    <row r="25" spans="2:21" x14ac:dyDescent="0.3">
      <c r="B25" s="46" t="s">
        <v>205</v>
      </c>
      <c r="C25" s="41" t="s">
        <v>213</v>
      </c>
      <c r="D25" s="17">
        <v>22</v>
      </c>
      <c r="E25" s="17">
        <v>36</v>
      </c>
    </row>
    <row r="26" spans="2:21" x14ac:dyDescent="0.3">
      <c r="B26" s="46" t="s">
        <v>208</v>
      </c>
      <c r="C26" s="41" t="s">
        <v>214</v>
      </c>
      <c r="D26" s="17">
        <v>14</v>
      </c>
      <c r="E26" s="17">
        <v>18</v>
      </c>
    </row>
    <row r="27" spans="2:21" x14ac:dyDescent="0.3">
      <c r="B27" s="47" t="s">
        <v>199</v>
      </c>
      <c r="C27" s="41" t="s">
        <v>215</v>
      </c>
      <c r="D27" s="17">
        <v>7</v>
      </c>
      <c r="E27" s="17" t="s">
        <v>534</v>
      </c>
    </row>
    <row r="28" spans="2:21" x14ac:dyDescent="0.3">
      <c r="B28" s="46" t="s">
        <v>193</v>
      </c>
      <c r="C28" s="41" t="s">
        <v>216</v>
      </c>
      <c r="D28" s="17">
        <v>6</v>
      </c>
      <c r="E28" s="17">
        <v>4</v>
      </c>
    </row>
    <row r="29" spans="2:21" x14ac:dyDescent="0.3">
      <c r="B29" s="41" t="s">
        <v>190</v>
      </c>
      <c r="C29" s="41" t="s">
        <v>217</v>
      </c>
      <c r="D29" s="17">
        <v>2</v>
      </c>
      <c r="E29" s="17" t="s">
        <v>534</v>
      </c>
    </row>
    <row r="30" spans="2:21" x14ac:dyDescent="0.3">
      <c r="B30" s="46" t="s">
        <v>196</v>
      </c>
      <c r="C30" s="41"/>
      <c r="D30" s="17">
        <v>2</v>
      </c>
      <c r="E30" s="17">
        <v>1</v>
      </c>
    </row>
    <row r="31" spans="2:21" x14ac:dyDescent="0.3">
      <c r="B31" s="46" t="s">
        <v>200</v>
      </c>
      <c r="C31" s="41" t="s">
        <v>218</v>
      </c>
      <c r="D31" s="17">
        <v>2</v>
      </c>
      <c r="E31" s="17">
        <v>1</v>
      </c>
    </row>
    <row r="32" spans="2:21" x14ac:dyDescent="0.3">
      <c r="B32" s="41" t="s">
        <v>202</v>
      </c>
      <c r="C32" s="41" t="s">
        <v>219</v>
      </c>
      <c r="D32" s="17">
        <v>2</v>
      </c>
      <c r="E32" s="17">
        <v>1</v>
      </c>
    </row>
    <row r="33" spans="2:21" x14ac:dyDescent="0.3">
      <c r="B33" s="41" t="s">
        <v>207</v>
      </c>
      <c r="C33" s="41" t="s">
        <v>220</v>
      </c>
      <c r="D33" s="17">
        <v>2</v>
      </c>
      <c r="E33" s="17">
        <v>2</v>
      </c>
    </row>
    <row r="34" spans="2:21" x14ac:dyDescent="0.3">
      <c r="B34" s="41" t="s">
        <v>194</v>
      </c>
      <c r="C34" s="41" t="s">
        <v>221</v>
      </c>
      <c r="D34" s="17">
        <v>1</v>
      </c>
      <c r="E34" s="17" t="s">
        <v>534</v>
      </c>
      <c r="J34" s="1" t="s">
        <v>122</v>
      </c>
    </row>
    <row r="35" spans="2:21" x14ac:dyDescent="0.3">
      <c r="B35" s="41" t="s">
        <v>197</v>
      </c>
      <c r="C35" s="41" t="s">
        <v>222</v>
      </c>
      <c r="D35" s="17">
        <v>1</v>
      </c>
      <c r="E35" s="17" t="s">
        <v>534</v>
      </c>
    </row>
    <row r="36" spans="2:21" x14ac:dyDescent="0.3">
      <c r="B36" s="46" t="s">
        <v>198</v>
      </c>
      <c r="C36" s="41" t="s">
        <v>223</v>
      </c>
      <c r="D36" s="17">
        <v>1</v>
      </c>
      <c r="E36" s="17" t="s">
        <v>534</v>
      </c>
      <c r="J36" s="9" t="s">
        <v>34</v>
      </c>
      <c r="K36" s="9" t="s">
        <v>35</v>
      </c>
      <c r="L36" s="9" t="s">
        <v>36</v>
      </c>
      <c r="M36" s="9" t="s">
        <v>37</v>
      </c>
      <c r="N36" s="9" t="s">
        <v>38</v>
      </c>
      <c r="O36" s="9" t="s">
        <v>14</v>
      </c>
      <c r="P36" s="9" t="s">
        <v>39</v>
      </c>
      <c r="Q36" s="9" t="s">
        <v>40</v>
      </c>
      <c r="R36" s="9" t="s">
        <v>41</v>
      </c>
      <c r="S36" s="9" t="s">
        <v>88</v>
      </c>
      <c r="T36" s="9" t="s">
        <v>89</v>
      </c>
    </row>
    <row r="37" spans="2:21" x14ac:dyDescent="0.3">
      <c r="B37" s="41" t="s">
        <v>203</v>
      </c>
      <c r="C37" s="41" t="s">
        <v>224</v>
      </c>
      <c r="D37" s="17">
        <v>1</v>
      </c>
      <c r="E37" s="17">
        <v>1</v>
      </c>
      <c r="J37" s="12" t="s">
        <v>15</v>
      </c>
      <c r="K37" s="12" t="s">
        <v>90</v>
      </c>
      <c r="L37" s="12" t="s">
        <v>42</v>
      </c>
      <c r="M37" s="12" t="s">
        <v>43</v>
      </c>
      <c r="N37" s="12" t="s">
        <v>115</v>
      </c>
      <c r="O37" s="12" t="s">
        <v>92</v>
      </c>
      <c r="P37" s="12" t="s">
        <v>93</v>
      </c>
      <c r="Q37" s="12" t="s">
        <v>116</v>
      </c>
      <c r="R37" s="12" t="s">
        <v>117</v>
      </c>
      <c r="S37" s="12" t="s">
        <v>118</v>
      </c>
      <c r="T37" s="12" t="s">
        <v>119</v>
      </c>
    </row>
    <row r="38" spans="2:21" x14ac:dyDescent="0.3">
      <c r="B38" s="46" t="s">
        <v>204</v>
      </c>
      <c r="C38" s="41" t="s">
        <v>225</v>
      </c>
      <c r="D38" s="17">
        <v>1</v>
      </c>
      <c r="E38" s="17" t="s">
        <v>534</v>
      </c>
      <c r="J38" s="12" t="s">
        <v>15</v>
      </c>
      <c r="K38" s="12" t="s">
        <v>90</v>
      </c>
      <c r="L38" s="12" t="s">
        <v>42</v>
      </c>
      <c r="M38" s="12" t="s">
        <v>43</v>
      </c>
      <c r="N38" s="12" t="s">
        <v>115</v>
      </c>
      <c r="O38" s="12" t="s">
        <v>92</v>
      </c>
      <c r="P38" s="12" t="s">
        <v>93</v>
      </c>
      <c r="Q38" s="12" t="s">
        <v>116</v>
      </c>
      <c r="R38" s="12" t="s">
        <v>120</v>
      </c>
      <c r="S38" s="12" t="s">
        <v>44</v>
      </c>
      <c r="T38" s="12" t="s">
        <v>99</v>
      </c>
    </row>
    <row r="39" spans="2:21" x14ac:dyDescent="0.3">
      <c r="B39" s="41" t="s">
        <v>206</v>
      </c>
      <c r="C39" s="41" t="s">
        <v>226</v>
      </c>
      <c r="D39" s="17">
        <v>1</v>
      </c>
      <c r="E39" s="17" t="s">
        <v>534</v>
      </c>
      <c r="J39" s="12" t="s">
        <v>15</v>
      </c>
      <c r="K39" s="12" t="s">
        <v>90</v>
      </c>
      <c r="L39" s="12" t="s">
        <v>42</v>
      </c>
      <c r="M39" s="12" t="s">
        <v>43</v>
      </c>
      <c r="N39" s="12" t="s">
        <v>115</v>
      </c>
      <c r="O39" s="12" t="s">
        <v>92</v>
      </c>
      <c r="P39" s="12" t="s">
        <v>93</v>
      </c>
      <c r="Q39" s="12" t="s">
        <v>116</v>
      </c>
      <c r="R39" s="12" t="s">
        <v>121</v>
      </c>
      <c r="S39" s="12" t="s">
        <v>96</v>
      </c>
      <c r="T39" s="12" t="s">
        <v>97</v>
      </c>
    </row>
    <row r="41" spans="2:21" x14ac:dyDescent="0.3">
      <c r="O41" s="1" t="s">
        <v>109</v>
      </c>
    </row>
    <row r="42" spans="2:21" x14ac:dyDescent="0.3">
      <c r="B42" t="s">
        <v>276</v>
      </c>
    </row>
    <row r="43" spans="2:21" x14ac:dyDescent="0.3">
      <c r="O43" s="9" t="s">
        <v>14</v>
      </c>
      <c r="P43" s="9" t="s">
        <v>39</v>
      </c>
      <c r="Q43" s="9" t="s">
        <v>40</v>
      </c>
      <c r="R43" s="9" t="s">
        <v>41</v>
      </c>
      <c r="S43" s="30" t="s">
        <v>104</v>
      </c>
      <c r="T43" s="30" t="s">
        <v>103</v>
      </c>
    </row>
    <row r="44" spans="2:21" x14ac:dyDescent="0.3">
      <c r="O44" s="12" t="s">
        <v>92</v>
      </c>
      <c r="P44" s="12" t="s">
        <v>93</v>
      </c>
      <c r="Q44" s="12" t="s">
        <v>116</v>
      </c>
      <c r="R44" s="12" t="s">
        <v>117</v>
      </c>
      <c r="S44" s="12" t="s">
        <v>108</v>
      </c>
      <c r="T44" s="12" t="s">
        <v>106</v>
      </c>
      <c r="U44" s="32" t="s">
        <v>107</v>
      </c>
    </row>
    <row r="45" spans="2:21" x14ac:dyDescent="0.3">
      <c r="O45" s="12" t="s">
        <v>92</v>
      </c>
      <c r="P45" s="12" t="s">
        <v>93</v>
      </c>
      <c r="Q45" s="12" t="s">
        <v>116</v>
      </c>
      <c r="R45" s="12" t="s">
        <v>120</v>
      </c>
      <c r="S45" s="12" t="s">
        <v>112</v>
      </c>
      <c r="T45" s="12" t="s">
        <v>110</v>
      </c>
      <c r="U45" s="32" t="s">
        <v>107</v>
      </c>
    </row>
    <row r="46" spans="2:21" x14ac:dyDescent="0.3">
      <c r="O46" s="12" t="s">
        <v>92</v>
      </c>
      <c r="P46" s="12" t="s">
        <v>93</v>
      </c>
      <c r="Q46" s="12" t="s">
        <v>116</v>
      </c>
      <c r="R46" s="12" t="s">
        <v>121</v>
      </c>
      <c r="S46" s="31" t="s">
        <v>105</v>
      </c>
      <c r="T46" s="12" t="s">
        <v>106</v>
      </c>
      <c r="U46" s="32" t="s">
        <v>107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434</v>
      </c>
      <c r="B1" t="s">
        <v>34</v>
      </c>
      <c r="C1" t="s">
        <v>35</v>
      </c>
      <c r="D1" t="s">
        <v>36</v>
      </c>
      <c r="E1" t="s">
        <v>37</v>
      </c>
      <c r="F1" t="s">
        <v>232</v>
      </c>
      <c r="G1" t="s">
        <v>38</v>
      </c>
      <c r="H1" t="s">
        <v>277</v>
      </c>
      <c r="I1" t="s">
        <v>14</v>
      </c>
      <c r="J1" t="s">
        <v>39</v>
      </c>
      <c r="K1" t="s">
        <v>40</v>
      </c>
      <c r="L1" t="s">
        <v>41</v>
      </c>
      <c r="M1" t="s">
        <v>88</v>
      </c>
      <c r="N1" t="s">
        <v>89</v>
      </c>
      <c r="O1" t="s">
        <v>126</v>
      </c>
      <c r="P1" t="s">
        <v>260</v>
      </c>
      <c r="Q1" t="s">
        <v>103</v>
      </c>
    </row>
    <row r="2" spans="1:17" x14ac:dyDescent="0.3">
      <c r="A2" t="s">
        <v>435</v>
      </c>
      <c r="B2" t="s">
        <v>15</v>
      </c>
      <c r="C2" t="s">
        <v>90</v>
      </c>
      <c r="D2" t="s">
        <v>42</v>
      </c>
      <c r="E2" t="s">
        <v>43</v>
      </c>
      <c r="F2" t="s">
        <v>356</v>
      </c>
      <c r="G2" t="s">
        <v>356</v>
      </c>
      <c r="H2" t="s">
        <v>356</v>
      </c>
      <c r="I2" t="s">
        <v>92</v>
      </c>
      <c r="J2" t="s">
        <v>93</v>
      </c>
      <c r="K2" t="s">
        <v>357</v>
      </c>
      <c r="L2" t="s">
        <v>124</v>
      </c>
      <c r="M2" t="s">
        <v>44</v>
      </c>
      <c r="N2" t="s">
        <v>99</v>
      </c>
      <c r="O2" t="s">
        <v>261</v>
      </c>
      <c r="P2" t="s">
        <v>261</v>
      </c>
      <c r="Q2" t="s">
        <v>205</v>
      </c>
    </row>
    <row r="3" spans="1:17" x14ac:dyDescent="0.3">
      <c r="A3" t="s">
        <v>435</v>
      </c>
      <c r="B3" t="s">
        <v>15</v>
      </c>
      <c r="C3" t="s">
        <v>90</v>
      </c>
      <c r="D3" t="s">
        <v>42</v>
      </c>
      <c r="E3" t="s">
        <v>43</v>
      </c>
      <c r="F3" t="s">
        <v>354</v>
      </c>
      <c r="G3" t="s">
        <v>354</v>
      </c>
      <c r="H3" t="s">
        <v>354</v>
      </c>
      <c r="I3" t="s">
        <v>92</v>
      </c>
      <c r="J3" t="s">
        <v>292</v>
      </c>
      <c r="K3" t="s">
        <v>355</v>
      </c>
      <c r="L3" t="s">
        <v>124</v>
      </c>
      <c r="M3" t="s">
        <v>44</v>
      </c>
      <c r="N3" t="s">
        <v>99</v>
      </c>
      <c r="O3" t="s">
        <v>261</v>
      </c>
      <c r="P3" t="s">
        <v>261</v>
      </c>
      <c r="Q3" t="s">
        <v>208</v>
      </c>
    </row>
    <row r="4" spans="1:17" x14ac:dyDescent="0.3">
      <c r="A4" t="s">
        <v>435</v>
      </c>
      <c r="B4" t="s">
        <v>15</v>
      </c>
      <c r="C4" t="s">
        <v>90</v>
      </c>
      <c r="D4" t="s">
        <v>42</v>
      </c>
      <c r="E4" t="s">
        <v>43</v>
      </c>
      <c r="F4" t="s">
        <v>364</v>
      </c>
      <c r="G4" t="s">
        <v>364</v>
      </c>
      <c r="H4" t="s">
        <v>364</v>
      </c>
      <c r="I4" t="s">
        <v>92</v>
      </c>
      <c r="J4" t="s">
        <v>123</v>
      </c>
      <c r="K4" t="s">
        <v>365</v>
      </c>
      <c r="L4" t="s">
        <v>124</v>
      </c>
      <c r="M4" t="s">
        <v>44</v>
      </c>
      <c r="N4" t="s">
        <v>99</v>
      </c>
      <c r="O4" t="s">
        <v>261</v>
      </c>
      <c r="P4" t="s">
        <v>261</v>
      </c>
      <c r="Q4" t="s">
        <v>195</v>
      </c>
    </row>
    <row r="5" spans="1:17" x14ac:dyDescent="0.3">
      <c r="A5" t="s">
        <v>435</v>
      </c>
      <c r="B5" t="s">
        <v>15</v>
      </c>
      <c r="C5" t="s">
        <v>90</v>
      </c>
      <c r="D5" t="s">
        <v>42</v>
      </c>
      <c r="E5" t="s">
        <v>43</v>
      </c>
      <c r="F5" t="s">
        <v>378</v>
      </c>
      <c r="G5" t="s">
        <v>378</v>
      </c>
      <c r="H5" t="s">
        <v>378</v>
      </c>
      <c r="I5" t="s">
        <v>92</v>
      </c>
      <c r="J5" t="s">
        <v>123</v>
      </c>
      <c r="K5" t="s">
        <v>379</v>
      </c>
      <c r="L5" t="s">
        <v>124</v>
      </c>
      <c r="M5" t="s">
        <v>44</v>
      </c>
      <c r="N5" t="s">
        <v>99</v>
      </c>
      <c r="O5" t="s">
        <v>261</v>
      </c>
      <c r="P5" t="s">
        <v>261</v>
      </c>
      <c r="Q5" t="s">
        <v>205</v>
      </c>
    </row>
    <row r="6" spans="1:17" x14ac:dyDescent="0.3">
      <c r="A6" t="s">
        <v>435</v>
      </c>
      <c r="B6" t="s">
        <v>15</v>
      </c>
      <c r="C6" t="s">
        <v>90</v>
      </c>
      <c r="D6" t="s">
        <v>42</v>
      </c>
      <c r="E6" t="s">
        <v>43</v>
      </c>
      <c r="F6" t="s">
        <v>376</v>
      </c>
      <c r="G6" t="s">
        <v>376</v>
      </c>
      <c r="H6" t="s">
        <v>376</v>
      </c>
      <c r="I6" t="s">
        <v>92</v>
      </c>
      <c r="J6" t="s">
        <v>93</v>
      </c>
      <c r="K6" t="s">
        <v>377</v>
      </c>
      <c r="L6" t="s">
        <v>124</v>
      </c>
      <c r="M6" t="s">
        <v>44</v>
      </c>
      <c r="N6" t="s">
        <v>99</v>
      </c>
      <c r="O6" t="s">
        <v>261</v>
      </c>
      <c r="P6" t="s">
        <v>261</v>
      </c>
      <c r="Q6" t="s">
        <v>205</v>
      </c>
    </row>
    <row r="7" spans="1:17" x14ac:dyDescent="0.3">
      <c r="A7" t="s">
        <v>435</v>
      </c>
      <c r="B7" t="s">
        <v>15</v>
      </c>
      <c r="C7" t="s">
        <v>90</v>
      </c>
      <c r="D7" t="s">
        <v>42</v>
      </c>
      <c r="E7" t="s">
        <v>43</v>
      </c>
      <c r="F7" t="s">
        <v>374</v>
      </c>
      <c r="G7" t="s">
        <v>374</v>
      </c>
      <c r="H7" t="s">
        <v>374</v>
      </c>
      <c r="I7" t="s">
        <v>92</v>
      </c>
      <c r="J7" t="s">
        <v>123</v>
      </c>
      <c r="K7" t="s">
        <v>375</v>
      </c>
      <c r="L7" t="s">
        <v>124</v>
      </c>
      <c r="M7" t="s">
        <v>44</v>
      </c>
      <c r="N7" t="s">
        <v>99</v>
      </c>
      <c r="O7" t="s">
        <v>261</v>
      </c>
      <c r="P7" t="s">
        <v>261</v>
      </c>
      <c r="Q7" t="s">
        <v>195</v>
      </c>
    </row>
    <row r="8" spans="1:17" x14ac:dyDescent="0.3">
      <c r="A8" t="s">
        <v>435</v>
      </c>
      <c r="B8" t="s">
        <v>15</v>
      </c>
      <c r="C8" t="s">
        <v>90</v>
      </c>
      <c r="D8" t="s">
        <v>42</v>
      </c>
      <c r="E8" t="s">
        <v>43</v>
      </c>
      <c r="F8" t="s">
        <v>325</v>
      </c>
      <c r="G8" t="s">
        <v>325</v>
      </c>
      <c r="H8" t="s">
        <v>325</v>
      </c>
      <c r="I8" t="s">
        <v>92</v>
      </c>
      <c r="J8" t="s">
        <v>123</v>
      </c>
      <c r="K8" t="s">
        <v>326</v>
      </c>
      <c r="L8" t="s">
        <v>124</v>
      </c>
      <c r="M8" t="s">
        <v>44</v>
      </c>
      <c r="N8" t="s">
        <v>99</v>
      </c>
      <c r="O8" t="s">
        <v>261</v>
      </c>
      <c r="P8" t="s">
        <v>261</v>
      </c>
      <c r="Q8" t="s">
        <v>195</v>
      </c>
    </row>
    <row r="9" spans="1:17" x14ac:dyDescent="0.3">
      <c r="A9" t="s">
        <v>435</v>
      </c>
      <c r="B9" t="s">
        <v>15</v>
      </c>
      <c r="C9" t="s">
        <v>90</v>
      </c>
      <c r="D9" t="s">
        <v>42</v>
      </c>
      <c r="E9" t="s">
        <v>43</v>
      </c>
      <c r="F9" t="s">
        <v>323</v>
      </c>
      <c r="G9" t="s">
        <v>323</v>
      </c>
      <c r="H9" t="s">
        <v>323</v>
      </c>
      <c r="I9" t="s">
        <v>92</v>
      </c>
      <c r="J9" t="s">
        <v>292</v>
      </c>
      <c r="K9" t="s">
        <v>324</v>
      </c>
      <c r="L9" t="s">
        <v>124</v>
      </c>
      <c r="M9" t="s">
        <v>44</v>
      </c>
      <c r="N9" t="s">
        <v>99</v>
      </c>
      <c r="O9" t="s">
        <v>261</v>
      </c>
      <c r="P9" t="s">
        <v>261</v>
      </c>
      <c r="Q9" t="s">
        <v>193</v>
      </c>
    </row>
    <row r="10" spans="1:17" x14ac:dyDescent="0.3">
      <c r="A10" t="s">
        <v>435</v>
      </c>
      <c r="B10" t="s">
        <v>15</v>
      </c>
      <c r="C10" t="s">
        <v>90</v>
      </c>
      <c r="D10" t="s">
        <v>42</v>
      </c>
      <c r="E10" t="s">
        <v>43</v>
      </c>
      <c r="F10" t="s">
        <v>285</v>
      </c>
      <c r="G10" t="s">
        <v>285</v>
      </c>
      <c r="H10" t="s">
        <v>285</v>
      </c>
      <c r="I10" t="s">
        <v>92</v>
      </c>
      <c r="J10" t="s">
        <v>123</v>
      </c>
      <c r="K10" t="s">
        <v>286</v>
      </c>
      <c r="L10" t="s">
        <v>124</v>
      </c>
      <c r="M10" t="s">
        <v>44</v>
      </c>
      <c r="N10" t="s">
        <v>99</v>
      </c>
      <c r="O10" t="s">
        <v>261</v>
      </c>
      <c r="P10" t="s">
        <v>261</v>
      </c>
      <c r="Q10" t="s">
        <v>205</v>
      </c>
    </row>
    <row r="11" spans="1:17" x14ac:dyDescent="0.3">
      <c r="A11" t="s">
        <v>435</v>
      </c>
      <c r="B11" t="s">
        <v>15</v>
      </c>
      <c r="C11" t="s">
        <v>90</v>
      </c>
      <c r="D11" t="s">
        <v>42</v>
      </c>
      <c r="E11" t="s">
        <v>43</v>
      </c>
      <c r="F11" t="s">
        <v>283</v>
      </c>
      <c r="G11" t="s">
        <v>283</v>
      </c>
      <c r="H11" t="s">
        <v>283</v>
      </c>
      <c r="I11" t="s">
        <v>92</v>
      </c>
      <c r="J11" t="s">
        <v>123</v>
      </c>
      <c r="K11" t="s">
        <v>284</v>
      </c>
      <c r="L11" t="s">
        <v>124</v>
      </c>
      <c r="M11" t="s">
        <v>44</v>
      </c>
      <c r="N11" t="s">
        <v>99</v>
      </c>
      <c r="O11" t="s">
        <v>261</v>
      </c>
      <c r="P11" t="s">
        <v>261</v>
      </c>
      <c r="Q11" t="s">
        <v>205</v>
      </c>
    </row>
    <row r="12" spans="1:17" x14ac:dyDescent="0.3">
      <c r="A12" t="s">
        <v>435</v>
      </c>
      <c r="B12" t="s">
        <v>15</v>
      </c>
      <c r="C12" t="s">
        <v>90</v>
      </c>
      <c r="D12" t="s">
        <v>42</v>
      </c>
      <c r="E12" t="s">
        <v>43</v>
      </c>
      <c r="F12" t="s">
        <v>278</v>
      </c>
      <c r="G12" t="s">
        <v>278</v>
      </c>
      <c r="H12" t="s">
        <v>278</v>
      </c>
      <c r="I12" t="s">
        <v>92</v>
      </c>
      <c r="J12" t="s">
        <v>123</v>
      </c>
      <c r="K12" t="s">
        <v>279</v>
      </c>
      <c r="L12" t="s">
        <v>124</v>
      </c>
      <c r="M12" t="s">
        <v>44</v>
      </c>
      <c r="N12" t="s">
        <v>99</v>
      </c>
      <c r="O12" t="s">
        <v>261</v>
      </c>
      <c r="P12" t="s">
        <v>261</v>
      </c>
      <c r="Q12" t="s">
        <v>205</v>
      </c>
    </row>
    <row r="13" spans="1:17" x14ac:dyDescent="0.3">
      <c r="A13" t="s">
        <v>435</v>
      </c>
      <c r="B13" t="s">
        <v>15</v>
      </c>
      <c r="C13" t="s">
        <v>90</v>
      </c>
      <c r="D13" t="s">
        <v>42</v>
      </c>
      <c r="E13" t="s">
        <v>43</v>
      </c>
      <c r="F13" t="s">
        <v>280</v>
      </c>
      <c r="G13" t="s">
        <v>280</v>
      </c>
      <c r="H13" t="s">
        <v>280</v>
      </c>
      <c r="I13" t="s">
        <v>92</v>
      </c>
      <c r="J13" t="s">
        <v>281</v>
      </c>
      <c r="K13" t="s">
        <v>282</v>
      </c>
      <c r="L13" t="s">
        <v>124</v>
      </c>
      <c r="M13" t="s">
        <v>44</v>
      </c>
      <c r="N13" t="s">
        <v>99</v>
      </c>
      <c r="O13" t="s">
        <v>261</v>
      </c>
      <c r="P13" t="s">
        <v>261</v>
      </c>
      <c r="Q13" t="s">
        <v>208</v>
      </c>
    </row>
    <row r="14" spans="1:17" x14ac:dyDescent="0.3">
      <c r="A14" t="s">
        <v>435</v>
      </c>
      <c r="B14" t="s">
        <v>15</v>
      </c>
      <c r="C14" t="s">
        <v>90</v>
      </c>
      <c r="D14" t="s">
        <v>42</v>
      </c>
      <c r="E14" t="s">
        <v>43</v>
      </c>
      <c r="F14" t="s">
        <v>307</v>
      </c>
      <c r="G14" t="s">
        <v>307</v>
      </c>
      <c r="H14" t="s">
        <v>307</v>
      </c>
      <c r="I14" t="s">
        <v>92</v>
      </c>
      <c r="J14" t="s">
        <v>292</v>
      </c>
      <c r="K14" t="s">
        <v>308</v>
      </c>
      <c r="L14" t="s">
        <v>124</v>
      </c>
      <c r="M14" t="s">
        <v>44</v>
      </c>
      <c r="N14" t="s">
        <v>99</v>
      </c>
      <c r="O14" t="s">
        <v>261</v>
      </c>
      <c r="P14" t="s">
        <v>261</v>
      </c>
      <c r="Q14" t="s">
        <v>208</v>
      </c>
    </row>
    <row r="15" spans="1:17" x14ac:dyDescent="0.3">
      <c r="A15" t="s">
        <v>435</v>
      </c>
      <c r="B15" t="s">
        <v>15</v>
      </c>
      <c r="C15" t="s">
        <v>90</v>
      </c>
      <c r="D15" t="s">
        <v>42</v>
      </c>
      <c r="E15" t="s">
        <v>43</v>
      </c>
      <c r="F15" t="s">
        <v>331</v>
      </c>
      <c r="G15" t="s">
        <v>331</v>
      </c>
      <c r="H15" t="s">
        <v>331</v>
      </c>
      <c r="I15" t="s">
        <v>92</v>
      </c>
      <c r="J15" t="s">
        <v>93</v>
      </c>
      <c r="K15" t="s">
        <v>332</v>
      </c>
      <c r="L15" t="s">
        <v>124</v>
      </c>
      <c r="M15" t="s">
        <v>44</v>
      </c>
      <c r="N15" t="s">
        <v>99</v>
      </c>
      <c r="O15" t="s">
        <v>261</v>
      </c>
      <c r="P15" t="s">
        <v>261</v>
      </c>
      <c r="Q15" t="s">
        <v>195</v>
      </c>
    </row>
    <row r="16" spans="1:17" x14ac:dyDescent="0.3">
      <c r="A16" t="s">
        <v>435</v>
      </c>
      <c r="B16" t="s">
        <v>15</v>
      </c>
      <c r="C16" t="s">
        <v>90</v>
      </c>
      <c r="D16" t="s">
        <v>42</v>
      </c>
      <c r="E16" t="s">
        <v>43</v>
      </c>
      <c r="F16" t="s">
        <v>312</v>
      </c>
      <c r="G16" t="s">
        <v>312</v>
      </c>
      <c r="H16" t="s">
        <v>312</v>
      </c>
      <c r="I16" t="s">
        <v>92</v>
      </c>
      <c r="J16" t="s">
        <v>123</v>
      </c>
      <c r="K16" t="s">
        <v>313</v>
      </c>
      <c r="L16" t="s">
        <v>124</v>
      </c>
      <c r="M16" t="s">
        <v>44</v>
      </c>
      <c r="N16" t="s">
        <v>99</v>
      </c>
      <c r="O16" t="s">
        <v>261</v>
      </c>
      <c r="P16" t="s">
        <v>261</v>
      </c>
      <c r="Q16" t="s">
        <v>208</v>
      </c>
    </row>
    <row r="17" spans="1:17" x14ac:dyDescent="0.3">
      <c r="A17" t="s">
        <v>435</v>
      </c>
      <c r="B17" t="s">
        <v>15</v>
      </c>
      <c r="C17" t="s">
        <v>90</v>
      </c>
      <c r="D17" t="s">
        <v>42</v>
      </c>
      <c r="E17" t="s">
        <v>43</v>
      </c>
      <c r="F17" t="s">
        <v>314</v>
      </c>
      <c r="G17" t="s">
        <v>314</v>
      </c>
      <c r="H17" t="s">
        <v>314</v>
      </c>
      <c r="I17" t="s">
        <v>92</v>
      </c>
      <c r="J17" t="s">
        <v>315</v>
      </c>
      <c r="K17" t="s">
        <v>316</v>
      </c>
      <c r="L17" t="s">
        <v>124</v>
      </c>
      <c r="M17" t="s">
        <v>44</v>
      </c>
      <c r="N17" t="s">
        <v>99</v>
      </c>
      <c r="O17" t="s">
        <v>261</v>
      </c>
      <c r="P17" t="s">
        <v>261</v>
      </c>
      <c r="Q17" t="s">
        <v>193</v>
      </c>
    </row>
    <row r="18" spans="1:17" x14ac:dyDescent="0.3">
      <c r="A18" t="s">
        <v>435</v>
      </c>
      <c r="B18" t="s">
        <v>15</v>
      </c>
      <c r="C18" t="s">
        <v>90</v>
      </c>
      <c r="D18" t="s">
        <v>42</v>
      </c>
      <c r="E18" t="s">
        <v>43</v>
      </c>
      <c r="F18" t="s">
        <v>317</v>
      </c>
      <c r="G18" t="s">
        <v>317</v>
      </c>
      <c r="H18" t="s">
        <v>317</v>
      </c>
      <c r="I18" t="s">
        <v>92</v>
      </c>
      <c r="J18" t="s">
        <v>123</v>
      </c>
      <c r="K18" t="s">
        <v>318</v>
      </c>
      <c r="L18" t="s">
        <v>124</v>
      </c>
      <c r="M18" t="s">
        <v>44</v>
      </c>
      <c r="N18" t="s">
        <v>99</v>
      </c>
      <c r="O18" t="s">
        <v>261</v>
      </c>
      <c r="P18" t="s">
        <v>261</v>
      </c>
      <c r="Q18" t="s">
        <v>195</v>
      </c>
    </row>
    <row r="19" spans="1:17" x14ac:dyDescent="0.3">
      <c r="A19" t="s">
        <v>435</v>
      </c>
      <c r="B19" t="s">
        <v>15</v>
      </c>
      <c r="C19" t="s">
        <v>90</v>
      </c>
      <c r="D19" t="s">
        <v>42</v>
      </c>
      <c r="E19" t="s">
        <v>43</v>
      </c>
      <c r="F19" t="s">
        <v>309</v>
      </c>
      <c r="G19" t="s">
        <v>309</v>
      </c>
      <c r="H19" t="s">
        <v>309</v>
      </c>
      <c r="I19" t="s">
        <v>92</v>
      </c>
      <c r="J19" t="s">
        <v>310</v>
      </c>
      <c r="K19" t="s">
        <v>311</v>
      </c>
      <c r="L19" t="s">
        <v>124</v>
      </c>
      <c r="M19" t="s">
        <v>44</v>
      </c>
      <c r="N19" t="s">
        <v>99</v>
      </c>
      <c r="O19" t="s">
        <v>261</v>
      </c>
      <c r="P19" t="s">
        <v>261</v>
      </c>
      <c r="Q19" t="s">
        <v>208</v>
      </c>
    </row>
    <row r="20" spans="1:17" x14ac:dyDescent="0.3">
      <c r="A20" t="s">
        <v>435</v>
      </c>
      <c r="B20" t="s">
        <v>15</v>
      </c>
      <c r="C20" t="s">
        <v>90</v>
      </c>
      <c r="D20" t="s">
        <v>42</v>
      </c>
      <c r="E20" t="s">
        <v>43</v>
      </c>
      <c r="F20" t="s">
        <v>327</v>
      </c>
      <c r="G20" t="s">
        <v>327</v>
      </c>
      <c r="H20" t="s">
        <v>327</v>
      </c>
      <c r="I20" t="s">
        <v>92</v>
      </c>
      <c r="J20" t="s">
        <v>123</v>
      </c>
      <c r="K20" t="s">
        <v>328</v>
      </c>
      <c r="L20" t="s">
        <v>124</v>
      </c>
      <c r="M20" t="s">
        <v>44</v>
      </c>
      <c r="N20" t="s">
        <v>99</v>
      </c>
      <c r="O20" t="s">
        <v>261</v>
      </c>
      <c r="P20" t="s">
        <v>261</v>
      </c>
      <c r="Q20" t="s">
        <v>195</v>
      </c>
    </row>
    <row r="21" spans="1:17" x14ac:dyDescent="0.3">
      <c r="A21" t="s">
        <v>435</v>
      </c>
      <c r="B21" t="s">
        <v>15</v>
      </c>
      <c r="C21" t="s">
        <v>90</v>
      </c>
      <c r="D21" t="s">
        <v>42</v>
      </c>
      <c r="E21" t="s">
        <v>43</v>
      </c>
      <c r="F21" t="s">
        <v>368</v>
      </c>
      <c r="G21" t="s">
        <v>368</v>
      </c>
      <c r="H21" t="s">
        <v>368</v>
      </c>
      <c r="I21" t="s">
        <v>92</v>
      </c>
      <c r="J21" t="s">
        <v>93</v>
      </c>
      <c r="K21" t="s">
        <v>369</v>
      </c>
      <c r="L21" t="s">
        <v>124</v>
      </c>
      <c r="M21" t="s">
        <v>44</v>
      </c>
      <c r="N21" t="s">
        <v>99</v>
      </c>
      <c r="O21" t="s">
        <v>261</v>
      </c>
      <c r="P21" t="s">
        <v>261</v>
      </c>
      <c r="Q21" t="s">
        <v>195</v>
      </c>
    </row>
    <row r="22" spans="1:17" x14ac:dyDescent="0.3">
      <c r="A22" t="s">
        <v>435</v>
      </c>
      <c r="B22" t="s">
        <v>15</v>
      </c>
      <c r="C22" t="s">
        <v>90</v>
      </c>
      <c r="D22" t="s">
        <v>42</v>
      </c>
      <c r="E22" t="s">
        <v>43</v>
      </c>
      <c r="F22" t="s">
        <v>301</v>
      </c>
      <c r="G22" t="s">
        <v>301</v>
      </c>
      <c r="H22" t="s">
        <v>301</v>
      </c>
      <c r="I22" t="s">
        <v>92</v>
      </c>
      <c r="J22" t="s">
        <v>123</v>
      </c>
      <c r="K22" t="s">
        <v>302</v>
      </c>
      <c r="L22" t="s">
        <v>124</v>
      </c>
      <c r="M22" t="s">
        <v>44</v>
      </c>
      <c r="N22" t="s">
        <v>99</v>
      </c>
      <c r="O22" t="s">
        <v>261</v>
      </c>
      <c r="P22" t="s">
        <v>261</v>
      </c>
      <c r="Q22" t="s">
        <v>195</v>
      </c>
    </row>
    <row r="23" spans="1:17" x14ac:dyDescent="0.3">
      <c r="A23" t="s">
        <v>435</v>
      </c>
      <c r="B23" t="s">
        <v>15</v>
      </c>
      <c r="C23" t="s">
        <v>90</v>
      </c>
      <c r="D23" t="s">
        <v>42</v>
      </c>
      <c r="E23" t="s">
        <v>43</v>
      </c>
      <c r="F23" t="s">
        <v>299</v>
      </c>
      <c r="G23" t="s">
        <v>299</v>
      </c>
      <c r="H23" t="s">
        <v>299</v>
      </c>
      <c r="I23" t="s">
        <v>92</v>
      </c>
      <c r="J23" t="s">
        <v>123</v>
      </c>
      <c r="K23" t="s">
        <v>300</v>
      </c>
      <c r="L23" t="s">
        <v>124</v>
      </c>
      <c r="M23" t="s">
        <v>44</v>
      </c>
      <c r="N23" t="s">
        <v>99</v>
      </c>
      <c r="O23" t="s">
        <v>261</v>
      </c>
      <c r="P23" t="s">
        <v>261</v>
      </c>
      <c r="Q23" t="s">
        <v>205</v>
      </c>
    </row>
    <row r="24" spans="1:17" x14ac:dyDescent="0.3">
      <c r="A24" t="s">
        <v>435</v>
      </c>
      <c r="B24" t="s">
        <v>15</v>
      </c>
      <c r="C24" t="s">
        <v>90</v>
      </c>
      <c r="D24" t="s">
        <v>42</v>
      </c>
      <c r="E24" t="s">
        <v>43</v>
      </c>
      <c r="F24" t="s">
        <v>329</v>
      </c>
      <c r="G24" t="s">
        <v>329</v>
      </c>
      <c r="H24" t="s">
        <v>329</v>
      </c>
      <c r="I24" t="s">
        <v>92</v>
      </c>
      <c r="J24" t="s">
        <v>123</v>
      </c>
      <c r="K24" t="s">
        <v>330</v>
      </c>
      <c r="L24" t="s">
        <v>124</v>
      </c>
      <c r="M24" t="s">
        <v>44</v>
      </c>
      <c r="N24" t="s">
        <v>99</v>
      </c>
      <c r="O24" t="s">
        <v>261</v>
      </c>
      <c r="P24" t="s">
        <v>261</v>
      </c>
      <c r="Q24" t="s">
        <v>208</v>
      </c>
    </row>
    <row r="25" spans="1:17" x14ac:dyDescent="0.3">
      <c r="A25" t="s">
        <v>435</v>
      </c>
      <c r="B25" t="s">
        <v>15</v>
      </c>
      <c r="C25" t="s">
        <v>90</v>
      </c>
      <c r="D25" t="s">
        <v>42</v>
      </c>
      <c r="E25" t="s">
        <v>43</v>
      </c>
      <c r="F25" t="s">
        <v>362</v>
      </c>
      <c r="G25" t="s">
        <v>362</v>
      </c>
      <c r="H25" t="s">
        <v>362</v>
      </c>
      <c r="I25" t="s">
        <v>92</v>
      </c>
      <c r="J25" t="s">
        <v>123</v>
      </c>
      <c r="K25" t="s">
        <v>363</v>
      </c>
      <c r="L25" t="s">
        <v>124</v>
      </c>
      <c r="M25" t="s">
        <v>44</v>
      </c>
      <c r="N25" t="s">
        <v>99</v>
      </c>
      <c r="O25" t="s">
        <v>261</v>
      </c>
      <c r="P25" t="s">
        <v>261</v>
      </c>
      <c r="Q25" t="s">
        <v>204</v>
      </c>
    </row>
    <row r="26" spans="1:17" x14ac:dyDescent="0.3">
      <c r="A26" t="s">
        <v>435</v>
      </c>
      <c r="B26" t="s">
        <v>15</v>
      </c>
      <c r="C26" t="s">
        <v>90</v>
      </c>
      <c r="D26" t="s">
        <v>42</v>
      </c>
      <c r="E26" t="s">
        <v>43</v>
      </c>
      <c r="F26" t="s">
        <v>360</v>
      </c>
      <c r="G26" t="s">
        <v>360</v>
      </c>
      <c r="H26" t="s">
        <v>360</v>
      </c>
      <c r="I26" t="s">
        <v>92</v>
      </c>
      <c r="J26" t="s">
        <v>93</v>
      </c>
      <c r="K26" t="s">
        <v>361</v>
      </c>
      <c r="L26" t="s">
        <v>124</v>
      </c>
      <c r="M26" t="s">
        <v>44</v>
      </c>
      <c r="N26" t="s">
        <v>99</v>
      </c>
      <c r="O26" t="s">
        <v>261</v>
      </c>
      <c r="P26" t="s">
        <v>261</v>
      </c>
      <c r="Q26" t="s">
        <v>195</v>
      </c>
    </row>
    <row r="27" spans="1:17" x14ac:dyDescent="0.3">
      <c r="A27" t="s">
        <v>435</v>
      </c>
      <c r="B27" t="s">
        <v>15</v>
      </c>
      <c r="C27" t="s">
        <v>90</v>
      </c>
      <c r="D27" t="s">
        <v>42</v>
      </c>
      <c r="E27" t="s">
        <v>43</v>
      </c>
      <c r="F27" t="s">
        <v>358</v>
      </c>
      <c r="G27" t="s">
        <v>358</v>
      </c>
      <c r="H27" t="s">
        <v>358</v>
      </c>
      <c r="I27" t="s">
        <v>92</v>
      </c>
      <c r="J27" t="s">
        <v>123</v>
      </c>
      <c r="K27" t="s">
        <v>359</v>
      </c>
      <c r="L27" t="s">
        <v>124</v>
      </c>
      <c r="M27" t="s">
        <v>44</v>
      </c>
      <c r="N27" t="s">
        <v>99</v>
      </c>
      <c r="O27" t="s">
        <v>261</v>
      </c>
      <c r="P27" t="s">
        <v>261</v>
      </c>
      <c r="Q27" t="s">
        <v>208</v>
      </c>
    </row>
    <row r="28" spans="1:17" x14ac:dyDescent="0.3">
      <c r="A28" t="s">
        <v>435</v>
      </c>
      <c r="B28" t="s">
        <v>15</v>
      </c>
      <c r="C28" t="s">
        <v>90</v>
      </c>
      <c r="D28" t="s">
        <v>42</v>
      </c>
      <c r="E28" t="s">
        <v>43</v>
      </c>
      <c r="F28" t="s">
        <v>294</v>
      </c>
      <c r="G28" t="s">
        <v>294</v>
      </c>
      <c r="H28" t="s">
        <v>294</v>
      </c>
      <c r="I28" t="s">
        <v>92</v>
      </c>
      <c r="J28" t="s">
        <v>295</v>
      </c>
      <c r="K28" t="s">
        <v>296</v>
      </c>
      <c r="L28" t="s">
        <v>124</v>
      </c>
      <c r="M28" t="s">
        <v>44</v>
      </c>
      <c r="N28" t="s">
        <v>99</v>
      </c>
      <c r="O28" t="s">
        <v>261</v>
      </c>
      <c r="P28" t="s">
        <v>261</v>
      </c>
      <c r="Q28" t="s">
        <v>195</v>
      </c>
    </row>
    <row r="29" spans="1:17" x14ac:dyDescent="0.3">
      <c r="A29" t="s">
        <v>436</v>
      </c>
      <c r="B29" t="s">
        <v>15</v>
      </c>
      <c r="C29" t="s">
        <v>90</v>
      </c>
      <c r="D29" t="s">
        <v>42</v>
      </c>
      <c r="E29" t="s">
        <v>43</v>
      </c>
      <c r="F29" t="s">
        <v>337</v>
      </c>
      <c r="G29" t="s">
        <v>337</v>
      </c>
      <c r="H29" t="s">
        <v>337</v>
      </c>
      <c r="I29" t="s">
        <v>92</v>
      </c>
      <c r="J29" t="s">
        <v>338</v>
      </c>
      <c r="K29" t="s">
        <v>339</v>
      </c>
      <c r="L29" t="s">
        <v>340</v>
      </c>
      <c r="M29" t="s">
        <v>44</v>
      </c>
      <c r="N29" t="s">
        <v>99</v>
      </c>
      <c r="O29" t="s">
        <v>261</v>
      </c>
      <c r="P29" t="s">
        <v>261</v>
      </c>
      <c r="Q29" t="s">
        <v>198</v>
      </c>
    </row>
    <row r="30" spans="1:17" x14ac:dyDescent="0.3">
      <c r="A30" t="s">
        <v>435</v>
      </c>
      <c r="B30" t="s">
        <v>15</v>
      </c>
      <c r="C30" t="s">
        <v>90</v>
      </c>
      <c r="D30" t="s">
        <v>42</v>
      </c>
      <c r="E30" t="s">
        <v>43</v>
      </c>
      <c r="F30" t="s">
        <v>335</v>
      </c>
      <c r="G30" t="s">
        <v>335</v>
      </c>
      <c r="H30" t="s">
        <v>335</v>
      </c>
      <c r="I30" t="s">
        <v>92</v>
      </c>
      <c r="J30" t="s">
        <v>123</v>
      </c>
      <c r="K30" t="s">
        <v>336</v>
      </c>
      <c r="L30" t="s">
        <v>124</v>
      </c>
      <c r="M30" t="s">
        <v>44</v>
      </c>
      <c r="N30" t="s">
        <v>99</v>
      </c>
      <c r="O30" t="s">
        <v>261</v>
      </c>
      <c r="P30" t="s">
        <v>261</v>
      </c>
      <c r="Q30" t="s">
        <v>195</v>
      </c>
    </row>
    <row r="31" spans="1:17" x14ac:dyDescent="0.3">
      <c r="A31" t="s">
        <v>435</v>
      </c>
      <c r="B31" t="s">
        <v>15</v>
      </c>
      <c r="C31" t="s">
        <v>90</v>
      </c>
      <c r="D31" t="s">
        <v>42</v>
      </c>
      <c r="E31" t="s">
        <v>43</v>
      </c>
      <c r="F31" t="s">
        <v>333</v>
      </c>
      <c r="G31" t="s">
        <v>333</v>
      </c>
      <c r="H31" t="s">
        <v>333</v>
      </c>
      <c r="I31" t="s">
        <v>92</v>
      </c>
      <c r="J31" t="s">
        <v>93</v>
      </c>
      <c r="K31" t="s">
        <v>334</v>
      </c>
      <c r="L31" t="s">
        <v>124</v>
      </c>
      <c r="M31" t="s">
        <v>44</v>
      </c>
      <c r="N31" t="s">
        <v>99</v>
      </c>
      <c r="O31" t="s">
        <v>261</v>
      </c>
      <c r="P31" t="s">
        <v>261</v>
      </c>
      <c r="Q31" t="s">
        <v>205</v>
      </c>
    </row>
    <row r="32" spans="1:17" x14ac:dyDescent="0.3">
      <c r="A32" t="s">
        <v>435</v>
      </c>
      <c r="B32" t="s">
        <v>15</v>
      </c>
      <c r="C32" t="s">
        <v>90</v>
      </c>
      <c r="D32" t="s">
        <v>42</v>
      </c>
      <c r="E32" t="s">
        <v>43</v>
      </c>
      <c r="F32" t="s">
        <v>287</v>
      </c>
      <c r="G32" t="s">
        <v>287</v>
      </c>
      <c r="H32" t="s">
        <v>287</v>
      </c>
      <c r="I32" t="s">
        <v>92</v>
      </c>
      <c r="J32" t="s">
        <v>123</v>
      </c>
      <c r="K32" t="s">
        <v>288</v>
      </c>
      <c r="L32" t="s">
        <v>124</v>
      </c>
      <c r="M32" t="s">
        <v>44</v>
      </c>
      <c r="N32" t="s">
        <v>99</v>
      </c>
      <c r="O32" t="s">
        <v>261</v>
      </c>
      <c r="P32" t="s">
        <v>261</v>
      </c>
      <c r="Q32" t="s">
        <v>195</v>
      </c>
    </row>
    <row r="33" spans="1:17" x14ac:dyDescent="0.3">
      <c r="A33" t="s">
        <v>435</v>
      </c>
      <c r="B33" t="s">
        <v>15</v>
      </c>
      <c r="C33" t="s">
        <v>90</v>
      </c>
      <c r="D33" t="s">
        <v>42</v>
      </c>
      <c r="E33" t="s">
        <v>43</v>
      </c>
      <c r="F33" t="s">
        <v>289</v>
      </c>
      <c r="G33" t="s">
        <v>289</v>
      </c>
      <c r="H33" t="s">
        <v>289</v>
      </c>
      <c r="I33" t="s">
        <v>92</v>
      </c>
      <c r="J33" t="s">
        <v>123</v>
      </c>
      <c r="K33" t="s">
        <v>290</v>
      </c>
      <c r="L33" t="s">
        <v>124</v>
      </c>
      <c r="M33" t="s">
        <v>44</v>
      </c>
      <c r="N33" t="s">
        <v>99</v>
      </c>
      <c r="O33" t="s">
        <v>261</v>
      </c>
      <c r="P33" t="s">
        <v>261</v>
      </c>
      <c r="Q33" t="s">
        <v>205</v>
      </c>
    </row>
    <row r="34" spans="1:17" x14ac:dyDescent="0.3">
      <c r="A34" t="s">
        <v>435</v>
      </c>
      <c r="B34" t="s">
        <v>15</v>
      </c>
      <c r="C34" t="s">
        <v>90</v>
      </c>
      <c r="D34" t="s">
        <v>42</v>
      </c>
      <c r="E34" t="s">
        <v>43</v>
      </c>
      <c r="F34" t="s">
        <v>291</v>
      </c>
      <c r="G34" t="s">
        <v>291</v>
      </c>
      <c r="H34" t="s">
        <v>291</v>
      </c>
      <c r="I34" t="s">
        <v>92</v>
      </c>
      <c r="J34" t="s">
        <v>292</v>
      </c>
      <c r="K34" t="s">
        <v>293</v>
      </c>
      <c r="L34" t="s">
        <v>124</v>
      </c>
      <c r="M34" t="s">
        <v>44</v>
      </c>
      <c r="N34" t="s">
        <v>99</v>
      </c>
      <c r="O34" t="s">
        <v>261</v>
      </c>
      <c r="P34" t="s">
        <v>261</v>
      </c>
      <c r="Q34" t="s">
        <v>205</v>
      </c>
    </row>
    <row r="35" spans="1:17" x14ac:dyDescent="0.3">
      <c r="A35" t="s">
        <v>435</v>
      </c>
      <c r="B35" t="s">
        <v>15</v>
      </c>
      <c r="C35" t="s">
        <v>90</v>
      </c>
      <c r="D35" t="s">
        <v>42</v>
      </c>
      <c r="E35" t="s">
        <v>43</v>
      </c>
      <c r="F35" t="s">
        <v>305</v>
      </c>
      <c r="G35" t="s">
        <v>305</v>
      </c>
      <c r="H35" t="s">
        <v>305</v>
      </c>
      <c r="I35" t="s">
        <v>92</v>
      </c>
      <c r="J35" t="s">
        <v>292</v>
      </c>
      <c r="K35" t="s">
        <v>306</v>
      </c>
      <c r="L35" t="s">
        <v>124</v>
      </c>
      <c r="M35" t="s">
        <v>44</v>
      </c>
      <c r="N35" t="s">
        <v>99</v>
      </c>
      <c r="O35" t="s">
        <v>261</v>
      </c>
      <c r="P35" t="s">
        <v>261</v>
      </c>
      <c r="Q35" t="s">
        <v>193</v>
      </c>
    </row>
    <row r="36" spans="1:17" x14ac:dyDescent="0.3">
      <c r="A36" t="s">
        <v>435</v>
      </c>
      <c r="B36" t="s">
        <v>15</v>
      </c>
      <c r="C36" t="s">
        <v>90</v>
      </c>
      <c r="D36" t="s">
        <v>42</v>
      </c>
      <c r="E36" t="s">
        <v>43</v>
      </c>
      <c r="F36" t="s">
        <v>303</v>
      </c>
      <c r="G36" t="s">
        <v>303</v>
      </c>
      <c r="H36" t="s">
        <v>303</v>
      </c>
      <c r="I36" t="s">
        <v>92</v>
      </c>
      <c r="J36" t="s">
        <v>93</v>
      </c>
      <c r="K36" t="s">
        <v>304</v>
      </c>
      <c r="L36" t="s">
        <v>124</v>
      </c>
      <c r="M36" t="s">
        <v>44</v>
      </c>
      <c r="N36" t="s">
        <v>99</v>
      </c>
      <c r="O36" t="s">
        <v>261</v>
      </c>
      <c r="P36" t="s">
        <v>261</v>
      </c>
      <c r="Q36" t="s">
        <v>195</v>
      </c>
    </row>
    <row r="37" spans="1:17" x14ac:dyDescent="0.3">
      <c r="A37" t="s">
        <v>435</v>
      </c>
      <c r="B37" t="s">
        <v>15</v>
      </c>
      <c r="C37" t="s">
        <v>90</v>
      </c>
      <c r="D37" t="s">
        <v>42</v>
      </c>
      <c r="E37" t="s">
        <v>43</v>
      </c>
      <c r="F37" t="s">
        <v>297</v>
      </c>
      <c r="G37" t="s">
        <v>297</v>
      </c>
      <c r="H37" t="s">
        <v>297</v>
      </c>
      <c r="I37" t="s">
        <v>92</v>
      </c>
      <c r="J37" t="s">
        <v>123</v>
      </c>
      <c r="K37" t="s">
        <v>298</v>
      </c>
      <c r="L37" t="s">
        <v>124</v>
      </c>
      <c r="M37" t="s">
        <v>44</v>
      </c>
      <c r="N37" t="s">
        <v>99</v>
      </c>
      <c r="O37" t="s">
        <v>261</v>
      </c>
      <c r="P37" t="s">
        <v>261</v>
      </c>
      <c r="Q37" t="s">
        <v>205</v>
      </c>
    </row>
    <row r="38" spans="1:17" x14ac:dyDescent="0.3">
      <c r="A38" t="s">
        <v>435</v>
      </c>
      <c r="B38" t="s">
        <v>15</v>
      </c>
      <c r="C38" t="s">
        <v>90</v>
      </c>
      <c r="D38" t="s">
        <v>42</v>
      </c>
      <c r="E38" t="s">
        <v>43</v>
      </c>
      <c r="F38" t="s">
        <v>428</v>
      </c>
      <c r="G38" t="s">
        <v>428</v>
      </c>
      <c r="H38" t="s">
        <v>428</v>
      </c>
      <c r="I38" t="s">
        <v>92</v>
      </c>
      <c r="J38" t="s">
        <v>123</v>
      </c>
      <c r="K38" t="s">
        <v>429</v>
      </c>
      <c r="L38" t="s">
        <v>124</v>
      </c>
      <c r="M38" t="s">
        <v>44</v>
      </c>
      <c r="N38" t="s">
        <v>99</v>
      </c>
      <c r="O38" t="s">
        <v>261</v>
      </c>
      <c r="P38" t="s">
        <v>261</v>
      </c>
      <c r="Q38" t="s">
        <v>205</v>
      </c>
    </row>
    <row r="39" spans="1:17" x14ac:dyDescent="0.3">
      <c r="A39" t="s">
        <v>435</v>
      </c>
      <c r="B39" t="s">
        <v>15</v>
      </c>
      <c r="C39" t="s">
        <v>90</v>
      </c>
      <c r="D39" t="s">
        <v>42</v>
      </c>
      <c r="E39" t="s">
        <v>43</v>
      </c>
      <c r="F39" t="s">
        <v>430</v>
      </c>
      <c r="G39" t="s">
        <v>430</v>
      </c>
      <c r="H39" t="s">
        <v>430</v>
      </c>
      <c r="I39" t="s">
        <v>92</v>
      </c>
      <c r="J39" t="s">
        <v>123</v>
      </c>
      <c r="K39" t="s">
        <v>431</v>
      </c>
      <c r="L39" t="s">
        <v>124</v>
      </c>
      <c r="M39" t="s">
        <v>44</v>
      </c>
      <c r="N39" t="s">
        <v>99</v>
      </c>
      <c r="O39" t="s">
        <v>261</v>
      </c>
      <c r="P39" t="s">
        <v>261</v>
      </c>
      <c r="Q39" t="s">
        <v>195</v>
      </c>
    </row>
    <row r="40" spans="1:17" x14ac:dyDescent="0.3">
      <c r="A40" t="s">
        <v>435</v>
      </c>
      <c r="B40" t="s">
        <v>15</v>
      </c>
      <c r="C40" t="s">
        <v>90</v>
      </c>
      <c r="D40" t="s">
        <v>42</v>
      </c>
      <c r="E40" t="s">
        <v>43</v>
      </c>
      <c r="F40" t="s">
        <v>432</v>
      </c>
      <c r="G40" t="s">
        <v>432</v>
      </c>
      <c r="H40" t="s">
        <v>432</v>
      </c>
      <c r="I40" t="s">
        <v>92</v>
      </c>
      <c r="J40" t="s">
        <v>123</v>
      </c>
      <c r="K40" t="s">
        <v>433</v>
      </c>
      <c r="L40" t="s">
        <v>124</v>
      </c>
      <c r="M40" t="s">
        <v>44</v>
      </c>
      <c r="N40" t="s">
        <v>99</v>
      </c>
      <c r="O40" t="s">
        <v>261</v>
      </c>
      <c r="P40" t="s">
        <v>261</v>
      </c>
      <c r="Q40" t="s">
        <v>208</v>
      </c>
    </row>
    <row r="41" spans="1:17" x14ac:dyDescent="0.3">
      <c r="A41" t="s">
        <v>435</v>
      </c>
      <c r="B41" t="s">
        <v>15</v>
      </c>
      <c r="C41" t="s">
        <v>90</v>
      </c>
      <c r="D41" t="s">
        <v>42</v>
      </c>
      <c r="E41" t="s">
        <v>43</v>
      </c>
      <c r="F41" t="s">
        <v>408</v>
      </c>
      <c r="G41" t="s">
        <v>408</v>
      </c>
      <c r="H41" t="s">
        <v>408</v>
      </c>
      <c r="I41" t="s">
        <v>92</v>
      </c>
      <c r="J41" t="s">
        <v>123</v>
      </c>
      <c r="K41" t="s">
        <v>409</v>
      </c>
      <c r="L41" t="s">
        <v>124</v>
      </c>
      <c r="M41" t="s">
        <v>44</v>
      </c>
      <c r="N41" t="s">
        <v>99</v>
      </c>
      <c r="O41" t="s">
        <v>261</v>
      </c>
      <c r="P41" t="s">
        <v>261</v>
      </c>
      <c r="Q41" t="s">
        <v>208</v>
      </c>
    </row>
    <row r="42" spans="1:17" x14ac:dyDescent="0.3">
      <c r="A42" t="s">
        <v>435</v>
      </c>
      <c r="B42" t="s">
        <v>15</v>
      </c>
      <c r="C42" t="s">
        <v>90</v>
      </c>
      <c r="D42" t="s">
        <v>42</v>
      </c>
      <c r="E42" t="s">
        <v>43</v>
      </c>
      <c r="F42" t="s">
        <v>410</v>
      </c>
      <c r="G42" t="s">
        <v>410</v>
      </c>
      <c r="H42" t="s">
        <v>410</v>
      </c>
      <c r="I42" t="s">
        <v>92</v>
      </c>
      <c r="J42" t="s">
        <v>123</v>
      </c>
      <c r="K42" t="s">
        <v>411</v>
      </c>
      <c r="L42" t="s">
        <v>124</v>
      </c>
      <c r="M42" t="s">
        <v>44</v>
      </c>
      <c r="N42" t="s">
        <v>99</v>
      </c>
      <c r="O42" t="s">
        <v>261</v>
      </c>
      <c r="P42" t="s">
        <v>261</v>
      </c>
      <c r="Q42" t="s">
        <v>208</v>
      </c>
    </row>
    <row r="43" spans="1:17" x14ac:dyDescent="0.3">
      <c r="A43" t="s">
        <v>435</v>
      </c>
      <c r="B43" t="s">
        <v>15</v>
      </c>
      <c r="C43" t="s">
        <v>90</v>
      </c>
      <c r="D43" t="s">
        <v>42</v>
      </c>
      <c r="E43" t="s">
        <v>43</v>
      </c>
      <c r="F43" t="s">
        <v>418</v>
      </c>
      <c r="G43" t="s">
        <v>418</v>
      </c>
      <c r="H43" t="s">
        <v>418</v>
      </c>
      <c r="I43" t="s">
        <v>92</v>
      </c>
      <c r="J43" t="s">
        <v>123</v>
      </c>
      <c r="K43" t="s">
        <v>419</v>
      </c>
      <c r="L43" t="s">
        <v>124</v>
      </c>
      <c r="M43" t="s">
        <v>44</v>
      </c>
      <c r="N43" t="s">
        <v>99</v>
      </c>
      <c r="O43" t="s">
        <v>261</v>
      </c>
      <c r="P43" t="s">
        <v>261</v>
      </c>
      <c r="Q43" t="s">
        <v>195</v>
      </c>
    </row>
    <row r="44" spans="1:17" x14ac:dyDescent="0.3">
      <c r="A44" t="s">
        <v>435</v>
      </c>
      <c r="B44" t="s">
        <v>15</v>
      </c>
      <c r="C44" t="s">
        <v>90</v>
      </c>
      <c r="D44" t="s">
        <v>42</v>
      </c>
      <c r="E44" t="s">
        <v>43</v>
      </c>
      <c r="F44" t="s">
        <v>426</v>
      </c>
      <c r="G44" t="s">
        <v>426</v>
      </c>
      <c r="H44" t="s">
        <v>426</v>
      </c>
      <c r="I44" t="s">
        <v>92</v>
      </c>
      <c r="J44" t="s">
        <v>123</v>
      </c>
      <c r="K44" t="s">
        <v>427</v>
      </c>
      <c r="L44" t="s">
        <v>124</v>
      </c>
      <c r="M44" t="s">
        <v>44</v>
      </c>
      <c r="N44" t="s">
        <v>99</v>
      </c>
      <c r="O44" t="s">
        <v>261</v>
      </c>
      <c r="P44" t="s">
        <v>261</v>
      </c>
      <c r="Q44" t="s">
        <v>195</v>
      </c>
    </row>
    <row r="45" spans="1:17" x14ac:dyDescent="0.3">
      <c r="A45" t="s">
        <v>435</v>
      </c>
      <c r="B45" t="s">
        <v>15</v>
      </c>
      <c r="C45" t="s">
        <v>90</v>
      </c>
      <c r="D45" t="s">
        <v>42</v>
      </c>
      <c r="E45" t="s">
        <v>43</v>
      </c>
      <c r="F45" t="s">
        <v>390</v>
      </c>
      <c r="G45" t="s">
        <v>390</v>
      </c>
      <c r="H45" t="s">
        <v>390</v>
      </c>
      <c r="I45" t="s">
        <v>92</v>
      </c>
      <c r="J45" t="s">
        <v>123</v>
      </c>
      <c r="K45" t="s">
        <v>391</v>
      </c>
      <c r="L45" t="s">
        <v>124</v>
      </c>
      <c r="M45" t="s">
        <v>44</v>
      </c>
      <c r="N45" t="s">
        <v>99</v>
      </c>
      <c r="O45" t="s">
        <v>261</v>
      </c>
      <c r="P45" t="s">
        <v>261</v>
      </c>
      <c r="Q45" t="s">
        <v>193</v>
      </c>
    </row>
    <row r="46" spans="1:17" x14ac:dyDescent="0.3">
      <c r="A46" t="s">
        <v>435</v>
      </c>
      <c r="B46" t="s">
        <v>15</v>
      </c>
      <c r="C46" t="s">
        <v>90</v>
      </c>
      <c r="D46" t="s">
        <v>42</v>
      </c>
      <c r="E46" t="s">
        <v>43</v>
      </c>
      <c r="F46" t="s">
        <v>412</v>
      </c>
      <c r="G46" t="s">
        <v>412</v>
      </c>
      <c r="H46" t="s">
        <v>412</v>
      </c>
      <c r="I46" t="s">
        <v>92</v>
      </c>
      <c r="J46" t="s">
        <v>123</v>
      </c>
      <c r="K46" t="s">
        <v>413</v>
      </c>
      <c r="L46" t="s">
        <v>124</v>
      </c>
      <c r="M46" t="s">
        <v>44</v>
      </c>
      <c r="N46" t="s">
        <v>99</v>
      </c>
      <c r="O46" t="s">
        <v>261</v>
      </c>
      <c r="P46" t="s">
        <v>261</v>
      </c>
      <c r="Q46" t="s">
        <v>195</v>
      </c>
    </row>
    <row r="47" spans="1:17" x14ac:dyDescent="0.3">
      <c r="A47" t="s">
        <v>435</v>
      </c>
      <c r="B47" t="s">
        <v>15</v>
      </c>
      <c r="C47" t="s">
        <v>90</v>
      </c>
      <c r="D47" t="s">
        <v>42</v>
      </c>
      <c r="E47" t="s">
        <v>43</v>
      </c>
      <c r="F47" t="s">
        <v>416</v>
      </c>
      <c r="G47" t="s">
        <v>416</v>
      </c>
      <c r="H47" t="s">
        <v>416</v>
      </c>
      <c r="I47" t="s">
        <v>92</v>
      </c>
      <c r="J47" t="s">
        <v>123</v>
      </c>
      <c r="K47" t="s">
        <v>417</v>
      </c>
      <c r="L47" t="s">
        <v>124</v>
      </c>
      <c r="M47" t="s">
        <v>44</v>
      </c>
      <c r="N47" t="s">
        <v>99</v>
      </c>
      <c r="O47" t="s">
        <v>261</v>
      </c>
      <c r="P47" t="s">
        <v>261</v>
      </c>
      <c r="Q47" t="s">
        <v>208</v>
      </c>
    </row>
    <row r="48" spans="1:17" x14ac:dyDescent="0.3">
      <c r="A48" t="s">
        <v>435</v>
      </c>
      <c r="B48" t="s">
        <v>15</v>
      </c>
      <c r="C48" t="s">
        <v>90</v>
      </c>
      <c r="D48" t="s">
        <v>42</v>
      </c>
      <c r="E48" t="s">
        <v>43</v>
      </c>
      <c r="F48" t="s">
        <v>414</v>
      </c>
      <c r="G48" t="s">
        <v>414</v>
      </c>
      <c r="H48" t="s">
        <v>414</v>
      </c>
      <c r="I48" t="s">
        <v>92</v>
      </c>
      <c r="J48" t="s">
        <v>123</v>
      </c>
      <c r="K48" t="s">
        <v>415</v>
      </c>
      <c r="L48" t="s">
        <v>124</v>
      </c>
      <c r="M48" t="s">
        <v>44</v>
      </c>
      <c r="N48" t="s">
        <v>99</v>
      </c>
      <c r="O48" t="s">
        <v>261</v>
      </c>
      <c r="P48" t="s">
        <v>261</v>
      </c>
      <c r="Q48" t="s">
        <v>205</v>
      </c>
    </row>
    <row r="49" spans="1:17" x14ac:dyDescent="0.3">
      <c r="A49" t="s">
        <v>435</v>
      </c>
      <c r="B49" t="s">
        <v>15</v>
      </c>
      <c r="C49" t="s">
        <v>90</v>
      </c>
      <c r="D49" t="s">
        <v>42</v>
      </c>
      <c r="E49" t="s">
        <v>43</v>
      </c>
      <c r="F49" t="s">
        <v>424</v>
      </c>
      <c r="G49" t="s">
        <v>424</v>
      </c>
      <c r="H49" t="s">
        <v>424</v>
      </c>
      <c r="I49" t="s">
        <v>92</v>
      </c>
      <c r="J49" t="s">
        <v>123</v>
      </c>
      <c r="K49" t="s">
        <v>425</v>
      </c>
      <c r="L49" t="s">
        <v>124</v>
      </c>
      <c r="M49" t="s">
        <v>44</v>
      </c>
      <c r="N49" t="s">
        <v>99</v>
      </c>
      <c r="O49" t="s">
        <v>261</v>
      </c>
      <c r="P49" t="s">
        <v>261</v>
      </c>
      <c r="Q49" t="s">
        <v>205</v>
      </c>
    </row>
    <row r="50" spans="1:17" x14ac:dyDescent="0.3">
      <c r="A50" t="s">
        <v>435</v>
      </c>
      <c r="B50" t="s">
        <v>15</v>
      </c>
      <c r="C50" t="s">
        <v>90</v>
      </c>
      <c r="D50" t="s">
        <v>42</v>
      </c>
      <c r="E50" t="s">
        <v>43</v>
      </c>
      <c r="F50" t="s">
        <v>422</v>
      </c>
      <c r="G50" t="s">
        <v>422</v>
      </c>
      <c r="H50" t="s">
        <v>422</v>
      </c>
      <c r="I50" t="s">
        <v>92</v>
      </c>
      <c r="J50" t="s">
        <v>292</v>
      </c>
      <c r="K50" t="s">
        <v>423</v>
      </c>
      <c r="L50" t="s">
        <v>124</v>
      </c>
      <c r="M50" t="s">
        <v>44</v>
      </c>
      <c r="N50" t="s">
        <v>99</v>
      </c>
      <c r="O50" t="s">
        <v>261</v>
      </c>
      <c r="P50" t="s">
        <v>261</v>
      </c>
      <c r="Q50" t="s">
        <v>205</v>
      </c>
    </row>
    <row r="51" spans="1:17" x14ac:dyDescent="0.3">
      <c r="A51" t="s">
        <v>435</v>
      </c>
      <c r="B51" t="s">
        <v>15</v>
      </c>
      <c r="C51" t="s">
        <v>90</v>
      </c>
      <c r="D51" t="s">
        <v>42</v>
      </c>
      <c r="E51" t="s">
        <v>43</v>
      </c>
      <c r="F51" t="s">
        <v>420</v>
      </c>
      <c r="G51" t="s">
        <v>420</v>
      </c>
      <c r="H51" t="s">
        <v>420</v>
      </c>
      <c r="I51" t="s">
        <v>92</v>
      </c>
      <c r="J51" t="s">
        <v>292</v>
      </c>
      <c r="K51" t="s">
        <v>421</v>
      </c>
      <c r="L51" t="s">
        <v>124</v>
      </c>
      <c r="M51" t="s">
        <v>44</v>
      </c>
      <c r="N51" t="s">
        <v>99</v>
      </c>
      <c r="O51" t="s">
        <v>261</v>
      </c>
      <c r="P51" t="s">
        <v>261</v>
      </c>
      <c r="Q51" t="s">
        <v>205</v>
      </c>
    </row>
    <row r="52" spans="1:17" x14ac:dyDescent="0.3">
      <c r="A52" t="s">
        <v>435</v>
      </c>
      <c r="B52" t="s">
        <v>15</v>
      </c>
      <c r="C52" t="s">
        <v>90</v>
      </c>
      <c r="D52" t="s">
        <v>42</v>
      </c>
      <c r="E52" t="s">
        <v>43</v>
      </c>
      <c r="F52" t="s">
        <v>398</v>
      </c>
      <c r="G52" t="s">
        <v>398</v>
      </c>
      <c r="H52" t="s">
        <v>398</v>
      </c>
      <c r="I52" t="s">
        <v>92</v>
      </c>
      <c r="J52" t="s">
        <v>123</v>
      </c>
      <c r="K52" t="s">
        <v>399</v>
      </c>
      <c r="L52" t="s">
        <v>124</v>
      </c>
      <c r="M52" t="s">
        <v>44</v>
      </c>
      <c r="N52" t="s">
        <v>99</v>
      </c>
      <c r="O52" t="s">
        <v>261</v>
      </c>
      <c r="P52" t="s">
        <v>261</v>
      </c>
      <c r="Q52" t="s">
        <v>205</v>
      </c>
    </row>
    <row r="53" spans="1:17" x14ac:dyDescent="0.3">
      <c r="A53" t="s">
        <v>435</v>
      </c>
      <c r="B53" t="s">
        <v>15</v>
      </c>
      <c r="C53" t="s">
        <v>90</v>
      </c>
      <c r="D53" t="s">
        <v>42</v>
      </c>
      <c r="E53" t="s">
        <v>43</v>
      </c>
      <c r="F53" t="s">
        <v>400</v>
      </c>
      <c r="G53" t="s">
        <v>400</v>
      </c>
      <c r="H53" t="s">
        <v>400</v>
      </c>
      <c r="I53" t="s">
        <v>92</v>
      </c>
      <c r="J53" t="s">
        <v>123</v>
      </c>
      <c r="K53" t="s">
        <v>401</v>
      </c>
      <c r="L53" t="s">
        <v>124</v>
      </c>
      <c r="M53" t="s">
        <v>44</v>
      </c>
      <c r="N53" t="s">
        <v>99</v>
      </c>
      <c r="O53" t="s">
        <v>261</v>
      </c>
      <c r="P53" t="s">
        <v>261</v>
      </c>
      <c r="Q53" t="s">
        <v>195</v>
      </c>
    </row>
    <row r="54" spans="1:17" x14ac:dyDescent="0.3">
      <c r="A54" t="s">
        <v>435</v>
      </c>
      <c r="B54" t="s">
        <v>15</v>
      </c>
      <c r="C54" t="s">
        <v>90</v>
      </c>
      <c r="D54" t="s">
        <v>42</v>
      </c>
      <c r="E54" t="s">
        <v>43</v>
      </c>
      <c r="F54" t="s">
        <v>396</v>
      </c>
      <c r="G54" t="s">
        <v>396</v>
      </c>
      <c r="H54" t="s">
        <v>396</v>
      </c>
      <c r="I54" t="s">
        <v>92</v>
      </c>
      <c r="J54" t="s">
        <v>123</v>
      </c>
      <c r="K54" t="s">
        <v>397</v>
      </c>
      <c r="L54" t="s">
        <v>124</v>
      </c>
      <c r="M54" t="s">
        <v>44</v>
      </c>
      <c r="N54" t="s">
        <v>99</v>
      </c>
      <c r="O54" t="s">
        <v>261</v>
      </c>
      <c r="P54" t="s">
        <v>261</v>
      </c>
      <c r="Q54" t="s">
        <v>208</v>
      </c>
    </row>
    <row r="55" spans="1:17" x14ac:dyDescent="0.3">
      <c r="A55" t="s">
        <v>435</v>
      </c>
      <c r="B55" t="s">
        <v>15</v>
      </c>
      <c r="C55" t="s">
        <v>90</v>
      </c>
      <c r="D55" t="s">
        <v>42</v>
      </c>
      <c r="E55" t="s">
        <v>43</v>
      </c>
      <c r="F55" t="s">
        <v>394</v>
      </c>
      <c r="G55" t="s">
        <v>394</v>
      </c>
      <c r="H55" t="s">
        <v>394</v>
      </c>
      <c r="I55" t="s">
        <v>92</v>
      </c>
      <c r="J55" t="s">
        <v>93</v>
      </c>
      <c r="K55" t="s">
        <v>395</v>
      </c>
      <c r="L55" t="s">
        <v>124</v>
      </c>
      <c r="M55" t="s">
        <v>44</v>
      </c>
      <c r="N55" t="s">
        <v>99</v>
      </c>
      <c r="O55" t="s">
        <v>261</v>
      </c>
      <c r="P55" t="s">
        <v>261</v>
      </c>
      <c r="Q55" t="s">
        <v>205</v>
      </c>
    </row>
    <row r="56" spans="1:17" x14ac:dyDescent="0.3">
      <c r="A56" t="s">
        <v>435</v>
      </c>
      <c r="B56" t="s">
        <v>15</v>
      </c>
      <c r="C56" t="s">
        <v>90</v>
      </c>
      <c r="D56" t="s">
        <v>42</v>
      </c>
      <c r="E56" t="s">
        <v>43</v>
      </c>
      <c r="F56" t="s">
        <v>392</v>
      </c>
      <c r="G56" t="s">
        <v>392</v>
      </c>
      <c r="H56" t="s">
        <v>392</v>
      </c>
      <c r="I56" t="s">
        <v>92</v>
      </c>
      <c r="J56" t="s">
        <v>93</v>
      </c>
      <c r="K56" t="s">
        <v>393</v>
      </c>
      <c r="L56" t="s">
        <v>124</v>
      </c>
      <c r="M56" t="s">
        <v>44</v>
      </c>
      <c r="N56" t="s">
        <v>99</v>
      </c>
      <c r="O56" t="s">
        <v>261</v>
      </c>
      <c r="P56" t="s">
        <v>261</v>
      </c>
      <c r="Q56" t="s">
        <v>205</v>
      </c>
    </row>
    <row r="57" spans="1:17" x14ac:dyDescent="0.3">
      <c r="A57" t="s">
        <v>435</v>
      </c>
      <c r="B57" t="s">
        <v>15</v>
      </c>
      <c r="C57" t="s">
        <v>90</v>
      </c>
      <c r="D57" t="s">
        <v>42</v>
      </c>
      <c r="E57" t="s">
        <v>43</v>
      </c>
      <c r="F57" t="s">
        <v>406</v>
      </c>
      <c r="G57" t="s">
        <v>406</v>
      </c>
      <c r="H57" t="s">
        <v>406</v>
      </c>
      <c r="I57" t="s">
        <v>92</v>
      </c>
      <c r="J57" t="s">
        <v>123</v>
      </c>
      <c r="K57" t="s">
        <v>407</v>
      </c>
      <c r="L57" t="s">
        <v>124</v>
      </c>
      <c r="M57" t="s">
        <v>44</v>
      </c>
      <c r="N57" t="s">
        <v>99</v>
      </c>
      <c r="O57" t="s">
        <v>261</v>
      </c>
      <c r="P57" t="s">
        <v>261</v>
      </c>
      <c r="Q57" t="s">
        <v>195</v>
      </c>
    </row>
    <row r="58" spans="1:17" x14ac:dyDescent="0.3">
      <c r="A58" t="s">
        <v>435</v>
      </c>
      <c r="B58" t="s">
        <v>15</v>
      </c>
      <c r="C58" t="s">
        <v>90</v>
      </c>
      <c r="D58" t="s">
        <v>42</v>
      </c>
      <c r="E58" t="s">
        <v>43</v>
      </c>
      <c r="F58" t="s">
        <v>404</v>
      </c>
      <c r="G58" t="s">
        <v>404</v>
      </c>
      <c r="H58" t="s">
        <v>404</v>
      </c>
      <c r="I58" t="s">
        <v>92</v>
      </c>
      <c r="J58" t="s">
        <v>93</v>
      </c>
      <c r="K58" t="s">
        <v>405</v>
      </c>
      <c r="L58" t="s">
        <v>124</v>
      </c>
      <c r="M58" t="s">
        <v>44</v>
      </c>
      <c r="N58" t="s">
        <v>99</v>
      </c>
      <c r="O58" t="s">
        <v>261</v>
      </c>
      <c r="P58" t="s">
        <v>261</v>
      </c>
      <c r="Q58" t="s">
        <v>208</v>
      </c>
    </row>
    <row r="59" spans="1:17" x14ac:dyDescent="0.3">
      <c r="A59" t="s">
        <v>435</v>
      </c>
      <c r="B59" t="s">
        <v>15</v>
      </c>
      <c r="C59" t="s">
        <v>90</v>
      </c>
      <c r="D59" t="s">
        <v>42</v>
      </c>
      <c r="E59" t="s">
        <v>43</v>
      </c>
      <c r="F59" t="s">
        <v>402</v>
      </c>
      <c r="G59" t="s">
        <v>402</v>
      </c>
      <c r="H59" t="s">
        <v>402</v>
      </c>
      <c r="I59" t="s">
        <v>92</v>
      </c>
      <c r="J59" t="s">
        <v>123</v>
      </c>
      <c r="K59" t="s">
        <v>403</v>
      </c>
      <c r="L59" t="s">
        <v>124</v>
      </c>
      <c r="M59" t="s">
        <v>44</v>
      </c>
      <c r="N59" t="s">
        <v>99</v>
      </c>
      <c r="O59" t="s">
        <v>261</v>
      </c>
      <c r="P59" t="s">
        <v>261</v>
      </c>
      <c r="Q59" t="s">
        <v>195</v>
      </c>
    </row>
    <row r="60" spans="1:17" x14ac:dyDescent="0.3">
      <c r="A60" t="s">
        <v>435</v>
      </c>
      <c r="B60" t="s">
        <v>15</v>
      </c>
      <c r="C60" t="s">
        <v>90</v>
      </c>
      <c r="D60" t="s">
        <v>42</v>
      </c>
      <c r="E60" t="s">
        <v>43</v>
      </c>
      <c r="F60" t="s">
        <v>366</v>
      </c>
      <c r="G60" t="s">
        <v>366</v>
      </c>
      <c r="H60" t="s">
        <v>366</v>
      </c>
      <c r="I60" t="s">
        <v>92</v>
      </c>
      <c r="J60" t="s">
        <v>123</v>
      </c>
      <c r="K60" t="s">
        <v>367</v>
      </c>
      <c r="L60" t="s">
        <v>124</v>
      </c>
      <c r="M60" t="s">
        <v>44</v>
      </c>
      <c r="N60" t="s">
        <v>99</v>
      </c>
      <c r="O60" t="s">
        <v>261</v>
      </c>
      <c r="P60" t="s">
        <v>261</v>
      </c>
      <c r="Q60" t="s">
        <v>195</v>
      </c>
    </row>
    <row r="61" spans="1:17" x14ac:dyDescent="0.3">
      <c r="A61" t="s">
        <v>435</v>
      </c>
      <c r="B61" t="s">
        <v>15</v>
      </c>
      <c r="C61" t="s">
        <v>90</v>
      </c>
      <c r="D61" t="s">
        <v>42</v>
      </c>
      <c r="E61" t="s">
        <v>43</v>
      </c>
      <c r="F61" t="s">
        <v>370</v>
      </c>
      <c r="G61" t="s">
        <v>370</v>
      </c>
      <c r="H61" t="s">
        <v>370</v>
      </c>
      <c r="I61" t="s">
        <v>92</v>
      </c>
      <c r="J61" t="s">
        <v>93</v>
      </c>
      <c r="K61" t="s">
        <v>371</v>
      </c>
      <c r="L61" t="s">
        <v>124</v>
      </c>
      <c r="M61" t="s">
        <v>44</v>
      </c>
      <c r="N61" t="s">
        <v>99</v>
      </c>
      <c r="O61" t="s">
        <v>261</v>
      </c>
      <c r="P61" t="s">
        <v>261</v>
      </c>
      <c r="Q61" t="s">
        <v>193</v>
      </c>
    </row>
    <row r="62" spans="1:17" x14ac:dyDescent="0.3">
      <c r="A62" t="s">
        <v>435</v>
      </c>
      <c r="B62" t="s">
        <v>15</v>
      </c>
      <c r="C62" t="s">
        <v>90</v>
      </c>
      <c r="D62" t="s">
        <v>42</v>
      </c>
      <c r="E62" t="s">
        <v>43</v>
      </c>
      <c r="F62" t="s">
        <v>319</v>
      </c>
      <c r="G62" t="s">
        <v>319</v>
      </c>
      <c r="H62" t="s">
        <v>319</v>
      </c>
      <c r="I62" t="s">
        <v>92</v>
      </c>
      <c r="J62" t="s">
        <v>93</v>
      </c>
      <c r="K62" t="s">
        <v>320</v>
      </c>
      <c r="L62" t="s">
        <v>124</v>
      </c>
      <c r="M62" t="s">
        <v>44</v>
      </c>
      <c r="N62" t="s">
        <v>99</v>
      </c>
      <c r="O62" t="s">
        <v>261</v>
      </c>
      <c r="P62" t="s">
        <v>261</v>
      </c>
      <c r="Q62" t="s">
        <v>195</v>
      </c>
    </row>
    <row r="63" spans="1:17" x14ac:dyDescent="0.3">
      <c r="A63" t="s">
        <v>435</v>
      </c>
      <c r="B63" t="s">
        <v>15</v>
      </c>
      <c r="C63" t="s">
        <v>90</v>
      </c>
      <c r="D63" t="s">
        <v>42</v>
      </c>
      <c r="E63" t="s">
        <v>43</v>
      </c>
      <c r="F63" t="s">
        <v>321</v>
      </c>
      <c r="G63" t="s">
        <v>321</v>
      </c>
      <c r="H63" t="s">
        <v>321</v>
      </c>
      <c r="I63" t="s">
        <v>92</v>
      </c>
      <c r="J63" t="s">
        <v>123</v>
      </c>
      <c r="K63" t="s">
        <v>322</v>
      </c>
      <c r="L63" t="s">
        <v>124</v>
      </c>
      <c r="M63" t="s">
        <v>44</v>
      </c>
      <c r="N63" t="s">
        <v>99</v>
      </c>
      <c r="O63" t="s">
        <v>261</v>
      </c>
      <c r="P63" t="s">
        <v>261</v>
      </c>
      <c r="Q63" t="s">
        <v>195</v>
      </c>
    </row>
    <row r="64" spans="1:17" x14ac:dyDescent="0.3">
      <c r="A64" t="s">
        <v>435</v>
      </c>
      <c r="B64" t="s">
        <v>15</v>
      </c>
      <c r="C64" t="s">
        <v>90</v>
      </c>
      <c r="D64" t="s">
        <v>42</v>
      </c>
      <c r="E64" t="s">
        <v>43</v>
      </c>
      <c r="F64" t="s">
        <v>352</v>
      </c>
      <c r="G64" t="s">
        <v>352</v>
      </c>
      <c r="H64" t="s">
        <v>352</v>
      </c>
      <c r="I64" t="s">
        <v>92</v>
      </c>
      <c r="J64" t="s">
        <v>123</v>
      </c>
      <c r="K64" t="s">
        <v>353</v>
      </c>
      <c r="L64" t="s">
        <v>124</v>
      </c>
      <c r="M64" t="s">
        <v>44</v>
      </c>
      <c r="N64" t="s">
        <v>99</v>
      </c>
      <c r="O64" t="s">
        <v>261</v>
      </c>
      <c r="P64" t="s">
        <v>261</v>
      </c>
      <c r="Q64" t="s">
        <v>195</v>
      </c>
    </row>
    <row r="65" spans="1:17" x14ac:dyDescent="0.3">
      <c r="A65" t="s">
        <v>435</v>
      </c>
      <c r="B65" t="s">
        <v>15</v>
      </c>
      <c r="C65" t="s">
        <v>90</v>
      </c>
      <c r="D65" t="s">
        <v>42</v>
      </c>
      <c r="E65" t="s">
        <v>43</v>
      </c>
      <c r="F65" t="s">
        <v>350</v>
      </c>
      <c r="G65" t="s">
        <v>350</v>
      </c>
      <c r="H65" t="s">
        <v>350</v>
      </c>
      <c r="I65" t="s">
        <v>92</v>
      </c>
      <c r="J65" t="s">
        <v>93</v>
      </c>
      <c r="K65" t="s">
        <v>351</v>
      </c>
      <c r="L65" t="s">
        <v>124</v>
      </c>
      <c r="M65" t="s">
        <v>44</v>
      </c>
      <c r="N65" t="s">
        <v>99</v>
      </c>
      <c r="O65" t="s">
        <v>261</v>
      </c>
      <c r="P65" t="s">
        <v>261</v>
      </c>
      <c r="Q65" t="s">
        <v>208</v>
      </c>
    </row>
    <row r="66" spans="1:17" x14ac:dyDescent="0.3">
      <c r="A66" t="s">
        <v>435</v>
      </c>
      <c r="B66" t="s">
        <v>15</v>
      </c>
      <c r="C66" t="s">
        <v>90</v>
      </c>
      <c r="D66" t="s">
        <v>42</v>
      </c>
      <c r="E66" t="s">
        <v>43</v>
      </c>
      <c r="F66" t="s">
        <v>348</v>
      </c>
      <c r="G66" t="s">
        <v>348</v>
      </c>
      <c r="H66" t="s">
        <v>348</v>
      </c>
      <c r="I66" t="s">
        <v>92</v>
      </c>
      <c r="J66" t="s">
        <v>93</v>
      </c>
      <c r="K66" t="s">
        <v>349</v>
      </c>
      <c r="L66" t="s">
        <v>124</v>
      </c>
      <c r="M66" t="s">
        <v>44</v>
      </c>
      <c r="N66" t="s">
        <v>99</v>
      </c>
      <c r="O66" t="s">
        <v>261</v>
      </c>
      <c r="P66" t="s">
        <v>261</v>
      </c>
      <c r="Q66" t="s">
        <v>205</v>
      </c>
    </row>
    <row r="67" spans="1:17" x14ac:dyDescent="0.3">
      <c r="A67" t="s">
        <v>435</v>
      </c>
      <c r="B67" t="s">
        <v>15</v>
      </c>
      <c r="C67" t="s">
        <v>90</v>
      </c>
      <c r="D67" t="s">
        <v>42</v>
      </c>
      <c r="E67" t="s">
        <v>43</v>
      </c>
      <c r="F67" t="s">
        <v>343</v>
      </c>
      <c r="G67" t="s">
        <v>343</v>
      </c>
      <c r="H67" t="s">
        <v>343</v>
      </c>
      <c r="I67" t="s">
        <v>92</v>
      </c>
      <c r="J67" t="s">
        <v>344</v>
      </c>
      <c r="K67" t="s">
        <v>345</v>
      </c>
      <c r="L67" t="s">
        <v>124</v>
      </c>
      <c r="M67" t="s">
        <v>44</v>
      </c>
      <c r="N67" t="s">
        <v>99</v>
      </c>
      <c r="O67" t="s">
        <v>261</v>
      </c>
      <c r="P67" t="s">
        <v>261</v>
      </c>
      <c r="Q67" t="s">
        <v>195</v>
      </c>
    </row>
    <row r="68" spans="1:17" x14ac:dyDescent="0.3">
      <c r="A68" t="s">
        <v>435</v>
      </c>
      <c r="B68" t="s">
        <v>15</v>
      </c>
      <c r="C68" t="s">
        <v>90</v>
      </c>
      <c r="D68" t="s">
        <v>42</v>
      </c>
      <c r="E68" t="s">
        <v>43</v>
      </c>
      <c r="F68" t="s">
        <v>346</v>
      </c>
      <c r="G68" t="s">
        <v>346</v>
      </c>
      <c r="H68" t="s">
        <v>346</v>
      </c>
      <c r="I68" t="s">
        <v>92</v>
      </c>
      <c r="J68" t="s">
        <v>123</v>
      </c>
      <c r="K68" t="s">
        <v>347</v>
      </c>
      <c r="L68" t="s">
        <v>124</v>
      </c>
      <c r="M68" t="s">
        <v>44</v>
      </c>
      <c r="N68" t="s">
        <v>99</v>
      </c>
      <c r="O68" t="s">
        <v>261</v>
      </c>
      <c r="P68" t="s">
        <v>261</v>
      </c>
      <c r="Q68" t="s">
        <v>195</v>
      </c>
    </row>
    <row r="69" spans="1:17" x14ac:dyDescent="0.3">
      <c r="A69" t="s">
        <v>435</v>
      </c>
      <c r="B69" t="s">
        <v>15</v>
      </c>
      <c r="C69" t="s">
        <v>90</v>
      </c>
      <c r="D69" t="s">
        <v>42</v>
      </c>
      <c r="E69" t="s">
        <v>43</v>
      </c>
      <c r="F69" t="s">
        <v>341</v>
      </c>
      <c r="G69" t="s">
        <v>341</v>
      </c>
      <c r="H69" t="s">
        <v>341</v>
      </c>
      <c r="I69" t="s">
        <v>92</v>
      </c>
      <c r="J69" t="s">
        <v>93</v>
      </c>
      <c r="K69" t="s">
        <v>342</v>
      </c>
      <c r="L69" t="s">
        <v>124</v>
      </c>
      <c r="M69" t="s">
        <v>44</v>
      </c>
      <c r="N69" t="s">
        <v>99</v>
      </c>
      <c r="O69" t="s">
        <v>261</v>
      </c>
      <c r="P69" t="s">
        <v>261</v>
      </c>
      <c r="Q69" t="s">
        <v>195</v>
      </c>
    </row>
    <row r="70" spans="1:17" x14ac:dyDescent="0.3">
      <c r="A70" t="s">
        <v>435</v>
      </c>
      <c r="B70" t="s">
        <v>15</v>
      </c>
      <c r="C70" t="s">
        <v>90</v>
      </c>
      <c r="D70" t="s">
        <v>42</v>
      </c>
      <c r="E70" t="s">
        <v>43</v>
      </c>
      <c r="F70" t="s">
        <v>388</v>
      </c>
      <c r="G70" t="s">
        <v>388</v>
      </c>
      <c r="H70" t="s">
        <v>388</v>
      </c>
      <c r="I70" t="s">
        <v>92</v>
      </c>
      <c r="J70" t="s">
        <v>93</v>
      </c>
      <c r="K70" t="s">
        <v>389</v>
      </c>
      <c r="L70" t="s">
        <v>124</v>
      </c>
      <c r="M70" t="s">
        <v>44</v>
      </c>
      <c r="N70" t="s">
        <v>99</v>
      </c>
      <c r="O70" t="s">
        <v>261</v>
      </c>
      <c r="P70" t="s">
        <v>261</v>
      </c>
      <c r="Q70" t="s">
        <v>205</v>
      </c>
    </row>
    <row r="71" spans="1:17" x14ac:dyDescent="0.3">
      <c r="A71" t="s">
        <v>435</v>
      </c>
      <c r="B71" t="s">
        <v>15</v>
      </c>
      <c r="C71" t="s">
        <v>90</v>
      </c>
      <c r="D71" t="s">
        <v>42</v>
      </c>
      <c r="E71" t="s">
        <v>43</v>
      </c>
      <c r="F71" t="s">
        <v>372</v>
      </c>
      <c r="G71" t="s">
        <v>372</v>
      </c>
      <c r="H71" t="s">
        <v>372</v>
      </c>
      <c r="I71" t="s">
        <v>92</v>
      </c>
      <c r="J71" t="s">
        <v>123</v>
      </c>
      <c r="K71" t="s">
        <v>373</v>
      </c>
      <c r="L71" t="s">
        <v>124</v>
      </c>
      <c r="M71" t="s">
        <v>44</v>
      </c>
      <c r="N71" t="s">
        <v>99</v>
      </c>
      <c r="O71" t="s">
        <v>261</v>
      </c>
      <c r="P71" t="s">
        <v>261</v>
      </c>
      <c r="Q71" t="s">
        <v>193</v>
      </c>
    </row>
    <row r="72" spans="1:17" x14ac:dyDescent="0.3">
      <c r="A72" t="s">
        <v>435</v>
      </c>
      <c r="B72" t="s">
        <v>15</v>
      </c>
      <c r="C72" t="s">
        <v>90</v>
      </c>
      <c r="D72" t="s">
        <v>42</v>
      </c>
      <c r="E72" t="s">
        <v>43</v>
      </c>
      <c r="F72" t="s">
        <v>386</v>
      </c>
      <c r="G72" t="s">
        <v>386</v>
      </c>
      <c r="H72" t="s">
        <v>386</v>
      </c>
      <c r="I72" t="s">
        <v>92</v>
      </c>
      <c r="J72" t="s">
        <v>93</v>
      </c>
      <c r="K72" t="s">
        <v>387</v>
      </c>
      <c r="L72" t="s">
        <v>124</v>
      </c>
      <c r="M72" t="s">
        <v>44</v>
      </c>
      <c r="N72" t="s">
        <v>99</v>
      </c>
      <c r="O72" t="s">
        <v>261</v>
      </c>
      <c r="P72" t="s">
        <v>261</v>
      </c>
      <c r="Q72" t="s">
        <v>195</v>
      </c>
    </row>
    <row r="73" spans="1:17" x14ac:dyDescent="0.3">
      <c r="A73" t="s">
        <v>435</v>
      </c>
      <c r="B73" t="s">
        <v>15</v>
      </c>
      <c r="C73" t="s">
        <v>90</v>
      </c>
      <c r="D73" t="s">
        <v>42</v>
      </c>
      <c r="E73" t="s">
        <v>43</v>
      </c>
      <c r="F73" t="s">
        <v>382</v>
      </c>
      <c r="G73" t="s">
        <v>382</v>
      </c>
      <c r="H73" t="s">
        <v>382</v>
      </c>
      <c r="I73" t="s">
        <v>92</v>
      </c>
      <c r="J73" t="s">
        <v>123</v>
      </c>
      <c r="K73" t="s">
        <v>383</v>
      </c>
      <c r="L73" t="s">
        <v>124</v>
      </c>
      <c r="M73" t="s">
        <v>44</v>
      </c>
      <c r="N73" t="s">
        <v>99</v>
      </c>
      <c r="O73" t="s">
        <v>261</v>
      </c>
      <c r="P73" t="s">
        <v>261</v>
      </c>
      <c r="Q73" t="s">
        <v>195</v>
      </c>
    </row>
    <row r="74" spans="1:17" x14ac:dyDescent="0.3">
      <c r="A74" t="s">
        <v>435</v>
      </c>
      <c r="B74" t="s">
        <v>15</v>
      </c>
      <c r="C74" t="s">
        <v>90</v>
      </c>
      <c r="D74" t="s">
        <v>42</v>
      </c>
      <c r="E74" t="s">
        <v>43</v>
      </c>
      <c r="F74" t="s">
        <v>384</v>
      </c>
      <c r="G74" t="s">
        <v>384</v>
      </c>
      <c r="H74" t="s">
        <v>384</v>
      </c>
      <c r="I74" t="s">
        <v>92</v>
      </c>
      <c r="J74" t="s">
        <v>123</v>
      </c>
      <c r="K74" t="s">
        <v>385</v>
      </c>
      <c r="L74" t="s">
        <v>124</v>
      </c>
      <c r="M74" t="s">
        <v>44</v>
      </c>
      <c r="N74" t="s">
        <v>99</v>
      </c>
      <c r="O74" t="s">
        <v>261</v>
      </c>
      <c r="P74" t="s">
        <v>261</v>
      </c>
      <c r="Q74" t="s">
        <v>205</v>
      </c>
    </row>
    <row r="75" spans="1:17" x14ac:dyDescent="0.3">
      <c r="A75" t="s">
        <v>435</v>
      </c>
      <c r="B75" t="s">
        <v>15</v>
      </c>
      <c r="C75" t="s">
        <v>90</v>
      </c>
      <c r="D75" t="s">
        <v>42</v>
      </c>
      <c r="E75" t="s">
        <v>43</v>
      </c>
      <c r="F75" t="s">
        <v>380</v>
      </c>
      <c r="G75" t="s">
        <v>380</v>
      </c>
      <c r="H75" t="s">
        <v>380</v>
      </c>
      <c r="I75" t="s">
        <v>92</v>
      </c>
      <c r="J75" t="s">
        <v>93</v>
      </c>
      <c r="K75" t="s">
        <v>381</v>
      </c>
      <c r="L75" t="s">
        <v>124</v>
      </c>
      <c r="M75" t="s">
        <v>44</v>
      </c>
      <c r="N75" t="s">
        <v>99</v>
      </c>
      <c r="O75" t="s">
        <v>261</v>
      </c>
      <c r="P75" t="s">
        <v>261</v>
      </c>
      <c r="Q75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139</v>
      </c>
    </row>
    <row r="4" spans="2:15" x14ac:dyDescent="0.3">
      <c r="M4" t="s">
        <v>438</v>
      </c>
    </row>
    <row r="5" spans="2:15" x14ac:dyDescent="0.3">
      <c r="B5" s="34" t="s">
        <v>34</v>
      </c>
      <c r="C5" s="34" t="s">
        <v>35</v>
      </c>
      <c r="D5" s="34" t="s">
        <v>36</v>
      </c>
      <c r="E5" s="34" t="s">
        <v>37</v>
      </c>
      <c r="F5" s="34" t="s">
        <v>38</v>
      </c>
      <c r="G5" s="34" t="s">
        <v>14</v>
      </c>
      <c r="H5" s="34" t="s">
        <v>39</v>
      </c>
      <c r="I5" s="34" t="s">
        <v>40</v>
      </c>
      <c r="J5" s="34" t="s">
        <v>41</v>
      </c>
      <c r="K5" s="34" t="s">
        <v>88</v>
      </c>
      <c r="L5" s="34" t="s">
        <v>89</v>
      </c>
      <c r="M5" s="34" t="s">
        <v>125</v>
      </c>
      <c r="N5" s="34" t="s">
        <v>126</v>
      </c>
    </row>
    <row r="6" spans="2:15" x14ac:dyDescent="0.3">
      <c r="B6" s="35" t="s">
        <v>127</v>
      </c>
      <c r="C6" s="35" t="s">
        <v>90</v>
      </c>
      <c r="D6" s="35" t="s">
        <v>42</v>
      </c>
      <c r="E6" s="35" t="s">
        <v>43</v>
      </c>
      <c r="F6" s="36" t="s">
        <v>131</v>
      </c>
      <c r="G6" s="36" t="s">
        <v>92</v>
      </c>
      <c r="H6" s="36" t="s">
        <v>123</v>
      </c>
      <c r="I6" s="36" t="s">
        <v>132</v>
      </c>
      <c r="J6" s="36" t="s">
        <v>133</v>
      </c>
      <c r="K6" s="36" t="s">
        <v>118</v>
      </c>
      <c r="L6" s="36" t="s">
        <v>119</v>
      </c>
      <c r="M6" s="36" t="s">
        <v>134</v>
      </c>
      <c r="N6" s="36" t="s">
        <v>135</v>
      </c>
      <c r="O6" t="s">
        <v>437</v>
      </c>
    </row>
    <row r="7" spans="2:15" x14ac:dyDescent="0.3">
      <c r="B7" s="35" t="s">
        <v>127</v>
      </c>
      <c r="C7" s="35" t="s">
        <v>90</v>
      </c>
      <c r="D7" s="35" t="s">
        <v>42</v>
      </c>
      <c r="E7" s="35" t="s">
        <v>43</v>
      </c>
      <c r="F7" s="36" t="s">
        <v>131</v>
      </c>
      <c r="G7" s="36" t="s">
        <v>92</v>
      </c>
      <c r="H7" s="36" t="s">
        <v>123</v>
      </c>
      <c r="I7" s="36" t="s">
        <v>132</v>
      </c>
      <c r="J7" s="36" t="s">
        <v>136</v>
      </c>
      <c r="K7" s="36" t="s">
        <v>118</v>
      </c>
      <c r="L7" s="36" t="s">
        <v>119</v>
      </c>
      <c r="M7" s="36" t="s">
        <v>137</v>
      </c>
      <c r="N7" s="36" t="s">
        <v>138</v>
      </c>
    </row>
    <row r="8" spans="2:15" x14ac:dyDescent="0.3">
      <c r="B8" s="35" t="s">
        <v>127</v>
      </c>
      <c r="C8" s="35" t="s">
        <v>90</v>
      </c>
      <c r="D8" s="35" t="s">
        <v>42</v>
      </c>
      <c r="E8" s="35" t="s">
        <v>43</v>
      </c>
      <c r="F8" s="37" t="s">
        <v>146</v>
      </c>
      <c r="G8" s="37" t="s">
        <v>92</v>
      </c>
      <c r="H8" s="37" t="s">
        <v>123</v>
      </c>
      <c r="I8" s="37" t="s">
        <v>179</v>
      </c>
      <c r="J8" s="37" t="s">
        <v>180</v>
      </c>
      <c r="K8" s="37" t="s">
        <v>118</v>
      </c>
      <c r="L8" s="37" t="s">
        <v>119</v>
      </c>
      <c r="M8" s="37" t="s">
        <v>181</v>
      </c>
      <c r="N8" s="37" t="s">
        <v>138</v>
      </c>
    </row>
    <row r="9" spans="2:15" x14ac:dyDescent="0.3">
      <c r="B9" s="35" t="s">
        <v>127</v>
      </c>
      <c r="C9" s="35" t="s">
        <v>90</v>
      </c>
      <c r="D9" s="35" t="s">
        <v>42</v>
      </c>
      <c r="E9" s="35" t="s">
        <v>43</v>
      </c>
      <c r="F9" s="37" t="s">
        <v>146</v>
      </c>
      <c r="G9" s="37" t="s">
        <v>92</v>
      </c>
      <c r="H9" s="37" t="s">
        <v>123</v>
      </c>
      <c r="I9" s="37" t="s">
        <v>179</v>
      </c>
      <c r="J9" s="37" t="s">
        <v>182</v>
      </c>
      <c r="K9" s="37" t="s">
        <v>118</v>
      </c>
      <c r="L9" s="37" t="s">
        <v>119</v>
      </c>
      <c r="M9" s="37" t="s">
        <v>183</v>
      </c>
      <c r="N9" s="37" t="s">
        <v>135</v>
      </c>
    </row>
    <row r="10" spans="2:15" x14ac:dyDescent="0.3">
      <c r="B10" s="35" t="s">
        <v>127</v>
      </c>
      <c r="C10" s="35" t="s">
        <v>90</v>
      </c>
      <c r="D10" s="35" t="s">
        <v>42</v>
      </c>
      <c r="E10" s="35" t="s">
        <v>43</v>
      </c>
      <c r="F10" s="38" t="s">
        <v>177</v>
      </c>
      <c r="G10" s="38" t="s">
        <v>92</v>
      </c>
      <c r="H10" s="38" t="s">
        <v>130</v>
      </c>
      <c r="I10" s="38" t="s">
        <v>184</v>
      </c>
      <c r="J10" s="38" t="s">
        <v>124</v>
      </c>
      <c r="K10" s="38" t="s">
        <v>128</v>
      </c>
      <c r="L10" s="38" t="s">
        <v>129</v>
      </c>
      <c r="M10" s="38" t="s">
        <v>185</v>
      </c>
      <c r="N10" s="38" t="s">
        <v>138</v>
      </c>
    </row>
    <row r="11" spans="2:15" x14ac:dyDescent="0.3">
      <c r="B11" s="35" t="s">
        <v>127</v>
      </c>
      <c r="C11" s="35" t="s">
        <v>90</v>
      </c>
      <c r="D11" s="35" t="s">
        <v>42</v>
      </c>
      <c r="E11" s="35" t="s">
        <v>43</v>
      </c>
      <c r="F11" s="38" t="s">
        <v>177</v>
      </c>
      <c r="G11" s="38" t="s">
        <v>92</v>
      </c>
      <c r="H11" s="38" t="s">
        <v>130</v>
      </c>
      <c r="I11" s="38" t="s">
        <v>184</v>
      </c>
      <c r="J11" s="38" t="s">
        <v>124</v>
      </c>
      <c r="K11" s="38" t="s">
        <v>128</v>
      </c>
      <c r="L11" s="38" t="s">
        <v>129</v>
      </c>
      <c r="M11" s="38" t="s">
        <v>186</v>
      </c>
      <c r="N11" s="38" t="s">
        <v>135</v>
      </c>
    </row>
    <row r="13" spans="2:15" x14ac:dyDescent="0.3">
      <c r="B13" s="1" t="s">
        <v>178</v>
      </c>
    </row>
    <row r="14" spans="2:15" ht="7.05" customHeight="1" x14ac:dyDescent="0.3"/>
    <row r="15" spans="2:15" x14ac:dyDescent="0.3">
      <c r="B15" s="34" t="s">
        <v>38</v>
      </c>
      <c r="C15" s="34" t="s">
        <v>126</v>
      </c>
      <c r="D15" s="34" t="s">
        <v>140</v>
      </c>
      <c r="E15" s="34" t="s">
        <v>141</v>
      </c>
    </row>
    <row r="16" spans="2:15" x14ac:dyDescent="0.3">
      <c r="B16" s="35" t="s">
        <v>131</v>
      </c>
      <c r="C16" s="35" t="s">
        <v>135</v>
      </c>
      <c r="D16" s="35">
        <v>1</v>
      </c>
      <c r="E16" s="35">
        <v>2</v>
      </c>
    </row>
    <row r="17" spans="2:5" x14ac:dyDescent="0.3">
      <c r="B17" s="35" t="s">
        <v>131</v>
      </c>
      <c r="C17" s="35" t="s">
        <v>138</v>
      </c>
      <c r="D17" s="35">
        <v>1</v>
      </c>
      <c r="E17" s="35">
        <v>2</v>
      </c>
    </row>
    <row r="18" spans="2:5" x14ac:dyDescent="0.3">
      <c r="B18" s="35" t="s">
        <v>142</v>
      </c>
      <c r="C18" s="35" t="s">
        <v>138</v>
      </c>
      <c r="D18" s="35">
        <v>1</v>
      </c>
      <c r="E18" s="35">
        <v>2</v>
      </c>
    </row>
    <row r="19" spans="2:5" x14ac:dyDescent="0.3">
      <c r="B19" s="35" t="s">
        <v>142</v>
      </c>
      <c r="C19" s="35" t="s">
        <v>135</v>
      </c>
      <c r="D19" s="35">
        <v>1</v>
      </c>
      <c r="E19" s="35">
        <v>2</v>
      </c>
    </row>
    <row r="20" spans="2:5" x14ac:dyDescent="0.3">
      <c r="B20" s="35" t="s">
        <v>143</v>
      </c>
      <c r="C20" s="35" t="s">
        <v>135</v>
      </c>
      <c r="D20" s="35">
        <v>1</v>
      </c>
      <c r="E20" s="35">
        <v>2</v>
      </c>
    </row>
    <row r="21" spans="2:5" x14ac:dyDescent="0.3">
      <c r="B21" s="35" t="s">
        <v>143</v>
      </c>
      <c r="C21" s="35" t="s">
        <v>138</v>
      </c>
      <c r="D21" s="35">
        <v>1</v>
      </c>
      <c r="E21" s="35">
        <v>2</v>
      </c>
    </row>
    <row r="22" spans="2:5" x14ac:dyDescent="0.3">
      <c r="B22" s="35" t="s">
        <v>144</v>
      </c>
      <c r="C22" s="35" t="s">
        <v>138</v>
      </c>
      <c r="D22" s="35">
        <v>1</v>
      </c>
      <c r="E22" s="35">
        <v>2</v>
      </c>
    </row>
    <row r="23" spans="2:5" x14ac:dyDescent="0.3">
      <c r="B23" s="35" t="s">
        <v>144</v>
      </c>
      <c r="C23" s="35" t="s">
        <v>135</v>
      </c>
      <c r="D23" s="35">
        <v>1</v>
      </c>
      <c r="E23" s="35">
        <v>2</v>
      </c>
    </row>
    <row r="24" spans="2:5" x14ac:dyDescent="0.3">
      <c r="B24" s="35" t="s">
        <v>145</v>
      </c>
      <c r="C24" s="35" t="s">
        <v>135</v>
      </c>
      <c r="D24" s="35">
        <v>1</v>
      </c>
      <c r="E24" s="35">
        <v>2</v>
      </c>
    </row>
    <row r="25" spans="2:5" x14ac:dyDescent="0.3">
      <c r="B25" s="35" t="s">
        <v>145</v>
      </c>
      <c r="C25" s="35" t="s">
        <v>138</v>
      </c>
      <c r="D25" s="35">
        <v>1</v>
      </c>
      <c r="E25" s="35">
        <v>2</v>
      </c>
    </row>
    <row r="26" spans="2:5" x14ac:dyDescent="0.3">
      <c r="B26" s="35" t="s">
        <v>146</v>
      </c>
      <c r="C26" s="35" t="s">
        <v>135</v>
      </c>
      <c r="D26" s="35">
        <v>1</v>
      </c>
      <c r="E26" s="35">
        <v>2</v>
      </c>
    </row>
    <row r="27" spans="2:5" x14ac:dyDescent="0.3">
      <c r="B27" s="35" t="s">
        <v>146</v>
      </c>
      <c r="C27" s="35" t="s">
        <v>138</v>
      </c>
      <c r="D27" s="35">
        <v>1</v>
      </c>
      <c r="E27" s="35">
        <v>2</v>
      </c>
    </row>
    <row r="28" spans="2:5" x14ac:dyDescent="0.3">
      <c r="B28" s="35" t="s">
        <v>147</v>
      </c>
      <c r="C28" s="35" t="s">
        <v>135</v>
      </c>
      <c r="D28" s="35">
        <v>1</v>
      </c>
      <c r="E28" s="35">
        <v>2</v>
      </c>
    </row>
    <row r="29" spans="2:5" x14ac:dyDescent="0.3">
      <c r="B29" s="35" t="s">
        <v>147</v>
      </c>
      <c r="C29" s="35" t="s">
        <v>138</v>
      </c>
      <c r="D29" s="35">
        <v>1</v>
      </c>
      <c r="E29" s="35">
        <v>2</v>
      </c>
    </row>
    <row r="30" spans="2:5" x14ac:dyDescent="0.3">
      <c r="B30" s="35" t="s">
        <v>148</v>
      </c>
      <c r="C30" s="35" t="s">
        <v>138</v>
      </c>
      <c r="D30" s="35">
        <v>1</v>
      </c>
      <c r="E30" s="35">
        <v>2</v>
      </c>
    </row>
    <row r="31" spans="2:5" x14ac:dyDescent="0.3">
      <c r="B31" s="35" t="s">
        <v>148</v>
      </c>
      <c r="C31" s="35" t="s">
        <v>135</v>
      </c>
      <c r="D31" s="35">
        <v>1</v>
      </c>
      <c r="E31" s="35">
        <v>2</v>
      </c>
    </row>
    <row r="32" spans="2:5" x14ac:dyDescent="0.3">
      <c r="B32" s="35" t="s">
        <v>149</v>
      </c>
      <c r="C32" s="35" t="s">
        <v>138</v>
      </c>
      <c r="D32" s="35">
        <v>1</v>
      </c>
      <c r="E32" s="35">
        <v>2</v>
      </c>
    </row>
    <row r="33" spans="2:5" x14ac:dyDescent="0.3">
      <c r="B33" s="35" t="s">
        <v>149</v>
      </c>
      <c r="C33" s="35" t="s">
        <v>135</v>
      </c>
      <c r="D33" s="35">
        <v>1</v>
      </c>
      <c r="E33" s="35">
        <v>2</v>
      </c>
    </row>
    <row r="34" spans="2:5" x14ac:dyDescent="0.3">
      <c r="B34" s="35" t="s">
        <v>150</v>
      </c>
      <c r="C34" s="35" t="s">
        <v>138</v>
      </c>
      <c r="D34" s="35">
        <v>1</v>
      </c>
      <c r="E34" s="35">
        <v>2</v>
      </c>
    </row>
    <row r="35" spans="2:5" x14ac:dyDescent="0.3">
      <c r="B35" s="35" t="s">
        <v>150</v>
      </c>
      <c r="C35" s="35" t="s">
        <v>135</v>
      </c>
      <c r="D35" s="35">
        <v>1</v>
      </c>
      <c r="E35" s="35">
        <v>2</v>
      </c>
    </row>
    <row r="36" spans="2:5" x14ac:dyDescent="0.3">
      <c r="B36" s="35" t="s">
        <v>151</v>
      </c>
      <c r="C36" s="35" t="s">
        <v>138</v>
      </c>
      <c r="D36" s="35">
        <v>1</v>
      </c>
      <c r="E36" s="35">
        <v>2</v>
      </c>
    </row>
    <row r="37" spans="2:5" x14ac:dyDescent="0.3">
      <c r="B37" s="35" t="s">
        <v>151</v>
      </c>
      <c r="C37" s="35" t="s">
        <v>135</v>
      </c>
      <c r="D37" s="35">
        <v>1</v>
      </c>
      <c r="E37" s="35">
        <v>2</v>
      </c>
    </row>
    <row r="38" spans="2:5" x14ac:dyDescent="0.3">
      <c r="B38" s="35" t="s">
        <v>152</v>
      </c>
      <c r="C38" s="35" t="s">
        <v>135</v>
      </c>
      <c r="D38" s="35">
        <v>1</v>
      </c>
      <c r="E38" s="35">
        <v>2</v>
      </c>
    </row>
    <row r="39" spans="2:5" x14ac:dyDescent="0.3">
      <c r="B39" s="35" t="s">
        <v>152</v>
      </c>
      <c r="C39" s="35" t="s">
        <v>138</v>
      </c>
      <c r="D39" s="35">
        <v>1</v>
      </c>
      <c r="E39" s="35">
        <v>2</v>
      </c>
    </row>
    <row r="40" spans="2:5" x14ac:dyDescent="0.3">
      <c r="B40" s="35" t="s">
        <v>153</v>
      </c>
      <c r="C40" s="35" t="s">
        <v>135</v>
      </c>
      <c r="D40" s="35">
        <v>1</v>
      </c>
      <c r="E40" s="35">
        <v>2</v>
      </c>
    </row>
    <row r="41" spans="2:5" x14ac:dyDescent="0.3">
      <c r="B41" s="35" t="s">
        <v>153</v>
      </c>
      <c r="C41" s="35" t="s">
        <v>138</v>
      </c>
      <c r="D41" s="35">
        <v>1</v>
      </c>
      <c r="E41" s="35">
        <v>2</v>
      </c>
    </row>
    <row r="42" spans="2:5" x14ac:dyDescent="0.3">
      <c r="B42" s="35" t="s">
        <v>154</v>
      </c>
      <c r="C42" s="35" t="s">
        <v>135</v>
      </c>
      <c r="D42" s="35">
        <v>1</v>
      </c>
      <c r="E42" s="35">
        <v>2</v>
      </c>
    </row>
    <row r="43" spans="2:5" x14ac:dyDescent="0.3">
      <c r="B43" s="35" t="s">
        <v>154</v>
      </c>
      <c r="C43" s="35" t="s">
        <v>138</v>
      </c>
      <c r="D43" s="35">
        <v>1</v>
      </c>
      <c r="E43" s="35">
        <v>2</v>
      </c>
    </row>
    <row r="44" spans="2:5" x14ac:dyDescent="0.3">
      <c r="B44" s="35" t="s">
        <v>155</v>
      </c>
      <c r="C44" s="35" t="s">
        <v>138</v>
      </c>
      <c r="D44" s="35">
        <v>1</v>
      </c>
      <c r="E44" s="35">
        <v>2</v>
      </c>
    </row>
    <row r="45" spans="2:5" x14ac:dyDescent="0.3">
      <c r="B45" s="35" t="s">
        <v>155</v>
      </c>
      <c r="C45" s="35" t="s">
        <v>135</v>
      </c>
      <c r="D45" s="35">
        <v>1</v>
      </c>
      <c r="E45" s="35">
        <v>2</v>
      </c>
    </row>
    <row r="46" spans="2:5" x14ac:dyDescent="0.3">
      <c r="B46" s="35" t="s">
        <v>156</v>
      </c>
      <c r="C46" s="35" t="s">
        <v>135</v>
      </c>
      <c r="D46" s="35">
        <v>1</v>
      </c>
      <c r="E46" s="35">
        <v>2</v>
      </c>
    </row>
    <row r="47" spans="2:5" x14ac:dyDescent="0.3">
      <c r="B47" s="35" t="s">
        <v>156</v>
      </c>
      <c r="C47" s="35" t="s">
        <v>138</v>
      </c>
      <c r="D47" s="35">
        <v>1</v>
      </c>
      <c r="E47" s="35">
        <v>2</v>
      </c>
    </row>
    <row r="48" spans="2:5" x14ac:dyDescent="0.3">
      <c r="B48" s="35" t="s">
        <v>157</v>
      </c>
      <c r="C48" s="35" t="s">
        <v>138</v>
      </c>
      <c r="D48" s="35">
        <v>1</v>
      </c>
      <c r="E48" s="35">
        <v>2</v>
      </c>
    </row>
    <row r="49" spans="2:5" x14ac:dyDescent="0.3">
      <c r="B49" s="35" t="s">
        <v>157</v>
      </c>
      <c r="C49" s="35" t="s">
        <v>135</v>
      </c>
      <c r="D49" s="35">
        <v>1</v>
      </c>
      <c r="E49" s="35">
        <v>2</v>
      </c>
    </row>
    <row r="50" spans="2:5" x14ac:dyDescent="0.3">
      <c r="B50" s="35" t="s">
        <v>158</v>
      </c>
      <c r="C50" s="35" t="s">
        <v>138</v>
      </c>
      <c r="D50" s="35">
        <v>1</v>
      </c>
      <c r="E50" s="35">
        <v>2</v>
      </c>
    </row>
    <row r="51" spans="2:5" x14ac:dyDescent="0.3">
      <c r="B51" s="35" t="s">
        <v>158</v>
      </c>
      <c r="C51" s="35" t="s">
        <v>135</v>
      </c>
      <c r="D51" s="35">
        <v>1</v>
      </c>
      <c r="E51" s="35">
        <v>2</v>
      </c>
    </row>
    <row r="52" spans="2:5" x14ac:dyDescent="0.3">
      <c r="B52" s="35" t="s">
        <v>159</v>
      </c>
      <c r="C52" s="35" t="s">
        <v>135</v>
      </c>
      <c r="D52" s="35">
        <v>1</v>
      </c>
      <c r="E52" s="35">
        <v>2</v>
      </c>
    </row>
    <row r="53" spans="2:5" x14ac:dyDescent="0.3">
      <c r="B53" s="35" t="s">
        <v>159</v>
      </c>
      <c r="C53" s="35" t="s">
        <v>138</v>
      </c>
      <c r="D53" s="35">
        <v>1</v>
      </c>
      <c r="E53" s="35">
        <v>2</v>
      </c>
    </row>
    <row r="54" spans="2:5" x14ac:dyDescent="0.3">
      <c r="B54" s="35" t="s">
        <v>160</v>
      </c>
      <c r="C54" s="35" t="s">
        <v>135</v>
      </c>
      <c r="D54" s="35">
        <v>1</v>
      </c>
      <c r="E54" s="35">
        <v>2</v>
      </c>
    </row>
    <row r="55" spans="2:5" x14ac:dyDescent="0.3">
      <c r="B55" s="35" t="s">
        <v>160</v>
      </c>
      <c r="C55" s="35" t="s">
        <v>138</v>
      </c>
      <c r="D55" s="35">
        <v>1</v>
      </c>
      <c r="E55" s="35">
        <v>2</v>
      </c>
    </row>
    <row r="56" spans="2:5" x14ac:dyDescent="0.3">
      <c r="B56" s="35" t="s">
        <v>161</v>
      </c>
      <c r="C56" s="35" t="s">
        <v>138</v>
      </c>
      <c r="D56" s="35">
        <v>1</v>
      </c>
      <c r="E56" s="35">
        <v>2</v>
      </c>
    </row>
    <row r="57" spans="2:5" x14ac:dyDescent="0.3">
      <c r="B57" s="35" t="s">
        <v>161</v>
      </c>
      <c r="C57" s="35" t="s">
        <v>135</v>
      </c>
      <c r="D57" s="35">
        <v>1</v>
      </c>
      <c r="E57" s="35">
        <v>2</v>
      </c>
    </row>
    <row r="58" spans="2:5" x14ac:dyDescent="0.3">
      <c r="B58" s="35" t="s">
        <v>162</v>
      </c>
      <c r="C58" s="35" t="s">
        <v>138</v>
      </c>
      <c r="D58" s="35">
        <v>1</v>
      </c>
      <c r="E58" s="35">
        <v>2</v>
      </c>
    </row>
    <row r="59" spans="2:5" x14ac:dyDescent="0.3">
      <c r="B59" s="35" t="s">
        <v>162</v>
      </c>
      <c r="C59" s="35" t="s">
        <v>135</v>
      </c>
      <c r="D59" s="35">
        <v>1</v>
      </c>
      <c r="E59" s="35">
        <v>2</v>
      </c>
    </row>
    <row r="60" spans="2:5" x14ac:dyDescent="0.3">
      <c r="B60" s="35" t="s">
        <v>163</v>
      </c>
      <c r="C60" s="35" t="s">
        <v>135</v>
      </c>
      <c r="D60" s="35">
        <v>1</v>
      </c>
      <c r="E60" s="35">
        <v>2</v>
      </c>
    </row>
    <row r="61" spans="2:5" x14ac:dyDescent="0.3">
      <c r="B61" s="35" t="s">
        <v>163</v>
      </c>
      <c r="C61" s="35" t="s">
        <v>138</v>
      </c>
      <c r="D61" s="35">
        <v>1</v>
      </c>
      <c r="E61" s="35">
        <v>2</v>
      </c>
    </row>
    <row r="62" spans="2:5" x14ac:dyDescent="0.3">
      <c r="B62" s="35" t="s">
        <v>164</v>
      </c>
      <c r="C62" s="35" t="s">
        <v>135</v>
      </c>
      <c r="D62" s="35">
        <v>1</v>
      </c>
      <c r="E62" s="35">
        <v>2</v>
      </c>
    </row>
    <row r="63" spans="2:5" x14ac:dyDescent="0.3">
      <c r="B63" s="35" t="s">
        <v>164</v>
      </c>
      <c r="C63" s="35" t="s">
        <v>138</v>
      </c>
      <c r="D63" s="35">
        <v>1</v>
      </c>
      <c r="E63" s="35">
        <v>2</v>
      </c>
    </row>
    <row r="64" spans="2:5" x14ac:dyDescent="0.3">
      <c r="B64" s="35" t="s">
        <v>165</v>
      </c>
      <c r="C64" s="35" t="s">
        <v>138</v>
      </c>
      <c r="D64" s="35">
        <v>1</v>
      </c>
      <c r="E64" s="35">
        <v>2</v>
      </c>
    </row>
    <row r="65" spans="2:5" x14ac:dyDescent="0.3">
      <c r="B65" s="35" t="s">
        <v>165</v>
      </c>
      <c r="C65" s="35" t="s">
        <v>135</v>
      </c>
      <c r="D65" s="35">
        <v>1</v>
      </c>
      <c r="E65" s="35">
        <v>2</v>
      </c>
    </row>
    <row r="66" spans="2:5" x14ac:dyDescent="0.3">
      <c r="B66" s="35" t="s">
        <v>166</v>
      </c>
      <c r="C66" s="35" t="s">
        <v>135</v>
      </c>
      <c r="D66" s="35">
        <v>1</v>
      </c>
      <c r="E66" s="35">
        <v>2</v>
      </c>
    </row>
    <row r="67" spans="2:5" x14ac:dyDescent="0.3">
      <c r="B67" s="35" t="s">
        <v>166</v>
      </c>
      <c r="C67" s="35" t="s">
        <v>138</v>
      </c>
      <c r="D67" s="35">
        <v>1</v>
      </c>
      <c r="E67" s="35">
        <v>2</v>
      </c>
    </row>
    <row r="68" spans="2:5" x14ac:dyDescent="0.3">
      <c r="B68" s="35" t="s">
        <v>167</v>
      </c>
      <c r="C68" s="35" t="s">
        <v>135</v>
      </c>
      <c r="D68" s="35">
        <v>1</v>
      </c>
      <c r="E68" s="35">
        <v>2</v>
      </c>
    </row>
    <row r="69" spans="2:5" x14ac:dyDescent="0.3">
      <c r="B69" s="35" t="s">
        <v>167</v>
      </c>
      <c r="C69" s="35" t="s">
        <v>138</v>
      </c>
      <c r="D69" s="35">
        <v>1</v>
      </c>
      <c r="E69" s="35">
        <v>2</v>
      </c>
    </row>
    <row r="70" spans="2:5" x14ac:dyDescent="0.3">
      <c r="B70" s="35" t="s">
        <v>168</v>
      </c>
      <c r="C70" s="35" t="s">
        <v>135</v>
      </c>
      <c r="D70" s="35">
        <v>1</v>
      </c>
      <c r="E70" s="35">
        <v>2</v>
      </c>
    </row>
    <row r="71" spans="2:5" x14ac:dyDescent="0.3">
      <c r="B71" s="35" t="s">
        <v>168</v>
      </c>
      <c r="C71" s="35" t="s">
        <v>138</v>
      </c>
      <c r="D71" s="35">
        <v>1</v>
      </c>
      <c r="E71" s="35">
        <v>2</v>
      </c>
    </row>
    <row r="72" spans="2:5" x14ac:dyDescent="0.3">
      <c r="B72" s="35" t="s">
        <v>169</v>
      </c>
      <c r="C72" s="35" t="s">
        <v>135</v>
      </c>
      <c r="D72" s="35">
        <v>1</v>
      </c>
      <c r="E72" s="35">
        <v>2</v>
      </c>
    </row>
    <row r="73" spans="2:5" x14ac:dyDescent="0.3">
      <c r="B73" s="35" t="s">
        <v>169</v>
      </c>
      <c r="C73" s="35" t="s">
        <v>138</v>
      </c>
      <c r="D73" s="35">
        <v>1</v>
      </c>
      <c r="E73" s="35">
        <v>2</v>
      </c>
    </row>
    <row r="74" spans="2:5" x14ac:dyDescent="0.3">
      <c r="B74" s="35" t="s">
        <v>170</v>
      </c>
      <c r="C74" s="35" t="s">
        <v>138</v>
      </c>
      <c r="D74" s="35">
        <v>1</v>
      </c>
      <c r="E74" s="35">
        <v>2</v>
      </c>
    </row>
    <row r="75" spans="2:5" x14ac:dyDescent="0.3">
      <c r="B75" s="35" t="s">
        <v>170</v>
      </c>
      <c r="C75" s="35" t="s">
        <v>135</v>
      </c>
      <c r="D75" s="35">
        <v>1</v>
      </c>
      <c r="E75" s="35">
        <v>2</v>
      </c>
    </row>
    <row r="76" spans="2:5" x14ac:dyDescent="0.3">
      <c r="B76" s="35" t="s">
        <v>171</v>
      </c>
      <c r="C76" s="35" t="s">
        <v>138</v>
      </c>
      <c r="D76" s="35">
        <v>1</v>
      </c>
      <c r="E76" s="35">
        <v>2</v>
      </c>
    </row>
    <row r="77" spans="2:5" x14ac:dyDescent="0.3">
      <c r="B77" s="35" t="s">
        <v>171</v>
      </c>
      <c r="C77" s="35" t="s">
        <v>135</v>
      </c>
      <c r="D77" s="35">
        <v>1</v>
      </c>
      <c r="E77" s="35">
        <v>2</v>
      </c>
    </row>
    <row r="78" spans="2:5" x14ac:dyDescent="0.3">
      <c r="B78" s="35" t="s">
        <v>172</v>
      </c>
      <c r="C78" s="35" t="s">
        <v>138</v>
      </c>
      <c r="D78" s="35">
        <v>1</v>
      </c>
      <c r="E78" s="35">
        <v>2</v>
      </c>
    </row>
    <row r="79" spans="2:5" x14ac:dyDescent="0.3">
      <c r="B79" s="35" t="s">
        <v>172</v>
      </c>
      <c r="C79" s="35" t="s">
        <v>135</v>
      </c>
      <c r="D79" s="35">
        <v>1</v>
      </c>
      <c r="E79" s="35">
        <v>2</v>
      </c>
    </row>
    <row r="80" spans="2:5" x14ac:dyDescent="0.3">
      <c r="B80" s="35" t="s">
        <v>173</v>
      </c>
      <c r="C80" s="35" t="s">
        <v>138</v>
      </c>
      <c r="D80" s="35">
        <v>1</v>
      </c>
      <c r="E80" s="35">
        <v>2</v>
      </c>
    </row>
    <row r="81" spans="2:5" x14ac:dyDescent="0.3">
      <c r="B81" s="35" t="s">
        <v>173</v>
      </c>
      <c r="C81" s="35" t="s">
        <v>135</v>
      </c>
      <c r="D81" s="35">
        <v>1</v>
      </c>
      <c r="E81" s="35">
        <v>2</v>
      </c>
    </row>
    <row r="82" spans="2:5" x14ac:dyDescent="0.3">
      <c r="B82" s="35" t="s">
        <v>174</v>
      </c>
      <c r="C82" s="35" t="s">
        <v>138</v>
      </c>
      <c r="D82" s="35">
        <v>1</v>
      </c>
      <c r="E82" s="35">
        <v>2</v>
      </c>
    </row>
    <row r="83" spans="2:5" x14ac:dyDescent="0.3">
      <c r="B83" s="35" t="s">
        <v>174</v>
      </c>
      <c r="C83" s="35" t="s">
        <v>135</v>
      </c>
      <c r="D83" s="35">
        <v>1</v>
      </c>
      <c r="E83" s="35">
        <v>2</v>
      </c>
    </row>
    <row r="84" spans="2:5" x14ac:dyDescent="0.3">
      <c r="B84" s="35" t="s">
        <v>175</v>
      </c>
      <c r="C84" s="35" t="s">
        <v>135</v>
      </c>
      <c r="D84" s="35">
        <v>1</v>
      </c>
      <c r="E84" s="35">
        <v>2</v>
      </c>
    </row>
    <row r="85" spans="2:5" x14ac:dyDescent="0.3">
      <c r="B85" s="35" t="s">
        <v>175</v>
      </c>
      <c r="C85" s="35" t="s">
        <v>138</v>
      </c>
      <c r="D85" s="35">
        <v>1</v>
      </c>
      <c r="E85" s="35">
        <v>2</v>
      </c>
    </row>
    <row r="86" spans="2:5" x14ac:dyDescent="0.3">
      <c r="B86" s="35" t="s">
        <v>176</v>
      </c>
      <c r="C86" s="35" t="s">
        <v>135</v>
      </c>
      <c r="D86" s="35">
        <v>1</v>
      </c>
      <c r="E86" s="35">
        <v>2</v>
      </c>
    </row>
    <row r="87" spans="2:5" x14ac:dyDescent="0.3">
      <c r="B87" s="35" t="s">
        <v>176</v>
      </c>
      <c r="C87" s="35" t="s">
        <v>138</v>
      </c>
      <c r="D87" s="35">
        <v>1</v>
      </c>
      <c r="E87" s="35">
        <v>2</v>
      </c>
    </row>
    <row r="88" spans="2:5" x14ac:dyDescent="0.3">
      <c r="B88" s="35" t="s">
        <v>177</v>
      </c>
      <c r="C88" s="35" t="s">
        <v>135</v>
      </c>
      <c r="D88" s="35">
        <v>1</v>
      </c>
      <c r="E88" s="35">
        <v>2</v>
      </c>
    </row>
    <row r="89" spans="2:5" x14ac:dyDescent="0.3">
      <c r="B89" s="35" t="s">
        <v>177</v>
      </c>
      <c r="C89" s="35" t="s">
        <v>138</v>
      </c>
      <c r="D89" s="35">
        <v>1</v>
      </c>
      <c r="E89" s="3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229</v>
      </c>
    </row>
    <row r="4" spans="2:13" x14ac:dyDescent="0.3">
      <c r="B4" t="s">
        <v>230</v>
      </c>
      <c r="C4" t="s">
        <v>227</v>
      </c>
      <c r="D4" t="s">
        <v>38</v>
      </c>
      <c r="E4" t="s">
        <v>231</v>
      </c>
      <c r="F4" t="s">
        <v>232</v>
      </c>
      <c r="G4" t="s">
        <v>14</v>
      </c>
      <c r="H4" t="s">
        <v>39</v>
      </c>
      <c r="I4" t="s">
        <v>40</v>
      </c>
      <c r="J4" t="s">
        <v>41</v>
      </c>
      <c r="K4" t="s">
        <v>88</v>
      </c>
      <c r="L4" t="s">
        <v>89</v>
      </c>
    </row>
    <row r="5" spans="2:13" x14ac:dyDescent="0.3">
      <c r="B5" t="s">
        <v>233</v>
      </c>
      <c r="C5" t="s">
        <v>228</v>
      </c>
      <c r="D5" t="s">
        <v>234</v>
      </c>
      <c r="E5" t="s">
        <v>15</v>
      </c>
      <c r="F5" t="s">
        <v>235</v>
      </c>
      <c r="G5" t="s">
        <v>92</v>
      </c>
      <c r="H5" t="s">
        <v>236</v>
      </c>
      <c r="I5" t="s">
        <v>237</v>
      </c>
      <c r="J5" t="s">
        <v>124</v>
      </c>
      <c r="K5" t="s">
        <v>238</v>
      </c>
      <c r="L5" t="s">
        <v>239</v>
      </c>
    </row>
    <row r="6" spans="2:13" x14ac:dyDescent="0.3">
      <c r="B6" t="s">
        <v>233</v>
      </c>
      <c r="C6" t="s">
        <v>228</v>
      </c>
      <c r="D6" t="s">
        <v>240</v>
      </c>
      <c r="E6" t="s">
        <v>15</v>
      </c>
      <c r="F6" t="s">
        <v>241</v>
      </c>
      <c r="G6" t="s">
        <v>92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</row>
    <row r="7" spans="2:13" x14ac:dyDescent="0.3">
      <c r="B7" t="s">
        <v>233</v>
      </c>
      <c r="C7" t="s">
        <v>228</v>
      </c>
      <c r="D7" t="s">
        <v>247</v>
      </c>
      <c r="E7" t="s">
        <v>15</v>
      </c>
      <c r="F7" t="s">
        <v>248</v>
      </c>
      <c r="G7" t="s">
        <v>92</v>
      </c>
      <c r="H7" t="s">
        <v>242</v>
      </c>
      <c r="I7" t="s">
        <v>249</v>
      </c>
      <c r="J7" t="s">
        <v>250</v>
      </c>
      <c r="K7" t="s">
        <v>245</v>
      </c>
      <c r="L7" t="s">
        <v>246</v>
      </c>
    </row>
    <row r="8" spans="2:13" x14ac:dyDescent="0.3">
      <c r="B8" t="s">
        <v>233</v>
      </c>
      <c r="C8" t="s">
        <v>228</v>
      </c>
      <c r="D8" t="s">
        <v>251</v>
      </c>
      <c r="E8" t="s">
        <v>15</v>
      </c>
      <c r="F8" t="s">
        <v>252</v>
      </c>
      <c r="G8" t="s">
        <v>92</v>
      </c>
      <c r="H8" t="s">
        <v>242</v>
      </c>
      <c r="I8" t="s">
        <v>253</v>
      </c>
      <c r="J8" t="s">
        <v>254</v>
      </c>
      <c r="K8" t="s">
        <v>245</v>
      </c>
      <c r="L8" t="s">
        <v>246</v>
      </c>
    </row>
    <row r="9" spans="2:13" x14ac:dyDescent="0.3">
      <c r="B9" t="s">
        <v>233</v>
      </c>
      <c r="C9" t="s">
        <v>228</v>
      </c>
      <c r="D9" t="s">
        <v>255</v>
      </c>
      <c r="E9" t="s">
        <v>15</v>
      </c>
      <c r="F9" t="s">
        <v>256</v>
      </c>
      <c r="G9" t="s">
        <v>92</v>
      </c>
      <c r="H9" t="s">
        <v>242</v>
      </c>
      <c r="I9" t="s">
        <v>257</v>
      </c>
      <c r="J9" t="s">
        <v>258</v>
      </c>
      <c r="K9" t="s">
        <v>245</v>
      </c>
      <c r="L9" t="s">
        <v>246</v>
      </c>
    </row>
    <row r="11" spans="2:13" x14ac:dyDescent="0.3">
      <c r="B11" s="1" t="s">
        <v>271</v>
      </c>
    </row>
    <row r="12" spans="2:13" x14ac:dyDescent="0.3">
      <c r="B12" s="1"/>
    </row>
    <row r="13" spans="2:13" x14ac:dyDescent="0.3">
      <c r="B13" s="44" t="s">
        <v>259</v>
      </c>
    </row>
    <row r="14" spans="2:13" x14ac:dyDescent="0.3">
      <c r="B14" t="s">
        <v>34</v>
      </c>
      <c r="C14" t="s">
        <v>35</v>
      </c>
      <c r="D14" t="s">
        <v>232</v>
      </c>
      <c r="E14" t="s">
        <v>38</v>
      </c>
      <c r="F14" t="s">
        <v>14</v>
      </c>
      <c r="G14" t="s">
        <v>39</v>
      </c>
      <c r="H14" t="s">
        <v>40</v>
      </c>
      <c r="I14" t="s">
        <v>41</v>
      </c>
      <c r="J14" t="s">
        <v>88</v>
      </c>
      <c r="K14" t="s">
        <v>89</v>
      </c>
      <c r="L14" t="s">
        <v>126</v>
      </c>
      <c r="M14" t="s">
        <v>260</v>
      </c>
    </row>
    <row r="15" spans="2:13" x14ac:dyDescent="0.3">
      <c r="B15" t="s">
        <v>15</v>
      </c>
      <c r="C15" t="s">
        <v>90</v>
      </c>
      <c r="D15" t="s">
        <v>235</v>
      </c>
      <c r="E15" t="s">
        <v>234</v>
      </c>
      <c r="F15" t="s">
        <v>92</v>
      </c>
      <c r="G15" t="s">
        <v>236</v>
      </c>
      <c r="H15" t="s">
        <v>237</v>
      </c>
      <c r="I15" t="s">
        <v>124</v>
      </c>
      <c r="J15" t="s">
        <v>238</v>
      </c>
      <c r="K15" t="s">
        <v>239</v>
      </c>
      <c r="L15" t="s">
        <v>261</v>
      </c>
      <c r="M15" t="s">
        <v>261</v>
      </c>
    </row>
    <row r="16" spans="2:13" x14ac:dyDescent="0.3">
      <c r="B16" t="s">
        <v>15</v>
      </c>
      <c r="C16" t="s">
        <v>90</v>
      </c>
      <c r="D16" t="s">
        <v>235</v>
      </c>
      <c r="E16" t="s">
        <v>235</v>
      </c>
      <c r="F16" t="s">
        <v>92</v>
      </c>
      <c r="G16" t="s">
        <v>236</v>
      </c>
      <c r="H16" t="s">
        <v>237</v>
      </c>
      <c r="I16" t="s">
        <v>124</v>
      </c>
      <c r="J16" s="43" t="s">
        <v>262</v>
      </c>
      <c r="K16" s="43" t="s">
        <v>263</v>
      </c>
      <c r="L16" t="s">
        <v>261</v>
      </c>
      <c r="M16" t="s">
        <v>261</v>
      </c>
    </row>
    <row r="18" spans="2:7" x14ac:dyDescent="0.3">
      <c r="B18" s="44" t="s">
        <v>264</v>
      </c>
    </row>
    <row r="19" spans="2:7" x14ac:dyDescent="0.3">
      <c r="B19" t="s">
        <v>35</v>
      </c>
      <c r="C19" t="s">
        <v>36</v>
      </c>
      <c r="D19" t="s">
        <v>38</v>
      </c>
      <c r="E19" t="s">
        <v>89</v>
      </c>
      <c r="F19" t="s">
        <v>265</v>
      </c>
      <c r="G19" t="s">
        <v>266</v>
      </c>
    </row>
    <row r="20" spans="2:7" x14ac:dyDescent="0.3">
      <c r="B20" t="s">
        <v>90</v>
      </c>
      <c r="C20" t="s">
        <v>42</v>
      </c>
      <c r="D20" t="s">
        <v>235</v>
      </c>
      <c r="E20" s="43" t="s">
        <v>263</v>
      </c>
      <c r="F20" t="s">
        <v>267</v>
      </c>
      <c r="G20" t="s">
        <v>268</v>
      </c>
    </row>
    <row r="22" spans="2:7" x14ac:dyDescent="0.3">
      <c r="B22" t="s">
        <v>269</v>
      </c>
    </row>
    <row r="24" spans="2:7" x14ac:dyDescent="0.3">
      <c r="B24" t="s">
        <v>270</v>
      </c>
    </row>
    <row r="35" spans="2:13" x14ac:dyDescent="0.3">
      <c r="B35" s="1" t="s">
        <v>272</v>
      </c>
    </row>
    <row r="36" spans="2:13" x14ac:dyDescent="0.3">
      <c r="B36" s="1"/>
    </row>
    <row r="37" spans="2:13" x14ac:dyDescent="0.3">
      <c r="B37" s="44" t="s">
        <v>259</v>
      </c>
    </row>
    <row r="38" spans="2:13" x14ac:dyDescent="0.3">
      <c r="B38" t="s">
        <v>34</v>
      </c>
      <c r="C38" t="s">
        <v>35</v>
      </c>
      <c r="D38" t="s">
        <v>232</v>
      </c>
      <c r="E38" t="s">
        <v>38</v>
      </c>
      <c r="F38" t="s">
        <v>14</v>
      </c>
      <c r="G38" t="s">
        <v>39</v>
      </c>
      <c r="H38" t="s">
        <v>40</v>
      </c>
      <c r="I38" t="s">
        <v>41</v>
      </c>
      <c r="J38" t="s">
        <v>88</v>
      </c>
      <c r="K38" t="s">
        <v>89</v>
      </c>
      <c r="L38" t="s">
        <v>126</v>
      </c>
      <c r="M38" t="s">
        <v>260</v>
      </c>
    </row>
    <row r="40" spans="2:13" x14ac:dyDescent="0.3">
      <c r="J40" s="43"/>
      <c r="K40" s="43"/>
    </row>
    <row r="42" spans="2:13" x14ac:dyDescent="0.3">
      <c r="B42" s="44" t="s">
        <v>264</v>
      </c>
    </row>
    <row r="43" spans="2:13" x14ac:dyDescent="0.3">
      <c r="B43" t="s">
        <v>35</v>
      </c>
      <c r="C43" t="s">
        <v>36</v>
      </c>
      <c r="D43" t="s">
        <v>38</v>
      </c>
      <c r="E43" t="s">
        <v>89</v>
      </c>
      <c r="F43" t="s">
        <v>265</v>
      </c>
      <c r="G43" t="s">
        <v>266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4D0DFFD-CE55-4E23-B19F-BDBECE33BA24}"/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Val_Univ_LT002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2025-07-05T13:08:20Z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