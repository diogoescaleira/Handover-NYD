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149" documentId="11_063525684EC1867A8A6E1C0CD588B0CE1C40678C" xr6:coauthVersionLast="47" xr6:coauthVersionMax="47" xr10:uidLastSave="{EE4261E6-1D19-4A17-862E-4B5A4BE36B43}"/>
  <bookViews>
    <workbookView xWindow="-108" yWindow="-108" windowWidth="23256" windowHeight="12576" xr2:uid="{00000000-000D-0000-FFFF-FFFF00000000}"/>
  </bookViews>
  <sheets>
    <sheet name="Sheet1" sheetId="1" r:id="rId1"/>
    <sheet name="Sheet4" sheetId="4" r:id="rId2"/>
    <sheet name="Sheet2" sheetId="2" state="hidden" r:id="rId3"/>
    <sheet name="Sheet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4" l="1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</calcChain>
</file>

<file path=xl/sharedStrings.xml><?xml version="1.0" encoding="utf-8"?>
<sst xmlns="http://schemas.openxmlformats.org/spreadsheetml/2006/main" count="101" uniqueCount="90">
  <si>
    <t>1. Controlo ao universo da LT002_INSTRUMENT para âmbito GD</t>
  </si>
  <si>
    <t>REF_DATE</t>
  </si>
  <si>
    <t xml:space="preserve">Parte 1 </t>
  </si>
  <si>
    <t>Universo comum com âmbito PM</t>
  </si>
  <si>
    <t># Contratos</t>
  </si>
  <si>
    <t>UNIV_LT_GD_PARTE1</t>
  </si>
  <si>
    <t>Parte 2</t>
  </si>
  <si>
    <t>Universo de operações canceladas que apresentem rentabilidade no mês de reporte</t>
  </si>
  <si>
    <t>UNIV_LT_GD_PARTE2_AUX1</t>
  </si>
  <si>
    <t>seleção das operações com rentabilidade e que não têm posição de fim de mês (c007=0); e não têm chave finrep para o mês de reporte</t>
  </si>
  <si>
    <t>Chave FINREP</t>
  </si>
  <si>
    <t>Chave MIS</t>
  </si>
  <si>
    <t>Chave Master</t>
  </si>
  <si>
    <t>n/a</t>
  </si>
  <si>
    <t>UNIV_LT_GD_PARTE2_AUX2</t>
  </si>
  <si>
    <t>identificação do universo cancelado que se encontrava vivo no mês anterior (existe no tradutor do mês anterior), e cruzamento com a lt1 para não trazer chaves que já se encontram no universo da contabilidade</t>
  </si>
  <si>
    <t># Registos</t>
  </si>
  <si>
    <t>UNIV_LT_GD_PARTE2_AUX3</t>
  </si>
  <si>
    <t>identificação da chave finrep para o universo cancelado que não tinha sido apanhado no processo anterior, e cruzamento com a lt1 para não trazer chaves que já se encontram no universo da contabilidade</t>
  </si>
  <si>
    <t>UNIV_LT_GD_PARTE2_AUX4</t>
  </si>
  <si>
    <t>UNIV_LT_GD_PARTE2</t>
  </si>
  <si>
    <t>junção da aux2, aux3 e aux4</t>
  </si>
  <si>
    <t>UNIV_LT_GD_PARTE1_2</t>
  </si>
  <si>
    <t>junção do universo da parte 1 com a parte 2</t>
  </si>
  <si>
    <t>Parte 3</t>
  </si>
  <si>
    <t>Junção das Business Areas e criação de nova chave para as linhas adicionais</t>
  </si>
  <si>
    <t>UNIV_LT_GD_PARTE3_AUX1</t>
  </si>
  <si>
    <t>UNIV_LT_GD_PARTE3_AUX2</t>
  </si>
  <si>
    <t>passagem pelo tradutor FINREP</t>
  </si>
  <si>
    <t>BA1</t>
  </si>
  <si>
    <t>BP</t>
  </si>
  <si>
    <t>BA2</t>
  </si>
  <si>
    <t>BC1015</t>
  </si>
  <si>
    <t>BA3</t>
  </si>
  <si>
    <t>AN01020210</t>
  </si>
  <si>
    <t>BA4</t>
  </si>
  <si>
    <t>BC1014</t>
  </si>
  <si>
    <t>BA5</t>
  </si>
  <si>
    <t>AN01040220</t>
  </si>
  <si>
    <t>BA6</t>
  </si>
  <si>
    <t>FC</t>
  </si>
  <si>
    <t>BA7</t>
  </si>
  <si>
    <t>AN02050600</t>
  </si>
  <si>
    <t>BA8</t>
  </si>
  <si>
    <t>GB0510</t>
  </si>
  <si>
    <t>BA9</t>
  </si>
  <si>
    <t>AN02050800</t>
  </si>
  <si>
    <t>BA10</t>
  </si>
  <si>
    <t>AN02030300</t>
  </si>
  <si>
    <t>BA11</t>
  </si>
  <si>
    <t>AN02030400</t>
  </si>
  <si>
    <t>BA12</t>
  </si>
  <si>
    <t>AN02030200</t>
  </si>
  <si>
    <t>BA13</t>
  </si>
  <si>
    <t>AN02010200</t>
  </si>
  <si>
    <t>BA14</t>
  </si>
  <si>
    <t>AN02030600</t>
  </si>
  <si>
    <t>BA15</t>
  </si>
  <si>
    <t>AN02020100</t>
  </si>
  <si>
    <t>BA16</t>
  </si>
  <si>
    <t>AN02020300</t>
  </si>
  <si>
    <t>BA17</t>
  </si>
  <si>
    <t>AN02020200</t>
  </si>
  <si>
    <t>BA18</t>
  </si>
  <si>
    <t>AN02020400</t>
  </si>
  <si>
    <t>BA20</t>
  </si>
  <si>
    <t>AN02030045</t>
  </si>
  <si>
    <t>BA21</t>
  </si>
  <si>
    <t>AC05</t>
  </si>
  <si>
    <t>BA22</t>
  </si>
  <si>
    <t>AN04030000</t>
  </si>
  <si>
    <t>BA23</t>
  </si>
  <si>
    <t>AN02040100</t>
  </si>
  <si>
    <t>BA24</t>
  </si>
  <si>
    <t>AN02040200</t>
  </si>
  <si>
    <t>BA25</t>
  </si>
  <si>
    <t>AN02040300</t>
  </si>
  <si>
    <t>BA26</t>
  </si>
  <si>
    <t>AN02040400</t>
  </si>
  <si>
    <t>BA27</t>
  </si>
  <si>
    <t>AN02040600</t>
  </si>
  <si>
    <t>BA28</t>
  </si>
  <si>
    <t>AN02050100</t>
  </si>
  <si>
    <t>BA29</t>
  </si>
  <si>
    <t>AN02040700</t>
  </si>
  <si>
    <t>BA30</t>
  </si>
  <si>
    <t>AN02050400</t>
  </si>
  <si>
    <t>BA31</t>
  </si>
  <si>
    <t>AN02030900</t>
  </si>
  <si>
    <t>cruzamento com a ct207 para obtenção da ckarea e posterior criação do campo BSNSS_AREA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</si>
</sst>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1"/>
  <sheetViews>
    <sheetView tabSelected="1" topLeftCell="A7" workbookViewId="0">
      <selection activeCell="F29" sqref="F29"/>
    </sheetView>
  </sheetViews>
  <sheetFormatPr defaultRowHeight="14.4" x14ac:dyDescent="0.3"/>
  <cols>
    <col min="1" max="1" width="3.77734375" customWidth="1"/>
    <col min="2" max="2" width="24.6640625" bestFit="1" customWidth="1"/>
    <col min="3" max="6" width="12.33203125" bestFit="1" customWidth="1"/>
  </cols>
  <sheetData>
    <row r="2" spans="2:10" x14ac:dyDescent="0.3">
      <c r="B2" s="2" t="s">
        <v>0</v>
      </c>
    </row>
    <row r="4" spans="2:10" x14ac:dyDescent="0.3">
      <c r="B4" t="s">
        <v>1</v>
      </c>
      <c r="C4" s="1">
        <v>45657</v>
      </c>
    </row>
    <row r="5" spans="2:10" x14ac:dyDescent="0.3">
      <c r="J5" s="5"/>
    </row>
    <row r="6" spans="2:10" x14ac:dyDescent="0.3">
      <c r="B6" t="s">
        <v>2</v>
      </c>
      <c r="C6" t="s">
        <v>3</v>
      </c>
    </row>
    <row r="8" spans="2:10" x14ac:dyDescent="0.3">
      <c r="C8" t="s">
        <v>4</v>
      </c>
    </row>
    <row r="9" spans="2:10" x14ac:dyDescent="0.3">
      <c r="C9" t="s">
        <v>10</v>
      </c>
    </row>
    <row r="10" spans="2:10" x14ac:dyDescent="0.3">
      <c r="B10" t="s">
        <v>5</v>
      </c>
      <c r="C10" s="3">
        <v>2091470</v>
      </c>
    </row>
    <row r="12" spans="2:10" x14ac:dyDescent="0.3">
      <c r="B12" t="s">
        <v>6</v>
      </c>
      <c r="C12" t="s">
        <v>7</v>
      </c>
    </row>
    <row r="14" spans="2:10" x14ac:dyDescent="0.3">
      <c r="D14" s="4" t="s">
        <v>4</v>
      </c>
      <c r="E14" s="4"/>
      <c r="F14" s="4"/>
    </row>
    <row r="15" spans="2:10" x14ac:dyDescent="0.3">
      <c r="C15" t="s">
        <v>16</v>
      </c>
      <c r="D15" t="s">
        <v>11</v>
      </c>
      <c r="E15" t="s">
        <v>12</v>
      </c>
      <c r="F15" t="s">
        <v>10</v>
      </c>
    </row>
    <row r="16" spans="2:10" x14ac:dyDescent="0.3">
      <c r="B16" t="s">
        <v>8</v>
      </c>
      <c r="C16" s="3">
        <v>47822</v>
      </c>
      <c r="D16" s="3">
        <v>45815</v>
      </c>
      <c r="E16" s="3">
        <v>47691</v>
      </c>
      <c r="F16" s="3" t="s">
        <v>13</v>
      </c>
      <c r="G16" t="s">
        <v>9</v>
      </c>
    </row>
    <row r="17" spans="2:7" x14ac:dyDescent="0.3">
      <c r="B17" t="s">
        <v>14</v>
      </c>
      <c r="C17" s="3">
        <v>44477</v>
      </c>
      <c r="D17" s="3">
        <v>44395</v>
      </c>
      <c r="E17" s="3" t="s">
        <v>13</v>
      </c>
      <c r="F17" s="3">
        <v>44405</v>
      </c>
      <c r="G17" t="s">
        <v>15</v>
      </c>
    </row>
    <row r="18" spans="2:7" x14ac:dyDescent="0.3">
      <c r="B18" t="s">
        <v>17</v>
      </c>
      <c r="C18" s="3">
        <v>628</v>
      </c>
      <c r="D18" s="3">
        <v>628</v>
      </c>
      <c r="E18" s="3" t="s">
        <v>13</v>
      </c>
      <c r="F18" s="3">
        <v>628</v>
      </c>
      <c r="G18" t="s">
        <v>18</v>
      </c>
    </row>
    <row r="19" spans="2:7" x14ac:dyDescent="0.3">
      <c r="B19" t="s">
        <v>19</v>
      </c>
      <c r="C19" s="3">
        <v>551</v>
      </c>
      <c r="D19" s="3">
        <v>551</v>
      </c>
      <c r="E19" s="3" t="s">
        <v>13</v>
      </c>
      <c r="F19" s="3">
        <v>551</v>
      </c>
    </row>
    <row r="20" spans="2:7" x14ac:dyDescent="0.3">
      <c r="B20" t="s">
        <v>20</v>
      </c>
      <c r="C20" s="3">
        <v>45656</v>
      </c>
      <c r="D20" s="3">
        <v>45574</v>
      </c>
      <c r="E20" s="3" t="s">
        <v>13</v>
      </c>
      <c r="F20" s="3">
        <v>45584</v>
      </c>
      <c r="G20" t="s">
        <v>21</v>
      </c>
    </row>
    <row r="21" spans="2:7" x14ac:dyDescent="0.3">
      <c r="B21" t="s">
        <v>22</v>
      </c>
      <c r="C21" s="3">
        <v>2137054</v>
      </c>
      <c r="D21" s="3" t="s">
        <v>13</v>
      </c>
      <c r="E21" s="3" t="s">
        <v>13</v>
      </c>
      <c r="F21" s="3">
        <v>2137054</v>
      </c>
      <c r="G21" t="s">
        <v>23</v>
      </c>
    </row>
    <row r="23" spans="2:7" x14ac:dyDescent="0.3">
      <c r="C23" s="3"/>
    </row>
    <row r="24" spans="2:7" x14ac:dyDescent="0.3">
      <c r="B24" t="s">
        <v>24</v>
      </c>
      <c r="C24" t="s">
        <v>25</v>
      </c>
    </row>
    <row r="26" spans="2:7" x14ac:dyDescent="0.3">
      <c r="C26" t="s">
        <v>16</v>
      </c>
      <c r="D26" t="s">
        <v>11</v>
      </c>
      <c r="E26" t="s">
        <v>10</v>
      </c>
    </row>
    <row r="27" spans="2:7" x14ac:dyDescent="0.3">
      <c r="B27" t="s">
        <v>26</v>
      </c>
      <c r="C27" s="3">
        <v>4086277</v>
      </c>
      <c r="D27" s="3">
        <v>3704948</v>
      </c>
      <c r="E27" s="3">
        <v>2137054</v>
      </c>
      <c r="F27" t="s">
        <v>28</v>
      </c>
    </row>
    <row r="28" spans="2:7" x14ac:dyDescent="0.3">
      <c r="B28" t="s">
        <v>27</v>
      </c>
      <c r="C28" s="3"/>
      <c r="D28" s="3"/>
      <c r="E28" s="3"/>
      <c r="F28" t="s">
        <v>89</v>
      </c>
    </row>
    <row r="29" spans="2:7" x14ac:dyDescent="0.3">
      <c r="C29" s="3"/>
      <c r="D29" s="3"/>
      <c r="E29" s="3"/>
    </row>
    <row r="30" spans="2:7" x14ac:dyDescent="0.3">
      <c r="C30" s="3"/>
      <c r="D30" s="3"/>
      <c r="E30" s="3"/>
    </row>
    <row r="31" spans="2:7" x14ac:dyDescent="0.3">
      <c r="C31" s="3"/>
      <c r="D31" s="3"/>
      <c r="E31" s="3"/>
    </row>
  </sheetData>
  <mergeCells count="1">
    <mergeCell ref="D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D2DD-D95C-4BDD-9E7E-492124D8DD29}">
  <dimension ref="C3:F32"/>
  <sheetViews>
    <sheetView workbookViewId="0">
      <selection activeCell="F4" sqref="F4:F32"/>
    </sheetView>
  </sheetViews>
  <sheetFormatPr defaultRowHeight="14.4" x14ac:dyDescent="0.3"/>
  <cols>
    <col min="3" max="3" width="5.44140625" bestFit="1" customWidth="1"/>
    <col min="4" max="4" width="11.44140625" bestFit="1" customWidth="1"/>
  </cols>
  <sheetData>
    <row r="3" spans="3:6" x14ac:dyDescent="0.3">
      <c r="C3" t="s">
        <v>29</v>
      </c>
      <c r="D3" t="s">
        <v>30</v>
      </c>
      <c r="F3" t="str">
        <f>_xlfn.CONCAT("WHEN CKAREA=","'",D3,"'"," THEN ","'",C3,"'")</f>
        <v>WHEN CKAREA='BP' THEN 'BA1'</v>
      </c>
    </row>
    <row r="4" spans="3:6" x14ac:dyDescent="0.3">
      <c r="C4" t="s">
        <v>31</v>
      </c>
      <c r="D4" t="s">
        <v>32</v>
      </c>
      <c r="F4" t="str">
        <f t="shared" ref="F4:F32" si="0">_xlfn.CONCAT("WHEN CKAREA=","'",D4,"'"," THEN ","'",C4,"'")</f>
        <v>WHEN CKAREA='BC1015' THEN 'BA2'</v>
      </c>
    </row>
    <row r="5" spans="3:6" x14ac:dyDescent="0.3">
      <c r="C5" t="s">
        <v>33</v>
      </c>
      <c r="D5" t="s">
        <v>34</v>
      </c>
      <c r="F5" t="str">
        <f t="shared" si="0"/>
        <v>WHEN CKAREA='AN01020210' THEN 'BA3'</v>
      </c>
    </row>
    <row r="6" spans="3:6" x14ac:dyDescent="0.3">
      <c r="C6" t="s">
        <v>35</v>
      </c>
      <c r="D6" t="s">
        <v>36</v>
      </c>
      <c r="F6" t="str">
        <f t="shared" si="0"/>
        <v>WHEN CKAREA='BC1014' THEN 'BA4'</v>
      </c>
    </row>
    <row r="7" spans="3:6" x14ac:dyDescent="0.3">
      <c r="C7" t="s">
        <v>37</v>
      </c>
      <c r="D7" t="s">
        <v>38</v>
      </c>
      <c r="F7" t="str">
        <f t="shared" si="0"/>
        <v>WHEN CKAREA='AN01040220' THEN 'BA5'</v>
      </c>
    </row>
    <row r="8" spans="3:6" x14ac:dyDescent="0.3">
      <c r="C8" t="s">
        <v>39</v>
      </c>
      <c r="D8" t="s">
        <v>40</v>
      </c>
      <c r="F8" t="str">
        <f t="shared" si="0"/>
        <v>WHEN CKAREA='FC' THEN 'BA6'</v>
      </c>
    </row>
    <row r="9" spans="3:6" x14ac:dyDescent="0.3">
      <c r="C9" t="s">
        <v>41</v>
      </c>
      <c r="D9" t="s">
        <v>42</v>
      </c>
      <c r="F9" t="str">
        <f t="shared" si="0"/>
        <v>WHEN CKAREA='AN02050600' THEN 'BA7'</v>
      </c>
    </row>
    <row r="10" spans="3:6" x14ac:dyDescent="0.3">
      <c r="C10" t="s">
        <v>43</v>
      </c>
      <c r="D10" t="s">
        <v>44</v>
      </c>
      <c r="F10" t="str">
        <f t="shared" si="0"/>
        <v>WHEN CKAREA='GB0510' THEN 'BA8'</v>
      </c>
    </row>
    <row r="11" spans="3:6" x14ac:dyDescent="0.3">
      <c r="C11" t="s">
        <v>45</v>
      </c>
      <c r="D11" t="s">
        <v>46</v>
      </c>
      <c r="F11" t="str">
        <f t="shared" si="0"/>
        <v>WHEN CKAREA='AN02050800' THEN 'BA9'</v>
      </c>
    </row>
    <row r="12" spans="3:6" x14ac:dyDescent="0.3">
      <c r="C12" t="s">
        <v>47</v>
      </c>
      <c r="D12" t="s">
        <v>48</v>
      </c>
      <c r="F12" t="str">
        <f t="shared" si="0"/>
        <v>WHEN CKAREA='AN02030300' THEN 'BA10'</v>
      </c>
    </row>
    <row r="13" spans="3:6" x14ac:dyDescent="0.3">
      <c r="C13" t="s">
        <v>49</v>
      </c>
      <c r="D13" t="s">
        <v>50</v>
      </c>
      <c r="F13" t="str">
        <f t="shared" si="0"/>
        <v>WHEN CKAREA='AN02030400' THEN 'BA11'</v>
      </c>
    </row>
    <row r="14" spans="3:6" x14ac:dyDescent="0.3">
      <c r="C14" t="s">
        <v>51</v>
      </c>
      <c r="D14" t="s">
        <v>52</v>
      </c>
      <c r="F14" t="str">
        <f t="shared" si="0"/>
        <v>WHEN CKAREA='AN02030200' THEN 'BA12'</v>
      </c>
    </row>
    <row r="15" spans="3:6" x14ac:dyDescent="0.3">
      <c r="C15" t="s">
        <v>53</v>
      </c>
      <c r="D15" t="s">
        <v>54</v>
      </c>
      <c r="F15" t="str">
        <f t="shared" si="0"/>
        <v>WHEN CKAREA='AN02010200' THEN 'BA13'</v>
      </c>
    </row>
    <row r="16" spans="3:6" x14ac:dyDescent="0.3">
      <c r="C16" t="s">
        <v>55</v>
      </c>
      <c r="D16" t="s">
        <v>56</v>
      </c>
      <c r="F16" t="str">
        <f t="shared" si="0"/>
        <v>WHEN CKAREA='AN02030600' THEN 'BA14'</v>
      </c>
    </row>
    <row r="17" spans="3:6" x14ac:dyDescent="0.3">
      <c r="C17" t="s">
        <v>57</v>
      </c>
      <c r="D17" t="s">
        <v>58</v>
      </c>
      <c r="F17" t="str">
        <f t="shared" si="0"/>
        <v>WHEN CKAREA='AN02020100' THEN 'BA15'</v>
      </c>
    </row>
    <row r="18" spans="3:6" x14ac:dyDescent="0.3">
      <c r="C18" t="s">
        <v>59</v>
      </c>
      <c r="D18" t="s">
        <v>60</v>
      </c>
      <c r="F18" t="str">
        <f t="shared" si="0"/>
        <v>WHEN CKAREA='AN02020300' THEN 'BA16'</v>
      </c>
    </row>
    <row r="19" spans="3:6" x14ac:dyDescent="0.3">
      <c r="C19" t="s">
        <v>61</v>
      </c>
      <c r="D19" t="s">
        <v>62</v>
      </c>
      <c r="F19" t="str">
        <f t="shared" si="0"/>
        <v>WHEN CKAREA='AN02020200' THEN 'BA17'</v>
      </c>
    </row>
    <row r="20" spans="3:6" x14ac:dyDescent="0.3">
      <c r="C20" t="s">
        <v>63</v>
      </c>
      <c r="D20" t="s">
        <v>64</v>
      </c>
      <c r="F20" t="str">
        <f t="shared" si="0"/>
        <v>WHEN CKAREA='AN02020400' THEN 'BA18'</v>
      </c>
    </row>
    <row r="21" spans="3:6" x14ac:dyDescent="0.3">
      <c r="C21" t="s">
        <v>65</v>
      </c>
      <c r="D21" t="s">
        <v>66</v>
      </c>
      <c r="F21" t="str">
        <f t="shared" si="0"/>
        <v>WHEN CKAREA='AN02030045' THEN 'BA20'</v>
      </c>
    </row>
    <row r="22" spans="3:6" x14ac:dyDescent="0.3">
      <c r="C22" t="s">
        <v>67</v>
      </c>
      <c r="D22" t="s">
        <v>68</v>
      </c>
      <c r="F22" t="str">
        <f t="shared" si="0"/>
        <v>WHEN CKAREA='AC05' THEN 'BA21'</v>
      </c>
    </row>
    <row r="23" spans="3:6" x14ac:dyDescent="0.3">
      <c r="C23" t="s">
        <v>69</v>
      </c>
      <c r="D23" t="s">
        <v>70</v>
      </c>
      <c r="F23" t="str">
        <f t="shared" si="0"/>
        <v>WHEN CKAREA='AN04030000' THEN 'BA22'</v>
      </c>
    </row>
    <row r="24" spans="3:6" x14ac:dyDescent="0.3">
      <c r="C24" t="s">
        <v>71</v>
      </c>
      <c r="D24" t="s">
        <v>72</v>
      </c>
      <c r="F24" t="str">
        <f t="shared" si="0"/>
        <v>WHEN CKAREA='AN02040100' THEN 'BA23'</v>
      </c>
    </row>
    <row r="25" spans="3:6" x14ac:dyDescent="0.3">
      <c r="C25" t="s">
        <v>73</v>
      </c>
      <c r="D25" t="s">
        <v>74</v>
      </c>
      <c r="F25" t="str">
        <f t="shared" si="0"/>
        <v>WHEN CKAREA='AN02040200' THEN 'BA24'</v>
      </c>
    </row>
    <row r="26" spans="3:6" x14ac:dyDescent="0.3">
      <c r="C26" t="s">
        <v>75</v>
      </c>
      <c r="D26" t="s">
        <v>76</v>
      </c>
      <c r="F26" t="str">
        <f t="shared" si="0"/>
        <v>WHEN CKAREA='AN02040300' THEN 'BA25'</v>
      </c>
    </row>
    <row r="27" spans="3:6" x14ac:dyDescent="0.3">
      <c r="C27" t="s">
        <v>77</v>
      </c>
      <c r="D27" t="s">
        <v>78</v>
      </c>
      <c r="F27" t="str">
        <f t="shared" si="0"/>
        <v>WHEN CKAREA='AN02040400' THEN 'BA26'</v>
      </c>
    </row>
    <row r="28" spans="3:6" x14ac:dyDescent="0.3">
      <c r="C28" t="s">
        <v>79</v>
      </c>
      <c r="D28" t="s">
        <v>80</v>
      </c>
      <c r="F28" t="str">
        <f t="shared" si="0"/>
        <v>WHEN CKAREA='AN02040600' THEN 'BA27'</v>
      </c>
    </row>
    <row r="29" spans="3:6" x14ac:dyDescent="0.3">
      <c r="C29" t="s">
        <v>81</v>
      </c>
      <c r="D29" t="s">
        <v>82</v>
      </c>
      <c r="F29" t="str">
        <f t="shared" si="0"/>
        <v>WHEN CKAREA='AN02050100' THEN 'BA28'</v>
      </c>
    </row>
    <row r="30" spans="3:6" x14ac:dyDescent="0.3">
      <c r="C30" t="s">
        <v>83</v>
      </c>
      <c r="D30" t="s">
        <v>84</v>
      </c>
      <c r="F30" t="str">
        <f t="shared" si="0"/>
        <v>WHEN CKAREA='AN02040700' THEN 'BA29'</v>
      </c>
    </row>
    <row r="31" spans="3:6" x14ac:dyDescent="0.3">
      <c r="C31" t="s">
        <v>85</v>
      </c>
      <c r="D31" t="s">
        <v>86</v>
      </c>
      <c r="F31" t="str">
        <f t="shared" si="0"/>
        <v>WHEN CKAREA='AN02050400' THEN 'BA30'</v>
      </c>
    </row>
    <row r="32" spans="3:6" x14ac:dyDescent="0.3">
      <c r="C32" t="s">
        <v>87</v>
      </c>
      <c r="D32" t="s">
        <v>88</v>
      </c>
      <c r="F32" t="str">
        <f t="shared" si="0"/>
        <v>WHEN CKAREA='AN02030900' THEN 'BA31'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BB74ECA-ECF4-4DDD-B17C-78099FD44C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2025-02-15T15:26:46Z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