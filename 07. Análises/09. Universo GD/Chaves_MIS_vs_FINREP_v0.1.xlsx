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90" documentId="8_{34F81668-C510-4318-93B2-ACCB2189E6F0}" xr6:coauthVersionLast="47" xr6:coauthVersionMax="47" xr10:uidLastSave="{0F894D5E-C473-49FF-92C6-6EDC4911463A}"/>
  <bookViews>
    <workbookView minimized="1" xWindow="-5796" yWindow="8376" windowWidth="21600" windowHeight="11220" activeTab="4" xr2:uid="{00000000-000D-0000-FFFF-FFFF00000000}"/>
  </bookViews>
  <sheets>
    <sheet name="Exemplo 1" sheetId="1" r:id="rId1"/>
    <sheet name="Exemplo 2" sheetId="2" r:id="rId2"/>
    <sheet name="Exemplo 3" sheetId="3" r:id="rId3"/>
    <sheet name="Exemplo 4" sheetId="4" r:id="rId4"/>
    <sheet name="Exemplo 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4" l="1"/>
  <c r="V5" i="4"/>
  <c r="V4" i="4"/>
  <c r="V3" i="4"/>
  <c r="V2" i="4"/>
  <c r="U6" i="4"/>
  <c r="U5" i="4"/>
  <c r="U4" i="4"/>
  <c r="U3" i="4"/>
  <c r="U2" i="4"/>
  <c r="O20" i="3" l="1"/>
  <c r="O19" i="3"/>
  <c r="O18" i="3"/>
  <c r="AD5" i="3"/>
  <c r="AD4" i="3"/>
  <c r="AD3" i="3"/>
  <c r="AD2" i="3"/>
</calcChain>
</file>

<file path=xl/sharedStrings.xml><?xml version="1.0" encoding="utf-8"?>
<sst xmlns="http://schemas.openxmlformats.org/spreadsheetml/2006/main" count="893" uniqueCount="151">
  <si>
    <t>univ</t>
  </si>
  <si>
    <t>ref_date</t>
  </si>
  <si>
    <t>ambito</t>
  </si>
  <si>
    <t>segmento</t>
  </si>
  <si>
    <t>instrmnt_id</t>
  </si>
  <si>
    <t>cempcta</t>
  </si>
  <si>
    <t>ckbalcao</t>
  </si>
  <si>
    <t>cknumcta</t>
  </si>
  <si>
    <t>zdeposit_mis</t>
  </si>
  <si>
    <t>ckarea</t>
  </si>
  <si>
    <t>bsnss_area</t>
  </si>
  <si>
    <t>ordem_ba</t>
  </si>
  <si>
    <t>COMUM PM</t>
  </si>
  <si>
    <t>2024-12-31</t>
  </si>
  <si>
    <t>GD</t>
  </si>
  <si>
    <t>ESTR</t>
  </si>
  <si>
    <t>SNCO100000000031001103846850011001144400000001BA3</t>
  </si>
  <si>
    <t>31</t>
  </si>
  <si>
    <t>0011</t>
  </si>
  <si>
    <t>03846850011</t>
  </si>
  <si>
    <t>000000000000000</t>
  </si>
  <si>
    <t>AN01020210</t>
  </si>
  <si>
    <t>BA3</t>
  </si>
  <si>
    <t>001144400000001</t>
  </si>
  <si>
    <t>1749504    0007</t>
  </si>
  <si>
    <t>31001103846850011001144400000001</t>
  </si>
  <si>
    <t>AN01010201</t>
  </si>
  <si>
    <t>BA2</t>
  </si>
  <si>
    <t>SNCO100000000031001103850220011001193200000001BA3</t>
  </si>
  <si>
    <t>03850220011</t>
  </si>
  <si>
    <t>5942271    0006</t>
  </si>
  <si>
    <t>6362079    0073</t>
  </si>
  <si>
    <t>6526417    0008</t>
  </si>
  <si>
    <t>5715716    0021</t>
  </si>
  <si>
    <t>5928127    0082</t>
  </si>
  <si>
    <t>5772560    0075</t>
  </si>
  <si>
    <t>5466231    0003</t>
  </si>
  <si>
    <t>6744947    0007</t>
  </si>
  <si>
    <t>5555289    0092</t>
  </si>
  <si>
    <t>6612945    0047</t>
  </si>
  <si>
    <t>31001103850220011001193200000001</t>
  </si>
  <si>
    <t>1415498    0113</t>
  </si>
  <si>
    <t>AN01010500</t>
  </si>
  <si>
    <t>5596778    0080</t>
  </si>
  <si>
    <t>1941427    0022</t>
  </si>
  <si>
    <t>1477138    0068</t>
  </si>
  <si>
    <t>5603658    0055</t>
  </si>
  <si>
    <t>001193200000001</t>
  </si>
  <si>
    <t>6470646    0051</t>
  </si>
  <si>
    <t>6805784    0086</t>
  </si>
  <si>
    <t>1048119    0130</t>
  </si>
  <si>
    <t>5275451    0087</t>
  </si>
  <si>
    <t>5521707    0093</t>
  </si>
  <si>
    <t>1784141    0115</t>
  </si>
  <si>
    <t>5866317    0067</t>
  </si>
  <si>
    <t>1777546    0133</t>
  </si>
  <si>
    <t>1052272    0131</t>
  </si>
  <si>
    <t>SNCO100000000031001103850220011001193200000001BA22</t>
  </si>
  <si>
    <t>AN04030000</t>
  </si>
  <si>
    <t>BA22</t>
  </si>
  <si>
    <t>6327707    0090</t>
  </si>
  <si>
    <t>1120360    0102</t>
  </si>
  <si>
    <t>1837493    0141</t>
  </si>
  <si>
    <t>1692036    0139</t>
  </si>
  <si>
    <t>1297616    0134</t>
  </si>
  <si>
    <t>5962511    0061</t>
  </si>
  <si>
    <t>5198693    0099</t>
  </si>
  <si>
    <t>1005519    0121</t>
  </si>
  <si>
    <t>1377798    0028</t>
  </si>
  <si>
    <t>6278092    0014</t>
  </si>
  <si>
    <t>1528765    0114</t>
  </si>
  <si>
    <t>1165574    0111</t>
  </si>
  <si>
    <t>5270823    0053</t>
  </si>
  <si>
    <t>5974774    0005</t>
  </si>
  <si>
    <t>6931823    0081</t>
  </si>
  <si>
    <t>6630121    0041</t>
  </si>
  <si>
    <t>6688972    0042</t>
  </si>
  <si>
    <t>6537838    0094</t>
  </si>
  <si>
    <t>instrmnt_id_aux</t>
  </si>
  <si>
    <t>ckmetamis</t>
  </si>
  <si>
    <t>msaldo_final_instr</t>
  </si>
  <si>
    <t>c001</t>
  </si>
  <si>
    <t>c007</t>
  </si>
  <si>
    <t>c008</t>
  </si>
  <si>
    <t>c011</t>
  </si>
  <si>
    <t>c134</t>
  </si>
  <si>
    <t>c224</t>
  </si>
  <si>
    <t>c298</t>
  </si>
  <si>
    <t>c300</t>
  </si>
  <si>
    <t>m009</t>
  </si>
  <si>
    <t>ac310</t>
  </si>
  <si>
    <t>c457</t>
  </si>
  <si>
    <t>c458</t>
  </si>
  <si>
    <t>c459</t>
  </si>
  <si>
    <t>c460</t>
  </si>
  <si>
    <t>31001100842660011522327800000001</t>
  </si>
  <si>
    <t>00842660011</t>
  </si>
  <si>
    <t>522327800000001</t>
  </si>
  <si>
    <t>AN01010100</t>
  </si>
  <si>
    <t>BA1</t>
  </si>
  <si>
    <t>AI0803</t>
  </si>
  <si>
    <t>NULL</t>
  </si>
  <si>
    <t>SNCO100000000031001100842660011522327800000001BA2</t>
  </si>
  <si>
    <t>6623568    0002</t>
  </si>
  <si>
    <t>5956493    0002</t>
  </si>
  <si>
    <t>SUM_MSALDO</t>
  </si>
  <si>
    <t>31001100842660011000000000000000</t>
  </si>
  <si>
    <t>310011008426600116623568    0002</t>
  </si>
  <si>
    <t>310011008426600115956493    0002</t>
  </si>
  <si>
    <t>CONTRATO MIS</t>
  </si>
  <si>
    <t>A</t>
  </si>
  <si>
    <t>CKMETAMIS</t>
  </si>
  <si>
    <t>X</t>
  </si>
  <si>
    <t>Y</t>
  </si>
  <si>
    <t>FLAG_PATR</t>
  </si>
  <si>
    <t>FLAG_EXTRP</t>
  </si>
  <si>
    <t>C457</t>
  </si>
  <si>
    <t>C460</t>
  </si>
  <si>
    <t>GRSS_CMMSSN_INCM</t>
  </si>
  <si>
    <t>Z</t>
  </si>
  <si>
    <t>grss_intrst_incm</t>
  </si>
  <si>
    <t>grss_intrst_expns</t>
  </si>
  <si>
    <t>gns_fnncl_trnsctn_exchng_dffrncs</t>
  </si>
  <si>
    <t>grss_cmmssn_incm</t>
  </si>
  <si>
    <t>grss_cmmssn_incm_off_blnc</t>
  </si>
  <si>
    <t>grss_cmmssn_expns</t>
  </si>
  <si>
    <t>grss_cmmssn_expns_off_blnc</t>
  </si>
  <si>
    <t>msaldo_mis_ba</t>
  </si>
  <si>
    <t>82000020100003647001520240627911</t>
  </si>
  <si>
    <t>0000</t>
  </si>
  <si>
    <t>20100003647</t>
  </si>
  <si>
    <t>0005000C43659I1</t>
  </si>
  <si>
    <t>BA17</t>
  </si>
  <si>
    <t>82000020100003647001520240574088</t>
  </si>
  <si>
    <t>82000020100003647001520240523758</t>
  </si>
  <si>
    <t>82000020100003647001520240627912</t>
  </si>
  <si>
    <t>890000201000036470004900C43659I1</t>
  </si>
  <si>
    <t>ponderador</t>
  </si>
  <si>
    <t>pond_finrep</t>
  </si>
  <si>
    <t>grss_intrst_incm_mis</t>
  </si>
  <si>
    <t>grss_intrst_expns_mis</t>
  </si>
  <si>
    <t>gns_fnncl_trnsctn_exchng_dffrncs_mis</t>
  </si>
  <si>
    <t>grss_cmmssn_incm_mis</t>
  </si>
  <si>
    <t>grss_cmmssn_incm_off_blnc_mis</t>
  </si>
  <si>
    <t>grss_cmmssn_expns_mis</t>
  </si>
  <si>
    <t>grss_cmmssn_expns_off_blnc_mis</t>
  </si>
  <si>
    <t>82000020020000465000008031148804</t>
  </si>
  <si>
    <t>20020000465</t>
  </si>
  <si>
    <t>0004900C16428I1</t>
  </si>
  <si>
    <t>BA4</t>
  </si>
  <si>
    <t>82000020020000465001520240612348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</si>
</sst>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workbookViewId="0">
      <selection activeCell="G17" sqref="G17"/>
    </sheetView>
  </sheetViews>
  <sheetFormatPr defaultColWidth="11.5546875" defaultRowHeight="14.4" x14ac:dyDescent="0.3"/>
  <cols>
    <col min="5" max="5" width="52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3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23</v>
      </c>
      <c r="J3" t="s">
        <v>21</v>
      </c>
      <c r="K3" t="s">
        <v>22</v>
      </c>
      <c r="L3">
        <v>3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24</v>
      </c>
      <c r="J4" t="s">
        <v>21</v>
      </c>
      <c r="K4" t="s">
        <v>22</v>
      </c>
      <c r="L4">
        <v>3</v>
      </c>
    </row>
    <row r="5" spans="1:12" x14ac:dyDescent="0.3">
      <c r="A5" t="s">
        <v>12</v>
      </c>
      <c r="B5" t="s">
        <v>13</v>
      </c>
      <c r="C5" t="s">
        <v>14</v>
      </c>
      <c r="D5" t="s">
        <v>15</v>
      </c>
      <c r="E5" t="s">
        <v>25</v>
      </c>
      <c r="F5" t="s">
        <v>17</v>
      </c>
      <c r="G5" t="s">
        <v>18</v>
      </c>
      <c r="H5" t="s">
        <v>19</v>
      </c>
      <c r="I5" t="s">
        <v>24</v>
      </c>
      <c r="J5" t="s">
        <v>26</v>
      </c>
      <c r="K5" t="s">
        <v>27</v>
      </c>
      <c r="L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6517-962A-4D03-9549-FF800CF7478B}">
  <dimension ref="A1:L54"/>
  <sheetViews>
    <sheetView workbookViewId="0">
      <selection activeCell="F2" sqref="F2:I2"/>
    </sheetView>
  </sheetViews>
  <sheetFormatPr defaultRowHeight="14.4" x14ac:dyDescent="0.3"/>
  <cols>
    <col min="1" max="1" width="11.21875" bestFit="1" customWidth="1"/>
    <col min="2" max="2" width="10.33203125" bestFit="1" customWidth="1"/>
    <col min="3" max="3" width="6.77734375" bestFit="1" customWidth="1"/>
    <col min="4" max="4" width="9" bestFit="1" customWidth="1"/>
    <col min="5" max="5" width="53" bestFit="1" customWidth="1"/>
    <col min="6" max="6" width="8" bestFit="1" customWidth="1"/>
    <col min="7" max="7" width="8.21875" bestFit="1" customWidth="1"/>
    <col min="8" max="8" width="12" bestFit="1" customWidth="1"/>
    <col min="9" max="9" width="16.109375" bestFit="1" customWidth="1"/>
    <col min="10" max="10" width="11.44140625" bestFit="1" customWidth="1"/>
    <col min="11" max="11" width="10" bestFit="1" customWidth="1"/>
    <col min="12" max="12" width="9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28</v>
      </c>
      <c r="F2" t="s">
        <v>17</v>
      </c>
      <c r="G2" t="s">
        <v>18</v>
      </c>
      <c r="H2" t="s">
        <v>29</v>
      </c>
      <c r="I2" t="s">
        <v>30</v>
      </c>
      <c r="J2" t="s">
        <v>21</v>
      </c>
      <c r="K2" t="s">
        <v>22</v>
      </c>
      <c r="L2">
        <v>3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28</v>
      </c>
      <c r="F3" t="s">
        <v>17</v>
      </c>
      <c r="G3" t="s">
        <v>18</v>
      </c>
      <c r="H3" t="s">
        <v>29</v>
      </c>
      <c r="I3" t="s">
        <v>31</v>
      </c>
      <c r="J3" t="s">
        <v>21</v>
      </c>
      <c r="K3" t="s">
        <v>22</v>
      </c>
      <c r="L3">
        <v>3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 t="s">
        <v>28</v>
      </c>
      <c r="F4" t="s">
        <v>17</v>
      </c>
      <c r="G4" t="s">
        <v>18</v>
      </c>
      <c r="H4" t="s">
        <v>29</v>
      </c>
      <c r="I4" t="s">
        <v>32</v>
      </c>
      <c r="J4" t="s">
        <v>21</v>
      </c>
      <c r="K4" t="s">
        <v>22</v>
      </c>
      <c r="L4">
        <v>3</v>
      </c>
    </row>
    <row r="5" spans="1:12" x14ac:dyDescent="0.3">
      <c r="A5" t="s">
        <v>12</v>
      </c>
      <c r="B5" t="s">
        <v>13</v>
      </c>
      <c r="C5" t="s">
        <v>14</v>
      </c>
      <c r="D5" t="s">
        <v>15</v>
      </c>
      <c r="E5" t="s">
        <v>28</v>
      </c>
      <c r="F5" t="s">
        <v>17</v>
      </c>
      <c r="G5" t="s">
        <v>18</v>
      </c>
      <c r="H5" t="s">
        <v>29</v>
      </c>
      <c r="I5" t="s">
        <v>33</v>
      </c>
      <c r="J5" t="s">
        <v>21</v>
      </c>
      <c r="K5" t="s">
        <v>22</v>
      </c>
      <c r="L5">
        <v>3</v>
      </c>
    </row>
    <row r="6" spans="1:12" x14ac:dyDescent="0.3">
      <c r="A6" t="s">
        <v>12</v>
      </c>
      <c r="B6" t="s">
        <v>13</v>
      </c>
      <c r="C6" t="s">
        <v>14</v>
      </c>
      <c r="D6" t="s">
        <v>15</v>
      </c>
      <c r="E6" t="s">
        <v>28</v>
      </c>
      <c r="F6" t="s">
        <v>17</v>
      </c>
      <c r="G6" t="s">
        <v>18</v>
      </c>
      <c r="H6" t="s">
        <v>29</v>
      </c>
      <c r="I6" t="s">
        <v>34</v>
      </c>
      <c r="J6" t="s">
        <v>21</v>
      </c>
      <c r="K6" t="s">
        <v>22</v>
      </c>
      <c r="L6">
        <v>3</v>
      </c>
    </row>
    <row r="7" spans="1:12" x14ac:dyDescent="0.3">
      <c r="A7" t="s">
        <v>12</v>
      </c>
      <c r="B7" t="s">
        <v>13</v>
      </c>
      <c r="C7" t="s">
        <v>14</v>
      </c>
      <c r="D7" t="s">
        <v>15</v>
      </c>
      <c r="E7" t="s">
        <v>28</v>
      </c>
      <c r="F7" t="s">
        <v>17</v>
      </c>
      <c r="G7" t="s">
        <v>18</v>
      </c>
      <c r="H7" t="s">
        <v>29</v>
      </c>
      <c r="I7" t="s">
        <v>35</v>
      </c>
      <c r="J7" t="s">
        <v>21</v>
      </c>
      <c r="K7" t="s">
        <v>22</v>
      </c>
      <c r="L7">
        <v>3</v>
      </c>
    </row>
    <row r="8" spans="1:12" x14ac:dyDescent="0.3">
      <c r="A8" t="s">
        <v>12</v>
      </c>
      <c r="B8" t="s">
        <v>13</v>
      </c>
      <c r="C8" t="s">
        <v>14</v>
      </c>
      <c r="D8" t="s">
        <v>15</v>
      </c>
      <c r="E8" t="s">
        <v>28</v>
      </c>
      <c r="F8" t="s">
        <v>17</v>
      </c>
      <c r="G8" t="s">
        <v>18</v>
      </c>
      <c r="H8" t="s">
        <v>29</v>
      </c>
      <c r="I8" t="s">
        <v>36</v>
      </c>
      <c r="J8" t="s">
        <v>21</v>
      </c>
      <c r="K8" t="s">
        <v>22</v>
      </c>
      <c r="L8">
        <v>3</v>
      </c>
    </row>
    <row r="9" spans="1:12" x14ac:dyDescent="0.3">
      <c r="A9" t="s">
        <v>12</v>
      </c>
      <c r="B9" t="s">
        <v>13</v>
      </c>
      <c r="C9" t="s">
        <v>14</v>
      </c>
      <c r="D9" t="s">
        <v>15</v>
      </c>
      <c r="E9" t="s">
        <v>28</v>
      </c>
      <c r="F9" t="s">
        <v>17</v>
      </c>
      <c r="G9" t="s">
        <v>18</v>
      </c>
      <c r="H9" t="s">
        <v>29</v>
      </c>
      <c r="I9" t="s">
        <v>37</v>
      </c>
      <c r="J9" t="s">
        <v>21</v>
      </c>
      <c r="K9" t="s">
        <v>22</v>
      </c>
      <c r="L9">
        <v>3</v>
      </c>
    </row>
    <row r="10" spans="1:12" x14ac:dyDescent="0.3">
      <c r="A10" t="s">
        <v>12</v>
      </c>
      <c r="B10" t="s">
        <v>13</v>
      </c>
      <c r="C10" t="s">
        <v>14</v>
      </c>
      <c r="D10" t="s">
        <v>15</v>
      </c>
      <c r="E10" t="s">
        <v>28</v>
      </c>
      <c r="F10" t="s">
        <v>17</v>
      </c>
      <c r="G10" t="s">
        <v>18</v>
      </c>
      <c r="H10" t="s">
        <v>29</v>
      </c>
      <c r="I10" t="s">
        <v>38</v>
      </c>
      <c r="J10" t="s">
        <v>21</v>
      </c>
      <c r="K10" t="s">
        <v>22</v>
      </c>
      <c r="L10">
        <v>3</v>
      </c>
    </row>
    <row r="11" spans="1:12" x14ac:dyDescent="0.3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H11" t="s">
        <v>29</v>
      </c>
      <c r="I11" t="s">
        <v>39</v>
      </c>
      <c r="J11" t="s">
        <v>21</v>
      </c>
      <c r="K11" t="s">
        <v>22</v>
      </c>
      <c r="L11">
        <v>3</v>
      </c>
    </row>
    <row r="12" spans="1:12" x14ac:dyDescent="0.3">
      <c r="A12" t="s">
        <v>12</v>
      </c>
      <c r="B12" t="s">
        <v>13</v>
      </c>
      <c r="C12" t="s">
        <v>14</v>
      </c>
      <c r="D12" t="s">
        <v>15</v>
      </c>
      <c r="E12" t="s">
        <v>40</v>
      </c>
      <c r="F12" t="s">
        <v>17</v>
      </c>
      <c r="G12" t="s">
        <v>18</v>
      </c>
      <c r="H12" t="s">
        <v>29</v>
      </c>
      <c r="I12" t="s">
        <v>41</v>
      </c>
      <c r="J12" t="s">
        <v>42</v>
      </c>
      <c r="K12" t="s">
        <v>27</v>
      </c>
      <c r="L12">
        <v>2</v>
      </c>
    </row>
    <row r="13" spans="1:12" x14ac:dyDescent="0.3">
      <c r="A13" t="s">
        <v>12</v>
      </c>
      <c r="B13" t="s">
        <v>13</v>
      </c>
      <c r="C13" t="s">
        <v>14</v>
      </c>
      <c r="D13" t="s">
        <v>15</v>
      </c>
      <c r="E13" t="s">
        <v>28</v>
      </c>
      <c r="F13" t="s">
        <v>17</v>
      </c>
      <c r="G13" t="s">
        <v>18</v>
      </c>
      <c r="H13" t="s">
        <v>29</v>
      </c>
      <c r="I13" t="s">
        <v>41</v>
      </c>
      <c r="J13" t="s">
        <v>21</v>
      </c>
      <c r="K13" t="s">
        <v>22</v>
      </c>
      <c r="L13">
        <v>3</v>
      </c>
    </row>
    <row r="14" spans="1:12" x14ac:dyDescent="0.3">
      <c r="A14" t="s">
        <v>12</v>
      </c>
      <c r="B14" t="s">
        <v>13</v>
      </c>
      <c r="C14" t="s">
        <v>14</v>
      </c>
      <c r="D14" t="s">
        <v>15</v>
      </c>
      <c r="E14" t="s">
        <v>28</v>
      </c>
      <c r="F14" t="s">
        <v>17</v>
      </c>
      <c r="G14" t="s">
        <v>18</v>
      </c>
      <c r="H14" t="s">
        <v>29</v>
      </c>
      <c r="I14" t="s">
        <v>43</v>
      </c>
      <c r="J14" t="s">
        <v>21</v>
      </c>
      <c r="K14" t="s">
        <v>22</v>
      </c>
      <c r="L14">
        <v>3</v>
      </c>
    </row>
    <row r="15" spans="1:12" x14ac:dyDescent="0.3">
      <c r="A15" t="s">
        <v>12</v>
      </c>
      <c r="B15" t="s">
        <v>13</v>
      </c>
      <c r="C15" t="s">
        <v>14</v>
      </c>
      <c r="D15" t="s">
        <v>15</v>
      </c>
      <c r="E15" t="s">
        <v>28</v>
      </c>
      <c r="F15" t="s">
        <v>17</v>
      </c>
      <c r="G15" t="s">
        <v>18</v>
      </c>
      <c r="H15" t="s">
        <v>29</v>
      </c>
      <c r="I15" t="s">
        <v>44</v>
      </c>
      <c r="J15" t="s">
        <v>21</v>
      </c>
      <c r="K15" t="s">
        <v>22</v>
      </c>
      <c r="L15">
        <v>3</v>
      </c>
    </row>
    <row r="16" spans="1:12" x14ac:dyDescent="0.3">
      <c r="A16" t="s">
        <v>12</v>
      </c>
      <c r="B16" t="s">
        <v>13</v>
      </c>
      <c r="C16" t="s">
        <v>14</v>
      </c>
      <c r="D16" t="s">
        <v>15</v>
      </c>
      <c r="E16" t="s">
        <v>28</v>
      </c>
      <c r="F16" t="s">
        <v>17</v>
      </c>
      <c r="G16" t="s">
        <v>18</v>
      </c>
      <c r="H16" t="s">
        <v>29</v>
      </c>
      <c r="I16" t="s">
        <v>45</v>
      </c>
      <c r="J16" t="s">
        <v>21</v>
      </c>
      <c r="K16" t="s">
        <v>22</v>
      </c>
      <c r="L16">
        <v>3</v>
      </c>
    </row>
    <row r="17" spans="1:12" x14ac:dyDescent="0.3">
      <c r="A17" t="s">
        <v>12</v>
      </c>
      <c r="B17" t="s">
        <v>13</v>
      </c>
      <c r="C17" t="s">
        <v>14</v>
      </c>
      <c r="D17" t="s">
        <v>15</v>
      </c>
      <c r="E17" t="s">
        <v>28</v>
      </c>
      <c r="F17" t="s">
        <v>17</v>
      </c>
      <c r="G17" t="s">
        <v>18</v>
      </c>
      <c r="H17" t="s">
        <v>29</v>
      </c>
      <c r="I17" t="s">
        <v>46</v>
      </c>
      <c r="J17" t="s">
        <v>21</v>
      </c>
      <c r="K17" t="s">
        <v>22</v>
      </c>
      <c r="L17">
        <v>3</v>
      </c>
    </row>
    <row r="18" spans="1:12" x14ac:dyDescent="0.3">
      <c r="A18" t="s">
        <v>12</v>
      </c>
      <c r="B18" t="s">
        <v>13</v>
      </c>
      <c r="C18" t="s">
        <v>14</v>
      </c>
      <c r="D18" t="s">
        <v>15</v>
      </c>
      <c r="E18" t="s">
        <v>28</v>
      </c>
      <c r="F18" t="s">
        <v>17</v>
      </c>
      <c r="G18" t="s">
        <v>18</v>
      </c>
      <c r="H18" t="s">
        <v>29</v>
      </c>
      <c r="I18" t="s">
        <v>47</v>
      </c>
      <c r="J18" t="s">
        <v>21</v>
      </c>
      <c r="K18" t="s">
        <v>22</v>
      </c>
      <c r="L18">
        <v>3</v>
      </c>
    </row>
    <row r="19" spans="1:12" x14ac:dyDescent="0.3">
      <c r="A19" t="s">
        <v>12</v>
      </c>
      <c r="B19" t="s">
        <v>13</v>
      </c>
      <c r="C19" t="s">
        <v>14</v>
      </c>
      <c r="D19" t="s">
        <v>15</v>
      </c>
      <c r="E19" t="s">
        <v>28</v>
      </c>
      <c r="F19" t="s">
        <v>17</v>
      </c>
      <c r="G19" t="s">
        <v>18</v>
      </c>
      <c r="H19" t="s">
        <v>29</v>
      </c>
      <c r="I19" t="s">
        <v>48</v>
      </c>
      <c r="J19" t="s">
        <v>21</v>
      </c>
      <c r="K19" t="s">
        <v>22</v>
      </c>
      <c r="L19">
        <v>3</v>
      </c>
    </row>
    <row r="20" spans="1:12" x14ac:dyDescent="0.3">
      <c r="A20" t="s">
        <v>12</v>
      </c>
      <c r="B20" t="s">
        <v>13</v>
      </c>
      <c r="C20" t="s">
        <v>14</v>
      </c>
      <c r="D20" t="s">
        <v>15</v>
      </c>
      <c r="E20" t="s">
        <v>28</v>
      </c>
      <c r="F20" t="s">
        <v>17</v>
      </c>
      <c r="G20" t="s">
        <v>18</v>
      </c>
      <c r="H20" t="s">
        <v>29</v>
      </c>
      <c r="I20" t="s">
        <v>49</v>
      </c>
      <c r="J20" t="s">
        <v>21</v>
      </c>
      <c r="K20" t="s">
        <v>22</v>
      </c>
      <c r="L20">
        <v>3</v>
      </c>
    </row>
    <row r="21" spans="1:12" x14ac:dyDescent="0.3">
      <c r="A21" t="s">
        <v>12</v>
      </c>
      <c r="B21" t="s">
        <v>13</v>
      </c>
      <c r="C21" t="s">
        <v>14</v>
      </c>
      <c r="D21" t="s">
        <v>15</v>
      </c>
      <c r="E21" t="s">
        <v>28</v>
      </c>
      <c r="F21" t="s">
        <v>17</v>
      </c>
      <c r="G21" t="s">
        <v>18</v>
      </c>
      <c r="H21" t="s">
        <v>29</v>
      </c>
      <c r="I21" t="s">
        <v>50</v>
      </c>
      <c r="J21" t="s">
        <v>21</v>
      </c>
      <c r="K21" t="s">
        <v>22</v>
      </c>
      <c r="L21">
        <v>3</v>
      </c>
    </row>
    <row r="22" spans="1:12" x14ac:dyDescent="0.3">
      <c r="A22" t="s">
        <v>12</v>
      </c>
      <c r="B22" t="s">
        <v>13</v>
      </c>
      <c r="C22" t="s">
        <v>14</v>
      </c>
      <c r="D22" t="s">
        <v>15</v>
      </c>
      <c r="E22" t="s">
        <v>28</v>
      </c>
      <c r="F22" t="s">
        <v>17</v>
      </c>
      <c r="G22" t="s">
        <v>18</v>
      </c>
      <c r="H22" t="s">
        <v>29</v>
      </c>
      <c r="I22" t="s">
        <v>51</v>
      </c>
      <c r="J22" t="s">
        <v>21</v>
      </c>
      <c r="K22" t="s">
        <v>22</v>
      </c>
      <c r="L22">
        <v>3</v>
      </c>
    </row>
    <row r="23" spans="1:12" x14ac:dyDescent="0.3">
      <c r="A23" t="s">
        <v>12</v>
      </c>
      <c r="B23" t="s">
        <v>13</v>
      </c>
      <c r="C23" t="s">
        <v>14</v>
      </c>
      <c r="D23" t="s">
        <v>15</v>
      </c>
      <c r="E23" t="s">
        <v>28</v>
      </c>
      <c r="F23" t="s">
        <v>17</v>
      </c>
      <c r="G23" t="s">
        <v>18</v>
      </c>
      <c r="H23" t="s">
        <v>29</v>
      </c>
      <c r="I23" t="s">
        <v>52</v>
      </c>
      <c r="J23" t="s">
        <v>21</v>
      </c>
      <c r="K23" t="s">
        <v>22</v>
      </c>
      <c r="L23">
        <v>3</v>
      </c>
    </row>
    <row r="24" spans="1:12" x14ac:dyDescent="0.3">
      <c r="A24" t="s">
        <v>12</v>
      </c>
      <c r="B24" t="s">
        <v>13</v>
      </c>
      <c r="C24" t="s">
        <v>14</v>
      </c>
      <c r="D24" t="s">
        <v>15</v>
      </c>
      <c r="E24" t="s">
        <v>28</v>
      </c>
      <c r="F24" t="s">
        <v>17</v>
      </c>
      <c r="G24" t="s">
        <v>18</v>
      </c>
      <c r="H24" t="s">
        <v>29</v>
      </c>
      <c r="I24" t="s">
        <v>53</v>
      </c>
      <c r="J24" t="s">
        <v>21</v>
      </c>
      <c r="K24" t="s">
        <v>22</v>
      </c>
      <c r="L24">
        <v>3</v>
      </c>
    </row>
    <row r="25" spans="1:12" x14ac:dyDescent="0.3">
      <c r="A25" t="s">
        <v>12</v>
      </c>
      <c r="B25" t="s">
        <v>13</v>
      </c>
      <c r="C25" t="s">
        <v>14</v>
      </c>
      <c r="D25" t="s">
        <v>15</v>
      </c>
      <c r="E25" t="s">
        <v>28</v>
      </c>
      <c r="F25" t="s">
        <v>17</v>
      </c>
      <c r="G25" t="s">
        <v>18</v>
      </c>
      <c r="H25" t="s">
        <v>29</v>
      </c>
      <c r="I25" t="s">
        <v>54</v>
      </c>
      <c r="J25" t="s">
        <v>21</v>
      </c>
      <c r="K25" t="s">
        <v>22</v>
      </c>
      <c r="L25">
        <v>3</v>
      </c>
    </row>
    <row r="26" spans="1:12" x14ac:dyDescent="0.3">
      <c r="A26" t="s">
        <v>12</v>
      </c>
      <c r="B26" t="s">
        <v>13</v>
      </c>
      <c r="C26" t="s">
        <v>14</v>
      </c>
      <c r="D26" t="s">
        <v>15</v>
      </c>
      <c r="E26" t="s">
        <v>28</v>
      </c>
      <c r="F26" t="s">
        <v>17</v>
      </c>
      <c r="G26" t="s">
        <v>18</v>
      </c>
      <c r="H26" t="s">
        <v>29</v>
      </c>
      <c r="I26" t="s">
        <v>55</v>
      </c>
      <c r="J26" t="s">
        <v>21</v>
      </c>
      <c r="K26" t="s">
        <v>22</v>
      </c>
      <c r="L26">
        <v>3</v>
      </c>
    </row>
    <row r="27" spans="1:12" x14ac:dyDescent="0.3">
      <c r="A27" t="s">
        <v>12</v>
      </c>
      <c r="B27" t="s">
        <v>13</v>
      </c>
      <c r="C27" t="s">
        <v>14</v>
      </c>
      <c r="D27" t="s">
        <v>15</v>
      </c>
      <c r="E27" t="s">
        <v>40</v>
      </c>
      <c r="F27" t="s">
        <v>17</v>
      </c>
      <c r="G27" t="s">
        <v>18</v>
      </c>
      <c r="H27" t="s">
        <v>29</v>
      </c>
      <c r="I27" t="s">
        <v>56</v>
      </c>
      <c r="J27" t="s">
        <v>42</v>
      </c>
      <c r="K27" t="s">
        <v>27</v>
      </c>
      <c r="L27">
        <v>2</v>
      </c>
    </row>
    <row r="28" spans="1:12" x14ac:dyDescent="0.3">
      <c r="A28" t="s">
        <v>12</v>
      </c>
      <c r="B28" t="s">
        <v>13</v>
      </c>
      <c r="C28" t="s">
        <v>14</v>
      </c>
      <c r="D28" t="s">
        <v>15</v>
      </c>
      <c r="E28" t="s">
        <v>57</v>
      </c>
      <c r="F28" t="s">
        <v>17</v>
      </c>
      <c r="G28" t="s">
        <v>18</v>
      </c>
      <c r="H28" t="s">
        <v>29</v>
      </c>
      <c r="I28" t="s">
        <v>55</v>
      </c>
      <c r="J28" t="s">
        <v>58</v>
      </c>
      <c r="K28" t="s">
        <v>59</v>
      </c>
      <c r="L28">
        <v>21</v>
      </c>
    </row>
    <row r="29" spans="1:12" x14ac:dyDescent="0.3">
      <c r="A29" t="s">
        <v>12</v>
      </c>
      <c r="B29" t="s">
        <v>13</v>
      </c>
      <c r="C29" t="s">
        <v>14</v>
      </c>
      <c r="D29" t="s">
        <v>15</v>
      </c>
      <c r="E29" t="s">
        <v>28</v>
      </c>
      <c r="F29" t="s">
        <v>17</v>
      </c>
      <c r="G29" t="s">
        <v>18</v>
      </c>
      <c r="H29" t="s">
        <v>29</v>
      </c>
      <c r="I29" t="s">
        <v>60</v>
      </c>
      <c r="J29" t="s">
        <v>21</v>
      </c>
      <c r="K29" t="s">
        <v>22</v>
      </c>
      <c r="L29">
        <v>3</v>
      </c>
    </row>
    <row r="30" spans="1:12" x14ac:dyDescent="0.3">
      <c r="A30" t="s">
        <v>12</v>
      </c>
      <c r="B30" t="s">
        <v>13</v>
      </c>
      <c r="C30" t="s">
        <v>14</v>
      </c>
      <c r="D30" t="s">
        <v>15</v>
      </c>
      <c r="E30" t="s">
        <v>28</v>
      </c>
      <c r="F30" t="s">
        <v>17</v>
      </c>
      <c r="G30" t="s">
        <v>18</v>
      </c>
      <c r="H30" t="s">
        <v>29</v>
      </c>
      <c r="I30" t="s">
        <v>56</v>
      </c>
      <c r="J30" t="s">
        <v>21</v>
      </c>
      <c r="K30" t="s">
        <v>22</v>
      </c>
      <c r="L30">
        <v>3</v>
      </c>
    </row>
    <row r="31" spans="1:12" x14ac:dyDescent="0.3">
      <c r="A31" t="s">
        <v>12</v>
      </c>
      <c r="B31" t="s">
        <v>13</v>
      </c>
      <c r="C31" t="s">
        <v>14</v>
      </c>
      <c r="D31" t="s">
        <v>15</v>
      </c>
      <c r="E31" t="s">
        <v>28</v>
      </c>
      <c r="F31" t="s">
        <v>17</v>
      </c>
      <c r="G31" t="s">
        <v>18</v>
      </c>
      <c r="H31" t="s">
        <v>29</v>
      </c>
      <c r="I31" t="s">
        <v>61</v>
      </c>
      <c r="J31" t="s">
        <v>21</v>
      </c>
      <c r="K31" t="s">
        <v>22</v>
      </c>
      <c r="L31">
        <v>3</v>
      </c>
    </row>
    <row r="32" spans="1:12" x14ac:dyDescent="0.3">
      <c r="A32" t="s">
        <v>12</v>
      </c>
      <c r="B32" t="s">
        <v>13</v>
      </c>
      <c r="C32" t="s">
        <v>14</v>
      </c>
      <c r="D32" t="s">
        <v>15</v>
      </c>
      <c r="E32" t="s">
        <v>28</v>
      </c>
      <c r="F32" t="s">
        <v>17</v>
      </c>
      <c r="G32" t="s">
        <v>18</v>
      </c>
      <c r="H32" t="s">
        <v>29</v>
      </c>
      <c r="I32" t="s">
        <v>62</v>
      </c>
      <c r="J32" t="s">
        <v>21</v>
      </c>
      <c r="K32" t="s">
        <v>22</v>
      </c>
      <c r="L32">
        <v>3</v>
      </c>
    </row>
    <row r="33" spans="1:12" x14ac:dyDescent="0.3">
      <c r="A33" t="s">
        <v>12</v>
      </c>
      <c r="B33" t="s">
        <v>13</v>
      </c>
      <c r="C33" t="s">
        <v>14</v>
      </c>
      <c r="D33" t="s">
        <v>15</v>
      </c>
      <c r="E33" t="s">
        <v>40</v>
      </c>
      <c r="F33" t="s">
        <v>17</v>
      </c>
      <c r="G33" t="s">
        <v>18</v>
      </c>
      <c r="H33" t="s">
        <v>29</v>
      </c>
      <c r="I33" t="s">
        <v>62</v>
      </c>
      <c r="J33" t="s">
        <v>42</v>
      </c>
      <c r="K33" t="s">
        <v>27</v>
      </c>
      <c r="L33">
        <v>2</v>
      </c>
    </row>
    <row r="34" spans="1:12" x14ac:dyDescent="0.3">
      <c r="A34" t="s">
        <v>12</v>
      </c>
      <c r="B34" t="s">
        <v>13</v>
      </c>
      <c r="C34" t="s">
        <v>14</v>
      </c>
      <c r="D34" t="s">
        <v>15</v>
      </c>
      <c r="E34" t="s">
        <v>40</v>
      </c>
      <c r="F34" t="s">
        <v>17</v>
      </c>
      <c r="G34" t="s">
        <v>18</v>
      </c>
      <c r="H34" t="s">
        <v>29</v>
      </c>
      <c r="I34" t="s">
        <v>61</v>
      </c>
      <c r="J34" t="s">
        <v>42</v>
      </c>
      <c r="K34" t="s">
        <v>27</v>
      </c>
      <c r="L34">
        <v>2</v>
      </c>
    </row>
    <row r="35" spans="1:12" x14ac:dyDescent="0.3">
      <c r="A35" t="s">
        <v>12</v>
      </c>
      <c r="B35" t="s">
        <v>13</v>
      </c>
      <c r="C35" t="s">
        <v>14</v>
      </c>
      <c r="D35" t="s">
        <v>15</v>
      </c>
      <c r="E35" t="s">
        <v>28</v>
      </c>
      <c r="F35" t="s">
        <v>17</v>
      </c>
      <c r="G35" t="s">
        <v>18</v>
      </c>
      <c r="H35" t="s">
        <v>29</v>
      </c>
      <c r="I35" t="s">
        <v>63</v>
      </c>
      <c r="J35" t="s">
        <v>21</v>
      </c>
      <c r="K35" t="s">
        <v>22</v>
      </c>
      <c r="L35">
        <v>3</v>
      </c>
    </row>
    <row r="36" spans="1:12" x14ac:dyDescent="0.3">
      <c r="A36" t="s">
        <v>12</v>
      </c>
      <c r="B36" t="s">
        <v>13</v>
      </c>
      <c r="C36" t="s">
        <v>14</v>
      </c>
      <c r="D36" t="s">
        <v>15</v>
      </c>
      <c r="E36" t="s">
        <v>40</v>
      </c>
      <c r="F36" t="s">
        <v>17</v>
      </c>
      <c r="G36" t="s">
        <v>18</v>
      </c>
      <c r="H36" t="s">
        <v>29</v>
      </c>
      <c r="I36" t="s">
        <v>64</v>
      </c>
      <c r="J36" t="s">
        <v>42</v>
      </c>
      <c r="K36" t="s">
        <v>27</v>
      </c>
      <c r="L36">
        <v>2</v>
      </c>
    </row>
    <row r="37" spans="1:12" x14ac:dyDescent="0.3">
      <c r="A37" t="s">
        <v>12</v>
      </c>
      <c r="B37" t="s">
        <v>13</v>
      </c>
      <c r="C37" t="s">
        <v>14</v>
      </c>
      <c r="D37" t="s">
        <v>15</v>
      </c>
      <c r="E37" t="s">
        <v>28</v>
      </c>
      <c r="F37" t="s">
        <v>17</v>
      </c>
      <c r="G37" t="s">
        <v>18</v>
      </c>
      <c r="H37" t="s">
        <v>29</v>
      </c>
      <c r="I37" t="s">
        <v>65</v>
      </c>
      <c r="J37" t="s">
        <v>21</v>
      </c>
      <c r="K37" t="s">
        <v>22</v>
      </c>
      <c r="L37">
        <v>3</v>
      </c>
    </row>
    <row r="38" spans="1:12" x14ac:dyDescent="0.3">
      <c r="A38" t="s">
        <v>12</v>
      </c>
      <c r="B38" t="s">
        <v>13</v>
      </c>
      <c r="C38" t="s">
        <v>14</v>
      </c>
      <c r="D38" t="s">
        <v>15</v>
      </c>
      <c r="E38" t="s">
        <v>28</v>
      </c>
      <c r="F38" t="s">
        <v>17</v>
      </c>
      <c r="G38" t="s">
        <v>18</v>
      </c>
      <c r="H38" t="s">
        <v>29</v>
      </c>
      <c r="I38" t="s">
        <v>66</v>
      </c>
      <c r="J38" t="s">
        <v>21</v>
      </c>
      <c r="K38" t="s">
        <v>22</v>
      </c>
      <c r="L38">
        <v>3</v>
      </c>
    </row>
    <row r="39" spans="1:12" x14ac:dyDescent="0.3">
      <c r="A39" t="s">
        <v>12</v>
      </c>
      <c r="B39" t="s">
        <v>13</v>
      </c>
      <c r="C39" t="s">
        <v>14</v>
      </c>
      <c r="D39" t="s">
        <v>15</v>
      </c>
      <c r="E39" t="s">
        <v>28</v>
      </c>
      <c r="F39" t="s">
        <v>17</v>
      </c>
      <c r="G39" t="s">
        <v>18</v>
      </c>
      <c r="H39" t="s">
        <v>29</v>
      </c>
      <c r="I39" t="s">
        <v>64</v>
      </c>
      <c r="J39" t="s">
        <v>21</v>
      </c>
      <c r="K39" t="s">
        <v>22</v>
      </c>
      <c r="L39">
        <v>3</v>
      </c>
    </row>
    <row r="40" spans="1:12" x14ac:dyDescent="0.3">
      <c r="A40" t="s">
        <v>12</v>
      </c>
      <c r="B40" t="s">
        <v>13</v>
      </c>
      <c r="C40" t="s">
        <v>14</v>
      </c>
      <c r="D40" t="s">
        <v>15</v>
      </c>
      <c r="E40" t="s">
        <v>28</v>
      </c>
      <c r="F40" t="s">
        <v>17</v>
      </c>
      <c r="G40" t="s">
        <v>18</v>
      </c>
      <c r="H40" t="s">
        <v>29</v>
      </c>
      <c r="I40" t="s">
        <v>67</v>
      </c>
      <c r="J40" t="s">
        <v>21</v>
      </c>
      <c r="K40" t="s">
        <v>22</v>
      </c>
      <c r="L40">
        <v>3</v>
      </c>
    </row>
    <row r="41" spans="1:12" x14ac:dyDescent="0.3">
      <c r="A41" t="s">
        <v>12</v>
      </c>
      <c r="B41" t="s">
        <v>13</v>
      </c>
      <c r="C41" t="s">
        <v>14</v>
      </c>
      <c r="D41" t="s">
        <v>15</v>
      </c>
      <c r="E41" t="s">
        <v>57</v>
      </c>
      <c r="F41" t="s">
        <v>17</v>
      </c>
      <c r="G41" t="s">
        <v>18</v>
      </c>
      <c r="H41" t="s">
        <v>29</v>
      </c>
      <c r="I41" t="s">
        <v>67</v>
      </c>
      <c r="J41" t="s">
        <v>58</v>
      </c>
      <c r="K41" t="s">
        <v>59</v>
      </c>
      <c r="L41">
        <v>21</v>
      </c>
    </row>
    <row r="42" spans="1:12" x14ac:dyDescent="0.3">
      <c r="A42" t="s">
        <v>12</v>
      </c>
      <c r="B42" t="s">
        <v>13</v>
      </c>
      <c r="C42" t="s">
        <v>14</v>
      </c>
      <c r="D42" t="s">
        <v>15</v>
      </c>
      <c r="E42" t="s">
        <v>28</v>
      </c>
      <c r="F42" t="s">
        <v>17</v>
      </c>
      <c r="G42" t="s">
        <v>18</v>
      </c>
      <c r="H42" t="s">
        <v>29</v>
      </c>
      <c r="I42" t="s">
        <v>68</v>
      </c>
      <c r="J42" t="s">
        <v>21</v>
      </c>
      <c r="K42" t="s">
        <v>22</v>
      </c>
      <c r="L42">
        <v>3</v>
      </c>
    </row>
    <row r="43" spans="1:12" x14ac:dyDescent="0.3">
      <c r="A43" t="s">
        <v>12</v>
      </c>
      <c r="B43" t="s">
        <v>13</v>
      </c>
      <c r="C43" t="s">
        <v>14</v>
      </c>
      <c r="D43" t="s">
        <v>15</v>
      </c>
      <c r="E43" t="s">
        <v>28</v>
      </c>
      <c r="F43" t="s">
        <v>17</v>
      </c>
      <c r="G43" t="s">
        <v>18</v>
      </c>
      <c r="H43" t="s">
        <v>29</v>
      </c>
      <c r="I43" t="s">
        <v>20</v>
      </c>
      <c r="J43" t="s">
        <v>21</v>
      </c>
      <c r="K43" t="s">
        <v>22</v>
      </c>
      <c r="L43">
        <v>3</v>
      </c>
    </row>
    <row r="44" spans="1:12" x14ac:dyDescent="0.3">
      <c r="A44" t="s">
        <v>12</v>
      </c>
      <c r="B44" t="s">
        <v>13</v>
      </c>
      <c r="C44" t="s">
        <v>14</v>
      </c>
      <c r="D44" t="s">
        <v>15</v>
      </c>
      <c r="E44" t="s">
        <v>28</v>
      </c>
      <c r="F44" t="s">
        <v>17</v>
      </c>
      <c r="G44" t="s">
        <v>18</v>
      </c>
      <c r="H44" t="s">
        <v>29</v>
      </c>
      <c r="I44" t="s">
        <v>69</v>
      </c>
      <c r="J44" t="s">
        <v>21</v>
      </c>
      <c r="K44" t="s">
        <v>22</v>
      </c>
      <c r="L44">
        <v>3</v>
      </c>
    </row>
    <row r="45" spans="1:12" x14ac:dyDescent="0.3">
      <c r="A45" t="s">
        <v>12</v>
      </c>
      <c r="B45" t="s">
        <v>13</v>
      </c>
      <c r="C45" t="s">
        <v>14</v>
      </c>
      <c r="D45" t="s">
        <v>15</v>
      </c>
      <c r="E45" t="s">
        <v>28</v>
      </c>
      <c r="F45" t="s">
        <v>17</v>
      </c>
      <c r="G45" t="s">
        <v>18</v>
      </c>
      <c r="H45" t="s">
        <v>29</v>
      </c>
      <c r="I45" t="s">
        <v>70</v>
      </c>
      <c r="J45" t="s">
        <v>21</v>
      </c>
      <c r="K45" t="s">
        <v>22</v>
      </c>
      <c r="L45">
        <v>3</v>
      </c>
    </row>
    <row r="46" spans="1:12" x14ac:dyDescent="0.3">
      <c r="A46" t="s">
        <v>12</v>
      </c>
      <c r="B46" t="s">
        <v>13</v>
      </c>
      <c r="C46" t="s">
        <v>14</v>
      </c>
      <c r="D46" t="s">
        <v>15</v>
      </c>
      <c r="E46" t="s">
        <v>57</v>
      </c>
      <c r="F46" t="s">
        <v>17</v>
      </c>
      <c r="G46" t="s">
        <v>18</v>
      </c>
      <c r="H46" t="s">
        <v>29</v>
      </c>
      <c r="I46" t="s">
        <v>70</v>
      </c>
      <c r="J46" t="s">
        <v>58</v>
      </c>
      <c r="K46" t="s">
        <v>59</v>
      </c>
      <c r="L46">
        <v>21</v>
      </c>
    </row>
    <row r="47" spans="1:12" x14ac:dyDescent="0.3">
      <c r="A47" t="s">
        <v>12</v>
      </c>
      <c r="B47" t="s">
        <v>13</v>
      </c>
      <c r="C47" t="s">
        <v>14</v>
      </c>
      <c r="D47" t="s">
        <v>15</v>
      </c>
      <c r="E47" t="s">
        <v>40</v>
      </c>
      <c r="F47" t="s">
        <v>17</v>
      </c>
      <c r="G47" t="s">
        <v>18</v>
      </c>
      <c r="H47" t="s">
        <v>29</v>
      </c>
      <c r="I47" t="s">
        <v>71</v>
      </c>
      <c r="J47" t="s">
        <v>42</v>
      </c>
      <c r="K47" t="s">
        <v>27</v>
      </c>
      <c r="L47">
        <v>2</v>
      </c>
    </row>
    <row r="48" spans="1:12" x14ac:dyDescent="0.3">
      <c r="A48" t="s">
        <v>12</v>
      </c>
      <c r="B48" t="s">
        <v>13</v>
      </c>
      <c r="C48" t="s">
        <v>14</v>
      </c>
      <c r="D48" t="s">
        <v>15</v>
      </c>
      <c r="E48" t="s">
        <v>28</v>
      </c>
      <c r="F48" t="s">
        <v>17</v>
      </c>
      <c r="G48" t="s">
        <v>18</v>
      </c>
      <c r="H48" t="s">
        <v>29</v>
      </c>
      <c r="I48" t="s">
        <v>71</v>
      </c>
      <c r="J48" t="s">
        <v>21</v>
      </c>
      <c r="K48" t="s">
        <v>22</v>
      </c>
      <c r="L48">
        <v>3</v>
      </c>
    </row>
    <row r="49" spans="1:12" x14ac:dyDescent="0.3">
      <c r="A49" t="s">
        <v>12</v>
      </c>
      <c r="B49" t="s">
        <v>13</v>
      </c>
      <c r="C49" t="s">
        <v>14</v>
      </c>
      <c r="D49" t="s">
        <v>15</v>
      </c>
      <c r="E49" t="s">
        <v>28</v>
      </c>
      <c r="F49" t="s">
        <v>17</v>
      </c>
      <c r="G49" t="s">
        <v>18</v>
      </c>
      <c r="H49" t="s">
        <v>29</v>
      </c>
      <c r="I49" t="s">
        <v>72</v>
      </c>
      <c r="J49" t="s">
        <v>21</v>
      </c>
      <c r="K49" t="s">
        <v>22</v>
      </c>
      <c r="L49">
        <v>3</v>
      </c>
    </row>
    <row r="50" spans="1:12" x14ac:dyDescent="0.3">
      <c r="A50" t="s">
        <v>12</v>
      </c>
      <c r="B50" t="s">
        <v>13</v>
      </c>
      <c r="C50" t="s">
        <v>14</v>
      </c>
      <c r="D50" t="s">
        <v>15</v>
      </c>
      <c r="E50" t="s">
        <v>28</v>
      </c>
      <c r="F50" t="s">
        <v>17</v>
      </c>
      <c r="G50" t="s">
        <v>18</v>
      </c>
      <c r="H50" t="s">
        <v>29</v>
      </c>
      <c r="I50" t="s">
        <v>73</v>
      </c>
      <c r="J50" t="s">
        <v>21</v>
      </c>
      <c r="K50" t="s">
        <v>22</v>
      </c>
      <c r="L50">
        <v>3</v>
      </c>
    </row>
    <row r="51" spans="1:12" x14ac:dyDescent="0.3">
      <c r="A51" t="s">
        <v>12</v>
      </c>
      <c r="B51" t="s">
        <v>13</v>
      </c>
      <c r="C51" t="s">
        <v>14</v>
      </c>
      <c r="D51" t="s">
        <v>15</v>
      </c>
      <c r="E51" t="s">
        <v>28</v>
      </c>
      <c r="F51" t="s">
        <v>17</v>
      </c>
      <c r="G51" t="s">
        <v>18</v>
      </c>
      <c r="H51" t="s">
        <v>29</v>
      </c>
      <c r="I51" t="s">
        <v>74</v>
      </c>
      <c r="J51" t="s">
        <v>21</v>
      </c>
      <c r="K51" t="s">
        <v>22</v>
      </c>
      <c r="L51">
        <v>3</v>
      </c>
    </row>
    <row r="52" spans="1:12" x14ac:dyDescent="0.3">
      <c r="A52" t="s">
        <v>12</v>
      </c>
      <c r="B52" t="s">
        <v>13</v>
      </c>
      <c r="C52" t="s">
        <v>14</v>
      </c>
      <c r="D52" t="s">
        <v>15</v>
      </c>
      <c r="E52" t="s">
        <v>28</v>
      </c>
      <c r="F52" t="s">
        <v>17</v>
      </c>
      <c r="G52" t="s">
        <v>18</v>
      </c>
      <c r="H52" t="s">
        <v>29</v>
      </c>
      <c r="I52" t="s">
        <v>75</v>
      </c>
      <c r="J52" t="s">
        <v>21</v>
      </c>
      <c r="K52" t="s">
        <v>22</v>
      </c>
      <c r="L52">
        <v>3</v>
      </c>
    </row>
    <row r="53" spans="1:12" x14ac:dyDescent="0.3">
      <c r="A53" t="s">
        <v>12</v>
      </c>
      <c r="B53" t="s">
        <v>13</v>
      </c>
      <c r="C53" t="s">
        <v>14</v>
      </c>
      <c r="D53" t="s">
        <v>15</v>
      </c>
      <c r="E53" t="s">
        <v>28</v>
      </c>
      <c r="F53" t="s">
        <v>17</v>
      </c>
      <c r="G53" t="s">
        <v>18</v>
      </c>
      <c r="H53" t="s">
        <v>29</v>
      </c>
      <c r="I53" t="s">
        <v>76</v>
      </c>
      <c r="J53" t="s">
        <v>21</v>
      </c>
      <c r="K53" t="s">
        <v>22</v>
      </c>
      <c r="L53">
        <v>3</v>
      </c>
    </row>
    <row r="54" spans="1:12" x14ac:dyDescent="0.3">
      <c r="A54" t="s">
        <v>12</v>
      </c>
      <c r="B54" t="s">
        <v>13</v>
      </c>
      <c r="C54" t="s">
        <v>14</v>
      </c>
      <c r="D54" t="s">
        <v>15</v>
      </c>
      <c r="E54" t="s">
        <v>28</v>
      </c>
      <c r="F54" t="s">
        <v>17</v>
      </c>
      <c r="G54" t="s">
        <v>18</v>
      </c>
      <c r="H54" t="s">
        <v>29</v>
      </c>
      <c r="I54" t="s">
        <v>77</v>
      </c>
      <c r="J54" t="s">
        <v>21</v>
      </c>
      <c r="K54" t="s">
        <v>22</v>
      </c>
      <c r="L5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FF86-3DD1-4CB4-B151-8DB7CD241236}">
  <dimension ref="A1:AD20"/>
  <sheetViews>
    <sheetView topLeftCell="E1" workbookViewId="0">
      <selection activeCell="F34" sqref="F34"/>
    </sheetView>
  </sheetViews>
  <sheetFormatPr defaultRowHeight="14.4" x14ac:dyDescent="0.3"/>
  <cols>
    <col min="1" max="1" width="11.21875" bestFit="1" customWidth="1"/>
    <col min="2" max="2" width="10.33203125" bestFit="1" customWidth="1"/>
    <col min="3" max="3" width="6.77734375" bestFit="1" customWidth="1"/>
    <col min="4" max="4" width="9" bestFit="1" customWidth="1"/>
    <col min="5" max="5" width="33.6640625" bestFit="1" customWidth="1"/>
    <col min="6" max="6" width="52" bestFit="1" customWidth="1"/>
    <col min="7" max="7" width="10" bestFit="1" customWidth="1"/>
    <col min="8" max="8" width="8.21875" bestFit="1" customWidth="1"/>
    <col min="9" max="9" width="12" bestFit="1" customWidth="1"/>
    <col min="10" max="10" width="16.109375" bestFit="1" customWidth="1"/>
    <col min="11" max="11" width="33.6640625" bestFit="1" customWidth="1"/>
    <col min="12" max="12" width="11.44140625" bestFit="1" customWidth="1"/>
    <col min="13" max="13" width="10" bestFit="1" customWidth="1"/>
    <col min="14" max="14" width="9.77734375" bestFit="1" customWidth="1"/>
    <col min="15" max="15" width="16.109375" bestFit="1" customWidth="1"/>
    <col min="16" max="17" width="9.5546875" bestFit="1" customWidth="1"/>
    <col min="18" max="18" width="6.5546875" bestFit="1" customWidth="1"/>
    <col min="19" max="19" width="8.5546875" bestFit="1" customWidth="1"/>
    <col min="20" max="20" width="9.5546875" bestFit="1" customWidth="1"/>
    <col min="21" max="22" width="6.5546875" bestFit="1" customWidth="1"/>
    <col min="23" max="23" width="7.5546875" bestFit="1" customWidth="1"/>
    <col min="24" max="29" width="6.5546875" bestFit="1" customWidth="1"/>
    <col min="30" max="30" width="9.5546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78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L1" t="s">
        <v>9</v>
      </c>
      <c r="M1" t="s">
        <v>10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  <c r="AD1" t="s">
        <v>105</v>
      </c>
    </row>
    <row r="2" spans="1:30" x14ac:dyDescent="0.3">
      <c r="A2" t="s">
        <v>12</v>
      </c>
      <c r="B2" t="s">
        <v>13</v>
      </c>
      <c r="C2" t="s">
        <v>14</v>
      </c>
      <c r="D2" t="s">
        <v>15</v>
      </c>
      <c r="E2" t="s">
        <v>95</v>
      </c>
      <c r="F2" t="s">
        <v>95</v>
      </c>
      <c r="G2" t="s">
        <v>17</v>
      </c>
      <c r="H2" t="s">
        <v>18</v>
      </c>
      <c r="I2" t="s">
        <v>96</v>
      </c>
      <c r="J2" t="s">
        <v>97</v>
      </c>
      <c r="K2" t="s">
        <v>95</v>
      </c>
      <c r="L2" t="s">
        <v>98</v>
      </c>
      <c r="M2" t="s">
        <v>99</v>
      </c>
      <c r="N2" t="s">
        <v>100</v>
      </c>
      <c r="O2" s="1">
        <v>-9998.51</v>
      </c>
      <c r="P2">
        <v>2795.75</v>
      </c>
      <c r="Q2">
        <v>3070.18</v>
      </c>
      <c r="R2">
        <v>0</v>
      </c>
      <c r="S2">
        <v>638.29</v>
      </c>
      <c r="T2">
        <v>6929.82</v>
      </c>
      <c r="U2">
        <v>0</v>
      </c>
      <c r="V2">
        <v>0</v>
      </c>
      <c r="W2">
        <v>44.76</v>
      </c>
      <c r="X2">
        <v>0.33</v>
      </c>
      <c r="Y2">
        <v>0</v>
      </c>
      <c r="Z2" t="s">
        <v>101</v>
      </c>
      <c r="AA2" t="s">
        <v>101</v>
      </c>
      <c r="AB2" t="s">
        <v>101</v>
      </c>
      <c r="AC2" t="s">
        <v>101</v>
      </c>
      <c r="AD2" s="1">
        <f>SUMIFS($O$2:$O$5,$I$2:$I$5,I2,$J$2:$J$5,J2,$M$2:$M$5,M2)</f>
        <v>-9998.51</v>
      </c>
    </row>
    <row r="3" spans="1:30" x14ac:dyDescent="0.3">
      <c r="A3" t="s">
        <v>12</v>
      </c>
      <c r="B3" t="s">
        <v>13</v>
      </c>
      <c r="C3" t="s">
        <v>14</v>
      </c>
      <c r="D3" t="s">
        <v>15</v>
      </c>
      <c r="E3" t="s">
        <v>95</v>
      </c>
      <c r="F3" t="s">
        <v>95</v>
      </c>
      <c r="G3" t="s">
        <v>17</v>
      </c>
      <c r="H3" t="s">
        <v>18</v>
      </c>
      <c r="I3" t="s">
        <v>96</v>
      </c>
      <c r="J3" t="s">
        <v>20</v>
      </c>
      <c r="K3" t="s">
        <v>106</v>
      </c>
      <c r="L3" t="s">
        <v>98</v>
      </c>
      <c r="M3" t="s">
        <v>99</v>
      </c>
      <c r="N3" t="s">
        <v>100</v>
      </c>
      <c r="O3" s="1">
        <v>-9998.51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5.41</v>
      </c>
      <c r="AA3">
        <v>0</v>
      </c>
      <c r="AB3">
        <v>0</v>
      </c>
      <c r="AC3">
        <v>0</v>
      </c>
      <c r="AD3" s="1">
        <f t="shared" ref="AD3:AD5" si="0">SUMIFS($O$2:$O$5,$I$2:$I$5,I3,$J$2:$J$5,J3,$M$2:$M$5,M3)</f>
        <v>-9998.51</v>
      </c>
    </row>
    <row r="4" spans="1:30" x14ac:dyDescent="0.3">
      <c r="A4" t="s">
        <v>12</v>
      </c>
      <c r="B4" t="s">
        <v>13</v>
      </c>
      <c r="C4" t="s">
        <v>14</v>
      </c>
      <c r="D4" t="s">
        <v>15</v>
      </c>
      <c r="E4" t="s">
        <v>95</v>
      </c>
      <c r="F4" t="s">
        <v>102</v>
      </c>
      <c r="G4" t="s">
        <v>17</v>
      </c>
      <c r="H4" t="s">
        <v>18</v>
      </c>
      <c r="I4" t="s">
        <v>96</v>
      </c>
      <c r="J4" t="s">
        <v>103</v>
      </c>
      <c r="K4" t="s">
        <v>107</v>
      </c>
      <c r="L4" t="s">
        <v>42</v>
      </c>
      <c r="M4" t="s">
        <v>27</v>
      </c>
      <c r="N4" t="s">
        <v>100</v>
      </c>
      <c r="O4" s="1">
        <v>-9998.51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">
        <v>101</v>
      </c>
      <c r="AA4" t="s">
        <v>101</v>
      </c>
      <c r="AB4" t="s">
        <v>101</v>
      </c>
      <c r="AC4" t="s">
        <v>101</v>
      </c>
      <c r="AD4" s="1">
        <f t="shared" si="0"/>
        <v>-9998.51</v>
      </c>
    </row>
    <row r="5" spans="1:30" x14ac:dyDescent="0.3">
      <c r="A5" t="s">
        <v>12</v>
      </c>
      <c r="B5" t="s">
        <v>13</v>
      </c>
      <c r="C5" t="s">
        <v>14</v>
      </c>
      <c r="D5" t="s">
        <v>15</v>
      </c>
      <c r="E5" t="s">
        <v>95</v>
      </c>
      <c r="F5" t="s">
        <v>102</v>
      </c>
      <c r="G5" t="s">
        <v>17</v>
      </c>
      <c r="H5" t="s">
        <v>18</v>
      </c>
      <c r="I5" t="s">
        <v>96</v>
      </c>
      <c r="J5" t="s">
        <v>104</v>
      </c>
      <c r="K5" t="s">
        <v>108</v>
      </c>
      <c r="L5" t="s">
        <v>42</v>
      </c>
      <c r="M5" t="s">
        <v>27</v>
      </c>
      <c r="N5" t="s">
        <v>100</v>
      </c>
      <c r="O5" s="1">
        <v>-9998.51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">
        <v>101</v>
      </c>
      <c r="AA5" t="s">
        <v>101</v>
      </c>
      <c r="AB5" t="s">
        <v>101</v>
      </c>
      <c r="AC5" t="s">
        <v>101</v>
      </c>
      <c r="AD5" s="1">
        <f t="shared" si="0"/>
        <v>-9998.51</v>
      </c>
    </row>
    <row r="9" spans="1:30" x14ac:dyDescent="0.3">
      <c r="F9" t="s">
        <v>4</v>
      </c>
      <c r="G9" t="s">
        <v>10</v>
      </c>
    </row>
    <row r="10" spans="1:30" x14ac:dyDescent="0.3">
      <c r="F10" t="s">
        <v>95</v>
      </c>
      <c r="G10" t="s">
        <v>99</v>
      </c>
    </row>
    <row r="11" spans="1:30" x14ac:dyDescent="0.3">
      <c r="F11" t="s">
        <v>102</v>
      </c>
      <c r="G11" t="s">
        <v>27</v>
      </c>
    </row>
    <row r="17" spans="9:15" x14ac:dyDescent="0.3">
      <c r="I17" t="s">
        <v>109</v>
      </c>
      <c r="J17" t="s">
        <v>111</v>
      </c>
      <c r="K17" t="s">
        <v>114</v>
      </c>
      <c r="L17" t="s">
        <v>115</v>
      </c>
      <c r="M17" t="s">
        <v>116</v>
      </c>
      <c r="N17" t="s">
        <v>117</v>
      </c>
      <c r="O17" t="s">
        <v>118</v>
      </c>
    </row>
    <row r="18" spans="9:15" x14ac:dyDescent="0.3">
      <c r="I18" t="s">
        <v>110</v>
      </c>
      <c r="J18" t="s">
        <v>112</v>
      </c>
      <c r="K18">
        <v>1</v>
      </c>
      <c r="L18">
        <v>0</v>
      </c>
      <c r="M18">
        <v>50</v>
      </c>
      <c r="N18">
        <v>20</v>
      </c>
      <c r="O18">
        <f>SUM(M18:N18)</f>
        <v>70</v>
      </c>
    </row>
    <row r="19" spans="9:15" x14ac:dyDescent="0.3">
      <c r="I19" t="s">
        <v>110</v>
      </c>
      <c r="J19" t="s">
        <v>113</v>
      </c>
      <c r="K19">
        <v>0</v>
      </c>
      <c r="L19">
        <v>1</v>
      </c>
      <c r="M19">
        <v>30</v>
      </c>
      <c r="N19">
        <v>40</v>
      </c>
      <c r="O19">
        <f>SUM(M19:N19)</f>
        <v>70</v>
      </c>
    </row>
    <row r="20" spans="9:15" x14ac:dyDescent="0.3">
      <c r="I20" t="s">
        <v>110</v>
      </c>
      <c r="J20" t="s">
        <v>119</v>
      </c>
      <c r="K20">
        <v>1</v>
      </c>
      <c r="L20">
        <v>0</v>
      </c>
      <c r="M20">
        <v>30</v>
      </c>
      <c r="N20">
        <v>10</v>
      </c>
      <c r="O20">
        <f>SUM(M20:N20)</f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FE7D-4938-4B7A-B966-9BC8ECB18572}">
  <dimension ref="A1:V6"/>
  <sheetViews>
    <sheetView topLeftCell="L1" workbookViewId="0">
      <selection activeCell="V3" sqref="V3"/>
    </sheetView>
  </sheetViews>
  <sheetFormatPr defaultRowHeight="14.4" x14ac:dyDescent="0.3"/>
  <cols>
    <col min="1" max="1" width="11.21875" bestFit="1" customWidth="1"/>
    <col min="2" max="2" width="10.33203125" bestFit="1" customWidth="1"/>
    <col min="3" max="3" width="7.109375" bestFit="1" customWidth="1"/>
    <col min="4" max="4" width="9.5546875" bestFit="1" customWidth="1"/>
    <col min="5" max="6" width="33.6640625" bestFit="1" customWidth="1"/>
    <col min="7" max="7" width="8.21875" bestFit="1" customWidth="1"/>
    <col min="8" max="8" width="8.33203125" bestFit="1" customWidth="1"/>
    <col min="9" max="9" width="12" bestFit="1" customWidth="1"/>
    <col min="10" max="10" width="15.77734375" bestFit="1" customWidth="1"/>
    <col min="11" max="11" width="10.44140625" bestFit="1" customWidth="1"/>
    <col min="12" max="12" width="17.21875" bestFit="1" customWidth="1"/>
    <col min="13" max="13" width="15.109375" bestFit="1" customWidth="1"/>
    <col min="14" max="14" width="16.109375" bestFit="1" customWidth="1"/>
    <col min="15" max="15" width="30.77734375" bestFit="1" customWidth="1"/>
    <col min="16" max="16" width="17.6640625" bestFit="1" customWidth="1"/>
    <col min="17" max="17" width="26" bestFit="1" customWidth="1"/>
    <col min="18" max="18" width="18.5546875" bestFit="1" customWidth="1"/>
    <col min="19" max="19" width="26.88671875" bestFit="1" customWidth="1"/>
    <col min="20" max="20" width="14.441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78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80</v>
      </c>
      <c r="M1" t="s">
        <v>120</v>
      </c>
      <c r="N1" t="s">
        <v>121</v>
      </c>
      <c r="O1" t="s">
        <v>122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137</v>
      </c>
    </row>
    <row r="2" spans="1:22" x14ac:dyDescent="0.3">
      <c r="A2" t="s">
        <v>12</v>
      </c>
      <c r="B2" t="s">
        <v>13</v>
      </c>
      <c r="C2" t="s">
        <v>14</v>
      </c>
      <c r="D2" t="s">
        <v>15</v>
      </c>
      <c r="E2" t="s">
        <v>128</v>
      </c>
      <c r="F2" t="s">
        <v>128</v>
      </c>
      <c r="G2" t="s">
        <v>17</v>
      </c>
      <c r="H2" t="s">
        <v>129</v>
      </c>
      <c r="I2" t="s">
        <v>130</v>
      </c>
      <c r="J2" t="s">
        <v>131</v>
      </c>
      <c r="K2" t="s">
        <v>132</v>
      </c>
      <c r="L2" s="1">
        <v>-185014.78</v>
      </c>
      <c r="M2" s="1">
        <v>15177.2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-266422.02</v>
      </c>
      <c r="U2">
        <f>L2/T2</f>
        <v>0.69444252393251871</v>
      </c>
      <c r="V2" s="1">
        <f>U2*M2</f>
        <v>10539.693074228624</v>
      </c>
    </row>
    <row r="3" spans="1:22" x14ac:dyDescent="0.3">
      <c r="A3" t="s">
        <v>12</v>
      </c>
      <c r="B3" t="s">
        <v>13</v>
      </c>
      <c r="C3" t="s">
        <v>14</v>
      </c>
      <c r="D3" t="s">
        <v>15</v>
      </c>
      <c r="E3" t="s">
        <v>133</v>
      </c>
      <c r="F3" t="s">
        <v>133</v>
      </c>
      <c r="G3" t="s">
        <v>17</v>
      </c>
      <c r="H3" t="s">
        <v>129</v>
      </c>
      <c r="I3" t="s">
        <v>130</v>
      </c>
      <c r="J3" t="s">
        <v>131</v>
      </c>
      <c r="K3" t="s">
        <v>132</v>
      </c>
      <c r="L3" s="1">
        <v>-30900</v>
      </c>
      <c r="M3" s="1">
        <v>15177.2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-266422.02</v>
      </c>
      <c r="U3">
        <f>L3/T3</f>
        <v>0.11598140423978467</v>
      </c>
      <c r="V3" s="1">
        <f>U3*M3</f>
        <v>1760.27296842806</v>
      </c>
    </row>
    <row r="4" spans="1:22" x14ac:dyDescent="0.3">
      <c r="A4" t="s">
        <v>12</v>
      </c>
      <c r="B4" t="s">
        <v>13</v>
      </c>
      <c r="C4" t="s">
        <v>14</v>
      </c>
      <c r="D4" t="s">
        <v>15</v>
      </c>
      <c r="E4" t="s">
        <v>134</v>
      </c>
      <c r="F4" t="s">
        <v>134</v>
      </c>
      <c r="G4" t="s">
        <v>17</v>
      </c>
      <c r="H4" t="s">
        <v>129</v>
      </c>
      <c r="I4" t="s">
        <v>130</v>
      </c>
      <c r="J4" t="s">
        <v>131</v>
      </c>
      <c r="K4" t="s">
        <v>132</v>
      </c>
      <c r="L4" s="1">
        <v>-27450</v>
      </c>
      <c r="M4" s="1">
        <v>15177.2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-266422.02</v>
      </c>
      <c r="U4">
        <f>L4/T4</f>
        <v>0.10303202415476018</v>
      </c>
      <c r="V4" s="1">
        <f>U4*M4</f>
        <v>1563.7376370016261</v>
      </c>
    </row>
    <row r="5" spans="1:22" x14ac:dyDescent="0.3">
      <c r="A5" t="s">
        <v>12</v>
      </c>
      <c r="B5" t="s">
        <v>13</v>
      </c>
      <c r="C5" t="s">
        <v>14</v>
      </c>
      <c r="D5" t="s">
        <v>15</v>
      </c>
      <c r="E5" t="s">
        <v>135</v>
      </c>
      <c r="F5" t="s">
        <v>135</v>
      </c>
      <c r="G5" t="s">
        <v>17</v>
      </c>
      <c r="H5" t="s">
        <v>129</v>
      </c>
      <c r="I5" t="s">
        <v>130</v>
      </c>
      <c r="J5" t="s">
        <v>131</v>
      </c>
      <c r="K5" t="s">
        <v>132</v>
      </c>
      <c r="L5" s="1">
        <v>-21300</v>
      </c>
      <c r="M5" s="1">
        <v>15177.2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-266422.02</v>
      </c>
      <c r="U5">
        <f>L5/T5</f>
        <v>7.9948346611890403E-2</v>
      </c>
      <c r="V5" s="1">
        <f>U5*M5</f>
        <v>1213.3920461979831</v>
      </c>
    </row>
    <row r="6" spans="1:22" x14ac:dyDescent="0.3">
      <c r="A6" t="s">
        <v>12</v>
      </c>
      <c r="B6" t="s">
        <v>13</v>
      </c>
      <c r="C6" t="s">
        <v>14</v>
      </c>
      <c r="D6" t="s">
        <v>15</v>
      </c>
      <c r="E6" t="s">
        <v>136</v>
      </c>
      <c r="F6" t="s">
        <v>136</v>
      </c>
      <c r="G6" t="s">
        <v>17</v>
      </c>
      <c r="H6" t="s">
        <v>129</v>
      </c>
      <c r="I6" t="s">
        <v>130</v>
      </c>
      <c r="J6" t="s">
        <v>131</v>
      </c>
      <c r="K6" t="s">
        <v>132</v>
      </c>
      <c r="L6" s="1">
        <v>-1757.24</v>
      </c>
      <c r="M6" s="1">
        <v>15177.2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-266422.02</v>
      </c>
      <c r="U6">
        <f>L6/T6</f>
        <v>6.5957010610459294E-3</v>
      </c>
      <c r="V6" s="1">
        <f>U6*M6</f>
        <v>100.10427414370629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3289-B1C0-453E-93B2-66D3D056EF3E}">
  <dimension ref="A1:AB3"/>
  <sheetViews>
    <sheetView tabSelected="1" topLeftCell="U1" workbookViewId="0">
      <selection activeCell="X19" sqref="X19"/>
    </sheetView>
  </sheetViews>
  <sheetFormatPr defaultRowHeight="14.4" x14ac:dyDescent="0.3"/>
  <cols>
    <col min="1" max="1" width="11.21875" bestFit="1" customWidth="1"/>
    <col min="2" max="2" width="10.33203125" bestFit="1" customWidth="1"/>
    <col min="3" max="3" width="6.77734375" bestFit="1" customWidth="1"/>
    <col min="4" max="4" width="9" bestFit="1" customWidth="1"/>
    <col min="5" max="6" width="33.6640625" bestFit="1" customWidth="1"/>
    <col min="7" max="7" width="8" bestFit="1" customWidth="1"/>
    <col min="8" max="8" width="8.21875" bestFit="1" customWidth="1"/>
    <col min="9" max="9" width="12" bestFit="1" customWidth="1"/>
    <col min="10" max="10" width="15.77734375" bestFit="1" customWidth="1"/>
    <col min="11" max="11" width="10" bestFit="1" customWidth="1"/>
    <col min="12" max="12" width="16.109375" bestFit="1" customWidth="1"/>
    <col min="13" max="13" width="14.33203125" bestFit="1" customWidth="1"/>
    <col min="14" max="14" width="10.88671875" bestFit="1" customWidth="1"/>
    <col min="15" max="15" width="18.21875" bestFit="1" customWidth="1"/>
    <col min="16" max="16" width="15.6640625" bestFit="1" customWidth="1"/>
    <col min="17" max="17" width="19" bestFit="1" customWidth="1"/>
    <col min="18" max="18" width="15.109375" bestFit="1" customWidth="1"/>
    <col min="19" max="19" width="33" bestFit="1" customWidth="1"/>
    <col min="20" max="20" width="29.109375" bestFit="1" customWidth="1"/>
    <col min="21" max="21" width="20.5546875" bestFit="1" customWidth="1"/>
    <col min="22" max="22" width="16.6640625" bestFit="1" customWidth="1"/>
    <col min="23" max="23" width="28.5546875" bestFit="1" customWidth="1"/>
    <col min="24" max="24" width="24.6640625" bestFit="1" customWidth="1"/>
    <col min="25" max="25" width="21.44140625" bestFit="1" customWidth="1"/>
    <col min="26" max="26" width="17.5546875" bestFit="1" customWidth="1"/>
    <col min="27" max="27" width="29.33203125" bestFit="1" customWidth="1"/>
    <col min="28" max="28" width="25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78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80</v>
      </c>
      <c r="M1" t="s">
        <v>127</v>
      </c>
      <c r="N1" t="s">
        <v>138</v>
      </c>
      <c r="O1" t="s">
        <v>139</v>
      </c>
      <c r="P1" t="s">
        <v>120</v>
      </c>
      <c r="Q1" t="s">
        <v>140</v>
      </c>
      <c r="R1" t="s">
        <v>121</v>
      </c>
      <c r="S1" t="s">
        <v>141</v>
      </c>
      <c r="T1" t="s">
        <v>122</v>
      </c>
      <c r="U1" t="s">
        <v>142</v>
      </c>
      <c r="V1" t="s">
        <v>123</v>
      </c>
      <c r="W1" t="s">
        <v>143</v>
      </c>
      <c r="X1" t="s">
        <v>124</v>
      </c>
      <c r="Y1" t="s">
        <v>144</v>
      </c>
      <c r="Z1" t="s">
        <v>125</v>
      </c>
      <c r="AA1" t="s">
        <v>145</v>
      </c>
      <c r="AB1" t="s">
        <v>126</v>
      </c>
    </row>
    <row r="2" spans="1:28" x14ac:dyDescent="0.3">
      <c r="A2" t="s">
        <v>12</v>
      </c>
      <c r="B2" t="s">
        <v>13</v>
      </c>
      <c r="C2" t="s">
        <v>14</v>
      </c>
      <c r="D2" t="s">
        <v>15</v>
      </c>
      <c r="E2" t="s">
        <v>146</v>
      </c>
      <c r="F2" t="s">
        <v>146</v>
      </c>
      <c r="G2" t="s">
        <v>17</v>
      </c>
      <c r="H2" t="s">
        <v>129</v>
      </c>
      <c r="I2" t="s">
        <v>147</v>
      </c>
      <c r="J2" t="s">
        <v>148</v>
      </c>
      <c r="K2" t="s">
        <v>149</v>
      </c>
      <c r="L2" s="1">
        <v>-225353.29</v>
      </c>
      <c r="M2" s="1">
        <v>-300132.89</v>
      </c>
      <c r="N2" s="1">
        <v>0.75084499999999998</v>
      </c>
      <c r="O2" s="1">
        <v>4557.67</v>
      </c>
      <c r="P2" s="1">
        <v>3422.1037311499999</v>
      </c>
      <c r="Q2" s="1">
        <v>0</v>
      </c>
      <c r="R2" s="1">
        <v>0</v>
      </c>
      <c r="S2" s="1">
        <v>0</v>
      </c>
      <c r="T2" s="1">
        <v>0</v>
      </c>
      <c r="U2" s="1">
        <v>4975.25</v>
      </c>
      <c r="V2" s="1">
        <v>3735.6415862499998</v>
      </c>
      <c r="W2" s="1">
        <v>4975.25</v>
      </c>
      <c r="X2" s="1">
        <v>3735.6415862499998</v>
      </c>
      <c r="Y2" s="1">
        <v>0</v>
      </c>
      <c r="Z2" s="1">
        <v>0</v>
      </c>
      <c r="AA2" s="1">
        <v>0</v>
      </c>
      <c r="AB2" s="1">
        <v>0</v>
      </c>
    </row>
    <row r="3" spans="1:28" x14ac:dyDescent="0.3">
      <c r="A3" t="s">
        <v>12</v>
      </c>
      <c r="B3" t="s">
        <v>13</v>
      </c>
      <c r="C3" t="s">
        <v>14</v>
      </c>
      <c r="D3" t="s">
        <v>15</v>
      </c>
      <c r="E3" t="s">
        <v>150</v>
      </c>
      <c r="F3" t="s">
        <v>150</v>
      </c>
      <c r="G3" t="s">
        <v>17</v>
      </c>
      <c r="H3" t="s">
        <v>129</v>
      </c>
      <c r="I3" t="s">
        <v>147</v>
      </c>
      <c r="J3" t="s">
        <v>148</v>
      </c>
      <c r="K3" t="s">
        <v>149</v>
      </c>
      <c r="L3" s="1">
        <v>-74779.600000000006</v>
      </c>
      <c r="M3" s="1">
        <v>-300132.89</v>
      </c>
      <c r="N3" s="1">
        <v>0.24915399999999999</v>
      </c>
      <c r="O3" s="1">
        <v>4557.67</v>
      </c>
      <c r="P3" s="1">
        <v>1135.56171118</v>
      </c>
      <c r="Q3" s="1">
        <v>0</v>
      </c>
      <c r="R3" s="1">
        <v>0</v>
      </c>
      <c r="S3" s="1">
        <v>0</v>
      </c>
      <c r="T3" s="1">
        <v>0</v>
      </c>
      <c r="U3" s="1">
        <v>4975.25</v>
      </c>
      <c r="V3" s="1">
        <v>1239.6034385</v>
      </c>
      <c r="W3" s="1">
        <v>4975.25</v>
      </c>
      <c r="X3" s="1">
        <v>1239.6034385</v>
      </c>
      <c r="Y3" s="1">
        <v>0</v>
      </c>
      <c r="Z3" s="1">
        <v>0</v>
      </c>
      <c r="AA3" s="1">
        <v>0</v>
      </c>
      <c r="AB3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5DC339-9F30-4DDA-9AFB-090A02DE7D9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2AF7511-9F53-4835-A83A-52B8231F4A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AEF44-A740-41F8-9FDA-4C6AA7B0C9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Exemplo 1</vt:lpstr>
      <vt:lpstr>Exemplo 2</vt:lpstr>
      <vt:lpstr>Exemplo 3</vt:lpstr>
      <vt:lpstr>Exemplo 4</vt:lpstr>
      <vt:lpstr>Exemplo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2025-01-19T04:28:00Z</dcterms:created>
  <dcterms:modified xsi:type="dcterms:W3CDTF">2025-02-26T16:43:53Z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2025-02-20T18:36:41Z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ac54301f-cae0-44e3-bb8d-978aae0f36bb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