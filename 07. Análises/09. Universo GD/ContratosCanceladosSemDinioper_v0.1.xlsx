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0" documentId="8_{7AA2846B-78C2-4597-B8AB-06512A732CA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" sheetId="1" r:id="rId1"/>
    <sheet name="Caso 1" sheetId="3" r:id="rId2"/>
    <sheet name="Caso 2" sheetId="4" r:id="rId3"/>
    <sheet name="Sheet1" sheetId="2" r:id="rId4"/>
  </sheets>
  <definedNames>
    <definedName name="_xlnm._FilterDatabase" localSheetId="2" hidden="1">'Caso 2'!$B$14:$K$22</definedName>
    <definedName name="_xlnm._FilterDatabase" localSheetId="0" hidden="1">Sheet!$A$1:$Q$23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 a="1"/>
  <c r="A19" i="3" s="1"/>
  <c r="A18" i="3" a="1"/>
  <c r="A18" i="3" s="1"/>
  <c r="A17" i="3" a="1"/>
  <c r="A17" i="3" s="1"/>
  <c r="A16" i="3" a="1"/>
  <c r="A16" i="3" s="1"/>
  <c r="A15" i="3" a="1"/>
  <c r="A15" i="3" s="1"/>
  <c r="A14" i="3"/>
  <c r="A14" i="3" a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Q23" i="1" a="1"/>
  <c r="Q23" i="1" s="1"/>
  <c r="Q22" i="1" a="1"/>
  <c r="Q22" i="1" s="1"/>
  <c r="Q21" i="1" a="1"/>
  <c r="Q21" i="1" s="1"/>
  <c r="Q20" i="1" a="1"/>
  <c r="Q20" i="1" s="1"/>
  <c r="Q19" i="1" a="1"/>
  <c r="Q19" i="1" s="1"/>
  <c r="Q18" i="1" a="1"/>
  <c r="Q18" i="1" s="1"/>
  <c r="Q17" i="1" a="1"/>
  <c r="Q17" i="1" s="1"/>
  <c r="Q16" i="1" a="1"/>
  <c r="Q16" i="1" s="1"/>
  <c r="Q15" i="1" a="1"/>
  <c r="Q15" i="1" s="1"/>
  <c r="Q14" i="1" a="1"/>
  <c r="Q14" i="1" s="1"/>
  <c r="Q13" i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7" i="1" a="1"/>
  <c r="Q7" i="1" s="1"/>
  <c r="Q6" i="1" a="1"/>
  <c r="Q6" i="1" s="1"/>
  <c r="Q5" i="1" a="1"/>
  <c r="Q5" i="1" s="1"/>
  <c r="Q4" i="1" a="1"/>
  <c r="Q4" i="1" s="1"/>
  <c r="Q3" i="1" a="1"/>
  <c r="Q3" i="1" s="1"/>
  <c r="Q2" i="1" a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<sst xmlns="http://schemas.openxmlformats.org/spreadsheetml/2006/main" count="781" uniqueCount="113">
  <si>
    <t>univ</t>
  </si>
  <si>
    <t>ref_date</t>
  </si>
  <si>
    <t>ambito</t>
  </si>
  <si>
    <t>segmento</t>
  </si>
  <si>
    <t>instrmnt_id_aux</t>
  </si>
  <si>
    <t>instrmnt_id</t>
  </si>
  <si>
    <t>lcl_instmrnt_id</t>
  </si>
  <si>
    <t>cempcta</t>
  </si>
  <si>
    <t>ckbalcao</t>
  </si>
  <si>
    <t>cknumcta</t>
  </si>
  <si>
    <t>zdeposit_mis</t>
  </si>
  <si>
    <t>ckarea</t>
  </si>
  <si>
    <t>bsnss_area</t>
  </si>
  <si>
    <t>ckmetamis</t>
  </si>
  <si>
    <t>dinioper</t>
  </si>
  <si>
    <t>cnclld_instrmnt_stts</t>
  </si>
  <si>
    <t>CANCELADOS</t>
  </si>
  <si>
    <t>2025-01-31</t>
  </si>
  <si>
    <t>GD</t>
  </si>
  <si>
    <t>ESTR</t>
  </si>
  <si>
    <t>31000311582823029000000000000000</t>
  </si>
  <si>
    <t>31</t>
  </si>
  <si>
    <t>0003</t>
  </si>
  <si>
    <t>11582823029</t>
  </si>
  <si>
    <t>000000000000000</t>
  </si>
  <si>
    <t>AN01020410</t>
  </si>
  <si>
    <t>BA4</t>
  </si>
  <si>
    <t>AI10A1</t>
  </si>
  <si>
    <t>NULL</t>
  </si>
  <si>
    <t>ANALISE</t>
  </si>
  <si>
    <t>31641600000000940PC0654399000000</t>
  </si>
  <si>
    <t>SNCO0000000031641600000000940PC0654399000000BA11</t>
  </si>
  <si>
    <t>6416</t>
  </si>
  <si>
    <t>00000000940</t>
  </si>
  <si>
    <t>PC0654399000000</t>
  </si>
  <si>
    <t>AN02030400</t>
  </si>
  <si>
    <t>BA11</t>
  </si>
  <si>
    <t>AI0408</t>
  </si>
  <si>
    <t>31000311766822029000000000000000</t>
  </si>
  <si>
    <t>11766822029</t>
  </si>
  <si>
    <t>AO0306</t>
  </si>
  <si>
    <t>31000311594687029000000000000000</t>
  </si>
  <si>
    <t>11594687029</t>
  </si>
  <si>
    <t>31000311767853029000000000000000</t>
  </si>
  <si>
    <t>11767853029</t>
  </si>
  <si>
    <t>AN01010500</t>
  </si>
  <si>
    <t>BA2</t>
  </si>
  <si>
    <t>AI0807</t>
  </si>
  <si>
    <t>31000311757417029000000000000000</t>
  </si>
  <si>
    <t>11757417029</t>
  </si>
  <si>
    <t>31000311671345029000000000000000</t>
  </si>
  <si>
    <t>11671345029</t>
  </si>
  <si>
    <t>AN01020200</t>
  </si>
  <si>
    <t>31000311767812029000000000000000</t>
  </si>
  <si>
    <t>11767812029</t>
  </si>
  <si>
    <t>AN01020210</t>
  </si>
  <si>
    <t>BA3</t>
  </si>
  <si>
    <t>31000311594703029000000000000000</t>
  </si>
  <si>
    <t>11594703029</t>
  </si>
  <si>
    <t>31000311590172029000000000000000</t>
  </si>
  <si>
    <t>11590172029</t>
  </si>
  <si>
    <t>31000311756815029000000000000000</t>
  </si>
  <si>
    <t>11756815029</t>
  </si>
  <si>
    <t>31000311594737029000000000000000</t>
  </si>
  <si>
    <t>11594737029</t>
  </si>
  <si>
    <t>31641600000000281PC0649155000000</t>
  </si>
  <si>
    <t>00000000281</t>
  </si>
  <si>
    <t>PC0649155000000</t>
  </si>
  <si>
    <t>31000311766913029000000000000000</t>
  </si>
  <si>
    <t>11766913029</t>
  </si>
  <si>
    <t>31000311766921029000000000000000</t>
  </si>
  <si>
    <t>11766921029</t>
  </si>
  <si>
    <t>31000311766814029000000000000000</t>
  </si>
  <si>
    <t>11766814029</t>
  </si>
  <si>
    <t>AN01010201</t>
  </si>
  <si>
    <t>31641600000001120PC0648235000000</t>
  </si>
  <si>
    <t>00000001120</t>
  </si>
  <si>
    <t>PC0648235000000</t>
  </si>
  <si>
    <t>31000311631513029000000000000000</t>
  </si>
  <si>
    <t>11631513029</t>
  </si>
  <si>
    <t>31000311594711029000000000000000</t>
  </si>
  <si>
    <t>11594711029</t>
  </si>
  <si>
    <t>31000311754141029000000000000000</t>
  </si>
  <si>
    <t>11754141029</t>
  </si>
  <si>
    <t>31641600000000940PC0651755000000</t>
  </si>
  <si>
    <t>SNCO0000000031641600000000940PC0651755000000BA11</t>
  </si>
  <si>
    <t>PC0651755000000</t>
  </si>
  <si>
    <t>31000010945666541000000000000000</t>
  </si>
  <si>
    <t>0000</t>
  </si>
  <si>
    <t>10945666541</t>
  </si>
  <si>
    <t>AN04030000</t>
  </si>
  <si>
    <t>BA22</t>
  </si>
  <si>
    <t>AI0307</t>
  </si>
  <si>
    <t>confirming</t>
  </si>
  <si>
    <t>zdeposit</t>
  </si>
  <si>
    <t>ckprodmi</t>
  </si>
  <si>
    <t>chcruza</t>
  </si>
  <si>
    <t>zseqdiv</t>
  </si>
  <si>
    <t>zcliente</t>
  </si>
  <si>
    <t>S96SB0</t>
  </si>
  <si>
    <t>113EMP</t>
  </si>
  <si>
    <t>029213</t>
  </si>
  <si>
    <t>1</t>
  </si>
  <si>
    <t>0</t>
  </si>
  <si>
    <t>029287</t>
  </si>
  <si>
    <t>7400199147</t>
  </si>
  <si>
    <t>029286</t>
  </si>
  <si>
    <t>8039312356</t>
  </si>
  <si>
    <t>=IF(OR(LEFT(Q2;2)="0C"</t>
  </si>
  <si>
    <t>CT201</t>
  </si>
  <si>
    <t>CT207</t>
  </si>
  <si>
    <t>AN02020300</t>
  </si>
  <si>
    <t>instrmnt_di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</si>
</sst>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ext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49" fontId="4" fillId="0" borderId="0" xfId="0" applyNumberFormat="1" applyFont="1"/>
    <xf numFmtId="0" fontId="0" fillId="3" borderId="0" xfId="0" applyFill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Fill="1" applyBorder="1"/>
    <xf numFmtId="0" fontId="1" fillId="4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workbookViewId="0">
      <selection activeCell="D1" sqref="D1"/>
    </sheetView>
  </sheetViews>
  <sheetFormatPr defaultColWidth="11.5546875" defaultRowHeight="14.4"/>
  <cols>
    <col min="5" max="5" width="33.77734375" bestFit="1" customWidth="1"/>
    <col min="6" max="7" width="51.109375" bestFit="1" customWidth="1"/>
    <col min="11" max="11" width="16.21875" bestFit="1" customWidth="1"/>
    <col min="16" max="16" width="17.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95</v>
      </c>
      <c r="R1" s="6"/>
    </row>
    <row r="2" spans="1:19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e">
        <f t="array" ref="Q2">INDEX(Sheet1!$A$1:$M$24,MATCH(1,(Sheet1!$B$1:$B$24=Sheet!I2)*(Sheet!J2=Sheet1!$C$1:$C$24)*(Sheet1!$D$1:$D$24=Sheet!K2),0),5)</f>
        <v>#N/A</v>
      </c>
      <c r="R2" s="7" t="s">
        <v>108</v>
      </c>
    </row>
    <row r="3" spans="1:19">
      <c r="A3" t="s">
        <v>16</v>
      </c>
      <c r="B3" t="s">
        <v>17</v>
      </c>
      <c r="C3" t="s">
        <v>18</v>
      </c>
      <c r="D3" t="s">
        <v>19</v>
      </c>
      <c r="E3" t="s">
        <v>30</v>
      </c>
      <c r="F3" t="s">
        <v>31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28</v>
      </c>
      <c r="P3" t="s">
        <v>29</v>
      </c>
      <c r="Q3" s="8" t="e">
        <f t="array" ref="Q3">INDEX(Sheet1!$A$1:$M$24,MATCH(1,(Sheet1!$B$1:$B$24=Sheet!I3)*(Sheet!J3=Sheet1!$C$1:$C$24)*(Sheet1!$D$1:$D$24=Sheet!K3),0),5)</f>
        <v>#N/A</v>
      </c>
    </row>
    <row r="4" spans="1:19">
      <c r="A4" t="s">
        <v>16</v>
      </c>
      <c r="B4" t="s">
        <v>17</v>
      </c>
      <c r="C4" t="s">
        <v>18</v>
      </c>
      <c r="D4" t="s">
        <v>19</v>
      </c>
      <c r="E4" t="s">
        <v>38</v>
      </c>
      <c r="F4" t="s">
        <v>38</v>
      </c>
      <c r="G4" t="s">
        <v>38</v>
      </c>
      <c r="H4" t="s">
        <v>21</v>
      </c>
      <c r="I4" t="s">
        <v>22</v>
      </c>
      <c r="J4" t="s">
        <v>39</v>
      </c>
      <c r="K4" t="s">
        <v>24</v>
      </c>
      <c r="L4" t="s">
        <v>25</v>
      </c>
      <c r="M4" t="s">
        <v>26</v>
      </c>
      <c r="N4" s="1" t="s">
        <v>40</v>
      </c>
      <c r="O4" t="s">
        <v>28</v>
      </c>
      <c r="P4" t="s">
        <v>29</v>
      </c>
      <c r="Q4" t="e">
        <f t="array" ref="Q4">INDEX(Sheet1!$A$1:$M$24,MATCH(1,(Sheet1!$B$1:$B$24=Sheet!I4)*(Sheet!J4=Sheet1!$C$1:$C$24)*(Sheet1!$D$1:$D$24=Sheet!K4),0),5)</f>
        <v>#N/A</v>
      </c>
      <c r="S4" t="s">
        <v>93</v>
      </c>
    </row>
    <row r="5" spans="1:19">
      <c r="A5" t="s">
        <v>16</v>
      </c>
      <c r="B5" t="s">
        <v>17</v>
      </c>
      <c r="C5" t="s">
        <v>18</v>
      </c>
      <c r="D5" t="s">
        <v>19</v>
      </c>
      <c r="E5" t="s">
        <v>41</v>
      </c>
      <c r="F5" t="s">
        <v>41</v>
      </c>
      <c r="G5" t="s">
        <v>41</v>
      </c>
      <c r="H5" t="s">
        <v>21</v>
      </c>
      <c r="I5" t="s">
        <v>22</v>
      </c>
      <c r="J5" t="s">
        <v>42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e">
        <f t="array" ref="Q5">INDEX(Sheet1!$A$1:$M$24,MATCH(1,(Sheet1!$B$1:$B$24=Sheet!I5)*(Sheet!J5=Sheet1!$C$1:$C$24)*(Sheet1!$D$1:$D$24=Sheet!K5),0),5)</f>
        <v>#N/A</v>
      </c>
    </row>
    <row r="6" spans="1:19">
      <c r="A6" t="s">
        <v>16</v>
      </c>
      <c r="B6" t="s">
        <v>17</v>
      </c>
      <c r="C6" t="s">
        <v>18</v>
      </c>
      <c r="D6" t="s">
        <v>19</v>
      </c>
      <c r="E6" t="s">
        <v>43</v>
      </c>
      <c r="F6" t="s">
        <v>43</v>
      </c>
      <c r="G6" t="s">
        <v>43</v>
      </c>
      <c r="H6" t="s">
        <v>21</v>
      </c>
      <c r="I6" t="s">
        <v>22</v>
      </c>
      <c r="J6" t="s">
        <v>44</v>
      </c>
      <c r="K6" t="s">
        <v>24</v>
      </c>
      <c r="L6" t="s">
        <v>45</v>
      </c>
      <c r="M6" t="s">
        <v>46</v>
      </c>
      <c r="N6" t="s">
        <v>47</v>
      </c>
      <c r="O6" t="s">
        <v>28</v>
      </c>
      <c r="P6" t="s">
        <v>29</v>
      </c>
      <c r="Q6" t="e">
        <f t="array" ref="Q6">INDEX(Sheet1!$A$1:$M$24,MATCH(1,(Sheet1!$B$1:$B$24=Sheet!I6)*(Sheet!J6=Sheet1!$C$1:$C$24)*(Sheet1!$D$1:$D$24=Sheet!K6),0),5)</f>
        <v>#N/A</v>
      </c>
    </row>
    <row r="7" spans="1:19">
      <c r="A7" t="s">
        <v>16</v>
      </c>
      <c r="B7" t="s">
        <v>17</v>
      </c>
      <c r="C7" t="s">
        <v>18</v>
      </c>
      <c r="D7" t="s">
        <v>19</v>
      </c>
      <c r="E7" t="s">
        <v>48</v>
      </c>
      <c r="F7" t="s">
        <v>48</v>
      </c>
      <c r="G7" t="s">
        <v>48</v>
      </c>
      <c r="H7" t="s">
        <v>21</v>
      </c>
      <c r="I7" t="s">
        <v>22</v>
      </c>
      <c r="J7" t="s">
        <v>49</v>
      </c>
      <c r="K7" t="s">
        <v>24</v>
      </c>
      <c r="L7" t="s">
        <v>25</v>
      </c>
      <c r="M7" t="s">
        <v>26</v>
      </c>
      <c r="N7" s="1" t="s">
        <v>40</v>
      </c>
      <c r="O7" t="s">
        <v>28</v>
      </c>
      <c r="P7" t="s">
        <v>29</v>
      </c>
      <c r="Q7" t="e">
        <f t="array" ref="Q7">INDEX(Sheet1!$A$1:$M$24,MATCH(1,(Sheet1!$B$1:$B$24=Sheet!I7)*(Sheet!J7=Sheet1!$C$1:$C$24)*(Sheet1!$D$1:$D$24=Sheet!K7),0),5)</f>
        <v>#N/A</v>
      </c>
      <c r="S7" t="s">
        <v>93</v>
      </c>
    </row>
    <row r="8" spans="1:19">
      <c r="A8" t="s">
        <v>16</v>
      </c>
      <c r="B8" t="s">
        <v>17</v>
      </c>
      <c r="C8" t="s">
        <v>18</v>
      </c>
      <c r="D8" t="s">
        <v>19</v>
      </c>
      <c r="E8" t="s">
        <v>50</v>
      </c>
      <c r="F8" t="s">
        <v>50</v>
      </c>
      <c r="G8" t="s">
        <v>50</v>
      </c>
      <c r="H8" t="s">
        <v>21</v>
      </c>
      <c r="I8" t="s">
        <v>22</v>
      </c>
      <c r="J8" t="s">
        <v>51</v>
      </c>
      <c r="K8" t="s">
        <v>24</v>
      </c>
      <c r="L8" t="s">
        <v>52</v>
      </c>
      <c r="M8" t="s">
        <v>26</v>
      </c>
      <c r="N8" t="s">
        <v>27</v>
      </c>
      <c r="O8" t="s">
        <v>28</v>
      </c>
      <c r="P8" t="s">
        <v>29</v>
      </c>
      <c r="Q8" t="e">
        <f t="array" ref="Q8">INDEX(Sheet1!$A$1:$M$24,MATCH(1,(Sheet1!$B$1:$B$24=Sheet!I8)*(Sheet!J8=Sheet1!$C$1:$C$24)*(Sheet1!$D$1:$D$24=Sheet!K8),0),5)</f>
        <v>#N/A</v>
      </c>
    </row>
    <row r="9" spans="1:19">
      <c r="A9" t="s">
        <v>16</v>
      </c>
      <c r="B9" t="s">
        <v>17</v>
      </c>
      <c r="C9" t="s">
        <v>18</v>
      </c>
      <c r="D9" t="s">
        <v>19</v>
      </c>
      <c r="E9" t="s">
        <v>53</v>
      </c>
      <c r="F9" t="s">
        <v>53</v>
      </c>
      <c r="G9" t="s">
        <v>53</v>
      </c>
      <c r="H9" t="s">
        <v>21</v>
      </c>
      <c r="I9" t="s">
        <v>22</v>
      </c>
      <c r="J9" t="s">
        <v>54</v>
      </c>
      <c r="K9" t="s">
        <v>24</v>
      </c>
      <c r="L9" t="s">
        <v>55</v>
      </c>
      <c r="M9" t="s">
        <v>56</v>
      </c>
      <c r="N9" t="s">
        <v>27</v>
      </c>
      <c r="O9" t="s">
        <v>28</v>
      </c>
      <c r="P9" t="s">
        <v>29</v>
      </c>
      <c r="Q9" t="e">
        <f t="array" ref="Q9">INDEX(Sheet1!$A$1:$M$24,MATCH(1,(Sheet1!$B$1:$B$24=Sheet!I9)*(Sheet!J9=Sheet1!$C$1:$C$24)*(Sheet1!$D$1:$D$24=Sheet!K9),0),5)</f>
        <v>#N/A</v>
      </c>
    </row>
    <row r="10" spans="1:19">
      <c r="A10" t="s">
        <v>16</v>
      </c>
      <c r="B10" t="s">
        <v>17</v>
      </c>
      <c r="C10" t="s">
        <v>18</v>
      </c>
      <c r="D10" t="s">
        <v>19</v>
      </c>
      <c r="E10" t="s">
        <v>57</v>
      </c>
      <c r="F10" t="s">
        <v>57</v>
      </c>
      <c r="G10" t="s">
        <v>57</v>
      </c>
      <c r="H10" t="s">
        <v>21</v>
      </c>
      <c r="I10" t="s">
        <v>22</v>
      </c>
      <c r="J10" t="s">
        <v>58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 t="e">
        <f t="array" ref="Q10">INDEX(Sheet1!$A$1:$M$24,MATCH(1,(Sheet1!$B$1:$B$24=Sheet!I10)*(Sheet!J10=Sheet1!$C$1:$C$24)*(Sheet1!$D$1:$D$24=Sheet!K10),0),5)</f>
        <v>#N/A</v>
      </c>
    </row>
    <row r="11" spans="1:19">
      <c r="A11" t="s">
        <v>16</v>
      </c>
      <c r="B11" t="s">
        <v>17</v>
      </c>
      <c r="C11" t="s">
        <v>18</v>
      </c>
      <c r="D11" t="s">
        <v>19</v>
      </c>
      <c r="E11" t="s">
        <v>59</v>
      </c>
      <c r="F11" t="s">
        <v>59</v>
      </c>
      <c r="G11" t="s">
        <v>59</v>
      </c>
      <c r="H11" t="s">
        <v>21</v>
      </c>
      <c r="I11" t="s">
        <v>22</v>
      </c>
      <c r="J11" t="s">
        <v>60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t="e">
        <f t="array" ref="Q11">INDEX(Sheet1!$A$1:$M$24,MATCH(1,(Sheet1!$B$1:$B$24=Sheet!I11)*(Sheet!J11=Sheet1!$C$1:$C$24)*(Sheet1!$D$1:$D$24=Sheet!K11),0),5)</f>
        <v>#N/A</v>
      </c>
    </row>
    <row r="12" spans="1:19">
      <c r="A12" t="s">
        <v>16</v>
      </c>
      <c r="B12" t="s">
        <v>17</v>
      </c>
      <c r="C12" t="s">
        <v>18</v>
      </c>
      <c r="D12" t="s">
        <v>19</v>
      </c>
      <c r="E12" t="s">
        <v>61</v>
      </c>
      <c r="F12" t="s">
        <v>61</v>
      </c>
      <c r="G12" t="s">
        <v>61</v>
      </c>
      <c r="H12" t="s">
        <v>21</v>
      </c>
      <c r="I12" t="s">
        <v>22</v>
      </c>
      <c r="J12" t="s">
        <v>62</v>
      </c>
      <c r="K12" t="s">
        <v>24</v>
      </c>
      <c r="L12" t="s">
        <v>25</v>
      </c>
      <c r="M12" t="s">
        <v>26</v>
      </c>
      <c r="N12" s="1" t="s">
        <v>40</v>
      </c>
      <c r="O12" t="s">
        <v>28</v>
      </c>
      <c r="P12" t="s">
        <v>29</v>
      </c>
      <c r="Q12" t="e">
        <f t="array" ref="Q12">INDEX(Sheet1!$A$1:$M$24,MATCH(1,(Sheet1!$B$1:$B$24=Sheet!I12)*(Sheet!J12=Sheet1!$C$1:$C$24)*(Sheet1!$D$1:$D$24=Sheet!K12),0),5)</f>
        <v>#N/A</v>
      </c>
      <c r="S12" t="s">
        <v>93</v>
      </c>
    </row>
    <row r="13" spans="1:19">
      <c r="A13" t="s">
        <v>16</v>
      </c>
      <c r="B13" t="s">
        <v>17</v>
      </c>
      <c r="C13" t="s">
        <v>18</v>
      </c>
      <c r="D13" t="s">
        <v>19</v>
      </c>
      <c r="E13" t="s">
        <v>63</v>
      </c>
      <c r="F13" t="s">
        <v>63</v>
      </c>
      <c r="G13" t="s">
        <v>63</v>
      </c>
      <c r="H13" t="s">
        <v>21</v>
      </c>
      <c r="I13" t="s">
        <v>22</v>
      </c>
      <c r="J13" t="s">
        <v>64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e">
        <f t="array" ref="Q13">INDEX(Sheet1!$A$1:$M$24,MATCH(1,(Sheet1!$B$1:$B$24=Sheet!I13)*(Sheet!J13=Sheet1!$C$1:$C$24)*(Sheet1!$D$1:$D$24=Sheet!K13),0),5)</f>
        <v>#N/A</v>
      </c>
    </row>
    <row r="14" spans="1:19">
      <c r="A14" t="s">
        <v>16</v>
      </c>
      <c r="B14" t="s">
        <v>17</v>
      </c>
      <c r="C14" t="s">
        <v>18</v>
      </c>
      <c r="D14" t="s">
        <v>19</v>
      </c>
      <c r="E14" t="s">
        <v>65</v>
      </c>
      <c r="F14" t="s">
        <v>65</v>
      </c>
      <c r="G14" t="s">
        <v>65</v>
      </c>
      <c r="H14" t="s">
        <v>21</v>
      </c>
      <c r="I14" t="s">
        <v>32</v>
      </c>
      <c r="J14" t="s">
        <v>66</v>
      </c>
      <c r="K14" t="s">
        <v>67</v>
      </c>
      <c r="L14" t="s">
        <v>35</v>
      </c>
      <c r="M14" t="s">
        <v>36</v>
      </c>
      <c r="N14" t="s">
        <v>37</v>
      </c>
      <c r="O14" t="s">
        <v>28</v>
      </c>
      <c r="P14" t="s">
        <v>29</v>
      </c>
      <c r="Q14" s="8" t="e">
        <f t="array" ref="Q14">INDEX(Sheet1!$A$1:$M$24,MATCH(1,(Sheet1!$B$1:$B$24=Sheet!I14)*(Sheet!J14=Sheet1!$C$1:$C$24)*(Sheet1!$D$1:$D$24=Sheet!K14),0),5)</f>
        <v>#N/A</v>
      </c>
    </row>
    <row r="15" spans="1:19">
      <c r="A15" t="s">
        <v>16</v>
      </c>
      <c r="B15" t="s">
        <v>17</v>
      </c>
      <c r="C15" t="s">
        <v>18</v>
      </c>
      <c r="D15" t="s">
        <v>19</v>
      </c>
      <c r="E15" t="s">
        <v>68</v>
      </c>
      <c r="F15" t="s">
        <v>68</v>
      </c>
      <c r="G15" t="s">
        <v>68</v>
      </c>
      <c r="H15" t="s">
        <v>21</v>
      </c>
      <c r="I15" t="s">
        <v>22</v>
      </c>
      <c r="J15" t="s">
        <v>69</v>
      </c>
      <c r="K15" t="s">
        <v>24</v>
      </c>
      <c r="L15" t="s">
        <v>25</v>
      </c>
      <c r="M15" t="s">
        <v>26</v>
      </c>
      <c r="N15" s="1" t="s">
        <v>40</v>
      </c>
      <c r="O15" t="s">
        <v>28</v>
      </c>
      <c r="P15" t="s">
        <v>29</v>
      </c>
      <c r="Q15" t="e">
        <f t="array" ref="Q15">INDEX(Sheet1!$A$1:$M$24,MATCH(1,(Sheet1!$B$1:$B$24=Sheet!I15)*(Sheet!J15=Sheet1!$C$1:$C$24)*(Sheet1!$D$1:$D$24=Sheet!K15),0),5)</f>
        <v>#N/A</v>
      </c>
      <c r="S15" t="s">
        <v>93</v>
      </c>
    </row>
    <row r="16" spans="1:19">
      <c r="A16" t="s">
        <v>16</v>
      </c>
      <c r="B16" t="s">
        <v>17</v>
      </c>
      <c r="C16" t="s">
        <v>18</v>
      </c>
      <c r="D16" t="s">
        <v>19</v>
      </c>
      <c r="E16" t="s">
        <v>70</v>
      </c>
      <c r="F16" t="s">
        <v>70</v>
      </c>
      <c r="G16" t="s">
        <v>70</v>
      </c>
      <c r="H16" t="s">
        <v>21</v>
      </c>
      <c r="I16" t="s">
        <v>22</v>
      </c>
      <c r="J16" t="s">
        <v>71</v>
      </c>
      <c r="K16" t="s">
        <v>24</v>
      </c>
      <c r="L16" t="s">
        <v>25</v>
      </c>
      <c r="M16" t="s">
        <v>26</v>
      </c>
      <c r="N16" s="1" t="s">
        <v>40</v>
      </c>
      <c r="O16" t="s">
        <v>28</v>
      </c>
      <c r="P16" t="s">
        <v>29</v>
      </c>
      <c r="Q16" t="e">
        <f t="array" ref="Q16">INDEX(Sheet1!$A$1:$M$24,MATCH(1,(Sheet1!$B$1:$B$24=Sheet!I16)*(Sheet!J16=Sheet1!$C$1:$C$24)*(Sheet1!$D$1:$D$24=Sheet!K16),0),5)</f>
        <v>#N/A</v>
      </c>
      <c r="S16" t="s">
        <v>93</v>
      </c>
    </row>
    <row r="17" spans="1:19">
      <c r="A17" t="s">
        <v>16</v>
      </c>
      <c r="B17" t="s">
        <v>17</v>
      </c>
      <c r="C17" t="s">
        <v>18</v>
      </c>
      <c r="D17" t="s">
        <v>19</v>
      </c>
      <c r="E17" t="s">
        <v>72</v>
      </c>
      <c r="F17" t="s">
        <v>72</v>
      </c>
      <c r="G17" t="s">
        <v>72</v>
      </c>
      <c r="H17" t="s">
        <v>21</v>
      </c>
      <c r="I17" t="s">
        <v>22</v>
      </c>
      <c r="J17" t="s">
        <v>73</v>
      </c>
      <c r="K17" t="s">
        <v>24</v>
      </c>
      <c r="L17" t="s">
        <v>74</v>
      </c>
      <c r="M17" t="s">
        <v>46</v>
      </c>
      <c r="N17" s="1" t="s">
        <v>40</v>
      </c>
      <c r="O17" t="s">
        <v>28</v>
      </c>
      <c r="P17" t="s">
        <v>29</v>
      </c>
      <c r="Q17" t="e">
        <f t="array" ref="Q17">INDEX(Sheet1!$A$1:$M$24,MATCH(1,(Sheet1!$B$1:$B$24=Sheet!I17)*(Sheet!J17=Sheet1!$C$1:$C$24)*(Sheet1!$D$1:$D$24=Sheet!K17),0),5)</f>
        <v>#N/A</v>
      </c>
      <c r="S17" t="s">
        <v>93</v>
      </c>
    </row>
    <row r="18" spans="1:19">
      <c r="A18" t="s">
        <v>16</v>
      </c>
      <c r="B18" t="s">
        <v>17</v>
      </c>
      <c r="C18" t="s">
        <v>18</v>
      </c>
      <c r="D18" t="s">
        <v>19</v>
      </c>
      <c r="E18" t="s">
        <v>75</v>
      </c>
      <c r="F18" t="s">
        <v>75</v>
      </c>
      <c r="G18" t="s">
        <v>75</v>
      </c>
      <c r="H18" t="s">
        <v>21</v>
      </c>
      <c r="I18" t="s">
        <v>32</v>
      </c>
      <c r="J18" t="s">
        <v>76</v>
      </c>
      <c r="K18" t="s">
        <v>77</v>
      </c>
      <c r="L18" t="s">
        <v>35</v>
      </c>
      <c r="M18" t="s">
        <v>36</v>
      </c>
      <c r="N18" t="s">
        <v>37</v>
      </c>
      <c r="O18" t="s">
        <v>28</v>
      </c>
      <c r="P18" t="s">
        <v>29</v>
      </c>
      <c r="Q18" s="8" t="e">
        <f t="array" ref="Q18">INDEX(Sheet1!$A$1:$M$24,MATCH(1,(Sheet1!$B$1:$B$24=Sheet!I18)*(Sheet!J18=Sheet1!$C$1:$C$24)*(Sheet1!$D$1:$D$24=Sheet!K18),0),5)</f>
        <v>#N/A</v>
      </c>
    </row>
    <row r="19" spans="1:19">
      <c r="A19" t="s">
        <v>16</v>
      </c>
      <c r="B19" t="s">
        <v>17</v>
      </c>
      <c r="C19" t="s">
        <v>18</v>
      </c>
      <c r="D19" t="s">
        <v>19</v>
      </c>
      <c r="E19" t="s">
        <v>78</v>
      </c>
      <c r="F19" t="s">
        <v>78</v>
      </c>
      <c r="G19" t="s">
        <v>78</v>
      </c>
      <c r="H19" t="s">
        <v>21</v>
      </c>
      <c r="I19" t="s">
        <v>22</v>
      </c>
      <c r="J19" t="s">
        <v>79</v>
      </c>
      <c r="K19" t="s">
        <v>24</v>
      </c>
      <c r="L19" t="s">
        <v>45</v>
      </c>
      <c r="M19" t="s">
        <v>46</v>
      </c>
      <c r="N19" t="s">
        <v>27</v>
      </c>
      <c r="O19" t="s">
        <v>28</v>
      </c>
      <c r="P19" t="s">
        <v>29</v>
      </c>
      <c r="Q19" t="e">
        <f t="array" ref="Q19">INDEX(Sheet1!$A$1:$M$24,MATCH(1,(Sheet1!$B$1:$B$24=Sheet!I19)*(Sheet!J19=Sheet1!$C$1:$C$24)*(Sheet1!$D$1:$D$24=Sheet!K19),0),5)</f>
        <v>#N/A</v>
      </c>
    </row>
    <row r="20" spans="1:19">
      <c r="A20" t="s">
        <v>16</v>
      </c>
      <c r="B20" t="s">
        <v>17</v>
      </c>
      <c r="C20" t="s">
        <v>18</v>
      </c>
      <c r="D20" t="s">
        <v>19</v>
      </c>
      <c r="E20" t="s">
        <v>80</v>
      </c>
      <c r="F20" t="s">
        <v>80</v>
      </c>
      <c r="G20" t="s">
        <v>80</v>
      </c>
      <c r="H20" t="s">
        <v>21</v>
      </c>
      <c r="I20" t="s">
        <v>22</v>
      </c>
      <c r="J20" t="s">
        <v>81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 t="e">
        <f t="array" ref="Q20">INDEX(Sheet1!$A$1:$M$24,MATCH(1,(Sheet1!$B$1:$B$24=Sheet!I20)*(Sheet!J20=Sheet1!$C$1:$C$24)*(Sheet1!$D$1:$D$24=Sheet!K20),0),5)</f>
        <v>#N/A</v>
      </c>
    </row>
    <row r="21" spans="1:19">
      <c r="A21" t="s">
        <v>16</v>
      </c>
      <c r="B21" t="s">
        <v>17</v>
      </c>
      <c r="C21" t="s">
        <v>18</v>
      </c>
      <c r="D21" t="s">
        <v>19</v>
      </c>
      <c r="E21" t="s">
        <v>82</v>
      </c>
      <c r="F21" t="s">
        <v>82</v>
      </c>
      <c r="G21" t="s">
        <v>82</v>
      </c>
      <c r="H21" t="s">
        <v>21</v>
      </c>
      <c r="I21" t="s">
        <v>22</v>
      </c>
      <c r="J21" t="s">
        <v>83</v>
      </c>
      <c r="K21" t="s">
        <v>24</v>
      </c>
      <c r="L21" t="s">
        <v>25</v>
      </c>
      <c r="M21" t="s">
        <v>26</v>
      </c>
      <c r="N21" s="1" t="s">
        <v>40</v>
      </c>
      <c r="O21" t="s">
        <v>28</v>
      </c>
      <c r="P21" t="s">
        <v>29</v>
      </c>
      <c r="Q21" t="e">
        <f t="array" ref="Q21">INDEX(Sheet1!$A$1:$M$24,MATCH(1,(Sheet1!$B$1:$B$24=Sheet!I21)*(Sheet!J21=Sheet1!$C$1:$C$24)*(Sheet1!$D$1:$D$24=Sheet!K21),0),5)</f>
        <v>#N/A</v>
      </c>
      <c r="S21" t="s">
        <v>93</v>
      </c>
    </row>
    <row r="22" spans="1:19">
      <c r="A22" t="s">
        <v>16</v>
      </c>
      <c r="B22" t="s">
        <v>17</v>
      </c>
      <c r="C22" t="s">
        <v>18</v>
      </c>
      <c r="D22" t="s">
        <v>19</v>
      </c>
      <c r="E22" t="s">
        <v>84</v>
      </c>
      <c r="F22" t="s">
        <v>85</v>
      </c>
      <c r="G22" t="s">
        <v>85</v>
      </c>
      <c r="H22" t="s">
        <v>21</v>
      </c>
      <c r="I22" t="s">
        <v>32</v>
      </c>
      <c r="J22" t="s">
        <v>33</v>
      </c>
      <c r="K22" t="s">
        <v>86</v>
      </c>
      <c r="L22" t="s">
        <v>35</v>
      </c>
      <c r="M22" t="s">
        <v>36</v>
      </c>
      <c r="N22" t="s">
        <v>37</v>
      </c>
      <c r="O22" t="s">
        <v>28</v>
      </c>
      <c r="P22" t="s">
        <v>29</v>
      </c>
      <c r="Q22" s="8" t="e">
        <f t="array" ref="Q22">INDEX(Sheet1!$A$1:$M$24,MATCH(1,(Sheet1!$B$1:$B$24=Sheet!I22)*(Sheet!J22=Sheet1!$C$1:$C$24)*(Sheet1!$D$1:$D$24=Sheet!K22),0),5)</f>
        <v>#N/A</v>
      </c>
    </row>
    <row r="23" spans="1:19">
      <c r="A23" t="s">
        <v>16</v>
      </c>
      <c r="B23" t="s">
        <v>17</v>
      </c>
      <c r="C23" t="s">
        <v>18</v>
      </c>
      <c r="D23" t="s">
        <v>19</v>
      </c>
      <c r="E23" t="s">
        <v>87</v>
      </c>
      <c r="F23" t="s">
        <v>87</v>
      </c>
      <c r="G23" t="s">
        <v>87</v>
      </c>
      <c r="H23" t="s">
        <v>21</v>
      </c>
      <c r="I23" t="s">
        <v>88</v>
      </c>
      <c r="J23" t="s">
        <v>89</v>
      </c>
      <c r="K23" t="s">
        <v>24</v>
      </c>
      <c r="L23" t="s">
        <v>90</v>
      </c>
      <c r="M23" t="s">
        <v>91</v>
      </c>
      <c r="N23" t="s">
        <v>92</v>
      </c>
      <c r="O23" t="s">
        <v>28</v>
      </c>
      <c r="P23" t="s">
        <v>29</v>
      </c>
      <c r="Q23" t="e">
        <f t="array" ref="Q23">INDEX(Sheet1!$A$1:$M$24,MATCH(1,(Sheet1!$B$1:$B$24=Sheet!I23)*(Sheet!J23=Sheet1!$C$1:$C$24)*(Sheet1!$D$1:$D$24=Sheet!K23),0),5)</f>
        <v>#N/A</v>
      </c>
    </row>
  </sheetData>
  <autoFilter ref="A1:Q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E1F5-AC86-4BC6-937B-A6C5CC84C880}">
  <dimension ref="A1:J19"/>
  <sheetViews>
    <sheetView tabSelected="1" workbookViewId="0">
      <selection activeCell="C25" sqref="C25"/>
    </sheetView>
  </sheetViews>
  <sheetFormatPr defaultRowHeight="14.4"/>
  <cols>
    <col min="1" max="1" width="33.6640625" bestFit="1" customWidth="1"/>
    <col min="2" max="2" width="8" bestFit="1" customWidth="1"/>
    <col min="3" max="3" width="8.21875" bestFit="1" customWidth="1"/>
    <col min="4" max="4" width="12" bestFit="1" customWidth="1"/>
    <col min="5" max="5" width="16.109375" bestFit="1" customWidth="1"/>
    <col min="6" max="6" width="11.44140625" bestFit="1" customWidth="1"/>
    <col min="7" max="7" width="10" bestFit="1" customWidth="1"/>
    <col min="8" max="8" width="9.77734375" bestFit="1" customWidth="1"/>
    <col min="9" max="9" width="7.6640625" bestFit="1" customWidth="1"/>
    <col min="10" max="10" width="8.5546875" bestFit="1" customWidth="1"/>
  </cols>
  <sheetData>
    <row r="1" spans="1:10">
      <c r="A1" s="12" t="s">
        <v>112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95</v>
      </c>
    </row>
    <row r="2" spans="1:10">
      <c r="A2" s="10" t="str" cm="1">
        <f t="array" ref="A2">INDEX(Sheet!$A$1:$Q$23,MATCH(1,(Sheet!$I$1:$I$23='Caso 1'!C2)*('Caso 1'!D2=Sheet!$J$1:$J$23)*(Sheet!$K$1:$K$23='Caso 1'!E2),0),5)</f>
        <v>31000311582823029000000000000000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1" t="s">
        <v>27</v>
      </c>
      <c r="I2" s="10" t="s">
        <v>28</v>
      </c>
      <c r="J2" s="10" t="s">
        <v>101</v>
      </c>
    </row>
    <row r="3" spans="1:10">
      <c r="A3" s="10" t="str" cm="1">
        <f t="array" ref="A3">INDEX(Sheet!$A$1:$Q$23,MATCH(1,(Sheet!$I$1:$I$23='Caso 1'!C3)*('Caso 1'!D3=Sheet!$J$1:$J$23)*(Sheet!$K$1:$K$23='Caso 1'!E3),0),5)</f>
        <v>31000311766822029000000000000000</v>
      </c>
      <c r="B3" s="10" t="s">
        <v>21</v>
      </c>
      <c r="C3" s="10" t="s">
        <v>22</v>
      </c>
      <c r="D3" s="10" t="s">
        <v>39</v>
      </c>
      <c r="E3" s="10" t="s">
        <v>24</v>
      </c>
      <c r="F3" s="10" t="s">
        <v>25</v>
      </c>
      <c r="G3" s="10" t="s">
        <v>26</v>
      </c>
      <c r="H3" s="11" t="s">
        <v>40</v>
      </c>
      <c r="I3" s="10" t="s">
        <v>28</v>
      </c>
      <c r="J3" s="10" t="s">
        <v>104</v>
      </c>
    </row>
    <row r="4" spans="1:10">
      <c r="A4" s="10" t="str" cm="1">
        <f t="array" ref="A4">INDEX(Sheet!$A$1:$Q$23,MATCH(1,(Sheet!$I$1:$I$23='Caso 1'!C4)*('Caso 1'!D4=Sheet!$J$1:$J$23)*(Sheet!$K$1:$K$23='Caso 1'!E4),0),5)</f>
        <v>31000311594687029000000000000000</v>
      </c>
      <c r="B4" s="10" t="s">
        <v>21</v>
      </c>
      <c r="C4" s="10" t="s">
        <v>22</v>
      </c>
      <c r="D4" s="10" t="s">
        <v>42</v>
      </c>
      <c r="E4" s="10" t="s">
        <v>24</v>
      </c>
      <c r="F4" s="10" t="s">
        <v>25</v>
      </c>
      <c r="G4" s="10" t="s">
        <v>26</v>
      </c>
      <c r="H4" s="11" t="s">
        <v>27</v>
      </c>
      <c r="I4" s="10" t="s">
        <v>28</v>
      </c>
      <c r="J4" s="10" t="s">
        <v>101</v>
      </c>
    </row>
    <row r="5" spans="1:10">
      <c r="A5" s="10" t="str" cm="1">
        <f t="array" ref="A5">INDEX(Sheet!$A$1:$Q$23,MATCH(1,(Sheet!$I$1:$I$23='Caso 1'!C5)*('Caso 1'!D5=Sheet!$J$1:$J$23)*(Sheet!$K$1:$K$23='Caso 1'!E5),0),5)</f>
        <v>31000311767853029000000000000000</v>
      </c>
      <c r="B5" s="10" t="s">
        <v>21</v>
      </c>
      <c r="C5" s="10" t="s">
        <v>22</v>
      </c>
      <c r="D5" s="10" t="s">
        <v>44</v>
      </c>
      <c r="E5" s="10" t="s">
        <v>24</v>
      </c>
      <c r="F5" s="10" t="s">
        <v>45</v>
      </c>
      <c r="G5" s="10" t="s">
        <v>46</v>
      </c>
      <c r="H5" s="11" t="s">
        <v>47</v>
      </c>
      <c r="I5" s="10" t="s">
        <v>28</v>
      </c>
      <c r="J5" s="10" t="s">
        <v>106</v>
      </c>
    </row>
    <row r="6" spans="1:10">
      <c r="A6" s="10" t="str" cm="1">
        <f t="array" ref="A6">INDEX(Sheet!$A$1:$Q$23,MATCH(1,(Sheet!$I$1:$I$23='Caso 1'!C6)*('Caso 1'!D6=Sheet!$J$1:$J$23)*(Sheet!$K$1:$K$23='Caso 1'!E6),0),5)</f>
        <v>31000311757417029000000000000000</v>
      </c>
      <c r="B6" s="10" t="s">
        <v>21</v>
      </c>
      <c r="C6" s="10" t="s">
        <v>22</v>
      </c>
      <c r="D6" s="10" t="s">
        <v>49</v>
      </c>
      <c r="E6" s="10" t="s">
        <v>24</v>
      </c>
      <c r="F6" s="10" t="s">
        <v>25</v>
      </c>
      <c r="G6" s="10" t="s">
        <v>26</v>
      </c>
      <c r="H6" s="11" t="s">
        <v>40</v>
      </c>
      <c r="I6" s="10" t="s">
        <v>28</v>
      </c>
      <c r="J6" s="10" t="s">
        <v>104</v>
      </c>
    </row>
    <row r="7" spans="1:10">
      <c r="A7" s="10" t="str" cm="1">
        <f t="array" ref="A7">INDEX(Sheet!$A$1:$Q$23,MATCH(1,(Sheet!$I$1:$I$23='Caso 1'!C7)*('Caso 1'!D7=Sheet!$J$1:$J$23)*(Sheet!$K$1:$K$23='Caso 1'!E7),0),5)</f>
        <v>31000311671345029000000000000000</v>
      </c>
      <c r="B7" s="10" t="s">
        <v>21</v>
      </c>
      <c r="C7" s="10" t="s">
        <v>22</v>
      </c>
      <c r="D7" s="10" t="s">
        <v>51</v>
      </c>
      <c r="E7" s="10" t="s">
        <v>24</v>
      </c>
      <c r="F7" s="10" t="s">
        <v>52</v>
      </c>
      <c r="G7" s="10" t="s">
        <v>26</v>
      </c>
      <c r="H7" s="11" t="s">
        <v>27</v>
      </c>
      <c r="I7" s="10" t="s">
        <v>28</v>
      </c>
      <c r="J7" s="10" t="s">
        <v>101</v>
      </c>
    </row>
    <row r="8" spans="1:10">
      <c r="A8" s="10" t="str" cm="1">
        <f t="array" ref="A8">INDEX(Sheet!$A$1:$Q$23,MATCH(1,(Sheet!$I$1:$I$23='Caso 1'!C8)*('Caso 1'!D8=Sheet!$J$1:$J$23)*(Sheet!$K$1:$K$23='Caso 1'!E8),0),5)</f>
        <v>31000311767812029000000000000000</v>
      </c>
      <c r="B8" s="10" t="s">
        <v>21</v>
      </c>
      <c r="C8" s="10" t="s">
        <v>22</v>
      </c>
      <c r="D8" s="10" t="s">
        <v>54</v>
      </c>
      <c r="E8" s="10" t="s">
        <v>24</v>
      </c>
      <c r="F8" s="10" t="s">
        <v>55</v>
      </c>
      <c r="G8" s="10" t="s">
        <v>56</v>
      </c>
      <c r="H8" s="11" t="s">
        <v>27</v>
      </c>
      <c r="I8" s="10" t="s">
        <v>28</v>
      </c>
      <c r="J8" s="10" t="s">
        <v>101</v>
      </c>
    </row>
    <row r="9" spans="1:10">
      <c r="A9" s="10" t="str" cm="1">
        <f t="array" ref="A9">INDEX(Sheet!$A$1:$Q$23,MATCH(1,(Sheet!$I$1:$I$23='Caso 1'!C9)*('Caso 1'!D9=Sheet!$J$1:$J$23)*(Sheet!$K$1:$K$23='Caso 1'!E9),0),5)</f>
        <v>31000311594703029000000000000000</v>
      </c>
      <c r="B9" s="10" t="s">
        <v>21</v>
      </c>
      <c r="C9" s="10" t="s">
        <v>22</v>
      </c>
      <c r="D9" s="10" t="s">
        <v>58</v>
      </c>
      <c r="E9" s="10" t="s">
        <v>24</v>
      </c>
      <c r="F9" s="10" t="s">
        <v>25</v>
      </c>
      <c r="G9" s="10" t="s">
        <v>26</v>
      </c>
      <c r="H9" s="11" t="s">
        <v>27</v>
      </c>
      <c r="I9" s="10" t="s">
        <v>28</v>
      </c>
      <c r="J9" s="10" t="s">
        <v>101</v>
      </c>
    </row>
    <row r="10" spans="1:10">
      <c r="A10" s="10" t="str" cm="1">
        <f t="array" ref="A10">INDEX(Sheet!$A$1:$Q$23,MATCH(1,(Sheet!$I$1:$I$23='Caso 1'!C10)*('Caso 1'!D10=Sheet!$J$1:$J$23)*(Sheet!$K$1:$K$23='Caso 1'!E10),0),5)</f>
        <v>31000311590172029000000000000000</v>
      </c>
      <c r="B10" s="10" t="s">
        <v>21</v>
      </c>
      <c r="C10" s="10" t="s">
        <v>22</v>
      </c>
      <c r="D10" s="10" t="s">
        <v>60</v>
      </c>
      <c r="E10" s="10" t="s">
        <v>24</v>
      </c>
      <c r="F10" s="10" t="s">
        <v>25</v>
      </c>
      <c r="G10" s="10" t="s">
        <v>26</v>
      </c>
      <c r="H10" s="11" t="s">
        <v>27</v>
      </c>
      <c r="I10" s="10" t="s">
        <v>28</v>
      </c>
      <c r="J10" s="10" t="s">
        <v>101</v>
      </c>
    </row>
    <row r="11" spans="1:10">
      <c r="A11" s="10" t="str" cm="1">
        <f t="array" ref="A11">INDEX(Sheet!$A$1:$Q$23,MATCH(1,(Sheet!$I$1:$I$23='Caso 1'!C11)*('Caso 1'!D11=Sheet!$J$1:$J$23)*(Sheet!$K$1:$K$23='Caso 1'!E11),0),5)</f>
        <v>31000311756815029000000000000000</v>
      </c>
      <c r="B11" s="10" t="s">
        <v>21</v>
      </c>
      <c r="C11" s="10" t="s">
        <v>22</v>
      </c>
      <c r="D11" s="10" t="s">
        <v>62</v>
      </c>
      <c r="E11" s="10" t="s">
        <v>24</v>
      </c>
      <c r="F11" s="10" t="s">
        <v>25</v>
      </c>
      <c r="G11" s="10" t="s">
        <v>26</v>
      </c>
      <c r="H11" s="11" t="s">
        <v>40</v>
      </c>
      <c r="I11" s="10" t="s">
        <v>28</v>
      </c>
      <c r="J11" s="10" t="s">
        <v>104</v>
      </c>
    </row>
    <row r="12" spans="1:10">
      <c r="A12" s="10" t="str" cm="1">
        <f t="array" ref="A12">INDEX(Sheet!$A$1:$Q$23,MATCH(1,(Sheet!$I$1:$I$23='Caso 1'!C12)*('Caso 1'!D12=Sheet!$J$1:$J$23)*(Sheet!$K$1:$K$23='Caso 1'!E12),0),5)</f>
        <v>31000311594737029000000000000000</v>
      </c>
      <c r="B12" s="10" t="s">
        <v>21</v>
      </c>
      <c r="C12" s="10" t="s">
        <v>22</v>
      </c>
      <c r="D12" s="10" t="s">
        <v>64</v>
      </c>
      <c r="E12" s="10" t="s">
        <v>24</v>
      </c>
      <c r="F12" s="10" t="s">
        <v>25</v>
      </c>
      <c r="G12" s="10" t="s">
        <v>26</v>
      </c>
      <c r="H12" s="11" t="s">
        <v>27</v>
      </c>
      <c r="I12" s="10" t="s">
        <v>28</v>
      </c>
      <c r="J12" s="10" t="s">
        <v>101</v>
      </c>
    </row>
    <row r="13" spans="1:10">
      <c r="A13" s="10" t="str" cm="1">
        <f t="array" ref="A13">INDEX(Sheet!$A$1:$Q$23,MATCH(1,(Sheet!$I$1:$I$23='Caso 1'!C13)*('Caso 1'!D13=Sheet!$J$1:$J$23)*(Sheet!$K$1:$K$23='Caso 1'!E13),0),5)</f>
        <v>31000311766913029000000000000000</v>
      </c>
      <c r="B13" s="10" t="s">
        <v>21</v>
      </c>
      <c r="C13" s="10" t="s">
        <v>22</v>
      </c>
      <c r="D13" s="10" t="s">
        <v>69</v>
      </c>
      <c r="E13" s="10" t="s">
        <v>24</v>
      </c>
      <c r="F13" s="10" t="s">
        <v>25</v>
      </c>
      <c r="G13" s="10" t="s">
        <v>26</v>
      </c>
      <c r="H13" s="11" t="s">
        <v>40</v>
      </c>
      <c r="I13" s="10" t="s">
        <v>28</v>
      </c>
      <c r="J13" s="10" t="s">
        <v>104</v>
      </c>
    </row>
    <row r="14" spans="1:10">
      <c r="A14" s="10" t="str" cm="1">
        <f t="array" ref="A14">INDEX(Sheet!$A$1:$Q$23,MATCH(1,(Sheet!$I$1:$I$23='Caso 1'!C14)*('Caso 1'!D14=Sheet!$J$1:$J$23)*(Sheet!$K$1:$K$23='Caso 1'!E14),0),5)</f>
        <v>31000311766921029000000000000000</v>
      </c>
      <c r="B14" s="10" t="s">
        <v>21</v>
      </c>
      <c r="C14" s="10" t="s">
        <v>22</v>
      </c>
      <c r="D14" s="10" t="s">
        <v>71</v>
      </c>
      <c r="E14" s="10" t="s">
        <v>24</v>
      </c>
      <c r="F14" s="10" t="s">
        <v>25</v>
      </c>
      <c r="G14" s="10" t="s">
        <v>26</v>
      </c>
      <c r="H14" s="11" t="s">
        <v>40</v>
      </c>
      <c r="I14" s="10" t="s">
        <v>28</v>
      </c>
      <c r="J14" s="10" t="s">
        <v>104</v>
      </c>
    </row>
    <row r="15" spans="1:10">
      <c r="A15" s="10" t="str" cm="1">
        <f t="array" ref="A15">INDEX(Sheet!$A$1:$Q$23,MATCH(1,(Sheet!$I$1:$I$23='Caso 1'!C15)*('Caso 1'!D15=Sheet!$J$1:$J$23)*(Sheet!$K$1:$K$23='Caso 1'!E15),0),5)</f>
        <v>31000311766814029000000000000000</v>
      </c>
      <c r="B15" s="10" t="s">
        <v>21</v>
      </c>
      <c r="C15" s="10" t="s">
        <v>22</v>
      </c>
      <c r="D15" s="10" t="s">
        <v>73</v>
      </c>
      <c r="E15" s="10" t="s">
        <v>24</v>
      </c>
      <c r="F15" s="10" t="s">
        <v>74</v>
      </c>
      <c r="G15" s="10" t="s">
        <v>46</v>
      </c>
      <c r="H15" s="11" t="s">
        <v>40</v>
      </c>
      <c r="I15" s="10" t="s">
        <v>28</v>
      </c>
      <c r="J15" s="10" t="s">
        <v>104</v>
      </c>
    </row>
    <row r="16" spans="1:10">
      <c r="A16" s="10" t="str" cm="1">
        <f t="array" ref="A16">INDEX(Sheet!$A$1:$Q$23,MATCH(1,(Sheet!$I$1:$I$23='Caso 1'!C16)*('Caso 1'!D16=Sheet!$J$1:$J$23)*(Sheet!$K$1:$K$23='Caso 1'!E16),0),5)</f>
        <v>31000311631513029000000000000000</v>
      </c>
      <c r="B16" s="10" t="s">
        <v>21</v>
      </c>
      <c r="C16" s="10" t="s">
        <v>22</v>
      </c>
      <c r="D16" s="10" t="s">
        <v>79</v>
      </c>
      <c r="E16" s="10" t="s">
        <v>24</v>
      </c>
      <c r="F16" s="10" t="s">
        <v>45</v>
      </c>
      <c r="G16" s="10" t="s">
        <v>46</v>
      </c>
      <c r="H16" s="11" t="s">
        <v>27</v>
      </c>
      <c r="I16" s="10" t="s">
        <v>28</v>
      </c>
      <c r="J16" s="10" t="s">
        <v>101</v>
      </c>
    </row>
    <row r="17" spans="1:10">
      <c r="A17" s="10" t="str" cm="1">
        <f t="array" ref="A17">INDEX(Sheet!$A$1:$Q$23,MATCH(1,(Sheet!$I$1:$I$23='Caso 1'!C17)*('Caso 1'!D17=Sheet!$J$1:$J$23)*(Sheet!$K$1:$K$23='Caso 1'!E17),0),5)</f>
        <v>31000311594711029000000000000000</v>
      </c>
      <c r="B17" s="10" t="s">
        <v>21</v>
      </c>
      <c r="C17" s="10" t="s">
        <v>22</v>
      </c>
      <c r="D17" s="10" t="s">
        <v>81</v>
      </c>
      <c r="E17" s="10" t="s">
        <v>24</v>
      </c>
      <c r="F17" s="10" t="s">
        <v>25</v>
      </c>
      <c r="G17" s="10" t="s">
        <v>26</v>
      </c>
      <c r="H17" s="11" t="s">
        <v>27</v>
      </c>
      <c r="I17" s="10" t="s">
        <v>28</v>
      </c>
      <c r="J17" s="10" t="s">
        <v>101</v>
      </c>
    </row>
    <row r="18" spans="1:10">
      <c r="A18" s="10" t="str" cm="1">
        <f t="array" ref="A18">INDEX(Sheet!$A$1:$Q$23,MATCH(1,(Sheet!$I$1:$I$23='Caso 1'!C18)*('Caso 1'!D18=Sheet!$J$1:$J$23)*(Sheet!$K$1:$K$23='Caso 1'!E18),0),5)</f>
        <v>31000311754141029000000000000000</v>
      </c>
      <c r="B18" s="10" t="s">
        <v>21</v>
      </c>
      <c r="C18" s="10" t="s">
        <v>22</v>
      </c>
      <c r="D18" s="10" t="s">
        <v>83</v>
      </c>
      <c r="E18" s="10" t="s">
        <v>24</v>
      </c>
      <c r="F18" s="10" t="s">
        <v>25</v>
      </c>
      <c r="G18" s="10" t="s">
        <v>26</v>
      </c>
      <c r="H18" s="11" t="s">
        <v>40</v>
      </c>
      <c r="I18" s="10" t="s">
        <v>28</v>
      </c>
      <c r="J18" s="10" t="s">
        <v>104</v>
      </c>
    </row>
    <row r="19" spans="1:10">
      <c r="A19" s="10" t="str" cm="1">
        <f t="array" ref="A19">INDEX(Sheet!$A$1:$Q$23,MATCH(1,(Sheet!$I$1:$I$23='Caso 1'!C19)*('Caso 1'!D19=Sheet!$J$1:$J$23)*(Sheet!$K$1:$K$23='Caso 1'!E19),0),5)</f>
        <v>31000010945666541000000000000000</v>
      </c>
      <c r="B19" s="10" t="s">
        <v>21</v>
      </c>
      <c r="C19" s="10" t="s">
        <v>88</v>
      </c>
      <c r="D19" s="10" t="s">
        <v>89</v>
      </c>
      <c r="E19" s="10" t="s">
        <v>24</v>
      </c>
      <c r="F19" s="10" t="s">
        <v>90</v>
      </c>
      <c r="G19" s="10" t="s">
        <v>91</v>
      </c>
      <c r="H19" s="11" t="s">
        <v>92</v>
      </c>
      <c r="I19" s="10" t="s">
        <v>28</v>
      </c>
      <c r="J19" s="10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EA99-8F8C-4F6F-9AC8-B4535F4CC6B3}">
  <dimension ref="B2:K22"/>
  <sheetViews>
    <sheetView workbookViewId="0">
      <selection activeCell="B4" sqref="B4:J8"/>
    </sheetView>
  </sheetViews>
  <sheetFormatPr defaultRowHeight="14.4"/>
  <cols>
    <col min="2" max="2" width="8.44140625" bestFit="1" customWidth="1"/>
    <col min="3" max="3" width="8.88671875" bestFit="1" customWidth="1"/>
    <col min="4" max="4" width="13.33203125" bestFit="1" customWidth="1"/>
    <col min="5" max="5" width="18.44140625" bestFit="1" customWidth="1"/>
    <col min="6" max="6" width="7.6640625" bestFit="1" customWidth="1"/>
    <col min="7" max="7" width="12.109375" bestFit="1" customWidth="1"/>
    <col min="8" max="8" width="9" bestFit="1" customWidth="1"/>
    <col min="9" max="9" width="7.88671875" bestFit="1" customWidth="1"/>
    <col min="10" max="10" width="10.33203125" bestFit="1" customWidth="1"/>
    <col min="11" max="11" width="12.5546875" bestFit="1" customWidth="1"/>
  </cols>
  <sheetData>
    <row r="2" spans="2:11">
      <c r="B2" s="9" t="s">
        <v>109</v>
      </c>
    </row>
    <row r="4" spans="2:11">
      <c r="B4" s="12" t="s">
        <v>7</v>
      </c>
      <c r="C4" s="12" t="s">
        <v>8</v>
      </c>
      <c r="D4" s="12" t="s">
        <v>9</v>
      </c>
      <c r="E4" s="12" t="s">
        <v>94</v>
      </c>
      <c r="F4" s="12" t="s">
        <v>97</v>
      </c>
      <c r="G4" s="12" t="s">
        <v>98</v>
      </c>
      <c r="H4" s="12" t="s">
        <v>95</v>
      </c>
      <c r="I4" s="12" t="s">
        <v>96</v>
      </c>
      <c r="J4" s="12" t="s">
        <v>14</v>
      </c>
    </row>
    <row r="5" spans="2:11">
      <c r="B5" s="10" t="s">
        <v>21</v>
      </c>
      <c r="C5" s="10" t="s">
        <v>32</v>
      </c>
      <c r="D5" s="10" t="s">
        <v>66</v>
      </c>
      <c r="E5" s="10" t="s">
        <v>67</v>
      </c>
      <c r="F5" s="10" t="s">
        <v>103</v>
      </c>
      <c r="G5" s="10" t="s">
        <v>105</v>
      </c>
      <c r="H5" s="10" t="s">
        <v>100</v>
      </c>
      <c r="I5" s="10" t="s">
        <v>102</v>
      </c>
      <c r="J5" s="13">
        <v>45492</v>
      </c>
    </row>
    <row r="6" spans="2:11">
      <c r="B6" s="10" t="s">
        <v>21</v>
      </c>
      <c r="C6" s="10" t="s">
        <v>32</v>
      </c>
      <c r="D6" s="10" t="s">
        <v>33</v>
      </c>
      <c r="E6" s="10" t="s">
        <v>86</v>
      </c>
      <c r="F6" s="10" t="s">
        <v>103</v>
      </c>
      <c r="G6" s="10" t="s">
        <v>107</v>
      </c>
      <c r="H6" s="10" t="s">
        <v>100</v>
      </c>
      <c r="I6" s="10" t="s">
        <v>102</v>
      </c>
      <c r="J6" s="13">
        <v>45545</v>
      </c>
    </row>
    <row r="7" spans="2:11">
      <c r="B7" s="10" t="s">
        <v>21</v>
      </c>
      <c r="C7" s="10" t="s">
        <v>32</v>
      </c>
      <c r="D7" s="10" t="s">
        <v>33</v>
      </c>
      <c r="E7" s="10" t="s">
        <v>34</v>
      </c>
      <c r="F7" s="10" t="s">
        <v>103</v>
      </c>
      <c r="G7" s="10" t="s">
        <v>107</v>
      </c>
      <c r="H7" s="10" t="s">
        <v>100</v>
      </c>
      <c r="I7" s="10" t="s">
        <v>102</v>
      </c>
      <c r="J7" s="13">
        <v>45594</v>
      </c>
    </row>
    <row r="8" spans="2:11">
      <c r="B8" s="10" t="s">
        <v>21</v>
      </c>
      <c r="C8" s="10" t="s">
        <v>32</v>
      </c>
      <c r="D8" s="10" t="s">
        <v>76</v>
      </c>
      <c r="E8" s="10" t="s">
        <v>77</v>
      </c>
      <c r="F8" s="10" t="s">
        <v>103</v>
      </c>
      <c r="G8" s="10" t="s">
        <v>105</v>
      </c>
      <c r="H8" s="10" t="s">
        <v>100</v>
      </c>
      <c r="I8" s="10" t="s">
        <v>102</v>
      </c>
      <c r="J8" s="13">
        <v>45476</v>
      </c>
    </row>
    <row r="11" spans="2:11">
      <c r="B11" t="s">
        <v>110</v>
      </c>
    </row>
    <row r="14" spans="2:11">
      <c r="B14" s="12" t="s">
        <v>7</v>
      </c>
      <c r="C14" s="12" t="s">
        <v>8</v>
      </c>
      <c r="D14" s="12" t="s">
        <v>9</v>
      </c>
      <c r="E14" s="12" t="s">
        <v>94</v>
      </c>
      <c r="F14" s="12" t="s">
        <v>97</v>
      </c>
      <c r="G14" s="12" t="s">
        <v>98</v>
      </c>
      <c r="H14" s="12" t="s">
        <v>95</v>
      </c>
      <c r="I14" s="12" t="s">
        <v>96</v>
      </c>
      <c r="J14" s="12" t="s">
        <v>13</v>
      </c>
      <c r="K14" s="12" t="s">
        <v>11</v>
      </c>
    </row>
    <row r="15" spans="2:11">
      <c r="B15" s="10" t="s">
        <v>21</v>
      </c>
      <c r="C15" s="10" t="s">
        <v>32</v>
      </c>
      <c r="D15" s="10" t="s">
        <v>66</v>
      </c>
      <c r="E15" s="10" t="s">
        <v>67</v>
      </c>
      <c r="F15" s="10" t="s">
        <v>103</v>
      </c>
      <c r="G15" s="10" t="s">
        <v>105</v>
      </c>
      <c r="H15" s="10" t="s">
        <v>100</v>
      </c>
      <c r="I15" s="10" t="s">
        <v>102</v>
      </c>
      <c r="J15" s="10" t="s">
        <v>37</v>
      </c>
      <c r="K15" s="10" t="s">
        <v>111</v>
      </c>
    </row>
    <row r="16" spans="2:11">
      <c r="B16" s="10" t="s">
        <v>21</v>
      </c>
      <c r="C16" s="10" t="s">
        <v>32</v>
      </c>
      <c r="D16" s="10" t="s">
        <v>66</v>
      </c>
      <c r="E16" s="10" t="s">
        <v>67</v>
      </c>
      <c r="F16" s="10" t="s">
        <v>102</v>
      </c>
      <c r="G16" s="10" t="s">
        <v>105</v>
      </c>
      <c r="H16" s="10" t="s">
        <v>100</v>
      </c>
      <c r="I16" s="10" t="s">
        <v>103</v>
      </c>
      <c r="J16" s="10" t="s">
        <v>37</v>
      </c>
      <c r="K16" s="10" t="s">
        <v>35</v>
      </c>
    </row>
    <row r="17" spans="2:11">
      <c r="B17" s="10" t="s">
        <v>21</v>
      </c>
      <c r="C17" s="10" t="s">
        <v>32</v>
      </c>
      <c r="D17" s="10" t="s">
        <v>33</v>
      </c>
      <c r="E17" s="10" t="s">
        <v>86</v>
      </c>
      <c r="F17" s="10" t="s">
        <v>103</v>
      </c>
      <c r="G17" s="10" t="s">
        <v>107</v>
      </c>
      <c r="H17" s="10" t="s">
        <v>100</v>
      </c>
      <c r="I17" s="10" t="s">
        <v>102</v>
      </c>
      <c r="J17" s="10" t="s">
        <v>37</v>
      </c>
      <c r="K17" s="10" t="s">
        <v>52</v>
      </c>
    </row>
    <row r="18" spans="2:11">
      <c r="B18" s="10" t="s">
        <v>21</v>
      </c>
      <c r="C18" s="10" t="s">
        <v>32</v>
      </c>
      <c r="D18" s="10" t="s">
        <v>33</v>
      </c>
      <c r="E18" s="10" t="s">
        <v>86</v>
      </c>
      <c r="F18" s="10" t="s">
        <v>102</v>
      </c>
      <c r="G18" s="10" t="s">
        <v>107</v>
      </c>
      <c r="H18" s="10" t="s">
        <v>100</v>
      </c>
      <c r="I18" s="10" t="s">
        <v>103</v>
      </c>
      <c r="J18" s="10" t="s">
        <v>37</v>
      </c>
      <c r="K18" s="10" t="s">
        <v>35</v>
      </c>
    </row>
    <row r="19" spans="2:11">
      <c r="B19" s="10" t="s">
        <v>21</v>
      </c>
      <c r="C19" s="10" t="s">
        <v>32</v>
      </c>
      <c r="D19" s="10" t="s">
        <v>33</v>
      </c>
      <c r="E19" s="10" t="s">
        <v>34</v>
      </c>
      <c r="F19" s="10" t="s">
        <v>103</v>
      </c>
      <c r="G19" s="10" t="s">
        <v>107</v>
      </c>
      <c r="H19" s="10" t="s">
        <v>100</v>
      </c>
      <c r="I19" s="10" t="s">
        <v>102</v>
      </c>
      <c r="J19" s="10" t="s">
        <v>37</v>
      </c>
      <c r="K19" s="10" t="s">
        <v>52</v>
      </c>
    </row>
    <row r="20" spans="2:11">
      <c r="B20" s="10" t="s">
        <v>21</v>
      </c>
      <c r="C20" s="10" t="s">
        <v>32</v>
      </c>
      <c r="D20" s="10" t="s">
        <v>33</v>
      </c>
      <c r="E20" s="10" t="s">
        <v>34</v>
      </c>
      <c r="F20" s="10" t="s">
        <v>102</v>
      </c>
      <c r="G20" s="10" t="s">
        <v>107</v>
      </c>
      <c r="H20" s="10" t="s">
        <v>100</v>
      </c>
      <c r="I20" s="10" t="s">
        <v>103</v>
      </c>
      <c r="J20" s="10" t="s">
        <v>37</v>
      </c>
      <c r="K20" s="10" t="s">
        <v>35</v>
      </c>
    </row>
    <row r="21" spans="2:11">
      <c r="B21" s="10" t="s">
        <v>21</v>
      </c>
      <c r="C21" s="10" t="s">
        <v>32</v>
      </c>
      <c r="D21" s="10" t="s">
        <v>76</v>
      </c>
      <c r="E21" s="10" t="s">
        <v>77</v>
      </c>
      <c r="F21" s="10" t="s">
        <v>103</v>
      </c>
      <c r="G21" s="10" t="s">
        <v>105</v>
      </c>
      <c r="H21" s="10" t="s">
        <v>100</v>
      </c>
      <c r="I21" s="10" t="s">
        <v>102</v>
      </c>
      <c r="J21" s="10" t="s">
        <v>37</v>
      </c>
      <c r="K21" s="10" t="s">
        <v>111</v>
      </c>
    </row>
    <row r="22" spans="2:11">
      <c r="B22" s="10" t="s">
        <v>21</v>
      </c>
      <c r="C22" s="10" t="s">
        <v>32</v>
      </c>
      <c r="D22" s="10" t="s">
        <v>76</v>
      </c>
      <c r="E22" s="10" t="s">
        <v>77</v>
      </c>
      <c r="F22" s="10" t="s">
        <v>102</v>
      </c>
      <c r="G22" s="10" t="s">
        <v>105</v>
      </c>
      <c r="H22" s="10" t="s">
        <v>100</v>
      </c>
      <c r="I22" s="10" t="s">
        <v>103</v>
      </c>
      <c r="J22" s="10" t="s">
        <v>37</v>
      </c>
      <c r="K22" s="10" t="s">
        <v>35</v>
      </c>
    </row>
  </sheetData>
  <autoFilter ref="B14:K22" xr:uid="{9702EA99-8F8C-4F6F-9AC8-B4535F4CC6B3}">
    <sortState xmlns:xlrd2="http://schemas.microsoft.com/office/spreadsheetml/2017/richdata2" ref="B15:K22">
      <sortCondition ref="D15:D22"/>
      <sortCondition ref="E15:E22"/>
      <sortCondition ref="F15:F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E29C-AD44-497D-AF4C-BD504FC89468}">
  <dimension ref="A1:BE24"/>
  <sheetViews>
    <sheetView workbookViewId="0">
      <selection sqref="A1:K9"/>
    </sheetView>
  </sheetViews>
  <sheetFormatPr defaultRowHeight="14.4"/>
  <cols>
    <col min="1" max="1" width="11.21875" style="5" bestFit="1" customWidth="1"/>
    <col min="2" max="2" width="8.44140625" style="5" bestFit="1" customWidth="1"/>
    <col min="3" max="3" width="8.88671875" style="5" bestFit="1" customWidth="1"/>
    <col min="4" max="4" width="13.33203125" style="5" bestFit="1" customWidth="1"/>
    <col min="5" max="5" width="18.44140625" style="5" bestFit="1" customWidth="1"/>
    <col min="6" max="6" width="7.6640625" style="5" bestFit="1" customWidth="1"/>
    <col min="7" max="7" width="12.109375" style="5" bestFit="1" customWidth="1"/>
    <col min="8" max="8" width="9" style="5" bestFit="1" customWidth="1"/>
    <col min="9" max="9" width="7.88671875" style="5" bestFit="1" customWidth="1"/>
    <col min="10" max="10" width="10.33203125" style="5" bestFit="1" customWidth="1"/>
    <col min="11" max="11" width="12.5546875" style="5" bestFit="1" customWidth="1"/>
    <col min="12" max="12" width="9.109375" style="2" bestFit="1" customWidth="1"/>
    <col min="13" max="13" width="11" style="2" bestFit="1" customWidth="1"/>
    <col min="18" max="18" width="10.5546875" bestFit="1" customWidth="1"/>
  </cols>
  <sheetData>
    <row r="1" spans="1:57">
      <c r="A1" s="5" t="s">
        <v>1</v>
      </c>
      <c r="B1" s="5" t="s">
        <v>7</v>
      </c>
      <c r="C1" s="5" t="s">
        <v>8</v>
      </c>
      <c r="D1" s="5" t="s">
        <v>9</v>
      </c>
      <c r="E1" s="5" t="s">
        <v>94</v>
      </c>
      <c r="F1" s="5" t="s">
        <v>97</v>
      </c>
      <c r="G1" s="5" t="s">
        <v>98</v>
      </c>
      <c r="H1" s="5" t="s">
        <v>95</v>
      </c>
      <c r="I1" s="5" t="s">
        <v>96</v>
      </c>
      <c r="J1" s="5" t="s">
        <v>13</v>
      </c>
      <c r="K1" s="5" t="s">
        <v>11</v>
      </c>
    </row>
    <row r="2" spans="1:57">
      <c r="A2" s="5" t="s">
        <v>17</v>
      </c>
      <c r="B2" s="5" t="s">
        <v>21</v>
      </c>
      <c r="C2" s="5" t="s">
        <v>32</v>
      </c>
      <c r="D2" s="5" t="s">
        <v>76</v>
      </c>
      <c r="E2" s="5" t="s">
        <v>77</v>
      </c>
      <c r="F2" s="5" t="s">
        <v>103</v>
      </c>
      <c r="G2" s="5" t="s">
        <v>105</v>
      </c>
      <c r="H2" s="5" t="s">
        <v>100</v>
      </c>
      <c r="I2" s="5" t="s">
        <v>102</v>
      </c>
      <c r="J2" s="5" t="s">
        <v>37</v>
      </c>
      <c r="K2" s="5" t="s">
        <v>111</v>
      </c>
      <c r="M2" s="3"/>
      <c r="P2" s="4"/>
      <c r="R2" s="4"/>
      <c r="AB2" s="4"/>
      <c r="AC2" s="4"/>
      <c r="AD2" s="4"/>
      <c r="AF2" s="4"/>
      <c r="AL2" s="4"/>
      <c r="AM2" s="4"/>
      <c r="AN2" s="4"/>
      <c r="AS2" s="4"/>
      <c r="BE2" s="4"/>
    </row>
    <row r="3" spans="1:57">
      <c r="A3" s="5" t="s">
        <v>17</v>
      </c>
      <c r="B3" s="5" t="s">
        <v>21</v>
      </c>
      <c r="C3" s="5" t="s">
        <v>32</v>
      </c>
      <c r="D3" s="5" t="s">
        <v>33</v>
      </c>
      <c r="E3" s="5" t="s">
        <v>34</v>
      </c>
      <c r="F3" s="5" t="s">
        <v>102</v>
      </c>
      <c r="G3" s="5" t="s">
        <v>107</v>
      </c>
      <c r="H3" s="5" t="s">
        <v>100</v>
      </c>
      <c r="I3" s="5" t="s">
        <v>103</v>
      </c>
      <c r="J3" s="5" t="s">
        <v>37</v>
      </c>
      <c r="K3" s="5" t="s">
        <v>35</v>
      </c>
      <c r="M3" s="3"/>
      <c r="P3" s="4"/>
      <c r="R3" s="4"/>
      <c r="AB3" s="4"/>
      <c r="AC3" s="4"/>
      <c r="AD3" s="4"/>
      <c r="AF3" s="4"/>
      <c r="AL3" s="4"/>
      <c r="AM3" s="4"/>
      <c r="AN3" s="4"/>
      <c r="AS3" s="4"/>
      <c r="BE3" s="4"/>
    </row>
    <row r="4" spans="1:57">
      <c r="A4" s="5" t="s">
        <v>17</v>
      </c>
      <c r="B4" s="5" t="s">
        <v>21</v>
      </c>
      <c r="C4" s="5" t="s">
        <v>32</v>
      </c>
      <c r="D4" s="5" t="s">
        <v>33</v>
      </c>
      <c r="E4" s="5" t="s">
        <v>86</v>
      </c>
      <c r="F4" s="5" t="s">
        <v>103</v>
      </c>
      <c r="G4" s="5" t="s">
        <v>107</v>
      </c>
      <c r="H4" s="5" t="s">
        <v>100</v>
      </c>
      <c r="I4" s="5" t="s">
        <v>102</v>
      </c>
      <c r="J4" s="5" t="s">
        <v>37</v>
      </c>
      <c r="K4" s="5" t="s">
        <v>52</v>
      </c>
      <c r="M4" s="3"/>
      <c r="P4" s="4"/>
      <c r="R4" s="4"/>
      <c r="AB4" s="4"/>
      <c r="AC4" s="4"/>
      <c r="AD4" s="4"/>
      <c r="AF4" s="4"/>
      <c r="AL4" s="4"/>
      <c r="AM4" s="4"/>
      <c r="AN4" s="4"/>
      <c r="AS4" s="4"/>
      <c r="BE4" s="4"/>
    </row>
    <row r="5" spans="1:57">
      <c r="A5" s="5" t="s">
        <v>17</v>
      </c>
      <c r="B5" s="5" t="s">
        <v>21</v>
      </c>
      <c r="C5" s="5" t="s">
        <v>32</v>
      </c>
      <c r="D5" s="5" t="s">
        <v>66</v>
      </c>
      <c r="E5" s="5" t="s">
        <v>67</v>
      </c>
      <c r="F5" s="5" t="s">
        <v>103</v>
      </c>
      <c r="G5" s="5" t="s">
        <v>105</v>
      </c>
      <c r="H5" s="5" t="s">
        <v>100</v>
      </c>
      <c r="I5" s="5" t="s">
        <v>102</v>
      </c>
      <c r="J5" s="5" t="s">
        <v>37</v>
      </c>
      <c r="K5" s="5" t="s">
        <v>111</v>
      </c>
      <c r="M5" s="3"/>
      <c r="P5" s="4"/>
      <c r="R5" s="4"/>
      <c r="AB5" s="4"/>
      <c r="AC5" s="4"/>
      <c r="AD5" s="4"/>
      <c r="AF5" s="4"/>
      <c r="AL5" s="4"/>
      <c r="AM5" s="4"/>
      <c r="AN5" s="4"/>
      <c r="AS5" s="4"/>
      <c r="BE5" s="4"/>
    </row>
    <row r="6" spans="1:57">
      <c r="A6" s="5" t="s">
        <v>17</v>
      </c>
      <c r="B6" s="5" t="s">
        <v>21</v>
      </c>
      <c r="C6" s="5" t="s">
        <v>32</v>
      </c>
      <c r="D6" s="5" t="s">
        <v>33</v>
      </c>
      <c r="E6" s="5" t="s">
        <v>86</v>
      </c>
      <c r="F6" s="5" t="s">
        <v>102</v>
      </c>
      <c r="G6" s="5" t="s">
        <v>107</v>
      </c>
      <c r="H6" s="5" t="s">
        <v>100</v>
      </c>
      <c r="I6" s="5" t="s">
        <v>103</v>
      </c>
      <c r="J6" s="5" t="s">
        <v>37</v>
      </c>
      <c r="K6" s="5" t="s">
        <v>35</v>
      </c>
      <c r="M6" s="3"/>
    </row>
    <row r="7" spans="1:57">
      <c r="A7" s="5" t="s">
        <v>17</v>
      </c>
      <c r="B7" s="5" t="s">
        <v>21</v>
      </c>
      <c r="C7" s="5" t="s">
        <v>32</v>
      </c>
      <c r="D7" s="5" t="s">
        <v>66</v>
      </c>
      <c r="E7" s="5" t="s">
        <v>67</v>
      </c>
      <c r="F7" s="5" t="s">
        <v>102</v>
      </c>
      <c r="G7" s="5" t="s">
        <v>105</v>
      </c>
      <c r="H7" s="5" t="s">
        <v>100</v>
      </c>
      <c r="I7" s="5" t="s">
        <v>103</v>
      </c>
      <c r="J7" s="5" t="s">
        <v>37</v>
      </c>
      <c r="K7" s="5" t="s">
        <v>35</v>
      </c>
      <c r="M7" s="3"/>
    </row>
    <row r="8" spans="1:57">
      <c r="A8" s="5" t="s">
        <v>17</v>
      </c>
      <c r="B8" s="5" t="s">
        <v>21</v>
      </c>
      <c r="C8" s="5" t="s">
        <v>32</v>
      </c>
      <c r="D8" s="5" t="s">
        <v>76</v>
      </c>
      <c r="E8" s="5" t="s">
        <v>77</v>
      </c>
      <c r="F8" s="5" t="s">
        <v>102</v>
      </c>
      <c r="G8" s="5" t="s">
        <v>105</v>
      </c>
      <c r="H8" s="5" t="s">
        <v>100</v>
      </c>
      <c r="I8" s="5" t="s">
        <v>103</v>
      </c>
      <c r="J8" s="5" t="s">
        <v>37</v>
      </c>
      <c r="K8" s="5" t="s">
        <v>35</v>
      </c>
      <c r="M8" s="3"/>
    </row>
    <row r="9" spans="1:57">
      <c r="A9" s="5" t="s">
        <v>17</v>
      </c>
      <c r="B9" s="5" t="s">
        <v>21</v>
      </c>
      <c r="C9" s="5" t="s">
        <v>32</v>
      </c>
      <c r="D9" s="5" t="s">
        <v>33</v>
      </c>
      <c r="E9" s="5" t="s">
        <v>34</v>
      </c>
      <c r="F9" s="5" t="s">
        <v>103</v>
      </c>
      <c r="G9" s="5" t="s">
        <v>107</v>
      </c>
      <c r="H9" s="5" t="s">
        <v>100</v>
      </c>
      <c r="I9" s="5" t="s">
        <v>102</v>
      </c>
      <c r="J9" s="5" t="s">
        <v>37</v>
      </c>
      <c r="K9" s="5" t="s">
        <v>52</v>
      </c>
      <c r="M9" s="3"/>
    </row>
    <row r="10" spans="1:57">
      <c r="M10" s="3"/>
    </row>
    <row r="11" spans="1:57">
      <c r="M11" s="3"/>
    </row>
    <row r="12" spans="1:57">
      <c r="M12" s="3"/>
    </row>
    <row r="13" spans="1:57">
      <c r="M13" s="3"/>
    </row>
    <row r="14" spans="1:57">
      <c r="M14" s="3"/>
    </row>
    <row r="15" spans="1:57">
      <c r="M15" s="3"/>
    </row>
    <row r="16" spans="1:57">
      <c r="M16" s="3"/>
    </row>
    <row r="17" spans="13:13">
      <c r="M17" s="3"/>
    </row>
    <row r="18" spans="13:13">
      <c r="M18" s="3"/>
    </row>
    <row r="19" spans="13:13">
      <c r="M19" s="3"/>
    </row>
    <row r="20" spans="13:13">
      <c r="M20" s="3"/>
    </row>
    <row r="21" spans="13:13">
      <c r="M21" s="3"/>
    </row>
    <row r="22" spans="13:13">
      <c r="M22" s="3"/>
    </row>
    <row r="23" spans="13:13">
      <c r="M23" s="3"/>
    </row>
    <row r="24" spans="13:13">
      <c r="M2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B96540D-8D5E-4DEF-AC6E-89F59CE3B481}"/>
</file>

<file path=customXml/itemProps2.xml><?xml version="1.0" encoding="utf-8"?>
<ds:datastoreItem xmlns:ds="http://schemas.openxmlformats.org/officeDocument/2006/customXml" ds:itemID="{2CC2DF28-89D5-40E9-870A-5918C4DE4B64}"/>
</file>

<file path=customXml/itemProps3.xml><?xml version="1.0" encoding="utf-8"?>
<ds:datastoreItem xmlns:ds="http://schemas.openxmlformats.org/officeDocument/2006/customXml" ds:itemID="{C35178DB-1380-4509-9FC1-B5771FDFD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Caso 1</vt:lpstr>
      <vt:lpstr>Caso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2025-03-16T04:48:38Z</dcterms:created>
  <dcterms:modified xsi:type="dcterms:W3CDTF">2025-03-24T20:04:19Z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2025-03-24T16:42:09Z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99d72277-3af8-4415-86d3-0d82d0e9d333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