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7. Análises/09. Universo GD/"/>
    </mc:Choice>
  </mc:AlternateContent>
  <xr:revisionPtr revIDLastSave="343" documentId="8_{1148F544-C917-4F30-A83E-19475787E01F}" xr6:coauthVersionLast="47" xr6:coauthVersionMax="47" xr10:uidLastSave="{B012D63F-5F3F-40CA-B805-2C2DCD8DBAD5}"/>
  <bookViews>
    <workbookView xWindow="-108" yWindow="-108" windowWidth="23256" windowHeight="12456" tabRatio="788" xr2:uid="{00000000-000D-0000-FFFF-FFFF00000000}"/>
  </bookViews>
  <sheets>
    <sheet name="Val_Univ_LT002" sheetId="1" r:id="rId1"/>
    <sheet name="Sheet4" sheetId="20" r:id="rId2"/>
    <sheet name="val_exemplos" sheetId="17" r:id="rId3"/>
    <sheet name="val_nw_bsnss" sheetId="18" r:id="rId4"/>
    <sheet name="val_mngmnt_prdct" sheetId="19" r:id="rId5"/>
    <sheet name="ckarea is NULL" sheetId="10" r:id="rId6"/>
    <sheet name="Regitos Passivo" sheetId="15" state="hidden" r:id="rId7"/>
    <sheet name="cnclld_instrmnt_stts" sheetId="12" state="hidden" r:id="rId8"/>
    <sheet name="Sheet1" sheetId="14" state="hidden" r:id="rId9"/>
    <sheet name="Sheet2" sheetId="2" state="hidden" r:id="rId10"/>
    <sheet name="Sheet3" sheetId="3" state="hidden" r:id="rId11"/>
  </sheets>
  <definedNames>
    <definedName name="_xlnm._FilterDatabase" localSheetId="2" hidden="1">val_exemplos!$B$4:$AS$13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1" i="1" l="1"/>
  <c r="G97" i="1"/>
  <c r="G75" i="1"/>
  <c r="E75" i="1" l="1"/>
  <c r="I64" i="1"/>
  <c r="G64" i="1"/>
  <c r="E64" i="1"/>
  <c r="I53" i="1"/>
  <c r="G53" i="1"/>
  <c r="E53" i="1"/>
  <c r="G108" i="1" l="1"/>
  <c r="F108" i="1"/>
  <c r="F97" i="1"/>
  <c r="G86" i="1"/>
  <c r="F86" i="1"/>
  <c r="I75" i="1"/>
  <c r="H75" i="1"/>
  <c r="H64" i="1"/>
  <c r="H53" i="1"/>
  <c r="V25" i="1"/>
  <c r="U25" i="1"/>
  <c r="T25" i="1"/>
  <c r="S25" i="1"/>
  <c r="R25" i="1"/>
  <c r="Q25" i="1"/>
  <c r="P25" i="1"/>
  <c r="V24" i="1"/>
  <c r="U24" i="1"/>
  <c r="T24" i="1"/>
  <c r="S24" i="1"/>
  <c r="R24" i="1"/>
  <c r="Q24" i="1"/>
  <c r="P24" i="1"/>
  <c r="O25" i="1"/>
  <c r="O24" i="1"/>
  <c r="G121" i="1"/>
  <c r="E108" i="1"/>
  <c r="D108" i="1"/>
  <c r="E97" i="1"/>
  <c r="D97" i="1"/>
  <c r="E86" i="1"/>
  <c r="D86" i="1"/>
  <c r="N25" i="1" l="1"/>
  <c r="N24" i="1"/>
  <c r="M25" i="1"/>
  <c r="M24" i="1"/>
  <c r="L25" i="1"/>
  <c r="L24" i="1"/>
  <c r="F75" i="1"/>
  <c r="F64" i="1"/>
  <c r="F53" i="1"/>
  <c r="K25" i="1"/>
  <c r="J25" i="1"/>
  <c r="I25" i="1"/>
  <c r="H25" i="1"/>
  <c r="K24" i="1"/>
  <c r="J24" i="1"/>
  <c r="I24" i="1"/>
  <c r="H24" i="1"/>
  <c r="AH5" i="18" l="1"/>
  <c r="AI5" i="18"/>
  <c r="AJ5" i="18"/>
  <c r="AK5" i="18"/>
  <c r="AH6" i="18"/>
  <c r="AI6" i="18"/>
  <c r="AJ6" i="18"/>
  <c r="AK6" i="18"/>
  <c r="AH7" i="18"/>
  <c r="AI7" i="18"/>
  <c r="AJ7" i="18"/>
  <c r="AK7" i="18"/>
  <c r="AH8" i="18"/>
  <c r="AI8" i="18"/>
  <c r="AJ8" i="18"/>
  <c r="AK8" i="18"/>
  <c r="AH9" i="18"/>
  <c r="AI9" i="18"/>
  <c r="AJ9" i="18"/>
  <c r="AK9" i="18"/>
  <c r="AH10" i="18"/>
  <c r="AL10" i="18" s="1"/>
  <c r="AM10" i="18" s="1"/>
  <c r="AI10" i="18"/>
  <c r="AJ10" i="18"/>
  <c r="AK10" i="18"/>
  <c r="AH11" i="18"/>
  <c r="AI11" i="18"/>
  <c r="AJ11" i="18"/>
  <c r="AK11" i="18"/>
  <c r="AH12" i="18"/>
  <c r="AI12" i="18"/>
  <c r="AJ12" i="18"/>
  <c r="AK12" i="18"/>
  <c r="AH13" i="18"/>
  <c r="AI13" i="18"/>
  <c r="AJ13" i="18"/>
  <c r="AK13" i="18"/>
  <c r="AH14" i="18"/>
  <c r="AI14" i="18"/>
  <c r="AJ14" i="18"/>
  <c r="AK14" i="18"/>
  <c r="AH15" i="18"/>
  <c r="AI15" i="18"/>
  <c r="AJ15" i="18"/>
  <c r="AK15" i="18"/>
  <c r="AH16" i="18"/>
  <c r="AI16" i="18"/>
  <c r="AJ16" i="18"/>
  <c r="AK16" i="18"/>
  <c r="AH17" i="18"/>
  <c r="AI17" i="18"/>
  <c r="AJ17" i="18"/>
  <c r="AK17" i="18"/>
  <c r="AH18" i="18"/>
  <c r="AI18" i="18"/>
  <c r="AJ18" i="18"/>
  <c r="AK18" i="18"/>
  <c r="AH19" i="18"/>
  <c r="AI19" i="18"/>
  <c r="AJ19" i="18"/>
  <c r="AK19" i="18"/>
  <c r="D14" i="10"/>
  <c r="E14" i="10"/>
  <c r="D75" i="1"/>
  <c r="G25" i="1"/>
  <c r="F25" i="1"/>
  <c r="E25" i="1"/>
  <c r="D25" i="1"/>
  <c r="G24" i="1"/>
  <c r="F24" i="1"/>
  <c r="E24" i="1"/>
  <c r="D24" i="1"/>
  <c r="D64" i="1"/>
  <c r="D53" i="1"/>
  <c r="AL14" i="18" l="1"/>
  <c r="AM14" i="18" s="1"/>
  <c r="AL17" i="18"/>
  <c r="AM17" i="18" s="1"/>
  <c r="AL6" i="18"/>
  <c r="AM6" i="18" s="1"/>
  <c r="AL5" i="18"/>
  <c r="AM5" i="18" s="1"/>
  <c r="AL18" i="18"/>
  <c r="AM18" i="18" s="1"/>
  <c r="AL11" i="18"/>
  <c r="AM11" i="18" s="1"/>
  <c r="AL7" i="18"/>
  <c r="AM7" i="18" s="1"/>
  <c r="AL12" i="18"/>
  <c r="AM12" i="18" s="1"/>
  <c r="AL13" i="18"/>
  <c r="AM13" i="18" s="1"/>
  <c r="AL19" i="18"/>
  <c r="AM19" i="18" s="1"/>
  <c r="AL15" i="18"/>
  <c r="AM15" i="18" s="1"/>
  <c r="AL8" i="18"/>
  <c r="AM8" i="18" s="1"/>
  <c r="AL16" i="18"/>
  <c r="AM16" i="18" s="1"/>
  <c r="AL9" i="18"/>
  <c r="AM9" i="1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tc={49490794-27D2-48E6-99CA-C432EC91E3C5}</author>
    <author>tc={61FDD1EF-2A16-4CAB-983C-2FFD6A0A4E21}</author>
    <author>tc={61F8B9CD-D1B5-411A-919B-CF7FE5404617}</author>
    <author>tc={6CA6E472-344C-4714-BE4B-769AC8008C7D}</author>
  </authors>
  <commentList>
    <comment ref="D111" authorId="0" shapeId="0" xr:uid="{49490794-27D2-48E6-99CA-C432EC91E3C5}">
      <text>
        <t>[Threaded comment]
Your version of Excel allows you to read this threaded comment; however, any edits to it will get removed if the file is opened in a newer version of Excel. Learn more: https://go.microsoft.com/fwlink/?linkid=870924
Comment:
    Última semana de maio</t>
      </text>
    </comment>
    <comment ref="D119" authorId="1" shapeId="0" xr:uid="{61FDD1EF-2A16-4CAB-983C-2FFD6A0A4E21}">
      <text>
        <t>[Threaded comment]
Your version of Excel allows you to read this threaded comment; however, any edits to it will get removed if the file is opened in a newer version of Excel. Learn more: https://go.microsoft.com/fwlink/?linkid=870924
Comment:
    Última semana de maio</t>
      </text>
    </comment>
    <comment ref="D133" authorId="2" shapeId="0" xr:uid="{61F8B9CD-D1B5-411A-919B-CF7FE5404617}">
      <text>
        <t>[Threaded comment]
Your version of Excel allows you to read this threaded comment; however, any edits to it will get removed if the file is opened in a newer version of Excel. Learn more: https://go.microsoft.com/fwlink/?linkid=870924
Comment:
    Última semana de maio</t>
      </text>
    </comment>
    <comment ref="L137" authorId="3" shapeId="0" xr:uid="{6CA6E472-344C-4714-BE4B-769AC8008C7D}">
      <text>
        <t>[Threaded comment]
Your version of Excel allows you to read this threaded comment; however, any edits to it will get removed if the file is opened in a newer version of Excel. Learn more: https://go.microsoft.com/fwlink/?linkid=870924
Comment:
    -- IDENTIFICAÇÃO DOS DUPLICADOS
SELECT *
FROM (
SELECT
    *,
    COUNT(*) OVER (PARTITION BY instrmnt_id) AS COUNT_CONTR,
    COUNT(*) OVER (PARTITION BY instrmnt_id, BSNSS_AREA_AUX) AS COUNT_CONTR_BA_AUX,
    COUNT(*) OVER (PARTITION BY instrmnt_id, BSNSS_AREA) AS COUNT_CONTR_BA
FROM (SELECT INSTRMNT_ID, BSNSS_AREA_AUX, BSNSS_AREA FROM BU_CAPTOOLS_WORK.UNIV_LT_GD_PARTE3_AUX2) X
) Y
WHERE COUNT_CONTR&gt;1
AND COUNT_CONTR_BA &lt;&gt; 2*COUNT_CONTR_BA_AUX
AND COUNT_CONTR&lt;&gt;COUNT_CONTR_BA
AND BSNSS_AREA_AUX = 'MISS'
ORDER BY INSTRMNT_ID
Reply:
    Duplicados:  INSTRMNT_ID IN ('82000020130004509001520250105200', '82000020240000262001520250140870')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tc={2F494413-0AA8-43EF-A8BE-563CC6BE2FAE}</author>
    <author>tc={CBB83D55-6283-4510-8B6C-8C1B42E238DD}</author>
    <author>tc={5F71261C-AE56-44C7-8ED5-A6B86BA068F9}</author>
    <author>tc={06F7F947-5147-40BF-B02C-8B33BE91B1E1}</author>
  </authors>
  <commentList>
    <comment ref="D5" authorId="0" shapeId="0" xr:uid="{2F494413-0AA8-43EF-A8BE-563CC6BE2FAE}">
      <text>
        <t>[Threaded comment]
Your version of Excel allows you to read this threaded comment; however, any edits to it will get removed if the file is opened in a newer version of Excel. Learn more: https://go.microsoft.com/fwlink/?linkid=870924
Comment:
    Para fev/25</t>
      </text>
    </comment>
    <comment ref="E5" authorId="1" shapeId="0" xr:uid="{CBB83D55-6283-4510-8B6C-8C1B42E238DD}">
      <text>
        <t>[Threaded comment]
Your version of Excel allows you to read this threaded comment; however, any edits to it will get removed if the file is opened in a newer version of Excel. Learn more: https://go.microsoft.com/fwlink/?linkid=870924
Comment:
    Para mar/25</t>
      </text>
    </comment>
    <comment ref="D17" authorId="2" shapeId="0" xr:uid="{5F71261C-AE56-44C7-8ED5-A6B86BA068F9}">
      <text>
        <t>[Threaded comment]
Your version of Excel allows you to read this threaded comment; however, any edits to it will get removed if the file is opened in a newer version of Excel. Learn more: https://go.microsoft.com/fwlink/?linkid=870924
Comment:
    Para fev/25</t>
      </text>
    </comment>
    <comment ref="E17" authorId="3" shapeId="0" xr:uid="{06F7F947-5147-40BF-B02C-8B33BE91B1E1}">
      <text>
        <t>[Threaded comment]
Your version of Excel allows you to read this threaded comment; however, any edits to it will get removed if the file is opened in a newer version of Excel. Learn more: https://go.microsoft.com/fwlink/?linkid=870924
Comment:
    Para mar/25</t>
      </text>
    </comment>
  </commentList>
</comments>
</file>

<file path=xl/sharedStrings.xml><?xml version="1.0" encoding="utf-8"?>
<sst xmlns="http://schemas.openxmlformats.org/spreadsheetml/2006/main" count="2949" uniqueCount="699">
  <si>
    <t>UNIV_LT_GD_PARTE1</t>
  </si>
  <si>
    <t>Chave FINREP</t>
  </si>
  <si>
    <t>n/a</t>
  </si>
  <si>
    <t># Registos</t>
  </si>
  <si>
    <t>junção da aux2, aux3 e aux4</t>
  </si>
  <si>
    <t>UNIV_LT_GD_PARTE1_2</t>
  </si>
  <si>
    <t>UNIV_LT_GD_PARTE3_AUX1</t>
  </si>
  <si>
    <t>UNIV_LT_GD_PARTE3_AUX2</t>
  </si>
  <si>
    <t>Notas:</t>
  </si>
  <si>
    <t>UNIV_LT_GD_PARTE3_AUX3</t>
  </si>
  <si>
    <t>identificação dos contratos cancelados que não foram apanhados nos passos anteriores e por isso não apresentam chave FINREP, assim sendo, foi-lhes atribuida a chave MIS</t>
  </si>
  <si>
    <t>cempcta</t>
  </si>
  <si>
    <t>COMUM PM</t>
  </si>
  <si>
    <t>identificação do universo cancelado que se encontrava vivo no mês anterior (existe no tradutor do mês anterior), e cruzamento com a lt001 para não trazer chaves que já se encontram no universo da contabilidade</t>
  </si>
  <si>
    <t>identificação da chave finrep para o universo cancelado que não tinha sido apanhado no processo anterior, e cruzamento com a lt001 para não trazer chaves que já se encontram no universo da contabilidade</t>
  </si>
  <si>
    <t>seleção das operações com rentabilidade e que não têm posição de fim de mês (c007=0); e não têm chave finrep durante o ano de reporte</t>
  </si>
  <si>
    <t>c/ BA atribuida</t>
  </si>
  <si>
    <t>UNIV_LT_GD_PARTE1_2_FINAL</t>
  </si>
  <si>
    <t>atribuição da chave MIS ao universo comum com PM (necessário fazer inner join entre tradutor de chaves FINREP e MIS)</t>
  </si>
  <si>
    <t>atribuição da BA principal e criação do novo instrmnt_id (existe um maior número de INSTRMNT_ID uma vez que estamos a desagregar por BA) + simulação do LCL_INSTMRNT_ID</t>
  </si>
  <si>
    <t>cruzamento entre a ct209 e a ct831 para seleção dos contratos associados a produtos de ativo</t>
  </si>
  <si>
    <t>cruzamento entre a ct211 e act831 para seleção dos contratos associados a comissões de ativo</t>
  </si>
  <si>
    <t>criação dos campos de patrimonial e extrapatrimonial e consolidação da informação para termos apenas uma linha única por contrato</t>
  </si>
  <si>
    <t>junção da aux2 com a aux4</t>
  </si>
  <si>
    <t>cruzamento com a ct207 para obtenção da ckarea</t>
  </si>
  <si>
    <t>cruzamento com a ct201 para obtenção da dinioper para cartões</t>
  </si>
  <si>
    <t>cruzamento com a ct201 para obtenção da dinioper para resto</t>
  </si>
  <si>
    <t>TRAD_MIS_AUX</t>
  </si>
  <si>
    <t>Do universo de 3.369.277 da AUX7, 584.531 contratos não apresentam dinioper atribuida</t>
  </si>
  <si>
    <t>criação de um tradutor MIS auxiliar, no qual o zdeposit de cartões é transformado em 15 zeros</t>
  </si>
  <si>
    <t>univ</t>
  </si>
  <si>
    <t>ref_date</t>
  </si>
  <si>
    <t>ambito</t>
  </si>
  <si>
    <t>segmento</t>
  </si>
  <si>
    <t>instrmnt_id</t>
  </si>
  <si>
    <t>ckbalcao</t>
  </si>
  <si>
    <t>cknumcta</t>
  </si>
  <si>
    <t>zdeposit_mis</t>
  </si>
  <si>
    <t>GD</t>
  </si>
  <si>
    <t>ESTR</t>
  </si>
  <si>
    <t>NULL</t>
  </si>
  <si>
    <t>UNIV_RENTAB_MMMAA_AUX1</t>
  </si>
  <si>
    <t>UNIV_RENTAB_MMMAA_AUX2</t>
  </si>
  <si>
    <t>UNIV_RENTAB_MMMAA_AUX3</t>
  </si>
  <si>
    <t>UNIV_RENTAB_MMMAA_AUX4</t>
  </si>
  <si>
    <t>UNIV_RENTAB_MMMAA_AUX5</t>
  </si>
  <si>
    <t>UNIV_RENTAB_MMMAA_AUX6</t>
  </si>
  <si>
    <t>DEZ24</t>
  </si>
  <si>
    <t>JAN25</t>
  </si>
  <si>
    <t>FEV25</t>
  </si>
  <si>
    <t>UNIV_RENTAB_MMMAA</t>
  </si>
  <si>
    <t>UNIV_CANCELADOS_JAN25_AUX1</t>
  </si>
  <si>
    <t>UNIV_CANCELADOS_JAN25_AUX2</t>
  </si>
  <si>
    <t>UNIV_CANCELADOS_JAN25_AUX3</t>
  </si>
  <si>
    <t>UNIV_CANCELADOS_JAN25_AUX4</t>
  </si>
  <si>
    <t>UNIV_CANCELADOS_JAN25</t>
  </si>
  <si>
    <t>UNIV_CANCELADOS_FEV25_AUX1</t>
  </si>
  <si>
    <t>UNIV_CANCELADOS_FEV25_AUX2</t>
  </si>
  <si>
    <t>UNIV_CANCELADOS_FEV25_AUX3</t>
  </si>
  <si>
    <t>UNIV_CANCELADOS_FEV25_AUX4</t>
  </si>
  <si>
    <t>UNIV_CANCELADOS_FEV25</t>
  </si>
  <si>
    <t>Tabela</t>
  </si>
  <si>
    <t>Descrição</t>
  </si>
  <si>
    <t>Controlo ao universo da LT002_INSTRUMENT para âmbito GD</t>
  </si>
  <si>
    <t>1. Universo Auxiliar de Rentabilidade</t>
  </si>
  <si>
    <t xml:space="preserve"> Para a criação do universo auxiliar de rentabilidade é necessária efetuar os seguintes passos:
     1. Cruzar a ct207 com a ct831 para seleção dos contratos associados a produtos de ativo;
     2. Cruzar a ct209 com a ct831 para seleção dos contratos associados a comissões de ativo;
     3. Juntar o universo Passo 1 e 2;
     4. Cruzar com a ct207 para atribuição da ckarea;
     5. Cruzar com a ct201 para atribuição da dinioper.</t>
  </si>
  <si>
    <t>2. Universo de PM</t>
  </si>
  <si>
    <t>A 1ª parte do universo do âmbito GD corresponde ao universo presente na LT002 do âmbito PM.</t>
  </si>
  <si>
    <t>3. Universo de Contratos Cancelados</t>
  </si>
  <si>
    <t>A 2ª parte do universo do âmbito GD corresponde ao universo acumulado de contratos cancelados (que apresentam rentabildiade no mês de reporte) desde o início do ano até à data de referência.</t>
  </si>
  <si>
    <r>
      <t>Universo de Janeiro</t>
    </r>
    <r>
      <rPr>
        <sz val="11"/>
        <color theme="1"/>
        <rFont val="Calibri"/>
        <family val="2"/>
        <scheme val="minor"/>
      </rPr>
      <t xml:space="preserve"> (considerou-se a LT001 da cd_loan_tapes_bce)</t>
    </r>
  </si>
  <si>
    <t>Validação</t>
  </si>
  <si>
    <r>
      <t>Universo de Fevereiro</t>
    </r>
    <r>
      <rPr>
        <sz val="11"/>
        <color theme="1"/>
        <rFont val="Calibri"/>
        <family val="2"/>
        <scheme val="minor"/>
      </rPr>
      <t xml:space="preserve"> (considerou-se a LT001 da bu_loantape_work)</t>
    </r>
  </si>
  <si>
    <t>Tabela Final Cancelados</t>
  </si>
  <si>
    <t>Nota:</t>
  </si>
  <si>
    <t>4. Universo LT002 para GD</t>
  </si>
  <si>
    <t>5. Atribuição dos parâmetros à LT002</t>
  </si>
  <si>
    <t>cruzamento entre a tabela UNIV_LT_GD_PARTE1_2_FINAL e a tabela auxiliar com os dados de rentabilidade para atribuição da ckarea e criação do campo BSNSS_AREA.</t>
  </si>
  <si>
    <t>substring(instrmnt_id, 1, 2)</t>
  </si>
  <si>
    <t>SS</t>
  </si>
  <si>
    <t>SN</t>
  </si>
  <si>
    <t>Detalhe dos registos para os quais não foi possível atribuir BA:</t>
  </si>
  <si>
    <t>registos de ajustes --&gt; não apresentam chave MIS associada</t>
  </si>
  <si>
    <t>contrato de factoring em chave MIS (cempcta=89)</t>
  </si>
  <si>
    <t>ckarea</t>
  </si>
  <si>
    <t>bsnss_area</t>
  </si>
  <si>
    <t>2025-02-28</t>
  </si>
  <si>
    <t>82000020230000545001520240640221</t>
  </si>
  <si>
    <t>31</t>
  </si>
  <si>
    <t>0000</t>
  </si>
  <si>
    <t>20230000545</t>
  </si>
  <si>
    <t>0005000C12987I1</t>
  </si>
  <si>
    <t>AN01020210</t>
  </si>
  <si>
    <t>BA3</t>
  </si>
  <si>
    <t>001520240640221</t>
  </si>
  <si>
    <t>MISS</t>
  </si>
  <si>
    <t>V00500000C852I4</t>
  </si>
  <si>
    <t>Query</t>
  </si>
  <si>
    <t>SELECT *
FROM BU_CAPTOOLS_WORK.UNIV_LT_GD_PARTE3_AUX1
WHERE INSTRMNT_ID = '82000020230000545001520240640221'</t>
  </si>
  <si>
    <t>ckmetamis</t>
  </si>
  <si>
    <t>ckprodmi</t>
  </si>
  <si>
    <t>000050</t>
  </si>
  <si>
    <t>AD0411</t>
  </si>
  <si>
    <t>FACTORING S/R ADERENTES</t>
  </si>
  <si>
    <t>(a vazio na ct207)</t>
  </si>
  <si>
    <t>Informação MIS (ct207)</t>
  </si>
  <si>
    <t>SO0711</t>
  </si>
  <si>
    <t>Outr.Serv.Fact.Nacional</t>
  </si>
  <si>
    <t>0V0050</t>
  </si>
  <si>
    <t>Apenas o ckmetamis AD0411 está classificado como ativo na ct831.</t>
  </si>
  <si>
    <t>Exemplo 1:</t>
  </si>
  <si>
    <t>82000020210000346001520250028381</t>
  </si>
  <si>
    <t>20210000346</t>
  </si>
  <si>
    <t>001520250028381</t>
  </si>
  <si>
    <t>AN01020410</t>
  </si>
  <si>
    <t>BA4</t>
  </si>
  <si>
    <t>V0050C105043I34</t>
  </si>
  <si>
    <t>0005000C59644I1</t>
  </si>
  <si>
    <t>Exemplo 2:</t>
  </si>
  <si>
    <t>0003</t>
  </si>
  <si>
    <t>000000000000000</t>
  </si>
  <si>
    <t>dinioper_aux</t>
  </si>
  <si>
    <t>cnclld_instrmnt_stts</t>
  </si>
  <si>
    <t>CANCELADOS</t>
  </si>
  <si>
    <t>AN01010201</t>
  </si>
  <si>
    <t>BA2</t>
  </si>
  <si>
    <t>0031</t>
  </si>
  <si>
    <t>31000300069119007100085877280000</t>
  </si>
  <si>
    <t>00069119007</t>
  </si>
  <si>
    <t>100085877280001</t>
  </si>
  <si>
    <t>2024-07-23</t>
  </si>
  <si>
    <t>C</t>
  </si>
  <si>
    <t>100085877280002</t>
  </si>
  <si>
    <t>2025-01-03</t>
  </si>
  <si>
    <t>M</t>
  </si>
  <si>
    <t>A mesma chave FINREP apresenta 2 chaves MIS associadas, cada uma com uma dinioper. Qual deve ser escolhida? Isto afeta a marcação do cnclld_instrmnt_stts</t>
  </si>
  <si>
    <t>count_cnclld</t>
  </si>
  <si>
    <t>count_instr</t>
  </si>
  <si>
    <t>31000300076007007100086002650000</t>
  </si>
  <si>
    <t>31000300076007007100086002660000</t>
  </si>
  <si>
    <t>31000300076007007100086002670000</t>
  </si>
  <si>
    <t>31000300076007007100086002680000</t>
  </si>
  <si>
    <t>31000300116662007100085761770000</t>
  </si>
  <si>
    <t>31000300129566007100086597360000</t>
  </si>
  <si>
    <t>31000300136108007100086623730000</t>
  </si>
  <si>
    <t>31000300158987007100085892820000</t>
  </si>
  <si>
    <t>31000300158987007100085892830000</t>
  </si>
  <si>
    <t>31000300158987007100085892840000</t>
  </si>
  <si>
    <t>31000300158987007100085892850000</t>
  </si>
  <si>
    <t>31000300166386007100087065710000</t>
  </si>
  <si>
    <t>31000300166386007100087065720000</t>
  </si>
  <si>
    <t>31000300166386007100087065730000</t>
  </si>
  <si>
    <t>31000300177516007100087365710000</t>
  </si>
  <si>
    <t>31000300179314007100087065550000</t>
  </si>
  <si>
    <t>31000300179314007100087065560000</t>
  </si>
  <si>
    <t>31000300181526007100086082310000</t>
  </si>
  <si>
    <t>31000300191582007100086079050000</t>
  </si>
  <si>
    <t>31000300192804007100086760460000</t>
  </si>
  <si>
    <t>31000300193554007100085899830000</t>
  </si>
  <si>
    <t>31000300193554007100085998250000</t>
  </si>
  <si>
    <t>31000300193554007100085998260000</t>
  </si>
  <si>
    <t>31000300193554007100085998270000</t>
  </si>
  <si>
    <t>31000300193554007100085998280000</t>
  </si>
  <si>
    <t>31000300206133007100087465630000</t>
  </si>
  <si>
    <t>31000300222452007100086723310000</t>
  </si>
  <si>
    <t>31000300222452007100086762250000</t>
  </si>
  <si>
    <t>31000300222452007100086774480000</t>
  </si>
  <si>
    <t>31000300222452007100086774500000</t>
  </si>
  <si>
    <t>31000300222452007100086814040000</t>
  </si>
  <si>
    <t>31000300222452007100086897460000</t>
  </si>
  <si>
    <t>31000300222452007100086943310000</t>
  </si>
  <si>
    <t>31000300222452007100086977870000</t>
  </si>
  <si>
    <t>31000300222452007100086977880000</t>
  </si>
  <si>
    <t>31003190243320011649182900000001</t>
  </si>
  <si>
    <t>Listagem de contratos com mais do que uma classificação no campo cnclld_instrmnt_id</t>
  </si>
  <si>
    <t>00116662007</t>
  </si>
  <si>
    <t>100085761770002</t>
  </si>
  <si>
    <t>2025-01-08</t>
  </si>
  <si>
    <t>100085761770001</t>
  </si>
  <si>
    <t>2024-07-15</t>
  </si>
  <si>
    <t>90243320011</t>
  </si>
  <si>
    <t>2025-02-15</t>
  </si>
  <si>
    <t>2018-09-18</t>
  </si>
  <si>
    <t>UNIV_LT_GD_PARTE3_AUX4</t>
  </si>
  <si>
    <t>simulação do campo NW_BSNSS</t>
  </si>
  <si>
    <t>INFORM</t>
  </si>
  <si>
    <t>SO201P</t>
  </si>
  <si>
    <t>SO0721</t>
  </si>
  <si>
    <t>AAAAAA</t>
  </si>
  <si>
    <t>PI0102</t>
  </si>
  <si>
    <t>SO2036</t>
  </si>
  <si>
    <t>PI0113</t>
  </si>
  <si>
    <t>GGGGGG</t>
  </si>
  <si>
    <t>SO201A</t>
  </si>
  <si>
    <t>PI0108</t>
  </si>
  <si>
    <t>SO0722</t>
  </si>
  <si>
    <t>SO0702</t>
  </si>
  <si>
    <t>SO0503</t>
  </si>
  <si>
    <t>SO0303</t>
  </si>
  <si>
    <t>SO0505</t>
  </si>
  <si>
    <t>PI0262</t>
  </si>
  <si>
    <t>PI0103</t>
  </si>
  <si>
    <t>SO202A</t>
  </si>
  <si>
    <t>SO202P</t>
  </si>
  <si>
    <t>PI0104</t>
  </si>
  <si>
    <t>Out.Serv.Fact.Exportação</t>
  </si>
  <si>
    <t>Rem. Doc. Exportação</t>
  </si>
  <si>
    <t>Produto Global Activo</t>
  </si>
  <si>
    <t>D.O. Mundo 123</t>
  </si>
  <si>
    <t>D.O. Ordenado</t>
  </si>
  <si>
    <t>D.O. Negócio / Advance</t>
  </si>
  <si>
    <t>Out.Serv.Fact.Importação</t>
  </si>
  <si>
    <t>D.O. Geral Empresas</t>
  </si>
  <si>
    <t>Conta Margem Passivo</t>
  </si>
  <si>
    <t>Outros Serviços Renting</t>
  </si>
  <si>
    <t>Emprést.-Moratória</t>
  </si>
  <si>
    <t>Contas Nostro Passivo</t>
  </si>
  <si>
    <t>Cedência até 48 Horas</t>
  </si>
  <si>
    <t>Conta Margem Activo</t>
  </si>
  <si>
    <t>D.O. Outros</t>
  </si>
  <si>
    <t>Créd. Doc. Exportação</t>
  </si>
  <si>
    <t>CRP's Plano Programado</t>
  </si>
  <si>
    <t>Contas Nostro Activo</t>
  </si>
  <si>
    <t>val_univ</t>
  </si>
  <si>
    <t>EXCLUSIVO SIM</t>
  </si>
  <si>
    <t>Grupo 1 | Exclusivo Simulação - mas contrato sem desagregação da BA é comum entre IT e SIMUL</t>
  </si>
  <si>
    <t>val_contrato</t>
  </si>
  <si>
    <t>univ_simulacao</t>
  </si>
  <si>
    <t>instrmnt_id_aux</t>
  </si>
  <si>
    <t>CONTRATO EXISTE EM IT E SIM</t>
  </si>
  <si>
    <t>SNCO0000000031034700200031545000000000000000BA16</t>
  </si>
  <si>
    <t>31034700200031545000000000000000</t>
  </si>
  <si>
    <t>0347</t>
  </si>
  <si>
    <t>00200031545</t>
  </si>
  <si>
    <t>AN02020300</t>
  </si>
  <si>
    <t>BA16</t>
  </si>
  <si>
    <t>SNCO0000000031641600000001043000008000419141BA11</t>
  </si>
  <si>
    <t>31641600000001043000008000419141</t>
  </si>
  <si>
    <t>6416</t>
  </si>
  <si>
    <t>00000001043</t>
  </si>
  <si>
    <t>000008000419141</t>
  </si>
  <si>
    <t>AN02030400</t>
  </si>
  <si>
    <t>BA11</t>
  </si>
  <si>
    <t>SNCO0000000031641600000001022000008001128191BA11</t>
  </si>
  <si>
    <t>31641600000001022000008001128191</t>
  </si>
  <si>
    <t>00000001022</t>
  </si>
  <si>
    <t>000008001128191</t>
  </si>
  <si>
    <t>SNCO0000000031641600000001125000000000000784BA11</t>
  </si>
  <si>
    <t>31641600000001125000000000000784</t>
  </si>
  <si>
    <t>00000001125</t>
  </si>
  <si>
    <t>000000000000784</t>
  </si>
  <si>
    <t>SNCO0000000031641600000000958000008010444398BA11</t>
  </si>
  <si>
    <t>31641600000000958000008010444398</t>
  </si>
  <si>
    <t>00000000958</t>
  </si>
  <si>
    <t>000008010444398</t>
  </si>
  <si>
    <t>Simulação</t>
  </si>
  <si>
    <t>nw_bsnss</t>
  </si>
  <si>
    <t>N</t>
  </si>
  <si>
    <t>AN02020100</t>
  </si>
  <si>
    <t>BA15</t>
  </si>
  <si>
    <t>Execução IT</t>
  </si>
  <si>
    <t>entidade</t>
  </si>
  <si>
    <t>cod_soc</t>
  </si>
  <si>
    <t>00100</t>
  </si>
  <si>
    <t>00411</t>
  </si>
  <si>
    <t>Na execução de IT não está a ser considerada a linha do MIS associada à ckarea AN02020300 que corresponde à BA16.</t>
  </si>
  <si>
    <t>CT207:</t>
  </si>
  <si>
    <t>Exemplo 1</t>
  </si>
  <si>
    <t>Exemplo 2</t>
  </si>
  <si>
    <t>responsabilidade que o devedor tem perante o banco</t>
  </si>
  <si>
    <t>imparidades referentes a essa responsabilidade</t>
  </si>
  <si>
    <t>carteira de credito</t>
  </si>
  <si>
    <t>Apenas um registo com ckmetamis like 'PI%' apresenta uma linha de ativo.</t>
  </si>
  <si>
    <t>lcl_instrmnt_id</t>
  </si>
  <si>
    <t>31000315949423020000000000000000</t>
  </si>
  <si>
    <t>15949423020</t>
  </si>
  <si>
    <t>31212303034745020000000000000000</t>
  </si>
  <si>
    <t>2123</t>
  </si>
  <si>
    <t>03034745020</t>
  </si>
  <si>
    <t>31000317579921020000000000000000</t>
  </si>
  <si>
    <t>17579921020</t>
  </si>
  <si>
    <t>31000313149729020000000000000000</t>
  </si>
  <si>
    <t>13149729020</t>
  </si>
  <si>
    <t>31000341717364020000000000000000</t>
  </si>
  <si>
    <t>41717364020</t>
  </si>
  <si>
    <t>31000322885032020000000000000000</t>
  </si>
  <si>
    <t>22885032020</t>
  </si>
  <si>
    <t>31000807710006020000000000000000</t>
  </si>
  <si>
    <t>0008</t>
  </si>
  <si>
    <t>07710006020</t>
  </si>
  <si>
    <t>31237500260919020000000000000000</t>
  </si>
  <si>
    <t>2375</t>
  </si>
  <si>
    <t>00260919020</t>
  </si>
  <si>
    <t>31000320416954020000000000000000</t>
  </si>
  <si>
    <t>20416954020</t>
  </si>
  <si>
    <t>31000343231711020000000000000000</t>
  </si>
  <si>
    <t>43231711020</t>
  </si>
  <si>
    <t>31000335108851020000000000000000</t>
  </si>
  <si>
    <t>35108851020</t>
  </si>
  <si>
    <t>31000029923682001000000000000000</t>
  </si>
  <si>
    <t>29923682001</t>
  </si>
  <si>
    <t>31000804658380020000000000000000</t>
  </si>
  <si>
    <t>04658380020</t>
  </si>
  <si>
    <t>31000806415227020000000000000000</t>
  </si>
  <si>
    <t>06415227020</t>
  </si>
  <si>
    <t>31237005108171020000000000000000</t>
  </si>
  <si>
    <t>2370</t>
  </si>
  <si>
    <t>05108171020</t>
  </si>
  <si>
    <t>31000349249519020000000000000000</t>
  </si>
  <si>
    <t>49249519020</t>
  </si>
  <si>
    <t>31220502782950020000000000000000</t>
  </si>
  <si>
    <t>2205</t>
  </si>
  <si>
    <t>02782950020</t>
  </si>
  <si>
    <t>31000321460894020000000000000000</t>
  </si>
  <si>
    <t>21460894020</t>
  </si>
  <si>
    <t>31000009245962001000000000000000</t>
  </si>
  <si>
    <t>09245962001</t>
  </si>
  <si>
    <t>31000354737192020000000000000000</t>
  </si>
  <si>
    <t>54737192020</t>
  </si>
  <si>
    <t>31000805125827020000000000000000</t>
  </si>
  <si>
    <t>05125827020</t>
  </si>
  <si>
    <t>31000327595917020000000000000000</t>
  </si>
  <si>
    <t>27595917020</t>
  </si>
  <si>
    <t>31000348132682020000000000000000</t>
  </si>
  <si>
    <t>48132682020</t>
  </si>
  <si>
    <t>31000347259171020000000000000000</t>
  </si>
  <si>
    <t>47259171020</t>
  </si>
  <si>
    <t>31000050474390020000000000000000</t>
  </si>
  <si>
    <t>50474390020</t>
  </si>
  <si>
    <t>31000054060989020000000000000000</t>
  </si>
  <si>
    <t>54060989020</t>
  </si>
  <si>
    <t>31000316042723020000000000000000</t>
  </si>
  <si>
    <t>16042723020</t>
  </si>
  <si>
    <t>31005121429920011683204900000001</t>
  </si>
  <si>
    <t>0051</t>
  </si>
  <si>
    <t>21429920011</t>
  </si>
  <si>
    <t>683204900000001</t>
  </si>
  <si>
    <t>31000051075881020000000000000000</t>
  </si>
  <si>
    <t>51075881020</t>
  </si>
  <si>
    <t>31039500200020166000000000000000</t>
  </si>
  <si>
    <t>0395</t>
  </si>
  <si>
    <t>00200020166</t>
  </si>
  <si>
    <t>31000322124291020000000000000000</t>
  </si>
  <si>
    <t>22124291020</t>
  </si>
  <si>
    <t>31000009394269001000000000000000</t>
  </si>
  <si>
    <t>09394269001</t>
  </si>
  <si>
    <t>31000007397942001000000000000000</t>
  </si>
  <si>
    <t>07397942001</t>
  </si>
  <si>
    <t>31000344461960020000000000000000</t>
  </si>
  <si>
    <t>44461960020</t>
  </si>
  <si>
    <t>31000803387072020000000000000000</t>
  </si>
  <si>
    <t>03387072020</t>
  </si>
  <si>
    <t>31000050611234001000000000000000</t>
  </si>
  <si>
    <t>50611234001</t>
  </si>
  <si>
    <t>31000345855525020000000000000000</t>
  </si>
  <si>
    <t>45855525020</t>
  </si>
  <si>
    <t>31000007352655001000000000000000</t>
  </si>
  <si>
    <t>07352655001</t>
  </si>
  <si>
    <t>31000352609161020000000000000000</t>
  </si>
  <si>
    <t>52609161020</t>
  </si>
  <si>
    <t>31000362600788020000000000000000</t>
  </si>
  <si>
    <t>62600788020</t>
  </si>
  <si>
    <t>31000322229678020000000000000000</t>
  </si>
  <si>
    <t>22229678020</t>
  </si>
  <si>
    <t>31000050525293001000000000000000</t>
  </si>
  <si>
    <t>50525293001</t>
  </si>
  <si>
    <t>31000053353161020000000000000000</t>
  </si>
  <si>
    <t>53353161020</t>
  </si>
  <si>
    <t>31000315164338020000000000000000</t>
  </si>
  <si>
    <t>15164338020</t>
  </si>
  <si>
    <t>31000343506096020000000000000000</t>
  </si>
  <si>
    <t>43506096020</t>
  </si>
  <si>
    <t>31000005277982001000000000000000</t>
  </si>
  <si>
    <t>05277982001</t>
  </si>
  <si>
    <t>31000325393893020000000000000000</t>
  </si>
  <si>
    <t>25393893020</t>
  </si>
  <si>
    <t>31000003645095001000000000000000</t>
  </si>
  <si>
    <t>03645095001</t>
  </si>
  <si>
    <t>31000332978207020000000000000000</t>
  </si>
  <si>
    <t>32978207020</t>
  </si>
  <si>
    <t>31000313882170020000000000000000</t>
  </si>
  <si>
    <t>13882170020</t>
  </si>
  <si>
    <t>31000055438184020000000000000000</t>
  </si>
  <si>
    <t>55438184020</t>
  </si>
  <si>
    <t>31000052233471020000000000000000</t>
  </si>
  <si>
    <t>52233471020</t>
  </si>
  <si>
    <t>31000364993918020000000000000000</t>
  </si>
  <si>
    <t>64993918020</t>
  </si>
  <si>
    <t>31000050816601001000000000000000</t>
  </si>
  <si>
    <t>50816601001</t>
  </si>
  <si>
    <t>31000053147845020000000000000000</t>
  </si>
  <si>
    <t>53147845020</t>
  </si>
  <si>
    <t>31000322894265020000000000000000</t>
  </si>
  <si>
    <t>22894265020</t>
  </si>
  <si>
    <t>31000310005213020000000000000000</t>
  </si>
  <si>
    <t>10005213020</t>
  </si>
  <si>
    <t>31000346331187020000000000000000</t>
  </si>
  <si>
    <t>46331187020</t>
  </si>
  <si>
    <t>31000344893758020000000000000000</t>
  </si>
  <si>
    <t>44893758020</t>
  </si>
  <si>
    <t>31000002186690001000000000000000</t>
  </si>
  <si>
    <t>02186690001</t>
  </si>
  <si>
    <t>31000346583381020000000000000000</t>
  </si>
  <si>
    <t>46583381020</t>
  </si>
  <si>
    <t>31000344350379020000000000000000</t>
  </si>
  <si>
    <t>44350379020</t>
  </si>
  <si>
    <t>31000333259029020000000000000000</t>
  </si>
  <si>
    <t>33259029020</t>
  </si>
  <si>
    <t>31000343368042020000000000000000</t>
  </si>
  <si>
    <t>43368042020</t>
  </si>
  <si>
    <t>31000324061467020000000000000000</t>
  </si>
  <si>
    <t>24061467020</t>
  </si>
  <si>
    <t>31000355539704020000000000000000</t>
  </si>
  <si>
    <t>55539704020</t>
  </si>
  <si>
    <t>31000345770682020000000000000000</t>
  </si>
  <si>
    <t>45770682020</t>
  </si>
  <si>
    <t>31000807220204020000000000000000</t>
  </si>
  <si>
    <t>07220204020</t>
  </si>
  <si>
    <t>31000807405540020000000000000000</t>
  </si>
  <si>
    <t>07405540020</t>
  </si>
  <si>
    <t>31000313531561020000000000000000</t>
  </si>
  <si>
    <t>13531561020</t>
  </si>
  <si>
    <t>31000322181390020000000000000000</t>
  </si>
  <si>
    <t>22181390020</t>
  </si>
  <si>
    <t>31000315523558020000000000000000</t>
  </si>
  <si>
    <t>15523558020</t>
  </si>
  <si>
    <t>31000339827159020000000000000000</t>
  </si>
  <si>
    <t>39827159020</t>
  </si>
  <si>
    <t>31000318431718020000000000000000</t>
  </si>
  <si>
    <t>18431718020</t>
  </si>
  <si>
    <t>analise</t>
  </si>
  <si>
    <t>NÃO EXISTE OUTRO CONTRATO ASSOCIADO</t>
  </si>
  <si>
    <t>EXSITE OUTRO CONTRATO COM CKMETAMIS ATIVO</t>
  </si>
  <si>
    <t>confirming</t>
  </si>
  <si>
    <t>fazer o min da data por chave finrep</t>
  </si>
  <si>
    <t>simulação do campo CNCLLD_INSTRMNT_STTS (considerando o minimo da dinioper por chave FINREP)</t>
  </si>
  <si>
    <t>UNIV_RENTAB_MMMAA_AUX7</t>
  </si>
  <si>
    <t>UNIV_RENTAB_MMMAA_AUX8_CARTOES</t>
  </si>
  <si>
    <t>UNIV_RENTAB_MMMAA_AUX8_RESTO</t>
  </si>
  <si>
    <t>criação da tabela final (junção da aux8_cartoes e aux8_resto)</t>
  </si>
  <si>
    <t>MAR25</t>
  </si>
  <si>
    <t>ok</t>
  </si>
  <si>
    <r>
      <t>Universo de Março</t>
    </r>
    <r>
      <rPr>
        <sz val="11"/>
        <color theme="1"/>
        <rFont val="Calibri"/>
        <family val="2"/>
        <scheme val="minor"/>
      </rPr>
      <t xml:space="preserve"> (considerou-se a LT001 da bu_loantape_work)</t>
    </r>
  </si>
  <si>
    <t>UNIV_CANCELADOS_MAR25_AUX1</t>
  </si>
  <si>
    <t>UNIV_CANCELADOS_MAR25_AUX2</t>
  </si>
  <si>
    <t>UNIV_CANCELADOS_MAR25_AUX3</t>
  </si>
  <si>
    <t>UNIV_CANCELADOS_MAR25_AUX4</t>
  </si>
  <si>
    <t>zdeposit</t>
  </si>
  <si>
    <t>c001_patrm</t>
  </si>
  <si>
    <t>c001_extrap</t>
  </si>
  <si>
    <t>c007_patrm</t>
  </si>
  <si>
    <t>c007_extrap</t>
  </si>
  <si>
    <t>c008_patrm</t>
  </si>
  <si>
    <t>c008_extrap</t>
  </si>
  <si>
    <t>c011_patrm</t>
  </si>
  <si>
    <t>c011_extrap</t>
  </si>
  <si>
    <t>c134_patrm</t>
  </si>
  <si>
    <t>c134_extrap_ca</t>
  </si>
  <si>
    <t>c134_extrap_lc</t>
  </si>
  <si>
    <t>c224_patrm</t>
  </si>
  <si>
    <t>c224_extrap_ca</t>
  </si>
  <si>
    <t>c224_extrap_lc</t>
  </si>
  <si>
    <t>c295_patrm</t>
  </si>
  <si>
    <t>c295_extrap_ca</t>
  </si>
  <si>
    <t>c295_extrap_lc</t>
  </si>
  <si>
    <t>c298_patrm</t>
  </si>
  <si>
    <t>c298_extrap</t>
  </si>
  <si>
    <t>c299_patrm</t>
  </si>
  <si>
    <t>c299_extrap</t>
  </si>
  <si>
    <t>c300_patrm</t>
  </si>
  <si>
    <t>c300_extrap</t>
  </si>
  <si>
    <t>m009_patrm</t>
  </si>
  <si>
    <t>m009_extrap_ca</t>
  </si>
  <si>
    <t>m009_serv_fact</t>
  </si>
  <si>
    <t>ac310_patrm</t>
  </si>
  <si>
    <t>ac310_extrap</t>
  </si>
  <si>
    <t>c457_patrm</t>
  </si>
  <si>
    <t>c457_extrap</t>
  </si>
  <si>
    <t>c458_patrm</t>
  </si>
  <si>
    <t>c458_extrap</t>
  </si>
  <si>
    <t>c459_patrm</t>
  </si>
  <si>
    <t>c459_extrap</t>
  </si>
  <si>
    <t>c460_patrm</t>
  </si>
  <si>
    <t>c460_extrap</t>
  </si>
  <si>
    <t>2025-01-31</t>
  </si>
  <si>
    <t>00316763001</t>
  </si>
  <si>
    <t>AI0701</t>
  </si>
  <si>
    <t>AI0705</t>
  </si>
  <si>
    <t>10860378541</t>
  </si>
  <si>
    <t>AI0326</t>
  </si>
  <si>
    <t>AN01010500</t>
  </si>
  <si>
    <t>1999-10-04</t>
  </si>
  <si>
    <t>AI0306</t>
  </si>
  <si>
    <t>13925978096</t>
  </si>
  <si>
    <t>AI0106</t>
  </si>
  <si>
    <t>2020-12-04</t>
  </si>
  <si>
    <t>02234655020</t>
  </si>
  <si>
    <t>88870030011</t>
  </si>
  <si>
    <t>AI0820</t>
  </si>
  <si>
    <t>2018-03-06</t>
  </si>
  <si>
    <t>94909640011</t>
  </si>
  <si>
    <t>2019-08-19</t>
  </si>
  <si>
    <t>OK</t>
  </si>
  <si>
    <t>UNIV_CANCELADOS_MAR25</t>
  </si>
  <si>
    <t>universo de PM</t>
  </si>
  <si>
    <t>junção da tabela de cancelados de jan, fev e mar e seleção do contato com min_ref_date; transformação do zdeposit de cartões em 15 zeros</t>
  </si>
  <si>
    <t>Contrato para o qual não foi possível atribuir chave MIS: 31000315391484096000000000000000 (a chave master associada não existe no tradutor do MIS para 31-03-2025)</t>
  </si>
  <si>
    <t>1. Validação tabela auxiliar rentabilidade jan25</t>
  </si>
  <si>
    <t>2. Validação construção business area</t>
  </si>
  <si>
    <t>max_ref_date</t>
  </si>
  <si>
    <t>00000000000</t>
  </si>
  <si>
    <t>962304820458100</t>
  </si>
  <si>
    <t>2025-03-31</t>
  </si>
  <si>
    <t>00001006353</t>
  </si>
  <si>
    <t>000430000325514</t>
  </si>
  <si>
    <t>00372298001</t>
  </si>
  <si>
    <t>00638730001</t>
  </si>
  <si>
    <t>20180912425</t>
  </si>
  <si>
    <t>001520240647031</t>
  </si>
  <si>
    <t>AN02020200</t>
  </si>
  <si>
    <t>00062411007</t>
  </si>
  <si>
    <t>WITH AA AS (
SELECT *
FROM
    (
    SELECT
        *,
        -- COUNT(*) OVER (PARTITION BY CEMPCTA, CKBALCAO, CKNUMCTA, ZDEPOSIT) AS COUNT_CONTR,
        -- COUNT(*) OVER (PARTITION BY CEMPCTA, CKBALCAO, CKNUMCTA, ZDEPOSIT, CKAREA) AS COUNT_CONTR_AREA,
        MAX(REF_DATE) OVER (PARTITION BY CEMPCTA, CKBALCAO, CKNUMCTA, ZDEPOSIT) AS MAX_REF_DATE
    FROM 
        (
        SELECT DISTINCT CEMPCTA, CKBALCAO, CKNUMCTA, ZDEPOSIT, CKAREA, REF_DATE
        FROM BU_CAPTOOLS_WORK.UNIV_RENTAB_MAR25
        UNION ALL
        SELECT DISTINCT CEMPCTA, CKBALCAO, CKNUMCTA, ZDEPOSIT, CKAREA, REF_DATE
        FROM BU_CAPTOOLS_WORK.UNIV_RENTAB_FEV25
        UNION ALL
        SELECT DISTINCT CEMPCTA, CKBALCAO, CKNUMCTA, ZDEPOSIT, CKAREA, REF_DATE
        FROM BU_CAPTOOLS_WORK.UNIV_RENTAB_JAN25
        ) X
    WHERE CONCAT(CEMPCTA, CKBALCAO, CKNUMCTA, ZDEPOSIT) = '31000300062411007000000000000000'
    ) Y
WHERE REF_DATE = MAX_REF_DATE
)
SELECT *
FROM AA 
WHERE CONCAT(CEMPCTA, CKBALCAO, CKNUMCTA, ZDEPOSIT) IN ('31000000000000000962304820458100',
'31000000001006353000430000325514',
'31000000372298001000000000000000',
'31000000638730001000000000000000',
'31000020180912425001520240647031',
'31000300062411007000000000000000'
)
-- WHERE COUNT_CONTR&lt;&gt;COUNT_CONTR_AREA
-- AND TRIM(CKBALCAO)&lt;&gt;''
-- AND MAX_REF_DATE = '2025-01-31'
-- WHERE REF_DATE &lt;&gt; MAX_REF_DATE
-- WHERE CONCAT(CEMPCTA, CKBALCAO, CKNUMCTA, ZDEPOSIT) = ''
-- WHERE ZDEPOSIT = '000007401498169'
-- ZDEPOSIT = '000007401498169'
-- 31000000000000000962304820458100
-- 31000000001006353000430000325514
-- 31000000372298001000000000000000
-- 31000000638730001000000000000000
-- 31000020180912425001520240647031
-- 31000300062411007000000000000000</t>
  </si>
  <si>
    <t/>
  </si>
  <si>
    <t>No momento de atribuição da ckarea é necessário cruzar com o universo de rentabilidade jan, fev e mar uma vez que há contratos cancelados que existem jan e não em fev</t>
  </si>
  <si>
    <t>Total</t>
  </si>
  <si>
    <t>c/ nova ct831</t>
  </si>
  <si>
    <t>c/ ct831 antes atualização</t>
  </si>
  <si>
    <t>-</t>
  </si>
  <si>
    <t>Descritivo ckmetamis</t>
  </si>
  <si>
    <t>UNIV_LT_GD_PARTE3_AUX5</t>
  </si>
  <si>
    <t>simulação do campo MNGMNT_PRDCT</t>
  </si>
  <si>
    <t>Y</t>
  </si>
  <si>
    <t>00040242021</t>
  </si>
  <si>
    <t>31000000040242021000000000000000</t>
  </si>
  <si>
    <t>00037257001</t>
  </si>
  <si>
    <t>31000000037257001000000000000000</t>
  </si>
  <si>
    <t>00029092001</t>
  </si>
  <si>
    <t>31000000029092001000000000000000</t>
  </si>
  <si>
    <t>00026816001</t>
  </si>
  <si>
    <t>31000000026816001000000000000000</t>
  </si>
  <si>
    <t>00021520001</t>
  </si>
  <si>
    <t>31000000021520001000000000000000</t>
  </si>
  <si>
    <t>962304820457660</t>
  </si>
  <si>
    <t xml:space="preserve">           </t>
  </si>
  <si>
    <t xml:space="preserve">    </t>
  </si>
  <si>
    <t>31000000000000000962304820457660</t>
  </si>
  <si>
    <t>962304820456520</t>
  </si>
  <si>
    <t>31000000000000000962304820456520</t>
  </si>
  <si>
    <t>AN01020200</t>
  </si>
  <si>
    <t>962304820455990</t>
  </si>
  <si>
    <t>31000000000000000962304820455990</t>
  </si>
  <si>
    <t>962304820455770</t>
  </si>
  <si>
    <t>31000000000000000962304820455770</t>
  </si>
  <si>
    <t>962304820455170</t>
  </si>
  <si>
    <t>31000000000000000962304820455170</t>
  </si>
  <si>
    <t>962304820384350</t>
  </si>
  <si>
    <t>31000000000000000962304820384350</t>
  </si>
  <si>
    <t>962304820384340</t>
  </si>
  <si>
    <t>31000000000000000962304820384340</t>
  </si>
  <si>
    <t>962304820345360</t>
  </si>
  <si>
    <t>31000000000000000962304820345360</t>
  </si>
  <si>
    <t>962304820217680</t>
  </si>
  <si>
    <t>31000000000000000962304820217680</t>
  </si>
  <si>
    <t>862304880160930</t>
  </si>
  <si>
    <t>31000000000000000862304880160930</t>
  </si>
  <si>
    <t>validação</t>
  </si>
  <si>
    <t>nw_bnss_final</t>
  </si>
  <si>
    <t>Critério 4</t>
  </si>
  <si>
    <t>Critério 3</t>
  </si>
  <si>
    <t>Critério 2</t>
  </si>
  <si>
    <t>Critério 1</t>
  </si>
  <si>
    <t>nw_bsnss_aux</t>
  </si>
  <si>
    <t>c134_mar</t>
  </si>
  <si>
    <t>c011_mar</t>
  </si>
  <si>
    <t>c008_mar</t>
  </si>
  <si>
    <t>c001_mar</t>
  </si>
  <si>
    <t>c134_fev</t>
  </si>
  <si>
    <t>c011_fev</t>
  </si>
  <si>
    <t>c008_fev</t>
  </si>
  <si>
    <t>c001_fev</t>
  </si>
  <si>
    <t>c134_jan</t>
  </si>
  <si>
    <t>c011_jan</t>
  </si>
  <si>
    <t>c008_jan</t>
  </si>
  <si>
    <t>c001_jan</t>
  </si>
  <si>
    <t>c134_dez</t>
  </si>
  <si>
    <t>c011_dez</t>
  </si>
  <si>
    <t>c008_dez</t>
  </si>
  <si>
    <t>c001_dez</t>
  </si>
  <si>
    <t>lcl_instmrnt_id</t>
  </si>
  <si>
    <t>1. Validação NW_BSNSS</t>
  </si>
  <si>
    <t>1. Validação MNGMNT_PRDCT</t>
  </si>
  <si>
    <t>mngmnt_prdct</t>
  </si>
  <si>
    <t>31000000000000000162304820065640</t>
  </si>
  <si>
    <t>162304820065640</t>
  </si>
  <si>
    <t>PRDCT010103</t>
  </si>
  <si>
    <t>31000000000000000162304840055950</t>
  </si>
  <si>
    <t>162304840055950</t>
  </si>
  <si>
    <t>31000000000000000162304840736290</t>
  </si>
  <si>
    <t>162304840736290</t>
  </si>
  <si>
    <t>82000020240000766001520240654706</t>
  </si>
  <si>
    <t>SNCO0000000082000020240000766001520240654706BA17</t>
  </si>
  <si>
    <t>20240000766</t>
  </si>
  <si>
    <t>001520240650791</t>
  </si>
  <si>
    <t>BA17</t>
  </si>
  <si>
    <t>PRDCT01010207</t>
  </si>
  <si>
    <t>001520240650811</t>
  </si>
  <si>
    <t>31000000000000000962304840091310</t>
  </si>
  <si>
    <t>962304840091310</t>
  </si>
  <si>
    <t>AN02030300</t>
  </si>
  <si>
    <t>BA10</t>
  </si>
  <si>
    <t>PRDCT01010201</t>
  </si>
  <si>
    <t>31000312095229096000000000000000</t>
  </si>
  <si>
    <t>12095229096</t>
  </si>
  <si>
    <t>31641600005800040PTMNTDOM0003000</t>
  </si>
  <si>
    <t>00005800040</t>
  </si>
  <si>
    <t>PTMNTDOM0003000</t>
  </si>
  <si>
    <t>PRDCT0103</t>
  </si>
  <si>
    <t>31641600005800040PTVS1FOM0000000</t>
  </si>
  <si>
    <t>PTVS1FOM0000000</t>
  </si>
  <si>
    <t>UNIV_LT_GD_PARTE3_AUX6</t>
  </si>
  <si>
    <t>Temos 45 333 para os quais não conseguimos associar info pois a LT002 não se encontra gerada para essas datas</t>
  </si>
  <si>
    <t>UNIV_LT_GD_PARTE3_AUX8</t>
  </si>
  <si>
    <t>atribuição da BSNSS_AREA as registos que não apresnetam ckarea</t>
  </si>
  <si>
    <t>Ficamos com mais 2 registos do que na AUX1, pois existem 2 contratos cada um com 3 chaves MIS, para os quais, 1 delas não tem ckarea, e as outras duas têm ckareas diferentes. Por isso, quando atribuimos a bsnss_area à linha que não apresenta ckarea, esta vai desdobrar pelas duas bsnss_areas. No entanto quando se agregar por isntrmnt_id e bsnss_area não será problema.</t>
  </si>
  <si>
    <t>UNIV_LT_GD_PARTE3_AUX7</t>
  </si>
  <si>
    <t>UNIV_LT_GD_PARTE3_AUX9</t>
  </si>
  <si>
    <t>UNIV_LT_GD_PARTE3_AUX10</t>
  </si>
  <si>
    <t>UNIV_LT_GD_PARTE3_AUX11</t>
  </si>
  <si>
    <t>UNIV_LT_GD_PARTE3_AUX12</t>
  </si>
  <si>
    <t>UNIV_LT_GD_PARTE3_AUX13</t>
  </si>
  <si>
    <t>simulação dos campos com valor pré-definido (campos com sufixo _CCRR, FLG_INTRBSNSS, INTRBSNSS_ADJ_COD, COD_SOC_DSTNTN, BSNSS_AREA_DSTNTN, INTRNL_TRNSFR_RT_OFF_BLNC, RWA_OFF_BLNC)</t>
  </si>
  <si>
    <t>simulação dos campos CCF, EAD, IMPRMNT_STTS, PRFRMNG_STTS, GRSS_CRRYNG_AMNT_INSTRMNT, ACCMLTD_CHNGS_FV_CR_INSTRMNT, OFF_BLNC_SHT_AMNT_INSTRMNT, PRVSNS_OFF_BLNC_SHT, RWA ACCMLTD_IMPRMNT_INSTRMNT</t>
  </si>
  <si>
    <t>simulação dos campos provenientes da rentabilidade (saldos, juros e comissões)</t>
  </si>
  <si>
    <t>criação da tabela final sem a chave MIS</t>
  </si>
  <si>
    <t>validação: não existem duplicados</t>
  </si>
  <si>
    <t>simulação dos campos TYP_OFF_BLNC_PRDCT, SUBPORTFOLIO_ID, DFLT_STTS_INSTRMNT, TYP_INSTRMNT, ACCNTNG_CLSSFCTN, COD_SOC_INTRGRP, IDCMB</t>
  </si>
  <si>
    <t>Nota: com a junção do IDCMB não foram gerados duplicados</t>
  </si>
  <si>
    <t>Todo o universo comum com PM encontra-se classificado com 'N' enquanto que os contratos efetivamente cancelados estão classificados com 'M' ou 'C'.</t>
  </si>
  <si>
    <t>Provavelmente temos de voltar a correr para considerar a FR001 com as condições da LT801</t>
  </si>
  <si>
    <t>Corrida dia 14/jul</t>
  </si>
  <si>
    <t>Corrida última semana maio</t>
  </si>
  <si>
    <t>agregação dos valores por chave MIS + ckarea + ckmetamis de forma a garantir que não temos duplicação dos valores por contrato</t>
  </si>
  <si>
    <t>universo de contratos para ambito = 'PM'</t>
  </si>
  <si>
    <t>junção do universo da parte 1 (univ pm) e parte 2 (univ cancelados com chave mis associada), dando prioridade ao que vem de PM</t>
  </si>
  <si>
    <r>
      <t>Da atribuição da chave MIS ao universo comum com PM, existem 770</t>
    </r>
    <r>
      <rPr>
        <u/>
        <sz val="11"/>
        <color theme="1"/>
        <rFont val="Calibri"/>
        <family val="2"/>
        <scheme val="minor"/>
      </rPr>
      <t xml:space="preserve"> registos para os quais não foi possível associar uma chave MIS à chave FINREP</t>
    </r>
    <r>
      <rPr>
        <sz val="11"/>
        <color theme="1"/>
        <rFont val="Calibri"/>
        <family val="2"/>
        <scheme val="minor"/>
      </rPr>
      <t xml:space="preserve">. </t>
    </r>
  </si>
  <si>
    <t>Destes registos, 769 dizem respeito a ajustes.</t>
  </si>
  <si>
    <t>ABR25</t>
  </si>
  <si>
    <t>MAI25</t>
  </si>
  <si>
    <t>JUN25</t>
  </si>
  <si>
    <r>
      <t>Universo de Abril</t>
    </r>
    <r>
      <rPr>
        <sz val="11"/>
        <color theme="1"/>
        <rFont val="Calibri"/>
        <family val="2"/>
        <scheme val="minor"/>
      </rPr>
      <t xml:space="preserve"> (considerou-se a LT001 da bu_loantape_work)</t>
    </r>
  </si>
  <si>
    <t>UNIV_CANCELADOS_ABR25_AUX1</t>
  </si>
  <si>
    <t>UNIV_CANCELADOS_ABR25_AUX2</t>
  </si>
  <si>
    <t>UNIV_CANCELADOS_ABR25_AUX3</t>
  </si>
  <si>
    <t>UNIV_CANCELADOS_ABR25_AUX4</t>
  </si>
  <si>
    <t>UNIV_CANCELADOS_ABR25</t>
  </si>
  <si>
    <r>
      <t xml:space="preserve">Universo de Maio </t>
    </r>
    <r>
      <rPr>
        <sz val="11"/>
        <color theme="1"/>
        <rFont val="Calibri"/>
        <family val="2"/>
        <scheme val="minor"/>
      </rPr>
      <t xml:space="preserve"> (considerou-se a LT001 da bu_loantape_work)</t>
    </r>
  </si>
  <si>
    <t>UNIV_CANCELADOS_MAI25_AUX1</t>
  </si>
  <si>
    <t>UNIV_CANCELADOS_MAI25_AUX2</t>
  </si>
  <si>
    <t>UNIV_CANCELADOS_MAI25_AUX3</t>
  </si>
  <si>
    <t>UNIV_CANCELADOS_MAI25_AUX4</t>
  </si>
  <si>
    <t>UNIV_CANCELADOS_MAI25</t>
  </si>
  <si>
    <r>
      <t xml:space="preserve">Universo de Junho </t>
    </r>
    <r>
      <rPr>
        <sz val="11"/>
        <color theme="1"/>
        <rFont val="Calibri"/>
        <family val="2"/>
        <scheme val="minor"/>
      </rPr>
      <t xml:space="preserve"> (considerou-se a LT001 da bu_loantape_work)</t>
    </r>
  </si>
  <si>
    <t>UNIV_CANCELADOS_JUN25_AUX1</t>
  </si>
  <si>
    <t>UNIV_CANCELADOS_JUN25_AUX2</t>
  </si>
  <si>
    <t>UNIV_CANCELADOS_JUN25_AUX3</t>
  </si>
  <si>
    <t>UNIV_CANCELADOS_JUN25_AUX4</t>
  </si>
  <si>
    <t>UNIV_CANCELADOS_JUN25</t>
  </si>
  <si>
    <t>Corrida dia 16/jul</t>
  </si>
  <si>
    <t>UNIV_LT_GD_PARTE2_1</t>
  </si>
  <si>
    <t>COM O SUFIXO _V2 NO HUE</t>
  </si>
  <si>
    <t>Identificação da última vez que apareceu na FR001.</t>
  </si>
  <si>
    <t>Cruzamento com a FR001 que inclui uma coluna a indicar se o contrato em chave FINREP respeita ou não as regras da LT801 para a última data em que o contrato se encontrou ativo.</t>
  </si>
  <si>
    <t>Maio</t>
  </si>
  <si>
    <t>Corrida dia 21/jul</t>
  </si>
  <si>
    <t>com o sufixo v2</t>
  </si>
  <si>
    <t>Excluido o campo ckarea a partir deste momento</t>
  </si>
  <si>
    <t>Corrida dia 22/jul</t>
  </si>
  <si>
    <t>Corrida dia 23/jul</t>
  </si>
  <si>
    <t>com o sufixo _jun</t>
  </si>
  <si>
    <t>COM O SUFIXO _JUN</t>
  </si>
  <si>
    <t>UNIV_LT_GD_PARTE2_2</t>
  </si>
  <si>
    <t>UNIV_LT_GD_PARTE2</t>
  </si>
  <si>
    <t>FR001</t>
  </si>
  <si>
    <t>JAN a MAI</t>
  </si>
  <si>
    <t>JUN</t>
  </si>
  <si>
    <t>FR005</t>
  </si>
  <si>
    <t>CT828</t>
  </si>
  <si>
    <t>Nome_Perimetro</t>
  </si>
  <si>
    <t>Individual Corporativo</t>
  </si>
  <si>
    <t>Individual IDComb</t>
  </si>
  <si>
    <t>FR802</t>
  </si>
  <si>
    <t>UNIV_FR001_CONDICOES_801</t>
  </si>
  <si>
    <t>UNIV_FR001_CONDICOES_801_AUX1</t>
  </si>
  <si>
    <t>Junção dos 2 universos</t>
  </si>
  <si>
    <t>JAN A JUN</t>
  </si>
  <si>
    <t>criação das tabelas a 18/ago</t>
  </si>
  <si>
    <t>Corrida dia 18/Agp</t>
  </si>
  <si>
    <t>com o sufixo _jun_v2</t>
  </si>
  <si>
    <t>COM O SUFIXO _JUN_V2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</si>
</sst>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Calibri"/>
      <family val="2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quotePrefix="1"/>
    <xf numFmtId="0" fontId="2" fillId="0" borderId="0" xfId="0" applyFont="1"/>
    <xf numFmtId="3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 indent="1"/>
    </xf>
    <xf numFmtId="3" fontId="3" fillId="0" borderId="0" xfId="0" applyNumberFormat="1" applyFont="1"/>
    <xf numFmtId="3" fontId="3" fillId="0" borderId="0" xfId="0" applyNumberFormat="1" applyFont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17" fontId="4" fillId="2" borderId="1" xfId="0" quotePrefix="1" applyNumberFormat="1" applyFont="1" applyFill="1" applyBorder="1" applyAlignment="1">
      <alignment horizontal="center" vertical="center"/>
    </xf>
    <xf numFmtId="0" fontId="4" fillId="2" borderId="1" xfId="0" quotePrefix="1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0" fontId="0" fillId="3" borderId="1" xfId="0" applyFill="1" applyBorder="1"/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horizontal="left" vertical="center" wrapText="1" indent="1"/>
    </xf>
    <xf numFmtId="0" fontId="1" fillId="0" borderId="0" xfId="0" applyFont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6" fillId="0" borderId="1" xfId="0" applyFont="1" applyBorder="1" applyAlignment="1">
      <alignment horizontal="right" vertical="center" indent="1"/>
    </xf>
    <xf numFmtId="0" fontId="6" fillId="0" borderId="1" xfId="0" applyFont="1" applyBorder="1" applyAlignment="1">
      <alignment horizontal="left" vertical="center" wrapText="1"/>
    </xf>
    <xf numFmtId="0" fontId="1" fillId="4" borderId="5" xfId="0" applyFont="1" applyFill="1" applyBorder="1"/>
    <xf numFmtId="0" fontId="4" fillId="6" borderId="1" xfId="0" applyFont="1" applyFill="1" applyBorder="1" applyAlignment="1">
      <alignment horizontal="center" vertical="center"/>
    </xf>
    <xf numFmtId="0" fontId="0" fillId="0" borderId="1" xfId="0" quotePrefix="1" applyBorder="1"/>
    <xf numFmtId="0" fontId="8" fillId="0" borderId="0" xfId="0" quotePrefix="1" applyFont="1"/>
    <xf numFmtId="0" fontId="6" fillId="0" borderId="0" xfId="0" applyFont="1"/>
    <xf numFmtId="0" fontId="4" fillId="2" borderId="6" xfId="0" applyFont="1" applyFill="1" applyBorder="1" applyAlignment="1">
      <alignment horizontal="center" vertical="center"/>
    </xf>
    <xf numFmtId="0" fontId="0" fillId="0" borderId="6" xfId="0" applyBorder="1"/>
    <xf numFmtId="0" fontId="0" fillId="7" borderId="6" xfId="0" applyFill="1" applyBorder="1"/>
    <xf numFmtId="0" fontId="0" fillId="8" borderId="6" xfId="0" applyFill="1" applyBorder="1"/>
    <xf numFmtId="0" fontId="0" fillId="9" borderId="6" xfId="0" applyFill="1" applyBorder="1"/>
    <xf numFmtId="0" fontId="1" fillId="5" borderId="1" xfId="0" applyFont="1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1" fillId="4" borderId="5" xfId="0" applyFont="1" applyFill="1" applyBorder="1" applyAlignment="1">
      <alignment horizontal="center" vertical="center"/>
    </xf>
    <xf numFmtId="0" fontId="0" fillId="10" borderId="0" xfId="0" applyFill="1"/>
    <xf numFmtId="0" fontId="1" fillId="11" borderId="0" xfId="0" applyFont="1" applyFill="1"/>
    <xf numFmtId="0" fontId="0" fillId="0" borderId="7" xfId="0" applyBorder="1"/>
    <xf numFmtId="0" fontId="0" fillId="10" borderId="1" xfId="0" applyFill="1" applyBorder="1" applyAlignment="1">
      <alignment vertical="center"/>
    </xf>
    <xf numFmtId="0" fontId="0" fillId="12" borderId="1" xfId="0" applyFill="1" applyBorder="1" applyAlignment="1">
      <alignment vertical="center"/>
    </xf>
    <xf numFmtId="3" fontId="3" fillId="0" borderId="1" xfId="0" applyNumberFormat="1" applyFont="1" applyBorder="1" applyAlignment="1">
      <alignment vertical="center"/>
    </xf>
    <xf numFmtId="4" fontId="0" fillId="12" borderId="0" xfId="0" applyNumberFormat="1" applyFill="1"/>
    <xf numFmtId="0" fontId="0" fillId="12" borderId="0" xfId="0" applyFill="1"/>
    <xf numFmtId="0" fontId="0" fillId="0" borderId="0" xfId="0" applyAlignment="1">
      <alignment horizontal="left" vertical="center" indent="1"/>
    </xf>
    <xf numFmtId="0" fontId="4" fillId="2" borderId="1" xfId="0" applyFont="1" applyFill="1" applyBorder="1"/>
    <xf numFmtId="4" fontId="0" fillId="0" borderId="1" xfId="0" applyNumberFormat="1" applyBorder="1"/>
    <xf numFmtId="0" fontId="1" fillId="3" borderId="1" xfId="0" applyFont="1" applyFill="1" applyBorder="1"/>
    <xf numFmtId="0" fontId="1" fillId="5" borderId="7" xfId="0" applyFont="1" applyFill="1" applyBorder="1"/>
    <xf numFmtId="3" fontId="1" fillId="3" borderId="1" xfId="0" applyNumberFormat="1" applyFont="1" applyFill="1" applyBorder="1"/>
    <xf numFmtId="0" fontId="9" fillId="11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/>
    <xf numFmtId="4" fontId="3" fillId="0" borderId="1" xfId="0" applyNumberFormat="1" applyFont="1" applyBorder="1"/>
    <xf numFmtId="0" fontId="3" fillId="0" borderId="1" xfId="0" applyFont="1" applyBorder="1" applyAlignment="1">
      <alignment horizontal="center" vertical="center"/>
    </xf>
    <xf numFmtId="4" fontId="0" fillId="12" borderId="1" xfId="0" applyNumberFormat="1" applyFill="1" applyBorder="1"/>
    <xf numFmtId="4" fontId="3" fillId="12" borderId="1" xfId="0" applyNumberFormat="1" applyFont="1" applyFill="1" applyBorder="1"/>
    <xf numFmtId="3" fontId="0" fillId="0" borderId="0" xfId="0" applyNumberFormat="1" applyAlignment="1">
      <alignment vertical="center"/>
    </xf>
    <xf numFmtId="0" fontId="0" fillId="11" borderId="0" xfId="0" applyFill="1" applyAlignment="1">
      <alignment vertical="center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6" fontId="1" fillId="6" borderId="1" xfId="0" applyNumberFormat="1" applyFont="1" applyFill="1" applyBorder="1" applyAlignment="1">
      <alignment horizontal="center" vertical="center"/>
    </xf>
    <xf numFmtId="16" fontId="9" fillId="6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5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 indent="1"/>
    </xf>
    <xf numFmtId="3" fontId="0" fillId="0" borderId="0" xfId="0" applyNumberFormat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rgb="FFFFDDDD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DDDD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DDDD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DDDD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DDDD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15241</xdr:colOff>
      <xdr:row>24</xdr:row>
      <xdr:rowOff>35769</xdr:rowOff>
    </xdr:from>
    <xdr:to>
      <xdr:col>19</xdr:col>
      <xdr:colOff>721772</xdr:colOff>
      <xdr:row>30</xdr:row>
      <xdr:rowOff>158044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387355-65EF-558A-A9FC-FA02550A5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94974" y="3845769"/>
          <a:ext cx="10917331" cy="1239875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40</xdr:row>
      <xdr:rowOff>106680</xdr:rowOff>
    </xdr:from>
    <xdr:to>
      <xdr:col>13</xdr:col>
      <xdr:colOff>342900</xdr:colOff>
      <xdr:row>43</xdr:row>
      <xdr:rowOff>7620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219701F-7011-3332-A034-63EFA37F6A68}"/>
            </a:ext>
          </a:extLst>
        </xdr:cNvPr>
        <xdr:cNvSpPr txBox="1"/>
      </xdr:nvSpPr>
      <xdr:spPr>
        <a:xfrm>
          <a:off x="259080" y="6111240"/>
          <a:ext cx="2903220" cy="3505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100"/>
            <a:t>Para este caso, IT não</a:t>
          </a:r>
          <a:r>
            <a:rPr lang="pt-PT" sz="1100" baseline="0"/>
            <a:t> está a atribuir a BA4.</a:t>
          </a:r>
          <a:endParaRPr lang="pt-P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144780</xdr:rowOff>
    </xdr:from>
    <xdr:to>
      <xdr:col>5</xdr:col>
      <xdr:colOff>1700255</xdr:colOff>
      <xdr:row>31</xdr:row>
      <xdr:rowOff>129650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BDE36C-9487-E523-31F5-2D1DB65C3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660" y="4168140"/>
          <a:ext cx="11484335" cy="126503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na Filipa Silva Carreira" id="{4D04E67C-1C93-4165-BDD4-F871E1F515A8}" userId="S::E801803@corp.santander.pt::8b9d2cd8-bf8b-4ed8-b68f-b8ba1ba995c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11" dT="2025-07-21T13:59:50.19" personId="{4D04E67C-1C93-4165-BDD4-F871E1F515A8}" id="{49490794-27D2-48E6-99CA-C432EC91E3C5}">
    <text>Última semana de maio</text>
  </threadedComment>
  <threadedComment ref="D119" dT="2025-07-21T13:59:50.19" personId="{4D04E67C-1C93-4165-BDD4-F871E1F515A8}" id="{61FDD1EF-2A16-4CAB-983C-2FFD6A0A4E21}">
    <text>Última semana de maio</text>
  </threadedComment>
  <threadedComment ref="D133" dT="2025-07-21T13:59:50.19" personId="{4D04E67C-1C93-4165-BDD4-F871E1F515A8}" id="{61F8B9CD-D1B5-411A-919B-CF7FE5404617}">
    <text>Última semana de maio</text>
  </threadedComment>
  <threadedComment ref="L137" dT="2025-06-27T11:04:43.48" personId="{4D04E67C-1C93-4165-BDD4-F871E1F515A8}" id="{6CA6E472-344C-4714-BE4B-769AC8008C7D}">
    <text>-- IDENTIFICAÇÃO DOS DUPLICADOS
SELECT *
FROM (
SELECT
    *,
    COUNT(*) OVER (PARTITION BY instrmnt_id) AS COUNT_CONTR,
    COUNT(*) OVER (PARTITION BY instrmnt_id, BSNSS_AREA_AUX) AS COUNT_CONTR_BA_AUX,
    COUNT(*) OVER (PARTITION BY instrmnt_id, BSNSS_AREA) AS COUNT_CONTR_BA
FROM (SELECT INSTRMNT_ID, BSNSS_AREA_AUX, BSNSS_AREA FROM BU_CAPTOOLS_WORK.UNIV_LT_GD_PARTE3_AUX2) X
) Y
WHERE COUNT_CONTR&gt;1
AND COUNT_CONTR_BA &lt;&gt; 2*COUNT_CONTR_BA_AUX
AND COUNT_CONTR&lt;&gt;COUNT_CONTR_BA
AND BSNSS_AREA_AUX = 'MISS'
ORDER BY INSTRMNT_ID</text>
  </threadedComment>
  <threadedComment ref="L137" dT="2025-06-27T11:05:01.41" personId="{4D04E67C-1C93-4165-BDD4-F871E1F515A8}" id="{5CCC8216-FEB7-4D59-B661-4EDDF39C19FE}" parentId="{6CA6E472-344C-4714-BE4B-769AC8008C7D}">
    <text>Duplicados:  INSTRMNT_ID IN ('82000020130004509001520250105200', '82000020240000262001520250140870')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5" dT="2025-05-28T10:25:12.08" personId="{4D04E67C-1C93-4165-BDD4-F871E1F515A8}" id="{2F494413-0AA8-43EF-A8BE-563CC6BE2FAE}">
    <text>Para fev/25</text>
  </threadedComment>
  <threadedComment ref="E5" dT="2025-05-28T10:25:20.30" personId="{4D04E67C-1C93-4165-BDD4-F871E1F515A8}" id="{CBB83D55-6283-4510-8B6C-8C1B42E238DD}">
    <text>Para mar/25</text>
  </threadedComment>
  <threadedComment ref="D17" dT="2025-05-28T10:25:12.08" personId="{4D04E67C-1C93-4165-BDD4-F871E1F515A8}" id="{5F71261C-AE56-44C7-8ED5-A6B86BA068F9}">
    <text>Para fev/25</text>
  </threadedComment>
  <threadedComment ref="E17" dT="2025-05-28T10:25:20.30" personId="{4D04E67C-1C93-4165-BDD4-F871E1F515A8}" id="{06F7F947-5147-40BF-B02C-8B33BE91B1E1}">
    <text>Para mar/25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V153"/>
  <sheetViews>
    <sheetView showGridLines="0" tabSelected="1" topLeftCell="A104" zoomScale="80" zoomScaleNormal="80" workbookViewId="0">
      <selection activeCell="I113" sqref="I113"/>
    </sheetView>
  </sheetViews>
  <sheetFormatPr defaultRowHeight="14.4" x14ac:dyDescent="0.3"/>
  <cols>
    <col min="1" max="1" width="3.77734375" customWidth="1"/>
    <col min="2" max="2" width="38.21875" customWidth="1"/>
    <col min="3" max="3" width="54.21875" customWidth="1"/>
    <col min="4" max="14" width="13.33203125" customWidth="1"/>
    <col min="15" max="15" width="12.88671875" bestFit="1" customWidth="1"/>
    <col min="16" max="22" width="12.88671875" customWidth="1"/>
  </cols>
  <sheetData>
    <row r="2" spans="2:22" x14ac:dyDescent="0.3">
      <c r="B2" s="20" t="s">
        <v>63</v>
      </c>
      <c r="C2" s="19"/>
      <c r="D2" s="19"/>
      <c r="E2" s="19"/>
      <c r="F2" s="19"/>
      <c r="G2" s="19"/>
      <c r="H2" s="19"/>
      <c r="I2" s="19"/>
      <c r="J2" s="19"/>
      <c r="K2" s="19"/>
      <c r="L2" s="19"/>
    </row>
    <row r="4" spans="2:22" x14ac:dyDescent="0.3">
      <c r="B4" s="79" t="s">
        <v>64</v>
      </c>
      <c r="C4" s="79"/>
      <c r="D4" s="79"/>
      <c r="E4" s="79"/>
      <c r="F4" s="79"/>
      <c r="G4" s="79"/>
      <c r="H4" s="79"/>
      <c r="I4" s="79"/>
      <c r="J4" s="79"/>
      <c r="K4" s="79"/>
    </row>
    <row r="5" spans="2:22" x14ac:dyDescent="0.3">
      <c r="B5" s="1"/>
      <c r="J5" s="3"/>
    </row>
    <row r="6" spans="2:22" ht="25.05" customHeight="1" x14ac:dyDescent="0.3">
      <c r="B6" s="88" t="s">
        <v>65</v>
      </c>
      <c r="C6" s="88"/>
      <c r="D6" s="88"/>
      <c r="E6" s="88"/>
      <c r="F6" s="88"/>
      <c r="G6" s="88"/>
      <c r="J6" s="3"/>
    </row>
    <row r="7" spans="2:22" ht="25.05" customHeight="1" x14ac:dyDescent="0.3">
      <c r="B7" s="88"/>
      <c r="C7" s="88"/>
      <c r="D7" s="88"/>
      <c r="E7" s="88"/>
      <c r="F7" s="88"/>
      <c r="G7" s="88"/>
      <c r="J7" s="3"/>
    </row>
    <row r="8" spans="2:22" ht="25.05" customHeight="1" x14ac:dyDescent="0.3">
      <c r="B8" s="88"/>
      <c r="C8" s="88"/>
      <c r="D8" s="88"/>
      <c r="E8" s="88"/>
      <c r="F8" s="88"/>
      <c r="G8" s="88"/>
      <c r="J8" s="3"/>
    </row>
    <row r="9" spans="2:22" ht="25.05" customHeight="1" x14ac:dyDescent="0.3">
      <c r="B9" s="88"/>
      <c r="C9" s="88"/>
      <c r="D9" s="88"/>
      <c r="E9" s="88"/>
      <c r="F9" s="88"/>
      <c r="G9" s="88"/>
      <c r="J9" s="3"/>
    </row>
    <row r="10" spans="2:22" x14ac:dyDescent="0.3">
      <c r="B10" s="65"/>
      <c r="C10" s="65"/>
      <c r="D10" s="65"/>
      <c r="E10" s="65"/>
      <c r="F10" s="65"/>
      <c r="G10" s="65"/>
      <c r="J10" s="3"/>
    </row>
    <row r="11" spans="2:22" x14ac:dyDescent="0.3">
      <c r="B11" s="1"/>
      <c r="D11" s="78" t="s">
        <v>640</v>
      </c>
      <c r="E11" s="78"/>
      <c r="F11" s="78"/>
      <c r="G11" s="78"/>
      <c r="H11" s="75" t="s">
        <v>639</v>
      </c>
      <c r="I11" s="76"/>
      <c r="J11" s="76"/>
      <c r="K11" s="76"/>
      <c r="L11" s="76"/>
      <c r="M11" s="76"/>
      <c r="N11" s="77"/>
      <c r="O11" s="69">
        <v>45860</v>
      </c>
      <c r="P11" s="75" t="s">
        <v>677</v>
      </c>
      <c r="Q11" s="76"/>
      <c r="R11" s="76"/>
      <c r="S11" s="76"/>
      <c r="T11" s="76"/>
      <c r="U11" s="76"/>
      <c r="V11" s="77"/>
    </row>
    <row r="12" spans="2:22" ht="15" customHeight="1" x14ac:dyDescent="0.3">
      <c r="B12" s="9" t="s">
        <v>61</v>
      </c>
      <c r="C12" s="11" t="s">
        <v>62</v>
      </c>
      <c r="D12" s="10" t="s">
        <v>47</v>
      </c>
      <c r="E12" s="11" t="s">
        <v>48</v>
      </c>
      <c r="F12" s="11" t="s">
        <v>49</v>
      </c>
      <c r="G12" s="11" t="s">
        <v>440</v>
      </c>
      <c r="H12" s="10" t="s">
        <v>47</v>
      </c>
      <c r="I12" s="11" t="s">
        <v>48</v>
      </c>
      <c r="J12" s="11" t="s">
        <v>49</v>
      </c>
      <c r="K12" s="11" t="s">
        <v>440</v>
      </c>
      <c r="L12" s="11" t="s">
        <v>646</v>
      </c>
      <c r="M12" s="11" t="s">
        <v>647</v>
      </c>
      <c r="N12" s="11" t="s">
        <v>648</v>
      </c>
      <c r="O12" s="11" t="s">
        <v>440</v>
      </c>
      <c r="P12" s="10" t="s">
        <v>47</v>
      </c>
      <c r="Q12" s="11" t="s">
        <v>48</v>
      </c>
      <c r="R12" s="11" t="s">
        <v>49</v>
      </c>
      <c r="S12" s="11" t="s">
        <v>440</v>
      </c>
      <c r="T12" s="11" t="s">
        <v>646</v>
      </c>
      <c r="U12" s="11" t="s">
        <v>647</v>
      </c>
      <c r="V12" s="11" t="s">
        <v>648</v>
      </c>
    </row>
    <row r="13" spans="2:22" s="18" customFormat="1" ht="28.8" x14ac:dyDescent="0.3">
      <c r="B13" s="16" t="s">
        <v>41</v>
      </c>
      <c r="C13" s="15" t="s">
        <v>20</v>
      </c>
      <c r="D13" s="47">
        <v>8152721</v>
      </c>
      <c r="E13" s="47">
        <v>6534042</v>
      </c>
      <c r="F13" s="17">
        <v>6707443</v>
      </c>
      <c r="G13" s="17">
        <v>6809372</v>
      </c>
      <c r="H13" s="17">
        <v>8152715</v>
      </c>
      <c r="I13" s="17">
        <v>6534074</v>
      </c>
      <c r="J13" s="17">
        <v>6707497</v>
      </c>
      <c r="K13" s="17">
        <v>6809433</v>
      </c>
      <c r="L13" s="17">
        <v>7204973</v>
      </c>
      <c r="M13" s="17">
        <v>7349594</v>
      </c>
      <c r="N13" s="17">
        <v>7413054</v>
      </c>
      <c r="O13" s="17">
        <v>6809433</v>
      </c>
      <c r="P13" s="17">
        <v>8152715</v>
      </c>
      <c r="Q13" s="17">
        <v>6534074</v>
      </c>
      <c r="R13" s="17">
        <v>6707497</v>
      </c>
      <c r="S13" s="17">
        <v>6809433</v>
      </c>
      <c r="T13" s="17">
        <v>7204973</v>
      </c>
      <c r="U13" s="17">
        <v>7349594</v>
      </c>
      <c r="V13" s="17">
        <v>7413054</v>
      </c>
    </row>
    <row r="14" spans="2:22" s="18" customFormat="1" ht="43.2" x14ac:dyDescent="0.3">
      <c r="B14" s="16" t="s">
        <v>42</v>
      </c>
      <c r="C14" s="15" t="s">
        <v>22</v>
      </c>
      <c r="D14" s="47">
        <v>4147739</v>
      </c>
      <c r="E14" s="47">
        <v>3330519</v>
      </c>
      <c r="F14" s="17">
        <v>3403912</v>
      </c>
      <c r="G14" s="17">
        <v>3477950</v>
      </c>
      <c r="H14" s="17">
        <v>4147739</v>
      </c>
      <c r="I14" s="17">
        <v>3330537</v>
      </c>
      <c r="J14" s="17">
        <v>3403945</v>
      </c>
      <c r="K14" s="17">
        <v>3477986</v>
      </c>
      <c r="L14" s="17">
        <v>3677919</v>
      </c>
      <c r="M14" s="17">
        <v>3753706</v>
      </c>
      <c r="N14" s="17">
        <v>3804349</v>
      </c>
      <c r="O14" s="17">
        <v>3477986</v>
      </c>
      <c r="P14" s="17">
        <v>4147739</v>
      </c>
      <c r="Q14" s="17">
        <v>3330537</v>
      </c>
      <c r="R14" s="17">
        <v>3403945</v>
      </c>
      <c r="S14" s="17">
        <v>3477986</v>
      </c>
      <c r="T14" s="17">
        <v>3677919</v>
      </c>
      <c r="U14" s="17">
        <v>3753706</v>
      </c>
      <c r="V14" s="17">
        <v>3804349</v>
      </c>
    </row>
    <row r="15" spans="2:22" s="18" customFormat="1" ht="28.8" x14ac:dyDescent="0.3">
      <c r="B15" s="16" t="s">
        <v>43</v>
      </c>
      <c r="C15" s="15" t="s">
        <v>21</v>
      </c>
      <c r="D15" s="47">
        <v>3030316</v>
      </c>
      <c r="E15" s="47">
        <v>1480598</v>
      </c>
      <c r="F15" s="17">
        <v>1663373</v>
      </c>
      <c r="G15" s="17">
        <v>1821322</v>
      </c>
      <c r="H15" s="17">
        <v>3030316</v>
      </c>
      <c r="I15" s="17">
        <v>1480600</v>
      </c>
      <c r="J15" s="17">
        <v>1663376</v>
      </c>
      <c r="K15" s="17">
        <v>1821325</v>
      </c>
      <c r="L15" s="17">
        <v>1953966</v>
      </c>
      <c r="M15" s="17">
        <v>2073672</v>
      </c>
      <c r="N15" s="17">
        <v>2166083</v>
      </c>
      <c r="O15" s="17">
        <v>1821325</v>
      </c>
      <c r="P15" s="17">
        <v>3030316</v>
      </c>
      <c r="Q15" s="17">
        <v>1480600</v>
      </c>
      <c r="R15" s="17">
        <v>1663376</v>
      </c>
      <c r="S15" s="17">
        <v>1821325</v>
      </c>
      <c r="T15" s="17">
        <v>1953966</v>
      </c>
      <c r="U15" s="17">
        <v>2073672</v>
      </c>
      <c r="V15" s="17">
        <v>2166083</v>
      </c>
    </row>
    <row r="16" spans="2:22" s="18" customFormat="1" ht="43.2" x14ac:dyDescent="0.3">
      <c r="B16" s="16" t="s">
        <v>44</v>
      </c>
      <c r="C16" s="15" t="s">
        <v>22</v>
      </c>
      <c r="D16" s="47">
        <v>1558975</v>
      </c>
      <c r="E16" s="47">
        <v>695507</v>
      </c>
      <c r="F16" s="17">
        <v>796684</v>
      </c>
      <c r="G16" s="17">
        <v>888481</v>
      </c>
      <c r="H16" s="17">
        <v>1558975</v>
      </c>
      <c r="I16" s="17">
        <v>695509</v>
      </c>
      <c r="J16" s="17">
        <v>796687</v>
      </c>
      <c r="K16" s="17">
        <v>888484</v>
      </c>
      <c r="L16" s="17">
        <v>957796</v>
      </c>
      <c r="M16" s="17">
        <v>1029967</v>
      </c>
      <c r="N16" s="17">
        <v>1093482</v>
      </c>
      <c r="O16" s="17">
        <v>888484</v>
      </c>
      <c r="P16" s="17">
        <v>1558975</v>
      </c>
      <c r="Q16" s="17">
        <v>695509</v>
      </c>
      <c r="R16" s="17">
        <v>796687</v>
      </c>
      <c r="S16" s="17">
        <v>888484</v>
      </c>
      <c r="T16" s="18">
        <v>957796</v>
      </c>
      <c r="U16" s="17">
        <v>1029967</v>
      </c>
      <c r="V16" s="17">
        <v>1093482</v>
      </c>
    </row>
    <row r="17" spans="2:22" s="18" customFormat="1" ht="19.8" customHeight="1" x14ac:dyDescent="0.3">
      <c r="B17" s="16" t="s">
        <v>45</v>
      </c>
      <c r="C17" s="15" t="s">
        <v>23</v>
      </c>
      <c r="D17" s="47">
        <v>4578522</v>
      </c>
      <c r="E17" s="47">
        <v>3361588</v>
      </c>
      <c r="F17" s="17">
        <v>3475526</v>
      </c>
      <c r="G17" s="17">
        <v>3587252</v>
      </c>
      <c r="H17" s="17">
        <v>4578522</v>
      </c>
      <c r="I17" s="17">
        <v>3361606</v>
      </c>
      <c r="J17" s="17">
        <v>3475559</v>
      </c>
      <c r="K17" s="17">
        <v>3587286</v>
      </c>
      <c r="L17" s="17">
        <v>3812687</v>
      </c>
      <c r="M17" s="17">
        <v>3912563</v>
      </c>
      <c r="N17" s="17">
        <v>3987445</v>
      </c>
      <c r="O17" s="17">
        <v>3587286</v>
      </c>
      <c r="P17" s="17">
        <v>4578522</v>
      </c>
      <c r="Q17" s="17">
        <v>3361606</v>
      </c>
      <c r="R17" s="17">
        <v>3475559</v>
      </c>
      <c r="S17" s="17">
        <v>3587286</v>
      </c>
      <c r="T17" s="17">
        <v>3812687</v>
      </c>
      <c r="U17" s="17">
        <v>3912563</v>
      </c>
      <c r="V17" s="17">
        <v>3987445</v>
      </c>
    </row>
    <row r="18" spans="2:22" s="18" customFormat="1" ht="19.8" customHeight="1" x14ac:dyDescent="0.3">
      <c r="B18" s="16" t="s">
        <v>46</v>
      </c>
      <c r="C18" s="15" t="s">
        <v>24</v>
      </c>
      <c r="D18" s="47">
        <v>4578527</v>
      </c>
      <c r="E18" s="47">
        <v>3361592</v>
      </c>
      <c r="F18" s="17">
        <v>3475531</v>
      </c>
      <c r="G18" s="17">
        <v>3587256</v>
      </c>
      <c r="H18" s="17">
        <v>4578522</v>
      </c>
      <c r="I18" s="17">
        <v>3361606</v>
      </c>
      <c r="J18" s="17">
        <v>3475559</v>
      </c>
      <c r="K18" s="17">
        <v>3587286</v>
      </c>
      <c r="L18" s="17">
        <v>3812687</v>
      </c>
      <c r="M18" s="17">
        <v>3912563</v>
      </c>
      <c r="N18" s="17">
        <v>3987445</v>
      </c>
      <c r="O18" s="17">
        <v>3587286</v>
      </c>
      <c r="P18" s="17">
        <v>4578522</v>
      </c>
      <c r="Q18" s="17">
        <v>3361606</v>
      </c>
      <c r="R18" s="17">
        <v>3475559</v>
      </c>
      <c r="S18" s="17">
        <v>3587286</v>
      </c>
      <c r="T18" s="17">
        <v>3812687</v>
      </c>
      <c r="U18" s="17">
        <v>3912563</v>
      </c>
      <c r="V18" s="17">
        <v>3987445</v>
      </c>
    </row>
    <row r="19" spans="2:22" s="18" customFormat="1" ht="43.2" x14ac:dyDescent="0.3">
      <c r="B19" s="16" t="s">
        <v>436</v>
      </c>
      <c r="C19" s="15" t="s">
        <v>641</v>
      </c>
      <c r="D19" s="17">
        <v>3458311</v>
      </c>
      <c r="E19" s="17">
        <v>2442556</v>
      </c>
      <c r="F19" s="17">
        <v>2532046</v>
      </c>
      <c r="G19" s="17">
        <v>2651903</v>
      </c>
      <c r="H19" s="17">
        <v>3458306</v>
      </c>
      <c r="I19" s="17">
        <v>2442568</v>
      </c>
      <c r="J19" s="17">
        <v>2532060</v>
      </c>
      <c r="K19" s="17">
        <v>2651920</v>
      </c>
      <c r="L19" s="17">
        <v>2797510</v>
      </c>
      <c r="M19" s="17">
        <v>2899645</v>
      </c>
      <c r="N19" s="17">
        <v>2970535</v>
      </c>
      <c r="O19" s="17">
        <v>2651920</v>
      </c>
      <c r="P19" s="17">
        <v>3458306</v>
      </c>
      <c r="Q19" s="17">
        <v>2442568</v>
      </c>
      <c r="R19" s="17">
        <v>2532060</v>
      </c>
      <c r="S19" s="17">
        <v>2651920</v>
      </c>
      <c r="T19" s="17">
        <v>2797510</v>
      </c>
      <c r="U19" s="17">
        <v>2899645</v>
      </c>
      <c r="V19" s="17">
        <v>2970535</v>
      </c>
    </row>
    <row r="20" spans="2:22" s="18" customFormat="1" ht="28.8" x14ac:dyDescent="0.3">
      <c r="B20" s="16" t="s">
        <v>437</v>
      </c>
      <c r="C20" s="15" t="s">
        <v>25</v>
      </c>
      <c r="D20" s="17">
        <v>694551</v>
      </c>
      <c r="E20" s="17">
        <v>656679</v>
      </c>
      <c r="F20" s="17">
        <v>661739</v>
      </c>
      <c r="G20" s="17">
        <v>667480</v>
      </c>
      <c r="H20" s="17">
        <v>694551</v>
      </c>
      <c r="I20" s="17">
        <v>656679</v>
      </c>
      <c r="J20" s="17">
        <v>661739</v>
      </c>
      <c r="K20" s="17">
        <v>667480</v>
      </c>
      <c r="L20" s="17">
        <v>671394</v>
      </c>
      <c r="M20" s="17">
        <v>676884</v>
      </c>
      <c r="N20" s="17">
        <v>680635</v>
      </c>
      <c r="O20" s="17">
        <v>667480</v>
      </c>
      <c r="P20" s="17">
        <v>694551</v>
      </c>
      <c r="Q20" s="17">
        <v>656679</v>
      </c>
      <c r="R20" s="17">
        <v>661739</v>
      </c>
      <c r="S20" s="17">
        <v>667480</v>
      </c>
      <c r="T20" s="17">
        <v>671394</v>
      </c>
      <c r="U20" s="17">
        <v>676884</v>
      </c>
      <c r="V20" s="17">
        <v>680635</v>
      </c>
    </row>
    <row r="21" spans="2:22" s="18" customFormat="1" x14ac:dyDescent="0.3">
      <c r="B21" s="16" t="s">
        <v>438</v>
      </c>
      <c r="C21" s="15" t="s">
        <v>26</v>
      </c>
      <c r="D21" s="17">
        <v>2763760</v>
      </c>
      <c r="E21" s="17">
        <v>1785877</v>
      </c>
      <c r="F21" s="17">
        <v>1870307</v>
      </c>
      <c r="G21" s="17">
        <v>1984423</v>
      </c>
      <c r="H21" s="17">
        <v>2763755</v>
      </c>
      <c r="I21" s="17">
        <v>1785889</v>
      </c>
      <c r="J21" s="17">
        <v>1870321</v>
      </c>
      <c r="K21" s="17">
        <v>1984440</v>
      </c>
      <c r="L21" s="17">
        <v>2126116</v>
      </c>
      <c r="M21" s="17">
        <v>2222761</v>
      </c>
      <c r="N21" s="17">
        <v>2289900</v>
      </c>
      <c r="O21" s="17">
        <v>1984440</v>
      </c>
      <c r="P21" s="17">
        <v>2763755</v>
      </c>
      <c r="Q21" s="17">
        <v>1785889</v>
      </c>
      <c r="R21" s="17">
        <v>1870321</v>
      </c>
      <c r="S21" s="17">
        <v>1984440</v>
      </c>
      <c r="T21" s="17">
        <v>2126116</v>
      </c>
      <c r="U21" s="17">
        <v>2222761</v>
      </c>
      <c r="V21" s="17">
        <v>2289900</v>
      </c>
    </row>
    <row r="22" spans="2:22" s="18" customFormat="1" x14ac:dyDescent="0.3">
      <c r="B22" s="16" t="s">
        <v>50</v>
      </c>
      <c r="C22" s="15" t="s">
        <v>439</v>
      </c>
      <c r="D22" s="17">
        <v>3458311</v>
      </c>
      <c r="E22" s="17">
        <v>2442556</v>
      </c>
      <c r="F22" s="17">
        <v>2532046</v>
      </c>
      <c r="G22" s="17">
        <v>2651903</v>
      </c>
      <c r="H22" s="17">
        <v>3458306</v>
      </c>
      <c r="I22" s="17">
        <v>2442568</v>
      </c>
      <c r="J22" s="17">
        <v>2532060</v>
      </c>
      <c r="K22" s="17">
        <v>2651920</v>
      </c>
      <c r="L22" s="17">
        <v>2797510</v>
      </c>
      <c r="M22" s="17">
        <v>2899645</v>
      </c>
      <c r="N22" s="17">
        <v>2970535</v>
      </c>
      <c r="O22" s="17">
        <v>2651920</v>
      </c>
      <c r="P22" s="17">
        <v>3458306</v>
      </c>
      <c r="Q22" s="17">
        <v>2442568</v>
      </c>
      <c r="R22" s="17">
        <v>2532060</v>
      </c>
      <c r="S22" s="17">
        <v>2651920</v>
      </c>
      <c r="T22" s="17">
        <v>2797510</v>
      </c>
      <c r="U22" s="17">
        <v>2899645</v>
      </c>
      <c r="V22" s="17">
        <v>2970535</v>
      </c>
    </row>
    <row r="24" spans="2:22" x14ac:dyDescent="0.3">
      <c r="B24" s="89" t="s">
        <v>71</v>
      </c>
      <c r="C24" s="89"/>
      <c r="D24" s="24">
        <f>SUM(D20:D21)-D19</f>
        <v>0</v>
      </c>
      <c r="E24" s="24">
        <f>SUM(E20:E21)-E19</f>
        <v>0</v>
      </c>
      <c r="F24" s="24">
        <f>SUM(F20:F21)-F19</f>
        <v>0</v>
      </c>
      <c r="G24" s="24">
        <f>SUM(G20:G21)-G19</f>
        <v>0</v>
      </c>
      <c r="H24" s="24">
        <f>SUM(H20:H21)-H19</f>
        <v>0</v>
      </c>
      <c r="I24" s="24">
        <f t="shared" ref="I24:K24" si="0">SUM(I20:I21)-I19</f>
        <v>0</v>
      </c>
      <c r="J24" s="24">
        <f t="shared" si="0"/>
        <v>0</v>
      </c>
      <c r="K24" s="24">
        <f t="shared" si="0"/>
        <v>0</v>
      </c>
      <c r="L24" s="24">
        <f t="shared" ref="L24:N24" si="1">SUM(L20:L21)-L19</f>
        <v>0</v>
      </c>
      <c r="M24" s="24">
        <f t="shared" si="1"/>
        <v>0</v>
      </c>
      <c r="N24" s="24">
        <f t="shared" si="1"/>
        <v>0</v>
      </c>
      <c r="O24" s="24">
        <f t="shared" ref="O24" si="2">SUM(O20:O21)-O19</f>
        <v>0</v>
      </c>
      <c r="P24" s="24">
        <f>SUM(P20:P21)-P19</f>
        <v>0</v>
      </c>
      <c r="Q24" s="24">
        <f t="shared" ref="Q24:S24" si="3">SUM(Q20:Q21)-Q19</f>
        <v>0</v>
      </c>
      <c r="R24" s="24">
        <f t="shared" si="3"/>
        <v>0</v>
      </c>
      <c r="S24" s="24">
        <f t="shared" si="3"/>
        <v>0</v>
      </c>
      <c r="T24" s="24">
        <f t="shared" ref="T24:V24" si="4">SUM(T20:T21)-T19</f>
        <v>0</v>
      </c>
      <c r="U24" s="24">
        <f t="shared" si="4"/>
        <v>0</v>
      </c>
      <c r="V24" s="24">
        <f t="shared" si="4"/>
        <v>0</v>
      </c>
    </row>
    <row r="25" spans="2:22" x14ac:dyDescent="0.3">
      <c r="B25" s="89"/>
      <c r="C25" s="89"/>
      <c r="D25" s="24">
        <f>D22-D19</f>
        <v>0</v>
      </c>
      <c r="E25" s="24">
        <f>E22-E19</f>
        <v>0</v>
      </c>
      <c r="F25" s="24">
        <f>F22-F19</f>
        <v>0</v>
      </c>
      <c r="G25" s="24">
        <f>G22-G19</f>
        <v>0</v>
      </c>
      <c r="H25" s="24">
        <f t="shared" ref="H25:K25" si="5">H22-H19</f>
        <v>0</v>
      </c>
      <c r="I25" s="24">
        <f t="shared" si="5"/>
        <v>0</v>
      </c>
      <c r="J25" s="24">
        <f t="shared" si="5"/>
        <v>0</v>
      </c>
      <c r="K25" s="24">
        <f t="shared" si="5"/>
        <v>0</v>
      </c>
      <c r="L25" s="24">
        <f t="shared" ref="L25:S25" si="6">L22-L19</f>
        <v>0</v>
      </c>
      <c r="M25" s="24">
        <f t="shared" si="6"/>
        <v>0</v>
      </c>
      <c r="N25" s="24">
        <f t="shared" si="6"/>
        <v>0</v>
      </c>
      <c r="O25" s="24">
        <f t="shared" si="6"/>
        <v>0</v>
      </c>
      <c r="P25" s="24">
        <f t="shared" si="6"/>
        <v>0</v>
      </c>
      <c r="Q25" s="24">
        <f t="shared" si="6"/>
        <v>0</v>
      </c>
      <c r="R25" s="24">
        <f t="shared" si="6"/>
        <v>0</v>
      </c>
      <c r="S25" s="24">
        <f t="shared" si="6"/>
        <v>0</v>
      </c>
      <c r="T25" s="24">
        <f t="shared" ref="T25:V25" si="7">T22-T19</f>
        <v>0</v>
      </c>
      <c r="U25" s="24">
        <f t="shared" si="7"/>
        <v>0</v>
      </c>
      <c r="V25" s="24">
        <f t="shared" si="7"/>
        <v>0</v>
      </c>
    </row>
    <row r="26" spans="2:22" x14ac:dyDescent="0.3">
      <c r="J26" s="3"/>
    </row>
    <row r="27" spans="2:22" x14ac:dyDescent="0.3">
      <c r="B27" s="4" t="s">
        <v>8</v>
      </c>
      <c r="J27" s="3"/>
    </row>
    <row r="28" spans="2:22" x14ac:dyDescent="0.3">
      <c r="B28" t="s">
        <v>28</v>
      </c>
      <c r="J28" s="3"/>
    </row>
    <row r="29" spans="2:22" x14ac:dyDescent="0.3">
      <c r="J29" s="3"/>
    </row>
    <row r="30" spans="2:22" x14ac:dyDescent="0.3">
      <c r="B30" s="79" t="s">
        <v>66</v>
      </c>
      <c r="C30" s="79"/>
      <c r="D30" s="79"/>
      <c r="E30" s="79"/>
      <c r="F30" s="79"/>
      <c r="G30" s="79"/>
      <c r="H30" s="79"/>
      <c r="I30" s="79"/>
      <c r="J30" s="79"/>
      <c r="K30" s="79"/>
    </row>
    <row r="31" spans="2:22" x14ac:dyDescent="0.3">
      <c r="J31" s="3"/>
    </row>
    <row r="32" spans="2:22" ht="14.4" customHeight="1" x14ac:dyDescent="0.3">
      <c r="B32" s="90" t="s">
        <v>67</v>
      </c>
      <c r="C32" s="90"/>
      <c r="D32" s="90"/>
      <c r="E32" s="90"/>
      <c r="F32" s="90"/>
      <c r="G32" s="90"/>
      <c r="J32" s="3"/>
    </row>
    <row r="33" spans="2:15" x14ac:dyDescent="0.3">
      <c r="B33" s="90"/>
      <c r="C33" s="90"/>
      <c r="D33" s="90"/>
      <c r="E33" s="90"/>
      <c r="F33" s="90"/>
      <c r="G33" s="90"/>
      <c r="J33" s="3"/>
    </row>
    <row r="34" spans="2:15" x14ac:dyDescent="0.3">
      <c r="J34" s="3"/>
    </row>
    <row r="35" spans="2:15" x14ac:dyDescent="0.3">
      <c r="D35" s="75" t="s">
        <v>640</v>
      </c>
      <c r="E35" s="77"/>
      <c r="F35" s="75" t="s">
        <v>639</v>
      </c>
      <c r="G35" s="77"/>
      <c r="H35" s="75" t="s">
        <v>667</v>
      </c>
      <c r="I35" s="77"/>
      <c r="J35" s="75" t="s">
        <v>673</v>
      </c>
      <c r="K35" s="77"/>
      <c r="L35" s="75" t="s">
        <v>677</v>
      </c>
      <c r="M35" s="77"/>
      <c r="N35" s="75" t="s">
        <v>696</v>
      </c>
      <c r="O35" s="77"/>
    </row>
    <row r="36" spans="2:15" x14ac:dyDescent="0.3">
      <c r="B36" s="9" t="s">
        <v>61</v>
      </c>
      <c r="C36" s="11" t="s">
        <v>62</v>
      </c>
      <c r="D36" s="9" t="s">
        <v>3</v>
      </c>
      <c r="E36" s="9" t="s">
        <v>1</v>
      </c>
      <c r="F36" s="9" t="s">
        <v>3</v>
      </c>
      <c r="G36" s="9" t="s">
        <v>1</v>
      </c>
      <c r="H36" s="9" t="s">
        <v>3</v>
      </c>
      <c r="I36" s="9" t="s">
        <v>1</v>
      </c>
      <c r="J36" s="9" t="s">
        <v>3</v>
      </c>
      <c r="K36" s="9" t="s">
        <v>1</v>
      </c>
      <c r="L36" s="9" t="s">
        <v>3</v>
      </c>
      <c r="M36" s="9" t="s">
        <v>1</v>
      </c>
      <c r="N36" s="9" t="s">
        <v>3</v>
      </c>
      <c r="O36" s="9" t="s">
        <v>1</v>
      </c>
    </row>
    <row r="37" spans="2:15" x14ac:dyDescent="0.3">
      <c r="B37" s="14" t="s">
        <v>0</v>
      </c>
      <c r="C37" s="12" t="s">
        <v>642</v>
      </c>
      <c r="D37" s="13">
        <v>2102094</v>
      </c>
      <c r="E37" s="13">
        <v>2085945</v>
      </c>
      <c r="F37" s="13">
        <v>4221570</v>
      </c>
      <c r="G37" s="13">
        <v>2110803</v>
      </c>
      <c r="H37" s="13">
        <v>4221570</v>
      </c>
      <c r="I37" s="13"/>
      <c r="J37" s="13">
        <v>4221570</v>
      </c>
      <c r="K37" s="13"/>
      <c r="L37" s="13">
        <v>2139347</v>
      </c>
      <c r="M37" s="13"/>
      <c r="N37" s="13">
        <v>4280254</v>
      </c>
      <c r="O37" s="13"/>
    </row>
    <row r="38" spans="2:15" x14ac:dyDescent="0.3">
      <c r="J38" t="s">
        <v>674</v>
      </c>
      <c r="L38" t="s">
        <v>678</v>
      </c>
      <c r="N38" t="s">
        <v>697</v>
      </c>
    </row>
    <row r="39" spans="2:15" x14ac:dyDescent="0.3">
      <c r="B39" s="79" t="s">
        <v>68</v>
      </c>
      <c r="C39" s="79"/>
      <c r="D39" s="79"/>
      <c r="E39" s="79"/>
      <c r="F39" s="79"/>
      <c r="G39" s="79"/>
      <c r="H39" s="79"/>
      <c r="I39" s="79"/>
      <c r="J39" s="79"/>
      <c r="K39" s="79"/>
    </row>
    <row r="40" spans="2:15" x14ac:dyDescent="0.3">
      <c r="J40" s="3"/>
    </row>
    <row r="41" spans="2:15" ht="14.4" customHeight="1" x14ac:dyDescent="0.3">
      <c r="B41" s="90" t="s">
        <v>69</v>
      </c>
      <c r="C41" s="90"/>
      <c r="D41" s="90"/>
      <c r="E41" s="90"/>
      <c r="F41" s="90"/>
      <c r="G41" s="90"/>
      <c r="J41" s="3"/>
    </row>
    <row r="42" spans="2:15" x14ac:dyDescent="0.3">
      <c r="B42" s="90"/>
      <c r="C42" s="90"/>
      <c r="D42" s="90"/>
      <c r="E42" s="90"/>
      <c r="F42" s="90"/>
      <c r="G42" s="90"/>
      <c r="J42" s="3"/>
    </row>
    <row r="43" spans="2:15" x14ac:dyDescent="0.3">
      <c r="B43" s="21"/>
      <c r="C43" s="21"/>
      <c r="D43" s="21"/>
      <c r="E43" s="21"/>
      <c r="F43" s="21"/>
      <c r="J43" s="3"/>
    </row>
    <row r="44" spans="2:15" x14ac:dyDescent="0.3">
      <c r="B44" s="22" t="s">
        <v>70</v>
      </c>
      <c r="C44" s="21"/>
      <c r="D44" s="21"/>
      <c r="E44" s="21"/>
      <c r="F44" s="21"/>
      <c r="J44" s="3"/>
    </row>
    <row r="45" spans="2:15" x14ac:dyDescent="0.3">
      <c r="D45" s="75" t="s">
        <v>640</v>
      </c>
      <c r="E45" s="77"/>
      <c r="F45" s="75" t="s">
        <v>639</v>
      </c>
      <c r="G45" s="77"/>
      <c r="H45" s="75" t="s">
        <v>677</v>
      </c>
      <c r="I45" s="77"/>
    </row>
    <row r="46" spans="2:15" x14ac:dyDescent="0.3">
      <c r="B46" s="9" t="s">
        <v>61</v>
      </c>
      <c r="C46" s="11" t="s">
        <v>62</v>
      </c>
      <c r="D46" s="9" t="s">
        <v>3</v>
      </c>
      <c r="E46" s="9" t="s">
        <v>1</v>
      </c>
      <c r="F46" s="9" t="s">
        <v>3</v>
      </c>
      <c r="G46" s="9" t="s">
        <v>1</v>
      </c>
      <c r="H46" s="9" t="s">
        <v>3</v>
      </c>
      <c r="I46" s="9" t="s">
        <v>1</v>
      </c>
    </row>
    <row r="47" spans="2:15" ht="43.2" x14ac:dyDescent="0.3">
      <c r="B47" s="16" t="s">
        <v>51</v>
      </c>
      <c r="C47" s="15" t="s">
        <v>15</v>
      </c>
      <c r="D47" s="23">
        <v>47791</v>
      </c>
      <c r="E47" s="23" t="s">
        <v>2</v>
      </c>
      <c r="F47" s="23">
        <v>47791</v>
      </c>
      <c r="G47" s="23" t="s">
        <v>2</v>
      </c>
      <c r="H47" s="23">
        <v>47791</v>
      </c>
      <c r="I47" s="23" t="s">
        <v>2</v>
      </c>
    </row>
    <row r="48" spans="2:15" ht="57.6" x14ac:dyDescent="0.3">
      <c r="B48" s="16" t="s">
        <v>52</v>
      </c>
      <c r="C48" s="15" t="s">
        <v>13</v>
      </c>
      <c r="D48" s="23">
        <v>42599</v>
      </c>
      <c r="E48" s="23"/>
      <c r="F48" s="23">
        <v>42599</v>
      </c>
      <c r="G48" s="23"/>
      <c r="H48" s="23">
        <v>42599</v>
      </c>
      <c r="I48" s="23"/>
    </row>
    <row r="49" spans="2:10" ht="57.6" x14ac:dyDescent="0.3">
      <c r="B49" s="16" t="s">
        <v>53</v>
      </c>
      <c r="C49" s="15" t="s">
        <v>14</v>
      </c>
      <c r="D49" s="23">
        <v>822</v>
      </c>
      <c r="E49" s="23"/>
      <c r="F49" s="23">
        <v>822</v>
      </c>
      <c r="G49" s="23"/>
      <c r="H49" s="23">
        <v>822</v>
      </c>
      <c r="I49" s="23"/>
    </row>
    <row r="50" spans="2:10" ht="43.2" x14ac:dyDescent="0.3">
      <c r="B50" s="16" t="s">
        <v>54</v>
      </c>
      <c r="C50" s="15" t="s">
        <v>10</v>
      </c>
      <c r="D50" s="23">
        <v>760</v>
      </c>
      <c r="E50" s="23"/>
      <c r="F50" s="23">
        <v>760</v>
      </c>
      <c r="G50" s="23"/>
      <c r="H50" s="23">
        <v>760</v>
      </c>
      <c r="I50" s="23"/>
    </row>
    <row r="51" spans="2:10" ht="21.6" customHeight="1" x14ac:dyDescent="0.3">
      <c r="B51" s="16" t="s">
        <v>55</v>
      </c>
      <c r="C51" s="15" t="s">
        <v>4</v>
      </c>
      <c r="D51" s="23">
        <v>44181</v>
      </c>
      <c r="E51" s="23"/>
      <c r="F51" s="23">
        <v>44181</v>
      </c>
      <c r="G51" s="23"/>
      <c r="H51" s="23">
        <v>44181</v>
      </c>
      <c r="I51" s="23"/>
    </row>
    <row r="52" spans="2:10" x14ac:dyDescent="0.3">
      <c r="C52" s="5"/>
      <c r="D52" s="5"/>
      <c r="F52" s="5"/>
      <c r="H52" s="5"/>
    </row>
    <row r="53" spans="2:10" x14ac:dyDescent="0.3">
      <c r="B53" s="84" t="s">
        <v>71</v>
      </c>
      <c r="C53" s="85"/>
      <c r="D53" s="24">
        <f t="shared" ref="D53:I53" si="8">D51-SUM(D48:D50)</f>
        <v>0</v>
      </c>
      <c r="E53" s="24">
        <f t="shared" si="8"/>
        <v>0</v>
      </c>
      <c r="F53" s="24">
        <f t="shared" si="8"/>
        <v>0</v>
      </c>
      <c r="G53" s="24">
        <f t="shared" si="8"/>
        <v>0</v>
      </c>
      <c r="H53" s="24">
        <f t="shared" si="8"/>
        <v>0</v>
      </c>
      <c r="I53" s="24">
        <f t="shared" si="8"/>
        <v>0</v>
      </c>
    </row>
    <row r="54" spans="2:10" x14ac:dyDescent="0.3">
      <c r="C54" s="5"/>
      <c r="D54" s="5"/>
      <c r="E54" s="5"/>
      <c r="F54" s="5"/>
    </row>
    <row r="55" spans="2:10" x14ac:dyDescent="0.3">
      <c r="B55" s="22" t="s">
        <v>72</v>
      </c>
      <c r="C55" s="21"/>
      <c r="D55" s="21"/>
      <c r="E55" s="21"/>
      <c r="F55" s="21"/>
      <c r="J55" s="3"/>
    </row>
    <row r="56" spans="2:10" x14ac:dyDescent="0.3">
      <c r="D56" s="75" t="s">
        <v>640</v>
      </c>
      <c r="E56" s="77"/>
      <c r="F56" s="75" t="s">
        <v>639</v>
      </c>
      <c r="G56" s="77"/>
      <c r="H56" s="75" t="s">
        <v>677</v>
      </c>
      <c r="I56" s="77"/>
    </row>
    <row r="57" spans="2:10" x14ac:dyDescent="0.3">
      <c r="B57" s="9" t="s">
        <v>61</v>
      </c>
      <c r="C57" s="11" t="s">
        <v>62</v>
      </c>
      <c r="D57" s="9" t="s">
        <v>3</v>
      </c>
      <c r="E57" s="9" t="s">
        <v>1</v>
      </c>
      <c r="F57" s="9" t="s">
        <v>3</v>
      </c>
      <c r="G57" s="9" t="s">
        <v>1</v>
      </c>
      <c r="H57" s="9" t="s">
        <v>3</v>
      </c>
      <c r="I57" s="9" t="s">
        <v>1</v>
      </c>
    </row>
    <row r="58" spans="2:10" ht="43.2" x14ac:dyDescent="0.3">
      <c r="B58" s="16" t="s">
        <v>56</v>
      </c>
      <c r="C58" s="15" t="s">
        <v>15</v>
      </c>
      <c r="D58" s="23">
        <v>46565</v>
      </c>
      <c r="E58" s="23" t="s">
        <v>2</v>
      </c>
      <c r="F58" s="23">
        <v>46565</v>
      </c>
      <c r="G58" s="23" t="s">
        <v>2</v>
      </c>
      <c r="H58" s="23">
        <v>46565</v>
      </c>
      <c r="I58" s="23" t="s">
        <v>2</v>
      </c>
    </row>
    <row r="59" spans="2:10" ht="57.6" x14ac:dyDescent="0.3">
      <c r="B59" s="16" t="s">
        <v>57</v>
      </c>
      <c r="C59" s="15" t="s">
        <v>13</v>
      </c>
      <c r="D59" s="23">
        <v>39989</v>
      </c>
      <c r="E59" s="12"/>
      <c r="F59" s="23">
        <v>39989</v>
      </c>
      <c r="G59" s="23"/>
      <c r="H59" s="23">
        <v>39989</v>
      </c>
      <c r="I59" s="23"/>
    </row>
    <row r="60" spans="2:10" ht="57.6" x14ac:dyDescent="0.3">
      <c r="B60" s="16" t="s">
        <v>58</v>
      </c>
      <c r="C60" s="15" t="s">
        <v>14</v>
      </c>
      <c r="D60" s="23">
        <v>578</v>
      </c>
      <c r="E60" s="12"/>
      <c r="F60" s="23">
        <v>578</v>
      </c>
      <c r="G60" s="23"/>
      <c r="H60" s="23">
        <v>578</v>
      </c>
      <c r="I60" s="23"/>
    </row>
    <row r="61" spans="2:10" ht="43.2" x14ac:dyDescent="0.3">
      <c r="B61" s="16" t="s">
        <v>59</v>
      </c>
      <c r="C61" s="15" t="s">
        <v>10</v>
      </c>
      <c r="D61" s="23">
        <v>724</v>
      </c>
      <c r="E61" s="12"/>
      <c r="F61" s="23">
        <v>724</v>
      </c>
      <c r="G61" s="23"/>
      <c r="H61" s="23">
        <v>724</v>
      </c>
      <c r="I61" s="23"/>
    </row>
    <row r="62" spans="2:10" ht="21.6" customHeight="1" x14ac:dyDescent="0.3">
      <c r="B62" s="16" t="s">
        <v>60</v>
      </c>
      <c r="C62" s="15" t="s">
        <v>4</v>
      </c>
      <c r="D62" s="23">
        <v>41291</v>
      </c>
      <c r="E62" s="12"/>
      <c r="F62" s="23">
        <v>41291</v>
      </c>
      <c r="G62" s="23"/>
      <c r="H62" s="23">
        <v>41291</v>
      </c>
      <c r="I62" s="23"/>
    </row>
    <row r="63" spans="2:10" x14ac:dyDescent="0.3">
      <c r="C63" s="5"/>
      <c r="D63" s="5"/>
      <c r="F63" s="5"/>
      <c r="H63" s="5"/>
    </row>
    <row r="64" spans="2:10" x14ac:dyDescent="0.3">
      <c r="B64" s="84" t="s">
        <v>71</v>
      </c>
      <c r="C64" s="85"/>
      <c r="D64" s="24">
        <f t="shared" ref="D64:I64" si="9">D62-SUM(D59:D61)</f>
        <v>0</v>
      </c>
      <c r="E64" s="24">
        <f t="shared" si="9"/>
        <v>0</v>
      </c>
      <c r="F64" s="24">
        <f t="shared" si="9"/>
        <v>0</v>
      </c>
      <c r="G64" s="24">
        <f t="shared" si="9"/>
        <v>0</v>
      </c>
      <c r="H64" s="24">
        <f t="shared" si="9"/>
        <v>0</v>
      </c>
      <c r="I64" s="24">
        <f t="shared" si="9"/>
        <v>0</v>
      </c>
    </row>
    <row r="65" spans="2:10" x14ac:dyDescent="0.3">
      <c r="C65" s="5"/>
      <c r="D65" s="5"/>
      <c r="E65" s="5"/>
      <c r="F65" s="5"/>
    </row>
    <row r="66" spans="2:10" x14ac:dyDescent="0.3">
      <c r="B66" s="22" t="s">
        <v>442</v>
      </c>
      <c r="C66" s="21"/>
      <c r="D66" s="21"/>
      <c r="E66" s="21"/>
      <c r="F66" s="21"/>
      <c r="J66" s="3"/>
    </row>
    <row r="67" spans="2:10" x14ac:dyDescent="0.3">
      <c r="D67" s="75" t="s">
        <v>640</v>
      </c>
      <c r="E67" s="77"/>
      <c r="F67" s="75" t="s">
        <v>639</v>
      </c>
      <c r="G67" s="77"/>
      <c r="H67" s="75" t="s">
        <v>677</v>
      </c>
      <c r="I67" s="77"/>
    </row>
    <row r="68" spans="2:10" x14ac:dyDescent="0.3">
      <c r="B68" s="9" t="s">
        <v>61</v>
      </c>
      <c r="C68" s="11" t="s">
        <v>62</v>
      </c>
      <c r="D68" s="9" t="s">
        <v>3</v>
      </c>
      <c r="E68" s="9" t="s">
        <v>1</v>
      </c>
      <c r="F68" s="9" t="s">
        <v>3</v>
      </c>
      <c r="G68" s="9" t="s">
        <v>1</v>
      </c>
      <c r="H68" s="9" t="s">
        <v>3</v>
      </c>
      <c r="I68" s="9" t="s">
        <v>1</v>
      </c>
    </row>
    <row r="69" spans="2:10" ht="43.2" x14ac:dyDescent="0.3">
      <c r="B69" s="16" t="s">
        <v>443</v>
      </c>
      <c r="C69" s="15" t="s">
        <v>15</v>
      </c>
      <c r="D69" s="23">
        <v>54163</v>
      </c>
      <c r="E69" s="23" t="s">
        <v>2</v>
      </c>
      <c r="F69" s="23">
        <v>54163</v>
      </c>
      <c r="G69" s="23" t="s">
        <v>2</v>
      </c>
      <c r="H69" s="23">
        <v>54163</v>
      </c>
      <c r="I69" s="23" t="s">
        <v>2</v>
      </c>
    </row>
    <row r="70" spans="2:10" ht="57.6" x14ac:dyDescent="0.3">
      <c r="B70" s="16" t="s">
        <v>444</v>
      </c>
      <c r="C70" s="15" t="s">
        <v>13</v>
      </c>
      <c r="D70" s="23">
        <v>39388</v>
      </c>
      <c r="E70" s="12"/>
      <c r="F70" s="23">
        <v>39388</v>
      </c>
      <c r="G70" s="23"/>
      <c r="H70" s="23">
        <v>39388</v>
      </c>
      <c r="I70" s="23"/>
    </row>
    <row r="71" spans="2:10" ht="57.6" x14ac:dyDescent="0.3">
      <c r="B71" s="16" t="s">
        <v>445</v>
      </c>
      <c r="C71" s="15" t="s">
        <v>14</v>
      </c>
      <c r="D71" s="23">
        <v>565</v>
      </c>
      <c r="E71" s="12"/>
      <c r="F71" s="23">
        <v>565</v>
      </c>
      <c r="G71" s="23"/>
      <c r="H71" s="23">
        <v>565</v>
      </c>
      <c r="I71" s="23"/>
    </row>
    <row r="72" spans="2:10" ht="43.2" x14ac:dyDescent="0.3">
      <c r="B72" s="16" t="s">
        <v>446</v>
      </c>
      <c r="C72" s="15" t="s">
        <v>10</v>
      </c>
      <c r="D72" s="23">
        <v>682</v>
      </c>
      <c r="E72" s="12"/>
      <c r="F72" s="23">
        <v>682</v>
      </c>
      <c r="G72" s="23"/>
      <c r="H72" s="23">
        <v>682</v>
      </c>
      <c r="I72" s="23"/>
    </row>
    <row r="73" spans="2:10" ht="21.6" customHeight="1" x14ac:dyDescent="0.3">
      <c r="B73" s="16" t="s">
        <v>503</v>
      </c>
      <c r="C73" s="15" t="s">
        <v>4</v>
      </c>
      <c r="D73" s="23">
        <v>40635</v>
      </c>
      <c r="E73" s="12"/>
      <c r="F73" s="23">
        <v>40635</v>
      </c>
      <c r="G73" s="23"/>
      <c r="H73" s="23">
        <v>40635</v>
      </c>
      <c r="I73" s="23"/>
    </row>
    <row r="74" spans="2:10" x14ac:dyDescent="0.3">
      <c r="C74" s="5"/>
      <c r="D74" s="5"/>
      <c r="F74" s="5"/>
      <c r="H74" s="5"/>
    </row>
    <row r="75" spans="2:10" x14ac:dyDescent="0.3">
      <c r="B75" s="84" t="s">
        <v>71</v>
      </c>
      <c r="C75" s="85"/>
      <c r="D75" s="24">
        <f t="shared" ref="D75:I75" si="10">D73-SUM(D70:D72)</f>
        <v>0</v>
      </c>
      <c r="E75" s="24">
        <f t="shared" si="10"/>
        <v>0</v>
      </c>
      <c r="F75" s="24">
        <f t="shared" si="10"/>
        <v>0</v>
      </c>
      <c r="G75" s="24">
        <f t="shared" si="10"/>
        <v>0</v>
      </c>
      <c r="H75" s="24">
        <f t="shared" si="10"/>
        <v>0</v>
      </c>
      <c r="I75" s="24">
        <f t="shared" si="10"/>
        <v>0</v>
      </c>
    </row>
    <row r="76" spans="2:10" x14ac:dyDescent="0.3">
      <c r="C76" s="5"/>
      <c r="D76" s="5"/>
      <c r="E76" s="5"/>
      <c r="F76" s="5"/>
    </row>
    <row r="77" spans="2:10" x14ac:dyDescent="0.3">
      <c r="B77" s="22" t="s">
        <v>649</v>
      </c>
      <c r="C77" s="21"/>
      <c r="D77" s="21"/>
      <c r="E77" s="21"/>
      <c r="F77" s="21"/>
      <c r="J77" s="3"/>
    </row>
    <row r="78" spans="2:10" x14ac:dyDescent="0.3">
      <c r="D78" s="75" t="s">
        <v>676</v>
      </c>
      <c r="E78" s="77"/>
      <c r="F78" s="75" t="s">
        <v>677</v>
      </c>
      <c r="G78" s="77"/>
    </row>
    <row r="79" spans="2:10" x14ac:dyDescent="0.3">
      <c r="B79" s="9" t="s">
        <v>61</v>
      </c>
      <c r="C79" s="11" t="s">
        <v>62</v>
      </c>
      <c r="D79" s="9" t="s">
        <v>3</v>
      </c>
      <c r="E79" s="9" t="s">
        <v>1</v>
      </c>
      <c r="F79" s="9" t="s">
        <v>3</v>
      </c>
      <c r="G79" s="9" t="s">
        <v>1</v>
      </c>
    </row>
    <row r="80" spans="2:10" ht="43.2" x14ac:dyDescent="0.3">
      <c r="B80" s="16" t="s">
        <v>650</v>
      </c>
      <c r="C80" s="15" t="s">
        <v>15</v>
      </c>
      <c r="D80" s="23">
        <v>46657</v>
      </c>
      <c r="E80" s="23" t="s">
        <v>2</v>
      </c>
      <c r="F80" s="23">
        <v>46657</v>
      </c>
      <c r="G80" s="23" t="s">
        <v>2</v>
      </c>
    </row>
    <row r="81" spans="2:10" ht="57.6" x14ac:dyDescent="0.3">
      <c r="B81" s="16" t="s">
        <v>651</v>
      </c>
      <c r="C81" s="15" t="s">
        <v>13</v>
      </c>
      <c r="D81" s="23">
        <v>41688</v>
      </c>
      <c r="E81" s="12"/>
      <c r="F81" s="23">
        <v>41688</v>
      </c>
      <c r="G81" s="23"/>
    </row>
    <row r="82" spans="2:10" ht="57.6" x14ac:dyDescent="0.3">
      <c r="B82" s="16" t="s">
        <v>652</v>
      </c>
      <c r="C82" s="15" t="s">
        <v>14</v>
      </c>
      <c r="D82" s="23">
        <v>784</v>
      </c>
      <c r="E82" s="12"/>
      <c r="F82" s="23">
        <v>784</v>
      </c>
      <c r="G82" s="23"/>
    </row>
    <row r="83" spans="2:10" ht="43.2" x14ac:dyDescent="0.3">
      <c r="B83" s="16" t="s">
        <v>653</v>
      </c>
      <c r="C83" s="15" t="s">
        <v>10</v>
      </c>
      <c r="D83" s="23">
        <v>809</v>
      </c>
      <c r="E83" s="12"/>
      <c r="F83" s="23">
        <v>809</v>
      </c>
      <c r="G83" s="23"/>
    </row>
    <row r="84" spans="2:10" ht="21.6" customHeight="1" x14ac:dyDescent="0.3">
      <c r="B84" s="16" t="s">
        <v>654</v>
      </c>
      <c r="C84" s="15" t="s">
        <v>4</v>
      </c>
      <c r="D84" s="23">
        <v>43281</v>
      </c>
      <c r="E84" s="12"/>
      <c r="F84" s="23">
        <v>43281</v>
      </c>
      <c r="G84" s="23"/>
    </row>
    <row r="85" spans="2:10" x14ac:dyDescent="0.3">
      <c r="C85" s="5"/>
      <c r="D85" s="5"/>
      <c r="F85" s="5"/>
    </row>
    <row r="86" spans="2:10" x14ac:dyDescent="0.3">
      <c r="B86" s="84" t="s">
        <v>71</v>
      </c>
      <c r="C86" s="85"/>
      <c r="D86" s="24">
        <f>D84-SUM(D81:D83)</f>
        <v>0</v>
      </c>
      <c r="E86" s="24">
        <f>E84-SUM(E81:E83)</f>
        <v>0</v>
      </c>
      <c r="F86" s="24">
        <f>F84-SUM(F81:F83)</f>
        <v>0</v>
      </c>
      <c r="G86" s="24">
        <f>G84-SUM(G81:G83)</f>
        <v>0</v>
      </c>
    </row>
    <row r="87" spans="2:10" x14ac:dyDescent="0.3">
      <c r="B87" s="66"/>
      <c r="C87" s="66"/>
    </row>
    <row r="88" spans="2:10" x14ac:dyDescent="0.3">
      <c r="B88" s="22" t="s">
        <v>655</v>
      </c>
      <c r="C88" s="21"/>
      <c r="D88" s="21"/>
      <c r="E88" s="21"/>
      <c r="F88" s="21"/>
      <c r="J88" s="3"/>
    </row>
    <row r="89" spans="2:10" x14ac:dyDescent="0.3">
      <c r="D89" s="75" t="s">
        <v>676</v>
      </c>
      <c r="E89" s="77"/>
      <c r="F89" s="75" t="s">
        <v>677</v>
      </c>
      <c r="G89" s="77"/>
    </row>
    <row r="90" spans="2:10" x14ac:dyDescent="0.3">
      <c r="B90" s="9" t="s">
        <v>61</v>
      </c>
      <c r="C90" s="11" t="s">
        <v>62</v>
      </c>
      <c r="D90" s="9" t="s">
        <v>3</v>
      </c>
      <c r="E90" s="9" t="s">
        <v>1</v>
      </c>
      <c r="F90" s="9" t="s">
        <v>3</v>
      </c>
      <c r="G90" s="9" t="s">
        <v>1</v>
      </c>
    </row>
    <row r="91" spans="2:10" ht="43.2" x14ac:dyDescent="0.3">
      <c r="B91" s="16" t="s">
        <v>656</v>
      </c>
      <c r="C91" s="15" t="s">
        <v>15</v>
      </c>
      <c r="D91" s="23">
        <v>56243</v>
      </c>
      <c r="E91" s="23" t="s">
        <v>2</v>
      </c>
      <c r="F91" s="23">
        <v>56243</v>
      </c>
      <c r="G91" s="23" t="s">
        <v>2</v>
      </c>
    </row>
    <row r="92" spans="2:10" ht="57.6" x14ac:dyDescent="0.3">
      <c r="B92" s="16" t="s">
        <v>657</v>
      </c>
      <c r="C92" s="15" t="s">
        <v>13</v>
      </c>
      <c r="D92" s="23">
        <v>41677</v>
      </c>
      <c r="E92" s="12"/>
      <c r="F92" s="23">
        <v>41677</v>
      </c>
      <c r="G92" s="23"/>
    </row>
    <row r="93" spans="2:10" ht="57.6" x14ac:dyDescent="0.3">
      <c r="B93" s="16" t="s">
        <v>658</v>
      </c>
      <c r="C93" s="15" t="s">
        <v>14</v>
      </c>
      <c r="D93" s="23">
        <v>619</v>
      </c>
      <c r="E93" s="12"/>
      <c r="F93" s="23">
        <v>619</v>
      </c>
      <c r="G93" s="23"/>
    </row>
    <row r="94" spans="2:10" ht="43.2" x14ac:dyDescent="0.3">
      <c r="B94" s="16" t="s">
        <v>659</v>
      </c>
      <c r="C94" s="15" t="s">
        <v>10</v>
      </c>
      <c r="D94" s="23">
        <v>711</v>
      </c>
      <c r="E94" s="12"/>
      <c r="F94" s="23">
        <v>711</v>
      </c>
      <c r="G94" s="23"/>
    </row>
    <row r="95" spans="2:10" ht="21.6" customHeight="1" x14ac:dyDescent="0.3">
      <c r="B95" s="16" t="s">
        <v>660</v>
      </c>
      <c r="C95" s="15" t="s">
        <v>4</v>
      </c>
      <c r="D95" s="23">
        <v>43007</v>
      </c>
      <c r="E95" s="12"/>
      <c r="F95" s="23">
        <v>43007</v>
      </c>
      <c r="G95" s="23"/>
    </row>
    <row r="96" spans="2:10" x14ac:dyDescent="0.3">
      <c r="C96" s="5"/>
      <c r="D96" s="5"/>
      <c r="F96" s="5"/>
    </row>
    <row r="97" spans="2:10" x14ac:dyDescent="0.3">
      <c r="B97" s="84" t="s">
        <v>71</v>
      </c>
      <c r="C97" s="85"/>
      <c r="D97" s="24">
        <f>D95-SUM(D92:D94)</f>
        <v>0</v>
      </c>
      <c r="E97" s="24">
        <f>E95-SUM(E92:E94)</f>
        <v>0</v>
      </c>
      <c r="F97" s="24">
        <f>F95-SUM(F92:F94)</f>
        <v>0</v>
      </c>
      <c r="G97" s="24">
        <f>G95-SUM(G92:G94)</f>
        <v>0</v>
      </c>
    </row>
    <row r="98" spans="2:10" x14ac:dyDescent="0.3">
      <c r="B98" s="66"/>
      <c r="C98" s="66"/>
    </row>
    <row r="99" spans="2:10" x14ac:dyDescent="0.3">
      <c r="B99" s="22" t="s">
        <v>661</v>
      </c>
      <c r="C99" s="21"/>
      <c r="D99" s="21"/>
      <c r="E99" s="21"/>
      <c r="F99" s="21"/>
      <c r="J99" s="3"/>
    </row>
    <row r="100" spans="2:10" x14ac:dyDescent="0.3">
      <c r="D100" s="75" t="s">
        <v>676</v>
      </c>
      <c r="E100" s="77"/>
      <c r="F100" s="75" t="s">
        <v>677</v>
      </c>
      <c r="G100" s="77"/>
    </row>
    <row r="101" spans="2:10" x14ac:dyDescent="0.3">
      <c r="B101" s="9" t="s">
        <v>61</v>
      </c>
      <c r="C101" s="11" t="s">
        <v>62</v>
      </c>
      <c r="D101" s="9" t="s">
        <v>3</v>
      </c>
      <c r="E101" s="9" t="s">
        <v>1</v>
      </c>
      <c r="F101" s="9" t="s">
        <v>3</v>
      </c>
      <c r="G101" s="9" t="s">
        <v>1</v>
      </c>
    </row>
    <row r="102" spans="2:10" ht="43.2" x14ac:dyDescent="0.3">
      <c r="B102" s="16" t="s">
        <v>662</v>
      </c>
      <c r="C102" s="15" t="s">
        <v>15</v>
      </c>
      <c r="D102" s="23">
        <v>56243</v>
      </c>
      <c r="E102" s="23" t="s">
        <v>2</v>
      </c>
      <c r="F102" s="23">
        <v>45710</v>
      </c>
      <c r="G102" s="23" t="s">
        <v>2</v>
      </c>
    </row>
    <row r="103" spans="2:10" ht="57.6" x14ac:dyDescent="0.3">
      <c r="B103" s="16" t="s">
        <v>663</v>
      </c>
      <c r="C103" s="15" t="s">
        <v>13</v>
      </c>
      <c r="D103" s="23">
        <v>39456</v>
      </c>
      <c r="E103" s="12"/>
      <c r="F103" s="23">
        <v>39456</v>
      </c>
      <c r="G103" s="23"/>
    </row>
    <row r="104" spans="2:10" ht="57.6" x14ac:dyDescent="0.3">
      <c r="B104" s="16" t="s">
        <v>664</v>
      </c>
      <c r="C104" s="15" t="s">
        <v>14</v>
      </c>
      <c r="D104" s="23">
        <v>675</v>
      </c>
      <c r="E104" s="12"/>
      <c r="F104" s="23">
        <v>675</v>
      </c>
      <c r="G104" s="23"/>
    </row>
    <row r="105" spans="2:10" ht="43.2" x14ac:dyDescent="0.3">
      <c r="B105" s="16" t="s">
        <v>665</v>
      </c>
      <c r="C105" s="15" t="s">
        <v>10</v>
      </c>
      <c r="D105" s="23">
        <v>777</v>
      </c>
      <c r="E105" s="12"/>
      <c r="F105" s="23">
        <v>777</v>
      </c>
      <c r="G105" s="23"/>
    </row>
    <row r="106" spans="2:10" ht="21.6" customHeight="1" x14ac:dyDescent="0.3">
      <c r="B106" s="16" t="s">
        <v>666</v>
      </c>
      <c r="C106" s="15" t="s">
        <v>4</v>
      </c>
      <c r="D106" s="23">
        <v>40908</v>
      </c>
      <c r="E106" s="12"/>
      <c r="F106" s="23">
        <v>40908</v>
      </c>
      <c r="G106" s="23"/>
    </row>
    <row r="107" spans="2:10" x14ac:dyDescent="0.3">
      <c r="C107" s="5"/>
      <c r="D107" s="5"/>
      <c r="F107" s="5"/>
    </row>
    <row r="108" spans="2:10" x14ac:dyDescent="0.3">
      <c r="B108" s="84" t="s">
        <v>71</v>
      </c>
      <c r="C108" s="85"/>
      <c r="D108" s="24">
        <f>D106-SUM(D103:D105)</f>
        <v>0</v>
      </c>
      <c r="E108" s="24">
        <f>E106-SUM(E103:E105)</f>
        <v>0</v>
      </c>
      <c r="F108" s="24">
        <f>F106-SUM(F103:F105)</f>
        <v>0</v>
      </c>
      <c r="G108" s="24">
        <f>G106-SUM(G103:G105)</f>
        <v>0</v>
      </c>
    </row>
    <row r="110" spans="2:10" x14ac:dyDescent="0.3">
      <c r="B110" s="22" t="s">
        <v>73</v>
      </c>
      <c r="C110" s="5"/>
      <c r="D110" s="5"/>
      <c r="E110" s="5"/>
      <c r="F110" s="5"/>
    </row>
    <row r="111" spans="2:10" x14ac:dyDescent="0.3">
      <c r="B111" s="22"/>
      <c r="C111" s="5"/>
      <c r="D111" s="67" t="s">
        <v>672</v>
      </c>
      <c r="E111" s="68">
        <v>45852</v>
      </c>
      <c r="F111" s="68">
        <v>45854</v>
      </c>
      <c r="G111" s="68">
        <v>45859</v>
      </c>
      <c r="H111" s="68">
        <v>45861</v>
      </c>
      <c r="I111" s="68">
        <v>45887</v>
      </c>
    </row>
    <row r="112" spans="2:10" x14ac:dyDescent="0.3">
      <c r="B112" s="9" t="s">
        <v>61</v>
      </c>
      <c r="C112" s="11" t="s">
        <v>62</v>
      </c>
      <c r="D112" s="9" t="s">
        <v>3</v>
      </c>
      <c r="E112" s="9" t="s">
        <v>3</v>
      </c>
      <c r="F112" s="9" t="s">
        <v>3</v>
      </c>
      <c r="G112" s="9" t="s">
        <v>3</v>
      </c>
      <c r="H112" s="9" t="s">
        <v>3</v>
      </c>
      <c r="I112" s="9" t="s">
        <v>3</v>
      </c>
    </row>
    <row r="113" spans="2:12" ht="43.2" x14ac:dyDescent="0.3">
      <c r="B113" s="16" t="s">
        <v>668</v>
      </c>
      <c r="C113" s="15" t="s">
        <v>505</v>
      </c>
      <c r="D113" s="23">
        <v>125497</v>
      </c>
      <c r="E113" s="23">
        <v>125497</v>
      </c>
      <c r="F113" s="23">
        <v>125497</v>
      </c>
      <c r="G113" s="23">
        <v>125497</v>
      </c>
      <c r="H113" s="23">
        <v>251026</v>
      </c>
      <c r="I113" s="23">
        <v>251026</v>
      </c>
    </row>
    <row r="114" spans="2:12" ht="20.399999999999999" customHeight="1" x14ac:dyDescent="0.3">
      <c r="B114" s="16" t="s">
        <v>680</v>
      </c>
      <c r="C114" s="15" t="s">
        <v>670</v>
      </c>
      <c r="D114" s="23"/>
      <c r="E114" s="23"/>
      <c r="F114" s="23"/>
      <c r="G114" s="23">
        <v>125497</v>
      </c>
      <c r="H114" s="23">
        <v>251026</v>
      </c>
      <c r="I114" s="23"/>
    </row>
    <row r="115" spans="2:12" ht="43.2" x14ac:dyDescent="0.3">
      <c r="B115" s="16" t="s">
        <v>681</v>
      </c>
      <c r="C115" s="15" t="s">
        <v>671</v>
      </c>
      <c r="D115" s="23"/>
      <c r="E115" s="23"/>
      <c r="F115" s="23"/>
      <c r="G115" s="23">
        <v>118778</v>
      </c>
      <c r="H115" s="23">
        <v>236959</v>
      </c>
      <c r="I115" s="23"/>
    </row>
    <row r="116" spans="2:12" x14ac:dyDescent="0.3">
      <c r="C116" s="5"/>
      <c r="D116" s="5"/>
      <c r="E116" s="5"/>
      <c r="F116" s="5"/>
      <c r="H116" t="s">
        <v>679</v>
      </c>
      <c r="I116" t="s">
        <v>698</v>
      </c>
      <c r="L116" s="2"/>
    </row>
    <row r="117" spans="2:12" x14ac:dyDescent="0.3">
      <c r="B117" s="79" t="s">
        <v>75</v>
      </c>
      <c r="C117" s="79"/>
      <c r="D117" s="79"/>
      <c r="E117" s="79"/>
      <c r="F117" s="79"/>
      <c r="G117" s="79"/>
      <c r="H117" s="79"/>
      <c r="I117" s="79"/>
      <c r="J117" s="79"/>
      <c r="K117" s="79"/>
    </row>
    <row r="118" spans="2:12" x14ac:dyDescent="0.3">
      <c r="C118" s="5"/>
      <c r="D118" s="5"/>
      <c r="E118" s="5"/>
      <c r="F118" s="5"/>
    </row>
    <row r="119" spans="2:12" x14ac:dyDescent="0.3">
      <c r="C119" s="5"/>
      <c r="D119" s="67" t="s">
        <v>672</v>
      </c>
      <c r="E119" s="68">
        <v>45852</v>
      </c>
      <c r="F119" s="68">
        <v>45854</v>
      </c>
      <c r="G119" s="68">
        <v>45859</v>
      </c>
      <c r="H119" s="68">
        <v>45861</v>
      </c>
    </row>
    <row r="120" spans="2:12" x14ac:dyDescent="0.3">
      <c r="B120" s="9" t="s">
        <v>61</v>
      </c>
      <c r="C120" s="11" t="s">
        <v>62</v>
      </c>
      <c r="D120" s="9" t="s">
        <v>3</v>
      </c>
      <c r="E120" s="9" t="s">
        <v>3</v>
      </c>
      <c r="F120" s="9" t="s">
        <v>3</v>
      </c>
      <c r="G120" s="9" t="s">
        <v>3</v>
      </c>
      <c r="H120" s="9" t="s">
        <v>3</v>
      </c>
    </row>
    <row r="121" spans="2:12" ht="21.6" customHeight="1" x14ac:dyDescent="0.3">
      <c r="B121" s="16" t="s">
        <v>0</v>
      </c>
      <c r="C121" s="15" t="s">
        <v>504</v>
      </c>
      <c r="D121" s="23">
        <v>4221569</v>
      </c>
      <c r="E121" s="23">
        <v>4221570</v>
      </c>
      <c r="F121" s="23">
        <v>4221570</v>
      </c>
      <c r="G121" s="23">
        <f>J37</f>
        <v>4221570</v>
      </c>
      <c r="H121" s="23">
        <f>L37</f>
        <v>2139347</v>
      </c>
    </row>
    <row r="122" spans="2:12" ht="43.2" x14ac:dyDescent="0.3">
      <c r="B122" s="16" t="s">
        <v>5</v>
      </c>
      <c r="C122" s="15" t="s">
        <v>643</v>
      </c>
      <c r="D122" s="23">
        <v>2235231</v>
      </c>
      <c r="E122" s="23">
        <v>2235232</v>
      </c>
      <c r="F122" s="23">
        <v>2229516</v>
      </c>
      <c r="G122" s="23">
        <v>2228720</v>
      </c>
      <c r="H122" s="23">
        <v>2374433</v>
      </c>
    </row>
    <row r="123" spans="2:12" ht="28.8" x14ac:dyDescent="0.3">
      <c r="B123" s="16" t="s">
        <v>27</v>
      </c>
      <c r="C123" s="15" t="s">
        <v>29</v>
      </c>
      <c r="D123" s="23">
        <v>11815915</v>
      </c>
      <c r="E123" s="23">
        <v>11815915</v>
      </c>
      <c r="F123" s="23">
        <v>11815915</v>
      </c>
      <c r="G123" s="23">
        <v>11815915</v>
      </c>
      <c r="H123" s="23">
        <v>10399712</v>
      </c>
    </row>
    <row r="124" spans="2:12" ht="43.2" x14ac:dyDescent="0.3">
      <c r="B124" s="16" t="s">
        <v>17</v>
      </c>
      <c r="C124" s="15" t="s">
        <v>18</v>
      </c>
      <c r="D124" s="23">
        <v>6375150</v>
      </c>
      <c r="E124" s="23">
        <v>6375151</v>
      </c>
      <c r="F124" s="23">
        <v>6369435</v>
      </c>
      <c r="G124" s="23">
        <v>6368639</v>
      </c>
      <c r="H124" s="23">
        <v>4637378</v>
      </c>
    </row>
    <row r="125" spans="2:12" x14ac:dyDescent="0.3">
      <c r="C125" s="5"/>
      <c r="D125" s="5"/>
      <c r="E125" s="5"/>
      <c r="F125" t="s">
        <v>669</v>
      </c>
      <c r="G125" t="s">
        <v>669</v>
      </c>
      <c r="H125" t="s">
        <v>679</v>
      </c>
    </row>
    <row r="126" spans="2:12" x14ac:dyDescent="0.3">
      <c r="B126" s="25" t="s">
        <v>74</v>
      </c>
      <c r="C126" s="2"/>
      <c r="D126" s="5"/>
      <c r="E126" s="5"/>
      <c r="F126" s="5"/>
    </row>
    <row r="127" spans="2:12" x14ac:dyDescent="0.3">
      <c r="B127" s="50" t="s">
        <v>644</v>
      </c>
      <c r="D127" s="7"/>
      <c r="E127" s="5"/>
      <c r="F127" s="8"/>
    </row>
    <row r="128" spans="2:12" x14ac:dyDescent="0.3">
      <c r="B128" s="50" t="s">
        <v>645</v>
      </c>
      <c r="C128" s="5"/>
      <c r="D128" s="2"/>
    </row>
    <row r="129" spans="2:12" x14ac:dyDescent="0.3">
      <c r="B129" s="50" t="s">
        <v>506</v>
      </c>
      <c r="C129" s="5"/>
      <c r="D129" s="2"/>
    </row>
    <row r="130" spans="2:12" x14ac:dyDescent="0.3">
      <c r="B130" s="6"/>
    </row>
    <row r="131" spans="2:12" x14ac:dyDescent="0.3">
      <c r="B131" s="79" t="s">
        <v>76</v>
      </c>
      <c r="C131" s="79"/>
      <c r="D131" s="79"/>
      <c r="E131" s="79"/>
      <c r="F131" s="79"/>
      <c r="G131" s="79"/>
    </row>
    <row r="132" spans="2:12" x14ac:dyDescent="0.3">
      <c r="B132" s="6"/>
      <c r="C132" s="5"/>
    </row>
    <row r="133" spans="2:12" x14ac:dyDescent="0.3">
      <c r="B133" s="6"/>
      <c r="C133" s="5"/>
      <c r="D133" s="67" t="s">
        <v>672</v>
      </c>
      <c r="E133" s="68">
        <v>45852</v>
      </c>
      <c r="F133" s="68">
        <v>45854</v>
      </c>
      <c r="J133" s="68">
        <v>45860</v>
      </c>
      <c r="K133" s="68">
        <v>45862</v>
      </c>
    </row>
    <row r="134" spans="2:12" x14ac:dyDescent="0.3">
      <c r="B134" s="9" t="s">
        <v>61</v>
      </c>
      <c r="C134" s="11" t="s">
        <v>62</v>
      </c>
      <c r="D134" s="9" t="s">
        <v>3</v>
      </c>
      <c r="E134" s="9" t="s">
        <v>3</v>
      </c>
      <c r="F134" s="9" t="s">
        <v>3</v>
      </c>
      <c r="H134" s="9" t="s">
        <v>61</v>
      </c>
      <c r="I134" s="11" t="s">
        <v>62</v>
      </c>
      <c r="J134" s="9" t="s">
        <v>3</v>
      </c>
      <c r="K134" s="9" t="s">
        <v>3</v>
      </c>
    </row>
    <row r="135" spans="2:12" ht="55.2" customHeight="1" x14ac:dyDescent="0.3">
      <c r="B135" s="16" t="s">
        <v>6</v>
      </c>
      <c r="C135" s="15" t="s">
        <v>77</v>
      </c>
      <c r="D135" s="23">
        <v>6375329</v>
      </c>
      <c r="E135" s="23">
        <v>6375330</v>
      </c>
      <c r="F135" s="23">
        <v>6369609</v>
      </c>
      <c r="H135" s="16" t="s">
        <v>6</v>
      </c>
      <c r="I135" s="70" t="s">
        <v>77</v>
      </c>
      <c r="J135" s="23">
        <v>6368813</v>
      </c>
      <c r="K135" s="23">
        <v>4637861</v>
      </c>
      <c r="L135" s="18" t="s">
        <v>523</v>
      </c>
    </row>
    <row r="136" spans="2:12" x14ac:dyDescent="0.3">
      <c r="B136" s="26" t="s">
        <v>16</v>
      </c>
      <c r="C136" s="27"/>
      <c r="D136" s="24">
        <v>6369096</v>
      </c>
      <c r="E136" s="24">
        <v>6369096</v>
      </c>
      <c r="F136" s="24">
        <v>6363032</v>
      </c>
      <c r="H136" s="26" t="s">
        <v>16</v>
      </c>
      <c r="I136" s="71"/>
      <c r="J136" s="24">
        <v>6362236</v>
      </c>
      <c r="K136" s="24"/>
      <c r="L136" s="2"/>
    </row>
    <row r="137" spans="2:12" ht="28.8" x14ac:dyDescent="0.3">
      <c r="B137" s="16" t="s">
        <v>7</v>
      </c>
      <c r="C137" s="15" t="s">
        <v>622</v>
      </c>
      <c r="D137" s="23">
        <v>6375331</v>
      </c>
      <c r="E137" s="23">
        <v>6375332</v>
      </c>
      <c r="F137" s="23">
        <v>6369611</v>
      </c>
      <c r="H137" s="16" t="s">
        <v>7</v>
      </c>
      <c r="I137" s="70" t="s">
        <v>622</v>
      </c>
      <c r="J137" s="23">
        <v>6368815</v>
      </c>
      <c r="K137" s="23">
        <v>4637863</v>
      </c>
      <c r="L137" s="63" t="s">
        <v>623</v>
      </c>
    </row>
    <row r="138" spans="2:12" ht="43.2" x14ac:dyDescent="0.3">
      <c r="B138" s="16" t="s">
        <v>9</v>
      </c>
      <c r="C138" s="15" t="s">
        <v>19</v>
      </c>
      <c r="D138" s="23">
        <v>6375331</v>
      </c>
      <c r="E138" s="23">
        <v>6375332</v>
      </c>
      <c r="F138" s="23">
        <v>6369611</v>
      </c>
      <c r="H138" s="16" t="s">
        <v>9</v>
      </c>
      <c r="I138" s="70" t="s">
        <v>19</v>
      </c>
      <c r="J138" s="23">
        <v>6368815</v>
      </c>
      <c r="K138" s="23">
        <v>4637863</v>
      </c>
      <c r="L138" s="2"/>
    </row>
    <row r="139" spans="2:12" ht="28.8" x14ac:dyDescent="0.3">
      <c r="B139" s="16" t="s">
        <v>183</v>
      </c>
      <c r="C139" s="15" t="s">
        <v>435</v>
      </c>
      <c r="D139" s="23">
        <v>6375331</v>
      </c>
      <c r="E139" s="23">
        <v>6375332</v>
      </c>
      <c r="F139" s="23">
        <v>6369611</v>
      </c>
      <c r="H139" s="16" t="s">
        <v>183</v>
      </c>
      <c r="I139" s="70" t="s">
        <v>435</v>
      </c>
      <c r="J139" s="23">
        <v>6368815</v>
      </c>
      <c r="K139" s="23">
        <v>4637863</v>
      </c>
      <c r="L139" s="18" t="s">
        <v>637</v>
      </c>
    </row>
    <row r="140" spans="2:12" x14ac:dyDescent="0.3">
      <c r="B140" s="16" t="s">
        <v>529</v>
      </c>
      <c r="C140" s="15" t="s">
        <v>184</v>
      </c>
      <c r="D140" s="23">
        <v>6375331</v>
      </c>
      <c r="E140" s="23">
        <v>6375332</v>
      </c>
      <c r="F140" s="23">
        <v>6369611</v>
      </c>
      <c r="H140" s="16" t="s">
        <v>529</v>
      </c>
      <c r="I140" s="70" t="s">
        <v>184</v>
      </c>
      <c r="J140" s="23">
        <v>6368815</v>
      </c>
      <c r="K140" s="23">
        <v>4637863</v>
      </c>
    </row>
    <row r="141" spans="2:12" x14ac:dyDescent="0.3">
      <c r="B141" s="16" t="s">
        <v>619</v>
      </c>
      <c r="C141" s="15" t="s">
        <v>530</v>
      </c>
      <c r="D141" s="23">
        <v>6375331</v>
      </c>
      <c r="E141" s="23">
        <v>6375332</v>
      </c>
      <c r="F141" s="23">
        <v>6369611</v>
      </c>
      <c r="H141" s="16" t="s">
        <v>619</v>
      </c>
      <c r="I141" s="70" t="s">
        <v>530</v>
      </c>
      <c r="J141" s="23">
        <v>6368815</v>
      </c>
      <c r="K141" s="23">
        <v>4637863</v>
      </c>
    </row>
    <row r="142" spans="2:12" ht="57.6" x14ac:dyDescent="0.3">
      <c r="B142" s="16" t="s">
        <v>624</v>
      </c>
      <c r="C142" s="15" t="s">
        <v>630</v>
      </c>
      <c r="D142" s="23">
        <v>6375331</v>
      </c>
      <c r="E142" s="23">
        <v>6375332</v>
      </c>
      <c r="F142" s="23">
        <v>6369611</v>
      </c>
      <c r="H142" s="16" t="s">
        <v>624</v>
      </c>
      <c r="I142" s="70" t="s">
        <v>630</v>
      </c>
      <c r="J142" s="23">
        <v>6368811</v>
      </c>
      <c r="K142" s="23">
        <v>4637863</v>
      </c>
      <c r="L142" s="18" t="s">
        <v>675</v>
      </c>
    </row>
    <row r="143" spans="2:12" ht="82.2" customHeight="1" x14ac:dyDescent="0.3">
      <c r="B143" s="16" t="s">
        <v>621</v>
      </c>
      <c r="C143" s="39" t="s">
        <v>631</v>
      </c>
      <c r="D143" s="23">
        <v>6375331</v>
      </c>
      <c r="E143" s="23">
        <v>6375332</v>
      </c>
      <c r="F143" s="23">
        <v>6369611</v>
      </c>
      <c r="H143" s="73" t="s">
        <v>621</v>
      </c>
      <c r="I143" s="40" t="s">
        <v>631</v>
      </c>
      <c r="J143" s="23">
        <v>6368811</v>
      </c>
      <c r="K143" s="23">
        <v>4637842</v>
      </c>
      <c r="L143" s="18" t="s">
        <v>620</v>
      </c>
    </row>
    <row r="144" spans="2:12" ht="24.6" customHeight="1" x14ac:dyDescent="0.3">
      <c r="B144" s="16" t="s">
        <v>625</v>
      </c>
      <c r="C144" s="86" t="s">
        <v>635</v>
      </c>
      <c r="D144" s="23">
        <v>6375331</v>
      </c>
      <c r="E144" s="23">
        <v>6375332</v>
      </c>
      <c r="F144" s="23">
        <v>6369611</v>
      </c>
      <c r="H144" s="16" t="s">
        <v>625</v>
      </c>
      <c r="I144" s="72" t="s">
        <v>635</v>
      </c>
      <c r="J144" s="23">
        <v>6368811</v>
      </c>
      <c r="K144" s="23">
        <v>4637842</v>
      </c>
      <c r="L144" s="64" t="s">
        <v>638</v>
      </c>
    </row>
    <row r="145" spans="2:12" ht="24.6" customHeight="1" x14ac:dyDescent="0.3">
      <c r="B145" s="16" t="s">
        <v>626</v>
      </c>
      <c r="C145" s="87"/>
      <c r="D145" s="23">
        <v>6375331</v>
      </c>
      <c r="E145" s="23">
        <v>6375332</v>
      </c>
      <c r="F145" s="23">
        <v>6369611</v>
      </c>
      <c r="H145" s="16" t="s">
        <v>626</v>
      </c>
      <c r="I145" s="80" t="s">
        <v>632</v>
      </c>
      <c r="J145" s="23">
        <v>6368811</v>
      </c>
      <c r="K145" s="23">
        <v>4637842</v>
      </c>
      <c r="L145" s="18" t="s">
        <v>636</v>
      </c>
    </row>
    <row r="146" spans="2:12" ht="14.4" customHeight="1" x14ac:dyDescent="0.3">
      <c r="B146" s="16" t="s">
        <v>627</v>
      </c>
      <c r="C146" s="82" t="s">
        <v>632</v>
      </c>
      <c r="D146" s="23">
        <v>6375331</v>
      </c>
      <c r="E146" s="23">
        <v>6375332</v>
      </c>
      <c r="F146" s="23">
        <v>6369611</v>
      </c>
      <c r="H146" s="16" t="s">
        <v>627</v>
      </c>
      <c r="I146" s="81"/>
      <c r="J146" s="23">
        <v>6368811</v>
      </c>
      <c r="K146" s="23">
        <v>4637842</v>
      </c>
    </row>
    <row r="147" spans="2:12" x14ac:dyDescent="0.3">
      <c r="B147" s="16" t="s">
        <v>628</v>
      </c>
      <c r="C147" s="83"/>
      <c r="D147" s="23">
        <v>6375331</v>
      </c>
      <c r="E147" s="23">
        <v>6375332</v>
      </c>
      <c r="F147" s="23">
        <v>6369611</v>
      </c>
      <c r="H147" s="16" t="s">
        <v>628</v>
      </c>
      <c r="I147" s="12" t="s">
        <v>633</v>
      </c>
      <c r="J147" s="23">
        <v>2310965</v>
      </c>
      <c r="K147" s="23">
        <v>2462506</v>
      </c>
      <c r="L147" s="18" t="s">
        <v>634</v>
      </c>
    </row>
    <row r="148" spans="2:12" x14ac:dyDescent="0.3">
      <c r="B148" s="16" t="s">
        <v>629</v>
      </c>
      <c r="C148" s="12" t="s">
        <v>633</v>
      </c>
      <c r="D148" s="23">
        <v>2317470</v>
      </c>
      <c r="E148" s="23">
        <v>2317471</v>
      </c>
      <c r="F148" s="23">
        <v>2317478</v>
      </c>
      <c r="K148" s="18"/>
    </row>
    <row r="149" spans="2:12" x14ac:dyDescent="0.3">
      <c r="C149" s="2"/>
      <c r="D149" s="2"/>
      <c r="E149" s="2"/>
    </row>
    <row r="150" spans="2:12" x14ac:dyDescent="0.3">
      <c r="C150" s="2"/>
      <c r="D150" s="2"/>
      <c r="E150" s="2"/>
    </row>
    <row r="151" spans="2:12" x14ac:dyDescent="0.3">
      <c r="C151" s="2"/>
      <c r="D151" s="2"/>
      <c r="E151" s="2"/>
    </row>
    <row r="152" spans="2:12" x14ac:dyDescent="0.3">
      <c r="C152" s="2"/>
      <c r="D152" s="2"/>
      <c r="E152" s="2"/>
    </row>
    <row r="153" spans="2:12" x14ac:dyDescent="0.3">
      <c r="C153" s="2"/>
      <c r="D153" s="2"/>
      <c r="E153" s="2"/>
    </row>
  </sheetData>
  <mergeCells count="42">
    <mergeCell ref="B4:K4"/>
    <mergeCell ref="H11:N11"/>
    <mergeCell ref="B86:C86"/>
    <mergeCell ref="D35:E35"/>
    <mergeCell ref="F35:G35"/>
    <mergeCell ref="J35:K35"/>
    <mergeCell ref="B30:K30"/>
    <mergeCell ref="B39:K39"/>
    <mergeCell ref="B6:G9"/>
    <mergeCell ref="B24:C25"/>
    <mergeCell ref="B75:C75"/>
    <mergeCell ref="B32:G33"/>
    <mergeCell ref="B41:G42"/>
    <mergeCell ref="B53:C53"/>
    <mergeCell ref="B64:C64"/>
    <mergeCell ref="D56:E56"/>
    <mergeCell ref="F78:G78"/>
    <mergeCell ref="D78:E78"/>
    <mergeCell ref="D89:E89"/>
    <mergeCell ref="F89:G89"/>
    <mergeCell ref="D100:E100"/>
    <mergeCell ref="B117:K117"/>
    <mergeCell ref="I145:I146"/>
    <mergeCell ref="C146:C147"/>
    <mergeCell ref="B131:G131"/>
    <mergeCell ref="B97:C97"/>
    <mergeCell ref="B108:C108"/>
    <mergeCell ref="C144:C145"/>
    <mergeCell ref="F100:G100"/>
    <mergeCell ref="P11:V11"/>
    <mergeCell ref="L35:M35"/>
    <mergeCell ref="H45:I45"/>
    <mergeCell ref="H56:I56"/>
    <mergeCell ref="F67:G67"/>
    <mergeCell ref="H67:I67"/>
    <mergeCell ref="D11:G11"/>
    <mergeCell ref="D45:E45"/>
    <mergeCell ref="F45:G45"/>
    <mergeCell ref="F56:G56"/>
    <mergeCell ref="H35:I35"/>
    <mergeCell ref="D67:E67"/>
    <mergeCell ref="N35:O35"/>
  </mergeCells>
  <conditionalFormatting sqref="D24:G25 G25:V25 D53:I53 D86:G86 D108:G108">
    <cfRule type="cellIs" dxfId="13" priority="38" operator="equal">
      <formula>0</formula>
    </cfRule>
    <cfRule type="cellIs" dxfId="12" priority="39" operator="notEqual">
      <formula>0</formula>
    </cfRule>
  </conditionalFormatting>
  <conditionalFormatting sqref="D97:G97">
    <cfRule type="cellIs" dxfId="10" priority="5" operator="equal">
      <formula>0</formula>
    </cfRule>
    <cfRule type="cellIs" dxfId="9" priority="6" operator="notEqual">
      <formula>0</formula>
    </cfRule>
  </conditionalFormatting>
  <conditionalFormatting sqref="D64:I64">
    <cfRule type="cellIs" dxfId="7" priority="14" operator="equal">
      <formula>0</formula>
    </cfRule>
    <cfRule type="cellIs" dxfId="6" priority="15" operator="notEqual">
      <formula>0</formula>
    </cfRule>
  </conditionalFormatting>
  <conditionalFormatting sqref="D75:I75">
    <cfRule type="cellIs" dxfId="4" priority="26" operator="equal">
      <formula>0</formula>
    </cfRule>
    <cfRule type="cellIs" dxfId="3" priority="27" operator="notEqual">
      <formula>0</formula>
    </cfRule>
  </conditionalFormatting>
  <conditionalFormatting sqref="H24:V24">
    <cfRule type="cellIs" dxfId="1" priority="32" operator="equal">
      <formula>0</formula>
    </cfRule>
    <cfRule type="cellIs" dxfId="0" priority="33" operator="notEqual">
      <formula>0</formula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7" operator="containsText" id="{96B71168-D4B1-489A-944E-0AFD07008D85}">
            <xm:f>NOT(ISERROR(SEARCH("n/a",D24)))</xm:f>
            <xm:f>"n/a"</xm:f>
            <x14:dxf>
              <fill>
                <patternFill>
                  <bgColor theme="0" tint="-4.9989318521683403E-2"/>
                </patternFill>
              </fill>
            </x14:dxf>
          </x14:cfRule>
          <xm:sqref>D24:G25 G25:V25 D53:I53 D86:G86 D108:G108</xm:sqref>
        </x14:conditionalFormatting>
        <x14:conditionalFormatting xmlns:xm="http://schemas.microsoft.com/office/excel/2006/main">
          <x14:cfRule type="containsText" priority="4" operator="containsText" id="{02DEB2EF-E427-49D5-B365-7672B56E4414}">
            <xm:f>NOT(ISERROR(SEARCH("n/a",D97)))</xm:f>
            <xm:f>"n/a"</xm:f>
            <x14:dxf>
              <fill>
                <patternFill>
                  <bgColor theme="0" tint="-4.9989318521683403E-2"/>
                </patternFill>
              </fill>
            </x14:dxf>
          </x14:cfRule>
          <xm:sqref>D97:G97</xm:sqref>
        </x14:conditionalFormatting>
        <x14:conditionalFormatting xmlns:xm="http://schemas.microsoft.com/office/excel/2006/main">
          <x14:cfRule type="containsText" priority="13" operator="containsText" id="{A3AD1F9F-3A5A-4400-B8F0-C70539C5E6D2}">
            <xm:f>NOT(ISERROR(SEARCH("n/a",D64)))</xm:f>
            <xm:f>"n/a"</xm:f>
            <x14:dxf>
              <fill>
                <patternFill>
                  <bgColor theme="0" tint="-4.9989318521683403E-2"/>
                </patternFill>
              </fill>
            </x14:dxf>
          </x14:cfRule>
          <xm:sqref>D64:I64</xm:sqref>
        </x14:conditionalFormatting>
        <x14:conditionalFormatting xmlns:xm="http://schemas.microsoft.com/office/excel/2006/main">
          <x14:cfRule type="containsText" priority="25" operator="containsText" id="{E6F16981-0FE0-4B1E-AFD6-780FE6C97EF4}">
            <xm:f>NOT(ISERROR(SEARCH("n/a",D75)))</xm:f>
            <xm:f>"n/a"</xm:f>
            <x14:dxf>
              <fill>
                <patternFill>
                  <bgColor theme="0" tint="-4.9989318521683403E-2"/>
                </patternFill>
              </fill>
            </x14:dxf>
          </x14:cfRule>
          <xm:sqref>D75:I75</xm:sqref>
        </x14:conditionalFormatting>
        <x14:conditionalFormatting xmlns:xm="http://schemas.microsoft.com/office/excel/2006/main">
          <x14:cfRule type="containsText" priority="31" operator="containsText" id="{21ED83CC-D1A8-4FD0-B0B6-34C95D251BF1}">
            <xm:f>NOT(ISERROR(SEARCH("n/a",H24)))</xm:f>
            <xm:f>"n/a"</xm:f>
            <x14:dxf>
              <fill>
                <patternFill>
                  <bgColor theme="0" tint="-4.9989318521683403E-2"/>
                </patternFill>
              </fill>
            </x14:dxf>
          </x14:cfRule>
          <xm:sqref>H24:V24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D6B5C-53B7-4124-ADE7-53697B9680AD}">
  <dimension ref="B2:E12"/>
  <sheetViews>
    <sheetView workbookViewId="0">
      <selection activeCell="E11" sqref="E11"/>
    </sheetView>
  </sheetViews>
  <sheetFormatPr defaultRowHeight="14.4" x14ac:dyDescent="0.3"/>
  <cols>
    <col min="2" max="2" width="32.21875" bestFit="1" customWidth="1"/>
    <col min="3" max="3" width="19.21875" bestFit="1" customWidth="1"/>
    <col min="4" max="5" width="15.88671875" bestFit="1" customWidth="1"/>
  </cols>
  <sheetData>
    <row r="2" spans="2:5" x14ac:dyDescent="0.3">
      <c r="E2" t="s">
        <v>695</v>
      </c>
    </row>
    <row r="3" spans="2:5" x14ac:dyDescent="0.3">
      <c r="C3" s="74" t="s">
        <v>683</v>
      </c>
      <c r="D3" s="74" t="s">
        <v>684</v>
      </c>
      <c r="E3" s="74" t="s">
        <v>694</v>
      </c>
    </row>
    <row r="4" spans="2:5" x14ac:dyDescent="0.3">
      <c r="B4" t="s">
        <v>687</v>
      </c>
      <c r="C4" s="74" t="s">
        <v>688</v>
      </c>
      <c r="D4" s="74" t="s">
        <v>689</v>
      </c>
      <c r="E4" s="74" t="s">
        <v>689</v>
      </c>
    </row>
    <row r="5" spans="2:5" x14ac:dyDescent="0.3">
      <c r="B5" t="s">
        <v>682</v>
      </c>
      <c r="C5" s="2">
        <v>95854481</v>
      </c>
      <c r="D5" s="2">
        <v>12088353</v>
      </c>
      <c r="E5" s="2">
        <v>107946671</v>
      </c>
    </row>
    <row r="6" spans="2:5" x14ac:dyDescent="0.3">
      <c r="B6" t="s">
        <v>685</v>
      </c>
      <c r="C6" s="2">
        <v>50013278</v>
      </c>
      <c r="D6" s="2">
        <v>6333204</v>
      </c>
      <c r="E6" s="2">
        <v>56344730</v>
      </c>
    </row>
    <row r="7" spans="2:5" x14ac:dyDescent="0.3">
      <c r="B7" t="s">
        <v>686</v>
      </c>
      <c r="C7" s="2">
        <v>8</v>
      </c>
      <c r="D7" s="2">
        <v>1</v>
      </c>
      <c r="E7">
        <v>6</v>
      </c>
    </row>
    <row r="8" spans="2:5" x14ac:dyDescent="0.3">
      <c r="B8" t="s">
        <v>690</v>
      </c>
      <c r="C8" s="2">
        <v>724575</v>
      </c>
      <c r="D8" s="2">
        <v>88049</v>
      </c>
      <c r="E8" s="2">
        <v>870340</v>
      </c>
    </row>
    <row r="9" spans="2:5" x14ac:dyDescent="0.3">
      <c r="B9" t="s">
        <v>692</v>
      </c>
      <c r="C9" s="2">
        <v>95137509</v>
      </c>
      <c r="D9" s="2">
        <v>11596695</v>
      </c>
      <c r="E9" s="2">
        <v>23293284</v>
      </c>
    </row>
    <row r="10" spans="2:5" x14ac:dyDescent="0.3">
      <c r="B10" t="s">
        <v>691</v>
      </c>
      <c r="C10" s="2">
        <v>49259422</v>
      </c>
      <c r="D10" s="2">
        <v>6256459</v>
      </c>
      <c r="E10" s="2">
        <v>12504985</v>
      </c>
    </row>
    <row r="12" spans="2:5" x14ac:dyDescent="0.3">
      <c r="B12" s="1" t="s">
        <v>693</v>
      </c>
      <c r="C12" s="91">
        <v>55515881</v>
      </c>
      <c r="D12" s="91"/>
    </row>
  </sheetData>
  <mergeCells count="1">
    <mergeCell ref="C12:D1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967F1-E0E3-408D-89A7-0F703F8B8C9C}">
  <dimension ref="B2:AT26"/>
  <sheetViews>
    <sheetView showGridLines="0" workbookViewId="0">
      <selection activeCell="B15" sqref="B15"/>
    </sheetView>
  </sheetViews>
  <sheetFormatPr defaultRowHeight="14.4" x14ac:dyDescent="0.3"/>
  <cols>
    <col min="1" max="1" width="3.77734375" customWidth="1"/>
    <col min="2" max="2" width="10.33203125" bestFit="1" customWidth="1"/>
    <col min="3" max="3" width="8.44140625" bestFit="1" customWidth="1"/>
    <col min="4" max="4" width="12" bestFit="1" customWidth="1"/>
    <col min="5" max="6" width="16.109375" bestFit="1" customWidth="1"/>
    <col min="7" max="7" width="10.33203125" bestFit="1" customWidth="1"/>
    <col min="8" max="8" width="12.6640625" bestFit="1" customWidth="1"/>
    <col min="9" max="9" width="10.77734375" bestFit="1" customWidth="1"/>
    <col min="10" max="10" width="11.109375" bestFit="1" customWidth="1"/>
    <col min="11" max="11" width="10.77734375" bestFit="1" customWidth="1"/>
    <col min="12" max="12" width="11.109375" bestFit="1" customWidth="1"/>
    <col min="13" max="13" width="10.77734375" bestFit="1" customWidth="1"/>
    <col min="14" max="14" width="11.109375" bestFit="1" customWidth="1"/>
    <col min="15" max="15" width="10.77734375" bestFit="1" customWidth="1"/>
    <col min="16" max="16" width="11.109375" bestFit="1" customWidth="1"/>
    <col min="17" max="17" width="10.77734375" bestFit="1" customWidth="1"/>
    <col min="18" max="18" width="14.109375" bestFit="1" customWidth="1"/>
    <col min="19" max="19" width="13.5546875" bestFit="1" customWidth="1"/>
    <col min="20" max="20" width="10.77734375" bestFit="1" customWidth="1"/>
    <col min="21" max="21" width="14.109375" bestFit="1" customWidth="1"/>
    <col min="22" max="22" width="13.5546875" bestFit="1" customWidth="1"/>
    <col min="23" max="23" width="10.77734375" bestFit="1" customWidth="1"/>
    <col min="24" max="24" width="14.109375" bestFit="1" customWidth="1"/>
    <col min="25" max="25" width="13.5546875" bestFit="1" customWidth="1"/>
    <col min="26" max="26" width="10.77734375" bestFit="1" customWidth="1"/>
    <col min="27" max="27" width="11.109375" bestFit="1" customWidth="1"/>
    <col min="28" max="28" width="10.77734375" bestFit="1" customWidth="1"/>
    <col min="29" max="29" width="11.109375" bestFit="1" customWidth="1"/>
    <col min="30" max="30" width="10.77734375" bestFit="1" customWidth="1"/>
    <col min="31" max="31" width="11.109375" bestFit="1" customWidth="1"/>
    <col min="32" max="32" width="11.44140625" bestFit="1" customWidth="1"/>
    <col min="33" max="33" width="14.77734375" bestFit="1" customWidth="1"/>
    <col min="34" max="34" width="14.21875" bestFit="1" customWidth="1"/>
    <col min="35" max="35" width="11.77734375" bestFit="1" customWidth="1"/>
    <col min="36" max="36" width="12.109375" bestFit="1" customWidth="1"/>
    <col min="37" max="37" width="10.77734375" bestFit="1" customWidth="1"/>
    <col min="38" max="38" width="11.109375" bestFit="1" customWidth="1"/>
    <col min="39" max="39" width="10.77734375" bestFit="1" customWidth="1"/>
    <col min="40" max="40" width="11.109375" bestFit="1" customWidth="1"/>
    <col min="41" max="41" width="10.77734375" bestFit="1" customWidth="1"/>
    <col min="42" max="42" width="11.109375" bestFit="1" customWidth="1"/>
    <col min="43" max="43" width="10.77734375" bestFit="1" customWidth="1"/>
    <col min="44" max="44" width="11.109375" bestFit="1" customWidth="1"/>
    <col min="45" max="45" width="11.5546875" bestFit="1" customWidth="1"/>
  </cols>
  <sheetData>
    <row r="2" spans="2:46" x14ac:dyDescent="0.3">
      <c r="B2" s="1" t="s">
        <v>507</v>
      </c>
    </row>
    <row r="4" spans="2:46" x14ac:dyDescent="0.3">
      <c r="B4" s="51" t="s">
        <v>31</v>
      </c>
      <c r="C4" s="51" t="s">
        <v>11</v>
      </c>
      <c r="D4" s="51" t="s">
        <v>35</v>
      </c>
      <c r="E4" s="51" t="s">
        <v>36</v>
      </c>
      <c r="F4" s="51" t="s">
        <v>447</v>
      </c>
      <c r="G4" s="51" t="s">
        <v>99</v>
      </c>
      <c r="H4" s="51" t="s">
        <v>84</v>
      </c>
      <c r="I4" s="51" t="s">
        <v>448</v>
      </c>
      <c r="J4" s="51" t="s">
        <v>449</v>
      </c>
      <c r="K4" s="51" t="s">
        <v>450</v>
      </c>
      <c r="L4" s="51" t="s">
        <v>451</v>
      </c>
      <c r="M4" s="51" t="s">
        <v>452</v>
      </c>
      <c r="N4" s="51" t="s">
        <v>453</v>
      </c>
      <c r="O4" s="51" t="s">
        <v>454</v>
      </c>
      <c r="P4" s="51" t="s">
        <v>455</v>
      </c>
      <c r="Q4" s="51" t="s">
        <v>456</v>
      </c>
      <c r="R4" s="51" t="s">
        <v>457</v>
      </c>
      <c r="S4" s="51" t="s">
        <v>458</v>
      </c>
      <c r="T4" s="51" t="s">
        <v>459</v>
      </c>
      <c r="U4" s="51" t="s">
        <v>460</v>
      </c>
      <c r="V4" s="51" t="s">
        <v>461</v>
      </c>
      <c r="W4" s="51" t="s">
        <v>462</v>
      </c>
      <c r="X4" s="51" t="s">
        <v>463</v>
      </c>
      <c r="Y4" s="51" t="s">
        <v>464</v>
      </c>
      <c r="Z4" s="51" t="s">
        <v>465</v>
      </c>
      <c r="AA4" s="51" t="s">
        <v>466</v>
      </c>
      <c r="AB4" s="51" t="s">
        <v>467</v>
      </c>
      <c r="AC4" s="51" t="s">
        <v>468</v>
      </c>
      <c r="AD4" s="51" t="s">
        <v>469</v>
      </c>
      <c r="AE4" s="51" t="s">
        <v>470</v>
      </c>
      <c r="AF4" s="51" t="s">
        <v>471</v>
      </c>
      <c r="AG4" s="51" t="s">
        <v>472</v>
      </c>
      <c r="AH4" s="51" t="s">
        <v>473</v>
      </c>
      <c r="AI4" s="51" t="s">
        <v>474</v>
      </c>
      <c r="AJ4" s="51" t="s">
        <v>475</v>
      </c>
      <c r="AK4" s="51" t="s">
        <v>476</v>
      </c>
      <c r="AL4" s="51" t="s">
        <v>477</v>
      </c>
      <c r="AM4" s="51" t="s">
        <v>478</v>
      </c>
      <c r="AN4" s="51" t="s">
        <v>479</v>
      </c>
      <c r="AO4" s="51" t="s">
        <v>480</v>
      </c>
      <c r="AP4" s="51" t="s">
        <v>481</v>
      </c>
      <c r="AQ4" s="51" t="s">
        <v>482</v>
      </c>
      <c r="AR4" s="51" t="s">
        <v>483</v>
      </c>
      <c r="AS4" s="51" t="s">
        <v>121</v>
      </c>
    </row>
    <row r="5" spans="2:46" x14ac:dyDescent="0.3">
      <c r="B5" s="12" t="s">
        <v>484</v>
      </c>
      <c r="C5" s="12" t="s">
        <v>88</v>
      </c>
      <c r="D5" s="12" t="s">
        <v>89</v>
      </c>
      <c r="E5" s="12" t="s">
        <v>485</v>
      </c>
      <c r="F5" s="12" t="s">
        <v>120</v>
      </c>
      <c r="G5" s="12" t="s">
        <v>486</v>
      </c>
      <c r="H5" s="12" t="s">
        <v>124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X5" s="52">
        <v>0</v>
      </c>
      <c r="Y5" s="52">
        <v>0</v>
      </c>
      <c r="Z5" s="52">
        <v>0</v>
      </c>
      <c r="AA5" s="52">
        <v>0</v>
      </c>
      <c r="AB5" s="52">
        <v>0</v>
      </c>
      <c r="AC5" s="52">
        <v>0</v>
      </c>
      <c r="AD5" s="52">
        <v>0</v>
      </c>
      <c r="AE5" s="52">
        <v>0</v>
      </c>
      <c r="AF5" s="52">
        <v>-0.28000000000000003</v>
      </c>
      <c r="AG5" s="52">
        <v>0</v>
      </c>
      <c r="AH5" s="52">
        <v>0</v>
      </c>
      <c r="AI5" s="52">
        <v>0</v>
      </c>
      <c r="AJ5" s="52">
        <v>0</v>
      </c>
      <c r="AK5" s="52" t="s">
        <v>40</v>
      </c>
      <c r="AL5" s="52" t="s">
        <v>40</v>
      </c>
      <c r="AM5" s="52" t="s">
        <v>40</v>
      </c>
      <c r="AN5" s="52" t="s">
        <v>40</v>
      </c>
      <c r="AO5" s="52" t="s">
        <v>40</v>
      </c>
      <c r="AP5" s="52" t="s">
        <v>40</v>
      </c>
      <c r="AQ5" s="52" t="s">
        <v>40</v>
      </c>
      <c r="AR5" s="52" t="s">
        <v>40</v>
      </c>
      <c r="AS5" s="12" t="s">
        <v>40</v>
      </c>
      <c r="AT5" s="48" t="s">
        <v>441</v>
      </c>
    </row>
    <row r="6" spans="2:46" x14ac:dyDescent="0.3">
      <c r="B6" s="12" t="s">
        <v>484</v>
      </c>
      <c r="C6" s="12" t="s">
        <v>88</v>
      </c>
      <c r="D6" s="12" t="s">
        <v>89</v>
      </c>
      <c r="E6" s="12" t="s">
        <v>485</v>
      </c>
      <c r="F6" s="12" t="s">
        <v>120</v>
      </c>
      <c r="G6" s="12" t="s">
        <v>191</v>
      </c>
      <c r="H6" s="12" t="s">
        <v>124</v>
      </c>
      <c r="I6" s="52" t="s">
        <v>40</v>
      </c>
      <c r="J6" s="52" t="s">
        <v>40</v>
      </c>
      <c r="K6" s="52" t="s">
        <v>40</v>
      </c>
      <c r="L6" s="52" t="s">
        <v>40</v>
      </c>
      <c r="M6" s="52" t="s">
        <v>40</v>
      </c>
      <c r="N6" s="52" t="s">
        <v>40</v>
      </c>
      <c r="O6" s="52" t="s">
        <v>40</v>
      </c>
      <c r="P6" s="52" t="s">
        <v>40</v>
      </c>
      <c r="Q6" s="52" t="s">
        <v>40</v>
      </c>
      <c r="R6" s="52" t="s">
        <v>40</v>
      </c>
      <c r="S6" s="52" t="s">
        <v>40</v>
      </c>
      <c r="T6" s="52" t="s">
        <v>40</v>
      </c>
      <c r="U6" s="52" t="s">
        <v>40</v>
      </c>
      <c r="V6" s="52" t="s">
        <v>40</v>
      </c>
      <c r="W6" s="52" t="s">
        <v>40</v>
      </c>
      <c r="X6" s="52" t="s">
        <v>40</v>
      </c>
      <c r="Y6" s="52" t="s">
        <v>40</v>
      </c>
      <c r="Z6" s="52" t="s">
        <v>40</v>
      </c>
      <c r="AA6" s="52" t="s">
        <v>40</v>
      </c>
      <c r="AB6" s="52" t="s">
        <v>40</v>
      </c>
      <c r="AC6" s="52" t="s">
        <v>40</v>
      </c>
      <c r="AD6" s="52" t="s">
        <v>40</v>
      </c>
      <c r="AE6" s="52" t="s">
        <v>40</v>
      </c>
      <c r="AF6" s="52" t="s">
        <v>40</v>
      </c>
      <c r="AG6" s="52" t="s">
        <v>40</v>
      </c>
      <c r="AH6" s="52" t="s">
        <v>40</v>
      </c>
      <c r="AI6" s="52" t="s">
        <v>40</v>
      </c>
      <c r="AJ6" s="52" t="s">
        <v>40</v>
      </c>
      <c r="AK6" s="52">
        <v>4.5</v>
      </c>
      <c r="AL6" s="52">
        <v>0</v>
      </c>
      <c r="AM6" s="52">
        <v>0</v>
      </c>
      <c r="AN6" s="52">
        <v>0</v>
      </c>
      <c r="AO6" s="52">
        <v>0</v>
      </c>
      <c r="AP6" s="52">
        <v>0</v>
      </c>
      <c r="AQ6" s="52">
        <v>0</v>
      </c>
      <c r="AR6" s="52">
        <v>0</v>
      </c>
      <c r="AS6" s="12" t="s">
        <v>40</v>
      </c>
      <c r="AT6" s="49" t="s">
        <v>441</v>
      </c>
    </row>
    <row r="7" spans="2:46" x14ac:dyDescent="0.3">
      <c r="B7" s="12" t="s">
        <v>484</v>
      </c>
      <c r="C7" s="12" t="s">
        <v>88</v>
      </c>
      <c r="D7" s="12" t="s">
        <v>89</v>
      </c>
      <c r="E7" s="12" t="s">
        <v>485</v>
      </c>
      <c r="F7" s="12" t="s">
        <v>120</v>
      </c>
      <c r="G7" s="12" t="s">
        <v>487</v>
      </c>
      <c r="H7" s="12" t="s">
        <v>124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2002.79</v>
      </c>
      <c r="R7" s="52">
        <v>0</v>
      </c>
      <c r="S7" s="52">
        <v>2002.79</v>
      </c>
      <c r="T7" s="52">
        <v>0</v>
      </c>
      <c r="U7" s="52">
        <v>0</v>
      </c>
      <c r="V7" s="52">
        <v>0</v>
      </c>
      <c r="W7" s="52">
        <v>0</v>
      </c>
      <c r="X7" s="52">
        <v>0</v>
      </c>
      <c r="Y7" s="52">
        <v>0</v>
      </c>
      <c r="Z7" s="52">
        <v>0</v>
      </c>
      <c r="AA7" s="52">
        <v>0</v>
      </c>
      <c r="AB7" s="52">
        <v>0</v>
      </c>
      <c r="AC7" s="52">
        <v>0</v>
      </c>
      <c r="AD7" s="52">
        <v>0</v>
      </c>
      <c r="AE7" s="52">
        <v>0</v>
      </c>
      <c r="AF7" s="52">
        <v>0.19</v>
      </c>
      <c r="AG7" s="52">
        <v>0</v>
      </c>
      <c r="AH7" s="52">
        <v>0</v>
      </c>
      <c r="AI7" s="52">
        <v>0</v>
      </c>
      <c r="AJ7" s="52">
        <v>0</v>
      </c>
      <c r="AK7" s="52" t="s">
        <v>40</v>
      </c>
      <c r="AL7" s="52" t="s">
        <v>40</v>
      </c>
      <c r="AM7" s="52" t="s">
        <v>40</v>
      </c>
      <c r="AN7" s="52" t="s">
        <v>40</v>
      </c>
      <c r="AO7" s="52" t="s">
        <v>40</v>
      </c>
      <c r="AP7" s="52" t="s">
        <v>40</v>
      </c>
      <c r="AQ7" s="52" t="s">
        <v>40</v>
      </c>
      <c r="AR7" s="52" t="s">
        <v>40</v>
      </c>
      <c r="AS7" s="12" t="s">
        <v>40</v>
      </c>
      <c r="AT7" s="48" t="s">
        <v>441</v>
      </c>
    </row>
    <row r="8" spans="2:46" x14ac:dyDescent="0.3">
      <c r="B8" s="12" t="s">
        <v>484</v>
      </c>
      <c r="C8" s="12" t="s">
        <v>88</v>
      </c>
      <c r="D8" s="12" t="s">
        <v>89</v>
      </c>
      <c r="E8" s="12" t="s">
        <v>488</v>
      </c>
      <c r="F8" s="12" t="s">
        <v>120</v>
      </c>
      <c r="G8" s="12" t="s">
        <v>492</v>
      </c>
      <c r="H8" s="12" t="s">
        <v>490</v>
      </c>
      <c r="I8" s="52">
        <v>24907.47</v>
      </c>
      <c r="J8" s="52">
        <v>24907.47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48767.519999999997</v>
      </c>
      <c r="U8" s="52">
        <v>0</v>
      </c>
      <c r="V8" s="52">
        <v>48767.519999999997</v>
      </c>
      <c r="W8" s="52">
        <v>24907.47</v>
      </c>
      <c r="X8" s="52">
        <v>0</v>
      </c>
      <c r="Y8" s="52">
        <v>24907.47</v>
      </c>
      <c r="Z8" s="52">
        <v>16.14</v>
      </c>
      <c r="AA8" s="52">
        <v>16.14</v>
      </c>
      <c r="AB8" s="52">
        <v>0</v>
      </c>
      <c r="AC8" s="52">
        <v>0</v>
      </c>
      <c r="AD8" s="52">
        <v>64.489999999999995</v>
      </c>
      <c r="AE8" s="52">
        <v>64.489999999999995</v>
      </c>
      <c r="AF8" s="52">
        <v>6441.86</v>
      </c>
      <c r="AG8" s="52">
        <v>0</v>
      </c>
      <c r="AH8" s="52">
        <v>0</v>
      </c>
      <c r="AI8" s="52">
        <v>0</v>
      </c>
      <c r="AJ8" s="52">
        <v>0</v>
      </c>
      <c r="AK8" s="52" t="s">
        <v>40</v>
      </c>
      <c r="AL8" s="52" t="s">
        <v>40</v>
      </c>
      <c r="AM8" s="52" t="s">
        <v>40</v>
      </c>
      <c r="AN8" s="52" t="s">
        <v>40</v>
      </c>
      <c r="AO8" s="52" t="s">
        <v>40</v>
      </c>
      <c r="AP8" s="52" t="s">
        <v>40</v>
      </c>
      <c r="AQ8" s="52" t="s">
        <v>40</v>
      </c>
      <c r="AR8" s="52" t="s">
        <v>40</v>
      </c>
      <c r="AS8" s="12" t="s">
        <v>491</v>
      </c>
      <c r="AT8" s="48" t="s">
        <v>441</v>
      </c>
    </row>
    <row r="9" spans="2:46" x14ac:dyDescent="0.3">
      <c r="B9" s="12" t="s">
        <v>484</v>
      </c>
      <c r="C9" s="12" t="s">
        <v>88</v>
      </c>
      <c r="D9" s="12" t="s">
        <v>89</v>
      </c>
      <c r="E9" s="12" t="s">
        <v>488</v>
      </c>
      <c r="F9" s="12" t="s">
        <v>120</v>
      </c>
      <c r="G9" s="12" t="s">
        <v>489</v>
      </c>
      <c r="H9" s="12" t="s">
        <v>490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X9" s="52">
        <v>0</v>
      </c>
      <c r="Y9" s="52">
        <v>0</v>
      </c>
      <c r="Z9" s="52">
        <v>0</v>
      </c>
      <c r="AA9" s="52">
        <v>0</v>
      </c>
      <c r="AB9" s="52">
        <v>0</v>
      </c>
      <c r="AC9" s="52">
        <v>0</v>
      </c>
      <c r="AD9" s="52">
        <v>0</v>
      </c>
      <c r="AE9" s="52">
        <v>0</v>
      </c>
      <c r="AF9" s="52">
        <v>-5797.75</v>
      </c>
      <c r="AG9" s="52">
        <v>0</v>
      </c>
      <c r="AH9" s="52">
        <v>0</v>
      </c>
      <c r="AI9" s="52">
        <v>0</v>
      </c>
      <c r="AJ9" s="52">
        <v>0</v>
      </c>
      <c r="AK9" s="52" t="s">
        <v>40</v>
      </c>
      <c r="AL9" s="52" t="s">
        <v>40</v>
      </c>
      <c r="AM9" s="52" t="s">
        <v>40</v>
      </c>
      <c r="AN9" s="52" t="s">
        <v>40</v>
      </c>
      <c r="AO9" s="52" t="s">
        <v>40</v>
      </c>
      <c r="AP9" s="52" t="s">
        <v>40</v>
      </c>
      <c r="AQ9" s="52" t="s">
        <v>40</v>
      </c>
      <c r="AR9" s="52" t="s">
        <v>40</v>
      </c>
      <c r="AS9" s="12" t="s">
        <v>491</v>
      </c>
      <c r="AT9" s="48" t="s">
        <v>441</v>
      </c>
    </row>
    <row r="10" spans="2:46" x14ac:dyDescent="0.3">
      <c r="B10" s="12" t="s">
        <v>484</v>
      </c>
      <c r="C10" s="12" t="s">
        <v>88</v>
      </c>
      <c r="D10" s="12" t="s">
        <v>119</v>
      </c>
      <c r="E10" s="12" t="s">
        <v>493</v>
      </c>
      <c r="F10" s="12" t="s">
        <v>120</v>
      </c>
      <c r="G10" s="12" t="s">
        <v>494</v>
      </c>
      <c r="H10" s="12" t="s">
        <v>124</v>
      </c>
      <c r="I10" s="52">
        <v>2187.42</v>
      </c>
      <c r="J10" s="52">
        <v>2187.42</v>
      </c>
      <c r="K10" s="52">
        <v>2157.1</v>
      </c>
      <c r="L10" s="52">
        <v>2157.1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2187.42</v>
      </c>
      <c r="X10" s="52">
        <v>0</v>
      </c>
      <c r="Y10" s="52">
        <v>2187.42</v>
      </c>
      <c r="Z10" s="52">
        <v>14.5</v>
      </c>
      <c r="AA10" s="52">
        <v>14.5</v>
      </c>
      <c r="AB10" s="52">
        <v>0</v>
      </c>
      <c r="AC10" s="52">
        <v>0</v>
      </c>
      <c r="AD10" s="52">
        <v>-0.63</v>
      </c>
      <c r="AE10" s="52">
        <v>-0.63</v>
      </c>
      <c r="AF10" s="52">
        <v>-0.1</v>
      </c>
      <c r="AG10" s="52">
        <v>0</v>
      </c>
      <c r="AH10" s="52">
        <v>0</v>
      </c>
      <c r="AI10" s="52">
        <v>0</v>
      </c>
      <c r="AJ10" s="52">
        <v>0</v>
      </c>
      <c r="AK10" s="52">
        <v>2.2999999999999998</v>
      </c>
      <c r="AL10" s="52">
        <v>0</v>
      </c>
      <c r="AM10" s="52">
        <v>0</v>
      </c>
      <c r="AN10" s="52">
        <v>0</v>
      </c>
      <c r="AO10" s="52">
        <v>0</v>
      </c>
      <c r="AP10" s="52">
        <v>0</v>
      </c>
      <c r="AQ10" s="52">
        <v>0</v>
      </c>
      <c r="AR10" s="52">
        <v>0</v>
      </c>
      <c r="AS10" s="12" t="s">
        <v>495</v>
      </c>
      <c r="AT10" s="48" t="s">
        <v>441</v>
      </c>
    </row>
    <row r="11" spans="2:46" x14ac:dyDescent="0.3">
      <c r="B11" s="12" t="s">
        <v>484</v>
      </c>
      <c r="C11" s="12" t="s">
        <v>88</v>
      </c>
      <c r="D11" s="12" t="s">
        <v>288</v>
      </c>
      <c r="E11" s="12" t="s">
        <v>496</v>
      </c>
      <c r="F11" s="12" t="s">
        <v>120</v>
      </c>
      <c r="G11" s="12" t="s">
        <v>487</v>
      </c>
      <c r="H11" s="12" t="s">
        <v>490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1000</v>
      </c>
      <c r="R11" s="52">
        <v>0</v>
      </c>
      <c r="S11" s="52">
        <v>1000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Z11" s="52">
        <v>0</v>
      </c>
      <c r="AA11" s="52">
        <v>0</v>
      </c>
      <c r="AB11" s="52">
        <v>0</v>
      </c>
      <c r="AC11" s="52">
        <v>0</v>
      </c>
      <c r="AD11" s="52">
        <v>0</v>
      </c>
      <c r="AE11" s="52">
        <v>0</v>
      </c>
      <c r="AF11" s="52">
        <v>0</v>
      </c>
      <c r="AG11" s="52">
        <v>0</v>
      </c>
      <c r="AH11" s="52">
        <v>0</v>
      </c>
      <c r="AI11" s="52">
        <v>0</v>
      </c>
      <c r="AJ11" s="52">
        <v>0</v>
      </c>
      <c r="AK11" s="52" t="s">
        <v>40</v>
      </c>
      <c r="AL11" s="52" t="s">
        <v>40</v>
      </c>
      <c r="AM11" s="52" t="s">
        <v>40</v>
      </c>
      <c r="AN11" s="52" t="s">
        <v>40</v>
      </c>
      <c r="AO11" s="52" t="s">
        <v>40</v>
      </c>
      <c r="AP11" s="52" t="s">
        <v>40</v>
      </c>
      <c r="AQ11" s="52" t="s">
        <v>40</v>
      </c>
      <c r="AR11" s="52" t="s">
        <v>40</v>
      </c>
      <c r="AS11" s="12" t="s">
        <v>40</v>
      </c>
      <c r="AT11" s="48" t="s">
        <v>441</v>
      </c>
    </row>
    <row r="12" spans="2:46" x14ac:dyDescent="0.3">
      <c r="B12" s="12" t="s">
        <v>484</v>
      </c>
      <c r="C12" s="12" t="s">
        <v>88</v>
      </c>
      <c r="D12" s="12" t="s">
        <v>126</v>
      </c>
      <c r="E12" s="12" t="s">
        <v>497</v>
      </c>
      <c r="F12" s="12" t="s">
        <v>120</v>
      </c>
      <c r="G12" s="12" t="s">
        <v>498</v>
      </c>
      <c r="H12" s="12" t="s">
        <v>124</v>
      </c>
      <c r="I12" s="52">
        <v>184.98</v>
      </c>
      <c r="J12" s="52">
        <v>184.98</v>
      </c>
      <c r="K12" s="52">
        <v>175</v>
      </c>
      <c r="L12" s="52">
        <v>175</v>
      </c>
      <c r="M12" s="52">
        <v>0</v>
      </c>
      <c r="N12" s="52">
        <v>0</v>
      </c>
      <c r="O12" s="52">
        <v>0</v>
      </c>
      <c r="P12" s="52">
        <v>0</v>
      </c>
      <c r="Q12" s="52">
        <v>825</v>
      </c>
      <c r="R12" s="52">
        <v>0</v>
      </c>
      <c r="S12" s="52">
        <v>825</v>
      </c>
      <c r="T12" s="52">
        <v>0</v>
      </c>
      <c r="U12" s="52">
        <v>0</v>
      </c>
      <c r="V12" s="52">
        <v>0</v>
      </c>
      <c r="W12" s="52">
        <v>184.98</v>
      </c>
      <c r="X12" s="52">
        <v>0</v>
      </c>
      <c r="Y12" s="52">
        <v>184.98</v>
      </c>
      <c r="Z12" s="52">
        <v>0</v>
      </c>
      <c r="AA12" s="52">
        <v>0</v>
      </c>
      <c r="AB12" s="52">
        <v>0</v>
      </c>
      <c r="AC12" s="52">
        <v>0</v>
      </c>
      <c r="AD12" s="52">
        <v>0.49</v>
      </c>
      <c r="AE12" s="52">
        <v>0.49</v>
      </c>
      <c r="AF12" s="52">
        <v>-0.06</v>
      </c>
      <c r="AG12" s="52">
        <v>0</v>
      </c>
      <c r="AH12" s="52">
        <v>0</v>
      </c>
      <c r="AI12" s="52">
        <v>0</v>
      </c>
      <c r="AJ12" s="52">
        <v>0</v>
      </c>
      <c r="AK12" s="52" t="s">
        <v>40</v>
      </c>
      <c r="AL12" s="52" t="s">
        <v>40</v>
      </c>
      <c r="AM12" s="52" t="s">
        <v>40</v>
      </c>
      <c r="AN12" s="52" t="s">
        <v>40</v>
      </c>
      <c r="AO12" s="52" t="s">
        <v>40</v>
      </c>
      <c r="AP12" s="52" t="s">
        <v>40</v>
      </c>
      <c r="AQ12" s="52" t="s">
        <v>40</v>
      </c>
      <c r="AR12" s="52" t="s">
        <v>40</v>
      </c>
      <c r="AS12" s="12" t="s">
        <v>499</v>
      </c>
      <c r="AT12" s="48" t="s">
        <v>441</v>
      </c>
    </row>
    <row r="13" spans="2:46" x14ac:dyDescent="0.3">
      <c r="B13" s="12" t="s">
        <v>484</v>
      </c>
      <c r="C13" s="12" t="s">
        <v>88</v>
      </c>
      <c r="D13" s="12" t="s">
        <v>126</v>
      </c>
      <c r="E13" s="12" t="s">
        <v>500</v>
      </c>
      <c r="F13" s="12" t="s">
        <v>120</v>
      </c>
      <c r="G13" s="12" t="s">
        <v>498</v>
      </c>
      <c r="H13" s="12" t="s">
        <v>490</v>
      </c>
      <c r="I13" s="52">
        <v>6521.56</v>
      </c>
      <c r="J13" s="52">
        <v>6521.56</v>
      </c>
      <c r="K13" s="52">
        <v>6543.6</v>
      </c>
      <c r="L13" s="52">
        <v>6543.6</v>
      </c>
      <c r="M13" s="52">
        <v>0</v>
      </c>
      <c r="N13" s="52">
        <v>0</v>
      </c>
      <c r="O13" s="52">
        <v>32.85</v>
      </c>
      <c r="P13" s="52">
        <v>32.85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6521.56</v>
      </c>
      <c r="X13" s="52">
        <v>0</v>
      </c>
      <c r="Y13" s="52">
        <v>6521.56</v>
      </c>
      <c r="Z13" s="52">
        <v>33.01</v>
      </c>
      <c r="AA13" s="52">
        <v>33.01</v>
      </c>
      <c r="AB13" s="52">
        <v>0</v>
      </c>
      <c r="AC13" s="52">
        <v>0</v>
      </c>
      <c r="AD13" s="52">
        <v>16.96</v>
      </c>
      <c r="AE13" s="52">
        <v>16.96</v>
      </c>
      <c r="AF13" s="52">
        <v>2.11</v>
      </c>
      <c r="AG13" s="52">
        <v>0</v>
      </c>
      <c r="AH13" s="52">
        <v>0</v>
      </c>
      <c r="AI13" s="52">
        <v>0</v>
      </c>
      <c r="AJ13" s="52">
        <v>0</v>
      </c>
      <c r="AK13" s="52" t="s">
        <v>40</v>
      </c>
      <c r="AL13" s="52" t="s">
        <v>40</v>
      </c>
      <c r="AM13" s="52" t="s">
        <v>40</v>
      </c>
      <c r="AN13" s="52" t="s">
        <v>40</v>
      </c>
      <c r="AO13" s="52" t="s">
        <v>40</v>
      </c>
      <c r="AP13" s="52" t="s">
        <v>40</v>
      </c>
      <c r="AQ13" s="52" t="s">
        <v>40</v>
      </c>
      <c r="AR13" s="52" t="s">
        <v>40</v>
      </c>
      <c r="AS13" s="12" t="s">
        <v>501</v>
      </c>
      <c r="AT13" s="48" t="s">
        <v>441</v>
      </c>
    </row>
    <row r="15" spans="2:46" x14ac:dyDescent="0.3">
      <c r="B15" s="1" t="s">
        <v>508</v>
      </c>
    </row>
    <row r="17" spans="2:9" x14ac:dyDescent="0.3">
      <c r="B17" s="51" t="s">
        <v>11</v>
      </c>
      <c r="C17" s="51" t="s">
        <v>35</v>
      </c>
      <c r="D17" s="51" t="s">
        <v>36</v>
      </c>
      <c r="E17" s="51" t="s">
        <v>447</v>
      </c>
      <c r="F17" s="51" t="s">
        <v>84</v>
      </c>
      <c r="G17" s="51" t="s">
        <v>31</v>
      </c>
      <c r="H17" s="51" t="s">
        <v>509</v>
      </c>
    </row>
    <row r="18" spans="2:9" x14ac:dyDescent="0.3">
      <c r="B18" s="12" t="s">
        <v>88</v>
      </c>
      <c r="C18" s="12" t="s">
        <v>89</v>
      </c>
      <c r="D18" s="12" t="s">
        <v>510</v>
      </c>
      <c r="E18" s="12" t="s">
        <v>511</v>
      </c>
      <c r="F18" s="12" t="s">
        <v>234</v>
      </c>
      <c r="G18" s="12" t="s">
        <v>512</v>
      </c>
      <c r="H18" s="12" t="s">
        <v>512</v>
      </c>
      <c r="I18" s="49" t="s">
        <v>441</v>
      </c>
    </row>
    <row r="19" spans="2:9" x14ac:dyDescent="0.3">
      <c r="B19" s="12" t="s">
        <v>88</v>
      </c>
      <c r="C19" s="12" t="s">
        <v>89</v>
      </c>
      <c r="D19" s="12" t="s">
        <v>513</v>
      </c>
      <c r="E19" s="12" t="s">
        <v>514</v>
      </c>
      <c r="F19" s="12" t="s">
        <v>124</v>
      </c>
      <c r="G19" s="12" t="s">
        <v>512</v>
      </c>
      <c r="H19" s="12" t="s">
        <v>512</v>
      </c>
      <c r="I19" s="49" t="s">
        <v>441</v>
      </c>
    </row>
    <row r="20" spans="2:9" x14ac:dyDescent="0.3">
      <c r="B20" s="12" t="s">
        <v>88</v>
      </c>
      <c r="C20" s="12" t="s">
        <v>89</v>
      </c>
      <c r="D20" s="12" t="s">
        <v>515</v>
      </c>
      <c r="E20" s="12" t="s">
        <v>120</v>
      </c>
      <c r="F20" s="12" t="s">
        <v>124</v>
      </c>
      <c r="G20" s="12" t="s">
        <v>512</v>
      </c>
      <c r="H20" s="12" t="s">
        <v>512</v>
      </c>
      <c r="I20" s="49" t="s">
        <v>441</v>
      </c>
    </row>
    <row r="21" spans="2:9" x14ac:dyDescent="0.3">
      <c r="B21" s="12" t="s">
        <v>88</v>
      </c>
      <c r="C21" s="12" t="s">
        <v>89</v>
      </c>
      <c r="D21" s="12" t="s">
        <v>516</v>
      </c>
      <c r="E21" s="12" t="s">
        <v>120</v>
      </c>
      <c r="F21" s="12" t="s">
        <v>490</v>
      </c>
      <c r="G21" s="12" t="s">
        <v>86</v>
      </c>
      <c r="H21" s="12" t="s">
        <v>86</v>
      </c>
      <c r="I21" s="49" t="s">
        <v>441</v>
      </c>
    </row>
    <row r="22" spans="2:9" x14ac:dyDescent="0.3">
      <c r="B22" s="12" t="s">
        <v>88</v>
      </c>
      <c r="C22" s="12" t="s">
        <v>89</v>
      </c>
      <c r="D22" s="12" t="s">
        <v>517</v>
      </c>
      <c r="E22" s="12" t="s">
        <v>518</v>
      </c>
      <c r="F22" s="12" t="s">
        <v>519</v>
      </c>
      <c r="G22" s="12" t="s">
        <v>86</v>
      </c>
      <c r="H22" s="12" t="s">
        <v>86</v>
      </c>
      <c r="I22" s="49" t="s">
        <v>441</v>
      </c>
    </row>
    <row r="23" spans="2:9" x14ac:dyDescent="0.3">
      <c r="B23" s="12" t="s">
        <v>88</v>
      </c>
      <c r="C23" s="12" t="s">
        <v>119</v>
      </c>
      <c r="D23" s="12" t="s">
        <v>520</v>
      </c>
      <c r="E23" s="12" t="s">
        <v>120</v>
      </c>
      <c r="F23" s="12" t="s">
        <v>234</v>
      </c>
      <c r="G23" s="12" t="s">
        <v>484</v>
      </c>
      <c r="H23" s="12" t="s">
        <v>484</v>
      </c>
      <c r="I23" s="49" t="s">
        <v>441</v>
      </c>
    </row>
    <row r="24" spans="2:9" x14ac:dyDescent="0.3">
      <c r="B24" s="12" t="s">
        <v>88</v>
      </c>
      <c r="C24" s="12" t="s">
        <v>119</v>
      </c>
      <c r="D24" s="12" t="s">
        <v>520</v>
      </c>
      <c r="E24" s="12" t="s">
        <v>120</v>
      </c>
      <c r="F24" s="12" t="s">
        <v>519</v>
      </c>
      <c r="G24" s="12" t="s">
        <v>484</v>
      </c>
      <c r="H24" s="12" t="s">
        <v>484</v>
      </c>
      <c r="I24" s="49" t="s">
        <v>441</v>
      </c>
    </row>
    <row r="26" spans="2:9" x14ac:dyDescent="0.3">
      <c r="B26" s="53" t="s">
        <v>97</v>
      </c>
      <c r="C26" s="30" t="s">
        <v>521</v>
      </c>
      <c r="D26" s="3" t="s">
        <v>522</v>
      </c>
    </row>
  </sheetData>
  <autoFilter ref="B4:AS13" xr:uid="{069967F1-E0E3-408D-89A7-0F703F8B8C9C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A9652-E03F-4C2E-857A-1D255CB33D44}">
  <dimension ref="B2:AM19"/>
  <sheetViews>
    <sheetView showGridLines="0" workbookViewId="0">
      <selection activeCell="B3" sqref="B3"/>
    </sheetView>
  </sheetViews>
  <sheetFormatPr defaultRowHeight="14.4" x14ac:dyDescent="0.3"/>
  <cols>
    <col min="1" max="1" width="3.77734375" customWidth="1"/>
    <col min="2" max="2" width="12.109375" bestFit="1" customWidth="1"/>
    <col min="3" max="3" width="10.33203125" bestFit="1" customWidth="1"/>
    <col min="4" max="4" width="6.77734375" bestFit="1" customWidth="1"/>
    <col min="5" max="5" width="9" bestFit="1" customWidth="1"/>
    <col min="6" max="8" width="33.6640625" bestFit="1" customWidth="1"/>
    <col min="9" max="9" width="8" bestFit="1" customWidth="1"/>
    <col min="10" max="10" width="8.21875" bestFit="1" customWidth="1"/>
    <col min="11" max="11" width="12" bestFit="1" customWidth="1"/>
    <col min="12" max="12" width="16.109375" bestFit="1" customWidth="1"/>
    <col min="13" max="13" width="11.44140625" bestFit="1" customWidth="1"/>
    <col min="14" max="14" width="10" bestFit="1" customWidth="1"/>
    <col min="15" max="15" width="17.5546875" bestFit="1" customWidth="1"/>
    <col min="16" max="17" width="12.33203125" bestFit="1" customWidth="1"/>
    <col min="19" max="19" width="8.6640625" bestFit="1" customWidth="1"/>
    <col min="20" max="20" width="12.33203125" bestFit="1" customWidth="1"/>
    <col min="21" max="23" width="8.33203125" bestFit="1" customWidth="1"/>
    <col min="24" max="24" width="12.33203125" bestFit="1" customWidth="1"/>
    <col min="25" max="25" width="8.44140625" bestFit="1" customWidth="1"/>
    <col min="27" max="27" width="8.44140625" bestFit="1" customWidth="1"/>
    <col min="28" max="28" width="12.33203125" bestFit="1" customWidth="1"/>
    <col min="29" max="31" width="9.109375" bestFit="1" customWidth="1"/>
    <col min="32" max="32" width="12.6640625" bestFit="1" customWidth="1"/>
    <col min="33" max="33" width="8.77734375" bestFit="1" customWidth="1"/>
    <col min="34" max="37" width="8.5546875" bestFit="1" customWidth="1"/>
    <col min="38" max="38" width="12.5546875" bestFit="1" customWidth="1"/>
    <col min="39" max="39" width="8.77734375" bestFit="1" customWidth="1"/>
  </cols>
  <sheetData>
    <row r="2" spans="2:39" x14ac:dyDescent="0.3">
      <c r="B2" s="1" t="s">
        <v>589</v>
      </c>
    </row>
    <row r="4" spans="2:39" x14ac:dyDescent="0.3">
      <c r="B4" s="9" t="s">
        <v>30</v>
      </c>
      <c r="C4" s="9" t="s">
        <v>31</v>
      </c>
      <c r="D4" s="9" t="s">
        <v>32</v>
      </c>
      <c r="E4" s="9" t="s">
        <v>33</v>
      </c>
      <c r="F4" s="9" t="s">
        <v>228</v>
      </c>
      <c r="G4" s="9" t="s">
        <v>34</v>
      </c>
      <c r="H4" s="9" t="s">
        <v>588</v>
      </c>
      <c r="I4" s="9" t="s">
        <v>11</v>
      </c>
      <c r="J4" s="9" t="s">
        <v>35</v>
      </c>
      <c r="K4" s="9" t="s">
        <v>36</v>
      </c>
      <c r="L4" s="9" t="s">
        <v>37</v>
      </c>
      <c r="M4" s="9" t="s">
        <v>84</v>
      </c>
      <c r="N4" s="9" t="s">
        <v>85</v>
      </c>
      <c r="O4" s="9" t="s">
        <v>122</v>
      </c>
      <c r="P4" s="9" t="s">
        <v>587</v>
      </c>
      <c r="Q4" s="9" t="s">
        <v>586</v>
      </c>
      <c r="R4" s="9" t="s">
        <v>585</v>
      </c>
      <c r="S4" s="9" t="s">
        <v>584</v>
      </c>
      <c r="T4" s="9" t="s">
        <v>583</v>
      </c>
      <c r="U4" s="9" t="s">
        <v>582</v>
      </c>
      <c r="V4" s="9" t="s">
        <v>581</v>
      </c>
      <c r="W4" s="9" t="s">
        <v>580</v>
      </c>
      <c r="X4" s="9" t="s">
        <v>579</v>
      </c>
      <c r="Y4" s="9" t="s">
        <v>578</v>
      </c>
      <c r="Z4" s="9" t="s">
        <v>577</v>
      </c>
      <c r="AA4" s="9" t="s">
        <v>576</v>
      </c>
      <c r="AB4" s="9" t="s">
        <v>575</v>
      </c>
      <c r="AC4" s="9" t="s">
        <v>574</v>
      </c>
      <c r="AD4" s="9" t="s">
        <v>573</v>
      </c>
      <c r="AE4" s="9" t="s">
        <v>572</v>
      </c>
      <c r="AF4" s="9" t="s">
        <v>571</v>
      </c>
      <c r="AG4" s="9" t="s">
        <v>256</v>
      </c>
      <c r="AH4" s="56" t="s">
        <v>570</v>
      </c>
      <c r="AI4" s="56" t="s">
        <v>569</v>
      </c>
      <c r="AJ4" s="56" t="s">
        <v>568</v>
      </c>
      <c r="AK4" s="56" t="s">
        <v>567</v>
      </c>
      <c r="AL4" s="56" t="s">
        <v>566</v>
      </c>
      <c r="AM4" s="56" t="s">
        <v>565</v>
      </c>
    </row>
    <row r="5" spans="2:39" x14ac:dyDescent="0.3">
      <c r="B5" s="12" t="s">
        <v>12</v>
      </c>
      <c r="C5" s="12" t="s">
        <v>512</v>
      </c>
      <c r="D5" s="12" t="s">
        <v>38</v>
      </c>
      <c r="E5" s="12" t="s">
        <v>39</v>
      </c>
      <c r="F5" s="12" t="s">
        <v>564</v>
      </c>
      <c r="G5" s="12" t="s">
        <v>564</v>
      </c>
      <c r="H5" s="12" t="s">
        <v>564</v>
      </c>
      <c r="I5" s="12" t="s">
        <v>88</v>
      </c>
      <c r="J5" s="12" t="s">
        <v>544</v>
      </c>
      <c r="K5" s="12" t="s">
        <v>543</v>
      </c>
      <c r="L5" s="12" t="s">
        <v>563</v>
      </c>
      <c r="M5" s="12" t="s">
        <v>114</v>
      </c>
      <c r="N5" s="12" t="s">
        <v>115</v>
      </c>
      <c r="O5" s="12" t="s">
        <v>257</v>
      </c>
      <c r="P5" s="52">
        <v>1344.54</v>
      </c>
      <c r="Q5" s="52">
        <v>0</v>
      </c>
      <c r="R5" s="52">
        <v>0</v>
      </c>
      <c r="S5" s="52">
        <v>0</v>
      </c>
      <c r="T5" s="52">
        <v>1366.08</v>
      </c>
      <c r="U5" s="52">
        <v>0</v>
      </c>
      <c r="V5" s="52">
        <v>29.04</v>
      </c>
      <c r="W5" s="52">
        <v>0</v>
      </c>
      <c r="X5" s="52">
        <v>1373.58</v>
      </c>
      <c r="Y5" s="52">
        <v>0</v>
      </c>
      <c r="Z5" s="52">
        <v>0</v>
      </c>
      <c r="AA5" s="52">
        <v>0</v>
      </c>
      <c r="AB5" s="52">
        <v>1373.58</v>
      </c>
      <c r="AC5" s="52">
        <v>0</v>
      </c>
      <c r="AD5" s="52">
        <v>0</v>
      </c>
      <c r="AE5" s="52">
        <v>0</v>
      </c>
      <c r="AF5" s="12">
        <v>1</v>
      </c>
      <c r="AG5" s="12" t="s">
        <v>531</v>
      </c>
      <c r="AH5" s="12">
        <f t="shared" ref="AH5:AH19" si="0">+IF((U5+V5)+(Y5+Z5)+(AC5+AD5)&gt;0,1,0)</f>
        <v>1</v>
      </c>
      <c r="AI5" s="12">
        <f t="shared" ref="AI5:AI19" si="1">+IF((AB5+AE5)-(X5+AA5)&gt;0,1,0)</f>
        <v>0</v>
      </c>
      <c r="AJ5" s="12">
        <f t="shared" ref="AJ5:AJ19" si="2">+IF((X5+AA5)-(T5+W5)&gt;0,1,0)</f>
        <v>1</v>
      </c>
      <c r="AK5" s="12">
        <f t="shared" ref="AK5:AK19" si="3">+IF((T5+W5)-(P5+S5)&gt;0,1,0)</f>
        <v>1</v>
      </c>
      <c r="AL5" s="57" t="str">
        <f t="shared" ref="AL5:AL19" si="4">IF(SUM(AH5:AK5)&gt;=1,"Y","N")</f>
        <v>Y</v>
      </c>
      <c r="AM5" s="12" t="b">
        <f t="shared" ref="AM5:AM19" si="5">AL5=AG5</f>
        <v>1</v>
      </c>
    </row>
    <row r="6" spans="2:39" x14ac:dyDescent="0.3">
      <c r="B6" s="58" t="s">
        <v>12</v>
      </c>
      <c r="C6" s="58" t="s">
        <v>512</v>
      </c>
      <c r="D6" s="58" t="s">
        <v>38</v>
      </c>
      <c r="E6" s="58" t="s">
        <v>39</v>
      </c>
      <c r="F6" s="58" t="s">
        <v>562</v>
      </c>
      <c r="G6" s="58" t="s">
        <v>562</v>
      </c>
      <c r="H6" s="58" t="s">
        <v>562</v>
      </c>
      <c r="I6" s="58" t="s">
        <v>88</v>
      </c>
      <c r="J6" s="58" t="s">
        <v>544</v>
      </c>
      <c r="K6" s="58" t="s">
        <v>543</v>
      </c>
      <c r="L6" s="58" t="s">
        <v>561</v>
      </c>
      <c r="M6" s="58" t="s">
        <v>548</v>
      </c>
      <c r="N6" s="58" t="s">
        <v>115</v>
      </c>
      <c r="O6" s="58" t="s">
        <v>257</v>
      </c>
      <c r="P6" s="59">
        <v>59839.08</v>
      </c>
      <c r="Q6" s="59">
        <v>0</v>
      </c>
      <c r="R6" s="59">
        <v>980.13</v>
      </c>
      <c r="S6" s="59">
        <v>0</v>
      </c>
      <c r="T6" s="59">
        <v>59816.05</v>
      </c>
      <c r="U6" s="59">
        <v>0</v>
      </c>
      <c r="V6" s="59">
        <v>0</v>
      </c>
      <c r="W6" s="59">
        <v>0</v>
      </c>
      <c r="X6" s="59">
        <v>59712.639999999999</v>
      </c>
      <c r="Y6" s="59">
        <v>0</v>
      </c>
      <c r="Z6" s="59">
        <v>0</v>
      </c>
      <c r="AA6" s="59">
        <v>0</v>
      </c>
      <c r="AB6" s="59">
        <v>57482.04</v>
      </c>
      <c r="AC6" s="59">
        <v>0</v>
      </c>
      <c r="AD6" s="59">
        <v>0</v>
      </c>
      <c r="AE6" s="59">
        <v>0</v>
      </c>
      <c r="AF6" s="58">
        <v>0</v>
      </c>
      <c r="AG6" s="58" t="s">
        <v>257</v>
      </c>
      <c r="AH6" s="58">
        <f t="shared" si="0"/>
        <v>0</v>
      </c>
      <c r="AI6" s="58">
        <f t="shared" si="1"/>
        <v>0</v>
      </c>
      <c r="AJ6" s="58">
        <f t="shared" si="2"/>
        <v>0</v>
      </c>
      <c r="AK6" s="58">
        <f t="shared" si="3"/>
        <v>0</v>
      </c>
      <c r="AL6" s="60" t="str">
        <f t="shared" si="4"/>
        <v>N</v>
      </c>
      <c r="AM6" s="58" t="b">
        <f t="shared" si="5"/>
        <v>1</v>
      </c>
    </row>
    <row r="7" spans="2:39" x14ac:dyDescent="0.3">
      <c r="B7" s="58" t="s">
        <v>123</v>
      </c>
      <c r="C7" s="58" t="s">
        <v>512</v>
      </c>
      <c r="D7" s="58" t="s">
        <v>38</v>
      </c>
      <c r="E7" s="58" t="s">
        <v>39</v>
      </c>
      <c r="F7" s="58" t="s">
        <v>560</v>
      </c>
      <c r="G7" s="58" t="s">
        <v>560</v>
      </c>
      <c r="H7" s="58" t="s">
        <v>560</v>
      </c>
      <c r="I7" s="58" t="s">
        <v>88</v>
      </c>
      <c r="J7" s="58" t="s">
        <v>544</v>
      </c>
      <c r="K7" s="58" t="s">
        <v>543</v>
      </c>
      <c r="L7" s="58" t="s">
        <v>559</v>
      </c>
      <c r="M7" s="58" t="s">
        <v>92</v>
      </c>
      <c r="N7" s="58" t="s">
        <v>93</v>
      </c>
      <c r="O7" s="58" t="s">
        <v>131</v>
      </c>
      <c r="P7" s="59">
        <v>2063602.06</v>
      </c>
      <c r="Q7" s="59">
        <v>0</v>
      </c>
      <c r="R7" s="59">
        <v>33800.720000000001</v>
      </c>
      <c r="S7" s="59">
        <v>0</v>
      </c>
      <c r="T7" s="59">
        <v>1929166.59</v>
      </c>
      <c r="U7" s="59">
        <v>0</v>
      </c>
      <c r="V7" s="59">
        <v>0</v>
      </c>
      <c r="W7" s="59">
        <v>0</v>
      </c>
      <c r="X7" s="59">
        <v>0</v>
      </c>
      <c r="Y7" s="59">
        <v>0</v>
      </c>
      <c r="Z7" s="59">
        <v>0</v>
      </c>
      <c r="AA7" s="59">
        <v>0</v>
      </c>
      <c r="AB7" s="59">
        <v>0</v>
      </c>
      <c r="AC7" s="59">
        <v>0</v>
      </c>
      <c r="AD7" s="59">
        <v>0</v>
      </c>
      <c r="AE7" s="59">
        <v>0</v>
      </c>
      <c r="AF7" s="58">
        <v>0</v>
      </c>
      <c r="AG7" s="58" t="s">
        <v>257</v>
      </c>
      <c r="AH7" s="58">
        <f t="shared" si="0"/>
        <v>0</v>
      </c>
      <c r="AI7" s="58">
        <f t="shared" si="1"/>
        <v>0</v>
      </c>
      <c r="AJ7" s="58">
        <f t="shared" si="2"/>
        <v>0</v>
      </c>
      <c r="AK7" s="58">
        <f t="shared" si="3"/>
        <v>0</v>
      </c>
      <c r="AL7" s="60" t="str">
        <f t="shared" si="4"/>
        <v>N</v>
      </c>
      <c r="AM7" s="58" t="b">
        <f t="shared" si="5"/>
        <v>1</v>
      </c>
    </row>
    <row r="8" spans="2:39" x14ac:dyDescent="0.3">
      <c r="B8" s="12" t="s">
        <v>12</v>
      </c>
      <c r="C8" s="12" t="s">
        <v>512</v>
      </c>
      <c r="D8" s="12" t="s">
        <v>38</v>
      </c>
      <c r="E8" s="12" t="s">
        <v>39</v>
      </c>
      <c r="F8" s="12" t="s">
        <v>558</v>
      </c>
      <c r="G8" s="12" t="s">
        <v>558</v>
      </c>
      <c r="H8" s="12" t="s">
        <v>558</v>
      </c>
      <c r="I8" s="12" t="s">
        <v>88</v>
      </c>
      <c r="J8" s="12" t="s">
        <v>544</v>
      </c>
      <c r="K8" s="12" t="s">
        <v>543</v>
      </c>
      <c r="L8" s="12" t="s">
        <v>557</v>
      </c>
      <c r="M8" s="12" t="s">
        <v>548</v>
      </c>
      <c r="N8" s="12" t="s">
        <v>115</v>
      </c>
      <c r="O8" s="12" t="s">
        <v>257</v>
      </c>
      <c r="P8" s="52">
        <v>4727373.42</v>
      </c>
      <c r="Q8" s="52">
        <v>0</v>
      </c>
      <c r="R8" s="52">
        <v>16306.19</v>
      </c>
      <c r="S8" s="52">
        <v>0</v>
      </c>
      <c r="T8" s="52">
        <v>4688359.3600000003</v>
      </c>
      <c r="U8" s="52">
        <v>0</v>
      </c>
      <c r="V8" s="52">
        <v>0</v>
      </c>
      <c r="W8" s="52">
        <v>0</v>
      </c>
      <c r="X8" s="52">
        <v>4745113.66</v>
      </c>
      <c r="Y8" s="52">
        <v>0</v>
      </c>
      <c r="Z8" s="52">
        <v>56754.3</v>
      </c>
      <c r="AA8" s="52">
        <v>0</v>
      </c>
      <c r="AB8" s="52">
        <v>4692400.28</v>
      </c>
      <c r="AC8" s="52">
        <v>0</v>
      </c>
      <c r="AD8" s="52">
        <v>0</v>
      </c>
      <c r="AE8" s="52">
        <v>0</v>
      </c>
      <c r="AF8" s="12">
        <v>1</v>
      </c>
      <c r="AG8" s="12" t="s">
        <v>531</v>
      </c>
      <c r="AH8" s="12">
        <f t="shared" si="0"/>
        <v>1</v>
      </c>
      <c r="AI8" s="12">
        <f t="shared" si="1"/>
        <v>0</v>
      </c>
      <c r="AJ8" s="12">
        <f t="shared" si="2"/>
        <v>1</v>
      </c>
      <c r="AK8" s="12">
        <f t="shared" si="3"/>
        <v>0</v>
      </c>
      <c r="AL8" s="57" t="str">
        <f t="shared" si="4"/>
        <v>Y</v>
      </c>
      <c r="AM8" s="12" t="b">
        <f t="shared" si="5"/>
        <v>1</v>
      </c>
    </row>
    <row r="9" spans="2:39" x14ac:dyDescent="0.3">
      <c r="B9" s="12" t="s">
        <v>12</v>
      </c>
      <c r="C9" s="12" t="s">
        <v>512</v>
      </c>
      <c r="D9" s="12" t="s">
        <v>38</v>
      </c>
      <c r="E9" s="12" t="s">
        <v>39</v>
      </c>
      <c r="F9" s="12" t="s">
        <v>556</v>
      </c>
      <c r="G9" s="12" t="s">
        <v>556</v>
      </c>
      <c r="H9" s="12" t="s">
        <v>556</v>
      </c>
      <c r="I9" s="12" t="s">
        <v>88</v>
      </c>
      <c r="J9" s="12" t="s">
        <v>544</v>
      </c>
      <c r="K9" s="12" t="s">
        <v>543</v>
      </c>
      <c r="L9" s="12" t="s">
        <v>555</v>
      </c>
      <c r="M9" s="12" t="s">
        <v>548</v>
      </c>
      <c r="N9" s="12" t="s">
        <v>115</v>
      </c>
      <c r="O9" s="12" t="s">
        <v>257</v>
      </c>
      <c r="P9" s="52">
        <v>4727373.42</v>
      </c>
      <c r="Q9" s="52">
        <v>0</v>
      </c>
      <c r="R9" s="52">
        <v>16306.19</v>
      </c>
      <c r="S9" s="52">
        <v>0</v>
      </c>
      <c r="T9" s="52">
        <v>4688359.3600000003</v>
      </c>
      <c r="U9" s="52">
        <v>0</v>
      </c>
      <c r="V9" s="52">
        <v>0</v>
      </c>
      <c r="W9" s="52">
        <v>0</v>
      </c>
      <c r="X9" s="52">
        <v>4745113.66</v>
      </c>
      <c r="Y9" s="52">
        <v>0</v>
      </c>
      <c r="Z9" s="52">
        <v>56754.3</v>
      </c>
      <c r="AA9" s="52">
        <v>0</v>
      </c>
      <c r="AB9" s="52">
        <v>4692400.28</v>
      </c>
      <c r="AC9" s="52">
        <v>0</v>
      </c>
      <c r="AD9" s="52">
        <v>0</v>
      </c>
      <c r="AE9" s="52">
        <v>0</v>
      </c>
      <c r="AF9" s="12">
        <v>1</v>
      </c>
      <c r="AG9" s="12" t="s">
        <v>531</v>
      </c>
      <c r="AH9" s="12">
        <f t="shared" si="0"/>
        <v>1</v>
      </c>
      <c r="AI9" s="12">
        <f t="shared" si="1"/>
        <v>0</v>
      </c>
      <c r="AJ9" s="12">
        <f t="shared" si="2"/>
        <v>1</v>
      </c>
      <c r="AK9" s="12">
        <f t="shared" si="3"/>
        <v>0</v>
      </c>
      <c r="AL9" s="57" t="str">
        <f t="shared" si="4"/>
        <v>Y</v>
      </c>
      <c r="AM9" s="12" t="b">
        <f t="shared" si="5"/>
        <v>1</v>
      </c>
    </row>
    <row r="10" spans="2:39" x14ac:dyDescent="0.3">
      <c r="B10" s="12" t="s">
        <v>12</v>
      </c>
      <c r="C10" s="12" t="s">
        <v>512</v>
      </c>
      <c r="D10" s="12" t="s">
        <v>38</v>
      </c>
      <c r="E10" s="12" t="s">
        <v>39</v>
      </c>
      <c r="F10" s="12" t="s">
        <v>554</v>
      </c>
      <c r="G10" s="12" t="s">
        <v>554</v>
      </c>
      <c r="H10" s="12" t="s">
        <v>554</v>
      </c>
      <c r="I10" s="12" t="s">
        <v>88</v>
      </c>
      <c r="J10" s="12" t="s">
        <v>544</v>
      </c>
      <c r="K10" s="12" t="s">
        <v>543</v>
      </c>
      <c r="L10" s="12" t="s">
        <v>553</v>
      </c>
      <c r="M10" s="12" t="s">
        <v>92</v>
      </c>
      <c r="N10" s="12" t="s">
        <v>93</v>
      </c>
      <c r="O10" s="12" t="s">
        <v>257</v>
      </c>
      <c r="P10" s="52">
        <v>90322.58</v>
      </c>
      <c r="Q10" s="52">
        <v>100000</v>
      </c>
      <c r="R10" s="52">
        <v>0</v>
      </c>
      <c r="S10" s="52">
        <v>0</v>
      </c>
      <c r="T10" s="52">
        <v>100000</v>
      </c>
      <c r="U10" s="52">
        <v>0</v>
      </c>
      <c r="V10" s="52">
        <v>0</v>
      </c>
      <c r="W10" s="52">
        <v>0</v>
      </c>
      <c r="X10" s="52">
        <v>100000</v>
      </c>
      <c r="Y10" s="52">
        <v>0</v>
      </c>
      <c r="Z10" s="52">
        <v>0</v>
      </c>
      <c r="AA10" s="52">
        <v>0</v>
      </c>
      <c r="AB10" s="52">
        <v>100000</v>
      </c>
      <c r="AC10" s="52">
        <v>0</v>
      </c>
      <c r="AD10" s="52">
        <v>0</v>
      </c>
      <c r="AE10" s="52">
        <v>0</v>
      </c>
      <c r="AF10" s="12">
        <v>1</v>
      </c>
      <c r="AG10" s="12" t="s">
        <v>531</v>
      </c>
      <c r="AH10" s="12">
        <f t="shared" si="0"/>
        <v>0</v>
      </c>
      <c r="AI10" s="12">
        <f t="shared" si="1"/>
        <v>0</v>
      </c>
      <c r="AJ10" s="12">
        <f t="shared" si="2"/>
        <v>0</v>
      </c>
      <c r="AK10" s="12">
        <f t="shared" si="3"/>
        <v>1</v>
      </c>
      <c r="AL10" s="57" t="str">
        <f t="shared" si="4"/>
        <v>Y</v>
      </c>
      <c r="AM10" s="12" t="b">
        <f t="shared" si="5"/>
        <v>1</v>
      </c>
    </row>
    <row r="11" spans="2:39" x14ac:dyDescent="0.3">
      <c r="B11" s="12" t="s">
        <v>12</v>
      </c>
      <c r="C11" s="12" t="s">
        <v>512</v>
      </c>
      <c r="D11" s="12" t="s">
        <v>38</v>
      </c>
      <c r="E11" s="12" t="s">
        <v>39</v>
      </c>
      <c r="F11" s="12" t="s">
        <v>552</v>
      </c>
      <c r="G11" s="12" t="s">
        <v>552</v>
      </c>
      <c r="H11" s="12" t="s">
        <v>552</v>
      </c>
      <c r="I11" s="12" t="s">
        <v>88</v>
      </c>
      <c r="J11" s="12" t="s">
        <v>544</v>
      </c>
      <c r="K11" s="12" t="s">
        <v>543</v>
      </c>
      <c r="L11" s="12" t="s">
        <v>551</v>
      </c>
      <c r="M11" s="12" t="s">
        <v>548</v>
      </c>
      <c r="N11" s="12" t="s">
        <v>115</v>
      </c>
      <c r="O11" s="12" t="s">
        <v>257</v>
      </c>
      <c r="P11" s="52">
        <v>6503.22</v>
      </c>
      <c r="Q11" s="52">
        <v>9600</v>
      </c>
      <c r="R11" s="52">
        <v>0</v>
      </c>
      <c r="S11" s="52">
        <v>0</v>
      </c>
      <c r="T11" s="52">
        <v>9600</v>
      </c>
      <c r="U11" s="52">
        <v>0</v>
      </c>
      <c r="V11" s="52">
        <v>0</v>
      </c>
      <c r="W11" s="52">
        <v>0</v>
      </c>
      <c r="X11" s="52">
        <v>9600</v>
      </c>
      <c r="Y11" s="52">
        <v>0</v>
      </c>
      <c r="Z11" s="52">
        <v>0</v>
      </c>
      <c r="AA11" s="52">
        <v>0</v>
      </c>
      <c r="AB11" s="52">
        <v>9600</v>
      </c>
      <c r="AC11" s="52">
        <v>0</v>
      </c>
      <c r="AD11" s="52">
        <v>0</v>
      </c>
      <c r="AE11" s="52">
        <v>0</v>
      </c>
      <c r="AF11" s="12">
        <v>1</v>
      </c>
      <c r="AG11" s="12" t="s">
        <v>531</v>
      </c>
      <c r="AH11" s="12">
        <f t="shared" si="0"/>
        <v>0</v>
      </c>
      <c r="AI11" s="12">
        <f t="shared" si="1"/>
        <v>0</v>
      </c>
      <c r="AJ11" s="12">
        <f t="shared" si="2"/>
        <v>0</v>
      </c>
      <c r="AK11" s="12">
        <f t="shared" si="3"/>
        <v>1</v>
      </c>
      <c r="AL11" s="57" t="str">
        <f t="shared" si="4"/>
        <v>Y</v>
      </c>
      <c r="AM11" s="12" t="b">
        <f t="shared" si="5"/>
        <v>1</v>
      </c>
    </row>
    <row r="12" spans="2:39" x14ac:dyDescent="0.3">
      <c r="B12" s="12" t="s">
        <v>12</v>
      </c>
      <c r="C12" s="12" t="s">
        <v>512</v>
      </c>
      <c r="D12" s="12" t="s">
        <v>38</v>
      </c>
      <c r="E12" s="12" t="s">
        <v>39</v>
      </c>
      <c r="F12" s="12" t="s">
        <v>550</v>
      </c>
      <c r="G12" s="12" t="s">
        <v>550</v>
      </c>
      <c r="H12" s="12" t="s">
        <v>550</v>
      </c>
      <c r="I12" s="12" t="s">
        <v>88</v>
      </c>
      <c r="J12" s="12" t="s">
        <v>544</v>
      </c>
      <c r="K12" s="12" t="s">
        <v>543</v>
      </c>
      <c r="L12" s="12" t="s">
        <v>549</v>
      </c>
      <c r="M12" s="12" t="s">
        <v>548</v>
      </c>
      <c r="N12" s="12" t="s">
        <v>115</v>
      </c>
      <c r="O12" s="12" t="s">
        <v>257</v>
      </c>
      <c r="P12" s="52">
        <v>264514.42</v>
      </c>
      <c r="Q12" s="52">
        <v>409997.36</v>
      </c>
      <c r="R12" s="52">
        <v>0</v>
      </c>
      <c r="S12" s="52">
        <v>0</v>
      </c>
      <c r="T12" s="52">
        <v>409997.36</v>
      </c>
      <c r="U12" s="52">
        <v>0</v>
      </c>
      <c r="V12" s="52">
        <v>0</v>
      </c>
      <c r="W12" s="52">
        <v>0</v>
      </c>
      <c r="X12" s="52">
        <v>409997.36</v>
      </c>
      <c r="Y12" s="52">
        <v>0</v>
      </c>
      <c r="Z12" s="52">
        <v>0</v>
      </c>
      <c r="AA12" s="52">
        <v>0</v>
      </c>
      <c r="AB12" s="52">
        <v>409997.36</v>
      </c>
      <c r="AC12" s="52">
        <v>0</v>
      </c>
      <c r="AD12" s="52">
        <v>0</v>
      </c>
      <c r="AE12" s="52">
        <v>0</v>
      </c>
      <c r="AF12" s="12">
        <v>1</v>
      </c>
      <c r="AG12" s="12" t="s">
        <v>531</v>
      </c>
      <c r="AH12" s="12">
        <f t="shared" si="0"/>
        <v>0</v>
      </c>
      <c r="AI12" s="12">
        <f t="shared" si="1"/>
        <v>0</v>
      </c>
      <c r="AJ12" s="12">
        <f t="shared" si="2"/>
        <v>0</v>
      </c>
      <c r="AK12" s="12">
        <f t="shared" si="3"/>
        <v>1</v>
      </c>
      <c r="AL12" s="57" t="str">
        <f t="shared" si="4"/>
        <v>Y</v>
      </c>
      <c r="AM12" s="12" t="b">
        <f t="shared" si="5"/>
        <v>1</v>
      </c>
    </row>
    <row r="13" spans="2:39" x14ac:dyDescent="0.3">
      <c r="B13" s="12" t="s">
        <v>12</v>
      </c>
      <c r="C13" s="12" t="s">
        <v>512</v>
      </c>
      <c r="D13" s="12" t="s">
        <v>38</v>
      </c>
      <c r="E13" s="12" t="s">
        <v>39</v>
      </c>
      <c r="F13" s="12" t="s">
        <v>547</v>
      </c>
      <c r="G13" s="12" t="s">
        <v>547</v>
      </c>
      <c r="H13" s="12" t="s">
        <v>547</v>
      </c>
      <c r="I13" s="12" t="s">
        <v>88</v>
      </c>
      <c r="J13" s="12" t="s">
        <v>544</v>
      </c>
      <c r="K13" s="12" t="s">
        <v>543</v>
      </c>
      <c r="L13" s="12" t="s">
        <v>546</v>
      </c>
      <c r="M13" s="12" t="s">
        <v>234</v>
      </c>
      <c r="N13" s="12" t="s">
        <v>235</v>
      </c>
      <c r="O13" s="12" t="s">
        <v>257</v>
      </c>
      <c r="P13" s="52">
        <v>11124507.460000001</v>
      </c>
      <c r="Q13" s="52">
        <v>22990648.760000002</v>
      </c>
      <c r="R13" s="52">
        <v>0</v>
      </c>
      <c r="S13" s="52">
        <v>0</v>
      </c>
      <c r="T13" s="52">
        <v>22981800.239999998</v>
      </c>
      <c r="U13" s="52">
        <v>0</v>
      </c>
      <c r="V13" s="52">
        <v>0</v>
      </c>
      <c r="W13" s="52">
        <v>0</v>
      </c>
      <c r="X13" s="52">
        <v>22942066.079999998</v>
      </c>
      <c r="Y13" s="52">
        <v>0</v>
      </c>
      <c r="Z13" s="52">
        <v>0</v>
      </c>
      <c r="AA13" s="52">
        <v>0</v>
      </c>
      <c r="AB13" s="52">
        <v>22085053.16</v>
      </c>
      <c r="AC13" s="52">
        <v>0</v>
      </c>
      <c r="AD13" s="52">
        <v>0</v>
      </c>
      <c r="AE13" s="52">
        <v>0</v>
      </c>
      <c r="AF13" s="12">
        <v>1</v>
      </c>
      <c r="AG13" s="12" t="s">
        <v>531</v>
      </c>
      <c r="AH13" s="12">
        <f t="shared" si="0"/>
        <v>0</v>
      </c>
      <c r="AI13" s="12">
        <f t="shared" si="1"/>
        <v>0</v>
      </c>
      <c r="AJ13" s="12">
        <f t="shared" si="2"/>
        <v>0</v>
      </c>
      <c r="AK13" s="12">
        <f t="shared" si="3"/>
        <v>1</v>
      </c>
      <c r="AL13" s="57" t="str">
        <f t="shared" si="4"/>
        <v>Y</v>
      </c>
      <c r="AM13" s="12" t="b">
        <f t="shared" si="5"/>
        <v>1</v>
      </c>
    </row>
    <row r="14" spans="2:39" x14ac:dyDescent="0.3">
      <c r="B14" s="12" t="s">
        <v>12</v>
      </c>
      <c r="C14" s="12" t="s">
        <v>512</v>
      </c>
      <c r="D14" s="12" t="s">
        <v>38</v>
      </c>
      <c r="E14" s="12" t="s">
        <v>39</v>
      </c>
      <c r="F14" s="12" t="s">
        <v>545</v>
      </c>
      <c r="G14" s="12" t="s">
        <v>545</v>
      </c>
      <c r="H14" s="12" t="s">
        <v>545</v>
      </c>
      <c r="I14" s="12" t="s">
        <v>88</v>
      </c>
      <c r="J14" s="12" t="s">
        <v>544</v>
      </c>
      <c r="K14" s="12" t="s">
        <v>543</v>
      </c>
      <c r="L14" s="12" t="s">
        <v>542</v>
      </c>
      <c r="M14" s="12" t="s">
        <v>92</v>
      </c>
      <c r="N14" s="12" t="s">
        <v>93</v>
      </c>
      <c r="O14" s="12" t="s">
        <v>257</v>
      </c>
      <c r="P14" s="52">
        <v>794.35</v>
      </c>
      <c r="Q14" s="52">
        <v>4925</v>
      </c>
      <c r="R14" s="52">
        <v>0</v>
      </c>
      <c r="S14" s="52">
        <v>0</v>
      </c>
      <c r="T14" s="52">
        <v>4925</v>
      </c>
      <c r="U14" s="52">
        <v>0</v>
      </c>
      <c r="V14" s="52">
        <v>0</v>
      </c>
      <c r="W14" s="52">
        <v>0</v>
      </c>
      <c r="X14" s="52">
        <v>4925</v>
      </c>
      <c r="Y14" s="52">
        <v>0</v>
      </c>
      <c r="Z14" s="52">
        <v>0</v>
      </c>
      <c r="AA14" s="52">
        <v>0</v>
      </c>
      <c r="AB14" s="52">
        <v>4925</v>
      </c>
      <c r="AC14" s="52">
        <v>0</v>
      </c>
      <c r="AD14" s="52">
        <v>0</v>
      </c>
      <c r="AE14" s="52">
        <v>0</v>
      </c>
      <c r="AF14" s="12">
        <v>1</v>
      </c>
      <c r="AG14" s="12" t="s">
        <v>531</v>
      </c>
      <c r="AH14" s="12">
        <f t="shared" si="0"/>
        <v>0</v>
      </c>
      <c r="AI14" s="12">
        <f t="shared" si="1"/>
        <v>0</v>
      </c>
      <c r="AJ14" s="12">
        <f t="shared" si="2"/>
        <v>0</v>
      </c>
      <c r="AK14" s="12">
        <f t="shared" si="3"/>
        <v>1</v>
      </c>
      <c r="AL14" s="57" t="str">
        <f t="shared" si="4"/>
        <v>Y</v>
      </c>
      <c r="AM14" s="12" t="b">
        <f t="shared" si="5"/>
        <v>1</v>
      </c>
    </row>
    <row r="15" spans="2:39" x14ac:dyDescent="0.3">
      <c r="B15" s="12" t="s">
        <v>12</v>
      </c>
      <c r="C15" s="12" t="s">
        <v>512</v>
      </c>
      <c r="D15" s="12" t="s">
        <v>38</v>
      </c>
      <c r="E15" s="12" t="s">
        <v>39</v>
      </c>
      <c r="F15" s="12" t="s">
        <v>541</v>
      </c>
      <c r="G15" s="12" t="s">
        <v>541</v>
      </c>
      <c r="H15" s="12" t="s">
        <v>541</v>
      </c>
      <c r="I15" s="12" t="s">
        <v>88</v>
      </c>
      <c r="J15" s="12" t="s">
        <v>89</v>
      </c>
      <c r="K15" s="12" t="s">
        <v>540</v>
      </c>
      <c r="L15" s="12" t="s">
        <v>120</v>
      </c>
      <c r="M15" s="12" t="s">
        <v>92</v>
      </c>
      <c r="N15" s="12" t="s">
        <v>93</v>
      </c>
      <c r="O15" s="12" t="s">
        <v>257</v>
      </c>
      <c r="P15" s="52">
        <v>600.49</v>
      </c>
      <c r="Q15" s="52">
        <v>0</v>
      </c>
      <c r="R15" s="52">
        <v>0</v>
      </c>
      <c r="S15" s="52">
        <v>0.01</v>
      </c>
      <c r="T15" s="52">
        <v>3640.44</v>
      </c>
      <c r="U15" s="52">
        <v>0</v>
      </c>
      <c r="V15" s="52">
        <v>0</v>
      </c>
      <c r="W15" s="52">
        <v>0.01</v>
      </c>
      <c r="X15" s="52">
        <v>15521.15</v>
      </c>
      <c r="Y15" s="52">
        <v>0</v>
      </c>
      <c r="Z15" s="52">
        <v>0</v>
      </c>
      <c r="AA15" s="52">
        <v>0.01</v>
      </c>
      <c r="AB15" s="52">
        <v>100127.1</v>
      </c>
      <c r="AC15" s="52">
        <v>0</v>
      </c>
      <c r="AD15" s="52">
        <v>0</v>
      </c>
      <c r="AE15" s="52">
        <v>0.01</v>
      </c>
      <c r="AF15" s="12">
        <v>1</v>
      </c>
      <c r="AG15" s="12" t="s">
        <v>531</v>
      </c>
      <c r="AH15" s="12">
        <f t="shared" si="0"/>
        <v>0</v>
      </c>
      <c r="AI15" s="12">
        <f t="shared" si="1"/>
        <v>1</v>
      </c>
      <c r="AJ15" s="12">
        <f t="shared" si="2"/>
        <v>1</v>
      </c>
      <c r="AK15" s="12">
        <f t="shared" si="3"/>
        <v>1</v>
      </c>
      <c r="AL15" s="57" t="str">
        <f t="shared" si="4"/>
        <v>Y</v>
      </c>
      <c r="AM15" s="12" t="b">
        <f t="shared" si="5"/>
        <v>1</v>
      </c>
    </row>
    <row r="16" spans="2:39" x14ac:dyDescent="0.3">
      <c r="B16" s="12" t="s">
        <v>12</v>
      </c>
      <c r="C16" s="12" t="s">
        <v>512</v>
      </c>
      <c r="D16" s="12" t="s">
        <v>38</v>
      </c>
      <c r="E16" s="12" t="s">
        <v>39</v>
      </c>
      <c r="F16" s="12" t="s">
        <v>539</v>
      </c>
      <c r="G16" s="12" t="s">
        <v>539</v>
      </c>
      <c r="H16" s="12" t="s">
        <v>539</v>
      </c>
      <c r="I16" s="12" t="s">
        <v>88</v>
      </c>
      <c r="J16" s="12" t="s">
        <v>89</v>
      </c>
      <c r="K16" s="12" t="s">
        <v>538</v>
      </c>
      <c r="L16" s="12" t="s">
        <v>120</v>
      </c>
      <c r="M16" s="12" t="s">
        <v>490</v>
      </c>
      <c r="N16" s="12" t="s">
        <v>125</v>
      </c>
      <c r="O16" s="12" t="s">
        <v>257</v>
      </c>
      <c r="P16" s="52">
        <v>0</v>
      </c>
      <c r="Q16" s="52">
        <v>0</v>
      </c>
      <c r="R16" s="52">
        <v>0</v>
      </c>
      <c r="S16" s="52">
        <v>1951.52</v>
      </c>
      <c r="T16" s="52">
        <v>0</v>
      </c>
      <c r="U16" s="52">
        <v>0</v>
      </c>
      <c r="V16" s="52">
        <v>0</v>
      </c>
      <c r="W16" s="52">
        <v>1329.96</v>
      </c>
      <c r="X16" s="52">
        <v>0</v>
      </c>
      <c r="Y16" s="52">
        <v>0</v>
      </c>
      <c r="Z16" s="52">
        <v>0</v>
      </c>
      <c r="AA16" s="52">
        <v>1531.88</v>
      </c>
      <c r="AB16" s="52">
        <v>0</v>
      </c>
      <c r="AC16" s="52">
        <v>0</v>
      </c>
      <c r="AD16" s="52">
        <v>0</v>
      </c>
      <c r="AE16" s="52">
        <v>1527.55</v>
      </c>
      <c r="AF16" s="12">
        <v>1</v>
      </c>
      <c r="AG16" s="12" t="s">
        <v>531</v>
      </c>
      <c r="AH16" s="12">
        <f t="shared" si="0"/>
        <v>0</v>
      </c>
      <c r="AI16" s="12">
        <f t="shared" si="1"/>
        <v>0</v>
      </c>
      <c r="AJ16" s="12">
        <f t="shared" si="2"/>
        <v>1</v>
      </c>
      <c r="AK16" s="12">
        <f t="shared" si="3"/>
        <v>0</v>
      </c>
      <c r="AL16" s="57" t="str">
        <f t="shared" si="4"/>
        <v>Y</v>
      </c>
      <c r="AM16" s="12" t="b">
        <f t="shared" si="5"/>
        <v>1</v>
      </c>
    </row>
    <row r="17" spans="2:39" x14ac:dyDescent="0.3">
      <c r="B17" s="12" t="s">
        <v>12</v>
      </c>
      <c r="C17" s="12" t="s">
        <v>512</v>
      </c>
      <c r="D17" s="12" t="s">
        <v>38</v>
      </c>
      <c r="E17" s="12" t="s">
        <v>39</v>
      </c>
      <c r="F17" s="12" t="s">
        <v>537</v>
      </c>
      <c r="G17" s="12" t="s">
        <v>537</v>
      </c>
      <c r="H17" s="12" t="s">
        <v>537</v>
      </c>
      <c r="I17" s="12" t="s">
        <v>88</v>
      </c>
      <c r="J17" s="12" t="s">
        <v>89</v>
      </c>
      <c r="K17" s="12" t="s">
        <v>536</v>
      </c>
      <c r="L17" s="12" t="s">
        <v>120</v>
      </c>
      <c r="M17" s="12" t="s">
        <v>124</v>
      </c>
      <c r="N17" s="12" t="s">
        <v>125</v>
      </c>
      <c r="O17" s="12" t="s">
        <v>257</v>
      </c>
      <c r="P17" s="52">
        <v>0</v>
      </c>
      <c r="Q17" s="52">
        <v>0</v>
      </c>
      <c r="R17" s="52">
        <v>0</v>
      </c>
      <c r="S17" s="52">
        <v>6000</v>
      </c>
      <c r="T17" s="52">
        <v>0</v>
      </c>
      <c r="U17" s="52">
        <v>0</v>
      </c>
      <c r="V17" s="52">
        <v>0</v>
      </c>
      <c r="W17" s="52">
        <v>6000</v>
      </c>
      <c r="X17" s="52">
        <v>0</v>
      </c>
      <c r="Y17" s="52">
        <v>0</v>
      </c>
      <c r="Z17" s="52">
        <v>0</v>
      </c>
      <c r="AA17" s="52">
        <v>6000</v>
      </c>
      <c r="AB17" s="52">
        <v>0</v>
      </c>
      <c r="AC17" s="52">
        <v>0</v>
      </c>
      <c r="AD17" s="52">
        <v>0</v>
      </c>
      <c r="AE17" s="52">
        <v>6000</v>
      </c>
      <c r="AF17" s="12">
        <v>0</v>
      </c>
      <c r="AG17" s="12" t="s">
        <v>257</v>
      </c>
      <c r="AH17" s="12">
        <f t="shared" si="0"/>
        <v>0</v>
      </c>
      <c r="AI17" s="12">
        <f t="shared" si="1"/>
        <v>0</v>
      </c>
      <c r="AJ17" s="12">
        <f t="shared" si="2"/>
        <v>0</v>
      </c>
      <c r="AK17" s="12">
        <f t="shared" si="3"/>
        <v>0</v>
      </c>
      <c r="AL17" s="57" t="str">
        <f t="shared" si="4"/>
        <v>N</v>
      </c>
      <c r="AM17" s="12" t="b">
        <f t="shared" si="5"/>
        <v>1</v>
      </c>
    </row>
    <row r="18" spans="2:39" x14ac:dyDescent="0.3">
      <c r="B18" s="12" t="s">
        <v>12</v>
      </c>
      <c r="C18" s="12" t="s">
        <v>512</v>
      </c>
      <c r="D18" s="12" t="s">
        <v>38</v>
      </c>
      <c r="E18" s="12" t="s">
        <v>39</v>
      </c>
      <c r="F18" s="12" t="s">
        <v>535</v>
      </c>
      <c r="G18" s="12" t="s">
        <v>535</v>
      </c>
      <c r="H18" s="12" t="s">
        <v>535</v>
      </c>
      <c r="I18" s="12" t="s">
        <v>88</v>
      </c>
      <c r="J18" s="12" t="s">
        <v>89</v>
      </c>
      <c r="K18" s="12" t="s">
        <v>534</v>
      </c>
      <c r="L18" s="12" t="s">
        <v>120</v>
      </c>
      <c r="M18" s="12" t="s">
        <v>490</v>
      </c>
      <c r="N18" s="12" t="s">
        <v>125</v>
      </c>
      <c r="O18" s="12" t="s">
        <v>257</v>
      </c>
      <c r="P18" s="52">
        <v>0</v>
      </c>
      <c r="Q18" s="52">
        <v>0</v>
      </c>
      <c r="R18" s="52">
        <v>0</v>
      </c>
      <c r="S18" s="52">
        <v>269.94</v>
      </c>
      <c r="T18" s="52">
        <v>0</v>
      </c>
      <c r="U18" s="52">
        <v>0</v>
      </c>
      <c r="V18" s="52">
        <v>0</v>
      </c>
      <c r="W18" s="52">
        <v>323.92</v>
      </c>
      <c r="X18" s="52">
        <v>0</v>
      </c>
      <c r="Y18" s="52">
        <v>0</v>
      </c>
      <c r="Z18" s="52">
        <v>0</v>
      </c>
      <c r="AA18" s="52">
        <v>0</v>
      </c>
      <c r="AB18" s="52">
        <v>0</v>
      </c>
      <c r="AC18" s="52">
        <v>0</v>
      </c>
      <c r="AD18" s="52">
        <v>0</v>
      </c>
      <c r="AE18" s="52">
        <v>1450</v>
      </c>
      <c r="AF18" s="12">
        <v>1</v>
      </c>
      <c r="AG18" s="12" t="s">
        <v>531</v>
      </c>
      <c r="AH18" s="12">
        <f t="shared" si="0"/>
        <v>0</v>
      </c>
      <c r="AI18" s="12">
        <f t="shared" si="1"/>
        <v>1</v>
      </c>
      <c r="AJ18" s="12">
        <f t="shared" si="2"/>
        <v>0</v>
      </c>
      <c r="AK18" s="12">
        <f t="shared" si="3"/>
        <v>1</v>
      </c>
      <c r="AL18" s="57" t="str">
        <f t="shared" si="4"/>
        <v>Y</v>
      </c>
      <c r="AM18" s="12" t="b">
        <f t="shared" si="5"/>
        <v>1</v>
      </c>
    </row>
    <row r="19" spans="2:39" x14ac:dyDescent="0.3">
      <c r="B19" s="12" t="s">
        <v>12</v>
      </c>
      <c r="C19" s="12" t="s">
        <v>512</v>
      </c>
      <c r="D19" s="12" t="s">
        <v>38</v>
      </c>
      <c r="E19" s="12" t="s">
        <v>39</v>
      </c>
      <c r="F19" s="12" t="s">
        <v>533</v>
      </c>
      <c r="G19" s="12" t="s">
        <v>533</v>
      </c>
      <c r="H19" s="12" t="s">
        <v>533</v>
      </c>
      <c r="I19" s="12" t="s">
        <v>88</v>
      </c>
      <c r="J19" s="12" t="s">
        <v>89</v>
      </c>
      <c r="K19" s="12" t="s">
        <v>532</v>
      </c>
      <c r="L19" s="12" t="s">
        <v>120</v>
      </c>
      <c r="M19" s="12" t="s">
        <v>124</v>
      </c>
      <c r="N19" s="12" t="s">
        <v>125</v>
      </c>
      <c r="O19" s="12" t="s">
        <v>257</v>
      </c>
      <c r="P19" s="52">
        <v>4.7300000000000004</v>
      </c>
      <c r="Q19" s="52">
        <v>0</v>
      </c>
      <c r="R19" s="52">
        <v>0</v>
      </c>
      <c r="S19" s="52">
        <v>3868.96</v>
      </c>
      <c r="T19" s="52">
        <v>13.32</v>
      </c>
      <c r="U19" s="52">
        <v>0</v>
      </c>
      <c r="V19" s="52">
        <v>0</v>
      </c>
      <c r="W19" s="52">
        <v>2864.64</v>
      </c>
      <c r="X19" s="52">
        <v>0.68</v>
      </c>
      <c r="Y19" s="52">
        <v>0</v>
      </c>
      <c r="Z19" s="52">
        <v>0</v>
      </c>
      <c r="AA19" s="52">
        <v>2708.02</v>
      </c>
      <c r="AB19" s="52">
        <v>0.12</v>
      </c>
      <c r="AC19" s="52">
        <v>0</v>
      </c>
      <c r="AD19" s="52">
        <v>0</v>
      </c>
      <c r="AE19" s="52">
        <v>2721.07</v>
      </c>
      <c r="AF19" s="12">
        <v>1</v>
      </c>
      <c r="AG19" s="12" t="s">
        <v>531</v>
      </c>
      <c r="AH19" s="12">
        <f t="shared" si="0"/>
        <v>0</v>
      </c>
      <c r="AI19" s="12">
        <f t="shared" si="1"/>
        <v>1</v>
      </c>
      <c r="AJ19" s="12">
        <f t="shared" si="2"/>
        <v>0</v>
      </c>
      <c r="AK19" s="12">
        <f t="shared" si="3"/>
        <v>0</v>
      </c>
      <c r="AL19" s="57" t="str">
        <f t="shared" si="4"/>
        <v>Y</v>
      </c>
      <c r="AM19" s="12" t="b">
        <f t="shared" si="5"/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B56B2-E9BA-471F-BBB4-8F8D69C30E5D}">
  <dimension ref="B2:R13"/>
  <sheetViews>
    <sheetView showGridLines="0" workbookViewId="0">
      <selection activeCell="F18" sqref="F18"/>
    </sheetView>
  </sheetViews>
  <sheetFormatPr defaultRowHeight="14.4" x14ac:dyDescent="0.3"/>
  <cols>
    <col min="1" max="1" width="3.77734375" customWidth="1"/>
    <col min="2" max="2" width="12.109375" bestFit="1" customWidth="1"/>
    <col min="3" max="3" width="10.33203125" bestFit="1" customWidth="1"/>
    <col min="4" max="4" width="6.77734375" bestFit="1" customWidth="1"/>
    <col min="5" max="5" width="9" bestFit="1" customWidth="1"/>
    <col min="6" max="8" width="33.6640625" bestFit="1" customWidth="1"/>
    <col min="9" max="9" width="8" bestFit="1" customWidth="1"/>
    <col min="10" max="10" width="8.21875" bestFit="1" customWidth="1"/>
    <col min="11" max="11" width="12" bestFit="1" customWidth="1"/>
    <col min="12" max="12" width="16.109375" bestFit="1" customWidth="1"/>
    <col min="13" max="13" width="11.44140625" bestFit="1" customWidth="1"/>
    <col min="14" max="14" width="10" bestFit="1" customWidth="1"/>
    <col min="15" max="15" width="17.5546875" bestFit="1" customWidth="1"/>
    <col min="16" max="16" width="12.33203125" bestFit="1" customWidth="1"/>
    <col min="17" max="17" width="14.5546875" bestFit="1" customWidth="1"/>
  </cols>
  <sheetData>
    <row r="2" spans="2:18" x14ac:dyDescent="0.3">
      <c r="B2" s="1" t="s">
        <v>590</v>
      </c>
    </row>
    <row r="4" spans="2:18" x14ac:dyDescent="0.3">
      <c r="B4" s="9" t="s">
        <v>30</v>
      </c>
      <c r="C4" s="9" t="s">
        <v>31</v>
      </c>
      <c r="D4" s="9" t="s">
        <v>32</v>
      </c>
      <c r="E4" s="9" t="s">
        <v>33</v>
      </c>
      <c r="F4" s="9" t="s">
        <v>228</v>
      </c>
      <c r="G4" s="9" t="s">
        <v>34</v>
      </c>
      <c r="H4" s="9" t="s">
        <v>273</v>
      </c>
      <c r="I4" s="9" t="s">
        <v>11</v>
      </c>
      <c r="J4" s="9" t="s">
        <v>35</v>
      </c>
      <c r="K4" s="9" t="s">
        <v>36</v>
      </c>
      <c r="L4" s="9" t="s">
        <v>37</v>
      </c>
      <c r="M4" s="9" t="s">
        <v>84</v>
      </c>
      <c r="N4" s="9" t="s">
        <v>85</v>
      </c>
      <c r="O4" s="9" t="s">
        <v>122</v>
      </c>
      <c r="P4" s="9" t="s">
        <v>256</v>
      </c>
      <c r="Q4" s="9" t="s">
        <v>591</v>
      </c>
      <c r="R4" s="56" t="s">
        <v>71</v>
      </c>
    </row>
    <row r="5" spans="2:18" x14ac:dyDescent="0.3">
      <c r="B5" s="12" t="s">
        <v>12</v>
      </c>
      <c r="C5" s="12" t="s">
        <v>512</v>
      </c>
      <c r="D5" s="12" t="s">
        <v>38</v>
      </c>
      <c r="E5" s="12" t="s">
        <v>39</v>
      </c>
      <c r="F5" s="12" t="s">
        <v>592</v>
      </c>
      <c r="G5" s="12" t="s">
        <v>592</v>
      </c>
      <c r="H5" s="12" t="s">
        <v>592</v>
      </c>
      <c r="I5" s="12" t="s">
        <v>88</v>
      </c>
      <c r="J5" s="12" t="s">
        <v>544</v>
      </c>
      <c r="K5" s="12" t="s">
        <v>543</v>
      </c>
      <c r="L5" s="12" t="s">
        <v>593</v>
      </c>
      <c r="M5" s="12" t="s">
        <v>114</v>
      </c>
      <c r="N5" s="12" t="s">
        <v>115</v>
      </c>
      <c r="O5" s="12" t="s">
        <v>257</v>
      </c>
      <c r="P5" s="52" t="s">
        <v>257</v>
      </c>
      <c r="Q5" s="52" t="s">
        <v>594</v>
      </c>
      <c r="R5" s="61" t="s">
        <v>502</v>
      </c>
    </row>
    <row r="6" spans="2:18" x14ac:dyDescent="0.3">
      <c r="B6" s="58" t="s">
        <v>12</v>
      </c>
      <c r="C6" s="58" t="s">
        <v>512</v>
      </c>
      <c r="D6" s="58" t="s">
        <v>38</v>
      </c>
      <c r="E6" s="58" t="s">
        <v>39</v>
      </c>
      <c r="F6" s="58" t="s">
        <v>595</v>
      </c>
      <c r="G6" s="58" t="s">
        <v>595</v>
      </c>
      <c r="H6" s="58" t="s">
        <v>595</v>
      </c>
      <c r="I6" s="58" t="s">
        <v>88</v>
      </c>
      <c r="J6" s="58" t="s">
        <v>544</v>
      </c>
      <c r="K6" s="58" t="s">
        <v>543</v>
      </c>
      <c r="L6" s="58" t="s">
        <v>596</v>
      </c>
      <c r="M6" s="58" t="s">
        <v>114</v>
      </c>
      <c r="N6" s="58" t="s">
        <v>115</v>
      </c>
      <c r="O6" s="58" t="s">
        <v>257</v>
      </c>
      <c r="P6" s="59" t="s">
        <v>257</v>
      </c>
      <c r="Q6" s="59" t="s">
        <v>594</v>
      </c>
      <c r="R6" s="62" t="s">
        <v>502</v>
      </c>
    </row>
    <row r="7" spans="2:18" x14ac:dyDescent="0.3">
      <c r="B7" s="58" t="s">
        <v>12</v>
      </c>
      <c r="C7" s="58" t="s">
        <v>512</v>
      </c>
      <c r="D7" s="58" t="s">
        <v>38</v>
      </c>
      <c r="E7" s="58" t="s">
        <v>39</v>
      </c>
      <c r="F7" s="58" t="s">
        <v>597</v>
      </c>
      <c r="G7" s="58" t="s">
        <v>597</v>
      </c>
      <c r="H7" s="58" t="s">
        <v>597</v>
      </c>
      <c r="I7" s="58" t="s">
        <v>88</v>
      </c>
      <c r="J7" s="58" t="s">
        <v>544</v>
      </c>
      <c r="K7" s="58" t="s">
        <v>543</v>
      </c>
      <c r="L7" s="58" t="s">
        <v>598</v>
      </c>
      <c r="M7" s="58" t="s">
        <v>92</v>
      </c>
      <c r="N7" s="58" t="s">
        <v>93</v>
      </c>
      <c r="O7" s="58" t="s">
        <v>257</v>
      </c>
      <c r="P7" s="59" t="s">
        <v>257</v>
      </c>
      <c r="Q7" s="59" t="s">
        <v>594</v>
      </c>
      <c r="R7" s="62" t="s">
        <v>502</v>
      </c>
    </row>
    <row r="8" spans="2:18" x14ac:dyDescent="0.3">
      <c r="B8" s="12" t="s">
        <v>12</v>
      </c>
      <c r="C8" s="12" t="s">
        <v>512</v>
      </c>
      <c r="D8" s="12" t="s">
        <v>38</v>
      </c>
      <c r="E8" s="12" t="s">
        <v>39</v>
      </c>
      <c r="F8" s="12" t="s">
        <v>599</v>
      </c>
      <c r="G8" s="12" t="s">
        <v>600</v>
      </c>
      <c r="H8" s="12" t="s">
        <v>600</v>
      </c>
      <c r="I8" s="12" t="s">
        <v>88</v>
      </c>
      <c r="J8" s="12" t="s">
        <v>89</v>
      </c>
      <c r="K8" s="12" t="s">
        <v>601</v>
      </c>
      <c r="L8" s="12" t="s">
        <v>602</v>
      </c>
      <c r="M8" s="12" t="s">
        <v>519</v>
      </c>
      <c r="N8" s="12" t="s">
        <v>603</v>
      </c>
      <c r="O8" s="12" t="s">
        <v>257</v>
      </c>
      <c r="P8" s="52" t="s">
        <v>257</v>
      </c>
      <c r="Q8" s="52" t="s">
        <v>604</v>
      </c>
      <c r="R8" s="62" t="s">
        <v>502</v>
      </c>
    </row>
    <row r="9" spans="2:18" x14ac:dyDescent="0.3">
      <c r="B9" s="12" t="s">
        <v>12</v>
      </c>
      <c r="C9" s="12" t="s">
        <v>512</v>
      </c>
      <c r="D9" s="12" t="s">
        <v>38</v>
      </c>
      <c r="E9" s="12" t="s">
        <v>39</v>
      </c>
      <c r="F9" s="12" t="s">
        <v>599</v>
      </c>
      <c r="G9" s="12" t="s">
        <v>600</v>
      </c>
      <c r="H9" s="12" t="s">
        <v>600</v>
      </c>
      <c r="I9" s="12" t="s">
        <v>88</v>
      </c>
      <c r="J9" s="12" t="s">
        <v>89</v>
      </c>
      <c r="K9" s="12" t="s">
        <v>601</v>
      </c>
      <c r="L9" s="12" t="s">
        <v>605</v>
      </c>
      <c r="M9" s="12" t="s">
        <v>519</v>
      </c>
      <c r="N9" s="12" t="s">
        <v>603</v>
      </c>
      <c r="O9" s="12" t="s">
        <v>257</v>
      </c>
      <c r="P9" s="52" t="s">
        <v>257</v>
      </c>
      <c r="Q9" s="52" t="s">
        <v>604</v>
      </c>
      <c r="R9" s="62" t="s">
        <v>502</v>
      </c>
    </row>
    <row r="10" spans="2:18" x14ac:dyDescent="0.3">
      <c r="B10" s="12" t="s">
        <v>12</v>
      </c>
      <c r="C10" s="12" t="s">
        <v>512</v>
      </c>
      <c r="D10" s="12" t="s">
        <v>38</v>
      </c>
      <c r="E10" s="12" t="s">
        <v>39</v>
      </c>
      <c r="F10" s="12" t="s">
        <v>606</v>
      </c>
      <c r="G10" s="12" t="s">
        <v>606</v>
      </c>
      <c r="H10" s="12" t="s">
        <v>606</v>
      </c>
      <c r="I10" s="12" t="s">
        <v>88</v>
      </c>
      <c r="J10" s="12" t="s">
        <v>544</v>
      </c>
      <c r="K10" s="12" t="s">
        <v>543</v>
      </c>
      <c r="L10" s="12" t="s">
        <v>607</v>
      </c>
      <c r="M10" s="12" t="s">
        <v>608</v>
      </c>
      <c r="N10" s="12" t="s">
        <v>609</v>
      </c>
      <c r="O10" s="12" t="s">
        <v>257</v>
      </c>
      <c r="P10" s="52" t="s">
        <v>531</v>
      </c>
      <c r="Q10" s="52" t="s">
        <v>610</v>
      </c>
      <c r="R10" s="62" t="s">
        <v>502</v>
      </c>
    </row>
    <row r="11" spans="2:18" x14ac:dyDescent="0.3">
      <c r="B11" s="12" t="s">
        <v>12</v>
      </c>
      <c r="C11" s="12" t="s">
        <v>512</v>
      </c>
      <c r="D11" s="12" t="s">
        <v>38</v>
      </c>
      <c r="E11" s="12" t="s">
        <v>39</v>
      </c>
      <c r="F11" s="12" t="s">
        <v>611</v>
      </c>
      <c r="G11" s="12" t="s">
        <v>611</v>
      </c>
      <c r="H11" s="12" t="s">
        <v>611</v>
      </c>
      <c r="I11" s="12" t="s">
        <v>88</v>
      </c>
      <c r="J11" s="12" t="s">
        <v>119</v>
      </c>
      <c r="K11" s="12" t="s">
        <v>612</v>
      </c>
      <c r="L11" s="12" t="s">
        <v>120</v>
      </c>
      <c r="M11" s="12" t="s">
        <v>608</v>
      </c>
      <c r="N11" s="12" t="s">
        <v>609</v>
      </c>
      <c r="O11" s="12" t="s">
        <v>257</v>
      </c>
      <c r="P11" s="52" t="s">
        <v>531</v>
      </c>
      <c r="Q11" s="52" t="s">
        <v>610</v>
      </c>
      <c r="R11" s="62" t="s">
        <v>502</v>
      </c>
    </row>
    <row r="12" spans="2:18" x14ac:dyDescent="0.3">
      <c r="B12" s="12" t="s">
        <v>12</v>
      </c>
      <c r="C12" s="12" t="s">
        <v>512</v>
      </c>
      <c r="D12" s="12" t="s">
        <v>38</v>
      </c>
      <c r="E12" s="12" t="s">
        <v>39</v>
      </c>
      <c r="F12" s="12" t="s">
        <v>613</v>
      </c>
      <c r="G12" s="12" t="s">
        <v>613</v>
      </c>
      <c r="H12" s="12" t="s">
        <v>613</v>
      </c>
      <c r="I12" s="12" t="s">
        <v>88</v>
      </c>
      <c r="J12" s="12" t="s">
        <v>238</v>
      </c>
      <c r="K12" s="12" t="s">
        <v>614</v>
      </c>
      <c r="L12" s="12" t="s">
        <v>615</v>
      </c>
      <c r="M12" s="12" t="s">
        <v>92</v>
      </c>
      <c r="N12" s="12" t="s">
        <v>93</v>
      </c>
      <c r="O12" s="12" t="s">
        <v>257</v>
      </c>
      <c r="P12" s="52" t="s">
        <v>257</v>
      </c>
      <c r="Q12" s="52" t="s">
        <v>616</v>
      </c>
      <c r="R12" s="62" t="s">
        <v>502</v>
      </c>
    </row>
    <row r="13" spans="2:18" x14ac:dyDescent="0.3">
      <c r="B13" s="12" t="s">
        <v>12</v>
      </c>
      <c r="C13" s="12" t="s">
        <v>512</v>
      </c>
      <c r="D13" s="12" t="s">
        <v>38</v>
      </c>
      <c r="E13" s="12" t="s">
        <v>39</v>
      </c>
      <c r="F13" s="12" t="s">
        <v>617</v>
      </c>
      <c r="G13" s="12" t="s">
        <v>617</v>
      </c>
      <c r="H13" s="12" t="s">
        <v>617</v>
      </c>
      <c r="I13" s="12" t="s">
        <v>88</v>
      </c>
      <c r="J13" s="12" t="s">
        <v>238</v>
      </c>
      <c r="K13" s="12" t="s">
        <v>614</v>
      </c>
      <c r="L13" s="12" t="s">
        <v>618</v>
      </c>
      <c r="M13" s="12" t="s">
        <v>92</v>
      </c>
      <c r="N13" s="12" t="s">
        <v>93</v>
      </c>
      <c r="O13" s="12" t="s">
        <v>257</v>
      </c>
      <c r="P13" s="52" t="s">
        <v>257</v>
      </c>
      <c r="Q13" s="52" t="s">
        <v>616</v>
      </c>
      <c r="R13" s="62" t="s">
        <v>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85E9E-15D2-46F7-9389-1B969706D407}">
  <dimension ref="B2:U52"/>
  <sheetViews>
    <sheetView showGridLines="0" zoomScaleNormal="100" workbookViewId="0">
      <selection activeCell="F21" sqref="F21"/>
    </sheetView>
  </sheetViews>
  <sheetFormatPr defaultRowHeight="14.4" x14ac:dyDescent="0.3"/>
  <cols>
    <col min="1" max="1" width="3.77734375" customWidth="1"/>
    <col min="2" max="2" width="10.44140625" bestFit="1" customWidth="1"/>
    <col min="3" max="3" width="25" bestFit="1" customWidth="1"/>
    <col min="4" max="4" width="23" bestFit="1" customWidth="1"/>
    <col min="5" max="5" width="12.44140625" bestFit="1" customWidth="1"/>
    <col min="6" max="6" width="33.6640625" bestFit="1" customWidth="1"/>
    <col min="7" max="7" width="8" bestFit="1" customWidth="1"/>
    <col min="8" max="8" width="8.21875" bestFit="1" customWidth="1"/>
    <col min="9" max="9" width="12" bestFit="1" customWidth="1"/>
    <col min="10" max="10" width="12.109375" bestFit="1" customWidth="1"/>
    <col min="11" max="11" width="16.5546875" bestFit="1" customWidth="1"/>
    <col min="12" max="12" width="7.21875" bestFit="1" customWidth="1"/>
    <col min="13" max="13" width="9.88671875" bestFit="1" customWidth="1"/>
    <col min="14" max="14" width="37.44140625" bestFit="1" customWidth="1"/>
    <col min="15" max="15" width="9.44140625" customWidth="1"/>
    <col min="16" max="16" width="8.5546875" bestFit="1" customWidth="1"/>
    <col min="17" max="17" width="13.33203125" bestFit="1" customWidth="1"/>
    <col min="18" max="18" width="17.88671875" bestFit="1" customWidth="1"/>
    <col min="19" max="19" width="16.44140625" bestFit="1" customWidth="1"/>
    <col min="20" max="20" width="10.77734375" bestFit="1" customWidth="1"/>
    <col min="21" max="21" width="22.77734375" bestFit="1" customWidth="1"/>
  </cols>
  <sheetData>
    <row r="2" spans="2:21" x14ac:dyDescent="0.3">
      <c r="B2" s="20" t="s">
        <v>81</v>
      </c>
      <c r="C2" s="20"/>
      <c r="D2" s="20"/>
      <c r="E2" s="20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</row>
    <row r="4" spans="2:21" x14ac:dyDescent="0.3">
      <c r="D4" s="94" t="s">
        <v>3</v>
      </c>
      <c r="E4" s="94"/>
    </row>
    <row r="5" spans="2:21" ht="14.4" customHeight="1" x14ac:dyDescent="0.3">
      <c r="B5" s="28" t="s">
        <v>11</v>
      </c>
      <c r="C5" s="28" t="s">
        <v>78</v>
      </c>
      <c r="D5" s="54" t="s">
        <v>526</v>
      </c>
      <c r="E5" s="54" t="s">
        <v>525</v>
      </c>
      <c r="J5" s="38" t="s">
        <v>97</v>
      </c>
      <c r="K5" s="39" t="s">
        <v>98</v>
      </c>
    </row>
    <row r="6" spans="2:21" x14ac:dyDescent="0.3">
      <c r="B6" s="12">
        <v>31</v>
      </c>
      <c r="C6" s="12">
        <v>31</v>
      </c>
      <c r="D6" s="13">
        <v>1221</v>
      </c>
      <c r="E6" s="13">
        <v>1250</v>
      </c>
    </row>
    <row r="7" spans="2:21" x14ac:dyDescent="0.3">
      <c r="B7" s="12">
        <v>31</v>
      </c>
      <c r="C7" s="12">
        <v>82</v>
      </c>
      <c r="D7" s="13">
        <v>121458</v>
      </c>
      <c r="E7" s="13">
        <v>4088</v>
      </c>
      <c r="J7" s="1" t="s">
        <v>110</v>
      </c>
    </row>
    <row r="8" spans="2:21" x14ac:dyDescent="0.3">
      <c r="B8" s="12">
        <v>31</v>
      </c>
      <c r="C8" s="12">
        <v>89</v>
      </c>
      <c r="D8" s="13">
        <v>136</v>
      </c>
      <c r="E8" s="13">
        <v>86</v>
      </c>
    </row>
    <row r="9" spans="2:21" x14ac:dyDescent="0.3">
      <c r="B9" s="12">
        <v>89</v>
      </c>
      <c r="C9" s="12">
        <v>82</v>
      </c>
      <c r="D9" s="13">
        <v>39</v>
      </c>
      <c r="E9" s="13">
        <v>39</v>
      </c>
      <c r="F9" t="s">
        <v>83</v>
      </c>
      <c r="J9" s="9" t="s">
        <v>30</v>
      </c>
      <c r="K9" s="9" t="s">
        <v>31</v>
      </c>
      <c r="L9" s="9" t="s">
        <v>32</v>
      </c>
      <c r="M9" s="9" t="s">
        <v>33</v>
      </c>
      <c r="N9" s="9" t="s">
        <v>34</v>
      </c>
      <c r="O9" s="9" t="s">
        <v>11</v>
      </c>
      <c r="P9" s="9" t="s">
        <v>35</v>
      </c>
      <c r="Q9" s="9" t="s">
        <v>36</v>
      </c>
      <c r="R9" s="9" t="s">
        <v>37</v>
      </c>
      <c r="S9" s="9" t="s">
        <v>84</v>
      </c>
      <c r="T9" s="9" t="s">
        <v>85</v>
      </c>
    </row>
    <row r="10" spans="2:21" x14ac:dyDescent="0.3">
      <c r="B10" s="12">
        <v>89</v>
      </c>
      <c r="C10" s="12">
        <v>89</v>
      </c>
      <c r="D10" s="13">
        <v>1</v>
      </c>
      <c r="E10" s="13">
        <v>1</v>
      </c>
      <c r="F10" t="s">
        <v>83</v>
      </c>
      <c r="J10" s="12" t="s">
        <v>12</v>
      </c>
      <c r="K10" s="12" t="s">
        <v>86</v>
      </c>
      <c r="L10" s="12" t="s">
        <v>38</v>
      </c>
      <c r="M10" s="12" t="s">
        <v>39</v>
      </c>
      <c r="N10" s="12" t="s">
        <v>87</v>
      </c>
      <c r="O10" s="12" t="s">
        <v>88</v>
      </c>
      <c r="P10" s="12" t="s">
        <v>89</v>
      </c>
      <c r="Q10" s="12" t="s">
        <v>90</v>
      </c>
      <c r="R10" s="12" t="s">
        <v>91</v>
      </c>
      <c r="S10" s="12" t="s">
        <v>92</v>
      </c>
      <c r="T10" s="12" t="s">
        <v>93</v>
      </c>
      <c r="U10" s="44" t="s">
        <v>271</v>
      </c>
    </row>
    <row r="11" spans="2:21" x14ac:dyDescent="0.3">
      <c r="B11" s="12" t="s">
        <v>40</v>
      </c>
      <c r="C11" s="12">
        <v>31</v>
      </c>
      <c r="D11" s="13" t="s">
        <v>527</v>
      </c>
      <c r="E11" s="13">
        <v>1</v>
      </c>
      <c r="J11" s="12" t="s">
        <v>12</v>
      </c>
      <c r="K11" s="12" t="s">
        <v>86</v>
      </c>
      <c r="L11" s="12" t="s">
        <v>38</v>
      </c>
      <c r="M11" s="12" t="s">
        <v>39</v>
      </c>
      <c r="N11" s="12" t="s">
        <v>87</v>
      </c>
      <c r="O11" s="12" t="s">
        <v>88</v>
      </c>
      <c r="P11" s="12" t="s">
        <v>89</v>
      </c>
      <c r="Q11" s="12" t="s">
        <v>90</v>
      </c>
      <c r="R11" s="12" t="s">
        <v>94</v>
      </c>
      <c r="S11" s="12" t="s">
        <v>40</v>
      </c>
      <c r="T11" s="12" t="s">
        <v>95</v>
      </c>
      <c r="U11" s="44" t="s">
        <v>270</v>
      </c>
    </row>
    <row r="12" spans="2:21" x14ac:dyDescent="0.3">
      <c r="B12" s="12" t="s">
        <v>40</v>
      </c>
      <c r="C12" s="12" t="s">
        <v>80</v>
      </c>
      <c r="D12" s="13">
        <v>728</v>
      </c>
      <c r="E12" s="13">
        <v>765</v>
      </c>
      <c r="F12" t="s">
        <v>82</v>
      </c>
      <c r="J12" s="12" t="s">
        <v>12</v>
      </c>
      <c r="K12" s="12" t="s">
        <v>86</v>
      </c>
      <c r="L12" s="12" t="s">
        <v>38</v>
      </c>
      <c r="M12" s="12" t="s">
        <v>39</v>
      </c>
      <c r="N12" s="12" t="s">
        <v>87</v>
      </c>
      <c r="O12" s="12" t="s">
        <v>88</v>
      </c>
      <c r="P12" s="12" t="s">
        <v>89</v>
      </c>
      <c r="Q12" s="12" t="s">
        <v>90</v>
      </c>
      <c r="R12" s="12" t="s">
        <v>96</v>
      </c>
      <c r="S12" s="12" t="s">
        <v>40</v>
      </c>
      <c r="T12" s="12" t="s">
        <v>95</v>
      </c>
      <c r="U12" s="44" t="s">
        <v>269</v>
      </c>
    </row>
    <row r="13" spans="2:21" x14ac:dyDescent="0.3">
      <c r="B13" s="12" t="s">
        <v>40</v>
      </c>
      <c r="C13" s="12" t="s">
        <v>79</v>
      </c>
      <c r="D13" s="12">
        <v>4</v>
      </c>
      <c r="E13" s="12">
        <v>3</v>
      </c>
      <c r="F13" t="s">
        <v>82</v>
      </c>
    </row>
    <row r="14" spans="2:21" x14ac:dyDescent="0.3">
      <c r="B14" s="92" t="s">
        <v>524</v>
      </c>
      <c r="C14" s="93"/>
      <c r="D14" s="55">
        <f>SUM(D6:D13)</f>
        <v>123587</v>
      </c>
      <c r="E14" s="55">
        <f>SUM(E6:E13)</f>
        <v>6233</v>
      </c>
    </row>
    <row r="15" spans="2:21" x14ac:dyDescent="0.3">
      <c r="O15" s="1" t="s">
        <v>105</v>
      </c>
    </row>
    <row r="16" spans="2:21" x14ac:dyDescent="0.3">
      <c r="D16" s="94" t="s">
        <v>3</v>
      </c>
      <c r="E16" s="94"/>
      <c r="O16" s="1"/>
    </row>
    <row r="17" spans="2:21" ht="14.4" customHeight="1" x14ac:dyDescent="0.3">
      <c r="B17" s="41" t="s">
        <v>99</v>
      </c>
      <c r="C17" s="41" t="s">
        <v>528</v>
      </c>
      <c r="D17" s="54" t="s">
        <v>526</v>
      </c>
      <c r="E17" s="54" t="s">
        <v>525</v>
      </c>
    </row>
    <row r="18" spans="2:21" x14ac:dyDescent="0.3">
      <c r="B18" s="46" t="s">
        <v>106</v>
      </c>
      <c r="C18" s="40" t="s">
        <v>107</v>
      </c>
      <c r="D18" s="17">
        <v>106309</v>
      </c>
      <c r="E18" s="17" t="s">
        <v>527</v>
      </c>
      <c r="O18" s="9" t="s">
        <v>11</v>
      </c>
      <c r="P18" s="9" t="s">
        <v>35</v>
      </c>
      <c r="Q18" s="9" t="s">
        <v>36</v>
      </c>
      <c r="R18" s="9" t="s">
        <v>37</v>
      </c>
      <c r="S18" s="29" t="s">
        <v>100</v>
      </c>
      <c r="T18" s="29" t="s">
        <v>99</v>
      </c>
    </row>
    <row r="19" spans="2:21" x14ac:dyDescent="0.3">
      <c r="B19" s="46" t="s">
        <v>187</v>
      </c>
      <c r="C19" s="40" t="s">
        <v>205</v>
      </c>
      <c r="D19" s="17">
        <v>27627</v>
      </c>
      <c r="E19" s="17" t="s">
        <v>527</v>
      </c>
      <c r="O19" s="12" t="s">
        <v>88</v>
      </c>
      <c r="P19" s="12" t="s">
        <v>89</v>
      </c>
      <c r="Q19" s="12" t="s">
        <v>90</v>
      </c>
      <c r="R19" s="12" t="s">
        <v>91</v>
      </c>
      <c r="S19" s="30" t="s">
        <v>101</v>
      </c>
      <c r="T19" s="12" t="s">
        <v>102</v>
      </c>
      <c r="U19" s="31" t="s">
        <v>103</v>
      </c>
    </row>
    <row r="20" spans="2:21" x14ac:dyDescent="0.3">
      <c r="B20" s="40" t="s">
        <v>40</v>
      </c>
      <c r="C20" s="40"/>
      <c r="D20" s="17">
        <v>4244</v>
      </c>
      <c r="E20" s="17">
        <v>4339</v>
      </c>
      <c r="O20" s="12" t="s">
        <v>88</v>
      </c>
      <c r="P20" s="12" t="s">
        <v>89</v>
      </c>
      <c r="Q20" s="12" t="s">
        <v>90</v>
      </c>
      <c r="R20" s="12" t="s">
        <v>94</v>
      </c>
      <c r="S20" s="12" t="s">
        <v>104</v>
      </c>
      <c r="T20" s="12" t="s">
        <v>106</v>
      </c>
      <c r="U20" s="32" t="s">
        <v>107</v>
      </c>
    </row>
    <row r="21" spans="2:21" x14ac:dyDescent="0.3">
      <c r="B21" s="40" t="s">
        <v>197</v>
      </c>
      <c r="C21" s="40" t="s">
        <v>206</v>
      </c>
      <c r="D21" s="17">
        <v>810</v>
      </c>
      <c r="E21" s="17">
        <v>1034</v>
      </c>
      <c r="O21" s="12" t="s">
        <v>88</v>
      </c>
      <c r="P21" s="12" t="s">
        <v>89</v>
      </c>
      <c r="Q21" s="12" t="s">
        <v>90</v>
      </c>
      <c r="R21" s="12" t="s">
        <v>96</v>
      </c>
      <c r="S21" s="12" t="s">
        <v>108</v>
      </c>
      <c r="T21" s="12" t="s">
        <v>106</v>
      </c>
      <c r="U21" s="31" t="s">
        <v>103</v>
      </c>
    </row>
    <row r="22" spans="2:21" x14ac:dyDescent="0.3">
      <c r="B22" s="40" t="s">
        <v>188</v>
      </c>
      <c r="C22" s="40" t="s">
        <v>207</v>
      </c>
      <c r="D22" s="17">
        <v>302</v>
      </c>
      <c r="E22" s="17" t="s">
        <v>527</v>
      </c>
    </row>
    <row r="23" spans="2:21" x14ac:dyDescent="0.3">
      <c r="B23" s="45" t="s">
        <v>185</v>
      </c>
      <c r="C23" s="40"/>
      <c r="D23" s="17">
        <v>40</v>
      </c>
      <c r="E23" s="17">
        <v>22</v>
      </c>
      <c r="O23" t="s">
        <v>109</v>
      </c>
    </row>
    <row r="24" spans="2:21" x14ac:dyDescent="0.3">
      <c r="B24" s="45" t="s">
        <v>191</v>
      </c>
      <c r="C24" s="40" t="s">
        <v>208</v>
      </c>
      <c r="D24" s="17">
        <v>30</v>
      </c>
      <c r="E24" s="17">
        <v>34</v>
      </c>
    </row>
    <row r="25" spans="2:21" x14ac:dyDescent="0.3">
      <c r="B25" s="45" t="s">
        <v>201</v>
      </c>
      <c r="C25" s="40" t="s">
        <v>209</v>
      </c>
      <c r="D25" s="17">
        <v>22</v>
      </c>
      <c r="E25" s="17">
        <v>36</v>
      </c>
    </row>
    <row r="26" spans="2:21" x14ac:dyDescent="0.3">
      <c r="B26" s="45" t="s">
        <v>204</v>
      </c>
      <c r="C26" s="40" t="s">
        <v>210</v>
      </c>
      <c r="D26" s="17">
        <v>14</v>
      </c>
      <c r="E26" s="17">
        <v>18</v>
      </c>
    </row>
    <row r="27" spans="2:21" x14ac:dyDescent="0.3">
      <c r="B27" s="46" t="s">
        <v>195</v>
      </c>
      <c r="C27" s="40" t="s">
        <v>211</v>
      </c>
      <c r="D27" s="17">
        <v>7</v>
      </c>
      <c r="E27" s="17" t="s">
        <v>527</v>
      </c>
    </row>
    <row r="28" spans="2:21" x14ac:dyDescent="0.3">
      <c r="B28" s="45" t="s">
        <v>189</v>
      </c>
      <c r="C28" s="40" t="s">
        <v>212</v>
      </c>
      <c r="D28" s="17">
        <v>6</v>
      </c>
      <c r="E28" s="17">
        <v>4</v>
      </c>
    </row>
    <row r="29" spans="2:21" x14ac:dyDescent="0.3">
      <c r="B29" s="40" t="s">
        <v>186</v>
      </c>
      <c r="C29" s="40" t="s">
        <v>213</v>
      </c>
      <c r="D29" s="17">
        <v>2</v>
      </c>
      <c r="E29" s="17" t="s">
        <v>527</v>
      </c>
    </row>
    <row r="30" spans="2:21" x14ac:dyDescent="0.3">
      <c r="B30" s="45" t="s">
        <v>192</v>
      </c>
      <c r="C30" s="40"/>
      <c r="D30" s="17">
        <v>2</v>
      </c>
      <c r="E30" s="17">
        <v>1</v>
      </c>
    </row>
    <row r="31" spans="2:21" x14ac:dyDescent="0.3">
      <c r="B31" s="45" t="s">
        <v>196</v>
      </c>
      <c r="C31" s="40" t="s">
        <v>214</v>
      </c>
      <c r="D31" s="17">
        <v>2</v>
      </c>
      <c r="E31" s="17">
        <v>1</v>
      </c>
    </row>
    <row r="32" spans="2:21" x14ac:dyDescent="0.3">
      <c r="B32" s="40" t="s">
        <v>198</v>
      </c>
      <c r="C32" s="40" t="s">
        <v>215</v>
      </c>
      <c r="D32" s="17">
        <v>2</v>
      </c>
      <c r="E32" s="17">
        <v>1</v>
      </c>
    </row>
    <row r="33" spans="2:21" x14ac:dyDescent="0.3">
      <c r="B33" s="40" t="s">
        <v>203</v>
      </c>
      <c r="C33" s="40" t="s">
        <v>216</v>
      </c>
      <c r="D33" s="17">
        <v>2</v>
      </c>
      <c r="E33" s="17">
        <v>2</v>
      </c>
    </row>
    <row r="34" spans="2:21" x14ac:dyDescent="0.3">
      <c r="B34" s="40" t="s">
        <v>190</v>
      </c>
      <c r="C34" s="40" t="s">
        <v>217</v>
      </c>
      <c r="D34" s="17">
        <v>1</v>
      </c>
      <c r="E34" s="17" t="s">
        <v>527</v>
      </c>
      <c r="J34" s="1" t="s">
        <v>118</v>
      </c>
    </row>
    <row r="35" spans="2:21" x14ac:dyDescent="0.3">
      <c r="B35" s="40" t="s">
        <v>193</v>
      </c>
      <c r="C35" s="40" t="s">
        <v>218</v>
      </c>
      <c r="D35" s="17">
        <v>1</v>
      </c>
      <c r="E35" s="17" t="s">
        <v>527</v>
      </c>
    </row>
    <row r="36" spans="2:21" x14ac:dyDescent="0.3">
      <c r="B36" s="45" t="s">
        <v>194</v>
      </c>
      <c r="C36" s="40" t="s">
        <v>219</v>
      </c>
      <c r="D36" s="17">
        <v>1</v>
      </c>
      <c r="E36" s="17" t="s">
        <v>527</v>
      </c>
      <c r="J36" s="9" t="s">
        <v>30</v>
      </c>
      <c r="K36" s="9" t="s">
        <v>31</v>
      </c>
      <c r="L36" s="9" t="s">
        <v>32</v>
      </c>
      <c r="M36" s="9" t="s">
        <v>33</v>
      </c>
      <c r="N36" s="9" t="s">
        <v>34</v>
      </c>
      <c r="O36" s="9" t="s">
        <v>11</v>
      </c>
      <c r="P36" s="9" t="s">
        <v>35</v>
      </c>
      <c r="Q36" s="9" t="s">
        <v>36</v>
      </c>
      <c r="R36" s="9" t="s">
        <v>37</v>
      </c>
      <c r="S36" s="9" t="s">
        <v>84</v>
      </c>
      <c r="T36" s="9" t="s">
        <v>85</v>
      </c>
    </row>
    <row r="37" spans="2:21" x14ac:dyDescent="0.3">
      <c r="B37" s="40" t="s">
        <v>199</v>
      </c>
      <c r="C37" s="40" t="s">
        <v>220</v>
      </c>
      <c r="D37" s="17">
        <v>1</v>
      </c>
      <c r="E37" s="17">
        <v>1</v>
      </c>
      <c r="J37" s="12" t="s">
        <v>12</v>
      </c>
      <c r="K37" s="12" t="s">
        <v>86</v>
      </c>
      <c r="L37" s="12" t="s">
        <v>38</v>
      </c>
      <c r="M37" s="12" t="s">
        <v>39</v>
      </c>
      <c r="N37" s="12" t="s">
        <v>111</v>
      </c>
      <c r="O37" s="12" t="s">
        <v>88</v>
      </c>
      <c r="P37" s="12" t="s">
        <v>89</v>
      </c>
      <c r="Q37" s="12" t="s">
        <v>112</v>
      </c>
      <c r="R37" s="12" t="s">
        <v>113</v>
      </c>
      <c r="S37" s="12" t="s">
        <v>114</v>
      </c>
      <c r="T37" s="12" t="s">
        <v>115</v>
      </c>
    </row>
    <row r="38" spans="2:21" x14ac:dyDescent="0.3">
      <c r="B38" s="45" t="s">
        <v>200</v>
      </c>
      <c r="C38" s="40" t="s">
        <v>221</v>
      </c>
      <c r="D38" s="17">
        <v>1</v>
      </c>
      <c r="E38" s="17" t="s">
        <v>527</v>
      </c>
      <c r="J38" s="12" t="s">
        <v>12</v>
      </c>
      <c r="K38" s="12" t="s">
        <v>86</v>
      </c>
      <c r="L38" s="12" t="s">
        <v>38</v>
      </c>
      <c r="M38" s="12" t="s">
        <v>39</v>
      </c>
      <c r="N38" s="12" t="s">
        <v>111</v>
      </c>
      <c r="O38" s="12" t="s">
        <v>88</v>
      </c>
      <c r="P38" s="12" t="s">
        <v>89</v>
      </c>
      <c r="Q38" s="12" t="s">
        <v>112</v>
      </c>
      <c r="R38" s="12" t="s">
        <v>116</v>
      </c>
      <c r="S38" s="12" t="s">
        <v>40</v>
      </c>
      <c r="T38" s="12" t="s">
        <v>95</v>
      </c>
    </row>
    <row r="39" spans="2:21" x14ac:dyDescent="0.3">
      <c r="B39" s="40" t="s">
        <v>202</v>
      </c>
      <c r="C39" s="40" t="s">
        <v>222</v>
      </c>
      <c r="D39" s="17">
        <v>1</v>
      </c>
      <c r="E39" s="17" t="s">
        <v>527</v>
      </c>
      <c r="J39" s="12" t="s">
        <v>12</v>
      </c>
      <c r="K39" s="12" t="s">
        <v>86</v>
      </c>
      <c r="L39" s="12" t="s">
        <v>38</v>
      </c>
      <c r="M39" s="12" t="s">
        <v>39</v>
      </c>
      <c r="N39" s="12" t="s">
        <v>111</v>
      </c>
      <c r="O39" s="12" t="s">
        <v>88</v>
      </c>
      <c r="P39" s="12" t="s">
        <v>89</v>
      </c>
      <c r="Q39" s="12" t="s">
        <v>112</v>
      </c>
      <c r="R39" s="12" t="s">
        <v>117</v>
      </c>
      <c r="S39" s="12" t="s">
        <v>92</v>
      </c>
      <c r="T39" s="12" t="s">
        <v>93</v>
      </c>
    </row>
    <row r="41" spans="2:21" x14ac:dyDescent="0.3">
      <c r="O41" s="1" t="s">
        <v>105</v>
      </c>
    </row>
    <row r="42" spans="2:21" x14ac:dyDescent="0.3">
      <c r="B42" t="s">
        <v>272</v>
      </c>
    </row>
    <row r="43" spans="2:21" x14ac:dyDescent="0.3">
      <c r="O43" s="9" t="s">
        <v>11</v>
      </c>
      <c r="P43" s="9" t="s">
        <v>35</v>
      </c>
      <c r="Q43" s="9" t="s">
        <v>36</v>
      </c>
      <c r="R43" s="9" t="s">
        <v>37</v>
      </c>
      <c r="S43" s="29" t="s">
        <v>100</v>
      </c>
      <c r="T43" s="29" t="s">
        <v>99</v>
      </c>
    </row>
    <row r="44" spans="2:21" x14ac:dyDescent="0.3">
      <c r="O44" s="12" t="s">
        <v>88</v>
      </c>
      <c r="P44" s="12" t="s">
        <v>89</v>
      </c>
      <c r="Q44" s="12" t="s">
        <v>112</v>
      </c>
      <c r="R44" s="12" t="s">
        <v>113</v>
      </c>
      <c r="S44" s="12" t="s">
        <v>104</v>
      </c>
      <c r="T44" s="12" t="s">
        <v>102</v>
      </c>
      <c r="U44" s="31" t="s">
        <v>103</v>
      </c>
    </row>
    <row r="45" spans="2:21" x14ac:dyDescent="0.3">
      <c r="O45" s="12" t="s">
        <v>88</v>
      </c>
      <c r="P45" s="12" t="s">
        <v>89</v>
      </c>
      <c r="Q45" s="12" t="s">
        <v>112</v>
      </c>
      <c r="R45" s="12" t="s">
        <v>116</v>
      </c>
      <c r="S45" s="12" t="s">
        <v>108</v>
      </c>
      <c r="T45" s="12" t="s">
        <v>106</v>
      </c>
      <c r="U45" s="31" t="s">
        <v>103</v>
      </c>
    </row>
    <row r="46" spans="2:21" x14ac:dyDescent="0.3">
      <c r="O46" s="12" t="s">
        <v>88</v>
      </c>
      <c r="P46" s="12" t="s">
        <v>89</v>
      </c>
      <c r="Q46" s="12" t="s">
        <v>112</v>
      </c>
      <c r="R46" s="12" t="s">
        <v>117</v>
      </c>
      <c r="S46" s="30" t="s">
        <v>101</v>
      </c>
      <c r="T46" s="12" t="s">
        <v>102</v>
      </c>
      <c r="U46" s="31" t="s">
        <v>103</v>
      </c>
    </row>
    <row r="52" ht="7.05" customHeight="1" x14ac:dyDescent="0.3"/>
  </sheetData>
  <sortState xmlns:xlrd2="http://schemas.microsoft.com/office/spreadsheetml/2017/richdata2" ref="B6:D13">
    <sortCondition ref="B6:B13"/>
    <sortCondition ref="C6:C13"/>
  </sortState>
  <mergeCells count="3">
    <mergeCell ref="B14:C14"/>
    <mergeCell ref="D4:E4"/>
    <mergeCell ref="D16:E16"/>
  </mergeCells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8B2E8-0343-43A9-AA18-CA0B3D1F3E19}">
  <dimension ref="A1:Q75"/>
  <sheetViews>
    <sheetView workbookViewId="0">
      <selection activeCell="D20" sqref="D20"/>
    </sheetView>
  </sheetViews>
  <sheetFormatPr defaultRowHeight="14.4" x14ac:dyDescent="0.3"/>
  <cols>
    <col min="1" max="1" width="44.21875" bestFit="1" customWidth="1"/>
    <col min="2" max="2" width="11.21875" bestFit="1" customWidth="1"/>
    <col min="3" max="3" width="10.33203125" bestFit="1" customWidth="1"/>
    <col min="4" max="4" width="6.77734375" bestFit="1" customWidth="1"/>
    <col min="5" max="5" width="9" bestFit="1" customWidth="1"/>
    <col min="6" max="8" width="33.6640625" bestFit="1" customWidth="1"/>
    <col min="9" max="9" width="8" bestFit="1" customWidth="1"/>
    <col min="10" max="10" width="8.21875" bestFit="1" customWidth="1"/>
    <col min="11" max="11" width="12" bestFit="1" customWidth="1"/>
    <col min="12" max="12" width="16.109375" bestFit="1" customWidth="1"/>
    <col min="13" max="13" width="6.44140625" bestFit="1" customWidth="1"/>
    <col min="14" max="14" width="10" bestFit="1" customWidth="1"/>
    <col min="15" max="15" width="17.5546875" bestFit="1" customWidth="1"/>
    <col min="16" max="16" width="8.77734375" bestFit="1" customWidth="1"/>
    <col min="17" max="17" width="9.77734375" bestFit="1" customWidth="1"/>
  </cols>
  <sheetData>
    <row r="1" spans="1:17" x14ac:dyDescent="0.3">
      <c r="A1" t="s">
        <v>430</v>
      </c>
      <c r="B1" t="s">
        <v>30</v>
      </c>
      <c r="C1" t="s">
        <v>31</v>
      </c>
      <c r="D1" t="s">
        <v>32</v>
      </c>
      <c r="E1" t="s">
        <v>33</v>
      </c>
      <c r="F1" t="s">
        <v>228</v>
      </c>
      <c r="G1" t="s">
        <v>34</v>
      </c>
      <c r="H1" t="s">
        <v>273</v>
      </c>
      <c r="I1" t="s">
        <v>11</v>
      </c>
      <c r="J1" t="s">
        <v>35</v>
      </c>
      <c r="K1" t="s">
        <v>36</v>
      </c>
      <c r="L1" t="s">
        <v>37</v>
      </c>
      <c r="M1" t="s">
        <v>84</v>
      </c>
      <c r="N1" t="s">
        <v>85</v>
      </c>
      <c r="O1" t="s">
        <v>122</v>
      </c>
      <c r="P1" t="s">
        <v>256</v>
      </c>
      <c r="Q1" t="s">
        <v>99</v>
      </c>
    </row>
    <row r="2" spans="1:17" x14ac:dyDescent="0.3">
      <c r="A2" t="s">
        <v>431</v>
      </c>
      <c r="B2" t="s">
        <v>12</v>
      </c>
      <c r="C2" t="s">
        <v>86</v>
      </c>
      <c r="D2" t="s">
        <v>38</v>
      </c>
      <c r="E2" t="s">
        <v>39</v>
      </c>
      <c r="F2" t="s">
        <v>352</v>
      </c>
      <c r="G2" t="s">
        <v>352</v>
      </c>
      <c r="H2" t="s">
        <v>352</v>
      </c>
      <c r="I2" t="s">
        <v>88</v>
      </c>
      <c r="J2" t="s">
        <v>89</v>
      </c>
      <c r="K2" t="s">
        <v>353</v>
      </c>
      <c r="L2" t="s">
        <v>120</v>
      </c>
      <c r="M2" t="s">
        <v>40</v>
      </c>
      <c r="N2" t="s">
        <v>95</v>
      </c>
      <c r="O2" t="s">
        <v>257</v>
      </c>
      <c r="P2" t="s">
        <v>257</v>
      </c>
      <c r="Q2" t="s">
        <v>201</v>
      </c>
    </row>
    <row r="3" spans="1:17" x14ac:dyDescent="0.3">
      <c r="A3" t="s">
        <v>431</v>
      </c>
      <c r="B3" t="s">
        <v>12</v>
      </c>
      <c r="C3" t="s">
        <v>86</v>
      </c>
      <c r="D3" t="s">
        <v>38</v>
      </c>
      <c r="E3" t="s">
        <v>39</v>
      </c>
      <c r="F3" t="s">
        <v>350</v>
      </c>
      <c r="G3" t="s">
        <v>350</v>
      </c>
      <c r="H3" t="s">
        <v>350</v>
      </c>
      <c r="I3" t="s">
        <v>88</v>
      </c>
      <c r="J3" t="s">
        <v>288</v>
      </c>
      <c r="K3" t="s">
        <v>351</v>
      </c>
      <c r="L3" t="s">
        <v>120</v>
      </c>
      <c r="M3" t="s">
        <v>40</v>
      </c>
      <c r="N3" t="s">
        <v>95</v>
      </c>
      <c r="O3" t="s">
        <v>257</v>
      </c>
      <c r="P3" t="s">
        <v>257</v>
      </c>
      <c r="Q3" t="s">
        <v>204</v>
      </c>
    </row>
    <row r="4" spans="1:17" x14ac:dyDescent="0.3">
      <c r="A4" t="s">
        <v>431</v>
      </c>
      <c r="B4" t="s">
        <v>12</v>
      </c>
      <c r="C4" t="s">
        <v>86</v>
      </c>
      <c r="D4" t="s">
        <v>38</v>
      </c>
      <c r="E4" t="s">
        <v>39</v>
      </c>
      <c r="F4" t="s">
        <v>360</v>
      </c>
      <c r="G4" t="s">
        <v>360</v>
      </c>
      <c r="H4" t="s">
        <v>360</v>
      </c>
      <c r="I4" t="s">
        <v>88</v>
      </c>
      <c r="J4" t="s">
        <v>119</v>
      </c>
      <c r="K4" t="s">
        <v>361</v>
      </c>
      <c r="L4" t="s">
        <v>120</v>
      </c>
      <c r="M4" t="s">
        <v>40</v>
      </c>
      <c r="N4" t="s">
        <v>95</v>
      </c>
      <c r="O4" t="s">
        <v>257</v>
      </c>
      <c r="P4" t="s">
        <v>257</v>
      </c>
      <c r="Q4" t="s">
        <v>191</v>
      </c>
    </row>
    <row r="5" spans="1:17" x14ac:dyDescent="0.3">
      <c r="A5" t="s">
        <v>431</v>
      </c>
      <c r="B5" t="s">
        <v>12</v>
      </c>
      <c r="C5" t="s">
        <v>86</v>
      </c>
      <c r="D5" t="s">
        <v>38</v>
      </c>
      <c r="E5" t="s">
        <v>39</v>
      </c>
      <c r="F5" t="s">
        <v>374</v>
      </c>
      <c r="G5" t="s">
        <v>374</v>
      </c>
      <c r="H5" t="s">
        <v>374</v>
      </c>
      <c r="I5" t="s">
        <v>88</v>
      </c>
      <c r="J5" t="s">
        <v>119</v>
      </c>
      <c r="K5" t="s">
        <v>375</v>
      </c>
      <c r="L5" t="s">
        <v>120</v>
      </c>
      <c r="M5" t="s">
        <v>40</v>
      </c>
      <c r="N5" t="s">
        <v>95</v>
      </c>
      <c r="O5" t="s">
        <v>257</v>
      </c>
      <c r="P5" t="s">
        <v>257</v>
      </c>
      <c r="Q5" t="s">
        <v>201</v>
      </c>
    </row>
    <row r="6" spans="1:17" x14ac:dyDescent="0.3">
      <c r="A6" t="s">
        <v>431</v>
      </c>
      <c r="B6" t="s">
        <v>12</v>
      </c>
      <c r="C6" t="s">
        <v>86</v>
      </c>
      <c r="D6" t="s">
        <v>38</v>
      </c>
      <c r="E6" t="s">
        <v>39</v>
      </c>
      <c r="F6" t="s">
        <v>372</v>
      </c>
      <c r="G6" t="s">
        <v>372</v>
      </c>
      <c r="H6" t="s">
        <v>372</v>
      </c>
      <c r="I6" t="s">
        <v>88</v>
      </c>
      <c r="J6" t="s">
        <v>89</v>
      </c>
      <c r="K6" t="s">
        <v>373</v>
      </c>
      <c r="L6" t="s">
        <v>120</v>
      </c>
      <c r="M6" t="s">
        <v>40</v>
      </c>
      <c r="N6" t="s">
        <v>95</v>
      </c>
      <c r="O6" t="s">
        <v>257</v>
      </c>
      <c r="P6" t="s">
        <v>257</v>
      </c>
      <c r="Q6" t="s">
        <v>201</v>
      </c>
    </row>
    <row r="7" spans="1:17" x14ac:dyDescent="0.3">
      <c r="A7" t="s">
        <v>431</v>
      </c>
      <c r="B7" t="s">
        <v>12</v>
      </c>
      <c r="C7" t="s">
        <v>86</v>
      </c>
      <c r="D7" t="s">
        <v>38</v>
      </c>
      <c r="E7" t="s">
        <v>39</v>
      </c>
      <c r="F7" t="s">
        <v>370</v>
      </c>
      <c r="G7" t="s">
        <v>370</v>
      </c>
      <c r="H7" t="s">
        <v>370</v>
      </c>
      <c r="I7" t="s">
        <v>88</v>
      </c>
      <c r="J7" t="s">
        <v>119</v>
      </c>
      <c r="K7" t="s">
        <v>371</v>
      </c>
      <c r="L7" t="s">
        <v>120</v>
      </c>
      <c r="M7" t="s">
        <v>40</v>
      </c>
      <c r="N7" t="s">
        <v>95</v>
      </c>
      <c r="O7" t="s">
        <v>257</v>
      </c>
      <c r="P7" t="s">
        <v>257</v>
      </c>
      <c r="Q7" t="s">
        <v>191</v>
      </c>
    </row>
    <row r="8" spans="1:17" x14ac:dyDescent="0.3">
      <c r="A8" t="s">
        <v>431</v>
      </c>
      <c r="B8" t="s">
        <v>12</v>
      </c>
      <c r="C8" t="s">
        <v>86</v>
      </c>
      <c r="D8" t="s">
        <v>38</v>
      </c>
      <c r="E8" t="s">
        <v>39</v>
      </c>
      <c r="F8" t="s">
        <v>321</v>
      </c>
      <c r="G8" t="s">
        <v>321</v>
      </c>
      <c r="H8" t="s">
        <v>321</v>
      </c>
      <c r="I8" t="s">
        <v>88</v>
      </c>
      <c r="J8" t="s">
        <v>119</v>
      </c>
      <c r="K8" t="s">
        <v>322</v>
      </c>
      <c r="L8" t="s">
        <v>120</v>
      </c>
      <c r="M8" t="s">
        <v>40</v>
      </c>
      <c r="N8" t="s">
        <v>95</v>
      </c>
      <c r="O8" t="s">
        <v>257</v>
      </c>
      <c r="P8" t="s">
        <v>257</v>
      </c>
      <c r="Q8" t="s">
        <v>191</v>
      </c>
    </row>
    <row r="9" spans="1:17" x14ac:dyDescent="0.3">
      <c r="A9" t="s">
        <v>431</v>
      </c>
      <c r="B9" t="s">
        <v>12</v>
      </c>
      <c r="C9" t="s">
        <v>86</v>
      </c>
      <c r="D9" t="s">
        <v>38</v>
      </c>
      <c r="E9" t="s">
        <v>39</v>
      </c>
      <c r="F9" t="s">
        <v>319</v>
      </c>
      <c r="G9" t="s">
        <v>319</v>
      </c>
      <c r="H9" t="s">
        <v>319</v>
      </c>
      <c r="I9" t="s">
        <v>88</v>
      </c>
      <c r="J9" t="s">
        <v>288</v>
      </c>
      <c r="K9" t="s">
        <v>320</v>
      </c>
      <c r="L9" t="s">
        <v>120</v>
      </c>
      <c r="M9" t="s">
        <v>40</v>
      </c>
      <c r="N9" t="s">
        <v>95</v>
      </c>
      <c r="O9" t="s">
        <v>257</v>
      </c>
      <c r="P9" t="s">
        <v>257</v>
      </c>
      <c r="Q9" t="s">
        <v>189</v>
      </c>
    </row>
    <row r="10" spans="1:17" x14ac:dyDescent="0.3">
      <c r="A10" t="s">
        <v>431</v>
      </c>
      <c r="B10" t="s">
        <v>12</v>
      </c>
      <c r="C10" t="s">
        <v>86</v>
      </c>
      <c r="D10" t="s">
        <v>38</v>
      </c>
      <c r="E10" t="s">
        <v>39</v>
      </c>
      <c r="F10" t="s">
        <v>281</v>
      </c>
      <c r="G10" t="s">
        <v>281</v>
      </c>
      <c r="H10" t="s">
        <v>281</v>
      </c>
      <c r="I10" t="s">
        <v>88</v>
      </c>
      <c r="J10" t="s">
        <v>119</v>
      </c>
      <c r="K10" t="s">
        <v>282</v>
      </c>
      <c r="L10" t="s">
        <v>120</v>
      </c>
      <c r="M10" t="s">
        <v>40</v>
      </c>
      <c r="N10" t="s">
        <v>95</v>
      </c>
      <c r="O10" t="s">
        <v>257</v>
      </c>
      <c r="P10" t="s">
        <v>257</v>
      </c>
      <c r="Q10" t="s">
        <v>201</v>
      </c>
    </row>
    <row r="11" spans="1:17" x14ac:dyDescent="0.3">
      <c r="A11" t="s">
        <v>431</v>
      </c>
      <c r="B11" t="s">
        <v>12</v>
      </c>
      <c r="C11" t="s">
        <v>86</v>
      </c>
      <c r="D11" t="s">
        <v>38</v>
      </c>
      <c r="E11" t="s">
        <v>39</v>
      </c>
      <c r="F11" t="s">
        <v>279</v>
      </c>
      <c r="G11" t="s">
        <v>279</v>
      </c>
      <c r="H11" t="s">
        <v>279</v>
      </c>
      <c r="I11" t="s">
        <v>88</v>
      </c>
      <c r="J11" t="s">
        <v>119</v>
      </c>
      <c r="K11" t="s">
        <v>280</v>
      </c>
      <c r="L11" t="s">
        <v>120</v>
      </c>
      <c r="M11" t="s">
        <v>40</v>
      </c>
      <c r="N11" t="s">
        <v>95</v>
      </c>
      <c r="O11" t="s">
        <v>257</v>
      </c>
      <c r="P11" t="s">
        <v>257</v>
      </c>
      <c r="Q11" t="s">
        <v>201</v>
      </c>
    </row>
    <row r="12" spans="1:17" x14ac:dyDescent="0.3">
      <c r="A12" t="s">
        <v>431</v>
      </c>
      <c r="B12" t="s">
        <v>12</v>
      </c>
      <c r="C12" t="s">
        <v>86</v>
      </c>
      <c r="D12" t="s">
        <v>38</v>
      </c>
      <c r="E12" t="s">
        <v>39</v>
      </c>
      <c r="F12" t="s">
        <v>274</v>
      </c>
      <c r="G12" t="s">
        <v>274</v>
      </c>
      <c r="H12" t="s">
        <v>274</v>
      </c>
      <c r="I12" t="s">
        <v>88</v>
      </c>
      <c r="J12" t="s">
        <v>119</v>
      </c>
      <c r="K12" t="s">
        <v>275</v>
      </c>
      <c r="L12" t="s">
        <v>120</v>
      </c>
      <c r="M12" t="s">
        <v>40</v>
      </c>
      <c r="N12" t="s">
        <v>95</v>
      </c>
      <c r="O12" t="s">
        <v>257</v>
      </c>
      <c r="P12" t="s">
        <v>257</v>
      </c>
      <c r="Q12" t="s">
        <v>201</v>
      </c>
    </row>
    <row r="13" spans="1:17" x14ac:dyDescent="0.3">
      <c r="A13" t="s">
        <v>431</v>
      </c>
      <c r="B13" t="s">
        <v>12</v>
      </c>
      <c r="C13" t="s">
        <v>86</v>
      </c>
      <c r="D13" t="s">
        <v>38</v>
      </c>
      <c r="E13" t="s">
        <v>39</v>
      </c>
      <c r="F13" t="s">
        <v>276</v>
      </c>
      <c r="G13" t="s">
        <v>276</v>
      </c>
      <c r="H13" t="s">
        <v>276</v>
      </c>
      <c r="I13" t="s">
        <v>88</v>
      </c>
      <c r="J13" t="s">
        <v>277</v>
      </c>
      <c r="K13" t="s">
        <v>278</v>
      </c>
      <c r="L13" t="s">
        <v>120</v>
      </c>
      <c r="M13" t="s">
        <v>40</v>
      </c>
      <c r="N13" t="s">
        <v>95</v>
      </c>
      <c r="O13" t="s">
        <v>257</v>
      </c>
      <c r="P13" t="s">
        <v>257</v>
      </c>
      <c r="Q13" t="s">
        <v>204</v>
      </c>
    </row>
    <row r="14" spans="1:17" x14ac:dyDescent="0.3">
      <c r="A14" t="s">
        <v>431</v>
      </c>
      <c r="B14" t="s">
        <v>12</v>
      </c>
      <c r="C14" t="s">
        <v>86</v>
      </c>
      <c r="D14" t="s">
        <v>38</v>
      </c>
      <c r="E14" t="s">
        <v>39</v>
      </c>
      <c r="F14" t="s">
        <v>303</v>
      </c>
      <c r="G14" t="s">
        <v>303</v>
      </c>
      <c r="H14" t="s">
        <v>303</v>
      </c>
      <c r="I14" t="s">
        <v>88</v>
      </c>
      <c r="J14" t="s">
        <v>288</v>
      </c>
      <c r="K14" t="s">
        <v>304</v>
      </c>
      <c r="L14" t="s">
        <v>120</v>
      </c>
      <c r="M14" t="s">
        <v>40</v>
      </c>
      <c r="N14" t="s">
        <v>95</v>
      </c>
      <c r="O14" t="s">
        <v>257</v>
      </c>
      <c r="P14" t="s">
        <v>257</v>
      </c>
      <c r="Q14" t="s">
        <v>204</v>
      </c>
    </row>
    <row r="15" spans="1:17" x14ac:dyDescent="0.3">
      <c r="A15" t="s">
        <v>431</v>
      </c>
      <c r="B15" t="s">
        <v>12</v>
      </c>
      <c r="C15" t="s">
        <v>86</v>
      </c>
      <c r="D15" t="s">
        <v>38</v>
      </c>
      <c r="E15" t="s">
        <v>39</v>
      </c>
      <c r="F15" t="s">
        <v>327</v>
      </c>
      <c r="G15" t="s">
        <v>327</v>
      </c>
      <c r="H15" t="s">
        <v>327</v>
      </c>
      <c r="I15" t="s">
        <v>88</v>
      </c>
      <c r="J15" t="s">
        <v>89</v>
      </c>
      <c r="K15" t="s">
        <v>328</v>
      </c>
      <c r="L15" t="s">
        <v>120</v>
      </c>
      <c r="M15" t="s">
        <v>40</v>
      </c>
      <c r="N15" t="s">
        <v>95</v>
      </c>
      <c r="O15" t="s">
        <v>257</v>
      </c>
      <c r="P15" t="s">
        <v>257</v>
      </c>
      <c r="Q15" t="s">
        <v>191</v>
      </c>
    </row>
    <row r="16" spans="1:17" x14ac:dyDescent="0.3">
      <c r="A16" t="s">
        <v>431</v>
      </c>
      <c r="B16" t="s">
        <v>12</v>
      </c>
      <c r="C16" t="s">
        <v>86</v>
      </c>
      <c r="D16" t="s">
        <v>38</v>
      </c>
      <c r="E16" t="s">
        <v>39</v>
      </c>
      <c r="F16" t="s">
        <v>308</v>
      </c>
      <c r="G16" t="s">
        <v>308</v>
      </c>
      <c r="H16" t="s">
        <v>308</v>
      </c>
      <c r="I16" t="s">
        <v>88</v>
      </c>
      <c r="J16" t="s">
        <v>119</v>
      </c>
      <c r="K16" t="s">
        <v>309</v>
      </c>
      <c r="L16" t="s">
        <v>120</v>
      </c>
      <c r="M16" t="s">
        <v>40</v>
      </c>
      <c r="N16" t="s">
        <v>95</v>
      </c>
      <c r="O16" t="s">
        <v>257</v>
      </c>
      <c r="P16" t="s">
        <v>257</v>
      </c>
      <c r="Q16" t="s">
        <v>204</v>
      </c>
    </row>
    <row r="17" spans="1:17" x14ac:dyDescent="0.3">
      <c r="A17" t="s">
        <v>431</v>
      </c>
      <c r="B17" t="s">
        <v>12</v>
      </c>
      <c r="C17" t="s">
        <v>86</v>
      </c>
      <c r="D17" t="s">
        <v>38</v>
      </c>
      <c r="E17" t="s">
        <v>39</v>
      </c>
      <c r="F17" t="s">
        <v>310</v>
      </c>
      <c r="G17" t="s">
        <v>310</v>
      </c>
      <c r="H17" t="s">
        <v>310</v>
      </c>
      <c r="I17" t="s">
        <v>88</v>
      </c>
      <c r="J17" t="s">
        <v>311</v>
      </c>
      <c r="K17" t="s">
        <v>312</v>
      </c>
      <c r="L17" t="s">
        <v>120</v>
      </c>
      <c r="M17" t="s">
        <v>40</v>
      </c>
      <c r="N17" t="s">
        <v>95</v>
      </c>
      <c r="O17" t="s">
        <v>257</v>
      </c>
      <c r="P17" t="s">
        <v>257</v>
      </c>
      <c r="Q17" t="s">
        <v>189</v>
      </c>
    </row>
    <row r="18" spans="1:17" x14ac:dyDescent="0.3">
      <c r="A18" t="s">
        <v>431</v>
      </c>
      <c r="B18" t="s">
        <v>12</v>
      </c>
      <c r="C18" t="s">
        <v>86</v>
      </c>
      <c r="D18" t="s">
        <v>38</v>
      </c>
      <c r="E18" t="s">
        <v>39</v>
      </c>
      <c r="F18" t="s">
        <v>313</v>
      </c>
      <c r="G18" t="s">
        <v>313</v>
      </c>
      <c r="H18" t="s">
        <v>313</v>
      </c>
      <c r="I18" t="s">
        <v>88</v>
      </c>
      <c r="J18" t="s">
        <v>119</v>
      </c>
      <c r="K18" t="s">
        <v>314</v>
      </c>
      <c r="L18" t="s">
        <v>120</v>
      </c>
      <c r="M18" t="s">
        <v>40</v>
      </c>
      <c r="N18" t="s">
        <v>95</v>
      </c>
      <c r="O18" t="s">
        <v>257</v>
      </c>
      <c r="P18" t="s">
        <v>257</v>
      </c>
      <c r="Q18" t="s">
        <v>191</v>
      </c>
    </row>
    <row r="19" spans="1:17" x14ac:dyDescent="0.3">
      <c r="A19" t="s">
        <v>431</v>
      </c>
      <c r="B19" t="s">
        <v>12</v>
      </c>
      <c r="C19" t="s">
        <v>86</v>
      </c>
      <c r="D19" t="s">
        <v>38</v>
      </c>
      <c r="E19" t="s">
        <v>39</v>
      </c>
      <c r="F19" t="s">
        <v>305</v>
      </c>
      <c r="G19" t="s">
        <v>305</v>
      </c>
      <c r="H19" t="s">
        <v>305</v>
      </c>
      <c r="I19" t="s">
        <v>88</v>
      </c>
      <c r="J19" t="s">
        <v>306</v>
      </c>
      <c r="K19" t="s">
        <v>307</v>
      </c>
      <c r="L19" t="s">
        <v>120</v>
      </c>
      <c r="M19" t="s">
        <v>40</v>
      </c>
      <c r="N19" t="s">
        <v>95</v>
      </c>
      <c r="O19" t="s">
        <v>257</v>
      </c>
      <c r="P19" t="s">
        <v>257</v>
      </c>
      <c r="Q19" t="s">
        <v>204</v>
      </c>
    </row>
    <row r="20" spans="1:17" x14ac:dyDescent="0.3">
      <c r="A20" t="s">
        <v>431</v>
      </c>
      <c r="B20" t="s">
        <v>12</v>
      </c>
      <c r="C20" t="s">
        <v>86</v>
      </c>
      <c r="D20" t="s">
        <v>38</v>
      </c>
      <c r="E20" t="s">
        <v>39</v>
      </c>
      <c r="F20" t="s">
        <v>323</v>
      </c>
      <c r="G20" t="s">
        <v>323</v>
      </c>
      <c r="H20" t="s">
        <v>323</v>
      </c>
      <c r="I20" t="s">
        <v>88</v>
      </c>
      <c r="J20" t="s">
        <v>119</v>
      </c>
      <c r="K20" t="s">
        <v>324</v>
      </c>
      <c r="L20" t="s">
        <v>120</v>
      </c>
      <c r="M20" t="s">
        <v>40</v>
      </c>
      <c r="N20" t="s">
        <v>95</v>
      </c>
      <c r="O20" t="s">
        <v>257</v>
      </c>
      <c r="P20" t="s">
        <v>257</v>
      </c>
      <c r="Q20" t="s">
        <v>191</v>
      </c>
    </row>
    <row r="21" spans="1:17" x14ac:dyDescent="0.3">
      <c r="A21" t="s">
        <v>431</v>
      </c>
      <c r="B21" t="s">
        <v>12</v>
      </c>
      <c r="C21" t="s">
        <v>86</v>
      </c>
      <c r="D21" t="s">
        <v>38</v>
      </c>
      <c r="E21" t="s">
        <v>39</v>
      </c>
      <c r="F21" t="s">
        <v>364</v>
      </c>
      <c r="G21" t="s">
        <v>364</v>
      </c>
      <c r="H21" t="s">
        <v>364</v>
      </c>
      <c r="I21" t="s">
        <v>88</v>
      </c>
      <c r="J21" t="s">
        <v>89</v>
      </c>
      <c r="K21" t="s">
        <v>365</v>
      </c>
      <c r="L21" t="s">
        <v>120</v>
      </c>
      <c r="M21" t="s">
        <v>40</v>
      </c>
      <c r="N21" t="s">
        <v>95</v>
      </c>
      <c r="O21" t="s">
        <v>257</v>
      </c>
      <c r="P21" t="s">
        <v>257</v>
      </c>
      <c r="Q21" t="s">
        <v>191</v>
      </c>
    </row>
    <row r="22" spans="1:17" x14ac:dyDescent="0.3">
      <c r="A22" t="s">
        <v>431</v>
      </c>
      <c r="B22" t="s">
        <v>12</v>
      </c>
      <c r="C22" t="s">
        <v>86</v>
      </c>
      <c r="D22" t="s">
        <v>38</v>
      </c>
      <c r="E22" t="s">
        <v>39</v>
      </c>
      <c r="F22" t="s">
        <v>297</v>
      </c>
      <c r="G22" t="s">
        <v>297</v>
      </c>
      <c r="H22" t="s">
        <v>297</v>
      </c>
      <c r="I22" t="s">
        <v>88</v>
      </c>
      <c r="J22" t="s">
        <v>119</v>
      </c>
      <c r="K22" t="s">
        <v>298</v>
      </c>
      <c r="L22" t="s">
        <v>120</v>
      </c>
      <c r="M22" t="s">
        <v>40</v>
      </c>
      <c r="N22" t="s">
        <v>95</v>
      </c>
      <c r="O22" t="s">
        <v>257</v>
      </c>
      <c r="P22" t="s">
        <v>257</v>
      </c>
      <c r="Q22" t="s">
        <v>191</v>
      </c>
    </row>
    <row r="23" spans="1:17" x14ac:dyDescent="0.3">
      <c r="A23" t="s">
        <v>431</v>
      </c>
      <c r="B23" t="s">
        <v>12</v>
      </c>
      <c r="C23" t="s">
        <v>86</v>
      </c>
      <c r="D23" t="s">
        <v>38</v>
      </c>
      <c r="E23" t="s">
        <v>39</v>
      </c>
      <c r="F23" t="s">
        <v>295</v>
      </c>
      <c r="G23" t="s">
        <v>295</v>
      </c>
      <c r="H23" t="s">
        <v>295</v>
      </c>
      <c r="I23" t="s">
        <v>88</v>
      </c>
      <c r="J23" t="s">
        <v>119</v>
      </c>
      <c r="K23" t="s">
        <v>296</v>
      </c>
      <c r="L23" t="s">
        <v>120</v>
      </c>
      <c r="M23" t="s">
        <v>40</v>
      </c>
      <c r="N23" t="s">
        <v>95</v>
      </c>
      <c r="O23" t="s">
        <v>257</v>
      </c>
      <c r="P23" t="s">
        <v>257</v>
      </c>
      <c r="Q23" t="s">
        <v>201</v>
      </c>
    </row>
    <row r="24" spans="1:17" x14ac:dyDescent="0.3">
      <c r="A24" t="s">
        <v>431</v>
      </c>
      <c r="B24" t="s">
        <v>12</v>
      </c>
      <c r="C24" t="s">
        <v>86</v>
      </c>
      <c r="D24" t="s">
        <v>38</v>
      </c>
      <c r="E24" t="s">
        <v>39</v>
      </c>
      <c r="F24" t="s">
        <v>325</v>
      </c>
      <c r="G24" t="s">
        <v>325</v>
      </c>
      <c r="H24" t="s">
        <v>325</v>
      </c>
      <c r="I24" t="s">
        <v>88</v>
      </c>
      <c r="J24" t="s">
        <v>119</v>
      </c>
      <c r="K24" t="s">
        <v>326</v>
      </c>
      <c r="L24" t="s">
        <v>120</v>
      </c>
      <c r="M24" t="s">
        <v>40</v>
      </c>
      <c r="N24" t="s">
        <v>95</v>
      </c>
      <c r="O24" t="s">
        <v>257</v>
      </c>
      <c r="P24" t="s">
        <v>257</v>
      </c>
      <c r="Q24" t="s">
        <v>204</v>
      </c>
    </row>
    <row r="25" spans="1:17" x14ac:dyDescent="0.3">
      <c r="A25" t="s">
        <v>431</v>
      </c>
      <c r="B25" t="s">
        <v>12</v>
      </c>
      <c r="C25" t="s">
        <v>86</v>
      </c>
      <c r="D25" t="s">
        <v>38</v>
      </c>
      <c r="E25" t="s">
        <v>39</v>
      </c>
      <c r="F25" t="s">
        <v>358</v>
      </c>
      <c r="G25" t="s">
        <v>358</v>
      </c>
      <c r="H25" t="s">
        <v>358</v>
      </c>
      <c r="I25" t="s">
        <v>88</v>
      </c>
      <c r="J25" t="s">
        <v>119</v>
      </c>
      <c r="K25" t="s">
        <v>359</v>
      </c>
      <c r="L25" t="s">
        <v>120</v>
      </c>
      <c r="M25" t="s">
        <v>40</v>
      </c>
      <c r="N25" t="s">
        <v>95</v>
      </c>
      <c r="O25" t="s">
        <v>257</v>
      </c>
      <c r="P25" t="s">
        <v>257</v>
      </c>
      <c r="Q25" t="s">
        <v>200</v>
      </c>
    </row>
    <row r="26" spans="1:17" x14ac:dyDescent="0.3">
      <c r="A26" t="s">
        <v>431</v>
      </c>
      <c r="B26" t="s">
        <v>12</v>
      </c>
      <c r="C26" t="s">
        <v>86</v>
      </c>
      <c r="D26" t="s">
        <v>38</v>
      </c>
      <c r="E26" t="s">
        <v>39</v>
      </c>
      <c r="F26" t="s">
        <v>356</v>
      </c>
      <c r="G26" t="s">
        <v>356</v>
      </c>
      <c r="H26" t="s">
        <v>356</v>
      </c>
      <c r="I26" t="s">
        <v>88</v>
      </c>
      <c r="J26" t="s">
        <v>89</v>
      </c>
      <c r="K26" t="s">
        <v>357</v>
      </c>
      <c r="L26" t="s">
        <v>120</v>
      </c>
      <c r="M26" t="s">
        <v>40</v>
      </c>
      <c r="N26" t="s">
        <v>95</v>
      </c>
      <c r="O26" t="s">
        <v>257</v>
      </c>
      <c r="P26" t="s">
        <v>257</v>
      </c>
      <c r="Q26" t="s">
        <v>191</v>
      </c>
    </row>
    <row r="27" spans="1:17" x14ac:dyDescent="0.3">
      <c r="A27" t="s">
        <v>431</v>
      </c>
      <c r="B27" t="s">
        <v>12</v>
      </c>
      <c r="C27" t="s">
        <v>86</v>
      </c>
      <c r="D27" t="s">
        <v>38</v>
      </c>
      <c r="E27" t="s">
        <v>39</v>
      </c>
      <c r="F27" t="s">
        <v>354</v>
      </c>
      <c r="G27" t="s">
        <v>354</v>
      </c>
      <c r="H27" t="s">
        <v>354</v>
      </c>
      <c r="I27" t="s">
        <v>88</v>
      </c>
      <c r="J27" t="s">
        <v>119</v>
      </c>
      <c r="K27" t="s">
        <v>355</v>
      </c>
      <c r="L27" t="s">
        <v>120</v>
      </c>
      <c r="M27" t="s">
        <v>40</v>
      </c>
      <c r="N27" t="s">
        <v>95</v>
      </c>
      <c r="O27" t="s">
        <v>257</v>
      </c>
      <c r="P27" t="s">
        <v>257</v>
      </c>
      <c r="Q27" t="s">
        <v>204</v>
      </c>
    </row>
    <row r="28" spans="1:17" x14ac:dyDescent="0.3">
      <c r="A28" t="s">
        <v>431</v>
      </c>
      <c r="B28" t="s">
        <v>12</v>
      </c>
      <c r="C28" t="s">
        <v>86</v>
      </c>
      <c r="D28" t="s">
        <v>38</v>
      </c>
      <c r="E28" t="s">
        <v>39</v>
      </c>
      <c r="F28" t="s">
        <v>290</v>
      </c>
      <c r="G28" t="s">
        <v>290</v>
      </c>
      <c r="H28" t="s">
        <v>290</v>
      </c>
      <c r="I28" t="s">
        <v>88</v>
      </c>
      <c r="J28" t="s">
        <v>291</v>
      </c>
      <c r="K28" t="s">
        <v>292</v>
      </c>
      <c r="L28" t="s">
        <v>120</v>
      </c>
      <c r="M28" t="s">
        <v>40</v>
      </c>
      <c r="N28" t="s">
        <v>95</v>
      </c>
      <c r="O28" t="s">
        <v>257</v>
      </c>
      <c r="P28" t="s">
        <v>257</v>
      </c>
      <c r="Q28" t="s">
        <v>191</v>
      </c>
    </row>
    <row r="29" spans="1:17" x14ac:dyDescent="0.3">
      <c r="A29" t="s">
        <v>432</v>
      </c>
      <c r="B29" t="s">
        <v>12</v>
      </c>
      <c r="C29" t="s">
        <v>86</v>
      </c>
      <c r="D29" t="s">
        <v>38</v>
      </c>
      <c r="E29" t="s">
        <v>39</v>
      </c>
      <c r="F29" t="s">
        <v>333</v>
      </c>
      <c r="G29" t="s">
        <v>333</v>
      </c>
      <c r="H29" t="s">
        <v>333</v>
      </c>
      <c r="I29" t="s">
        <v>88</v>
      </c>
      <c r="J29" t="s">
        <v>334</v>
      </c>
      <c r="K29" t="s">
        <v>335</v>
      </c>
      <c r="L29" t="s">
        <v>336</v>
      </c>
      <c r="M29" t="s">
        <v>40</v>
      </c>
      <c r="N29" t="s">
        <v>95</v>
      </c>
      <c r="O29" t="s">
        <v>257</v>
      </c>
      <c r="P29" t="s">
        <v>257</v>
      </c>
      <c r="Q29" t="s">
        <v>194</v>
      </c>
    </row>
    <row r="30" spans="1:17" x14ac:dyDescent="0.3">
      <c r="A30" t="s">
        <v>431</v>
      </c>
      <c r="B30" t="s">
        <v>12</v>
      </c>
      <c r="C30" t="s">
        <v>86</v>
      </c>
      <c r="D30" t="s">
        <v>38</v>
      </c>
      <c r="E30" t="s">
        <v>39</v>
      </c>
      <c r="F30" t="s">
        <v>331</v>
      </c>
      <c r="G30" t="s">
        <v>331</v>
      </c>
      <c r="H30" t="s">
        <v>331</v>
      </c>
      <c r="I30" t="s">
        <v>88</v>
      </c>
      <c r="J30" t="s">
        <v>119</v>
      </c>
      <c r="K30" t="s">
        <v>332</v>
      </c>
      <c r="L30" t="s">
        <v>120</v>
      </c>
      <c r="M30" t="s">
        <v>40</v>
      </c>
      <c r="N30" t="s">
        <v>95</v>
      </c>
      <c r="O30" t="s">
        <v>257</v>
      </c>
      <c r="P30" t="s">
        <v>257</v>
      </c>
      <c r="Q30" t="s">
        <v>191</v>
      </c>
    </row>
    <row r="31" spans="1:17" x14ac:dyDescent="0.3">
      <c r="A31" t="s">
        <v>431</v>
      </c>
      <c r="B31" t="s">
        <v>12</v>
      </c>
      <c r="C31" t="s">
        <v>86</v>
      </c>
      <c r="D31" t="s">
        <v>38</v>
      </c>
      <c r="E31" t="s">
        <v>39</v>
      </c>
      <c r="F31" t="s">
        <v>329</v>
      </c>
      <c r="G31" t="s">
        <v>329</v>
      </c>
      <c r="H31" t="s">
        <v>329</v>
      </c>
      <c r="I31" t="s">
        <v>88</v>
      </c>
      <c r="J31" t="s">
        <v>89</v>
      </c>
      <c r="K31" t="s">
        <v>330</v>
      </c>
      <c r="L31" t="s">
        <v>120</v>
      </c>
      <c r="M31" t="s">
        <v>40</v>
      </c>
      <c r="N31" t="s">
        <v>95</v>
      </c>
      <c r="O31" t="s">
        <v>257</v>
      </c>
      <c r="P31" t="s">
        <v>257</v>
      </c>
      <c r="Q31" t="s">
        <v>201</v>
      </c>
    </row>
    <row r="32" spans="1:17" x14ac:dyDescent="0.3">
      <c r="A32" t="s">
        <v>431</v>
      </c>
      <c r="B32" t="s">
        <v>12</v>
      </c>
      <c r="C32" t="s">
        <v>86</v>
      </c>
      <c r="D32" t="s">
        <v>38</v>
      </c>
      <c r="E32" t="s">
        <v>39</v>
      </c>
      <c r="F32" t="s">
        <v>283</v>
      </c>
      <c r="G32" t="s">
        <v>283</v>
      </c>
      <c r="H32" t="s">
        <v>283</v>
      </c>
      <c r="I32" t="s">
        <v>88</v>
      </c>
      <c r="J32" t="s">
        <v>119</v>
      </c>
      <c r="K32" t="s">
        <v>284</v>
      </c>
      <c r="L32" t="s">
        <v>120</v>
      </c>
      <c r="M32" t="s">
        <v>40</v>
      </c>
      <c r="N32" t="s">
        <v>95</v>
      </c>
      <c r="O32" t="s">
        <v>257</v>
      </c>
      <c r="P32" t="s">
        <v>257</v>
      </c>
      <c r="Q32" t="s">
        <v>191</v>
      </c>
    </row>
    <row r="33" spans="1:17" x14ac:dyDescent="0.3">
      <c r="A33" t="s">
        <v>431</v>
      </c>
      <c r="B33" t="s">
        <v>12</v>
      </c>
      <c r="C33" t="s">
        <v>86</v>
      </c>
      <c r="D33" t="s">
        <v>38</v>
      </c>
      <c r="E33" t="s">
        <v>39</v>
      </c>
      <c r="F33" t="s">
        <v>285</v>
      </c>
      <c r="G33" t="s">
        <v>285</v>
      </c>
      <c r="H33" t="s">
        <v>285</v>
      </c>
      <c r="I33" t="s">
        <v>88</v>
      </c>
      <c r="J33" t="s">
        <v>119</v>
      </c>
      <c r="K33" t="s">
        <v>286</v>
      </c>
      <c r="L33" t="s">
        <v>120</v>
      </c>
      <c r="M33" t="s">
        <v>40</v>
      </c>
      <c r="N33" t="s">
        <v>95</v>
      </c>
      <c r="O33" t="s">
        <v>257</v>
      </c>
      <c r="P33" t="s">
        <v>257</v>
      </c>
      <c r="Q33" t="s">
        <v>201</v>
      </c>
    </row>
    <row r="34" spans="1:17" x14ac:dyDescent="0.3">
      <c r="A34" t="s">
        <v>431</v>
      </c>
      <c r="B34" t="s">
        <v>12</v>
      </c>
      <c r="C34" t="s">
        <v>86</v>
      </c>
      <c r="D34" t="s">
        <v>38</v>
      </c>
      <c r="E34" t="s">
        <v>39</v>
      </c>
      <c r="F34" t="s">
        <v>287</v>
      </c>
      <c r="G34" t="s">
        <v>287</v>
      </c>
      <c r="H34" t="s">
        <v>287</v>
      </c>
      <c r="I34" t="s">
        <v>88</v>
      </c>
      <c r="J34" t="s">
        <v>288</v>
      </c>
      <c r="K34" t="s">
        <v>289</v>
      </c>
      <c r="L34" t="s">
        <v>120</v>
      </c>
      <c r="M34" t="s">
        <v>40</v>
      </c>
      <c r="N34" t="s">
        <v>95</v>
      </c>
      <c r="O34" t="s">
        <v>257</v>
      </c>
      <c r="P34" t="s">
        <v>257</v>
      </c>
      <c r="Q34" t="s">
        <v>201</v>
      </c>
    </row>
    <row r="35" spans="1:17" x14ac:dyDescent="0.3">
      <c r="A35" t="s">
        <v>431</v>
      </c>
      <c r="B35" t="s">
        <v>12</v>
      </c>
      <c r="C35" t="s">
        <v>86</v>
      </c>
      <c r="D35" t="s">
        <v>38</v>
      </c>
      <c r="E35" t="s">
        <v>39</v>
      </c>
      <c r="F35" t="s">
        <v>301</v>
      </c>
      <c r="G35" t="s">
        <v>301</v>
      </c>
      <c r="H35" t="s">
        <v>301</v>
      </c>
      <c r="I35" t="s">
        <v>88</v>
      </c>
      <c r="J35" t="s">
        <v>288</v>
      </c>
      <c r="K35" t="s">
        <v>302</v>
      </c>
      <c r="L35" t="s">
        <v>120</v>
      </c>
      <c r="M35" t="s">
        <v>40</v>
      </c>
      <c r="N35" t="s">
        <v>95</v>
      </c>
      <c r="O35" t="s">
        <v>257</v>
      </c>
      <c r="P35" t="s">
        <v>257</v>
      </c>
      <c r="Q35" t="s">
        <v>189</v>
      </c>
    </row>
    <row r="36" spans="1:17" x14ac:dyDescent="0.3">
      <c r="A36" t="s">
        <v>431</v>
      </c>
      <c r="B36" t="s">
        <v>12</v>
      </c>
      <c r="C36" t="s">
        <v>86</v>
      </c>
      <c r="D36" t="s">
        <v>38</v>
      </c>
      <c r="E36" t="s">
        <v>39</v>
      </c>
      <c r="F36" t="s">
        <v>299</v>
      </c>
      <c r="G36" t="s">
        <v>299</v>
      </c>
      <c r="H36" t="s">
        <v>299</v>
      </c>
      <c r="I36" t="s">
        <v>88</v>
      </c>
      <c r="J36" t="s">
        <v>89</v>
      </c>
      <c r="K36" t="s">
        <v>300</v>
      </c>
      <c r="L36" t="s">
        <v>120</v>
      </c>
      <c r="M36" t="s">
        <v>40</v>
      </c>
      <c r="N36" t="s">
        <v>95</v>
      </c>
      <c r="O36" t="s">
        <v>257</v>
      </c>
      <c r="P36" t="s">
        <v>257</v>
      </c>
      <c r="Q36" t="s">
        <v>191</v>
      </c>
    </row>
    <row r="37" spans="1:17" x14ac:dyDescent="0.3">
      <c r="A37" t="s">
        <v>431</v>
      </c>
      <c r="B37" t="s">
        <v>12</v>
      </c>
      <c r="C37" t="s">
        <v>86</v>
      </c>
      <c r="D37" t="s">
        <v>38</v>
      </c>
      <c r="E37" t="s">
        <v>39</v>
      </c>
      <c r="F37" t="s">
        <v>293</v>
      </c>
      <c r="G37" t="s">
        <v>293</v>
      </c>
      <c r="H37" t="s">
        <v>293</v>
      </c>
      <c r="I37" t="s">
        <v>88</v>
      </c>
      <c r="J37" t="s">
        <v>119</v>
      </c>
      <c r="K37" t="s">
        <v>294</v>
      </c>
      <c r="L37" t="s">
        <v>120</v>
      </c>
      <c r="M37" t="s">
        <v>40</v>
      </c>
      <c r="N37" t="s">
        <v>95</v>
      </c>
      <c r="O37" t="s">
        <v>257</v>
      </c>
      <c r="P37" t="s">
        <v>257</v>
      </c>
      <c r="Q37" t="s">
        <v>201</v>
      </c>
    </row>
    <row r="38" spans="1:17" x14ac:dyDescent="0.3">
      <c r="A38" t="s">
        <v>431</v>
      </c>
      <c r="B38" t="s">
        <v>12</v>
      </c>
      <c r="C38" t="s">
        <v>86</v>
      </c>
      <c r="D38" t="s">
        <v>38</v>
      </c>
      <c r="E38" t="s">
        <v>39</v>
      </c>
      <c r="F38" t="s">
        <v>424</v>
      </c>
      <c r="G38" t="s">
        <v>424</v>
      </c>
      <c r="H38" t="s">
        <v>424</v>
      </c>
      <c r="I38" t="s">
        <v>88</v>
      </c>
      <c r="J38" t="s">
        <v>119</v>
      </c>
      <c r="K38" t="s">
        <v>425</v>
      </c>
      <c r="L38" t="s">
        <v>120</v>
      </c>
      <c r="M38" t="s">
        <v>40</v>
      </c>
      <c r="N38" t="s">
        <v>95</v>
      </c>
      <c r="O38" t="s">
        <v>257</v>
      </c>
      <c r="P38" t="s">
        <v>257</v>
      </c>
      <c r="Q38" t="s">
        <v>201</v>
      </c>
    </row>
    <row r="39" spans="1:17" x14ac:dyDescent="0.3">
      <c r="A39" t="s">
        <v>431</v>
      </c>
      <c r="B39" t="s">
        <v>12</v>
      </c>
      <c r="C39" t="s">
        <v>86</v>
      </c>
      <c r="D39" t="s">
        <v>38</v>
      </c>
      <c r="E39" t="s">
        <v>39</v>
      </c>
      <c r="F39" t="s">
        <v>426</v>
      </c>
      <c r="G39" t="s">
        <v>426</v>
      </c>
      <c r="H39" t="s">
        <v>426</v>
      </c>
      <c r="I39" t="s">
        <v>88</v>
      </c>
      <c r="J39" t="s">
        <v>119</v>
      </c>
      <c r="K39" t="s">
        <v>427</v>
      </c>
      <c r="L39" t="s">
        <v>120</v>
      </c>
      <c r="M39" t="s">
        <v>40</v>
      </c>
      <c r="N39" t="s">
        <v>95</v>
      </c>
      <c r="O39" t="s">
        <v>257</v>
      </c>
      <c r="P39" t="s">
        <v>257</v>
      </c>
      <c r="Q39" t="s">
        <v>191</v>
      </c>
    </row>
    <row r="40" spans="1:17" x14ac:dyDescent="0.3">
      <c r="A40" t="s">
        <v>431</v>
      </c>
      <c r="B40" t="s">
        <v>12</v>
      </c>
      <c r="C40" t="s">
        <v>86</v>
      </c>
      <c r="D40" t="s">
        <v>38</v>
      </c>
      <c r="E40" t="s">
        <v>39</v>
      </c>
      <c r="F40" t="s">
        <v>428</v>
      </c>
      <c r="G40" t="s">
        <v>428</v>
      </c>
      <c r="H40" t="s">
        <v>428</v>
      </c>
      <c r="I40" t="s">
        <v>88</v>
      </c>
      <c r="J40" t="s">
        <v>119</v>
      </c>
      <c r="K40" t="s">
        <v>429</v>
      </c>
      <c r="L40" t="s">
        <v>120</v>
      </c>
      <c r="M40" t="s">
        <v>40</v>
      </c>
      <c r="N40" t="s">
        <v>95</v>
      </c>
      <c r="O40" t="s">
        <v>257</v>
      </c>
      <c r="P40" t="s">
        <v>257</v>
      </c>
      <c r="Q40" t="s">
        <v>204</v>
      </c>
    </row>
    <row r="41" spans="1:17" x14ac:dyDescent="0.3">
      <c r="A41" t="s">
        <v>431</v>
      </c>
      <c r="B41" t="s">
        <v>12</v>
      </c>
      <c r="C41" t="s">
        <v>86</v>
      </c>
      <c r="D41" t="s">
        <v>38</v>
      </c>
      <c r="E41" t="s">
        <v>39</v>
      </c>
      <c r="F41" t="s">
        <v>404</v>
      </c>
      <c r="G41" t="s">
        <v>404</v>
      </c>
      <c r="H41" t="s">
        <v>404</v>
      </c>
      <c r="I41" t="s">
        <v>88</v>
      </c>
      <c r="J41" t="s">
        <v>119</v>
      </c>
      <c r="K41" t="s">
        <v>405</v>
      </c>
      <c r="L41" t="s">
        <v>120</v>
      </c>
      <c r="M41" t="s">
        <v>40</v>
      </c>
      <c r="N41" t="s">
        <v>95</v>
      </c>
      <c r="O41" t="s">
        <v>257</v>
      </c>
      <c r="P41" t="s">
        <v>257</v>
      </c>
      <c r="Q41" t="s">
        <v>204</v>
      </c>
    </row>
    <row r="42" spans="1:17" x14ac:dyDescent="0.3">
      <c r="A42" t="s">
        <v>431</v>
      </c>
      <c r="B42" t="s">
        <v>12</v>
      </c>
      <c r="C42" t="s">
        <v>86</v>
      </c>
      <c r="D42" t="s">
        <v>38</v>
      </c>
      <c r="E42" t="s">
        <v>39</v>
      </c>
      <c r="F42" t="s">
        <v>406</v>
      </c>
      <c r="G42" t="s">
        <v>406</v>
      </c>
      <c r="H42" t="s">
        <v>406</v>
      </c>
      <c r="I42" t="s">
        <v>88</v>
      </c>
      <c r="J42" t="s">
        <v>119</v>
      </c>
      <c r="K42" t="s">
        <v>407</v>
      </c>
      <c r="L42" t="s">
        <v>120</v>
      </c>
      <c r="M42" t="s">
        <v>40</v>
      </c>
      <c r="N42" t="s">
        <v>95</v>
      </c>
      <c r="O42" t="s">
        <v>257</v>
      </c>
      <c r="P42" t="s">
        <v>257</v>
      </c>
      <c r="Q42" t="s">
        <v>204</v>
      </c>
    </row>
    <row r="43" spans="1:17" x14ac:dyDescent="0.3">
      <c r="A43" t="s">
        <v>431</v>
      </c>
      <c r="B43" t="s">
        <v>12</v>
      </c>
      <c r="C43" t="s">
        <v>86</v>
      </c>
      <c r="D43" t="s">
        <v>38</v>
      </c>
      <c r="E43" t="s">
        <v>39</v>
      </c>
      <c r="F43" t="s">
        <v>414</v>
      </c>
      <c r="G43" t="s">
        <v>414</v>
      </c>
      <c r="H43" t="s">
        <v>414</v>
      </c>
      <c r="I43" t="s">
        <v>88</v>
      </c>
      <c r="J43" t="s">
        <v>119</v>
      </c>
      <c r="K43" t="s">
        <v>415</v>
      </c>
      <c r="L43" t="s">
        <v>120</v>
      </c>
      <c r="M43" t="s">
        <v>40</v>
      </c>
      <c r="N43" t="s">
        <v>95</v>
      </c>
      <c r="O43" t="s">
        <v>257</v>
      </c>
      <c r="P43" t="s">
        <v>257</v>
      </c>
      <c r="Q43" t="s">
        <v>191</v>
      </c>
    </row>
    <row r="44" spans="1:17" x14ac:dyDescent="0.3">
      <c r="A44" t="s">
        <v>431</v>
      </c>
      <c r="B44" t="s">
        <v>12</v>
      </c>
      <c r="C44" t="s">
        <v>86</v>
      </c>
      <c r="D44" t="s">
        <v>38</v>
      </c>
      <c r="E44" t="s">
        <v>39</v>
      </c>
      <c r="F44" t="s">
        <v>422</v>
      </c>
      <c r="G44" t="s">
        <v>422</v>
      </c>
      <c r="H44" t="s">
        <v>422</v>
      </c>
      <c r="I44" t="s">
        <v>88</v>
      </c>
      <c r="J44" t="s">
        <v>119</v>
      </c>
      <c r="K44" t="s">
        <v>423</v>
      </c>
      <c r="L44" t="s">
        <v>120</v>
      </c>
      <c r="M44" t="s">
        <v>40</v>
      </c>
      <c r="N44" t="s">
        <v>95</v>
      </c>
      <c r="O44" t="s">
        <v>257</v>
      </c>
      <c r="P44" t="s">
        <v>257</v>
      </c>
      <c r="Q44" t="s">
        <v>191</v>
      </c>
    </row>
    <row r="45" spans="1:17" x14ac:dyDescent="0.3">
      <c r="A45" t="s">
        <v>431</v>
      </c>
      <c r="B45" t="s">
        <v>12</v>
      </c>
      <c r="C45" t="s">
        <v>86</v>
      </c>
      <c r="D45" t="s">
        <v>38</v>
      </c>
      <c r="E45" t="s">
        <v>39</v>
      </c>
      <c r="F45" t="s">
        <v>386</v>
      </c>
      <c r="G45" t="s">
        <v>386</v>
      </c>
      <c r="H45" t="s">
        <v>386</v>
      </c>
      <c r="I45" t="s">
        <v>88</v>
      </c>
      <c r="J45" t="s">
        <v>119</v>
      </c>
      <c r="K45" t="s">
        <v>387</v>
      </c>
      <c r="L45" t="s">
        <v>120</v>
      </c>
      <c r="M45" t="s">
        <v>40</v>
      </c>
      <c r="N45" t="s">
        <v>95</v>
      </c>
      <c r="O45" t="s">
        <v>257</v>
      </c>
      <c r="P45" t="s">
        <v>257</v>
      </c>
      <c r="Q45" t="s">
        <v>189</v>
      </c>
    </row>
    <row r="46" spans="1:17" x14ac:dyDescent="0.3">
      <c r="A46" t="s">
        <v>431</v>
      </c>
      <c r="B46" t="s">
        <v>12</v>
      </c>
      <c r="C46" t="s">
        <v>86</v>
      </c>
      <c r="D46" t="s">
        <v>38</v>
      </c>
      <c r="E46" t="s">
        <v>39</v>
      </c>
      <c r="F46" t="s">
        <v>408</v>
      </c>
      <c r="G46" t="s">
        <v>408</v>
      </c>
      <c r="H46" t="s">
        <v>408</v>
      </c>
      <c r="I46" t="s">
        <v>88</v>
      </c>
      <c r="J46" t="s">
        <v>119</v>
      </c>
      <c r="K46" t="s">
        <v>409</v>
      </c>
      <c r="L46" t="s">
        <v>120</v>
      </c>
      <c r="M46" t="s">
        <v>40</v>
      </c>
      <c r="N46" t="s">
        <v>95</v>
      </c>
      <c r="O46" t="s">
        <v>257</v>
      </c>
      <c r="P46" t="s">
        <v>257</v>
      </c>
      <c r="Q46" t="s">
        <v>191</v>
      </c>
    </row>
    <row r="47" spans="1:17" x14ac:dyDescent="0.3">
      <c r="A47" t="s">
        <v>431</v>
      </c>
      <c r="B47" t="s">
        <v>12</v>
      </c>
      <c r="C47" t="s">
        <v>86</v>
      </c>
      <c r="D47" t="s">
        <v>38</v>
      </c>
      <c r="E47" t="s">
        <v>39</v>
      </c>
      <c r="F47" t="s">
        <v>412</v>
      </c>
      <c r="G47" t="s">
        <v>412</v>
      </c>
      <c r="H47" t="s">
        <v>412</v>
      </c>
      <c r="I47" t="s">
        <v>88</v>
      </c>
      <c r="J47" t="s">
        <v>119</v>
      </c>
      <c r="K47" t="s">
        <v>413</v>
      </c>
      <c r="L47" t="s">
        <v>120</v>
      </c>
      <c r="M47" t="s">
        <v>40</v>
      </c>
      <c r="N47" t="s">
        <v>95</v>
      </c>
      <c r="O47" t="s">
        <v>257</v>
      </c>
      <c r="P47" t="s">
        <v>257</v>
      </c>
      <c r="Q47" t="s">
        <v>204</v>
      </c>
    </row>
    <row r="48" spans="1:17" x14ac:dyDescent="0.3">
      <c r="A48" t="s">
        <v>431</v>
      </c>
      <c r="B48" t="s">
        <v>12</v>
      </c>
      <c r="C48" t="s">
        <v>86</v>
      </c>
      <c r="D48" t="s">
        <v>38</v>
      </c>
      <c r="E48" t="s">
        <v>39</v>
      </c>
      <c r="F48" t="s">
        <v>410</v>
      </c>
      <c r="G48" t="s">
        <v>410</v>
      </c>
      <c r="H48" t="s">
        <v>410</v>
      </c>
      <c r="I48" t="s">
        <v>88</v>
      </c>
      <c r="J48" t="s">
        <v>119</v>
      </c>
      <c r="K48" t="s">
        <v>411</v>
      </c>
      <c r="L48" t="s">
        <v>120</v>
      </c>
      <c r="M48" t="s">
        <v>40</v>
      </c>
      <c r="N48" t="s">
        <v>95</v>
      </c>
      <c r="O48" t="s">
        <v>257</v>
      </c>
      <c r="P48" t="s">
        <v>257</v>
      </c>
      <c r="Q48" t="s">
        <v>201</v>
      </c>
    </row>
    <row r="49" spans="1:17" x14ac:dyDescent="0.3">
      <c r="A49" t="s">
        <v>431</v>
      </c>
      <c r="B49" t="s">
        <v>12</v>
      </c>
      <c r="C49" t="s">
        <v>86</v>
      </c>
      <c r="D49" t="s">
        <v>38</v>
      </c>
      <c r="E49" t="s">
        <v>39</v>
      </c>
      <c r="F49" t="s">
        <v>420</v>
      </c>
      <c r="G49" t="s">
        <v>420</v>
      </c>
      <c r="H49" t="s">
        <v>420</v>
      </c>
      <c r="I49" t="s">
        <v>88</v>
      </c>
      <c r="J49" t="s">
        <v>119</v>
      </c>
      <c r="K49" t="s">
        <v>421</v>
      </c>
      <c r="L49" t="s">
        <v>120</v>
      </c>
      <c r="M49" t="s">
        <v>40</v>
      </c>
      <c r="N49" t="s">
        <v>95</v>
      </c>
      <c r="O49" t="s">
        <v>257</v>
      </c>
      <c r="P49" t="s">
        <v>257</v>
      </c>
      <c r="Q49" t="s">
        <v>201</v>
      </c>
    </row>
    <row r="50" spans="1:17" x14ac:dyDescent="0.3">
      <c r="A50" t="s">
        <v>431</v>
      </c>
      <c r="B50" t="s">
        <v>12</v>
      </c>
      <c r="C50" t="s">
        <v>86</v>
      </c>
      <c r="D50" t="s">
        <v>38</v>
      </c>
      <c r="E50" t="s">
        <v>39</v>
      </c>
      <c r="F50" t="s">
        <v>418</v>
      </c>
      <c r="G50" t="s">
        <v>418</v>
      </c>
      <c r="H50" t="s">
        <v>418</v>
      </c>
      <c r="I50" t="s">
        <v>88</v>
      </c>
      <c r="J50" t="s">
        <v>288</v>
      </c>
      <c r="K50" t="s">
        <v>419</v>
      </c>
      <c r="L50" t="s">
        <v>120</v>
      </c>
      <c r="M50" t="s">
        <v>40</v>
      </c>
      <c r="N50" t="s">
        <v>95</v>
      </c>
      <c r="O50" t="s">
        <v>257</v>
      </c>
      <c r="P50" t="s">
        <v>257</v>
      </c>
      <c r="Q50" t="s">
        <v>201</v>
      </c>
    </row>
    <row r="51" spans="1:17" x14ac:dyDescent="0.3">
      <c r="A51" t="s">
        <v>431</v>
      </c>
      <c r="B51" t="s">
        <v>12</v>
      </c>
      <c r="C51" t="s">
        <v>86</v>
      </c>
      <c r="D51" t="s">
        <v>38</v>
      </c>
      <c r="E51" t="s">
        <v>39</v>
      </c>
      <c r="F51" t="s">
        <v>416</v>
      </c>
      <c r="G51" t="s">
        <v>416</v>
      </c>
      <c r="H51" t="s">
        <v>416</v>
      </c>
      <c r="I51" t="s">
        <v>88</v>
      </c>
      <c r="J51" t="s">
        <v>288</v>
      </c>
      <c r="K51" t="s">
        <v>417</v>
      </c>
      <c r="L51" t="s">
        <v>120</v>
      </c>
      <c r="M51" t="s">
        <v>40</v>
      </c>
      <c r="N51" t="s">
        <v>95</v>
      </c>
      <c r="O51" t="s">
        <v>257</v>
      </c>
      <c r="P51" t="s">
        <v>257</v>
      </c>
      <c r="Q51" t="s">
        <v>201</v>
      </c>
    </row>
    <row r="52" spans="1:17" x14ac:dyDescent="0.3">
      <c r="A52" t="s">
        <v>431</v>
      </c>
      <c r="B52" t="s">
        <v>12</v>
      </c>
      <c r="C52" t="s">
        <v>86</v>
      </c>
      <c r="D52" t="s">
        <v>38</v>
      </c>
      <c r="E52" t="s">
        <v>39</v>
      </c>
      <c r="F52" t="s">
        <v>394</v>
      </c>
      <c r="G52" t="s">
        <v>394</v>
      </c>
      <c r="H52" t="s">
        <v>394</v>
      </c>
      <c r="I52" t="s">
        <v>88</v>
      </c>
      <c r="J52" t="s">
        <v>119</v>
      </c>
      <c r="K52" t="s">
        <v>395</v>
      </c>
      <c r="L52" t="s">
        <v>120</v>
      </c>
      <c r="M52" t="s">
        <v>40</v>
      </c>
      <c r="N52" t="s">
        <v>95</v>
      </c>
      <c r="O52" t="s">
        <v>257</v>
      </c>
      <c r="P52" t="s">
        <v>257</v>
      </c>
      <c r="Q52" t="s">
        <v>201</v>
      </c>
    </row>
    <row r="53" spans="1:17" x14ac:dyDescent="0.3">
      <c r="A53" t="s">
        <v>431</v>
      </c>
      <c r="B53" t="s">
        <v>12</v>
      </c>
      <c r="C53" t="s">
        <v>86</v>
      </c>
      <c r="D53" t="s">
        <v>38</v>
      </c>
      <c r="E53" t="s">
        <v>39</v>
      </c>
      <c r="F53" t="s">
        <v>396</v>
      </c>
      <c r="G53" t="s">
        <v>396</v>
      </c>
      <c r="H53" t="s">
        <v>396</v>
      </c>
      <c r="I53" t="s">
        <v>88</v>
      </c>
      <c r="J53" t="s">
        <v>119</v>
      </c>
      <c r="K53" t="s">
        <v>397</v>
      </c>
      <c r="L53" t="s">
        <v>120</v>
      </c>
      <c r="M53" t="s">
        <v>40</v>
      </c>
      <c r="N53" t="s">
        <v>95</v>
      </c>
      <c r="O53" t="s">
        <v>257</v>
      </c>
      <c r="P53" t="s">
        <v>257</v>
      </c>
      <c r="Q53" t="s">
        <v>191</v>
      </c>
    </row>
    <row r="54" spans="1:17" x14ac:dyDescent="0.3">
      <c r="A54" t="s">
        <v>431</v>
      </c>
      <c r="B54" t="s">
        <v>12</v>
      </c>
      <c r="C54" t="s">
        <v>86</v>
      </c>
      <c r="D54" t="s">
        <v>38</v>
      </c>
      <c r="E54" t="s">
        <v>39</v>
      </c>
      <c r="F54" t="s">
        <v>392</v>
      </c>
      <c r="G54" t="s">
        <v>392</v>
      </c>
      <c r="H54" t="s">
        <v>392</v>
      </c>
      <c r="I54" t="s">
        <v>88</v>
      </c>
      <c r="J54" t="s">
        <v>119</v>
      </c>
      <c r="K54" t="s">
        <v>393</v>
      </c>
      <c r="L54" t="s">
        <v>120</v>
      </c>
      <c r="M54" t="s">
        <v>40</v>
      </c>
      <c r="N54" t="s">
        <v>95</v>
      </c>
      <c r="O54" t="s">
        <v>257</v>
      </c>
      <c r="P54" t="s">
        <v>257</v>
      </c>
      <c r="Q54" t="s">
        <v>204</v>
      </c>
    </row>
    <row r="55" spans="1:17" x14ac:dyDescent="0.3">
      <c r="A55" t="s">
        <v>431</v>
      </c>
      <c r="B55" t="s">
        <v>12</v>
      </c>
      <c r="C55" t="s">
        <v>86</v>
      </c>
      <c r="D55" t="s">
        <v>38</v>
      </c>
      <c r="E55" t="s">
        <v>39</v>
      </c>
      <c r="F55" t="s">
        <v>390</v>
      </c>
      <c r="G55" t="s">
        <v>390</v>
      </c>
      <c r="H55" t="s">
        <v>390</v>
      </c>
      <c r="I55" t="s">
        <v>88</v>
      </c>
      <c r="J55" t="s">
        <v>89</v>
      </c>
      <c r="K55" t="s">
        <v>391</v>
      </c>
      <c r="L55" t="s">
        <v>120</v>
      </c>
      <c r="M55" t="s">
        <v>40</v>
      </c>
      <c r="N55" t="s">
        <v>95</v>
      </c>
      <c r="O55" t="s">
        <v>257</v>
      </c>
      <c r="P55" t="s">
        <v>257</v>
      </c>
      <c r="Q55" t="s">
        <v>201</v>
      </c>
    </row>
    <row r="56" spans="1:17" x14ac:dyDescent="0.3">
      <c r="A56" t="s">
        <v>431</v>
      </c>
      <c r="B56" t="s">
        <v>12</v>
      </c>
      <c r="C56" t="s">
        <v>86</v>
      </c>
      <c r="D56" t="s">
        <v>38</v>
      </c>
      <c r="E56" t="s">
        <v>39</v>
      </c>
      <c r="F56" t="s">
        <v>388</v>
      </c>
      <c r="G56" t="s">
        <v>388</v>
      </c>
      <c r="H56" t="s">
        <v>388</v>
      </c>
      <c r="I56" t="s">
        <v>88</v>
      </c>
      <c r="J56" t="s">
        <v>89</v>
      </c>
      <c r="K56" t="s">
        <v>389</v>
      </c>
      <c r="L56" t="s">
        <v>120</v>
      </c>
      <c r="M56" t="s">
        <v>40</v>
      </c>
      <c r="N56" t="s">
        <v>95</v>
      </c>
      <c r="O56" t="s">
        <v>257</v>
      </c>
      <c r="P56" t="s">
        <v>257</v>
      </c>
      <c r="Q56" t="s">
        <v>201</v>
      </c>
    </row>
    <row r="57" spans="1:17" x14ac:dyDescent="0.3">
      <c r="A57" t="s">
        <v>431</v>
      </c>
      <c r="B57" t="s">
        <v>12</v>
      </c>
      <c r="C57" t="s">
        <v>86</v>
      </c>
      <c r="D57" t="s">
        <v>38</v>
      </c>
      <c r="E57" t="s">
        <v>39</v>
      </c>
      <c r="F57" t="s">
        <v>402</v>
      </c>
      <c r="G57" t="s">
        <v>402</v>
      </c>
      <c r="H57" t="s">
        <v>402</v>
      </c>
      <c r="I57" t="s">
        <v>88</v>
      </c>
      <c r="J57" t="s">
        <v>119</v>
      </c>
      <c r="K57" t="s">
        <v>403</v>
      </c>
      <c r="L57" t="s">
        <v>120</v>
      </c>
      <c r="M57" t="s">
        <v>40</v>
      </c>
      <c r="N57" t="s">
        <v>95</v>
      </c>
      <c r="O57" t="s">
        <v>257</v>
      </c>
      <c r="P57" t="s">
        <v>257</v>
      </c>
      <c r="Q57" t="s">
        <v>191</v>
      </c>
    </row>
    <row r="58" spans="1:17" x14ac:dyDescent="0.3">
      <c r="A58" t="s">
        <v>431</v>
      </c>
      <c r="B58" t="s">
        <v>12</v>
      </c>
      <c r="C58" t="s">
        <v>86</v>
      </c>
      <c r="D58" t="s">
        <v>38</v>
      </c>
      <c r="E58" t="s">
        <v>39</v>
      </c>
      <c r="F58" t="s">
        <v>400</v>
      </c>
      <c r="G58" t="s">
        <v>400</v>
      </c>
      <c r="H58" t="s">
        <v>400</v>
      </c>
      <c r="I58" t="s">
        <v>88</v>
      </c>
      <c r="J58" t="s">
        <v>89</v>
      </c>
      <c r="K58" t="s">
        <v>401</v>
      </c>
      <c r="L58" t="s">
        <v>120</v>
      </c>
      <c r="M58" t="s">
        <v>40</v>
      </c>
      <c r="N58" t="s">
        <v>95</v>
      </c>
      <c r="O58" t="s">
        <v>257</v>
      </c>
      <c r="P58" t="s">
        <v>257</v>
      </c>
      <c r="Q58" t="s">
        <v>204</v>
      </c>
    </row>
    <row r="59" spans="1:17" x14ac:dyDescent="0.3">
      <c r="A59" t="s">
        <v>431</v>
      </c>
      <c r="B59" t="s">
        <v>12</v>
      </c>
      <c r="C59" t="s">
        <v>86</v>
      </c>
      <c r="D59" t="s">
        <v>38</v>
      </c>
      <c r="E59" t="s">
        <v>39</v>
      </c>
      <c r="F59" t="s">
        <v>398</v>
      </c>
      <c r="G59" t="s">
        <v>398</v>
      </c>
      <c r="H59" t="s">
        <v>398</v>
      </c>
      <c r="I59" t="s">
        <v>88</v>
      </c>
      <c r="J59" t="s">
        <v>119</v>
      </c>
      <c r="K59" t="s">
        <v>399</v>
      </c>
      <c r="L59" t="s">
        <v>120</v>
      </c>
      <c r="M59" t="s">
        <v>40</v>
      </c>
      <c r="N59" t="s">
        <v>95</v>
      </c>
      <c r="O59" t="s">
        <v>257</v>
      </c>
      <c r="P59" t="s">
        <v>257</v>
      </c>
      <c r="Q59" t="s">
        <v>191</v>
      </c>
    </row>
    <row r="60" spans="1:17" x14ac:dyDescent="0.3">
      <c r="A60" t="s">
        <v>431</v>
      </c>
      <c r="B60" t="s">
        <v>12</v>
      </c>
      <c r="C60" t="s">
        <v>86</v>
      </c>
      <c r="D60" t="s">
        <v>38</v>
      </c>
      <c r="E60" t="s">
        <v>39</v>
      </c>
      <c r="F60" t="s">
        <v>362</v>
      </c>
      <c r="G60" t="s">
        <v>362</v>
      </c>
      <c r="H60" t="s">
        <v>362</v>
      </c>
      <c r="I60" t="s">
        <v>88</v>
      </c>
      <c r="J60" t="s">
        <v>119</v>
      </c>
      <c r="K60" t="s">
        <v>363</v>
      </c>
      <c r="L60" t="s">
        <v>120</v>
      </c>
      <c r="M60" t="s">
        <v>40</v>
      </c>
      <c r="N60" t="s">
        <v>95</v>
      </c>
      <c r="O60" t="s">
        <v>257</v>
      </c>
      <c r="P60" t="s">
        <v>257</v>
      </c>
      <c r="Q60" t="s">
        <v>191</v>
      </c>
    </row>
    <row r="61" spans="1:17" x14ac:dyDescent="0.3">
      <c r="A61" t="s">
        <v>431</v>
      </c>
      <c r="B61" t="s">
        <v>12</v>
      </c>
      <c r="C61" t="s">
        <v>86</v>
      </c>
      <c r="D61" t="s">
        <v>38</v>
      </c>
      <c r="E61" t="s">
        <v>39</v>
      </c>
      <c r="F61" t="s">
        <v>366</v>
      </c>
      <c r="G61" t="s">
        <v>366</v>
      </c>
      <c r="H61" t="s">
        <v>366</v>
      </c>
      <c r="I61" t="s">
        <v>88</v>
      </c>
      <c r="J61" t="s">
        <v>89</v>
      </c>
      <c r="K61" t="s">
        <v>367</v>
      </c>
      <c r="L61" t="s">
        <v>120</v>
      </c>
      <c r="M61" t="s">
        <v>40</v>
      </c>
      <c r="N61" t="s">
        <v>95</v>
      </c>
      <c r="O61" t="s">
        <v>257</v>
      </c>
      <c r="P61" t="s">
        <v>257</v>
      </c>
      <c r="Q61" t="s">
        <v>189</v>
      </c>
    </row>
    <row r="62" spans="1:17" x14ac:dyDescent="0.3">
      <c r="A62" t="s">
        <v>431</v>
      </c>
      <c r="B62" t="s">
        <v>12</v>
      </c>
      <c r="C62" t="s">
        <v>86</v>
      </c>
      <c r="D62" t="s">
        <v>38</v>
      </c>
      <c r="E62" t="s">
        <v>39</v>
      </c>
      <c r="F62" t="s">
        <v>315</v>
      </c>
      <c r="G62" t="s">
        <v>315</v>
      </c>
      <c r="H62" t="s">
        <v>315</v>
      </c>
      <c r="I62" t="s">
        <v>88</v>
      </c>
      <c r="J62" t="s">
        <v>89</v>
      </c>
      <c r="K62" t="s">
        <v>316</v>
      </c>
      <c r="L62" t="s">
        <v>120</v>
      </c>
      <c r="M62" t="s">
        <v>40</v>
      </c>
      <c r="N62" t="s">
        <v>95</v>
      </c>
      <c r="O62" t="s">
        <v>257</v>
      </c>
      <c r="P62" t="s">
        <v>257</v>
      </c>
      <c r="Q62" t="s">
        <v>191</v>
      </c>
    </row>
    <row r="63" spans="1:17" x14ac:dyDescent="0.3">
      <c r="A63" t="s">
        <v>431</v>
      </c>
      <c r="B63" t="s">
        <v>12</v>
      </c>
      <c r="C63" t="s">
        <v>86</v>
      </c>
      <c r="D63" t="s">
        <v>38</v>
      </c>
      <c r="E63" t="s">
        <v>39</v>
      </c>
      <c r="F63" t="s">
        <v>317</v>
      </c>
      <c r="G63" t="s">
        <v>317</v>
      </c>
      <c r="H63" t="s">
        <v>317</v>
      </c>
      <c r="I63" t="s">
        <v>88</v>
      </c>
      <c r="J63" t="s">
        <v>119</v>
      </c>
      <c r="K63" t="s">
        <v>318</v>
      </c>
      <c r="L63" t="s">
        <v>120</v>
      </c>
      <c r="M63" t="s">
        <v>40</v>
      </c>
      <c r="N63" t="s">
        <v>95</v>
      </c>
      <c r="O63" t="s">
        <v>257</v>
      </c>
      <c r="P63" t="s">
        <v>257</v>
      </c>
      <c r="Q63" t="s">
        <v>191</v>
      </c>
    </row>
    <row r="64" spans="1:17" x14ac:dyDescent="0.3">
      <c r="A64" t="s">
        <v>431</v>
      </c>
      <c r="B64" t="s">
        <v>12</v>
      </c>
      <c r="C64" t="s">
        <v>86</v>
      </c>
      <c r="D64" t="s">
        <v>38</v>
      </c>
      <c r="E64" t="s">
        <v>39</v>
      </c>
      <c r="F64" t="s">
        <v>348</v>
      </c>
      <c r="G64" t="s">
        <v>348</v>
      </c>
      <c r="H64" t="s">
        <v>348</v>
      </c>
      <c r="I64" t="s">
        <v>88</v>
      </c>
      <c r="J64" t="s">
        <v>119</v>
      </c>
      <c r="K64" t="s">
        <v>349</v>
      </c>
      <c r="L64" t="s">
        <v>120</v>
      </c>
      <c r="M64" t="s">
        <v>40</v>
      </c>
      <c r="N64" t="s">
        <v>95</v>
      </c>
      <c r="O64" t="s">
        <v>257</v>
      </c>
      <c r="P64" t="s">
        <v>257</v>
      </c>
      <c r="Q64" t="s">
        <v>191</v>
      </c>
    </row>
    <row r="65" spans="1:17" x14ac:dyDescent="0.3">
      <c r="A65" t="s">
        <v>431</v>
      </c>
      <c r="B65" t="s">
        <v>12</v>
      </c>
      <c r="C65" t="s">
        <v>86</v>
      </c>
      <c r="D65" t="s">
        <v>38</v>
      </c>
      <c r="E65" t="s">
        <v>39</v>
      </c>
      <c r="F65" t="s">
        <v>346</v>
      </c>
      <c r="G65" t="s">
        <v>346</v>
      </c>
      <c r="H65" t="s">
        <v>346</v>
      </c>
      <c r="I65" t="s">
        <v>88</v>
      </c>
      <c r="J65" t="s">
        <v>89</v>
      </c>
      <c r="K65" t="s">
        <v>347</v>
      </c>
      <c r="L65" t="s">
        <v>120</v>
      </c>
      <c r="M65" t="s">
        <v>40</v>
      </c>
      <c r="N65" t="s">
        <v>95</v>
      </c>
      <c r="O65" t="s">
        <v>257</v>
      </c>
      <c r="P65" t="s">
        <v>257</v>
      </c>
      <c r="Q65" t="s">
        <v>204</v>
      </c>
    </row>
    <row r="66" spans="1:17" x14ac:dyDescent="0.3">
      <c r="A66" t="s">
        <v>431</v>
      </c>
      <c r="B66" t="s">
        <v>12</v>
      </c>
      <c r="C66" t="s">
        <v>86</v>
      </c>
      <c r="D66" t="s">
        <v>38</v>
      </c>
      <c r="E66" t="s">
        <v>39</v>
      </c>
      <c r="F66" t="s">
        <v>344</v>
      </c>
      <c r="G66" t="s">
        <v>344</v>
      </c>
      <c r="H66" t="s">
        <v>344</v>
      </c>
      <c r="I66" t="s">
        <v>88</v>
      </c>
      <c r="J66" t="s">
        <v>89</v>
      </c>
      <c r="K66" t="s">
        <v>345</v>
      </c>
      <c r="L66" t="s">
        <v>120</v>
      </c>
      <c r="M66" t="s">
        <v>40</v>
      </c>
      <c r="N66" t="s">
        <v>95</v>
      </c>
      <c r="O66" t="s">
        <v>257</v>
      </c>
      <c r="P66" t="s">
        <v>257</v>
      </c>
      <c r="Q66" t="s">
        <v>201</v>
      </c>
    </row>
    <row r="67" spans="1:17" x14ac:dyDescent="0.3">
      <c r="A67" t="s">
        <v>431</v>
      </c>
      <c r="B67" t="s">
        <v>12</v>
      </c>
      <c r="C67" t="s">
        <v>86</v>
      </c>
      <c r="D67" t="s">
        <v>38</v>
      </c>
      <c r="E67" t="s">
        <v>39</v>
      </c>
      <c r="F67" t="s">
        <v>339</v>
      </c>
      <c r="G67" t="s">
        <v>339</v>
      </c>
      <c r="H67" t="s">
        <v>339</v>
      </c>
      <c r="I67" t="s">
        <v>88</v>
      </c>
      <c r="J67" t="s">
        <v>340</v>
      </c>
      <c r="K67" t="s">
        <v>341</v>
      </c>
      <c r="L67" t="s">
        <v>120</v>
      </c>
      <c r="M67" t="s">
        <v>40</v>
      </c>
      <c r="N67" t="s">
        <v>95</v>
      </c>
      <c r="O67" t="s">
        <v>257</v>
      </c>
      <c r="P67" t="s">
        <v>257</v>
      </c>
      <c r="Q67" t="s">
        <v>191</v>
      </c>
    </row>
    <row r="68" spans="1:17" x14ac:dyDescent="0.3">
      <c r="A68" t="s">
        <v>431</v>
      </c>
      <c r="B68" t="s">
        <v>12</v>
      </c>
      <c r="C68" t="s">
        <v>86</v>
      </c>
      <c r="D68" t="s">
        <v>38</v>
      </c>
      <c r="E68" t="s">
        <v>39</v>
      </c>
      <c r="F68" t="s">
        <v>342</v>
      </c>
      <c r="G68" t="s">
        <v>342</v>
      </c>
      <c r="H68" t="s">
        <v>342</v>
      </c>
      <c r="I68" t="s">
        <v>88</v>
      </c>
      <c r="J68" t="s">
        <v>119</v>
      </c>
      <c r="K68" t="s">
        <v>343</v>
      </c>
      <c r="L68" t="s">
        <v>120</v>
      </c>
      <c r="M68" t="s">
        <v>40</v>
      </c>
      <c r="N68" t="s">
        <v>95</v>
      </c>
      <c r="O68" t="s">
        <v>257</v>
      </c>
      <c r="P68" t="s">
        <v>257</v>
      </c>
      <c r="Q68" t="s">
        <v>191</v>
      </c>
    </row>
    <row r="69" spans="1:17" x14ac:dyDescent="0.3">
      <c r="A69" t="s">
        <v>431</v>
      </c>
      <c r="B69" t="s">
        <v>12</v>
      </c>
      <c r="C69" t="s">
        <v>86</v>
      </c>
      <c r="D69" t="s">
        <v>38</v>
      </c>
      <c r="E69" t="s">
        <v>39</v>
      </c>
      <c r="F69" t="s">
        <v>337</v>
      </c>
      <c r="G69" t="s">
        <v>337</v>
      </c>
      <c r="H69" t="s">
        <v>337</v>
      </c>
      <c r="I69" t="s">
        <v>88</v>
      </c>
      <c r="J69" t="s">
        <v>89</v>
      </c>
      <c r="K69" t="s">
        <v>338</v>
      </c>
      <c r="L69" t="s">
        <v>120</v>
      </c>
      <c r="M69" t="s">
        <v>40</v>
      </c>
      <c r="N69" t="s">
        <v>95</v>
      </c>
      <c r="O69" t="s">
        <v>257</v>
      </c>
      <c r="P69" t="s">
        <v>257</v>
      </c>
      <c r="Q69" t="s">
        <v>191</v>
      </c>
    </row>
    <row r="70" spans="1:17" x14ac:dyDescent="0.3">
      <c r="A70" t="s">
        <v>431</v>
      </c>
      <c r="B70" t="s">
        <v>12</v>
      </c>
      <c r="C70" t="s">
        <v>86</v>
      </c>
      <c r="D70" t="s">
        <v>38</v>
      </c>
      <c r="E70" t="s">
        <v>39</v>
      </c>
      <c r="F70" t="s">
        <v>384</v>
      </c>
      <c r="G70" t="s">
        <v>384</v>
      </c>
      <c r="H70" t="s">
        <v>384</v>
      </c>
      <c r="I70" t="s">
        <v>88</v>
      </c>
      <c r="J70" t="s">
        <v>89</v>
      </c>
      <c r="K70" t="s">
        <v>385</v>
      </c>
      <c r="L70" t="s">
        <v>120</v>
      </c>
      <c r="M70" t="s">
        <v>40</v>
      </c>
      <c r="N70" t="s">
        <v>95</v>
      </c>
      <c r="O70" t="s">
        <v>257</v>
      </c>
      <c r="P70" t="s">
        <v>257</v>
      </c>
      <c r="Q70" t="s">
        <v>201</v>
      </c>
    </row>
    <row r="71" spans="1:17" x14ac:dyDescent="0.3">
      <c r="A71" t="s">
        <v>431</v>
      </c>
      <c r="B71" t="s">
        <v>12</v>
      </c>
      <c r="C71" t="s">
        <v>86</v>
      </c>
      <c r="D71" t="s">
        <v>38</v>
      </c>
      <c r="E71" t="s">
        <v>39</v>
      </c>
      <c r="F71" t="s">
        <v>368</v>
      </c>
      <c r="G71" t="s">
        <v>368</v>
      </c>
      <c r="H71" t="s">
        <v>368</v>
      </c>
      <c r="I71" t="s">
        <v>88</v>
      </c>
      <c r="J71" t="s">
        <v>119</v>
      </c>
      <c r="K71" t="s">
        <v>369</v>
      </c>
      <c r="L71" t="s">
        <v>120</v>
      </c>
      <c r="M71" t="s">
        <v>40</v>
      </c>
      <c r="N71" t="s">
        <v>95</v>
      </c>
      <c r="O71" t="s">
        <v>257</v>
      </c>
      <c r="P71" t="s">
        <v>257</v>
      </c>
      <c r="Q71" t="s">
        <v>189</v>
      </c>
    </row>
    <row r="72" spans="1:17" x14ac:dyDescent="0.3">
      <c r="A72" t="s">
        <v>431</v>
      </c>
      <c r="B72" t="s">
        <v>12</v>
      </c>
      <c r="C72" t="s">
        <v>86</v>
      </c>
      <c r="D72" t="s">
        <v>38</v>
      </c>
      <c r="E72" t="s">
        <v>39</v>
      </c>
      <c r="F72" t="s">
        <v>382</v>
      </c>
      <c r="G72" t="s">
        <v>382</v>
      </c>
      <c r="H72" t="s">
        <v>382</v>
      </c>
      <c r="I72" t="s">
        <v>88</v>
      </c>
      <c r="J72" t="s">
        <v>89</v>
      </c>
      <c r="K72" t="s">
        <v>383</v>
      </c>
      <c r="L72" t="s">
        <v>120</v>
      </c>
      <c r="M72" t="s">
        <v>40</v>
      </c>
      <c r="N72" t="s">
        <v>95</v>
      </c>
      <c r="O72" t="s">
        <v>257</v>
      </c>
      <c r="P72" t="s">
        <v>257</v>
      </c>
      <c r="Q72" t="s">
        <v>191</v>
      </c>
    </row>
    <row r="73" spans="1:17" x14ac:dyDescent="0.3">
      <c r="A73" t="s">
        <v>431</v>
      </c>
      <c r="B73" t="s">
        <v>12</v>
      </c>
      <c r="C73" t="s">
        <v>86</v>
      </c>
      <c r="D73" t="s">
        <v>38</v>
      </c>
      <c r="E73" t="s">
        <v>39</v>
      </c>
      <c r="F73" t="s">
        <v>378</v>
      </c>
      <c r="G73" t="s">
        <v>378</v>
      </c>
      <c r="H73" t="s">
        <v>378</v>
      </c>
      <c r="I73" t="s">
        <v>88</v>
      </c>
      <c r="J73" t="s">
        <v>119</v>
      </c>
      <c r="K73" t="s">
        <v>379</v>
      </c>
      <c r="L73" t="s">
        <v>120</v>
      </c>
      <c r="M73" t="s">
        <v>40</v>
      </c>
      <c r="N73" t="s">
        <v>95</v>
      </c>
      <c r="O73" t="s">
        <v>257</v>
      </c>
      <c r="P73" t="s">
        <v>257</v>
      </c>
      <c r="Q73" t="s">
        <v>191</v>
      </c>
    </row>
    <row r="74" spans="1:17" x14ac:dyDescent="0.3">
      <c r="A74" t="s">
        <v>431</v>
      </c>
      <c r="B74" t="s">
        <v>12</v>
      </c>
      <c r="C74" t="s">
        <v>86</v>
      </c>
      <c r="D74" t="s">
        <v>38</v>
      </c>
      <c r="E74" t="s">
        <v>39</v>
      </c>
      <c r="F74" t="s">
        <v>380</v>
      </c>
      <c r="G74" t="s">
        <v>380</v>
      </c>
      <c r="H74" t="s">
        <v>380</v>
      </c>
      <c r="I74" t="s">
        <v>88</v>
      </c>
      <c r="J74" t="s">
        <v>119</v>
      </c>
      <c r="K74" t="s">
        <v>381</v>
      </c>
      <c r="L74" t="s">
        <v>120</v>
      </c>
      <c r="M74" t="s">
        <v>40</v>
      </c>
      <c r="N74" t="s">
        <v>95</v>
      </c>
      <c r="O74" t="s">
        <v>257</v>
      </c>
      <c r="P74" t="s">
        <v>257</v>
      </c>
      <c r="Q74" t="s">
        <v>201</v>
      </c>
    </row>
    <row r="75" spans="1:17" x14ac:dyDescent="0.3">
      <c r="A75" t="s">
        <v>431</v>
      </c>
      <c r="B75" t="s">
        <v>12</v>
      </c>
      <c r="C75" t="s">
        <v>86</v>
      </c>
      <c r="D75" t="s">
        <v>38</v>
      </c>
      <c r="E75" t="s">
        <v>39</v>
      </c>
      <c r="F75" t="s">
        <v>376</v>
      </c>
      <c r="G75" t="s">
        <v>376</v>
      </c>
      <c r="H75" t="s">
        <v>376</v>
      </c>
      <c r="I75" t="s">
        <v>88</v>
      </c>
      <c r="J75" t="s">
        <v>89</v>
      </c>
      <c r="K75" t="s">
        <v>377</v>
      </c>
      <c r="L75" t="s">
        <v>120</v>
      </c>
      <c r="M75" t="s">
        <v>40</v>
      </c>
      <c r="N75" t="s">
        <v>95</v>
      </c>
      <c r="O75" t="s">
        <v>257</v>
      </c>
      <c r="P75" t="s">
        <v>257</v>
      </c>
      <c r="Q75" t="s">
        <v>191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E1615-1664-4E63-BCFE-343FC865CF91}">
  <dimension ref="B3:O89"/>
  <sheetViews>
    <sheetView showGridLines="0" zoomScaleNormal="100" workbookViewId="0">
      <selection activeCell="D20" sqref="D20"/>
    </sheetView>
  </sheetViews>
  <sheetFormatPr defaultRowHeight="14.4" x14ac:dyDescent="0.3"/>
  <cols>
    <col min="1" max="1" width="3.77734375" customWidth="1"/>
    <col min="2" max="2" width="33.6640625" bestFit="1" customWidth="1"/>
    <col min="3" max="3" width="17.5546875" bestFit="1" customWidth="1"/>
    <col min="4" max="4" width="11.33203125" bestFit="1" customWidth="1"/>
    <col min="5" max="5" width="10.21875" bestFit="1" customWidth="1"/>
    <col min="6" max="6" width="33.6640625" bestFit="1" customWidth="1"/>
    <col min="7" max="7" width="8.21875" bestFit="1" customWidth="1"/>
    <col min="8" max="8" width="8.44140625" bestFit="1" customWidth="1"/>
    <col min="9" max="9" width="12" bestFit="1" customWidth="1"/>
    <col min="10" max="10" width="16.109375" bestFit="1" customWidth="1"/>
    <col min="11" max="11" width="11.44140625" bestFit="1" customWidth="1"/>
    <col min="12" max="12" width="10.21875" bestFit="1" customWidth="1"/>
    <col min="13" max="13" width="12" bestFit="1" customWidth="1"/>
    <col min="14" max="14" width="18.109375" bestFit="1" customWidth="1"/>
  </cols>
  <sheetData>
    <row r="3" spans="2:15" x14ac:dyDescent="0.3">
      <c r="B3" t="s">
        <v>135</v>
      </c>
    </row>
    <row r="4" spans="2:15" x14ac:dyDescent="0.3">
      <c r="M4" t="s">
        <v>434</v>
      </c>
    </row>
    <row r="5" spans="2:15" x14ac:dyDescent="0.3">
      <c r="B5" s="33" t="s">
        <v>30</v>
      </c>
      <c r="C5" s="33" t="s">
        <v>31</v>
      </c>
      <c r="D5" s="33" t="s">
        <v>32</v>
      </c>
      <c r="E5" s="33" t="s">
        <v>33</v>
      </c>
      <c r="F5" s="33" t="s">
        <v>34</v>
      </c>
      <c r="G5" s="33" t="s">
        <v>11</v>
      </c>
      <c r="H5" s="33" t="s">
        <v>35</v>
      </c>
      <c r="I5" s="33" t="s">
        <v>36</v>
      </c>
      <c r="J5" s="33" t="s">
        <v>37</v>
      </c>
      <c r="K5" s="33" t="s">
        <v>84</v>
      </c>
      <c r="L5" s="33" t="s">
        <v>85</v>
      </c>
      <c r="M5" s="33" t="s">
        <v>121</v>
      </c>
      <c r="N5" s="33" t="s">
        <v>122</v>
      </c>
    </row>
    <row r="6" spans="2:15" x14ac:dyDescent="0.3">
      <c r="B6" s="34" t="s">
        <v>123</v>
      </c>
      <c r="C6" s="34" t="s">
        <v>86</v>
      </c>
      <c r="D6" s="34" t="s">
        <v>38</v>
      </c>
      <c r="E6" s="34" t="s">
        <v>39</v>
      </c>
      <c r="F6" s="35" t="s">
        <v>127</v>
      </c>
      <c r="G6" s="35" t="s">
        <v>88</v>
      </c>
      <c r="H6" s="35" t="s">
        <v>119</v>
      </c>
      <c r="I6" s="35" t="s">
        <v>128</v>
      </c>
      <c r="J6" s="35" t="s">
        <v>129</v>
      </c>
      <c r="K6" s="35" t="s">
        <v>114</v>
      </c>
      <c r="L6" s="35" t="s">
        <v>115</v>
      </c>
      <c r="M6" s="35" t="s">
        <v>130</v>
      </c>
      <c r="N6" s="35" t="s">
        <v>131</v>
      </c>
      <c r="O6" t="s">
        <v>433</v>
      </c>
    </row>
    <row r="7" spans="2:15" x14ac:dyDescent="0.3">
      <c r="B7" s="34" t="s">
        <v>123</v>
      </c>
      <c r="C7" s="34" t="s">
        <v>86</v>
      </c>
      <c r="D7" s="34" t="s">
        <v>38</v>
      </c>
      <c r="E7" s="34" t="s">
        <v>39</v>
      </c>
      <c r="F7" s="35" t="s">
        <v>127</v>
      </c>
      <c r="G7" s="35" t="s">
        <v>88</v>
      </c>
      <c r="H7" s="35" t="s">
        <v>119</v>
      </c>
      <c r="I7" s="35" t="s">
        <v>128</v>
      </c>
      <c r="J7" s="35" t="s">
        <v>132</v>
      </c>
      <c r="K7" s="35" t="s">
        <v>114</v>
      </c>
      <c r="L7" s="35" t="s">
        <v>115</v>
      </c>
      <c r="M7" s="35" t="s">
        <v>133</v>
      </c>
      <c r="N7" s="35" t="s">
        <v>134</v>
      </c>
    </row>
    <row r="8" spans="2:15" x14ac:dyDescent="0.3">
      <c r="B8" s="34" t="s">
        <v>123</v>
      </c>
      <c r="C8" s="34" t="s">
        <v>86</v>
      </c>
      <c r="D8" s="34" t="s">
        <v>38</v>
      </c>
      <c r="E8" s="34" t="s">
        <v>39</v>
      </c>
      <c r="F8" s="36" t="s">
        <v>142</v>
      </c>
      <c r="G8" s="36" t="s">
        <v>88</v>
      </c>
      <c r="H8" s="36" t="s">
        <v>119</v>
      </c>
      <c r="I8" s="36" t="s">
        <v>175</v>
      </c>
      <c r="J8" s="36" t="s">
        <v>176</v>
      </c>
      <c r="K8" s="36" t="s">
        <v>114</v>
      </c>
      <c r="L8" s="36" t="s">
        <v>115</v>
      </c>
      <c r="M8" s="36" t="s">
        <v>177</v>
      </c>
      <c r="N8" s="36" t="s">
        <v>134</v>
      </c>
    </row>
    <row r="9" spans="2:15" x14ac:dyDescent="0.3">
      <c r="B9" s="34" t="s">
        <v>123</v>
      </c>
      <c r="C9" s="34" t="s">
        <v>86</v>
      </c>
      <c r="D9" s="34" t="s">
        <v>38</v>
      </c>
      <c r="E9" s="34" t="s">
        <v>39</v>
      </c>
      <c r="F9" s="36" t="s">
        <v>142</v>
      </c>
      <c r="G9" s="36" t="s">
        <v>88</v>
      </c>
      <c r="H9" s="36" t="s">
        <v>119</v>
      </c>
      <c r="I9" s="36" t="s">
        <v>175</v>
      </c>
      <c r="J9" s="36" t="s">
        <v>178</v>
      </c>
      <c r="K9" s="36" t="s">
        <v>114</v>
      </c>
      <c r="L9" s="36" t="s">
        <v>115</v>
      </c>
      <c r="M9" s="36" t="s">
        <v>179</v>
      </c>
      <c r="N9" s="36" t="s">
        <v>131</v>
      </c>
    </row>
    <row r="10" spans="2:15" x14ac:dyDescent="0.3">
      <c r="B10" s="34" t="s">
        <v>123</v>
      </c>
      <c r="C10" s="34" t="s">
        <v>86</v>
      </c>
      <c r="D10" s="34" t="s">
        <v>38</v>
      </c>
      <c r="E10" s="34" t="s">
        <v>39</v>
      </c>
      <c r="F10" s="37" t="s">
        <v>173</v>
      </c>
      <c r="G10" s="37" t="s">
        <v>88</v>
      </c>
      <c r="H10" s="37" t="s">
        <v>126</v>
      </c>
      <c r="I10" s="37" t="s">
        <v>180</v>
      </c>
      <c r="J10" s="37" t="s">
        <v>120</v>
      </c>
      <c r="K10" s="37" t="s">
        <v>124</v>
      </c>
      <c r="L10" s="37" t="s">
        <v>125</v>
      </c>
      <c r="M10" s="37" t="s">
        <v>181</v>
      </c>
      <c r="N10" s="37" t="s">
        <v>134</v>
      </c>
    </row>
    <row r="11" spans="2:15" x14ac:dyDescent="0.3">
      <c r="B11" s="34" t="s">
        <v>123</v>
      </c>
      <c r="C11" s="34" t="s">
        <v>86</v>
      </c>
      <c r="D11" s="34" t="s">
        <v>38</v>
      </c>
      <c r="E11" s="34" t="s">
        <v>39</v>
      </c>
      <c r="F11" s="37" t="s">
        <v>173</v>
      </c>
      <c r="G11" s="37" t="s">
        <v>88</v>
      </c>
      <c r="H11" s="37" t="s">
        <v>126</v>
      </c>
      <c r="I11" s="37" t="s">
        <v>180</v>
      </c>
      <c r="J11" s="37" t="s">
        <v>120</v>
      </c>
      <c r="K11" s="37" t="s">
        <v>124</v>
      </c>
      <c r="L11" s="37" t="s">
        <v>125</v>
      </c>
      <c r="M11" s="37" t="s">
        <v>182</v>
      </c>
      <c r="N11" s="37" t="s">
        <v>131</v>
      </c>
    </row>
    <row r="13" spans="2:15" x14ac:dyDescent="0.3">
      <c r="B13" s="1" t="s">
        <v>174</v>
      </c>
    </row>
    <row r="14" spans="2:15" ht="7.05" customHeight="1" x14ac:dyDescent="0.3"/>
    <row r="15" spans="2:15" x14ac:dyDescent="0.3">
      <c r="B15" s="33" t="s">
        <v>34</v>
      </c>
      <c r="C15" s="33" t="s">
        <v>122</v>
      </c>
      <c r="D15" s="33" t="s">
        <v>136</v>
      </c>
      <c r="E15" s="33" t="s">
        <v>137</v>
      </c>
    </row>
    <row r="16" spans="2:15" x14ac:dyDescent="0.3">
      <c r="B16" s="34" t="s">
        <v>127</v>
      </c>
      <c r="C16" s="34" t="s">
        <v>131</v>
      </c>
      <c r="D16" s="34">
        <v>1</v>
      </c>
      <c r="E16" s="34">
        <v>2</v>
      </c>
    </row>
    <row r="17" spans="2:5" x14ac:dyDescent="0.3">
      <c r="B17" s="34" t="s">
        <v>127</v>
      </c>
      <c r="C17" s="34" t="s">
        <v>134</v>
      </c>
      <c r="D17" s="34">
        <v>1</v>
      </c>
      <c r="E17" s="34">
        <v>2</v>
      </c>
    </row>
    <row r="18" spans="2:5" x14ac:dyDescent="0.3">
      <c r="B18" s="34" t="s">
        <v>138</v>
      </c>
      <c r="C18" s="34" t="s">
        <v>134</v>
      </c>
      <c r="D18" s="34">
        <v>1</v>
      </c>
      <c r="E18" s="34">
        <v>2</v>
      </c>
    </row>
    <row r="19" spans="2:5" x14ac:dyDescent="0.3">
      <c r="B19" s="34" t="s">
        <v>138</v>
      </c>
      <c r="C19" s="34" t="s">
        <v>131</v>
      </c>
      <c r="D19" s="34">
        <v>1</v>
      </c>
      <c r="E19" s="34">
        <v>2</v>
      </c>
    </row>
    <row r="20" spans="2:5" x14ac:dyDescent="0.3">
      <c r="B20" s="34" t="s">
        <v>139</v>
      </c>
      <c r="C20" s="34" t="s">
        <v>131</v>
      </c>
      <c r="D20" s="34">
        <v>1</v>
      </c>
      <c r="E20" s="34">
        <v>2</v>
      </c>
    </row>
    <row r="21" spans="2:5" x14ac:dyDescent="0.3">
      <c r="B21" s="34" t="s">
        <v>139</v>
      </c>
      <c r="C21" s="34" t="s">
        <v>134</v>
      </c>
      <c r="D21" s="34">
        <v>1</v>
      </c>
      <c r="E21" s="34">
        <v>2</v>
      </c>
    </row>
    <row r="22" spans="2:5" x14ac:dyDescent="0.3">
      <c r="B22" s="34" t="s">
        <v>140</v>
      </c>
      <c r="C22" s="34" t="s">
        <v>134</v>
      </c>
      <c r="D22" s="34">
        <v>1</v>
      </c>
      <c r="E22" s="34">
        <v>2</v>
      </c>
    </row>
    <row r="23" spans="2:5" x14ac:dyDescent="0.3">
      <c r="B23" s="34" t="s">
        <v>140</v>
      </c>
      <c r="C23" s="34" t="s">
        <v>131</v>
      </c>
      <c r="D23" s="34">
        <v>1</v>
      </c>
      <c r="E23" s="34">
        <v>2</v>
      </c>
    </row>
    <row r="24" spans="2:5" x14ac:dyDescent="0.3">
      <c r="B24" s="34" t="s">
        <v>141</v>
      </c>
      <c r="C24" s="34" t="s">
        <v>131</v>
      </c>
      <c r="D24" s="34">
        <v>1</v>
      </c>
      <c r="E24" s="34">
        <v>2</v>
      </c>
    </row>
    <row r="25" spans="2:5" x14ac:dyDescent="0.3">
      <c r="B25" s="34" t="s">
        <v>141</v>
      </c>
      <c r="C25" s="34" t="s">
        <v>134</v>
      </c>
      <c r="D25" s="34">
        <v>1</v>
      </c>
      <c r="E25" s="34">
        <v>2</v>
      </c>
    </row>
    <row r="26" spans="2:5" x14ac:dyDescent="0.3">
      <c r="B26" s="34" t="s">
        <v>142</v>
      </c>
      <c r="C26" s="34" t="s">
        <v>131</v>
      </c>
      <c r="D26" s="34">
        <v>1</v>
      </c>
      <c r="E26" s="34">
        <v>2</v>
      </c>
    </row>
    <row r="27" spans="2:5" x14ac:dyDescent="0.3">
      <c r="B27" s="34" t="s">
        <v>142</v>
      </c>
      <c r="C27" s="34" t="s">
        <v>134</v>
      </c>
      <c r="D27" s="34">
        <v>1</v>
      </c>
      <c r="E27" s="34">
        <v>2</v>
      </c>
    </row>
    <row r="28" spans="2:5" x14ac:dyDescent="0.3">
      <c r="B28" s="34" t="s">
        <v>143</v>
      </c>
      <c r="C28" s="34" t="s">
        <v>131</v>
      </c>
      <c r="D28" s="34">
        <v>1</v>
      </c>
      <c r="E28" s="34">
        <v>2</v>
      </c>
    </row>
    <row r="29" spans="2:5" x14ac:dyDescent="0.3">
      <c r="B29" s="34" t="s">
        <v>143</v>
      </c>
      <c r="C29" s="34" t="s">
        <v>134</v>
      </c>
      <c r="D29" s="34">
        <v>1</v>
      </c>
      <c r="E29" s="34">
        <v>2</v>
      </c>
    </row>
    <row r="30" spans="2:5" x14ac:dyDescent="0.3">
      <c r="B30" s="34" t="s">
        <v>144</v>
      </c>
      <c r="C30" s="34" t="s">
        <v>134</v>
      </c>
      <c r="D30" s="34">
        <v>1</v>
      </c>
      <c r="E30" s="34">
        <v>2</v>
      </c>
    </row>
    <row r="31" spans="2:5" x14ac:dyDescent="0.3">
      <c r="B31" s="34" t="s">
        <v>144</v>
      </c>
      <c r="C31" s="34" t="s">
        <v>131</v>
      </c>
      <c r="D31" s="34">
        <v>1</v>
      </c>
      <c r="E31" s="34">
        <v>2</v>
      </c>
    </row>
    <row r="32" spans="2:5" x14ac:dyDescent="0.3">
      <c r="B32" s="34" t="s">
        <v>145</v>
      </c>
      <c r="C32" s="34" t="s">
        <v>134</v>
      </c>
      <c r="D32" s="34">
        <v>1</v>
      </c>
      <c r="E32" s="34">
        <v>2</v>
      </c>
    </row>
    <row r="33" spans="2:5" x14ac:dyDescent="0.3">
      <c r="B33" s="34" t="s">
        <v>145</v>
      </c>
      <c r="C33" s="34" t="s">
        <v>131</v>
      </c>
      <c r="D33" s="34">
        <v>1</v>
      </c>
      <c r="E33" s="34">
        <v>2</v>
      </c>
    </row>
    <row r="34" spans="2:5" x14ac:dyDescent="0.3">
      <c r="B34" s="34" t="s">
        <v>146</v>
      </c>
      <c r="C34" s="34" t="s">
        <v>134</v>
      </c>
      <c r="D34" s="34">
        <v>1</v>
      </c>
      <c r="E34" s="34">
        <v>2</v>
      </c>
    </row>
    <row r="35" spans="2:5" x14ac:dyDescent="0.3">
      <c r="B35" s="34" t="s">
        <v>146</v>
      </c>
      <c r="C35" s="34" t="s">
        <v>131</v>
      </c>
      <c r="D35" s="34">
        <v>1</v>
      </c>
      <c r="E35" s="34">
        <v>2</v>
      </c>
    </row>
    <row r="36" spans="2:5" x14ac:dyDescent="0.3">
      <c r="B36" s="34" t="s">
        <v>147</v>
      </c>
      <c r="C36" s="34" t="s">
        <v>134</v>
      </c>
      <c r="D36" s="34">
        <v>1</v>
      </c>
      <c r="E36" s="34">
        <v>2</v>
      </c>
    </row>
    <row r="37" spans="2:5" x14ac:dyDescent="0.3">
      <c r="B37" s="34" t="s">
        <v>147</v>
      </c>
      <c r="C37" s="34" t="s">
        <v>131</v>
      </c>
      <c r="D37" s="34">
        <v>1</v>
      </c>
      <c r="E37" s="34">
        <v>2</v>
      </c>
    </row>
    <row r="38" spans="2:5" x14ac:dyDescent="0.3">
      <c r="B38" s="34" t="s">
        <v>148</v>
      </c>
      <c r="C38" s="34" t="s">
        <v>131</v>
      </c>
      <c r="D38" s="34">
        <v>1</v>
      </c>
      <c r="E38" s="34">
        <v>2</v>
      </c>
    </row>
    <row r="39" spans="2:5" x14ac:dyDescent="0.3">
      <c r="B39" s="34" t="s">
        <v>148</v>
      </c>
      <c r="C39" s="34" t="s">
        <v>134</v>
      </c>
      <c r="D39" s="34">
        <v>1</v>
      </c>
      <c r="E39" s="34">
        <v>2</v>
      </c>
    </row>
    <row r="40" spans="2:5" x14ac:dyDescent="0.3">
      <c r="B40" s="34" t="s">
        <v>149</v>
      </c>
      <c r="C40" s="34" t="s">
        <v>131</v>
      </c>
      <c r="D40" s="34">
        <v>1</v>
      </c>
      <c r="E40" s="34">
        <v>2</v>
      </c>
    </row>
    <row r="41" spans="2:5" x14ac:dyDescent="0.3">
      <c r="B41" s="34" t="s">
        <v>149</v>
      </c>
      <c r="C41" s="34" t="s">
        <v>134</v>
      </c>
      <c r="D41" s="34">
        <v>1</v>
      </c>
      <c r="E41" s="34">
        <v>2</v>
      </c>
    </row>
    <row r="42" spans="2:5" x14ac:dyDescent="0.3">
      <c r="B42" s="34" t="s">
        <v>150</v>
      </c>
      <c r="C42" s="34" t="s">
        <v>131</v>
      </c>
      <c r="D42" s="34">
        <v>1</v>
      </c>
      <c r="E42" s="34">
        <v>2</v>
      </c>
    </row>
    <row r="43" spans="2:5" x14ac:dyDescent="0.3">
      <c r="B43" s="34" t="s">
        <v>150</v>
      </c>
      <c r="C43" s="34" t="s">
        <v>134</v>
      </c>
      <c r="D43" s="34">
        <v>1</v>
      </c>
      <c r="E43" s="34">
        <v>2</v>
      </c>
    </row>
    <row r="44" spans="2:5" x14ac:dyDescent="0.3">
      <c r="B44" s="34" t="s">
        <v>151</v>
      </c>
      <c r="C44" s="34" t="s">
        <v>134</v>
      </c>
      <c r="D44" s="34">
        <v>1</v>
      </c>
      <c r="E44" s="34">
        <v>2</v>
      </c>
    </row>
    <row r="45" spans="2:5" x14ac:dyDescent="0.3">
      <c r="B45" s="34" t="s">
        <v>151</v>
      </c>
      <c r="C45" s="34" t="s">
        <v>131</v>
      </c>
      <c r="D45" s="34">
        <v>1</v>
      </c>
      <c r="E45" s="34">
        <v>2</v>
      </c>
    </row>
    <row r="46" spans="2:5" x14ac:dyDescent="0.3">
      <c r="B46" s="34" t="s">
        <v>152</v>
      </c>
      <c r="C46" s="34" t="s">
        <v>131</v>
      </c>
      <c r="D46" s="34">
        <v>1</v>
      </c>
      <c r="E46" s="34">
        <v>2</v>
      </c>
    </row>
    <row r="47" spans="2:5" x14ac:dyDescent="0.3">
      <c r="B47" s="34" t="s">
        <v>152</v>
      </c>
      <c r="C47" s="34" t="s">
        <v>134</v>
      </c>
      <c r="D47" s="34">
        <v>1</v>
      </c>
      <c r="E47" s="34">
        <v>2</v>
      </c>
    </row>
    <row r="48" spans="2:5" x14ac:dyDescent="0.3">
      <c r="B48" s="34" t="s">
        <v>153</v>
      </c>
      <c r="C48" s="34" t="s">
        <v>134</v>
      </c>
      <c r="D48" s="34">
        <v>1</v>
      </c>
      <c r="E48" s="34">
        <v>2</v>
      </c>
    </row>
    <row r="49" spans="2:5" x14ac:dyDescent="0.3">
      <c r="B49" s="34" t="s">
        <v>153</v>
      </c>
      <c r="C49" s="34" t="s">
        <v>131</v>
      </c>
      <c r="D49" s="34">
        <v>1</v>
      </c>
      <c r="E49" s="34">
        <v>2</v>
      </c>
    </row>
    <row r="50" spans="2:5" x14ac:dyDescent="0.3">
      <c r="B50" s="34" t="s">
        <v>154</v>
      </c>
      <c r="C50" s="34" t="s">
        <v>134</v>
      </c>
      <c r="D50" s="34">
        <v>1</v>
      </c>
      <c r="E50" s="34">
        <v>2</v>
      </c>
    </row>
    <row r="51" spans="2:5" x14ac:dyDescent="0.3">
      <c r="B51" s="34" t="s">
        <v>154</v>
      </c>
      <c r="C51" s="34" t="s">
        <v>131</v>
      </c>
      <c r="D51" s="34">
        <v>1</v>
      </c>
      <c r="E51" s="34">
        <v>2</v>
      </c>
    </row>
    <row r="52" spans="2:5" x14ac:dyDescent="0.3">
      <c r="B52" s="34" t="s">
        <v>155</v>
      </c>
      <c r="C52" s="34" t="s">
        <v>131</v>
      </c>
      <c r="D52" s="34">
        <v>1</v>
      </c>
      <c r="E52" s="34">
        <v>2</v>
      </c>
    </row>
    <row r="53" spans="2:5" x14ac:dyDescent="0.3">
      <c r="B53" s="34" t="s">
        <v>155</v>
      </c>
      <c r="C53" s="34" t="s">
        <v>134</v>
      </c>
      <c r="D53" s="34">
        <v>1</v>
      </c>
      <c r="E53" s="34">
        <v>2</v>
      </c>
    </row>
    <row r="54" spans="2:5" x14ac:dyDescent="0.3">
      <c r="B54" s="34" t="s">
        <v>156</v>
      </c>
      <c r="C54" s="34" t="s">
        <v>131</v>
      </c>
      <c r="D54" s="34">
        <v>1</v>
      </c>
      <c r="E54" s="34">
        <v>2</v>
      </c>
    </row>
    <row r="55" spans="2:5" x14ac:dyDescent="0.3">
      <c r="B55" s="34" t="s">
        <v>156</v>
      </c>
      <c r="C55" s="34" t="s">
        <v>134</v>
      </c>
      <c r="D55" s="34">
        <v>1</v>
      </c>
      <c r="E55" s="34">
        <v>2</v>
      </c>
    </row>
    <row r="56" spans="2:5" x14ac:dyDescent="0.3">
      <c r="B56" s="34" t="s">
        <v>157</v>
      </c>
      <c r="C56" s="34" t="s">
        <v>134</v>
      </c>
      <c r="D56" s="34">
        <v>1</v>
      </c>
      <c r="E56" s="34">
        <v>2</v>
      </c>
    </row>
    <row r="57" spans="2:5" x14ac:dyDescent="0.3">
      <c r="B57" s="34" t="s">
        <v>157</v>
      </c>
      <c r="C57" s="34" t="s">
        <v>131</v>
      </c>
      <c r="D57" s="34">
        <v>1</v>
      </c>
      <c r="E57" s="34">
        <v>2</v>
      </c>
    </row>
    <row r="58" spans="2:5" x14ac:dyDescent="0.3">
      <c r="B58" s="34" t="s">
        <v>158</v>
      </c>
      <c r="C58" s="34" t="s">
        <v>134</v>
      </c>
      <c r="D58" s="34">
        <v>1</v>
      </c>
      <c r="E58" s="34">
        <v>2</v>
      </c>
    </row>
    <row r="59" spans="2:5" x14ac:dyDescent="0.3">
      <c r="B59" s="34" t="s">
        <v>158</v>
      </c>
      <c r="C59" s="34" t="s">
        <v>131</v>
      </c>
      <c r="D59" s="34">
        <v>1</v>
      </c>
      <c r="E59" s="34">
        <v>2</v>
      </c>
    </row>
    <row r="60" spans="2:5" x14ac:dyDescent="0.3">
      <c r="B60" s="34" t="s">
        <v>159</v>
      </c>
      <c r="C60" s="34" t="s">
        <v>131</v>
      </c>
      <c r="D60" s="34">
        <v>1</v>
      </c>
      <c r="E60" s="34">
        <v>2</v>
      </c>
    </row>
    <row r="61" spans="2:5" x14ac:dyDescent="0.3">
      <c r="B61" s="34" t="s">
        <v>159</v>
      </c>
      <c r="C61" s="34" t="s">
        <v>134</v>
      </c>
      <c r="D61" s="34">
        <v>1</v>
      </c>
      <c r="E61" s="34">
        <v>2</v>
      </c>
    </row>
    <row r="62" spans="2:5" x14ac:dyDescent="0.3">
      <c r="B62" s="34" t="s">
        <v>160</v>
      </c>
      <c r="C62" s="34" t="s">
        <v>131</v>
      </c>
      <c r="D62" s="34">
        <v>1</v>
      </c>
      <c r="E62" s="34">
        <v>2</v>
      </c>
    </row>
    <row r="63" spans="2:5" x14ac:dyDescent="0.3">
      <c r="B63" s="34" t="s">
        <v>160</v>
      </c>
      <c r="C63" s="34" t="s">
        <v>134</v>
      </c>
      <c r="D63" s="34">
        <v>1</v>
      </c>
      <c r="E63" s="34">
        <v>2</v>
      </c>
    </row>
    <row r="64" spans="2:5" x14ac:dyDescent="0.3">
      <c r="B64" s="34" t="s">
        <v>161</v>
      </c>
      <c r="C64" s="34" t="s">
        <v>134</v>
      </c>
      <c r="D64" s="34">
        <v>1</v>
      </c>
      <c r="E64" s="34">
        <v>2</v>
      </c>
    </row>
    <row r="65" spans="2:5" x14ac:dyDescent="0.3">
      <c r="B65" s="34" t="s">
        <v>161</v>
      </c>
      <c r="C65" s="34" t="s">
        <v>131</v>
      </c>
      <c r="D65" s="34">
        <v>1</v>
      </c>
      <c r="E65" s="34">
        <v>2</v>
      </c>
    </row>
    <row r="66" spans="2:5" x14ac:dyDescent="0.3">
      <c r="B66" s="34" t="s">
        <v>162</v>
      </c>
      <c r="C66" s="34" t="s">
        <v>131</v>
      </c>
      <c r="D66" s="34">
        <v>1</v>
      </c>
      <c r="E66" s="34">
        <v>2</v>
      </c>
    </row>
    <row r="67" spans="2:5" x14ac:dyDescent="0.3">
      <c r="B67" s="34" t="s">
        <v>162</v>
      </c>
      <c r="C67" s="34" t="s">
        <v>134</v>
      </c>
      <c r="D67" s="34">
        <v>1</v>
      </c>
      <c r="E67" s="34">
        <v>2</v>
      </c>
    </row>
    <row r="68" spans="2:5" x14ac:dyDescent="0.3">
      <c r="B68" s="34" t="s">
        <v>163</v>
      </c>
      <c r="C68" s="34" t="s">
        <v>131</v>
      </c>
      <c r="D68" s="34">
        <v>1</v>
      </c>
      <c r="E68" s="34">
        <v>2</v>
      </c>
    </row>
    <row r="69" spans="2:5" x14ac:dyDescent="0.3">
      <c r="B69" s="34" t="s">
        <v>163</v>
      </c>
      <c r="C69" s="34" t="s">
        <v>134</v>
      </c>
      <c r="D69" s="34">
        <v>1</v>
      </c>
      <c r="E69" s="34">
        <v>2</v>
      </c>
    </row>
    <row r="70" spans="2:5" x14ac:dyDescent="0.3">
      <c r="B70" s="34" t="s">
        <v>164</v>
      </c>
      <c r="C70" s="34" t="s">
        <v>131</v>
      </c>
      <c r="D70" s="34">
        <v>1</v>
      </c>
      <c r="E70" s="34">
        <v>2</v>
      </c>
    </row>
    <row r="71" spans="2:5" x14ac:dyDescent="0.3">
      <c r="B71" s="34" t="s">
        <v>164</v>
      </c>
      <c r="C71" s="34" t="s">
        <v>134</v>
      </c>
      <c r="D71" s="34">
        <v>1</v>
      </c>
      <c r="E71" s="34">
        <v>2</v>
      </c>
    </row>
    <row r="72" spans="2:5" x14ac:dyDescent="0.3">
      <c r="B72" s="34" t="s">
        <v>165</v>
      </c>
      <c r="C72" s="34" t="s">
        <v>131</v>
      </c>
      <c r="D72" s="34">
        <v>1</v>
      </c>
      <c r="E72" s="34">
        <v>2</v>
      </c>
    </row>
    <row r="73" spans="2:5" x14ac:dyDescent="0.3">
      <c r="B73" s="34" t="s">
        <v>165</v>
      </c>
      <c r="C73" s="34" t="s">
        <v>134</v>
      </c>
      <c r="D73" s="34">
        <v>1</v>
      </c>
      <c r="E73" s="34">
        <v>2</v>
      </c>
    </row>
    <row r="74" spans="2:5" x14ac:dyDescent="0.3">
      <c r="B74" s="34" t="s">
        <v>166</v>
      </c>
      <c r="C74" s="34" t="s">
        <v>134</v>
      </c>
      <c r="D74" s="34">
        <v>1</v>
      </c>
      <c r="E74" s="34">
        <v>2</v>
      </c>
    </row>
    <row r="75" spans="2:5" x14ac:dyDescent="0.3">
      <c r="B75" s="34" t="s">
        <v>166</v>
      </c>
      <c r="C75" s="34" t="s">
        <v>131</v>
      </c>
      <c r="D75" s="34">
        <v>1</v>
      </c>
      <c r="E75" s="34">
        <v>2</v>
      </c>
    </row>
    <row r="76" spans="2:5" x14ac:dyDescent="0.3">
      <c r="B76" s="34" t="s">
        <v>167</v>
      </c>
      <c r="C76" s="34" t="s">
        <v>134</v>
      </c>
      <c r="D76" s="34">
        <v>1</v>
      </c>
      <c r="E76" s="34">
        <v>2</v>
      </c>
    </row>
    <row r="77" spans="2:5" x14ac:dyDescent="0.3">
      <c r="B77" s="34" t="s">
        <v>167</v>
      </c>
      <c r="C77" s="34" t="s">
        <v>131</v>
      </c>
      <c r="D77" s="34">
        <v>1</v>
      </c>
      <c r="E77" s="34">
        <v>2</v>
      </c>
    </row>
    <row r="78" spans="2:5" x14ac:dyDescent="0.3">
      <c r="B78" s="34" t="s">
        <v>168</v>
      </c>
      <c r="C78" s="34" t="s">
        <v>134</v>
      </c>
      <c r="D78" s="34">
        <v>1</v>
      </c>
      <c r="E78" s="34">
        <v>2</v>
      </c>
    </row>
    <row r="79" spans="2:5" x14ac:dyDescent="0.3">
      <c r="B79" s="34" t="s">
        <v>168</v>
      </c>
      <c r="C79" s="34" t="s">
        <v>131</v>
      </c>
      <c r="D79" s="34">
        <v>1</v>
      </c>
      <c r="E79" s="34">
        <v>2</v>
      </c>
    </row>
    <row r="80" spans="2:5" x14ac:dyDescent="0.3">
      <c r="B80" s="34" t="s">
        <v>169</v>
      </c>
      <c r="C80" s="34" t="s">
        <v>134</v>
      </c>
      <c r="D80" s="34">
        <v>1</v>
      </c>
      <c r="E80" s="34">
        <v>2</v>
      </c>
    </row>
    <row r="81" spans="2:5" x14ac:dyDescent="0.3">
      <c r="B81" s="34" t="s">
        <v>169</v>
      </c>
      <c r="C81" s="34" t="s">
        <v>131</v>
      </c>
      <c r="D81" s="34">
        <v>1</v>
      </c>
      <c r="E81" s="34">
        <v>2</v>
      </c>
    </row>
    <row r="82" spans="2:5" x14ac:dyDescent="0.3">
      <c r="B82" s="34" t="s">
        <v>170</v>
      </c>
      <c r="C82" s="34" t="s">
        <v>134</v>
      </c>
      <c r="D82" s="34">
        <v>1</v>
      </c>
      <c r="E82" s="34">
        <v>2</v>
      </c>
    </row>
    <row r="83" spans="2:5" x14ac:dyDescent="0.3">
      <c r="B83" s="34" t="s">
        <v>170</v>
      </c>
      <c r="C83" s="34" t="s">
        <v>131</v>
      </c>
      <c r="D83" s="34">
        <v>1</v>
      </c>
      <c r="E83" s="34">
        <v>2</v>
      </c>
    </row>
    <row r="84" spans="2:5" x14ac:dyDescent="0.3">
      <c r="B84" s="34" t="s">
        <v>171</v>
      </c>
      <c r="C84" s="34" t="s">
        <v>131</v>
      </c>
      <c r="D84" s="34">
        <v>1</v>
      </c>
      <c r="E84" s="34">
        <v>2</v>
      </c>
    </row>
    <row r="85" spans="2:5" x14ac:dyDescent="0.3">
      <c r="B85" s="34" t="s">
        <v>171</v>
      </c>
      <c r="C85" s="34" t="s">
        <v>134</v>
      </c>
      <c r="D85" s="34">
        <v>1</v>
      </c>
      <c r="E85" s="34">
        <v>2</v>
      </c>
    </row>
    <row r="86" spans="2:5" x14ac:dyDescent="0.3">
      <c r="B86" s="34" t="s">
        <v>172</v>
      </c>
      <c r="C86" s="34" t="s">
        <v>131</v>
      </c>
      <c r="D86" s="34">
        <v>1</v>
      </c>
      <c r="E86" s="34">
        <v>2</v>
      </c>
    </row>
    <row r="87" spans="2:5" x14ac:dyDescent="0.3">
      <c r="B87" s="34" t="s">
        <v>172</v>
      </c>
      <c r="C87" s="34" t="s">
        <v>134</v>
      </c>
      <c r="D87" s="34">
        <v>1</v>
      </c>
      <c r="E87" s="34">
        <v>2</v>
      </c>
    </row>
    <row r="88" spans="2:5" x14ac:dyDescent="0.3">
      <c r="B88" s="34" t="s">
        <v>173</v>
      </c>
      <c r="C88" s="34" t="s">
        <v>131</v>
      </c>
      <c r="D88" s="34">
        <v>1</v>
      </c>
      <c r="E88" s="34">
        <v>2</v>
      </c>
    </row>
    <row r="89" spans="2:5" x14ac:dyDescent="0.3">
      <c r="B89" s="34" t="s">
        <v>173</v>
      </c>
      <c r="C89" s="34" t="s">
        <v>134</v>
      </c>
      <c r="D89" s="34">
        <v>1</v>
      </c>
      <c r="E89" s="34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8DDE6-C77D-401C-BA3C-AD9B67B2A264}">
  <dimension ref="B2:M43"/>
  <sheetViews>
    <sheetView workbookViewId="0">
      <selection activeCell="D20" sqref="D20"/>
    </sheetView>
  </sheetViews>
  <sheetFormatPr defaultRowHeight="14.4" x14ac:dyDescent="0.3"/>
  <cols>
    <col min="1" max="1" width="4.77734375" customWidth="1"/>
    <col min="2" max="2" width="26.77734375" bestFit="1" customWidth="1"/>
    <col min="3" max="3" width="13.88671875" bestFit="1" customWidth="1"/>
    <col min="4" max="5" width="51" bestFit="1" customWidth="1"/>
    <col min="6" max="6" width="33.6640625" bestFit="1" customWidth="1"/>
    <col min="7" max="7" width="8.21875" bestFit="1" customWidth="1"/>
    <col min="8" max="8" width="12" bestFit="1" customWidth="1"/>
    <col min="9" max="9" width="16.109375" bestFit="1" customWidth="1"/>
    <col min="10" max="10" width="11.44140625" bestFit="1" customWidth="1"/>
    <col min="11" max="11" width="10" bestFit="1" customWidth="1"/>
    <col min="12" max="12" width="17.5546875" bestFit="1" customWidth="1"/>
    <col min="13" max="13" width="8.77734375" bestFit="1" customWidth="1"/>
  </cols>
  <sheetData>
    <row r="2" spans="2:13" x14ac:dyDescent="0.3">
      <c r="B2" s="1" t="s">
        <v>225</v>
      </c>
    </row>
    <row r="4" spans="2:13" x14ac:dyDescent="0.3">
      <c r="B4" t="s">
        <v>226</v>
      </c>
      <c r="C4" t="s">
        <v>223</v>
      </c>
      <c r="D4" t="s">
        <v>34</v>
      </c>
      <c r="E4" t="s">
        <v>227</v>
      </c>
      <c r="F4" t="s">
        <v>228</v>
      </c>
      <c r="G4" t="s">
        <v>11</v>
      </c>
      <c r="H4" t="s">
        <v>35</v>
      </c>
      <c r="I4" t="s">
        <v>36</v>
      </c>
      <c r="J4" t="s">
        <v>37</v>
      </c>
      <c r="K4" t="s">
        <v>84</v>
      </c>
      <c r="L4" t="s">
        <v>85</v>
      </c>
    </row>
    <row r="5" spans="2:13" x14ac:dyDescent="0.3">
      <c r="B5" t="s">
        <v>229</v>
      </c>
      <c r="C5" t="s">
        <v>224</v>
      </c>
      <c r="D5" t="s">
        <v>230</v>
      </c>
      <c r="E5" t="s">
        <v>12</v>
      </c>
      <c r="F5" t="s">
        <v>231</v>
      </c>
      <c r="G5" t="s">
        <v>88</v>
      </c>
      <c r="H5" t="s">
        <v>232</v>
      </c>
      <c r="I5" t="s">
        <v>233</v>
      </c>
      <c r="J5" t="s">
        <v>120</v>
      </c>
      <c r="K5" t="s">
        <v>234</v>
      </c>
      <c r="L5" t="s">
        <v>235</v>
      </c>
    </row>
    <row r="6" spans="2:13" x14ac:dyDescent="0.3">
      <c r="B6" t="s">
        <v>229</v>
      </c>
      <c r="C6" t="s">
        <v>224</v>
      </c>
      <c r="D6" t="s">
        <v>236</v>
      </c>
      <c r="E6" t="s">
        <v>12</v>
      </c>
      <c r="F6" t="s">
        <v>237</v>
      </c>
      <c r="G6" t="s">
        <v>88</v>
      </c>
      <c r="H6" t="s">
        <v>238</v>
      </c>
      <c r="I6" t="s">
        <v>239</v>
      </c>
      <c r="J6" t="s">
        <v>240</v>
      </c>
      <c r="K6" t="s">
        <v>241</v>
      </c>
      <c r="L6" t="s">
        <v>242</v>
      </c>
    </row>
    <row r="7" spans="2:13" x14ac:dyDescent="0.3">
      <c r="B7" t="s">
        <v>229</v>
      </c>
      <c r="C7" t="s">
        <v>224</v>
      </c>
      <c r="D7" t="s">
        <v>243</v>
      </c>
      <c r="E7" t="s">
        <v>12</v>
      </c>
      <c r="F7" t="s">
        <v>244</v>
      </c>
      <c r="G7" t="s">
        <v>88</v>
      </c>
      <c r="H7" t="s">
        <v>238</v>
      </c>
      <c r="I7" t="s">
        <v>245</v>
      </c>
      <c r="J7" t="s">
        <v>246</v>
      </c>
      <c r="K7" t="s">
        <v>241</v>
      </c>
      <c r="L7" t="s">
        <v>242</v>
      </c>
    </row>
    <row r="8" spans="2:13" x14ac:dyDescent="0.3">
      <c r="B8" t="s">
        <v>229</v>
      </c>
      <c r="C8" t="s">
        <v>224</v>
      </c>
      <c r="D8" t="s">
        <v>247</v>
      </c>
      <c r="E8" t="s">
        <v>12</v>
      </c>
      <c r="F8" t="s">
        <v>248</v>
      </c>
      <c r="G8" t="s">
        <v>88</v>
      </c>
      <c r="H8" t="s">
        <v>238</v>
      </c>
      <c r="I8" t="s">
        <v>249</v>
      </c>
      <c r="J8" t="s">
        <v>250</v>
      </c>
      <c r="K8" t="s">
        <v>241</v>
      </c>
      <c r="L8" t="s">
        <v>242</v>
      </c>
    </row>
    <row r="9" spans="2:13" x14ac:dyDescent="0.3">
      <c r="B9" t="s">
        <v>229</v>
      </c>
      <c r="C9" t="s">
        <v>224</v>
      </c>
      <c r="D9" t="s">
        <v>251</v>
      </c>
      <c r="E9" t="s">
        <v>12</v>
      </c>
      <c r="F9" t="s">
        <v>252</v>
      </c>
      <c r="G9" t="s">
        <v>88</v>
      </c>
      <c r="H9" t="s">
        <v>238</v>
      </c>
      <c r="I9" t="s">
        <v>253</v>
      </c>
      <c r="J9" t="s">
        <v>254</v>
      </c>
      <c r="K9" t="s">
        <v>241</v>
      </c>
      <c r="L9" t="s">
        <v>242</v>
      </c>
    </row>
    <row r="11" spans="2:13" x14ac:dyDescent="0.3">
      <c r="B11" s="1" t="s">
        <v>267</v>
      </c>
    </row>
    <row r="12" spans="2:13" x14ac:dyDescent="0.3">
      <c r="B12" s="1"/>
    </row>
    <row r="13" spans="2:13" x14ac:dyDescent="0.3">
      <c r="B13" s="43" t="s">
        <v>255</v>
      </c>
    </row>
    <row r="14" spans="2:13" x14ac:dyDescent="0.3">
      <c r="B14" t="s">
        <v>30</v>
      </c>
      <c r="C14" t="s">
        <v>31</v>
      </c>
      <c r="D14" t="s">
        <v>228</v>
      </c>
      <c r="E14" t="s">
        <v>34</v>
      </c>
      <c r="F14" t="s">
        <v>11</v>
      </c>
      <c r="G14" t="s">
        <v>35</v>
      </c>
      <c r="H14" t="s">
        <v>36</v>
      </c>
      <c r="I14" t="s">
        <v>37</v>
      </c>
      <c r="J14" t="s">
        <v>84</v>
      </c>
      <c r="K14" t="s">
        <v>85</v>
      </c>
      <c r="L14" t="s">
        <v>122</v>
      </c>
      <c r="M14" t="s">
        <v>256</v>
      </c>
    </row>
    <row r="15" spans="2:13" x14ac:dyDescent="0.3">
      <c r="B15" t="s">
        <v>12</v>
      </c>
      <c r="C15" t="s">
        <v>86</v>
      </c>
      <c r="D15" t="s">
        <v>231</v>
      </c>
      <c r="E15" t="s">
        <v>230</v>
      </c>
      <c r="F15" t="s">
        <v>88</v>
      </c>
      <c r="G15" t="s">
        <v>232</v>
      </c>
      <c r="H15" t="s">
        <v>233</v>
      </c>
      <c r="I15" t="s">
        <v>120</v>
      </c>
      <c r="J15" t="s">
        <v>234</v>
      </c>
      <c r="K15" t="s">
        <v>235</v>
      </c>
      <c r="L15" t="s">
        <v>257</v>
      </c>
      <c r="M15" t="s">
        <v>257</v>
      </c>
    </row>
    <row r="16" spans="2:13" x14ac:dyDescent="0.3">
      <c r="B16" t="s">
        <v>12</v>
      </c>
      <c r="C16" t="s">
        <v>86</v>
      </c>
      <c r="D16" t="s">
        <v>231</v>
      </c>
      <c r="E16" t="s">
        <v>231</v>
      </c>
      <c r="F16" t="s">
        <v>88</v>
      </c>
      <c r="G16" t="s">
        <v>232</v>
      </c>
      <c r="H16" t="s">
        <v>233</v>
      </c>
      <c r="I16" t="s">
        <v>120</v>
      </c>
      <c r="J16" s="42" t="s">
        <v>258</v>
      </c>
      <c r="K16" s="42" t="s">
        <v>259</v>
      </c>
      <c r="L16" t="s">
        <v>257</v>
      </c>
      <c r="M16" t="s">
        <v>257</v>
      </c>
    </row>
    <row r="18" spans="2:7" x14ac:dyDescent="0.3">
      <c r="B18" s="43" t="s">
        <v>260</v>
      </c>
    </row>
    <row r="19" spans="2:7" x14ac:dyDescent="0.3">
      <c r="B19" t="s">
        <v>31</v>
      </c>
      <c r="C19" t="s">
        <v>32</v>
      </c>
      <c r="D19" t="s">
        <v>34</v>
      </c>
      <c r="E19" t="s">
        <v>85</v>
      </c>
      <c r="F19" t="s">
        <v>261</v>
      </c>
      <c r="G19" t="s">
        <v>262</v>
      </c>
    </row>
    <row r="20" spans="2:7" x14ac:dyDescent="0.3">
      <c r="B20" t="s">
        <v>86</v>
      </c>
      <c r="C20" t="s">
        <v>38</v>
      </c>
      <c r="D20" t="s">
        <v>231</v>
      </c>
      <c r="E20" s="42" t="s">
        <v>259</v>
      </c>
      <c r="F20" t="s">
        <v>263</v>
      </c>
      <c r="G20" t="s">
        <v>264</v>
      </c>
    </row>
    <row r="22" spans="2:7" x14ac:dyDescent="0.3">
      <c r="B22" t="s">
        <v>265</v>
      </c>
    </row>
    <row r="24" spans="2:7" x14ac:dyDescent="0.3">
      <c r="B24" t="s">
        <v>266</v>
      </c>
    </row>
    <row r="35" spans="2:13" x14ac:dyDescent="0.3">
      <c r="B35" s="1" t="s">
        <v>268</v>
      </c>
    </row>
    <row r="36" spans="2:13" x14ac:dyDescent="0.3">
      <c r="B36" s="1"/>
    </row>
    <row r="37" spans="2:13" x14ac:dyDescent="0.3">
      <c r="B37" s="43" t="s">
        <v>255</v>
      </c>
    </row>
    <row r="38" spans="2:13" x14ac:dyDescent="0.3">
      <c r="B38" t="s">
        <v>30</v>
      </c>
      <c r="C38" t="s">
        <v>31</v>
      </c>
      <c r="D38" t="s">
        <v>228</v>
      </c>
      <c r="E38" t="s">
        <v>34</v>
      </c>
      <c r="F38" t="s">
        <v>11</v>
      </c>
      <c r="G38" t="s">
        <v>35</v>
      </c>
      <c r="H38" t="s">
        <v>36</v>
      </c>
      <c r="I38" t="s">
        <v>37</v>
      </c>
      <c r="J38" t="s">
        <v>84</v>
      </c>
      <c r="K38" t="s">
        <v>85</v>
      </c>
      <c r="L38" t="s">
        <v>122</v>
      </c>
      <c r="M38" t="s">
        <v>256</v>
      </c>
    </row>
    <row r="40" spans="2:13" x14ac:dyDescent="0.3">
      <c r="J40" s="42"/>
      <c r="K40" s="42"/>
    </row>
    <row r="42" spans="2:13" x14ac:dyDescent="0.3">
      <c r="B42" s="43" t="s">
        <v>260</v>
      </c>
    </row>
    <row r="43" spans="2:13" x14ac:dyDescent="0.3">
      <c r="B43" t="s">
        <v>31</v>
      </c>
      <c r="C43" t="s">
        <v>32</v>
      </c>
      <c r="D43" t="s">
        <v>34</v>
      </c>
      <c r="E43" t="s">
        <v>85</v>
      </c>
      <c r="F43" t="s">
        <v>261</v>
      </c>
      <c r="G43" t="s">
        <v>262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D711F-1650-48AD-B1FD-3E424A0F9AD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A1A69-2473-480E-9887-3AD1A3985D0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EC5F31-73B2-48AC-8F2B-6024F5B33CE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68AC1BB9-BDC0-47BE-9993-231FCE8146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AE11E2-58EC-495F-8272-547C89CE53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52ab218-3f18-4af3-9aea-c75ce8322b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Val_Univ_LT002</vt:lpstr>
      <vt:lpstr>Sheet4</vt:lpstr>
      <vt:lpstr>val_exemplos</vt:lpstr>
      <vt:lpstr>val_nw_bsnss</vt:lpstr>
      <vt:lpstr>val_mngmnt_prdct</vt:lpstr>
      <vt:lpstr>ckarea is NULL</vt:lpstr>
      <vt:lpstr>Regitos Passivo</vt:lpstr>
      <vt:lpstr>cnclld_instrmnt_stts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Filipa Silva Carreira</dc:creator>
  <cp:lastModifiedBy>Ana Filipa Silva Carreira</cp:lastModifiedBy>
  <dcterms:created xsi:type="dcterms:W3CDTF">2015-06-05T18:17:20Z</dcterms:created>
  <dcterms:modified xsi:type="dcterms:W3CDTF">2025-08-18T14:24:43Z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0x010100B0F2CD0D646C4A4BA134F31D4B24B40E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2025-02-14T10:07:12Z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d62d63ad-3db3-465f-ab21-718946407c84</vt:lpwstr>
  </property>
  <property fmtid="{D5CDD505-2E9C-101B-9397-08002B2CF9AE}" pid="9" name="MSIP_Label_0c2abd79-57a9-4473-8700-c843f76a1e37_ContentBits">
    <vt:lpwstr>0</vt:lpwstr>
  </property>
</Properties>
</file>