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0" documentId="8_{F4A1D54E-39DB-4FC4-B319-2663A3722A1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N6" i="1"/>
  <c r="N5" i="1"/>
  <c r="L5" i="1"/>
</calcChain>
</file>

<file path=xl/sharedStrings.xml><?xml version="1.0" encoding="utf-8"?>
<sst xmlns="http://schemas.openxmlformats.org/spreadsheetml/2006/main" count="50" uniqueCount="39">
  <si>
    <t>univ</t>
  </si>
  <si>
    <t>ref_date</t>
  </si>
  <si>
    <t>ambito</t>
  </si>
  <si>
    <t>segmento</t>
  </si>
  <si>
    <t>instrmnt_id_aux</t>
  </si>
  <si>
    <t>instrmnt_id</t>
  </si>
  <si>
    <t>cempcta</t>
  </si>
  <si>
    <t>ckbalcao</t>
  </si>
  <si>
    <t>cknumcta</t>
  </si>
  <si>
    <t>zdeposit_mis</t>
  </si>
  <si>
    <t>bsnss_area</t>
  </si>
  <si>
    <t>msaldo_final_instr</t>
  </si>
  <si>
    <t>msaldo_mis_ba</t>
  </si>
  <si>
    <t>pond_finrep</t>
  </si>
  <si>
    <t>grss_intrst_incm_mis</t>
  </si>
  <si>
    <t>grss_intrst_incm</t>
  </si>
  <si>
    <t>grss_intrst_expns_mis</t>
  </si>
  <si>
    <t>grss_intrst_expns</t>
  </si>
  <si>
    <t>gns_fnncl_trnsctn_exchng_dffrncs_mis</t>
  </si>
  <si>
    <t>gns_fnncl_trnsctn_exchng_dffrncs</t>
  </si>
  <si>
    <t>grss_cmmssn_incm_mis</t>
  </si>
  <si>
    <t>grss_cmmssn_incm</t>
  </si>
  <si>
    <t>grss_cmmssn_incm_off_blnc_mis</t>
  </si>
  <si>
    <t>grss_cmmssn_incm_off_blnc</t>
  </si>
  <si>
    <t>grss_cmmssn_expns_mis</t>
  </si>
  <si>
    <t>grss_cmmssn_expns</t>
  </si>
  <si>
    <t>grss_cmmssn_expns_off_blnc_mis</t>
  </si>
  <si>
    <t>grss_cmmssn_expns_off_blnc</t>
  </si>
  <si>
    <t>COMUM PM</t>
  </si>
  <si>
    <t>2024-12-31</t>
  </si>
  <si>
    <t>GD</t>
  </si>
  <si>
    <t>ESTR</t>
  </si>
  <si>
    <t>82000020020000465000008031148804</t>
  </si>
  <si>
    <t>31</t>
  </si>
  <si>
    <t>0000</t>
  </si>
  <si>
    <t>20020000465</t>
  </si>
  <si>
    <t>0004900C16428I1</t>
  </si>
  <si>
    <t>BA4</t>
  </si>
  <si>
    <t>82000020020000465001520240612348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</si>
</sst>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topLeftCell="F1" workbookViewId="0">
      <selection activeCell="R27" sqref="R27"/>
    </sheetView>
  </sheetViews>
  <sheetFormatPr defaultColWidth="11.54296875" defaultRowHeight="14.5" x14ac:dyDescent="0.35"/>
  <cols>
    <col min="12" max="12" width="16.9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s="1">
        <v>-225353.29</v>
      </c>
      <c r="M2">
        <v>-300132.89</v>
      </c>
      <c r="N2">
        <v>0.75084499999999998</v>
      </c>
      <c r="O2">
        <v>4557.67</v>
      </c>
      <c r="P2">
        <v>3422.1037311499999</v>
      </c>
      <c r="Q2">
        <v>0</v>
      </c>
      <c r="R2">
        <v>0</v>
      </c>
      <c r="S2">
        <v>0</v>
      </c>
      <c r="T2">
        <v>0</v>
      </c>
      <c r="U2">
        <v>4975.25</v>
      </c>
      <c r="V2">
        <v>3735.6415862499998</v>
      </c>
      <c r="W2">
        <v>4975.25</v>
      </c>
      <c r="X2">
        <v>3735.6415862499998</v>
      </c>
      <c r="Y2">
        <v>0</v>
      </c>
      <c r="Z2">
        <v>0</v>
      </c>
      <c r="AA2">
        <v>0</v>
      </c>
      <c r="AB2">
        <v>0</v>
      </c>
    </row>
    <row r="3" spans="1:28" x14ac:dyDescent="0.35">
      <c r="A3" t="s">
        <v>28</v>
      </c>
      <c r="B3" t="s">
        <v>29</v>
      </c>
      <c r="C3" t="s">
        <v>30</v>
      </c>
      <c r="D3" t="s">
        <v>31</v>
      </c>
      <c r="E3" t="s">
        <v>38</v>
      </c>
      <c r="F3" t="s">
        <v>38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s="1">
        <v>-74779.600000000006</v>
      </c>
      <c r="M3">
        <v>-300132.89</v>
      </c>
      <c r="N3">
        <v>0.24915399999999999</v>
      </c>
      <c r="O3">
        <v>4557.67</v>
      </c>
      <c r="P3">
        <v>1135.56171118</v>
      </c>
      <c r="Q3">
        <v>0</v>
      </c>
      <c r="R3">
        <v>0</v>
      </c>
      <c r="S3">
        <v>0</v>
      </c>
      <c r="T3">
        <v>0</v>
      </c>
      <c r="U3">
        <v>4975.25</v>
      </c>
      <c r="V3">
        <v>1239.6034385</v>
      </c>
      <c r="W3">
        <v>4975.25</v>
      </c>
      <c r="X3">
        <v>1239.6034385</v>
      </c>
      <c r="Y3">
        <v>0</v>
      </c>
      <c r="Z3">
        <v>0</v>
      </c>
      <c r="AA3">
        <v>0</v>
      </c>
      <c r="AB3">
        <v>0</v>
      </c>
    </row>
    <row r="5" spans="1:28" x14ac:dyDescent="0.35">
      <c r="L5">
        <f>+SUM(L2:L3)</f>
        <v>-300132.89</v>
      </c>
      <c r="N5">
        <f>+L2/$L$5</f>
        <v>0.7508450340114341</v>
      </c>
      <c r="O5">
        <f>+O2*N5</f>
        <v>3422.1038861628931</v>
      </c>
    </row>
    <row r="6" spans="1:28" x14ac:dyDescent="0.35">
      <c r="N6">
        <f>+L3/$L$5</f>
        <v>0.24915496598856593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9B65FA6-02B1-493B-B01E-70648DA5C2EA}"/>
</file>

<file path=customXml/itemProps2.xml><?xml version="1.0" encoding="utf-8"?>
<ds:datastoreItem xmlns:ds="http://schemas.openxmlformats.org/officeDocument/2006/customXml" ds:itemID="{2DB5FF8F-BE7C-4571-BE37-E0E4F04AE62E}"/>
</file>

<file path=customXml/itemProps3.xml><?xml version="1.0" encoding="utf-8"?>
<ds:datastoreItem xmlns:ds="http://schemas.openxmlformats.org/officeDocument/2006/customXml" ds:itemID="{80B1A4C8-44EE-42EC-9145-E0002F80E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Rita Maia Matias</cp:lastModifiedBy>
  <cp:revision/>
  <dcterms:created xsi:type="dcterms:W3CDTF">2025-01-19T04:28:00Z</dcterms:created>
  <dcterms:modified xsi:type="dcterms:W3CDTF">2025-02-26T16:56:10Z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2025-02-26T16:42:55Z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44a8fffc-509b-4c49-b53d-3ec50210407a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