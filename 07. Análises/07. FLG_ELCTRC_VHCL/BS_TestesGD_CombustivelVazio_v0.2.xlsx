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7. Análises/07. FLG_ELCTRC_VHCL/"/>
    </mc:Choice>
  </mc:AlternateContent>
  <xr:revisionPtr revIDLastSave="99" documentId="8_{5727028C-A259-4A7F-BAA1-846D7360AE35}" xr6:coauthVersionLast="47" xr6:coauthVersionMax="47" xr10:uidLastSave="{929825E0-3705-4A08-86DF-BAF43E7A3166}"/>
  <bookViews>
    <workbookView minimized="1" xWindow="4755" yWindow="-9450" windowWidth="17280" windowHeight="8970" activeTab="1" xr2:uid="{00000000-000D-0000-FFFF-FFFF00000000}"/>
  </bookViews>
  <sheets>
    <sheet name="FLG_ELCTRC_VHCL" sheetId="1" r:id="rId1"/>
    <sheet name="análise FC" sheetId="2" r:id="rId2"/>
    <sheet name="TAT L79" sheetId="3" r:id="rId3"/>
  </sheets>
  <externalReferences>
    <externalReference r:id="rId4"/>
  </externalReferences>
  <definedNames>
    <definedName name="_xlnm._FilterDatabase" localSheetId="1" hidden="1">'análise FC'!$B$2:$F$78</definedName>
    <definedName name="_xlnm._FilterDatabase" localSheetId="0" hidden="1">FLG_ELCTRC_VHCL!$B$5:$E$81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9" i="2" l="1"/>
  <c r="F78" i="2" a="1"/>
  <c r="F78" i="2" s="1"/>
  <c r="F77" i="2" a="1"/>
  <c r="F77" i="2" s="1"/>
  <c r="F76" i="2" a="1"/>
  <c r="F76" i="2" s="1"/>
  <c r="F75" i="2" a="1"/>
  <c r="F75" i="2" s="1"/>
  <c r="F74" i="2" a="1"/>
  <c r="F74" i="2" s="1"/>
  <c r="F73" i="2" a="1"/>
  <c r="F73" i="2" s="1"/>
  <c r="F72" i="2" a="1"/>
  <c r="F72" i="2" s="1"/>
  <c r="F71" i="2" a="1"/>
  <c r="F71" i="2" s="1"/>
  <c r="F70" i="2" a="1"/>
  <c r="F70" i="2" s="1"/>
  <c r="F69" i="2" a="1"/>
  <c r="F69" i="2" s="1"/>
  <c r="F68" i="2" a="1"/>
  <c r="F68" i="2" s="1"/>
  <c r="F67" i="2" a="1"/>
  <c r="F67" i="2" s="1"/>
  <c r="F66" i="2" a="1"/>
  <c r="F66" i="2" s="1"/>
  <c r="F65" i="2" a="1"/>
  <c r="F65" i="2" s="1"/>
  <c r="F64" i="2" a="1"/>
  <c r="F64" i="2" s="1"/>
  <c r="F63" i="2" a="1"/>
  <c r="F63" i="2" s="1"/>
  <c r="F62" i="2" a="1"/>
  <c r="F62" i="2" s="1"/>
  <c r="F61" i="2" a="1"/>
  <c r="F61" i="2" s="1"/>
  <c r="F60" i="2" a="1"/>
  <c r="F60" i="2" s="1"/>
  <c r="F59" i="2" a="1"/>
  <c r="F59" i="2" s="1"/>
  <c r="F58" i="2" a="1"/>
  <c r="F58" i="2" s="1"/>
  <c r="F57" i="2" a="1"/>
  <c r="F57" i="2" s="1"/>
  <c r="F56" i="2" a="1"/>
  <c r="F56" i="2" s="1"/>
  <c r="F55" i="2" a="1"/>
  <c r="F55" i="2" s="1"/>
  <c r="F54" i="2" a="1"/>
  <c r="F54" i="2" s="1"/>
  <c r="F53" i="2" a="1"/>
  <c r="F53" i="2" s="1"/>
  <c r="F52" i="2" a="1"/>
  <c r="F52" i="2" s="1"/>
  <c r="F51" i="2" a="1"/>
  <c r="F51" i="2" s="1"/>
  <c r="F50" i="2" a="1"/>
  <c r="F50" i="2" s="1"/>
  <c r="F49" i="2" a="1"/>
  <c r="F49" i="2" s="1"/>
  <c r="F48" i="2" a="1"/>
  <c r="F48" i="2" s="1"/>
  <c r="F47" i="2" a="1"/>
  <c r="F47" i="2" s="1"/>
  <c r="F46" i="2" a="1"/>
  <c r="F46" i="2" s="1"/>
  <c r="F45" i="2" a="1"/>
  <c r="F45" i="2" s="1"/>
  <c r="F44" i="2" a="1"/>
  <c r="F44" i="2" s="1"/>
  <c r="F43" i="2" a="1"/>
  <c r="F43" i="2" s="1"/>
  <c r="F42" i="2" a="1"/>
  <c r="F42" i="2" s="1"/>
  <c r="F41" i="2" a="1"/>
  <c r="F41" i="2" s="1"/>
  <c r="F40" i="2" a="1"/>
  <c r="F40" i="2" s="1"/>
  <c r="F39" i="2" a="1"/>
  <c r="F39" i="2" s="1"/>
  <c r="F38" i="2" a="1"/>
  <c r="F38" i="2" s="1"/>
  <c r="F37" i="2" a="1"/>
  <c r="F37" i="2" s="1"/>
  <c r="F36" i="2" a="1"/>
  <c r="F36" i="2" s="1"/>
  <c r="F35" i="2" a="1"/>
  <c r="F35" i="2" s="1"/>
  <c r="F34" i="2" a="1"/>
  <c r="F34" i="2" s="1"/>
  <c r="F33" i="2" a="1"/>
  <c r="F33" i="2" s="1"/>
  <c r="F32" i="2" a="1"/>
  <c r="F32" i="2" s="1"/>
  <c r="F31" i="2" a="1"/>
  <c r="F31" i="2" s="1"/>
  <c r="F30" i="2" a="1"/>
  <c r="F30" i="2" s="1"/>
  <c r="F29" i="2" a="1"/>
  <c r="F29" i="2" s="1"/>
  <c r="F28" i="2" a="1"/>
  <c r="F28" i="2" s="1"/>
  <c r="F27" i="2" a="1"/>
  <c r="F27" i="2" s="1"/>
  <c r="F26" i="2" a="1"/>
  <c r="F26" i="2" s="1"/>
  <c r="F25" i="2" a="1"/>
  <c r="F25" i="2" s="1"/>
  <c r="F24" i="2" a="1"/>
  <c r="F24" i="2" s="1"/>
  <c r="F23" i="2" a="1"/>
  <c r="F23" i="2" s="1"/>
  <c r="F22" i="2" a="1"/>
  <c r="F22" i="2" s="1"/>
  <c r="F21" i="2" a="1"/>
  <c r="F21" i="2" s="1"/>
  <c r="F20" i="2" a="1"/>
  <c r="F20" i="2" s="1"/>
  <c r="F19" i="2" a="1"/>
  <c r="F19" i="2" s="1"/>
  <c r="F18" i="2" a="1"/>
  <c r="F18" i="2" s="1"/>
  <c r="F17" i="2" a="1"/>
  <c r="F17" i="2" s="1"/>
  <c r="F16" i="2" a="1"/>
  <c r="F16" i="2" s="1"/>
  <c r="F15" i="2" a="1"/>
  <c r="F15" i="2" s="1"/>
  <c r="F14" i="2" a="1"/>
  <c r="F14" i="2" s="1"/>
  <c r="F13" i="2" a="1"/>
  <c r="F13" i="2" s="1"/>
  <c r="F12" i="2" a="1"/>
  <c r="F12" i="2" s="1"/>
  <c r="F11" i="2" a="1"/>
  <c r="F11" i="2" s="1"/>
  <c r="F10" i="2" a="1"/>
  <c r="F10" i="2" s="1"/>
  <c r="F9" i="2" a="1"/>
  <c r="F9" i="2" s="1"/>
  <c r="F8" i="2" a="1"/>
  <c r="F8" i="2" s="1"/>
  <c r="F7" i="2" a="1"/>
  <c r="F7" i="2" s="1"/>
  <c r="F6" i="2" a="1"/>
  <c r="F6" i="2" s="1"/>
  <c r="F5" i="2" a="1"/>
  <c r="F5" i="2" s="1"/>
  <c r="F4" i="2" a="1"/>
  <c r="F4" i="2" s="1"/>
  <c r="F3" i="2" a="1"/>
  <c r="F3" i="2" s="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82" i="1" l="1"/>
</calcChain>
</file>

<file path=xl/sharedStrings.xml><?xml version="1.0" encoding="utf-8"?>
<sst xmlns="http://schemas.openxmlformats.org/spreadsheetml/2006/main" count="828" uniqueCount="249">
  <si>
    <t>combustivel</t>
  </si>
  <si>
    <t>tipo_eqp</t>
  </si>
  <si>
    <t>TRACTOR,TRACTOR BASCULANTE,DUMPERS</t>
  </si>
  <si>
    <t>VEICULOS PESADOS DE MERCADORIAS</t>
  </si>
  <si>
    <t>EQUIPAMENTO ESCAVACAO E TERRAPLANAGEM</t>
  </si>
  <si>
    <t>MAQ. IND. PAPEL, CARTAO E ARTES GRAFICA</t>
  </si>
  <si>
    <t>MAQ. IND. METALOMECANICA</t>
  </si>
  <si>
    <t>MAQ. IND. ALIMENTAR (S/SEGURO)</t>
  </si>
  <si>
    <t>VEICULOS PESADOS DE PASSAGEIROS</t>
  </si>
  <si>
    <t>EQUIPAMENTO DE ELEVACAO E TRANSPORTE</t>
  </si>
  <si>
    <t>MOBILIÁRIO</t>
  </si>
  <si>
    <t>EQUIPAMENTO DIVERSO (MULTIRISCOS)</t>
  </si>
  <si>
    <t>EQUIPAMENTO P/ AGRICULTURA E PESCA</t>
  </si>
  <si>
    <t>COLHEITA</t>
  </si>
  <si>
    <t>PA CARREGADORA</t>
  </si>
  <si>
    <t>AR CONDICIONADO</t>
  </si>
  <si>
    <t>OUTROS EQUIPAMENTOS</t>
  </si>
  <si>
    <t>OUTROS EQUIP. PARA A CONSTRUCAO CIVIL</t>
  </si>
  <si>
    <t>AUTOBETONEIRAS</t>
  </si>
  <si>
    <t>PAVIMENTADORA</t>
  </si>
  <si>
    <t>EQUIPAMENTO DE MOVIMENTACAO E ARMAZENAGE</t>
  </si>
  <si>
    <t>CILINDRO COMPACTADOR</t>
  </si>
  <si>
    <t>MAQ. IND. QUIMICA</t>
  </si>
  <si>
    <t>ELECTRODOMESTICOS</t>
  </si>
  <si>
    <t>202</t>
  </si>
  <si>
    <t>CAIXA FRIGORIFICA</t>
  </si>
  <si>
    <t>CERAMICA E VIDRO</t>
  </si>
  <si>
    <t>COMERCIAIS DE 2601KG A 3500KG</t>
  </si>
  <si>
    <t>EQUIPAMENTOS TERMICOS</t>
  </si>
  <si>
    <t>EQUIPAMENTO PARA CONSTRUCAO CIVIL</t>
  </si>
  <si>
    <t>INSTRUMENTOS MUSICAIS</t>
  </si>
  <si>
    <t>EQUIPAMENTO ELECTRONICO DE MEDICINA</t>
  </si>
  <si>
    <t>REBOQUE/SEMI-REBOQUE C/MATRICULA</t>
  </si>
  <si>
    <t>MOBILIARIO DE COZINHA</t>
  </si>
  <si>
    <t>INST. HIDRAULICAS E DE TRATAMENTO AGUAS</t>
  </si>
  <si>
    <t>AVIÕES</t>
  </si>
  <si>
    <t>211</t>
  </si>
  <si>
    <t>AUTOGRUA</t>
  </si>
  <si>
    <t>MAQ. IND. ROCHAS, CERAMICA E INERTES MIN</t>
  </si>
  <si>
    <t>MATERIAL FOTOGRAFICO</t>
  </si>
  <si>
    <t>CENTRAIS TELEFÓNICAS E DE COMUNICAÇÃO</t>
  </si>
  <si>
    <t>EQUIPAMENTOS FOTOVOLTAICOS</t>
  </si>
  <si>
    <t>INFORMÁTICA</t>
  </si>
  <si>
    <t>VEICULOS TRANSPORTES MATERIAS PERIGOSAS</t>
  </si>
  <si>
    <t>203</t>
  </si>
  <si>
    <t>CARAVANAS</t>
  </si>
  <si>
    <t>EQUIPAMENTO DE COMERCIO E SERVICOS</t>
  </si>
  <si>
    <t>EQUIPAMENTO ESCRITÓRIO E INFORMÁTICO</t>
  </si>
  <si>
    <t>GRUAS</t>
  </si>
  <si>
    <t>SEMEAR E TRATAR</t>
  </si>
  <si>
    <t>EQUIPAMENTO SERVIÇOS DE SAUDE</t>
  </si>
  <si>
    <t>204</t>
  </si>
  <si>
    <t>ESTRUTURAS DE CONST CIVIL</t>
  </si>
  <si>
    <t>OUTROS EQUIPAMENTOS ELECTRÓNICOS</t>
  </si>
  <si>
    <t>REGA</t>
  </si>
  <si>
    <t>AEREO</t>
  </si>
  <si>
    <t>PLANTAFORMA ELEVATORIA</t>
  </si>
  <si>
    <t>MARITIMO</t>
  </si>
  <si>
    <t>MAQ. IND. MADEIRA E CORTICA</t>
  </si>
  <si>
    <t>MAQ. IND. TEXTIL, COURO E CALCADO</t>
  </si>
  <si>
    <t>PAS CARREGADORES,ESCAVADORES,RETROESCAVA</t>
  </si>
  <si>
    <t>EMBARCACOES</t>
  </si>
  <si>
    <t>CCTV - CAMARA FILMAR</t>
  </si>
  <si>
    <t>REBOQUE C/MATRICULA P/TRACTOR</t>
  </si>
  <si>
    <t>EQUIPAMENTOS DE TRANSPORTE</t>
  </si>
  <si>
    <t>SERVIÇOS AUTO</t>
  </si>
  <si>
    <t>FOTOCOPIADORAS</t>
  </si>
  <si>
    <t>MAQ. IND. ALIMENTAR</t>
  </si>
  <si>
    <t>COMERCIAIS DE 1601KG A 2600KG</t>
  </si>
  <si>
    <t>EQUIPAMENTO PARA SERVIÇOS AUTO</t>
  </si>
  <si>
    <t>COFRES DE ALUGUER - DE 76 A 130 DM3</t>
  </si>
  <si>
    <t>EQUIPAMENTO P/ INDUSTRIA TRANSFORMADORA</t>
  </si>
  <si>
    <t>VEICULOS LIGEIROS DE PASSAGEIROS</t>
  </si>
  <si>
    <t>GRUPO COMPRESSOR</t>
  </si>
  <si>
    <t>EMPILHADOR</t>
  </si>
  <si>
    <t>EQ.AGRICOLA C/ MATRICULA</t>
  </si>
  <si>
    <t>RESTAURAÇÃO</t>
  </si>
  <si>
    <t>LAVANDARIAS</t>
  </si>
  <si>
    <t>EQUIPAMENTOS DIVERSOS</t>
  </si>
  <si>
    <t># Registos</t>
  </si>
  <si>
    <t># Total de registos</t>
  </si>
  <si>
    <t>Descritivo</t>
  </si>
  <si>
    <t>TAT L79</t>
  </si>
  <si>
    <t>Tabela gt013_bens_mob</t>
  </si>
  <si>
    <t>1) Registos que apresentam campo combustivel a vazio para data de referência = '2024-12-31'</t>
  </si>
  <si>
    <t>tayd91c0_gelemtab</t>
  </si>
  <si>
    <t>celemtab</t>
  </si>
  <si>
    <t>gelemtab</t>
  </si>
  <si>
    <t>Nelemc01</t>
  </si>
  <si>
    <t>Nelemc02</t>
  </si>
  <si>
    <t>Nelemc03</t>
  </si>
  <si>
    <t>EQUIPAMENTO</t>
  </si>
  <si>
    <t>101</t>
  </si>
  <si>
    <t>TRANSPORTE S/ MATRICULA</t>
  </si>
  <si>
    <t>VIATURA</t>
  </si>
  <si>
    <t>201</t>
  </si>
  <si>
    <t>110</t>
  </si>
  <si>
    <t>PESCA</t>
  </si>
  <si>
    <t>113</t>
  </si>
  <si>
    <t>105</t>
  </si>
  <si>
    <t>BORRACHA</t>
  </si>
  <si>
    <t>103</t>
  </si>
  <si>
    <t>102</t>
  </si>
  <si>
    <t>114</t>
  </si>
  <si>
    <t>HOTELARIA</t>
  </si>
  <si>
    <t>108</t>
  </si>
  <si>
    <t>109</t>
  </si>
  <si>
    <t>106</t>
  </si>
  <si>
    <t>EQUIPAMENTO FIXO - EDUCAÇÃO</t>
  </si>
  <si>
    <t>EQUIPAMENTO ELECTRÓNICO EDUCAÇÃO</t>
  </si>
  <si>
    <t>115</t>
  </si>
  <si>
    <t>LABORATÓRIOS</t>
  </si>
  <si>
    <t>116</t>
  </si>
  <si>
    <t>TELEMÓVEIS</t>
  </si>
  <si>
    <t>FOTOGRAFIA</t>
  </si>
  <si>
    <t>FERROVIÁRIO</t>
  </si>
  <si>
    <t>212</t>
  </si>
  <si>
    <t>207</t>
  </si>
  <si>
    <t>NAVIOS</t>
  </si>
  <si>
    <t>HELICOPTEROS</t>
  </si>
  <si>
    <t>ULTRALEVES</t>
  </si>
  <si>
    <t>AERONAVES</t>
  </si>
  <si>
    <t>RODOVIÁRIO</t>
  </si>
  <si>
    <t>206</t>
  </si>
  <si>
    <t>VEICULOS LIGEIROS DE MERCADORIAS</t>
  </si>
  <si>
    <t>205</t>
  </si>
  <si>
    <t>210</t>
  </si>
  <si>
    <t>209</t>
  </si>
  <si>
    <t>MOTOCICLOS CILINDRADA SUPERIOR A 50CM3</t>
  </si>
  <si>
    <t>208</t>
  </si>
  <si>
    <t>TODO TERRENO</t>
  </si>
  <si>
    <t>VIATURA MISTA</t>
  </si>
  <si>
    <t>MULTIRISCOS COMÉRCIO-EDIFICIO ATÉ 25 ANO</t>
  </si>
  <si>
    <t>MULTIRISCOS COMÉRCIO-EDIFICIO 25-50 ANOS</t>
  </si>
  <si>
    <t>MULTIRISCOS COMÉRCIO-EDIFICIO + 50 ANOS</t>
  </si>
  <si>
    <t>REBOQUE C/MATRICULA P/LIGEIROS PASSAGEIR</t>
  </si>
  <si>
    <t>REBOQUE C/MATRICULA P/LIGEIROS MERCADORI</t>
  </si>
  <si>
    <t>REBOQUE C/MATRICULA P/TODO TERRENO</t>
  </si>
  <si>
    <t>CICLOMOTOR OU MOTOCICLO ATÉ 50CM3</t>
  </si>
  <si>
    <t>TRICICLO OU QUADRICICLO ATÉ 50CM3</t>
  </si>
  <si>
    <t>EQUIPAMENTOS BANCO EFISA</t>
  </si>
  <si>
    <t>INSTALAÇÕES</t>
  </si>
  <si>
    <t>EQUIPAMENTO ANTI-POLUICAO</t>
  </si>
  <si>
    <t>TELEMOVEIS</t>
  </si>
  <si>
    <t>AUTOBETONEIRA</t>
  </si>
  <si>
    <t>AUTOVARREDORA</t>
  </si>
  <si>
    <t>BOMBA LANCA BETAO</t>
  </si>
  <si>
    <t>ESCAVADORA</t>
  </si>
  <si>
    <t>GRUPO GERADOR</t>
  </si>
  <si>
    <t>MARCADOR DE RODOVIA</t>
  </si>
  <si>
    <t>MOTONIVELADORA</t>
  </si>
  <si>
    <t>PERFURADORA</t>
  </si>
  <si>
    <t>RETROESCAVADORA</t>
  </si>
  <si>
    <t>TRACTOR INDUSTRIAL</t>
  </si>
  <si>
    <t>UNIDADE DE TRANSPORTE</t>
  </si>
  <si>
    <t>TT E COMERCIAIS ATE 1600KG</t>
  </si>
  <si>
    <t>TT E COMERCIAIS DE 1601KG A 2600KG</t>
  </si>
  <si>
    <t>TT E COMERCIAIS DE 2601KG A 3500KG</t>
  </si>
  <si>
    <t>COMERCIAIS ATE 1600KG</t>
  </si>
  <si>
    <t>TT ATE 1600KG</t>
  </si>
  <si>
    <t>TT DE 1601KG A 2600KG</t>
  </si>
  <si>
    <t>TT DE 2601KG A 3500KG</t>
  </si>
  <si>
    <t>COLCHOES</t>
  </si>
  <si>
    <t>DECORACAO</t>
  </si>
  <si>
    <t>EQUIP. TRANSMISSAO</t>
  </si>
  <si>
    <t>OUTROS EQUIPAMENTOS MOVEIS (S/RESP.CIVIL</t>
  </si>
  <si>
    <t>LAZER/DIVERSOES</t>
  </si>
  <si>
    <t>111</t>
  </si>
  <si>
    <t>VIAGENS</t>
  </si>
  <si>
    <t>BRINQUEDOS</t>
  </si>
  <si>
    <t>OURIVESARIA</t>
  </si>
  <si>
    <t>RELOJARIA</t>
  </si>
  <si>
    <t>VESTUARIO</t>
  </si>
  <si>
    <t>ELECTRODOMESTICOS - LINHA CASTANHA</t>
  </si>
  <si>
    <t>MAQUINAS NAO ESPECIFICADAS (MAQ. FIXAS)</t>
  </si>
  <si>
    <t>EQUIPAMENTO DIVERSO (ELECTRONICO)</t>
  </si>
  <si>
    <t>EQUIPAMENTO ELECTRONICO - POS</t>
  </si>
  <si>
    <t>107</t>
  </si>
  <si>
    <t>MICROGERACAO EOLICO</t>
  </si>
  <si>
    <t>104</t>
  </si>
  <si>
    <t>OUTRAS ENERGIAS RENOVAVEIS</t>
  </si>
  <si>
    <t>112</t>
  </si>
  <si>
    <t>COFRES DE ALUGUER - ATE 20 DM3</t>
  </si>
  <si>
    <t>COFRES DE ALUGUER - DE 21 A 30 DM3</t>
  </si>
  <si>
    <t>COFRES DE ALUGUER - DE 31 A 75 DM3</t>
  </si>
  <si>
    <t>COFRES DE ALUGUER - SUPERIOR A 130 DM3</t>
  </si>
  <si>
    <t>CM 24/B - RECICLADOR NOTAS</t>
  </si>
  <si>
    <t>CM 24 - RECICLADOR NOTAS</t>
  </si>
  <si>
    <t>CM 18 - RECICLADOR NOTAS</t>
  </si>
  <si>
    <t>CM 14 - RECICLADOR NOTAS</t>
  </si>
  <si>
    <t>SID - MOD.DEPOSITO NOTAS</t>
  </si>
  <si>
    <t>DIMO - DISPENSADOR MOEDAS</t>
  </si>
  <si>
    <t>DIMO-LIGHT - DISPENSADOR MOEDAS</t>
  </si>
  <si>
    <t>CONTA - MOD.DEPOSITO MOEDAS</t>
  </si>
  <si>
    <t>MINI-CONTA - MOD.DEPOSITO MOEDAS</t>
  </si>
  <si>
    <t>DIBI - MOD.DEPOSITO NOTAS</t>
  </si>
  <si>
    <t>PC - COMPUTADOR</t>
  </si>
  <si>
    <t>IMPR - IMPRESSORA</t>
  </si>
  <si>
    <t>CTS LS100 - LEITOR DE CHEQUES</t>
  </si>
  <si>
    <t>MÁQUINAS PARA OBRAS PÍBLICAS QUE CIRCULE</t>
  </si>
  <si>
    <t>EQUIPAMENTOS PARA USO INDUSTRIAL</t>
  </si>
  <si>
    <t>EQUIPAMENTOS PARA USO COMERCIAL</t>
  </si>
  <si>
    <t>MÁQUINAS PARA USO COMERCIAL</t>
  </si>
  <si>
    <t>Veículos que não circulam na via pública</t>
  </si>
  <si>
    <t>IMPOSTO MUNICIPAL DE TRASMIõES</t>
  </si>
  <si>
    <t>IMPOSTO DE SELO</t>
  </si>
  <si>
    <t>FACT CONSTRU LEASING MOBIL EN CONSTRUCCI</t>
  </si>
  <si>
    <t>EQUIPAMIENTO GENERAL DEL HOGAR</t>
  </si>
  <si>
    <t>PISCINA</t>
  </si>
  <si>
    <t>TURISMO</t>
  </si>
  <si>
    <t>TURISMO COMERCIAL</t>
  </si>
  <si>
    <t>FURGONETA</t>
  </si>
  <si>
    <t>FURGÕES</t>
  </si>
  <si>
    <t>VALOR MOBILIARIO, EN GENERAL</t>
  </si>
  <si>
    <t>VALOR MOBILIARIO CON COTIZACION</t>
  </si>
  <si>
    <t>VALOR MOBILIARIO SIN COTIZACION</t>
  </si>
  <si>
    <t>PARTICIPACIONES EN SOCIEDADES/NEGOCIOS</t>
  </si>
  <si>
    <t>EMBARCACIONES O AERONAVES</t>
  </si>
  <si>
    <t>FONDOS PÚBLICOS</t>
  </si>
  <si>
    <t>EFECTO</t>
  </si>
  <si>
    <t>FACTURA</t>
  </si>
  <si>
    <t>CERTIFICACIONES DEL SECTOR PUBLICO</t>
  </si>
  <si>
    <t>DEPOSITO A PLAZO EN ENTIDADES</t>
  </si>
  <si>
    <t>DEPOSITO A LA VISTA EN ENTIDADES</t>
  </si>
  <si>
    <t>FONDOS DE INVERSION</t>
  </si>
  <si>
    <t>SALDOS DE CLIENTES (ACLARAR)</t>
  </si>
  <si>
    <t>PLANES DE PENSIONES Y JUBILACION</t>
  </si>
  <si>
    <t>SEGUROS DE AHORRO</t>
  </si>
  <si>
    <t>COMBUSTIBLES</t>
  </si>
  <si>
    <t>REPUESTOS</t>
  </si>
  <si>
    <t>EMBALAJES</t>
  </si>
  <si>
    <t>ENVASES</t>
  </si>
  <si>
    <t>MATERIAL DE OFICINA</t>
  </si>
  <si>
    <t>UTILLAJE</t>
  </si>
  <si>
    <t>ACTIVOS INMATERIALES</t>
  </si>
  <si>
    <t>EXISTENCIAS DE MATERIAS PRIMAS</t>
  </si>
  <si>
    <t>EXISTENCIAS DE PRODUCTOS EN CURSO</t>
  </si>
  <si>
    <t>EXISTENCIAS DE PRODUCTOS TERMINADOS</t>
  </si>
  <si>
    <t>GANADO, EN GENERAL</t>
  </si>
  <si>
    <t>JOYAS</t>
  </si>
  <si>
    <t>OBJETOS ARTISTICOS</t>
  </si>
  <si>
    <t>ANTIGUIEDADES</t>
  </si>
  <si>
    <t>VIAJES/VACACIONES (USO EXCLUSIVO EN T209</t>
  </si>
  <si>
    <t>GASTOS PERSONALES (USO EXCLUSIVO EN T209</t>
  </si>
  <si>
    <t>ESTUDIOS/CURSOS (USO EXCLUSIVO EN T2097D</t>
  </si>
  <si>
    <t>OUTROS BAPOP</t>
  </si>
  <si>
    <t>Equipamento/viatura?</t>
  </si>
  <si>
    <t>Código Corporativo</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</si>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</sst>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color theme="1"/>
      <name val="Arial"/>
      <family val="2"/>
    </font>
    <font>
      <b/>
      <sz val="10"/>
      <color theme="0"/>
      <name val="Arial"/>
      <family val="2"/>
    </font>
    <font>
      <b/>
      <sz val="10"/>
      <color theme="1"/>
      <name val="Arial"/>
      <family val="2"/>
    </font>
    <font>
      <b/>
      <sz val="11"/>
      <color theme="0"/>
      <name val="Calibri"/>
      <family val="2"/>
      <scheme val="minor"/>
    </font>
    <font>
      <sz val="11"/>
      <color rgb="FFFF0000"/>
      <name val="Calibri"/>
      <family val="2"/>
      <scheme val="minor"/>
    </font>
  </fonts>
  <fills count="8">
    <fill>
      <patternFill patternType="none"/>
    </fill>
    <fill>
      <patternFill patternType="gray125"/>
    </fill>
    <fill>
      <patternFill patternType="solid">
        <fgColor rgb="FFFF0000"/>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FFC000"/>
        <bgColor indexed="64"/>
      </patternFill>
    </fill>
    <fill>
      <patternFill patternType="solid">
        <fgColor theme="0" tint="-0.34998626667073579"/>
        <bgColor indexed="64"/>
      </patternFill>
    </fill>
    <fill>
      <patternFill patternType="solid">
        <fgColor theme="0" tint="-4.9989318521683403E-2"/>
        <bgColor indexed="64"/>
      </patternFill>
    </fill>
  </fills>
  <borders count="4">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xf numFmtId="0" fontId="2" fillId="0" borderId="1" xfId="0" applyFont="1" applyBorder="1"/>
    <xf numFmtId="3" fontId="2" fillId="0" borderId="1" xfId="0" applyNumberFormat="1" applyFont="1" applyBorder="1"/>
    <xf numFmtId="0" fontId="4" fillId="4" borderId="1" xfId="0" applyFont="1" applyFill="1" applyBorder="1" applyAlignment="1">
      <alignment horizontal="center" vertical="center"/>
    </xf>
    <xf numFmtId="0" fontId="1" fillId="0" borderId="2" xfId="0" applyFont="1" applyBorder="1"/>
    <xf numFmtId="0" fontId="0" fillId="0" borderId="2" xfId="0" applyBorder="1"/>
    <xf numFmtId="0" fontId="4" fillId="3" borderId="1" xfId="0" applyFont="1" applyFill="1" applyBorder="1" applyAlignment="1">
      <alignment horizontal="center" vertical="center"/>
    </xf>
    <xf numFmtId="0" fontId="3" fillId="2" borderId="1" xfId="0" applyFont="1" applyFill="1" applyBorder="1" applyAlignment="1">
      <alignment horizontal="center"/>
    </xf>
    <xf numFmtId="0" fontId="4" fillId="3" borderId="1" xfId="0" applyFont="1" applyFill="1" applyBorder="1" applyAlignment="1">
      <alignment horizontal="center" vertical="center"/>
    </xf>
    <xf numFmtId="0" fontId="5" fillId="2" borderId="3" xfId="0" applyFont="1" applyFill="1" applyBorder="1"/>
    <xf numFmtId="0" fontId="5" fillId="2" borderId="3" xfId="0" applyFont="1" applyFill="1" applyBorder="1" applyAlignment="1">
      <alignment horizontal="left"/>
    </xf>
    <xf numFmtId="0" fontId="0" fillId="0" borderId="3" xfId="0" applyBorder="1" applyAlignment="1">
      <alignment horizontal="left"/>
    </xf>
    <xf numFmtId="0" fontId="0" fillId="0" borderId="3" xfId="0" applyBorder="1"/>
    <xf numFmtId="0" fontId="0" fillId="0" borderId="3" xfId="0" applyBorder="1" applyAlignment="1">
      <alignment horizontal="left" vertical="center"/>
    </xf>
    <xf numFmtId="0" fontId="0" fillId="5" borderId="3" xfId="0" applyFill="1" applyBorder="1" applyAlignment="1">
      <alignment horizontal="left"/>
    </xf>
    <xf numFmtId="0" fontId="0" fillId="5" borderId="3" xfId="0" applyFill="1" applyBorder="1" applyAlignment="1">
      <alignment horizontal="left" vertical="center"/>
    </xf>
    <xf numFmtId="0" fontId="5" fillId="2" borderId="1" xfId="0" applyFont="1" applyFill="1"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xf>
    <xf numFmtId="0" fontId="5" fillId="6" borderId="1" xfId="0" applyFont="1" applyFill="1" applyBorder="1" applyAlignment="1">
      <alignment horizontal="center" vertical="center"/>
    </xf>
    <xf numFmtId="0" fontId="0" fillId="0" borderId="1" xfId="0" applyBorder="1"/>
    <xf numFmtId="0" fontId="1" fillId="7" borderId="1" xfId="0" applyFont="1" applyFill="1" applyBorder="1" applyAlignment="1">
      <alignment horizontal="center"/>
    </xf>
    <xf numFmtId="0" fontId="1" fillId="7"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E801803\AppData\Local\Microsoft\Windows\INetCache\Content.Outlook\UI0S37L6\Tipo%20Equipamento%20-%20Proposta%20mapeamento_V1.0.xlsx" TargetMode="External"/><Relationship Id="rId1" Type="http://schemas.openxmlformats.org/officeDocument/2006/relationships/externalLinkPath" Target="file:///C:\Users\E801803\AppData\Local\Microsoft\Windows\INetCache\Content.Outlook\UI0S37L6\Tipo%20Equipamento%20-%20Proposta%20mapeamento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o"/>
      <sheetName val="1. TAT (1) - Equip. Lease"/>
      <sheetName val="1. TAT (2) - Equip. Lease"/>
      <sheetName val="2. Mapeamento a validar"/>
      <sheetName val="Sheet1"/>
    </sheetNames>
    <sheetDataSet>
      <sheetData sheetId="0"/>
      <sheetData sheetId="1"/>
      <sheetData sheetId="2"/>
      <sheetData sheetId="3">
        <row r="6">
          <cell r="B6" t="str">
            <v>VEH01</v>
          </cell>
          <cell r="C6" t="str">
            <v>M1 - Vehicles used for the carriage of passengers and comprising not more than eight seats in addition to the driver's seat</v>
          </cell>
          <cell r="D6">
            <v>141</v>
          </cell>
          <cell r="E6" t="str">
            <v>VEICULOS LIGEIROS DE PASSAGEIROS</v>
          </cell>
        </row>
        <row r="7">
          <cell r="B7" t="str">
            <v>VEH01</v>
          </cell>
          <cell r="D7">
            <v>203</v>
          </cell>
          <cell r="E7" t="str">
            <v>CARAVANAS</v>
          </cell>
        </row>
        <row r="8">
          <cell r="B8" t="str">
            <v>VEH01</v>
          </cell>
          <cell r="D8">
            <v>241</v>
          </cell>
          <cell r="E8" t="str">
            <v>VEICULOS LIGEIROS DE PASSAGEIROS</v>
          </cell>
        </row>
        <row r="9">
          <cell r="B9" t="str">
            <v>VEH01</v>
          </cell>
          <cell r="D9">
            <v>251</v>
          </cell>
          <cell r="E9" t="str">
            <v>VEICULOS LIGEIROS DE PASSAGEIROS</v>
          </cell>
        </row>
        <row r="10">
          <cell r="B10" t="str">
            <v>VEH01</v>
          </cell>
          <cell r="D10">
            <v>140</v>
          </cell>
          <cell r="E10" t="str">
            <v>RODOVIÁRIO</v>
          </cell>
        </row>
        <row r="11">
          <cell r="B11" t="str">
            <v>VEH01</v>
          </cell>
          <cell r="D11">
            <v>149</v>
          </cell>
          <cell r="E11" t="str">
            <v>VIATURA MISTA</v>
          </cell>
        </row>
        <row r="12">
          <cell r="B12" t="str">
            <v>VEH02</v>
          </cell>
          <cell r="C12" t="str">
            <v>M2 - Vehicles used for the carriage of passengers, comprising more than eight seats in addition to the driver's seat, and having a maximum mass not exceeding 5 tonnes</v>
          </cell>
        </row>
        <row r="13">
          <cell r="B13" t="str">
            <v>VEH03</v>
          </cell>
          <cell r="C13" t="str">
            <v>M3 - Vehicles used for the carriage of passengers, comprising more than eight seats in addition to the driver's seat, and having a maximum mass exceeding 5 tonnes</v>
          </cell>
          <cell r="D13">
            <v>143</v>
          </cell>
          <cell r="E13" t="str">
            <v>VEICULOS PESADOS DE PASSAGEIROS</v>
          </cell>
        </row>
        <row r="14">
          <cell r="B14" t="str">
            <v>VEH03</v>
          </cell>
          <cell r="D14">
            <v>227</v>
          </cell>
          <cell r="E14" t="str">
            <v>UNIDADE DE TRANSPORTE</v>
          </cell>
        </row>
        <row r="15">
          <cell r="B15" t="str">
            <v>VEH04</v>
          </cell>
          <cell r="C15" t="str">
            <v>N1 - Vehicles used for the carriage of goods and having a maximum mass not exceeding 3.5 tonnes</v>
          </cell>
          <cell r="D15">
            <v>142</v>
          </cell>
          <cell r="E15" t="str">
            <v>VEICULOS LIGEIROS DE MERCADORIAS</v>
          </cell>
        </row>
        <row r="16">
          <cell r="B16" t="str">
            <v>VEH04</v>
          </cell>
          <cell r="D16">
            <v>252</v>
          </cell>
          <cell r="E16" t="str">
            <v>COMERCIAIS ATE 1600KG</v>
          </cell>
        </row>
        <row r="17">
          <cell r="B17" t="str">
            <v>VEH04</v>
          </cell>
          <cell r="D17">
            <v>253</v>
          </cell>
          <cell r="E17" t="str">
            <v>COMERCIAIS DE 1601KG A 2600KG</v>
          </cell>
        </row>
        <row r="18">
          <cell r="B18" t="str">
            <v>VEH04</v>
          </cell>
          <cell r="D18">
            <v>254</v>
          </cell>
          <cell r="E18" t="str">
            <v>COMERCIAIS DE 2601KG A 3500KG</v>
          </cell>
        </row>
        <row r="19">
          <cell r="B19" t="str">
            <v>VEH04</v>
          </cell>
          <cell r="D19">
            <v>712</v>
          </cell>
          <cell r="E19" t="str">
            <v>FURGONETA</v>
          </cell>
        </row>
        <row r="20">
          <cell r="B20" t="str">
            <v>VEH04</v>
          </cell>
          <cell r="D20">
            <v>713</v>
          </cell>
          <cell r="E20" t="str">
            <v>FURGÕES</v>
          </cell>
        </row>
        <row r="21">
          <cell r="B21" t="str">
            <v>VEH05</v>
          </cell>
          <cell r="C21" t="str">
            <v>N2 - Vehicles used for the carriage of goods and having a maximum mass exceeding 3.5 tonnes but not exceeding 12 tonnes</v>
          </cell>
          <cell r="D21">
            <v>144</v>
          </cell>
          <cell r="E21" t="str">
            <v>VEICULOS PESADOS DE MERCADORIAS</v>
          </cell>
        </row>
        <row r="22">
          <cell r="B22" t="str">
            <v>VEH05</v>
          </cell>
          <cell r="D22">
            <v>145</v>
          </cell>
          <cell r="E22" t="str">
            <v>VEICULOS TRANSPORTES MATERIAS PERIGOSAS</v>
          </cell>
        </row>
        <row r="23">
          <cell r="B23" t="str">
            <v>VEH06</v>
          </cell>
          <cell r="C23" t="str">
            <v>N3 - Vehicles used for the carriage of goods and having a maximum mass exceeding 12 tonnes</v>
          </cell>
        </row>
        <row r="24">
          <cell r="B24" t="str">
            <v>VEH07</v>
          </cell>
          <cell r="C24" t="str">
            <v>L1 - A two-wheeled vehicle with an engine cylinder capacity not exceeding 50 cm3 and whatever the means of propulsion a maximum design speed not exceeding 50 km/h</v>
          </cell>
        </row>
        <row r="25">
          <cell r="B25" t="str">
            <v>VEH08</v>
          </cell>
          <cell r="C25" t="str">
            <v>L2 - A three-wheeled vehicle of any wheel arrangement with an engine cylinder capacity not exceeding 50 cm3 and whatever the means of propulsion a maximum design speed not exceeding 50 km/h</v>
          </cell>
          <cell r="D25">
            <v>180</v>
          </cell>
          <cell r="E25" t="str">
            <v>CICLOMOTOR OU MOTOCICLO ATÉ 50CM3</v>
          </cell>
        </row>
        <row r="26">
          <cell r="B26" t="str">
            <v>VEH08</v>
          </cell>
          <cell r="D26">
            <v>181</v>
          </cell>
          <cell r="E26" t="str">
            <v>TRICICLO OU QUADRICICLO ATÉ 50CM3</v>
          </cell>
        </row>
        <row r="27">
          <cell r="B27" t="str">
            <v>VEH09</v>
          </cell>
          <cell r="C27" t="str">
            <v>L3 - A two-wheeled vehicle with an engine cylinder capacity in the case of a thermic engine exceeding 50 cm3 or whatever the means of propulsion a maximum design speed exceeding 50 km/h</v>
          </cell>
          <cell r="D27">
            <v>146</v>
          </cell>
          <cell r="E27" t="str">
            <v>MOTOCICLOS CILINDRADA SUPERIOR A 50CM3</v>
          </cell>
        </row>
        <row r="28">
          <cell r="B28" t="str">
            <v>VEH10</v>
          </cell>
          <cell r="C28" t="str">
            <v>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v>
          </cell>
        </row>
        <row r="29">
          <cell r="B29" t="str">
            <v>VEH11</v>
          </cell>
          <cell r="C29" t="str">
            <v>L5 - A vehicle with three wheels symmetrically arranged in relation to the longitudinal median plane with an engine cylinder capacity in the case of a thermic engine exceeding 50 cm3 or whatever the means of propulsion a maximum design speed exceeding 50 km/h</v>
          </cell>
        </row>
        <row r="30">
          <cell r="B30" t="str">
            <v>VEH12</v>
          </cell>
          <cell r="C30" t="str">
            <v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v>
          </cell>
        </row>
        <row r="31">
          <cell r="B31" t="str">
            <v>VEH13</v>
          </cell>
          <cell r="C31" t="str">
            <v>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v>
          </cell>
        </row>
        <row r="32">
          <cell r="B32" t="str">
            <v>VEH14</v>
          </cell>
          <cell r="C32" t="str">
            <v>O1 - Trailers with a maximum mass not exceeding 0.75 tonnes</v>
          </cell>
        </row>
        <row r="33">
          <cell r="B33" t="str">
            <v>VEH15</v>
          </cell>
          <cell r="C33" t="str">
            <v>O2 - Trailers with a maximum mass exceeding 0.75 tonnes, but not exceeding 3.5 tonnes</v>
          </cell>
          <cell r="D33">
            <v>161</v>
          </cell>
          <cell r="E33" t="str">
            <v>REBOQUE C/MATRICULA P/LIGEIROS PASSAGEIR</v>
          </cell>
        </row>
        <row r="34">
          <cell r="B34" t="str">
            <v>VEH15</v>
          </cell>
          <cell r="D34">
            <v>162</v>
          </cell>
          <cell r="E34" t="str">
            <v>REBOQUE C/MATRICULA P/LIGEIROS MERCADORI</v>
          </cell>
        </row>
        <row r="35">
          <cell r="B35" t="str">
            <v>VEH15</v>
          </cell>
          <cell r="D35">
            <v>167</v>
          </cell>
          <cell r="E35" t="str">
            <v>REBOQUE C/MATRICULA P/TODO TERRENO</v>
          </cell>
        </row>
        <row r="36">
          <cell r="B36" t="str">
            <v>VEH16</v>
          </cell>
          <cell r="C36" t="str">
            <v>O3 - Trailers with a maximum mass exceeding 3.5 tonnes, but not exceeding 10 tonnes</v>
          </cell>
          <cell r="D36">
            <v>148</v>
          </cell>
          <cell r="E36" t="str">
            <v>REBOQUE/SEMI-REBOQUE C/MATRICULA</v>
          </cell>
        </row>
        <row r="37">
          <cell r="B37" t="str">
            <v>VEH16</v>
          </cell>
          <cell r="D37">
            <v>171</v>
          </cell>
          <cell r="E37" t="str">
            <v>REBOQUE C/MATRICULA P/TRACTOR</v>
          </cell>
        </row>
        <row r="38">
          <cell r="B38" t="str">
            <v>VEH17</v>
          </cell>
          <cell r="C38" t="str">
            <v>O4 - Trailers with a maximum mass exceeding 10 tonnes</v>
          </cell>
        </row>
        <row r="39">
          <cell r="B39" t="str">
            <v>VEH18</v>
          </cell>
          <cell r="C39" t="str">
            <v>T - Motorised, wheeled or tracked agricultural or forestry vehicle having at least two axles and a maximum design speed of not less than 6 km/h</v>
          </cell>
          <cell r="D39">
            <v>15</v>
          </cell>
          <cell r="E39" t="str">
            <v>EQ.AGRICOLA C/ MATRICULA</v>
          </cell>
        </row>
        <row r="40">
          <cell r="B40" t="str">
            <v>VEH18</v>
          </cell>
          <cell r="D40">
            <v>152</v>
          </cell>
          <cell r="E40" t="str">
            <v>EMPILHADOR</v>
          </cell>
        </row>
        <row r="41">
          <cell r="B41" t="str">
            <v>VEH18</v>
          </cell>
          <cell r="D41">
            <v>211</v>
          </cell>
          <cell r="E41" t="str">
            <v>AUTOGRUA</v>
          </cell>
        </row>
        <row r="42">
          <cell r="B42" t="str">
            <v>VEH18</v>
          </cell>
          <cell r="D42">
            <v>212</v>
          </cell>
          <cell r="E42" t="str">
            <v>AUTOVARREDORA</v>
          </cell>
        </row>
        <row r="43">
          <cell r="B43" t="str">
            <v>VEH18</v>
          </cell>
          <cell r="D43">
            <v>213</v>
          </cell>
          <cell r="E43" t="str">
            <v>BOMBA LANCA BETAO</v>
          </cell>
        </row>
        <row r="44">
          <cell r="B44" t="str">
            <v>VEH18</v>
          </cell>
          <cell r="D44">
            <v>214</v>
          </cell>
          <cell r="E44" t="str">
            <v>CILINDRO COMPACTADOR</v>
          </cell>
        </row>
        <row r="45">
          <cell r="B45" t="str">
            <v>VEH18</v>
          </cell>
          <cell r="D45">
            <v>216</v>
          </cell>
          <cell r="E45" t="str">
            <v>EMPILHADOR</v>
          </cell>
        </row>
        <row r="46">
          <cell r="B46" t="str">
            <v>VEH18</v>
          </cell>
          <cell r="D46">
            <v>225</v>
          </cell>
          <cell r="E46" t="str">
            <v>RETROESCAVADORA</v>
          </cell>
        </row>
        <row r="47">
          <cell r="B47" t="str">
            <v>VEH18</v>
          </cell>
          <cell r="D47">
            <v>14</v>
          </cell>
          <cell r="E47" t="str">
            <v>TRANSPORTE S/ MATRICULA</v>
          </cell>
        </row>
        <row r="48">
          <cell r="B48" t="str">
            <v>VEH19</v>
          </cell>
          <cell r="C48" t="str">
            <v>G - Off-road vehicles</v>
          </cell>
          <cell r="D48">
            <v>147</v>
          </cell>
          <cell r="E48" t="str">
            <v>TODO TERRENO</v>
          </cell>
        </row>
        <row r="49">
          <cell r="B49" t="str">
            <v>VEH19</v>
          </cell>
          <cell r="D49">
            <v>255</v>
          </cell>
          <cell r="E49" t="str">
            <v>TT ATE 1600KG</v>
          </cell>
        </row>
        <row r="50">
          <cell r="B50" t="str">
            <v>VEH19</v>
          </cell>
          <cell r="D50">
            <v>256</v>
          </cell>
          <cell r="E50" t="str">
            <v>TT DE 1601KG A 2600KG</v>
          </cell>
        </row>
        <row r="51">
          <cell r="B51" t="str">
            <v>VEH19</v>
          </cell>
          <cell r="D51">
            <v>257</v>
          </cell>
          <cell r="E51" t="str">
            <v>TT DE 2601KG A 3500KG</v>
          </cell>
        </row>
        <row r="52">
          <cell r="B52" t="str">
            <v>VEH19</v>
          </cell>
          <cell r="D52">
            <v>242</v>
          </cell>
          <cell r="E52" t="str">
            <v>TT E COMERCIAIS ATE 1600KG</v>
          </cell>
        </row>
        <row r="53">
          <cell r="B53" t="str">
            <v>VEH19</v>
          </cell>
          <cell r="D53">
            <v>243</v>
          </cell>
          <cell r="E53" t="str">
            <v>TT E COMERCIAIS DE 1601KG A 2600KG</v>
          </cell>
        </row>
        <row r="54">
          <cell r="B54" t="str">
            <v>VEH19</v>
          </cell>
          <cell r="D54">
            <v>244</v>
          </cell>
          <cell r="E54" t="str">
            <v>TT E COMERCIAIS DE 2601KG A 3500KG</v>
          </cell>
        </row>
        <row r="55">
          <cell r="B55" t="str">
            <v>VEH20</v>
          </cell>
          <cell r="C55" t="str">
            <v>S - Interchangeable towed equipment</v>
          </cell>
          <cell r="D55">
            <v>33</v>
          </cell>
          <cell r="E55" t="str">
            <v>AUTOBETONEIRAS</v>
          </cell>
        </row>
        <row r="56">
          <cell r="B56" t="str">
            <v>VEH20</v>
          </cell>
          <cell r="D56">
            <v>210</v>
          </cell>
          <cell r="E56" t="str">
            <v>AUTOBETONEIRA</v>
          </cell>
        </row>
        <row r="57">
          <cell r="B57" t="str">
            <v>VEH20</v>
          </cell>
          <cell r="D57">
            <v>222</v>
          </cell>
          <cell r="E57" t="str">
            <v>PERFURADORA</v>
          </cell>
        </row>
        <row r="58">
          <cell r="B58" t="str">
            <v>VEH20</v>
          </cell>
          <cell r="D58">
            <v>223</v>
          </cell>
          <cell r="E58" t="str">
            <v>PLANTAFORMA ELEVATORIA</v>
          </cell>
        </row>
        <row r="59">
          <cell r="B59" t="str">
            <v>VEH20</v>
          </cell>
          <cell r="D59">
            <v>224</v>
          </cell>
          <cell r="E59" t="str">
            <v>PAVIMENTADORA</v>
          </cell>
        </row>
        <row r="60">
          <cell r="B60" t="str">
            <v>VEH21</v>
          </cell>
          <cell r="C60" t="str">
            <v>R - Agricultural trailer</v>
          </cell>
          <cell r="D60">
            <v>150</v>
          </cell>
          <cell r="E60" t="str">
            <v>PAS CARREGADORES,ESCAVADORES,RETROESCAVA</v>
          </cell>
        </row>
        <row r="61">
          <cell r="B61" t="str">
            <v>VEH21</v>
          </cell>
          <cell r="D61">
            <v>151</v>
          </cell>
          <cell r="E61" t="str">
            <v>TRACTOR,TRACTOR BASCULANTE,DUMPERS</v>
          </cell>
        </row>
        <row r="62">
          <cell r="B62" t="str">
            <v>VEH21</v>
          </cell>
          <cell r="D62">
            <v>215</v>
          </cell>
          <cell r="E62" t="str">
            <v>ESCAVADORA</v>
          </cell>
        </row>
        <row r="63">
          <cell r="B63" t="str">
            <v>VEH21</v>
          </cell>
          <cell r="D63">
            <v>220</v>
          </cell>
          <cell r="E63" t="str">
            <v>MOTONIVELADORA</v>
          </cell>
        </row>
        <row r="64">
          <cell r="B64" t="str">
            <v>VEH21</v>
          </cell>
          <cell r="D64">
            <v>221</v>
          </cell>
          <cell r="E64" t="str">
            <v>PA CARREGADORA</v>
          </cell>
        </row>
        <row r="65">
          <cell r="B65" t="str">
            <v>VEH21</v>
          </cell>
          <cell r="D65">
            <v>226</v>
          </cell>
          <cell r="E65" t="str">
            <v>TRACTOR INDUSTRIAL</v>
          </cell>
        </row>
        <row r="66">
          <cell r="B66" t="str">
            <v>VEH21</v>
          </cell>
          <cell r="D66">
            <v>704</v>
          </cell>
          <cell r="E66" t="str">
            <v>Veículos que não circulam na via pública</v>
          </cell>
        </row>
        <row r="67">
          <cell r="B67" t="str">
            <v>N/A</v>
          </cell>
          <cell r="C67" t="str">
            <v>Não Aplicável</v>
          </cell>
          <cell r="D67">
            <v>110</v>
          </cell>
          <cell r="E67" t="str">
            <v>FERROVIÁRIO</v>
          </cell>
        </row>
        <row r="68">
          <cell r="B68" t="str">
            <v>N/A</v>
          </cell>
          <cell r="D68">
            <v>120</v>
          </cell>
          <cell r="E68" t="str">
            <v>MARITIMO</v>
          </cell>
        </row>
        <row r="69">
          <cell r="B69" t="str">
            <v>N/A</v>
          </cell>
          <cell r="D69">
            <v>121</v>
          </cell>
          <cell r="E69" t="str">
            <v>EMBARCACOES</v>
          </cell>
        </row>
        <row r="70">
          <cell r="B70" t="str">
            <v>N/A</v>
          </cell>
          <cell r="D70">
            <v>122</v>
          </cell>
          <cell r="E70" t="str">
            <v>NAVIOS</v>
          </cell>
        </row>
        <row r="71">
          <cell r="B71" t="str">
            <v>N/A</v>
          </cell>
          <cell r="D71">
            <v>130</v>
          </cell>
          <cell r="E71" t="str">
            <v>AEREO</v>
          </cell>
        </row>
        <row r="72">
          <cell r="B72" t="str">
            <v>N/A</v>
          </cell>
          <cell r="D72">
            <v>131</v>
          </cell>
          <cell r="E72" t="str">
            <v>AVIÕES</v>
          </cell>
        </row>
        <row r="73">
          <cell r="B73" t="str">
            <v>N/A</v>
          </cell>
          <cell r="D73">
            <v>132</v>
          </cell>
          <cell r="E73" t="str">
            <v>HELICOPTEROS</v>
          </cell>
        </row>
        <row r="74">
          <cell r="B74" t="str">
            <v>N/A</v>
          </cell>
          <cell r="D74">
            <v>133</v>
          </cell>
          <cell r="E74" t="str">
            <v>ULTRALEVES</v>
          </cell>
        </row>
        <row r="75">
          <cell r="B75" t="str">
            <v>N/A</v>
          </cell>
          <cell r="D75">
            <v>134</v>
          </cell>
          <cell r="E75" t="str">
            <v>AERONAVES</v>
          </cell>
        </row>
        <row r="76">
          <cell r="B76" t="str">
            <v>N/A</v>
          </cell>
          <cell r="D76">
            <v>718</v>
          </cell>
          <cell r="E76" t="str">
            <v>EMBARCACIONES O AERONAVES</v>
          </cell>
        </row>
        <row r="77">
          <cell r="B77" t="str">
            <v>N/A</v>
          </cell>
          <cell r="D77">
            <v>10</v>
          </cell>
          <cell r="E77" t="str">
            <v>EQUIPAMENTO P/ AGRICULTURA E PESCA</v>
          </cell>
        </row>
        <row r="78">
          <cell r="B78" t="str">
            <v>N/A</v>
          </cell>
          <cell r="D78">
            <v>11</v>
          </cell>
          <cell r="E78" t="str">
            <v>SEMEAR E TRATAR</v>
          </cell>
        </row>
        <row r="79">
          <cell r="B79" t="str">
            <v>N/A</v>
          </cell>
          <cell r="D79">
            <v>12</v>
          </cell>
          <cell r="E79" t="str">
            <v>COLHEITA</v>
          </cell>
        </row>
        <row r="80">
          <cell r="B80" t="str">
            <v>N/A</v>
          </cell>
          <cell r="D80">
            <v>13</v>
          </cell>
          <cell r="E80" t="str">
            <v>REGA</v>
          </cell>
        </row>
        <row r="81">
          <cell r="B81" t="str">
            <v>N/A</v>
          </cell>
          <cell r="D81">
            <v>17</v>
          </cell>
          <cell r="E81" t="str">
            <v>MAQ. IND. ALIMENTAR (S/SEGURO)</v>
          </cell>
        </row>
        <row r="82">
          <cell r="B82" t="str">
            <v>N/A</v>
          </cell>
          <cell r="D82">
            <v>18</v>
          </cell>
          <cell r="E82" t="str">
            <v>PESCA</v>
          </cell>
        </row>
        <row r="83">
          <cell r="B83" t="str">
            <v>N/A</v>
          </cell>
          <cell r="D83">
            <v>19</v>
          </cell>
          <cell r="E83" t="str">
            <v>INST. HIDRAULICAS E DE TRATAMENTO AGUAS</v>
          </cell>
        </row>
        <row r="84">
          <cell r="B84" t="str">
            <v>N/A</v>
          </cell>
          <cell r="D84">
            <v>20</v>
          </cell>
          <cell r="E84" t="str">
            <v>EQUIPAMENTO P/ INDUSTRIA TRANSFORMADORA</v>
          </cell>
        </row>
        <row r="85">
          <cell r="B85" t="str">
            <v>N/A</v>
          </cell>
          <cell r="D85">
            <v>21</v>
          </cell>
          <cell r="E85" t="str">
            <v>MAQ. IND. ALIMENTAR</v>
          </cell>
        </row>
        <row r="86">
          <cell r="B86" t="str">
            <v>N/A</v>
          </cell>
          <cell r="D86">
            <v>22</v>
          </cell>
          <cell r="E86" t="str">
            <v>MAQ. IND. TEXTIL, COURO E CALCADO</v>
          </cell>
        </row>
        <row r="87">
          <cell r="B87" t="str">
            <v>N/A</v>
          </cell>
          <cell r="D87">
            <v>23</v>
          </cell>
          <cell r="E87" t="str">
            <v>MAQ. IND. MADEIRA E CORTICA</v>
          </cell>
        </row>
        <row r="88">
          <cell r="B88" t="str">
            <v>N/A</v>
          </cell>
          <cell r="D88">
            <v>24</v>
          </cell>
          <cell r="E88" t="str">
            <v>MAQ. IND. PAPEL, CARTAO E ARTES GRAFICA</v>
          </cell>
        </row>
        <row r="89">
          <cell r="B89" t="str">
            <v>N/A</v>
          </cell>
          <cell r="D89">
            <v>25</v>
          </cell>
          <cell r="E89" t="str">
            <v>CERAMICA E VIDRO</v>
          </cell>
        </row>
        <row r="90">
          <cell r="B90" t="str">
            <v>N/A</v>
          </cell>
          <cell r="D90">
            <v>26</v>
          </cell>
          <cell r="E90" t="str">
            <v>MAQ. IND. QUIMICA</v>
          </cell>
        </row>
        <row r="91">
          <cell r="B91" t="str">
            <v>N/A</v>
          </cell>
          <cell r="D91">
            <v>27</v>
          </cell>
          <cell r="E91" t="str">
            <v>BORRACHA</v>
          </cell>
        </row>
        <row r="92">
          <cell r="B92" t="str">
            <v>N/A</v>
          </cell>
          <cell r="D92">
            <v>28</v>
          </cell>
          <cell r="E92" t="str">
            <v>MAQ. IND. ROCHAS, CERAMICA E INERTES MIN</v>
          </cell>
        </row>
        <row r="93">
          <cell r="B93" t="str">
            <v>N/A</v>
          </cell>
          <cell r="D93">
            <v>29</v>
          </cell>
          <cell r="E93" t="str">
            <v>MAQ. IND. METALOMECANICA</v>
          </cell>
        </row>
        <row r="94">
          <cell r="B94" t="str">
            <v>N/A</v>
          </cell>
          <cell r="D94">
            <v>30</v>
          </cell>
          <cell r="E94" t="str">
            <v>EQUIPAMENTO PARA CONSTRUCAO CIVIL</v>
          </cell>
        </row>
        <row r="95">
          <cell r="B95" t="str">
            <v>N/A</v>
          </cell>
          <cell r="D95">
            <v>31</v>
          </cell>
          <cell r="E95" t="str">
            <v>EQUIPAMENTO ESCAVACAO E TERRAPLANAGEM</v>
          </cell>
        </row>
        <row r="96">
          <cell r="B96" t="str">
            <v>N/A</v>
          </cell>
          <cell r="D96">
            <v>32</v>
          </cell>
          <cell r="E96" t="str">
            <v>EQUIPAMENTO DE ELEVACAO E TRANSPORTE</v>
          </cell>
        </row>
        <row r="97">
          <cell r="B97" t="str">
            <v>N/A</v>
          </cell>
          <cell r="D97">
            <v>34</v>
          </cell>
          <cell r="E97" t="str">
            <v>EQUIPAMENTO DE MOVIMENTACAO E ARMAZENAGE</v>
          </cell>
        </row>
        <row r="98">
          <cell r="B98" t="str">
            <v>N/A</v>
          </cell>
          <cell r="D98">
            <v>39</v>
          </cell>
          <cell r="E98" t="str">
            <v>OUTROS EQUIP. PARA A CONSTRUCAO CIVIL</v>
          </cell>
        </row>
        <row r="99">
          <cell r="B99" t="str">
            <v>N/A</v>
          </cell>
          <cell r="D99">
            <v>40</v>
          </cell>
          <cell r="E99" t="str">
            <v>EQUIPAMENTO DE COMERCIO E SERVICOS</v>
          </cell>
        </row>
        <row r="100">
          <cell r="B100" t="str">
            <v>N/A</v>
          </cell>
          <cell r="D100">
            <v>41</v>
          </cell>
          <cell r="E100" t="str">
            <v>RESTAURAÇÃO</v>
          </cell>
        </row>
        <row r="101">
          <cell r="B101" t="str">
            <v>N/A</v>
          </cell>
          <cell r="D101">
            <v>42</v>
          </cell>
          <cell r="E101" t="str">
            <v>HOTELARIA</v>
          </cell>
        </row>
        <row r="102">
          <cell r="B102" t="str">
            <v>N/A</v>
          </cell>
          <cell r="D102">
            <v>43</v>
          </cell>
          <cell r="E102" t="str">
            <v>LAVANDARIAS</v>
          </cell>
        </row>
        <row r="103">
          <cell r="B103" t="str">
            <v>N/A</v>
          </cell>
          <cell r="D103">
            <v>49</v>
          </cell>
          <cell r="E103" t="str">
            <v>OUTROS EQUIPAMENTOS</v>
          </cell>
        </row>
        <row r="104">
          <cell r="B104" t="str">
            <v>N/A</v>
          </cell>
          <cell r="D104">
            <v>50</v>
          </cell>
          <cell r="E104" t="str">
            <v>EQUIPAMENTO ESCRITÓRIO E INFORMÁTICO</v>
          </cell>
        </row>
        <row r="105">
          <cell r="B105" t="str">
            <v>N/A</v>
          </cell>
          <cell r="D105">
            <v>51</v>
          </cell>
          <cell r="E105" t="str">
            <v>INFORMÁTICA</v>
          </cell>
        </row>
        <row r="106">
          <cell r="B106" t="str">
            <v>N/A</v>
          </cell>
          <cell r="D106">
            <v>52</v>
          </cell>
          <cell r="E106" t="str">
            <v>MOBILIÁRIO</v>
          </cell>
        </row>
        <row r="107">
          <cell r="B107" t="str">
            <v>N/A</v>
          </cell>
          <cell r="D107">
            <v>53</v>
          </cell>
          <cell r="E107" t="str">
            <v>FOTOCOPIADORAS</v>
          </cell>
        </row>
        <row r="108">
          <cell r="B108" t="str">
            <v>N/A</v>
          </cell>
          <cell r="D108">
            <v>54</v>
          </cell>
          <cell r="E108" t="str">
            <v>CENTRAIS TELEFÓNICAS E DE COMUNICAÇÃO</v>
          </cell>
        </row>
        <row r="109">
          <cell r="B109" t="str">
            <v>N/A</v>
          </cell>
          <cell r="D109">
            <v>55</v>
          </cell>
          <cell r="E109" t="str">
            <v>AR CONDICIONADO</v>
          </cell>
        </row>
        <row r="110">
          <cell r="B110" t="str">
            <v>N/A</v>
          </cell>
          <cell r="D110">
            <v>57</v>
          </cell>
          <cell r="E110" t="str">
            <v>EQUIPAMENTO FIXO - EDUCAÇÃO</v>
          </cell>
        </row>
        <row r="111">
          <cell r="B111" t="str">
            <v>N/A</v>
          </cell>
          <cell r="D111">
            <v>58</v>
          </cell>
          <cell r="E111" t="str">
            <v>EQUIPAMENTO ELECTRÓNICO EDUCAÇÃO</v>
          </cell>
        </row>
        <row r="112">
          <cell r="B112" t="str">
            <v>N/A</v>
          </cell>
          <cell r="D112">
            <v>59</v>
          </cell>
          <cell r="E112" t="str">
            <v>OUTROS EQUIPAMENTOS ELECTRÓNICOS</v>
          </cell>
        </row>
        <row r="113">
          <cell r="B113" t="str">
            <v>N/A</v>
          </cell>
          <cell r="D113">
            <v>60</v>
          </cell>
          <cell r="E113" t="str">
            <v>EQUIPAMENTO SERVIÇOS DE SAUDE</v>
          </cell>
        </row>
        <row r="114">
          <cell r="B114" t="str">
            <v>N/A</v>
          </cell>
          <cell r="D114">
            <v>61</v>
          </cell>
          <cell r="E114" t="str">
            <v>LABORATÓRIOS</v>
          </cell>
        </row>
        <row r="115">
          <cell r="B115" t="str">
            <v>N/A</v>
          </cell>
          <cell r="D115">
            <v>62</v>
          </cell>
          <cell r="E115" t="str">
            <v>EQUIPAMENTO ELECTRONICO DE MEDICINA</v>
          </cell>
        </row>
        <row r="116">
          <cell r="B116" t="str">
            <v>N/A</v>
          </cell>
          <cell r="D116">
            <v>69</v>
          </cell>
          <cell r="E116" t="str">
            <v>OUTROS EQUIPAMENTOS</v>
          </cell>
        </row>
        <row r="117">
          <cell r="B117" t="str">
            <v>N/A</v>
          </cell>
          <cell r="D117">
            <v>70</v>
          </cell>
          <cell r="E117" t="str">
            <v>EQUIPAMENTOS DIVERSOS</v>
          </cell>
        </row>
        <row r="118">
          <cell r="B118" t="str">
            <v>N/A</v>
          </cell>
          <cell r="D118">
            <v>71</v>
          </cell>
          <cell r="E118" t="str">
            <v>SERVIÇOS AUTO</v>
          </cell>
        </row>
        <row r="119">
          <cell r="B119" t="str">
            <v>N/A</v>
          </cell>
          <cell r="D119">
            <v>72</v>
          </cell>
          <cell r="E119" t="str">
            <v>TELEMÓVEIS</v>
          </cell>
        </row>
        <row r="120">
          <cell r="B120" t="str">
            <v>N/A</v>
          </cell>
          <cell r="D120">
            <v>73</v>
          </cell>
          <cell r="E120" t="str">
            <v>GRUAS</v>
          </cell>
        </row>
        <row r="121">
          <cell r="B121" t="str">
            <v>N/A</v>
          </cell>
          <cell r="D121">
            <v>74</v>
          </cell>
          <cell r="E121" t="str">
            <v>FOTOGRAFIA</v>
          </cell>
        </row>
        <row r="122">
          <cell r="B122" t="str">
            <v>N/A</v>
          </cell>
          <cell r="D122">
            <v>79</v>
          </cell>
          <cell r="E122" t="str">
            <v>OUTROS EQUIPAMENTOS</v>
          </cell>
        </row>
        <row r="123">
          <cell r="B123" t="str">
            <v>N/A</v>
          </cell>
          <cell r="D123">
            <v>100</v>
          </cell>
          <cell r="E123" t="str">
            <v>EQUIPAMENTOS DE TRANSPORTE</v>
          </cell>
        </row>
        <row r="124">
          <cell r="B124" t="str">
            <v>N/A</v>
          </cell>
          <cell r="D124">
            <v>153</v>
          </cell>
          <cell r="E124" t="str">
            <v>MULTIRISCOS COMÉRCIO-EDIFICIO ATÉ 25 ANO</v>
          </cell>
        </row>
        <row r="125">
          <cell r="B125" t="str">
            <v>N/A</v>
          </cell>
          <cell r="D125">
            <v>154</v>
          </cell>
          <cell r="E125" t="str">
            <v>MULTIRISCOS COMÉRCIO-EDIFICIO 25-50 ANOS</v>
          </cell>
        </row>
        <row r="126">
          <cell r="B126" t="str">
            <v>N/A</v>
          </cell>
          <cell r="D126">
            <v>155</v>
          </cell>
          <cell r="E126" t="str">
            <v>MULTIRISCOS COMÉRCIO-EDIFICIO + 50 ANOS</v>
          </cell>
        </row>
        <row r="127">
          <cell r="B127" t="str">
            <v>N/A</v>
          </cell>
          <cell r="D127">
            <v>199</v>
          </cell>
          <cell r="E127" t="str">
            <v>EQUIPAMENTOS BANCO EFISA</v>
          </cell>
        </row>
        <row r="128">
          <cell r="B128" t="str">
            <v>N/A</v>
          </cell>
          <cell r="D128">
            <v>200</v>
          </cell>
          <cell r="E128" t="str">
            <v>INSTALAÇÕES</v>
          </cell>
        </row>
        <row r="129">
          <cell r="B129" t="str">
            <v>N/A</v>
          </cell>
          <cell r="D129">
            <v>201</v>
          </cell>
          <cell r="E129" t="str">
            <v>EQUIPAMENTO ANTI-POLUICAO</v>
          </cell>
        </row>
        <row r="130">
          <cell r="B130" t="str">
            <v>N/A</v>
          </cell>
          <cell r="D130">
            <v>202</v>
          </cell>
          <cell r="E130" t="str">
            <v>CAIXA FRIGORIFICA</v>
          </cell>
        </row>
        <row r="131">
          <cell r="B131" t="str">
            <v>N/A</v>
          </cell>
          <cell r="D131">
            <v>204</v>
          </cell>
          <cell r="E131" t="str">
            <v>ESTRUTURAS DE CONST CIVIL</v>
          </cell>
        </row>
        <row r="132">
          <cell r="B132" t="str">
            <v>N/A</v>
          </cell>
          <cell r="D132">
            <v>205</v>
          </cell>
          <cell r="E132" t="str">
            <v>TELEMOVEIS</v>
          </cell>
        </row>
        <row r="133">
          <cell r="B133" t="str">
            <v>N/A</v>
          </cell>
          <cell r="D133">
            <v>217</v>
          </cell>
          <cell r="E133" t="str">
            <v>GRUPO COMPRESSOR</v>
          </cell>
        </row>
        <row r="134">
          <cell r="B134" t="str">
            <v>N/A</v>
          </cell>
          <cell r="D134">
            <v>218</v>
          </cell>
          <cell r="E134" t="str">
            <v>GRUPO GERADOR</v>
          </cell>
        </row>
        <row r="135">
          <cell r="B135" t="str">
            <v>N/A</v>
          </cell>
          <cell r="D135">
            <v>219</v>
          </cell>
          <cell r="E135" t="str">
            <v>MARCADOR DE RODOVIA</v>
          </cell>
        </row>
        <row r="136">
          <cell r="B136" t="str">
            <v>N/A</v>
          </cell>
          <cell r="D136">
            <v>300</v>
          </cell>
          <cell r="E136" t="str">
            <v>MOBILIARIO DE COZINHA</v>
          </cell>
        </row>
        <row r="137">
          <cell r="B137" t="str">
            <v>N/A</v>
          </cell>
          <cell r="D137">
            <v>305</v>
          </cell>
          <cell r="E137" t="str">
            <v>COLCHOES</v>
          </cell>
        </row>
        <row r="138">
          <cell r="B138" t="str">
            <v>N/A</v>
          </cell>
          <cell r="D138">
            <v>310</v>
          </cell>
          <cell r="E138" t="str">
            <v>DECORACAO</v>
          </cell>
        </row>
        <row r="139">
          <cell r="B139" t="str">
            <v>N/A</v>
          </cell>
          <cell r="D139">
            <v>315</v>
          </cell>
          <cell r="E139" t="str">
            <v>EQUIP. TRANSMISSAO</v>
          </cell>
        </row>
        <row r="140">
          <cell r="B140" t="str">
            <v>N/A</v>
          </cell>
          <cell r="D140">
            <v>320</v>
          </cell>
          <cell r="E140" t="str">
            <v>OUTROS EQUIPAMENTOS MOVEIS (S/RESP.CIVIL</v>
          </cell>
        </row>
        <row r="141">
          <cell r="B141" t="str">
            <v>N/A</v>
          </cell>
          <cell r="D141">
            <v>325</v>
          </cell>
          <cell r="E141" t="str">
            <v>OUTROS EQUIPAMENTOS</v>
          </cell>
        </row>
        <row r="142">
          <cell r="B142" t="str">
            <v>N/A</v>
          </cell>
          <cell r="D142">
            <v>330</v>
          </cell>
          <cell r="E142" t="str">
            <v>LAZER/DIVERSOES</v>
          </cell>
        </row>
        <row r="143">
          <cell r="B143" t="str">
            <v>N/A</v>
          </cell>
          <cell r="D143">
            <v>335</v>
          </cell>
          <cell r="E143" t="str">
            <v>VIAGENS</v>
          </cell>
        </row>
        <row r="144">
          <cell r="B144" t="str">
            <v>N/A</v>
          </cell>
          <cell r="D144">
            <v>340</v>
          </cell>
          <cell r="E144" t="str">
            <v>BRINQUEDOS</v>
          </cell>
        </row>
        <row r="145">
          <cell r="B145" t="str">
            <v>N/A</v>
          </cell>
          <cell r="D145">
            <v>345</v>
          </cell>
          <cell r="E145" t="str">
            <v>OURIVESARIA</v>
          </cell>
        </row>
        <row r="146">
          <cell r="B146" t="str">
            <v>N/A</v>
          </cell>
          <cell r="D146">
            <v>350</v>
          </cell>
          <cell r="E146" t="str">
            <v>RELOJARIA</v>
          </cell>
        </row>
        <row r="147">
          <cell r="B147" t="str">
            <v>N/A</v>
          </cell>
          <cell r="D147">
            <v>355</v>
          </cell>
          <cell r="E147" t="str">
            <v>VESTUARIO</v>
          </cell>
        </row>
        <row r="148">
          <cell r="B148" t="str">
            <v>N/A</v>
          </cell>
          <cell r="D148">
            <v>360</v>
          </cell>
          <cell r="E148" t="str">
            <v>EQUIPAMENTO PARA SERVIÇOS AUTO</v>
          </cell>
        </row>
        <row r="149">
          <cell r="B149" t="str">
            <v>N/A</v>
          </cell>
          <cell r="D149">
            <v>365</v>
          </cell>
          <cell r="E149" t="str">
            <v>OUTROS EQUIPAMENTOS</v>
          </cell>
        </row>
        <row r="150">
          <cell r="B150" t="str">
            <v>N/A</v>
          </cell>
          <cell r="D150">
            <v>370</v>
          </cell>
          <cell r="E150" t="str">
            <v>ELECTRODOMESTICOS</v>
          </cell>
        </row>
        <row r="151">
          <cell r="B151" t="str">
            <v>N/A</v>
          </cell>
          <cell r="D151">
            <v>375</v>
          </cell>
          <cell r="E151" t="str">
            <v>ELECTRODOMESTICOS - LINHA CASTANHA</v>
          </cell>
        </row>
        <row r="152">
          <cell r="B152" t="str">
            <v>N/A</v>
          </cell>
          <cell r="D152">
            <v>380</v>
          </cell>
          <cell r="E152" t="str">
            <v>INSTRUMENTOS MUSICAIS</v>
          </cell>
        </row>
        <row r="153">
          <cell r="B153" t="str">
            <v>N/A</v>
          </cell>
          <cell r="D153">
            <v>385</v>
          </cell>
          <cell r="E153" t="str">
            <v>MAQUINAS NAO ESPECIFICADAS (MAQ. FIXAS)</v>
          </cell>
        </row>
        <row r="154">
          <cell r="B154" t="str">
            <v>N/A</v>
          </cell>
          <cell r="D154">
            <v>390</v>
          </cell>
          <cell r="E154" t="str">
            <v>EQUIPAMENTO DIVERSO (ELECTRONICO)</v>
          </cell>
        </row>
        <row r="155">
          <cell r="B155" t="str">
            <v>N/A</v>
          </cell>
          <cell r="D155">
            <v>391</v>
          </cell>
          <cell r="E155" t="str">
            <v>EQUIPAMENTO ELECTRONICO - POS</v>
          </cell>
        </row>
        <row r="156">
          <cell r="B156" t="str">
            <v>N/A</v>
          </cell>
          <cell r="D156">
            <v>395</v>
          </cell>
          <cell r="E156" t="str">
            <v>MATERIAL FOTOGRAFICO</v>
          </cell>
        </row>
        <row r="157">
          <cell r="B157" t="str">
            <v>N/A</v>
          </cell>
          <cell r="D157">
            <v>400</v>
          </cell>
          <cell r="E157" t="str">
            <v>EQUIPAMENTO DIVERSO (MULTIRISCOS)</v>
          </cell>
        </row>
        <row r="158">
          <cell r="B158" t="str">
            <v>N/A</v>
          </cell>
          <cell r="D158">
            <v>405</v>
          </cell>
          <cell r="E158" t="str">
            <v>EQUIPAMENTOS TERMICOS</v>
          </cell>
        </row>
        <row r="159">
          <cell r="B159" t="str">
            <v>N/A</v>
          </cell>
          <cell r="D159">
            <v>410</v>
          </cell>
          <cell r="E159" t="str">
            <v>EQUIPAMENTOS FOTOVOLTAICOS</v>
          </cell>
        </row>
        <row r="160">
          <cell r="B160" t="str">
            <v>N/A</v>
          </cell>
          <cell r="D160">
            <v>415</v>
          </cell>
          <cell r="E160" t="str">
            <v>MICROGERACAO EOLICO</v>
          </cell>
        </row>
        <row r="161">
          <cell r="B161" t="str">
            <v>N/A</v>
          </cell>
          <cell r="D161">
            <v>420</v>
          </cell>
          <cell r="E161" t="str">
            <v>OUTRAS ENERGIAS RENOVAVEIS</v>
          </cell>
        </row>
        <row r="162">
          <cell r="B162" t="str">
            <v>N/A</v>
          </cell>
          <cell r="D162">
            <v>500</v>
          </cell>
          <cell r="E162" t="str">
            <v>COFRES DE ALUGUER - ATE 20 DM3</v>
          </cell>
        </row>
        <row r="163">
          <cell r="B163" t="str">
            <v>N/A</v>
          </cell>
          <cell r="D163">
            <v>505</v>
          </cell>
          <cell r="E163" t="str">
            <v>COFRES DE ALUGUER - ATE 20 DM3</v>
          </cell>
        </row>
        <row r="164">
          <cell r="B164" t="str">
            <v>N/A</v>
          </cell>
          <cell r="D164">
            <v>510</v>
          </cell>
          <cell r="E164" t="str">
            <v>COFRES DE ALUGUER - DE 21 A 30 DM3</v>
          </cell>
        </row>
        <row r="165">
          <cell r="B165" t="str">
            <v>N/A</v>
          </cell>
          <cell r="D165">
            <v>515</v>
          </cell>
          <cell r="E165" t="str">
            <v>COFRES DE ALUGUER - DE 31 A 75 DM3</v>
          </cell>
        </row>
        <row r="166">
          <cell r="B166" t="str">
            <v>N/A</v>
          </cell>
          <cell r="D166">
            <v>520</v>
          </cell>
          <cell r="E166" t="str">
            <v>COFRES DE ALUGUER - DE 31 A 75 DM3</v>
          </cell>
        </row>
        <row r="167">
          <cell r="B167" t="str">
            <v>N/A</v>
          </cell>
          <cell r="D167">
            <v>525</v>
          </cell>
          <cell r="E167" t="str">
            <v>COFRES DE ALUGUER - DE 31 A 75 DM3</v>
          </cell>
        </row>
        <row r="168">
          <cell r="B168" t="str">
            <v>N/A</v>
          </cell>
          <cell r="D168">
            <v>530</v>
          </cell>
          <cell r="E168" t="str">
            <v>COFRES DE ALUGUER - DE 76 A 130 DM3</v>
          </cell>
        </row>
        <row r="169">
          <cell r="B169" t="str">
            <v>N/A</v>
          </cell>
          <cell r="D169">
            <v>535</v>
          </cell>
          <cell r="E169" t="str">
            <v>COFRES DE ALUGUER - DE 76 A 130 DM3</v>
          </cell>
        </row>
        <row r="170">
          <cell r="B170" t="str">
            <v>N/A</v>
          </cell>
          <cell r="D170">
            <v>540</v>
          </cell>
          <cell r="E170" t="str">
            <v>COFRES DE ALUGUER - SUPERIOR A 130 DM3</v>
          </cell>
        </row>
        <row r="171">
          <cell r="B171" t="str">
            <v>N/A</v>
          </cell>
          <cell r="D171">
            <v>545</v>
          </cell>
          <cell r="E171" t="str">
            <v>COFRES DE ALUGUER - SUPERIOR A 130 DM3</v>
          </cell>
        </row>
        <row r="172">
          <cell r="B172" t="str">
            <v>N/A</v>
          </cell>
          <cell r="D172">
            <v>550</v>
          </cell>
          <cell r="E172" t="str">
            <v>COFRES DE ALUGUER - SUPERIOR A 130 DM3</v>
          </cell>
        </row>
        <row r="173">
          <cell r="B173" t="str">
            <v>N/A</v>
          </cell>
          <cell r="D173">
            <v>555</v>
          </cell>
          <cell r="E173" t="str">
            <v>COFRES DE ALUGUER - SUPERIOR A 130 DM3</v>
          </cell>
        </row>
        <row r="174">
          <cell r="B174" t="str">
            <v>N/A</v>
          </cell>
          <cell r="D174">
            <v>560</v>
          </cell>
          <cell r="E174" t="str">
            <v>COFRES DE ALUGUER - SUPERIOR A 130 DM3</v>
          </cell>
        </row>
        <row r="175">
          <cell r="B175" t="str">
            <v>N/A</v>
          </cell>
          <cell r="D175">
            <v>565</v>
          </cell>
          <cell r="E175" t="str">
            <v>COFRES DE ALUGUER - SUPERIOR A 130 DM3</v>
          </cell>
        </row>
        <row r="176">
          <cell r="B176" t="str">
            <v>N/A</v>
          </cell>
          <cell r="D176">
            <v>570</v>
          </cell>
          <cell r="E176" t="str">
            <v>COFRES DE ALUGUER - SUPERIOR A 130 DM3</v>
          </cell>
        </row>
        <row r="177">
          <cell r="B177" t="str">
            <v>N/A</v>
          </cell>
          <cell r="D177">
            <v>600</v>
          </cell>
          <cell r="E177" t="str">
            <v>CM 24/B - RECICLADOR NOTAS</v>
          </cell>
        </row>
        <row r="178">
          <cell r="B178" t="str">
            <v>N/A</v>
          </cell>
          <cell r="D178">
            <v>601</v>
          </cell>
          <cell r="E178" t="str">
            <v>CM 24 - RECICLADOR NOTAS</v>
          </cell>
        </row>
        <row r="179">
          <cell r="B179" t="str">
            <v>N/A</v>
          </cell>
          <cell r="D179">
            <v>602</v>
          </cell>
          <cell r="E179" t="str">
            <v>CM 18 - RECICLADOR NOTAS</v>
          </cell>
        </row>
        <row r="180">
          <cell r="B180" t="str">
            <v>N/A</v>
          </cell>
          <cell r="D180">
            <v>603</v>
          </cell>
          <cell r="E180" t="str">
            <v>CM 14 - RECICLADOR NOTAS</v>
          </cell>
        </row>
        <row r="181">
          <cell r="B181" t="str">
            <v>N/A</v>
          </cell>
          <cell r="D181">
            <v>604</v>
          </cell>
          <cell r="E181" t="str">
            <v>SID - MOD.DEPOSITO NOTAS</v>
          </cell>
        </row>
        <row r="182">
          <cell r="B182" t="str">
            <v>N/A</v>
          </cell>
          <cell r="D182">
            <v>605</v>
          </cell>
          <cell r="E182" t="str">
            <v>DIMO - DISPENSADOR MOEDAS</v>
          </cell>
        </row>
        <row r="183">
          <cell r="B183" t="str">
            <v>N/A</v>
          </cell>
          <cell r="D183">
            <v>606</v>
          </cell>
          <cell r="E183" t="str">
            <v>DIMO-LIGHT - DISPENSADOR MOEDAS</v>
          </cell>
        </row>
        <row r="184">
          <cell r="B184" t="str">
            <v>N/A</v>
          </cell>
          <cell r="D184">
            <v>607</v>
          </cell>
          <cell r="E184" t="str">
            <v>CONTA - MOD.DEPOSITO MOEDAS</v>
          </cell>
        </row>
        <row r="185">
          <cell r="B185" t="str">
            <v>N/A</v>
          </cell>
          <cell r="D185">
            <v>608</v>
          </cell>
          <cell r="E185" t="str">
            <v>MINI-CONTA - MOD.DEPOSITO MOEDAS</v>
          </cell>
        </row>
        <row r="186">
          <cell r="B186" t="str">
            <v>N/A</v>
          </cell>
          <cell r="D186">
            <v>609</v>
          </cell>
          <cell r="E186" t="str">
            <v>DIBI - MOD.DEPOSITO NOTAS</v>
          </cell>
        </row>
        <row r="187">
          <cell r="B187" t="str">
            <v>N/A</v>
          </cell>
          <cell r="D187">
            <v>610</v>
          </cell>
          <cell r="E187" t="str">
            <v>PC - COMPUTADOR</v>
          </cell>
        </row>
        <row r="188">
          <cell r="B188" t="str">
            <v>N/A</v>
          </cell>
          <cell r="D188">
            <v>611</v>
          </cell>
          <cell r="E188" t="str">
            <v>IMPR - IMPRESSORA</v>
          </cell>
        </row>
        <row r="189">
          <cell r="B189" t="str">
            <v>N/A</v>
          </cell>
          <cell r="D189">
            <v>612</v>
          </cell>
          <cell r="E189" t="str">
            <v>CCTV - CAMARA FILMAR</v>
          </cell>
        </row>
        <row r="190">
          <cell r="B190" t="str">
            <v>N/A</v>
          </cell>
          <cell r="D190">
            <v>613</v>
          </cell>
          <cell r="E190" t="str">
            <v>CTS LS100 - LEITOR DE CHEQUES</v>
          </cell>
        </row>
        <row r="191">
          <cell r="B191" t="str">
            <v>N/A</v>
          </cell>
          <cell r="D191">
            <v>700</v>
          </cell>
          <cell r="E191" t="str">
            <v>MÁQUINAS PARA OBRAS PÍBLICAS QUE CIRCULE</v>
          </cell>
        </row>
        <row r="192">
          <cell r="B192" t="str">
            <v>N/A</v>
          </cell>
          <cell r="D192">
            <v>701</v>
          </cell>
          <cell r="E192" t="str">
            <v>EQUIPAMENTOS PARA USO INDUSTRIAL</v>
          </cell>
        </row>
        <row r="193">
          <cell r="B193" t="str">
            <v>N/A</v>
          </cell>
          <cell r="D193">
            <v>702</v>
          </cell>
          <cell r="E193" t="str">
            <v>EQUIPAMENTOS PARA USO COMERCIAL</v>
          </cell>
        </row>
        <row r="194">
          <cell r="B194" t="str">
            <v>N/A</v>
          </cell>
          <cell r="D194">
            <v>703</v>
          </cell>
          <cell r="E194" t="str">
            <v>MÁQUINAS PARA USO COMERCIAL</v>
          </cell>
        </row>
        <row r="195">
          <cell r="B195" t="str">
            <v>N/A</v>
          </cell>
          <cell r="D195">
            <v>705</v>
          </cell>
          <cell r="E195" t="str">
            <v>IMPOSTO MUNICIPAL DE TRASMIõES</v>
          </cell>
        </row>
        <row r="196">
          <cell r="B196" t="str">
            <v>N/A</v>
          </cell>
          <cell r="D196">
            <v>706</v>
          </cell>
          <cell r="E196" t="str">
            <v>IMPOSTO DE SELO</v>
          </cell>
        </row>
        <row r="197">
          <cell r="B197" t="str">
            <v>N/A</v>
          </cell>
          <cell r="D197">
            <v>707</v>
          </cell>
          <cell r="E197" t="str">
            <v>FACT CONSTRU LEASING MOBIL EN CONSTRUCCI</v>
          </cell>
        </row>
        <row r="198">
          <cell r="B198" t="str">
            <v>N/A</v>
          </cell>
          <cell r="D198">
            <v>708</v>
          </cell>
          <cell r="E198" t="str">
            <v>EQUIPAMIENTO GENERAL DEL HOGAR</v>
          </cell>
        </row>
        <row r="199">
          <cell r="B199" t="str">
            <v>N/A</v>
          </cell>
          <cell r="D199">
            <v>709</v>
          </cell>
          <cell r="E199" t="str">
            <v>PISCINA</v>
          </cell>
        </row>
        <row r="200">
          <cell r="B200" t="str">
            <v>N/A</v>
          </cell>
          <cell r="D200">
            <v>710</v>
          </cell>
          <cell r="E200" t="str">
            <v>TURISMO</v>
          </cell>
        </row>
        <row r="201">
          <cell r="B201" t="str">
            <v>N/A</v>
          </cell>
          <cell r="D201">
            <v>711</v>
          </cell>
          <cell r="E201" t="str">
            <v>TURISMO COMERCIAL</v>
          </cell>
        </row>
        <row r="202">
          <cell r="B202" t="str">
            <v>N/A</v>
          </cell>
          <cell r="D202">
            <v>714</v>
          </cell>
          <cell r="E202" t="str">
            <v>VALOR MOBILIARIO, EN GENERAL</v>
          </cell>
        </row>
        <row r="203">
          <cell r="B203" t="str">
            <v>N/A</v>
          </cell>
          <cell r="D203">
            <v>715</v>
          </cell>
          <cell r="E203" t="str">
            <v>VALOR MOBILIARIO CON COTIZACION</v>
          </cell>
        </row>
        <row r="204">
          <cell r="B204" t="str">
            <v>N/A</v>
          </cell>
          <cell r="D204">
            <v>716</v>
          </cell>
          <cell r="E204" t="str">
            <v>VALOR MOBILIARIO SIN COTIZACION</v>
          </cell>
        </row>
        <row r="205">
          <cell r="B205" t="str">
            <v>N/A</v>
          </cell>
          <cell r="D205">
            <v>717</v>
          </cell>
          <cell r="E205" t="str">
            <v>PARTICIPACIONES EN SOCIEDADES/NEGOCIOS</v>
          </cell>
        </row>
        <row r="206">
          <cell r="B206" t="str">
            <v>N/A</v>
          </cell>
          <cell r="D206">
            <v>719</v>
          </cell>
          <cell r="E206" t="str">
            <v>FONDOS PÚBLICOS</v>
          </cell>
        </row>
        <row r="207">
          <cell r="B207" t="str">
            <v>N/A</v>
          </cell>
          <cell r="D207">
            <v>720</v>
          </cell>
          <cell r="E207" t="str">
            <v>EFECTO</v>
          </cell>
        </row>
        <row r="208">
          <cell r="B208" t="str">
            <v>N/A</v>
          </cell>
          <cell r="D208">
            <v>721</v>
          </cell>
          <cell r="E208" t="str">
            <v>FACTURA</v>
          </cell>
        </row>
        <row r="209">
          <cell r="B209" t="str">
            <v>N/A</v>
          </cell>
          <cell r="D209">
            <v>722</v>
          </cell>
          <cell r="E209" t="str">
            <v>CERTIFICACIONES DEL SECTOR PUBLICO</v>
          </cell>
        </row>
        <row r="210">
          <cell r="B210" t="str">
            <v>N/A</v>
          </cell>
          <cell r="D210">
            <v>723</v>
          </cell>
          <cell r="E210" t="str">
            <v>DEPOSITO A PLAZO EN ENTIDADES</v>
          </cell>
        </row>
        <row r="211">
          <cell r="B211" t="str">
            <v>N/A</v>
          </cell>
          <cell r="D211">
            <v>724</v>
          </cell>
          <cell r="E211" t="str">
            <v>DEPOSITO A LA VISTA EN ENTIDADES</v>
          </cell>
        </row>
        <row r="212">
          <cell r="B212" t="str">
            <v>N/A</v>
          </cell>
          <cell r="D212">
            <v>725</v>
          </cell>
          <cell r="E212" t="str">
            <v>FONDOS DE INVERSION</v>
          </cell>
        </row>
        <row r="213">
          <cell r="B213" t="str">
            <v>N/A</v>
          </cell>
          <cell r="D213">
            <v>726</v>
          </cell>
          <cell r="E213" t="str">
            <v>SALDOS DE CLIENTES (ACLARAR)</v>
          </cell>
        </row>
        <row r="214">
          <cell r="B214" t="str">
            <v>N/A</v>
          </cell>
          <cell r="D214">
            <v>727</v>
          </cell>
          <cell r="E214" t="str">
            <v>PLANES DE PENSIONES Y JUBILACION</v>
          </cell>
        </row>
        <row r="215">
          <cell r="B215" t="str">
            <v>N/A</v>
          </cell>
          <cell r="D215">
            <v>728</v>
          </cell>
          <cell r="E215" t="str">
            <v>SEGUROS DE AHORRO</v>
          </cell>
        </row>
        <row r="216">
          <cell r="B216" t="str">
            <v>N/A</v>
          </cell>
          <cell r="D216">
            <v>729</v>
          </cell>
          <cell r="E216" t="str">
            <v>COMBUSTIBLES</v>
          </cell>
        </row>
        <row r="217">
          <cell r="B217" t="str">
            <v>N/A</v>
          </cell>
          <cell r="D217">
            <v>730</v>
          </cell>
          <cell r="E217" t="str">
            <v>REPUESTOS</v>
          </cell>
        </row>
        <row r="218">
          <cell r="B218" t="str">
            <v>N/A</v>
          </cell>
          <cell r="D218">
            <v>731</v>
          </cell>
          <cell r="E218" t="str">
            <v>EMBALAJES</v>
          </cell>
        </row>
        <row r="219">
          <cell r="B219" t="str">
            <v>N/A</v>
          </cell>
          <cell r="D219">
            <v>732</v>
          </cell>
          <cell r="E219" t="str">
            <v>ENVASES</v>
          </cell>
        </row>
        <row r="220">
          <cell r="B220" t="str">
            <v>N/A</v>
          </cell>
          <cell r="D220">
            <v>733</v>
          </cell>
          <cell r="E220" t="str">
            <v>MATERIAL DE OFICINA</v>
          </cell>
        </row>
        <row r="221">
          <cell r="B221" t="str">
            <v>N/A</v>
          </cell>
          <cell r="D221">
            <v>734</v>
          </cell>
          <cell r="E221" t="str">
            <v>UTILLAJE</v>
          </cell>
        </row>
        <row r="222">
          <cell r="B222" t="str">
            <v>N/A</v>
          </cell>
          <cell r="D222">
            <v>735</v>
          </cell>
          <cell r="E222" t="str">
            <v>ACTIVOS INMATERIALES</v>
          </cell>
        </row>
        <row r="223">
          <cell r="B223" t="str">
            <v>N/A</v>
          </cell>
          <cell r="D223">
            <v>736</v>
          </cell>
          <cell r="E223" t="str">
            <v>EXISTENCIAS DE MATERIAS PRIMAS</v>
          </cell>
        </row>
        <row r="224">
          <cell r="B224" t="str">
            <v>N/A</v>
          </cell>
          <cell r="D224">
            <v>737</v>
          </cell>
          <cell r="E224" t="str">
            <v>EXISTENCIAS DE PRODUCTOS EN CURSO</v>
          </cell>
        </row>
        <row r="225">
          <cell r="B225" t="str">
            <v>N/A</v>
          </cell>
          <cell r="D225">
            <v>738</v>
          </cell>
          <cell r="E225" t="str">
            <v>EXISTENCIAS DE PRODUCTOS TERMINADOS</v>
          </cell>
        </row>
        <row r="226">
          <cell r="B226" t="str">
            <v>N/A</v>
          </cell>
          <cell r="D226">
            <v>739</v>
          </cell>
          <cell r="E226" t="str">
            <v>GANADO, EN GENERAL</v>
          </cell>
        </row>
        <row r="227">
          <cell r="B227" t="str">
            <v>N/A</v>
          </cell>
          <cell r="D227">
            <v>740</v>
          </cell>
          <cell r="E227" t="str">
            <v>JOYAS</v>
          </cell>
        </row>
        <row r="228">
          <cell r="B228" t="str">
            <v>N/A</v>
          </cell>
          <cell r="D228">
            <v>741</v>
          </cell>
          <cell r="E228" t="str">
            <v>OBJETOS ARTISTICOS</v>
          </cell>
        </row>
        <row r="229">
          <cell r="B229" t="str">
            <v>N/A</v>
          </cell>
          <cell r="D229">
            <v>742</v>
          </cell>
          <cell r="E229" t="str">
            <v>ANTIGUIEDADES</v>
          </cell>
        </row>
        <row r="230">
          <cell r="B230" t="str">
            <v>N/A</v>
          </cell>
          <cell r="D230">
            <v>743</v>
          </cell>
          <cell r="E230" t="str">
            <v>VIAJES/VACACIONES (USO EXCLUSIVO EN T209</v>
          </cell>
        </row>
        <row r="231">
          <cell r="B231" t="str">
            <v>N/A</v>
          </cell>
          <cell r="D231">
            <v>744</v>
          </cell>
          <cell r="E231" t="str">
            <v>GASTOS PERSONALES (USO EXCLUSIVO EN T209</v>
          </cell>
        </row>
        <row r="232">
          <cell r="B232" t="str">
            <v>N/A</v>
          </cell>
          <cell r="D232">
            <v>745</v>
          </cell>
          <cell r="E232" t="str">
            <v>ESTUDIOS/CURSOS (USO EXCLUSIVO EN T2097D</v>
          </cell>
        </row>
        <row r="233">
          <cell r="B233" t="str">
            <v>N/A</v>
          </cell>
          <cell r="D233">
            <v>999</v>
          </cell>
          <cell r="E233" t="str">
            <v>OUTROS BAPOP</v>
          </cell>
        </row>
      </sheetData>
      <sheetData sheetId="4"/>
    </sheetDataSet>
  </externalBook>
</externalLink>
</file>

<file path=xl/theme/theme1.xml><?xml version="1.0" encoding="utf-8"?>
<a:theme xmlns:a="http://schemas.openxmlformats.org/drawingml/2006/main" name="Office Theme">
  <a:themeElements>
    <a:clrScheme name="Santander">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82"/>
  <sheetViews>
    <sheetView showGridLines="0" workbookViewId="0">
      <selection activeCell="D81" sqref="D81"/>
    </sheetView>
  </sheetViews>
  <sheetFormatPr defaultColWidth="10.88671875" defaultRowHeight="14.4" x14ac:dyDescent="0.3"/>
  <cols>
    <col min="1" max="1" width="3.6640625" customWidth="1"/>
    <col min="2" max="2" width="12.88671875" customWidth="1"/>
    <col min="4" max="4" width="45.77734375" bestFit="1" customWidth="1"/>
    <col min="5" max="5" width="11.33203125" bestFit="1" customWidth="1"/>
  </cols>
  <sheetData>
    <row r="2" spans="2:5" x14ac:dyDescent="0.3">
      <c r="B2" s="5" t="s">
        <v>84</v>
      </c>
      <c r="C2" s="6"/>
      <c r="D2" s="6"/>
      <c r="E2" s="6"/>
    </row>
    <row r="4" spans="2:5" x14ac:dyDescent="0.3">
      <c r="B4" s="9" t="s">
        <v>83</v>
      </c>
      <c r="C4" s="9"/>
      <c r="D4" s="7" t="s">
        <v>82</v>
      </c>
      <c r="E4" s="1"/>
    </row>
    <row r="5" spans="2:5" x14ac:dyDescent="0.3">
      <c r="B5" s="4" t="s">
        <v>0</v>
      </c>
      <c r="C5" s="4" t="s">
        <v>1</v>
      </c>
      <c r="D5" s="4" t="s">
        <v>81</v>
      </c>
      <c r="E5" s="4" t="s">
        <v>79</v>
      </c>
    </row>
    <row r="6" spans="2:5" x14ac:dyDescent="0.3">
      <c r="B6" s="2"/>
      <c r="C6" s="2">
        <v>151</v>
      </c>
      <c r="D6" s="2" t="s">
        <v>2</v>
      </c>
      <c r="E6" s="2">
        <v>57</v>
      </c>
    </row>
    <row r="7" spans="2:5" x14ac:dyDescent="0.3">
      <c r="B7" s="2"/>
      <c r="C7" s="2">
        <v>144</v>
      </c>
      <c r="D7" s="2" t="s">
        <v>3</v>
      </c>
      <c r="E7" s="2">
        <v>35</v>
      </c>
    </row>
    <row r="8" spans="2:5" x14ac:dyDescent="0.3">
      <c r="B8" s="2"/>
      <c r="C8" s="2">
        <v>31</v>
      </c>
      <c r="D8" s="2" t="s">
        <v>4</v>
      </c>
      <c r="E8" s="2">
        <v>284</v>
      </c>
    </row>
    <row r="9" spans="2:5" x14ac:dyDescent="0.3">
      <c r="B9" s="2"/>
      <c r="C9" s="2">
        <v>24</v>
      </c>
      <c r="D9" s="2" t="s">
        <v>5</v>
      </c>
      <c r="E9" s="2">
        <v>104</v>
      </c>
    </row>
    <row r="10" spans="2:5" x14ac:dyDescent="0.3">
      <c r="B10" s="2"/>
      <c r="C10" s="2">
        <v>29</v>
      </c>
      <c r="D10" s="2" t="s">
        <v>6</v>
      </c>
      <c r="E10" s="2">
        <v>205</v>
      </c>
    </row>
    <row r="11" spans="2:5" x14ac:dyDescent="0.3">
      <c r="B11" s="2"/>
      <c r="C11" s="2">
        <v>17</v>
      </c>
      <c r="D11" s="2" t="s">
        <v>7</v>
      </c>
      <c r="E11" s="2">
        <v>3</v>
      </c>
    </row>
    <row r="12" spans="2:5" x14ac:dyDescent="0.3">
      <c r="B12" s="2"/>
      <c r="C12" s="2">
        <v>143</v>
      </c>
      <c r="D12" s="2" t="s">
        <v>8</v>
      </c>
      <c r="E12" s="2">
        <v>32</v>
      </c>
    </row>
    <row r="13" spans="2:5" x14ac:dyDescent="0.3">
      <c r="B13" s="2"/>
      <c r="C13" s="2">
        <v>32</v>
      </c>
      <c r="D13" s="2" t="s">
        <v>9</v>
      </c>
      <c r="E13" s="2">
        <v>232</v>
      </c>
    </row>
    <row r="14" spans="2:5" x14ac:dyDescent="0.3">
      <c r="B14" s="2"/>
      <c r="C14" s="2">
        <v>52</v>
      </c>
      <c r="D14" s="2" t="s">
        <v>10</v>
      </c>
      <c r="E14" s="2">
        <v>89</v>
      </c>
    </row>
    <row r="15" spans="2:5" x14ac:dyDescent="0.3">
      <c r="B15" s="2"/>
      <c r="C15" s="2">
        <v>400</v>
      </c>
      <c r="D15" s="2" t="s">
        <v>11</v>
      </c>
      <c r="E15" s="2">
        <v>7</v>
      </c>
    </row>
    <row r="16" spans="2:5" x14ac:dyDescent="0.3">
      <c r="B16" s="2"/>
      <c r="C16" s="2">
        <v>10</v>
      </c>
      <c r="D16" s="2" t="s">
        <v>12</v>
      </c>
      <c r="E16" s="2">
        <v>198</v>
      </c>
    </row>
    <row r="17" spans="2:5" x14ac:dyDescent="0.3">
      <c r="B17" s="2"/>
      <c r="C17" s="2">
        <v>12</v>
      </c>
      <c r="D17" s="2" t="s">
        <v>13</v>
      </c>
      <c r="E17" s="2">
        <v>1</v>
      </c>
    </row>
    <row r="18" spans="2:5" x14ac:dyDescent="0.3">
      <c r="B18" s="2"/>
      <c r="C18" s="2">
        <v>221</v>
      </c>
      <c r="D18" s="2" t="s">
        <v>14</v>
      </c>
      <c r="E18" s="2">
        <v>1</v>
      </c>
    </row>
    <row r="19" spans="2:5" x14ac:dyDescent="0.3">
      <c r="B19" s="2"/>
      <c r="C19" s="2">
        <v>55</v>
      </c>
      <c r="D19" s="2" t="s">
        <v>15</v>
      </c>
      <c r="E19" s="2">
        <v>9</v>
      </c>
    </row>
    <row r="20" spans="2:5" x14ac:dyDescent="0.3">
      <c r="B20" s="2"/>
      <c r="C20" s="2">
        <v>325</v>
      </c>
      <c r="D20" s="2" t="s">
        <v>16</v>
      </c>
      <c r="E20" s="2">
        <v>52</v>
      </c>
    </row>
    <row r="21" spans="2:5" x14ac:dyDescent="0.3">
      <c r="B21" s="2"/>
      <c r="C21" s="2">
        <v>39</v>
      </c>
      <c r="D21" s="2" t="s">
        <v>17</v>
      </c>
      <c r="E21" s="2">
        <v>128</v>
      </c>
    </row>
    <row r="22" spans="2:5" x14ac:dyDescent="0.3">
      <c r="B22" s="2"/>
      <c r="C22" s="2">
        <v>33</v>
      </c>
      <c r="D22" s="2" t="s">
        <v>18</v>
      </c>
      <c r="E22" s="2">
        <v>10</v>
      </c>
    </row>
    <row r="23" spans="2:5" x14ac:dyDescent="0.3">
      <c r="B23" s="2"/>
      <c r="C23" s="2">
        <v>224</v>
      </c>
      <c r="D23" s="2" t="s">
        <v>19</v>
      </c>
      <c r="E23" s="2">
        <v>5</v>
      </c>
    </row>
    <row r="24" spans="2:5" x14ac:dyDescent="0.3">
      <c r="B24" s="2"/>
      <c r="C24" s="2">
        <v>34</v>
      </c>
      <c r="D24" s="2" t="s">
        <v>20</v>
      </c>
      <c r="E24" s="2">
        <v>117</v>
      </c>
    </row>
    <row r="25" spans="2:5" x14ac:dyDescent="0.3">
      <c r="B25" s="2"/>
      <c r="C25" s="2">
        <v>214</v>
      </c>
      <c r="D25" s="2" t="s">
        <v>21</v>
      </c>
      <c r="E25" s="2">
        <v>1</v>
      </c>
    </row>
    <row r="26" spans="2:5" x14ac:dyDescent="0.3">
      <c r="B26" s="2"/>
      <c r="C26" s="2">
        <v>26</v>
      </c>
      <c r="D26" s="2" t="s">
        <v>22</v>
      </c>
      <c r="E26" s="2">
        <v>2</v>
      </c>
    </row>
    <row r="27" spans="2:5" x14ac:dyDescent="0.3">
      <c r="B27" s="2"/>
      <c r="C27" s="2">
        <v>370</v>
      </c>
      <c r="D27" s="2" t="s">
        <v>23</v>
      </c>
      <c r="E27" s="2">
        <v>1</v>
      </c>
    </row>
    <row r="28" spans="2:5" x14ac:dyDescent="0.3">
      <c r="B28" s="2"/>
      <c r="C28" s="2">
        <v>202</v>
      </c>
      <c r="D28" s="2" t="s">
        <v>25</v>
      </c>
      <c r="E28" s="2">
        <v>221</v>
      </c>
    </row>
    <row r="29" spans="2:5" x14ac:dyDescent="0.3">
      <c r="B29" s="2"/>
      <c r="C29" s="2">
        <v>25</v>
      </c>
      <c r="D29" s="2" t="s">
        <v>26</v>
      </c>
      <c r="E29" s="2">
        <v>11</v>
      </c>
    </row>
    <row r="30" spans="2:5" x14ac:dyDescent="0.3">
      <c r="B30" s="2"/>
      <c r="C30" s="2">
        <v>254</v>
      </c>
      <c r="D30" s="2" t="s">
        <v>27</v>
      </c>
      <c r="E30" s="2">
        <v>26</v>
      </c>
    </row>
    <row r="31" spans="2:5" x14ac:dyDescent="0.3">
      <c r="B31" s="2"/>
      <c r="C31" s="2">
        <v>405</v>
      </c>
      <c r="D31" s="2" t="s">
        <v>28</v>
      </c>
      <c r="E31" s="2">
        <v>11</v>
      </c>
    </row>
    <row r="32" spans="2:5" x14ac:dyDescent="0.3">
      <c r="B32" s="2"/>
      <c r="C32" s="2">
        <v>30</v>
      </c>
      <c r="D32" s="2" t="s">
        <v>29</v>
      </c>
      <c r="E32" s="2">
        <v>93</v>
      </c>
    </row>
    <row r="33" spans="2:5" x14ac:dyDescent="0.3">
      <c r="B33" s="2"/>
      <c r="C33" s="2">
        <v>380</v>
      </c>
      <c r="D33" s="2" t="s">
        <v>30</v>
      </c>
      <c r="E33" s="2">
        <v>1</v>
      </c>
    </row>
    <row r="34" spans="2:5" x14ac:dyDescent="0.3">
      <c r="B34" s="2"/>
      <c r="C34" s="2">
        <v>62</v>
      </c>
      <c r="D34" s="2" t="s">
        <v>31</v>
      </c>
      <c r="E34" s="2">
        <v>521</v>
      </c>
    </row>
    <row r="35" spans="2:5" x14ac:dyDescent="0.3">
      <c r="B35" s="2"/>
      <c r="C35" s="2">
        <v>148</v>
      </c>
      <c r="D35" s="2" t="s">
        <v>32</v>
      </c>
      <c r="E35" s="2">
        <v>33</v>
      </c>
    </row>
    <row r="36" spans="2:5" x14ac:dyDescent="0.3">
      <c r="B36" s="2"/>
      <c r="C36" s="2">
        <v>300</v>
      </c>
      <c r="D36" s="2" t="s">
        <v>33</v>
      </c>
      <c r="E36" s="2">
        <v>1</v>
      </c>
    </row>
    <row r="37" spans="2:5" x14ac:dyDescent="0.3">
      <c r="B37" s="2"/>
      <c r="C37" s="2">
        <v>19</v>
      </c>
      <c r="D37" s="2" t="s">
        <v>34</v>
      </c>
      <c r="E37" s="2">
        <v>10</v>
      </c>
    </row>
    <row r="38" spans="2:5" x14ac:dyDescent="0.3">
      <c r="B38" s="2"/>
      <c r="C38" s="2">
        <v>131</v>
      </c>
      <c r="D38" s="2" t="s">
        <v>35</v>
      </c>
      <c r="E38" s="2">
        <v>3</v>
      </c>
    </row>
    <row r="39" spans="2:5" x14ac:dyDescent="0.3">
      <c r="B39" s="2"/>
      <c r="C39" s="2">
        <v>211</v>
      </c>
      <c r="D39" s="2" t="s">
        <v>37</v>
      </c>
      <c r="E39" s="2">
        <v>2</v>
      </c>
    </row>
    <row r="40" spans="2:5" x14ac:dyDescent="0.3">
      <c r="B40" s="2"/>
      <c r="C40" s="2">
        <v>28</v>
      </c>
      <c r="D40" s="2" t="s">
        <v>38</v>
      </c>
      <c r="E40" s="2">
        <v>49</v>
      </c>
    </row>
    <row r="41" spans="2:5" x14ac:dyDescent="0.3">
      <c r="B41" s="2"/>
      <c r="C41" s="2">
        <v>395</v>
      </c>
      <c r="D41" s="2" t="s">
        <v>39</v>
      </c>
      <c r="E41" s="2">
        <v>1</v>
      </c>
    </row>
    <row r="42" spans="2:5" x14ac:dyDescent="0.3">
      <c r="B42" s="2"/>
      <c r="C42" s="2">
        <v>54</v>
      </c>
      <c r="D42" s="2" t="s">
        <v>40</v>
      </c>
      <c r="E42" s="2">
        <v>1</v>
      </c>
    </row>
    <row r="43" spans="2:5" x14ac:dyDescent="0.3">
      <c r="B43" s="2"/>
      <c r="C43" s="2">
        <v>410</v>
      </c>
      <c r="D43" s="2" t="s">
        <v>41</v>
      </c>
      <c r="E43" s="2">
        <v>56</v>
      </c>
    </row>
    <row r="44" spans="2:5" x14ac:dyDescent="0.3">
      <c r="B44" s="2"/>
      <c r="C44" s="2">
        <v>49</v>
      </c>
      <c r="D44" s="2" t="s">
        <v>16</v>
      </c>
      <c r="E44" s="2">
        <v>12</v>
      </c>
    </row>
    <row r="45" spans="2:5" x14ac:dyDescent="0.3">
      <c r="B45" s="2"/>
      <c r="C45" s="2">
        <v>51</v>
      </c>
      <c r="D45" s="2" t="s">
        <v>42</v>
      </c>
      <c r="E45" s="2">
        <v>32</v>
      </c>
    </row>
    <row r="46" spans="2:5" x14ac:dyDescent="0.3">
      <c r="B46" s="2"/>
      <c r="C46" s="2">
        <v>145</v>
      </c>
      <c r="D46" s="2" t="s">
        <v>43</v>
      </c>
      <c r="E46" s="2">
        <v>1</v>
      </c>
    </row>
    <row r="47" spans="2:5" x14ac:dyDescent="0.3">
      <c r="B47" s="2"/>
      <c r="C47" s="2">
        <v>203</v>
      </c>
      <c r="D47" s="2" t="s">
        <v>45</v>
      </c>
      <c r="E47" s="2">
        <v>1</v>
      </c>
    </row>
    <row r="48" spans="2:5" x14ac:dyDescent="0.3">
      <c r="B48" s="2"/>
      <c r="C48" s="2">
        <v>40</v>
      </c>
      <c r="D48" s="2" t="s">
        <v>46</v>
      </c>
      <c r="E48" s="2">
        <v>1024</v>
      </c>
    </row>
    <row r="49" spans="2:5" x14ac:dyDescent="0.3">
      <c r="B49" s="2"/>
      <c r="C49" s="2">
        <v>50</v>
      </c>
      <c r="D49" s="2" t="s">
        <v>47</v>
      </c>
      <c r="E49" s="2">
        <v>45</v>
      </c>
    </row>
    <row r="50" spans="2:5" x14ac:dyDescent="0.3">
      <c r="B50" s="2"/>
      <c r="C50" s="2">
        <v>73</v>
      </c>
      <c r="D50" s="2" t="s">
        <v>48</v>
      </c>
      <c r="E50" s="2">
        <v>64</v>
      </c>
    </row>
    <row r="51" spans="2:5" x14ac:dyDescent="0.3">
      <c r="B51" s="2"/>
      <c r="C51" s="2">
        <v>11</v>
      </c>
      <c r="D51" s="2" t="s">
        <v>49</v>
      </c>
      <c r="E51" s="2">
        <v>7</v>
      </c>
    </row>
    <row r="52" spans="2:5" x14ac:dyDescent="0.3">
      <c r="B52" s="2"/>
      <c r="C52" s="2">
        <v>60</v>
      </c>
      <c r="D52" s="2" t="s">
        <v>50</v>
      </c>
      <c r="E52" s="2">
        <v>605</v>
      </c>
    </row>
    <row r="53" spans="2:5" x14ac:dyDescent="0.3">
      <c r="B53" s="2"/>
      <c r="C53" s="2">
        <v>69</v>
      </c>
      <c r="D53" s="2" t="s">
        <v>16</v>
      </c>
      <c r="E53" s="2">
        <v>5</v>
      </c>
    </row>
    <row r="54" spans="2:5" x14ac:dyDescent="0.3">
      <c r="B54" s="2"/>
      <c r="C54" s="2">
        <v>204</v>
      </c>
      <c r="D54" s="2" t="s">
        <v>52</v>
      </c>
      <c r="E54" s="2">
        <v>18</v>
      </c>
    </row>
    <row r="55" spans="2:5" x14ac:dyDescent="0.3">
      <c r="B55" s="2"/>
      <c r="C55" s="2">
        <v>59</v>
      </c>
      <c r="D55" s="2" t="s">
        <v>53</v>
      </c>
      <c r="E55" s="2">
        <v>249</v>
      </c>
    </row>
    <row r="56" spans="2:5" x14ac:dyDescent="0.3">
      <c r="B56" s="2"/>
      <c r="C56" s="2">
        <v>13</v>
      </c>
      <c r="D56" s="2" t="s">
        <v>54</v>
      </c>
      <c r="E56" s="2">
        <v>7</v>
      </c>
    </row>
    <row r="57" spans="2:5" x14ac:dyDescent="0.3">
      <c r="B57" s="2"/>
      <c r="C57" s="2">
        <v>130</v>
      </c>
      <c r="D57" s="2" t="s">
        <v>55</v>
      </c>
      <c r="E57" s="2">
        <v>4</v>
      </c>
    </row>
    <row r="58" spans="2:5" x14ac:dyDescent="0.3">
      <c r="B58" s="2"/>
      <c r="C58" s="2">
        <v>223</v>
      </c>
      <c r="D58" s="2" t="s">
        <v>56</v>
      </c>
      <c r="E58" s="2">
        <v>5</v>
      </c>
    </row>
    <row r="59" spans="2:5" x14ac:dyDescent="0.3">
      <c r="B59" s="2"/>
      <c r="C59" s="2">
        <v>120</v>
      </c>
      <c r="D59" s="2" t="s">
        <v>57</v>
      </c>
      <c r="E59" s="2">
        <v>1</v>
      </c>
    </row>
    <row r="60" spans="2:5" x14ac:dyDescent="0.3">
      <c r="B60" s="2"/>
      <c r="C60" s="2">
        <v>23</v>
      </c>
      <c r="D60" s="2" t="s">
        <v>58</v>
      </c>
      <c r="E60" s="2">
        <v>174</v>
      </c>
    </row>
    <row r="61" spans="2:5" x14ac:dyDescent="0.3">
      <c r="B61" s="2"/>
      <c r="C61" s="2">
        <v>22</v>
      </c>
      <c r="D61" s="2" t="s">
        <v>59</v>
      </c>
      <c r="E61" s="2">
        <v>233</v>
      </c>
    </row>
    <row r="62" spans="2:5" x14ac:dyDescent="0.3">
      <c r="B62" s="2"/>
      <c r="C62" s="2">
        <v>150</v>
      </c>
      <c r="D62" s="2" t="s">
        <v>60</v>
      </c>
      <c r="E62" s="2">
        <v>48</v>
      </c>
    </row>
    <row r="63" spans="2:5" x14ac:dyDescent="0.3">
      <c r="B63" s="2"/>
      <c r="C63" s="2">
        <v>121</v>
      </c>
      <c r="D63" s="2" t="s">
        <v>61</v>
      </c>
      <c r="E63" s="2">
        <v>7</v>
      </c>
    </row>
    <row r="64" spans="2:5" x14ac:dyDescent="0.3">
      <c r="B64" s="2"/>
      <c r="C64" s="2">
        <v>612</v>
      </c>
      <c r="D64" s="2" t="s">
        <v>62</v>
      </c>
      <c r="E64" s="2">
        <v>1</v>
      </c>
    </row>
    <row r="65" spans="2:5" x14ac:dyDescent="0.3">
      <c r="B65" s="2"/>
      <c r="C65" s="2">
        <v>171</v>
      </c>
      <c r="D65" s="2" t="s">
        <v>63</v>
      </c>
      <c r="E65" s="2">
        <v>3</v>
      </c>
    </row>
    <row r="66" spans="2:5" x14ac:dyDescent="0.3">
      <c r="B66" s="2"/>
      <c r="C66" s="2">
        <v>100</v>
      </c>
      <c r="D66" s="2" t="s">
        <v>64</v>
      </c>
      <c r="E66" s="2">
        <v>2</v>
      </c>
    </row>
    <row r="67" spans="2:5" x14ac:dyDescent="0.3">
      <c r="B67" s="2"/>
      <c r="C67" s="2">
        <v>71</v>
      </c>
      <c r="D67" s="2" t="s">
        <v>65</v>
      </c>
      <c r="E67" s="2">
        <v>93</v>
      </c>
    </row>
    <row r="68" spans="2:5" x14ac:dyDescent="0.3">
      <c r="B68" s="2"/>
      <c r="C68" s="2">
        <v>53</v>
      </c>
      <c r="D68" s="2" t="s">
        <v>66</v>
      </c>
      <c r="E68" s="2">
        <v>20</v>
      </c>
    </row>
    <row r="69" spans="2:5" x14ac:dyDescent="0.3">
      <c r="B69" s="2"/>
      <c r="C69" s="2">
        <v>21</v>
      </c>
      <c r="D69" s="2" t="s">
        <v>67</v>
      </c>
      <c r="E69" s="2">
        <v>141</v>
      </c>
    </row>
    <row r="70" spans="2:5" x14ac:dyDescent="0.3">
      <c r="B70" s="2"/>
      <c r="C70" s="2">
        <v>253</v>
      </c>
      <c r="D70" s="2" t="s">
        <v>68</v>
      </c>
      <c r="E70" s="2">
        <v>2</v>
      </c>
    </row>
    <row r="71" spans="2:5" x14ac:dyDescent="0.3">
      <c r="B71" s="2"/>
      <c r="C71" s="2">
        <v>360</v>
      </c>
      <c r="D71" s="2" t="s">
        <v>69</v>
      </c>
      <c r="E71" s="2">
        <v>35</v>
      </c>
    </row>
    <row r="72" spans="2:5" x14ac:dyDescent="0.3">
      <c r="B72" s="2"/>
      <c r="C72" s="2">
        <v>530</v>
      </c>
      <c r="D72" s="2" t="s">
        <v>70</v>
      </c>
      <c r="E72" s="2">
        <v>1</v>
      </c>
    </row>
    <row r="73" spans="2:5" x14ac:dyDescent="0.3">
      <c r="B73" s="2"/>
      <c r="C73" s="2">
        <v>20</v>
      </c>
      <c r="D73" s="2" t="s">
        <v>71</v>
      </c>
      <c r="E73" s="2">
        <v>91</v>
      </c>
    </row>
    <row r="74" spans="2:5" x14ac:dyDescent="0.3">
      <c r="B74" s="2"/>
      <c r="C74" s="2">
        <v>251</v>
      </c>
      <c r="D74" s="2" t="s">
        <v>72</v>
      </c>
      <c r="E74" s="2">
        <v>6</v>
      </c>
    </row>
    <row r="75" spans="2:5" x14ac:dyDescent="0.3">
      <c r="B75" s="2"/>
      <c r="C75" s="2">
        <v>217</v>
      </c>
      <c r="D75" s="2" t="s">
        <v>73</v>
      </c>
      <c r="E75" s="2">
        <v>5</v>
      </c>
    </row>
    <row r="76" spans="2:5" x14ac:dyDescent="0.3">
      <c r="B76" s="2"/>
      <c r="C76" s="2">
        <v>141</v>
      </c>
      <c r="D76" s="2" t="s">
        <v>72</v>
      </c>
      <c r="E76" s="2">
        <v>6</v>
      </c>
    </row>
    <row r="77" spans="2:5" x14ac:dyDescent="0.3">
      <c r="B77" s="2"/>
      <c r="C77" s="2">
        <v>152</v>
      </c>
      <c r="D77" s="2" t="s">
        <v>74</v>
      </c>
      <c r="E77" s="2">
        <v>28</v>
      </c>
    </row>
    <row r="78" spans="2:5" x14ac:dyDescent="0.3">
      <c r="B78" s="2"/>
      <c r="C78" s="2">
        <v>15</v>
      </c>
      <c r="D78" s="2" t="s">
        <v>75</v>
      </c>
      <c r="E78" s="2">
        <v>1</v>
      </c>
    </row>
    <row r="79" spans="2:5" x14ac:dyDescent="0.3">
      <c r="B79" s="2"/>
      <c r="C79" s="2">
        <v>41</v>
      </c>
      <c r="D79" s="2" t="s">
        <v>76</v>
      </c>
      <c r="E79" s="2">
        <v>25</v>
      </c>
    </row>
    <row r="80" spans="2:5" x14ac:dyDescent="0.3">
      <c r="B80" s="2"/>
      <c r="C80" s="2">
        <v>43</v>
      </c>
      <c r="D80" s="2" t="s">
        <v>77</v>
      </c>
      <c r="E80" s="2">
        <v>13</v>
      </c>
    </row>
    <row r="81" spans="2:5" x14ac:dyDescent="0.3">
      <c r="B81" s="2"/>
      <c r="C81" s="2">
        <v>70</v>
      </c>
      <c r="D81" s="2" t="s">
        <v>78</v>
      </c>
      <c r="E81" s="2">
        <v>22</v>
      </c>
    </row>
    <row r="82" spans="2:5" x14ac:dyDescent="0.3">
      <c r="B82" s="8" t="s">
        <v>80</v>
      </c>
      <c r="C82" s="8"/>
      <c r="D82" s="8"/>
      <c r="E82" s="3">
        <f>+SUM(E6:E81)</f>
        <v>5650</v>
      </c>
    </row>
  </sheetData>
  <mergeCells count="2">
    <mergeCell ref="B82:D82"/>
    <mergeCell ref="B4:C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D79B4-B9F2-4E06-A87E-A6C69AF27A8D}">
  <sheetPr filterMode="1"/>
  <dimension ref="B2:F79"/>
  <sheetViews>
    <sheetView showGridLines="0" tabSelected="1" workbookViewId="0">
      <selection activeCell="E82" sqref="E82"/>
    </sheetView>
  </sheetViews>
  <sheetFormatPr defaultRowHeight="14.4" x14ac:dyDescent="0.3"/>
  <cols>
    <col min="2" max="2" width="10.77734375" customWidth="1"/>
    <col min="3" max="3" width="45.44140625" bestFit="1" customWidth="1"/>
    <col min="4" max="4" width="12.33203125" customWidth="1"/>
    <col min="5" max="5" width="22.44140625" customWidth="1"/>
    <col min="6" max="6" width="22" bestFit="1" customWidth="1"/>
  </cols>
  <sheetData>
    <row r="2" spans="2:6" x14ac:dyDescent="0.3">
      <c r="B2" s="17" t="s">
        <v>1</v>
      </c>
      <c r="C2" s="17" t="s">
        <v>85</v>
      </c>
      <c r="D2" s="17" t="s">
        <v>79</v>
      </c>
      <c r="E2" s="20" t="s">
        <v>246</v>
      </c>
      <c r="F2" s="20" t="s">
        <v>247</v>
      </c>
    </row>
    <row r="3" spans="2:6" x14ac:dyDescent="0.3">
      <c r="B3" s="18">
        <v>251</v>
      </c>
      <c r="C3" s="18" t="s">
        <v>72</v>
      </c>
      <c r="D3" s="18">
        <v>6</v>
      </c>
      <c r="E3" s="18" t="str">
        <f>VLOOKUP(B3,'TAT L79'!$B$2:$F$221,3,FALSE)</f>
        <v>VIATURA</v>
      </c>
      <c r="F3" s="21" t="str">
        <f t="array" ref="F3">INDEX('[1]2. Mapeamento a validar'!$B$6:$E$233,MATCH(C3,'[1]2. Mapeamento a validar'!$E$6:$E$233,0),1)</f>
        <v>VEH01</v>
      </c>
    </row>
    <row r="4" spans="2:6" hidden="1" x14ac:dyDescent="0.3">
      <c r="B4" s="19">
        <v>121</v>
      </c>
      <c r="C4" s="19" t="s">
        <v>61</v>
      </c>
      <c r="D4" s="19">
        <v>7</v>
      </c>
      <c r="E4" s="19" t="str">
        <f>VLOOKUP(B4,'TAT L79'!$B$2:$F$221,3,FALSE)</f>
        <v>VIATURA</v>
      </c>
      <c r="F4" s="21" t="str">
        <f t="array" ref="F4">INDEX('[1]2. Mapeamento a validar'!$B$6:$E$233,MATCH(C4,'[1]2. Mapeamento a validar'!$E$6:$E$233,0),1)</f>
        <v>N/A</v>
      </c>
    </row>
    <row r="5" spans="2:6" x14ac:dyDescent="0.3">
      <c r="B5" s="18">
        <v>152</v>
      </c>
      <c r="C5" s="18" t="s">
        <v>74</v>
      </c>
      <c r="D5" s="18">
        <v>28</v>
      </c>
      <c r="E5" s="18" t="str">
        <f>VLOOKUP(B5,'TAT L79'!$B$2:$F$221,3,FALSE)</f>
        <v>VIATURA</v>
      </c>
      <c r="F5" s="21" t="str">
        <f t="array" ref="F5">INDEX('[1]2. Mapeamento a validar'!$B$6:$E$233,MATCH(C5,'[1]2. Mapeamento a validar'!$E$6:$E$233,0),1)</f>
        <v>VEH18</v>
      </c>
    </row>
    <row r="6" spans="2:6" hidden="1" x14ac:dyDescent="0.3">
      <c r="B6" s="18">
        <v>71</v>
      </c>
      <c r="C6" s="18" t="s">
        <v>65</v>
      </c>
      <c r="D6" s="18">
        <v>93</v>
      </c>
      <c r="E6" s="18" t="str">
        <f>VLOOKUP(B6,'TAT L79'!$B$2:$F$221,3,FALSE)</f>
        <v>EQUIPAMENTO</v>
      </c>
      <c r="F6" s="21" t="str">
        <f t="array" ref="F6">INDEX('[1]2. Mapeamento a validar'!$B$6:$E$233,MATCH(C6,'[1]2. Mapeamento a validar'!$E$6:$E$233,0),1)</f>
        <v>N/A</v>
      </c>
    </row>
    <row r="7" spans="2:6" hidden="1" x14ac:dyDescent="0.3">
      <c r="B7" s="18">
        <v>30</v>
      </c>
      <c r="C7" s="18" t="s">
        <v>29</v>
      </c>
      <c r="D7" s="18">
        <v>93</v>
      </c>
      <c r="E7" s="18" t="str">
        <f>VLOOKUP(B7,'TAT L79'!$B$2:$F$221,3,FALSE)</f>
        <v>EQUIPAMENTO</v>
      </c>
      <c r="F7" s="21" t="str">
        <f t="array" ref="F7">INDEX('[1]2. Mapeamento a validar'!$B$6:$E$233,MATCH(C7,'[1]2. Mapeamento a validar'!$E$6:$E$233,0),1)</f>
        <v>N/A</v>
      </c>
    </row>
    <row r="8" spans="2:6" hidden="1" x14ac:dyDescent="0.3">
      <c r="B8" s="18">
        <v>360</v>
      </c>
      <c r="C8" s="18" t="s">
        <v>69</v>
      </c>
      <c r="D8" s="18">
        <v>35</v>
      </c>
      <c r="E8" s="18" t="str">
        <f>VLOOKUP(B8,'TAT L79'!$B$2:$F$221,3,FALSE)</f>
        <v>EQUIPAMENTO</v>
      </c>
      <c r="F8" s="21" t="str">
        <f t="array" ref="F8">INDEX('[1]2. Mapeamento a validar'!$B$6:$E$233,MATCH(C8,'[1]2. Mapeamento a validar'!$E$6:$E$233,0),1)</f>
        <v>N/A</v>
      </c>
    </row>
    <row r="9" spans="2:6" hidden="1" x14ac:dyDescent="0.3">
      <c r="B9" s="18">
        <v>32</v>
      </c>
      <c r="C9" s="18" t="s">
        <v>9</v>
      </c>
      <c r="D9" s="18">
        <v>232</v>
      </c>
      <c r="E9" s="18" t="str">
        <f>VLOOKUP(B9,'TAT L79'!$B$2:$F$221,3,FALSE)</f>
        <v>EQUIPAMENTO</v>
      </c>
      <c r="F9" s="21" t="str">
        <f t="array" ref="F9">INDEX('[1]2. Mapeamento a validar'!$B$6:$E$233,MATCH(C9,'[1]2. Mapeamento a validar'!$E$6:$E$233,0),1)</f>
        <v>N/A</v>
      </c>
    </row>
    <row r="10" spans="2:6" hidden="1" x14ac:dyDescent="0.3">
      <c r="B10" s="18">
        <v>20</v>
      </c>
      <c r="C10" s="18" t="s">
        <v>71</v>
      </c>
      <c r="D10" s="18">
        <v>91</v>
      </c>
      <c r="E10" s="18" t="str">
        <f>VLOOKUP(B10,'TAT L79'!$B$2:$F$221,3,FALSE)</f>
        <v>EQUIPAMENTO</v>
      </c>
      <c r="F10" s="21" t="str">
        <f t="array" ref="F10">INDEX('[1]2. Mapeamento a validar'!$B$6:$E$233,MATCH(C10,'[1]2. Mapeamento a validar'!$E$6:$E$233,0),1)</f>
        <v>N/A</v>
      </c>
    </row>
    <row r="11" spans="2:6" hidden="1" x14ac:dyDescent="0.3">
      <c r="B11" s="18">
        <v>31</v>
      </c>
      <c r="C11" s="18" t="s">
        <v>4</v>
      </c>
      <c r="D11" s="18">
        <v>284</v>
      </c>
      <c r="E11" s="18" t="str">
        <f>VLOOKUP(B11,'TAT L79'!$B$2:$F$221,3,FALSE)</f>
        <v>EQUIPAMENTO</v>
      </c>
      <c r="F11" s="21" t="str">
        <f t="array" ref="F11">INDEX('[1]2. Mapeamento a validar'!$B$6:$E$233,MATCH(C11,'[1]2. Mapeamento a validar'!$E$6:$E$233,0),1)</f>
        <v>N/A</v>
      </c>
    </row>
    <row r="12" spans="2:6" hidden="1" x14ac:dyDescent="0.3">
      <c r="B12" s="18">
        <v>51</v>
      </c>
      <c r="C12" s="18" t="s">
        <v>42</v>
      </c>
      <c r="D12" s="18">
        <v>32</v>
      </c>
      <c r="E12" s="18" t="str">
        <f>VLOOKUP(B12,'TAT L79'!$B$2:$F$221,3,FALSE)</f>
        <v>EQUIPAMENTO</v>
      </c>
      <c r="F12" s="21" t="str">
        <f t="array" ref="F12">INDEX('[1]2. Mapeamento a validar'!$B$6:$E$233,MATCH(C12,'[1]2. Mapeamento a validar'!$E$6:$E$233,0),1)</f>
        <v>N/A</v>
      </c>
    </row>
    <row r="13" spans="2:6" hidden="1" x14ac:dyDescent="0.3">
      <c r="B13" s="19">
        <v>130</v>
      </c>
      <c r="C13" s="19" t="s">
        <v>55</v>
      </c>
      <c r="D13" s="19">
        <v>4</v>
      </c>
      <c r="E13" s="19" t="str">
        <f>VLOOKUP(B13,'TAT L79'!$B$2:$F$221,3,FALSE)</f>
        <v>VIATURA</v>
      </c>
      <c r="F13" s="21" t="str">
        <f t="array" ref="F13">INDEX('[1]2. Mapeamento a validar'!$B$6:$E$233,MATCH(C13,'[1]2. Mapeamento a validar'!$E$6:$E$233,0),1)</f>
        <v>N/A</v>
      </c>
    </row>
    <row r="14" spans="2:6" hidden="1" x14ac:dyDescent="0.3">
      <c r="B14" s="18">
        <v>60</v>
      </c>
      <c r="C14" s="18" t="s">
        <v>50</v>
      </c>
      <c r="D14" s="18">
        <v>605</v>
      </c>
      <c r="E14" s="18" t="str">
        <f>VLOOKUP(B14,'TAT L79'!$B$2:$F$221,3,FALSE)</f>
        <v>EQUIPAMENTO</v>
      </c>
      <c r="F14" s="21" t="str">
        <f t="array" ref="F14">INDEX('[1]2. Mapeamento a validar'!$B$6:$E$233,MATCH(C14,'[1]2. Mapeamento a validar'!$E$6:$E$233,0),1)</f>
        <v>N/A</v>
      </c>
    </row>
    <row r="15" spans="2:6" hidden="1" x14ac:dyDescent="0.3">
      <c r="B15" s="18">
        <v>370</v>
      </c>
      <c r="C15" s="18" t="s">
        <v>23</v>
      </c>
      <c r="D15" s="18">
        <v>1</v>
      </c>
      <c r="E15" s="18" t="str">
        <f>VLOOKUP(B15,'TAT L79'!$B$2:$F$221,3,FALSE)</f>
        <v>EQUIPAMENTO</v>
      </c>
      <c r="F15" s="21" t="str">
        <f t="array" ref="F15">INDEX('[1]2. Mapeamento a validar'!$B$6:$E$233,MATCH(C15,'[1]2. Mapeamento a validar'!$E$6:$E$233,0),1)</f>
        <v>N/A</v>
      </c>
    </row>
    <row r="16" spans="2:6" hidden="1" x14ac:dyDescent="0.3">
      <c r="B16" s="18">
        <v>21</v>
      </c>
      <c r="C16" s="18" t="s">
        <v>67</v>
      </c>
      <c r="D16" s="18">
        <v>141</v>
      </c>
      <c r="E16" s="18" t="str">
        <f>VLOOKUP(B16,'TAT L79'!$B$2:$F$221,3,FALSE)</f>
        <v>EQUIPAMENTO</v>
      </c>
      <c r="F16" s="21" t="str">
        <f t="array" ref="F16">INDEX('[1]2. Mapeamento a validar'!$B$6:$E$233,MATCH(C16,'[1]2. Mapeamento a validar'!$E$6:$E$233,0),1)</f>
        <v>N/A</v>
      </c>
    </row>
    <row r="17" spans="2:6" hidden="1" x14ac:dyDescent="0.3">
      <c r="B17" s="18">
        <v>12</v>
      </c>
      <c r="C17" s="18" t="s">
        <v>13</v>
      </c>
      <c r="D17" s="18">
        <v>1</v>
      </c>
      <c r="E17" s="18" t="str">
        <f>VLOOKUP(B17,'TAT L79'!$B$2:$F$221,3,FALSE)</f>
        <v>EQUIPAMENTO</v>
      </c>
      <c r="F17" s="21" t="str">
        <f t="array" ref="F17">INDEX('[1]2. Mapeamento a validar'!$B$6:$E$233,MATCH(C17,'[1]2. Mapeamento a validar'!$E$6:$E$233,0),1)</f>
        <v>N/A</v>
      </c>
    </row>
    <row r="18" spans="2:6" hidden="1" x14ac:dyDescent="0.3">
      <c r="B18" s="18">
        <v>29</v>
      </c>
      <c r="C18" s="18" t="s">
        <v>6</v>
      </c>
      <c r="D18" s="18">
        <v>205</v>
      </c>
      <c r="E18" s="18" t="str">
        <f>VLOOKUP(B18,'TAT L79'!$B$2:$F$221,3,FALSE)</f>
        <v>EQUIPAMENTO</v>
      </c>
      <c r="F18" s="21" t="str">
        <f t="array" ref="F18">INDEX('[1]2. Mapeamento a validar'!$B$6:$E$233,MATCH(C18,'[1]2. Mapeamento a validar'!$E$6:$E$233,0),1)</f>
        <v>N/A</v>
      </c>
    </row>
    <row r="19" spans="2:6" hidden="1" x14ac:dyDescent="0.3">
      <c r="B19" s="18">
        <v>41</v>
      </c>
      <c r="C19" s="18" t="s">
        <v>76</v>
      </c>
      <c r="D19" s="18">
        <v>25</v>
      </c>
      <c r="E19" s="18" t="str">
        <f>VLOOKUP(B19,'TAT L79'!$B$2:$F$221,3,FALSE)</f>
        <v>EQUIPAMENTO</v>
      </c>
      <c r="F19" s="21" t="str">
        <f t="array" ref="F19">INDEX('[1]2. Mapeamento a validar'!$B$6:$E$233,MATCH(C19,'[1]2. Mapeamento a validar'!$E$6:$E$233,0),1)</f>
        <v>N/A</v>
      </c>
    </row>
    <row r="20" spans="2:6" hidden="1" x14ac:dyDescent="0.3">
      <c r="B20" s="18">
        <v>217</v>
      </c>
      <c r="C20" s="18" t="s">
        <v>73</v>
      </c>
      <c r="D20" s="18">
        <v>5</v>
      </c>
      <c r="E20" s="18" t="str">
        <f>VLOOKUP(B20,'TAT L79'!$B$2:$F$221,3,FALSE)</f>
        <v>EQUIPAMENTO</v>
      </c>
      <c r="F20" s="21" t="str">
        <f t="array" ref="F20">INDEX('[1]2. Mapeamento a validar'!$B$6:$E$233,MATCH(C20,'[1]2. Mapeamento a validar'!$E$6:$E$233,0),1)</f>
        <v>N/A</v>
      </c>
    </row>
    <row r="21" spans="2:6" x14ac:dyDescent="0.3">
      <c r="B21" s="18">
        <v>203</v>
      </c>
      <c r="C21" s="18" t="s">
        <v>45</v>
      </c>
      <c r="D21" s="18">
        <v>1</v>
      </c>
      <c r="E21" s="18" t="str">
        <f>VLOOKUP(B21,'TAT L79'!$B$2:$F$221,3,FALSE)</f>
        <v>VIATURA</v>
      </c>
      <c r="F21" s="21" t="str">
        <f t="array" ref="F21">INDEX('[1]2. Mapeamento a validar'!$B$6:$E$233,MATCH(C21,'[1]2. Mapeamento a validar'!$E$6:$E$233,0),1)</f>
        <v>VEH01</v>
      </c>
    </row>
    <row r="22" spans="2:6" hidden="1" x14ac:dyDescent="0.3">
      <c r="B22" s="18">
        <v>100</v>
      </c>
      <c r="C22" s="18" t="s">
        <v>64</v>
      </c>
      <c r="D22" s="18">
        <v>2</v>
      </c>
      <c r="E22" s="18" t="str">
        <f>VLOOKUP(B22,'TAT L79'!$B$2:$F$221,3,FALSE)</f>
        <v>EQUIPAMENTO</v>
      </c>
      <c r="F22" s="21" t="str">
        <f t="array" ref="F22">INDEX('[1]2. Mapeamento a validar'!$B$6:$E$233,MATCH(C22,'[1]2. Mapeamento a validar'!$E$6:$E$233,0),1)</f>
        <v>N/A</v>
      </c>
    </row>
    <row r="23" spans="2:6" hidden="1" x14ac:dyDescent="0.3">
      <c r="B23" s="18">
        <v>62</v>
      </c>
      <c r="C23" s="18" t="s">
        <v>31</v>
      </c>
      <c r="D23" s="18">
        <v>521</v>
      </c>
      <c r="E23" s="18" t="str">
        <f>VLOOKUP(B23,'TAT L79'!$B$2:$F$221,3,FALSE)</f>
        <v>EQUIPAMENTO</v>
      </c>
      <c r="F23" s="21" t="str">
        <f t="array" ref="F23">INDEX('[1]2. Mapeamento a validar'!$B$6:$E$233,MATCH(C23,'[1]2. Mapeamento a validar'!$E$6:$E$233,0),1)</f>
        <v>N/A</v>
      </c>
    </row>
    <row r="24" spans="2:6" x14ac:dyDescent="0.3">
      <c r="B24" s="18">
        <v>253</v>
      </c>
      <c r="C24" s="18" t="s">
        <v>68</v>
      </c>
      <c r="D24" s="18">
        <v>2</v>
      </c>
      <c r="E24" s="18" t="str">
        <f>VLOOKUP(B24,'TAT L79'!$B$2:$F$221,3,FALSE)</f>
        <v>VIATURA</v>
      </c>
      <c r="F24" s="21" t="str">
        <f t="array" ref="F24">INDEX('[1]2. Mapeamento a validar'!$B$6:$E$233,MATCH(C24,'[1]2. Mapeamento a validar'!$E$6:$E$233,0),1)</f>
        <v>VEH04</v>
      </c>
    </row>
    <row r="25" spans="2:6" hidden="1" x14ac:dyDescent="0.3">
      <c r="B25" s="18">
        <v>53</v>
      </c>
      <c r="C25" s="18" t="s">
        <v>66</v>
      </c>
      <c r="D25" s="18">
        <v>20</v>
      </c>
      <c r="E25" s="18" t="str">
        <f>VLOOKUP(B25,'TAT L79'!$B$2:$F$221,3,FALSE)</f>
        <v>EQUIPAMENTO</v>
      </c>
      <c r="F25" s="21" t="str">
        <f t="array" ref="F25">INDEX('[1]2. Mapeamento a validar'!$B$6:$E$233,MATCH(C25,'[1]2. Mapeamento a validar'!$E$6:$E$233,0),1)</f>
        <v>N/A</v>
      </c>
    </row>
    <row r="26" spans="2:6" x14ac:dyDescent="0.3">
      <c r="B26" s="18">
        <v>254</v>
      </c>
      <c r="C26" s="18" t="s">
        <v>27</v>
      </c>
      <c r="D26" s="18">
        <v>26</v>
      </c>
      <c r="E26" s="18" t="str">
        <f>VLOOKUP(B26,'TAT L79'!$B$2:$F$221,3,FALSE)</f>
        <v>VIATURA</v>
      </c>
      <c r="F26" s="21" t="str">
        <f t="array" ref="F26">INDEX('[1]2. Mapeamento a validar'!$B$6:$E$233,MATCH(C26,'[1]2. Mapeamento a validar'!$E$6:$E$233,0),1)</f>
        <v>VEH04</v>
      </c>
    </row>
    <row r="27" spans="2:6" hidden="1" x14ac:dyDescent="0.3">
      <c r="B27" s="18">
        <v>202</v>
      </c>
      <c r="C27" s="18" t="s">
        <v>25</v>
      </c>
      <c r="D27" s="18">
        <v>221</v>
      </c>
      <c r="E27" s="18" t="str">
        <f>VLOOKUP(B27,'TAT L79'!$B$2:$F$221,3,FALSE)</f>
        <v>EQUIPAMENTO</v>
      </c>
      <c r="F27" s="21" t="str">
        <f t="array" ref="F27">INDEX('[1]2. Mapeamento a validar'!$B$6:$E$233,MATCH(C27,'[1]2. Mapeamento a validar'!$E$6:$E$233,0),1)</f>
        <v>N/A</v>
      </c>
    </row>
    <row r="28" spans="2:6" hidden="1" x14ac:dyDescent="0.3">
      <c r="B28" s="18">
        <v>612</v>
      </c>
      <c r="C28" s="18" t="s">
        <v>62</v>
      </c>
      <c r="D28" s="18">
        <v>1</v>
      </c>
      <c r="E28" s="18" t="str">
        <f>VLOOKUP(B28,'TAT L79'!$B$2:$F$221,3,FALSE)</f>
        <v>EQUIPAMENTO</v>
      </c>
      <c r="F28" s="21" t="str">
        <f t="array" ref="F28">INDEX('[1]2. Mapeamento a validar'!$B$6:$E$233,MATCH(C28,'[1]2. Mapeamento a validar'!$E$6:$E$233,0),1)</f>
        <v>N/A</v>
      </c>
    </row>
    <row r="29" spans="2:6" x14ac:dyDescent="0.3">
      <c r="B29" s="18">
        <v>33</v>
      </c>
      <c r="C29" s="18" t="s">
        <v>18</v>
      </c>
      <c r="D29" s="18">
        <v>10</v>
      </c>
      <c r="E29" s="18" t="str">
        <f>VLOOKUP(B29,'TAT L79'!$B$2:$F$221,3,FALSE)</f>
        <v>VIATURA</v>
      </c>
      <c r="F29" s="21" t="str">
        <f t="array" ref="F29">INDEX('[1]2. Mapeamento a validar'!$B$6:$E$233,MATCH(C29,'[1]2. Mapeamento a validar'!$E$6:$E$233,0),1)</f>
        <v>VEH20</v>
      </c>
    </row>
    <row r="30" spans="2:6" x14ac:dyDescent="0.3">
      <c r="B30" s="18">
        <v>145</v>
      </c>
      <c r="C30" s="18" t="s">
        <v>43</v>
      </c>
      <c r="D30" s="18">
        <v>1</v>
      </c>
      <c r="E30" s="18" t="str">
        <f>VLOOKUP(B30,'TAT L79'!$B$2:$F$221,3,FALSE)</f>
        <v>VIATURA</v>
      </c>
      <c r="F30" s="21" t="str">
        <f t="array" ref="F30">INDEX('[1]2. Mapeamento a validar'!$B$6:$E$233,MATCH(C30,'[1]2. Mapeamento a validar'!$E$6:$E$233,0),1)</f>
        <v>VEH05</v>
      </c>
    </row>
    <row r="31" spans="2:6" x14ac:dyDescent="0.3">
      <c r="B31" s="18">
        <v>221</v>
      </c>
      <c r="C31" s="18" t="s">
        <v>14</v>
      </c>
      <c r="D31" s="18">
        <v>1</v>
      </c>
      <c r="E31" s="18" t="str">
        <f>VLOOKUP(B31,'TAT L79'!$B$2:$F$221,3,FALSE)</f>
        <v>VIATURA</v>
      </c>
      <c r="F31" s="21" t="str">
        <f t="array" ref="F31">INDEX('[1]2. Mapeamento a validar'!$B$6:$E$233,MATCH(C31,'[1]2. Mapeamento a validar'!$E$6:$E$233,0),1)</f>
        <v>VEH21</v>
      </c>
    </row>
    <row r="32" spans="2:6" hidden="1" x14ac:dyDescent="0.3">
      <c r="B32" s="18">
        <v>55</v>
      </c>
      <c r="C32" s="18" t="s">
        <v>15</v>
      </c>
      <c r="D32" s="18">
        <v>9</v>
      </c>
      <c r="E32" s="18" t="str">
        <f>VLOOKUP(B32,'TAT L79'!$B$2:$F$221,3,FALSE)</f>
        <v>EQUIPAMENTO</v>
      </c>
      <c r="F32" s="21" t="str">
        <f t="array" ref="F32">INDEX('[1]2. Mapeamento a validar'!$B$6:$E$233,MATCH(C32,'[1]2. Mapeamento a validar'!$E$6:$E$233,0),1)</f>
        <v>N/A</v>
      </c>
    </row>
    <row r="33" spans="2:6" x14ac:dyDescent="0.3">
      <c r="B33" s="18">
        <v>141</v>
      </c>
      <c r="C33" s="18" t="s">
        <v>72</v>
      </c>
      <c r="D33" s="18">
        <v>6</v>
      </c>
      <c r="E33" s="18" t="str">
        <f>VLOOKUP(B33,'TAT L79'!$B$2:$F$221,3,FALSE)</f>
        <v>VIATURA</v>
      </c>
      <c r="F33" s="21" t="str">
        <f t="array" ref="F33">INDEX('[1]2. Mapeamento a validar'!$B$6:$E$233,MATCH(C33,'[1]2. Mapeamento a validar'!$E$6:$E$233,0),1)</f>
        <v>VEH01</v>
      </c>
    </row>
    <row r="34" spans="2:6" x14ac:dyDescent="0.3">
      <c r="B34" s="18">
        <v>214</v>
      </c>
      <c r="C34" s="18" t="s">
        <v>21</v>
      </c>
      <c r="D34" s="18">
        <v>1</v>
      </c>
      <c r="E34" s="18" t="str">
        <f>VLOOKUP(B34,'TAT L79'!$B$2:$F$221,3,FALSE)</f>
        <v>VIATURA</v>
      </c>
      <c r="F34" s="21" t="str">
        <f t="array" ref="F34">INDEX('[1]2. Mapeamento a validar'!$B$6:$E$233,MATCH(C34,'[1]2. Mapeamento a validar'!$E$6:$E$233,0),1)</f>
        <v>VEH18</v>
      </c>
    </row>
    <row r="35" spans="2:6" hidden="1" x14ac:dyDescent="0.3">
      <c r="B35" s="18">
        <v>39</v>
      </c>
      <c r="C35" s="18" t="s">
        <v>17</v>
      </c>
      <c r="D35" s="18">
        <v>128</v>
      </c>
      <c r="E35" s="18" t="str">
        <f>VLOOKUP(B35,'TAT L79'!$B$2:$F$221,3,FALSE)</f>
        <v>EQUIPAMENTO</v>
      </c>
      <c r="F35" s="21" t="str">
        <f t="array" ref="F35">INDEX('[1]2. Mapeamento a validar'!$B$6:$E$233,MATCH(C35,'[1]2. Mapeamento a validar'!$E$6:$E$233,0),1)</f>
        <v>N/A</v>
      </c>
    </row>
    <row r="36" spans="2:6" hidden="1" x14ac:dyDescent="0.3">
      <c r="B36" s="18">
        <v>410</v>
      </c>
      <c r="C36" s="18" t="s">
        <v>41</v>
      </c>
      <c r="D36" s="18">
        <v>56</v>
      </c>
      <c r="E36" s="18" t="str">
        <f>VLOOKUP(B36,'TAT L79'!$B$2:$F$221,3,FALSE)</f>
        <v>EQUIPAMENTO</v>
      </c>
      <c r="F36" s="21" t="str">
        <f t="array" ref="F36">INDEX('[1]2. Mapeamento a validar'!$B$6:$E$233,MATCH(C36,'[1]2. Mapeamento a validar'!$E$6:$E$233,0),1)</f>
        <v>N/A</v>
      </c>
    </row>
    <row r="37" spans="2:6" hidden="1" x14ac:dyDescent="0.3">
      <c r="B37" s="18">
        <v>54</v>
      </c>
      <c r="C37" s="18" t="s">
        <v>40</v>
      </c>
      <c r="D37" s="18">
        <v>1</v>
      </c>
      <c r="E37" s="18" t="str">
        <f>VLOOKUP(B37,'TAT L79'!$B$2:$F$221,3,FALSE)</f>
        <v>EQUIPAMENTO</v>
      </c>
      <c r="F37" s="21" t="str">
        <f t="array" ref="F37">INDEX('[1]2. Mapeamento a validar'!$B$6:$E$233,MATCH(C37,'[1]2. Mapeamento a validar'!$E$6:$E$233,0),1)</f>
        <v>N/A</v>
      </c>
    </row>
    <row r="38" spans="2:6" hidden="1" x14ac:dyDescent="0.3">
      <c r="B38" s="18">
        <v>13</v>
      </c>
      <c r="C38" s="18" t="s">
        <v>54</v>
      </c>
      <c r="D38" s="18">
        <v>7</v>
      </c>
      <c r="E38" s="18" t="str">
        <f>VLOOKUP(B38,'TAT L79'!$B$2:$F$221,3,FALSE)</f>
        <v>EQUIPAMENTO</v>
      </c>
      <c r="F38" s="21" t="str">
        <f t="array" ref="F38">INDEX('[1]2. Mapeamento a validar'!$B$6:$E$233,MATCH(C38,'[1]2. Mapeamento a validar'!$E$6:$E$233,0),1)</f>
        <v>N/A</v>
      </c>
    </row>
    <row r="39" spans="2:6" hidden="1" x14ac:dyDescent="0.3">
      <c r="B39" s="18">
        <v>380</v>
      </c>
      <c r="C39" s="18" t="s">
        <v>30</v>
      </c>
      <c r="D39" s="18">
        <v>1</v>
      </c>
      <c r="E39" s="18" t="str">
        <f>VLOOKUP(B39,'TAT L79'!$B$2:$F$221,3,FALSE)</f>
        <v>EQUIPAMENTO</v>
      </c>
      <c r="F39" s="21" t="str">
        <f t="array" ref="F39">INDEX('[1]2. Mapeamento a validar'!$B$6:$E$233,MATCH(C39,'[1]2. Mapeamento a validar'!$E$6:$E$233,0),1)</f>
        <v>N/A</v>
      </c>
    </row>
    <row r="40" spans="2:6" hidden="1" x14ac:dyDescent="0.3">
      <c r="B40" s="18">
        <v>325</v>
      </c>
      <c r="C40" s="18" t="s">
        <v>16</v>
      </c>
      <c r="D40" s="18">
        <v>52</v>
      </c>
      <c r="E40" s="18" t="str">
        <f>VLOOKUP(B40,'TAT L79'!$B$2:$F$221,3,FALSE)</f>
        <v>EQUIPAMENTO</v>
      </c>
      <c r="F40" s="21" t="str">
        <f t="array" ref="F40">INDEX('[1]2. Mapeamento a validar'!$B$6:$E$233,MATCH(C40,'[1]2. Mapeamento a validar'!$E$6:$E$233,0),1)</f>
        <v>N/A</v>
      </c>
    </row>
    <row r="41" spans="2:6" x14ac:dyDescent="0.3">
      <c r="B41" s="18">
        <v>144</v>
      </c>
      <c r="C41" s="18" t="s">
        <v>3</v>
      </c>
      <c r="D41" s="18">
        <v>35</v>
      </c>
      <c r="E41" s="18" t="str">
        <f>VLOOKUP(B41,'TAT L79'!$B$2:$F$221,3,FALSE)</f>
        <v>VIATURA</v>
      </c>
      <c r="F41" s="21" t="str">
        <f t="array" ref="F41">INDEX('[1]2. Mapeamento a validar'!$B$6:$E$233,MATCH(C41,'[1]2. Mapeamento a validar'!$E$6:$E$233,0),1)</f>
        <v>VEH05</v>
      </c>
    </row>
    <row r="42" spans="2:6" hidden="1" x14ac:dyDescent="0.3">
      <c r="B42" s="18">
        <v>28</v>
      </c>
      <c r="C42" s="18" t="s">
        <v>38</v>
      </c>
      <c r="D42" s="18">
        <v>49</v>
      </c>
      <c r="E42" s="18" t="str">
        <f>VLOOKUP(B42,'TAT L79'!$B$2:$F$221,3,FALSE)</f>
        <v>EQUIPAMENTO</v>
      </c>
      <c r="F42" s="21" t="str">
        <f t="array" ref="F42">INDEX('[1]2. Mapeamento a validar'!$B$6:$E$233,MATCH(C42,'[1]2. Mapeamento a validar'!$E$6:$E$233,0),1)</f>
        <v>N/A</v>
      </c>
    </row>
    <row r="43" spans="2:6" hidden="1" x14ac:dyDescent="0.3">
      <c r="B43" s="18">
        <v>405</v>
      </c>
      <c r="C43" s="18" t="s">
        <v>28</v>
      </c>
      <c r="D43" s="18">
        <v>11</v>
      </c>
      <c r="E43" s="18" t="str">
        <f>VLOOKUP(B43,'TAT L79'!$B$2:$F$221,3,FALSE)</f>
        <v>EQUIPAMENTO</v>
      </c>
      <c r="F43" s="21" t="str">
        <f t="array" ref="F43">INDEX('[1]2. Mapeamento a validar'!$B$6:$E$233,MATCH(C43,'[1]2. Mapeamento a validar'!$E$6:$E$233,0),1)</f>
        <v>N/A</v>
      </c>
    </row>
    <row r="44" spans="2:6" hidden="1" x14ac:dyDescent="0.3">
      <c r="B44" s="18">
        <v>17</v>
      </c>
      <c r="C44" s="18" t="s">
        <v>7</v>
      </c>
      <c r="D44" s="18">
        <v>3</v>
      </c>
      <c r="E44" s="18" t="str">
        <f>VLOOKUP(B44,'TAT L79'!$B$2:$F$221,3,FALSE)</f>
        <v>EQUIPAMENTO</v>
      </c>
      <c r="F44" s="21" t="str">
        <f t="array" ref="F44">INDEX('[1]2. Mapeamento a validar'!$B$6:$E$233,MATCH(C44,'[1]2. Mapeamento a validar'!$E$6:$E$233,0),1)</f>
        <v>N/A</v>
      </c>
    </row>
    <row r="45" spans="2:6" hidden="1" x14ac:dyDescent="0.3">
      <c r="B45" s="18">
        <v>50</v>
      </c>
      <c r="C45" s="18" t="s">
        <v>47</v>
      </c>
      <c r="D45" s="18">
        <v>45</v>
      </c>
      <c r="E45" s="18" t="str">
        <f>VLOOKUP(B45,'TAT L79'!$B$2:$F$221,3,FALSE)</f>
        <v>EQUIPAMENTO</v>
      </c>
      <c r="F45" s="21" t="str">
        <f t="array" ref="F45">INDEX('[1]2. Mapeamento a validar'!$B$6:$E$233,MATCH(C45,'[1]2. Mapeamento a validar'!$E$6:$E$233,0),1)</f>
        <v>N/A</v>
      </c>
    </row>
    <row r="46" spans="2:6" hidden="1" x14ac:dyDescent="0.3">
      <c r="B46" s="18">
        <v>19</v>
      </c>
      <c r="C46" s="18" t="s">
        <v>34</v>
      </c>
      <c r="D46" s="18">
        <v>10</v>
      </c>
      <c r="E46" s="18" t="str">
        <f>VLOOKUP(B46,'TAT L79'!$B$2:$F$221,3,FALSE)</f>
        <v>EQUIPAMENTO</v>
      </c>
      <c r="F46" s="21" t="str">
        <f t="array" ref="F46">INDEX('[1]2. Mapeamento a validar'!$B$6:$E$233,MATCH(C46,'[1]2. Mapeamento a validar'!$E$6:$E$233,0),1)</f>
        <v>N/A</v>
      </c>
    </row>
    <row r="47" spans="2:6" x14ac:dyDescent="0.3">
      <c r="B47" s="18">
        <v>143</v>
      </c>
      <c r="C47" s="18" t="s">
        <v>8</v>
      </c>
      <c r="D47" s="18">
        <v>32</v>
      </c>
      <c r="E47" s="18" t="str">
        <f>VLOOKUP(B47,'TAT L79'!$B$2:$F$221,3,FALSE)</f>
        <v>VIATURA</v>
      </c>
      <c r="F47" s="21" t="str">
        <f t="array" ref="F47">INDEX('[1]2. Mapeamento a validar'!$B$6:$E$233,MATCH(C47,'[1]2. Mapeamento a validar'!$E$6:$E$233,0),1)</f>
        <v>VEH03</v>
      </c>
    </row>
    <row r="48" spans="2:6" x14ac:dyDescent="0.3">
      <c r="B48" s="18">
        <v>224</v>
      </c>
      <c r="C48" s="18" t="s">
        <v>19</v>
      </c>
      <c r="D48" s="18">
        <v>5</v>
      </c>
      <c r="E48" s="18" t="str">
        <f>VLOOKUP(B48,'TAT L79'!$B$2:$F$221,3,FALSE)</f>
        <v>VIATURA</v>
      </c>
      <c r="F48" s="21" t="str">
        <f t="array" ref="F48">INDEX('[1]2. Mapeamento a validar'!$B$6:$E$233,MATCH(C48,'[1]2. Mapeamento a validar'!$E$6:$E$233,0),1)</f>
        <v>VEH20</v>
      </c>
    </row>
    <row r="49" spans="2:6" hidden="1" x14ac:dyDescent="0.3">
      <c r="B49" s="18">
        <v>300</v>
      </c>
      <c r="C49" s="18" t="s">
        <v>33</v>
      </c>
      <c r="D49" s="18">
        <v>1</v>
      </c>
      <c r="E49" s="18" t="str">
        <f>VLOOKUP(B49,'TAT L79'!$B$2:$F$221,3,FALSE)</f>
        <v>EQUIPAMENTO</v>
      </c>
      <c r="F49" s="21" t="str">
        <f t="array" ref="F49">INDEX('[1]2. Mapeamento a validar'!$B$6:$E$233,MATCH(C49,'[1]2. Mapeamento a validar'!$E$6:$E$233,0),1)</f>
        <v>N/A</v>
      </c>
    </row>
    <row r="50" spans="2:6" hidden="1" x14ac:dyDescent="0.3">
      <c r="B50" s="18">
        <v>52</v>
      </c>
      <c r="C50" s="18" t="s">
        <v>10</v>
      </c>
      <c r="D50" s="18">
        <v>89</v>
      </c>
      <c r="E50" s="18" t="str">
        <f>VLOOKUP(B50,'TAT L79'!$B$2:$F$221,3,FALSE)</f>
        <v>EQUIPAMENTO</v>
      </c>
      <c r="F50" s="21" t="str">
        <f t="array" ref="F50">INDEX('[1]2. Mapeamento a validar'!$B$6:$E$233,MATCH(C50,'[1]2. Mapeamento a validar'!$E$6:$E$233,0),1)</f>
        <v>N/A</v>
      </c>
    </row>
    <row r="51" spans="2:6" hidden="1" x14ac:dyDescent="0.3">
      <c r="B51" s="19">
        <v>131</v>
      </c>
      <c r="C51" s="19" t="s">
        <v>35</v>
      </c>
      <c r="D51" s="19">
        <v>3</v>
      </c>
      <c r="E51" s="19" t="str">
        <f>VLOOKUP(B51,'TAT L79'!$B$2:$F$221,3,FALSE)</f>
        <v>VIATURA</v>
      </c>
      <c r="F51" s="21" t="str">
        <f t="array" ref="F51">INDEX('[1]2. Mapeamento a validar'!$B$6:$E$233,MATCH(C51,'[1]2. Mapeamento a validar'!$E$6:$E$233,0),1)</f>
        <v>N/A</v>
      </c>
    </row>
    <row r="52" spans="2:6" hidden="1" x14ac:dyDescent="0.3">
      <c r="B52" s="18">
        <v>530</v>
      </c>
      <c r="C52" s="18" t="s">
        <v>70</v>
      </c>
      <c r="D52" s="18">
        <v>1</v>
      </c>
      <c r="E52" s="18" t="str">
        <f>VLOOKUP(B52,'TAT L79'!$B$2:$F$221,3,FALSE)</f>
        <v>EQUIPAMENTO</v>
      </c>
      <c r="F52" s="21" t="str">
        <f t="array" ref="F52">INDEX('[1]2. Mapeamento a validar'!$B$6:$E$233,MATCH(C52,'[1]2. Mapeamento a validar'!$E$6:$E$233,0),1)</f>
        <v>N/A</v>
      </c>
    </row>
    <row r="53" spans="2:6" hidden="1" x14ac:dyDescent="0.3">
      <c r="B53" s="18">
        <v>26</v>
      </c>
      <c r="C53" s="18" t="s">
        <v>22</v>
      </c>
      <c r="D53" s="18">
        <v>2</v>
      </c>
      <c r="E53" s="18" t="str">
        <f>VLOOKUP(B53,'TAT L79'!$B$2:$F$221,3,FALSE)</f>
        <v>EQUIPAMENTO</v>
      </c>
      <c r="F53" s="21" t="str">
        <f t="array" ref="F53">INDEX('[1]2. Mapeamento a validar'!$B$6:$E$233,MATCH(C53,'[1]2. Mapeamento a validar'!$E$6:$E$233,0),1)</f>
        <v>N/A</v>
      </c>
    </row>
    <row r="54" spans="2:6" hidden="1" x14ac:dyDescent="0.3">
      <c r="B54" s="18">
        <v>70</v>
      </c>
      <c r="C54" s="18" t="s">
        <v>78</v>
      </c>
      <c r="D54" s="18">
        <v>22</v>
      </c>
      <c r="E54" s="18" t="str">
        <f>VLOOKUP(B54,'TAT L79'!$B$2:$F$221,3,FALSE)</f>
        <v>EQUIPAMENTO</v>
      </c>
      <c r="F54" s="21" t="str">
        <f t="array" ref="F54">INDEX('[1]2. Mapeamento a validar'!$B$6:$E$233,MATCH(C54,'[1]2. Mapeamento a validar'!$E$6:$E$233,0),1)</f>
        <v>N/A</v>
      </c>
    </row>
    <row r="55" spans="2:6" hidden="1" x14ac:dyDescent="0.3">
      <c r="B55" s="18">
        <v>23</v>
      </c>
      <c r="C55" s="18" t="s">
        <v>58</v>
      </c>
      <c r="D55" s="18">
        <v>174</v>
      </c>
      <c r="E55" s="18" t="str">
        <f>VLOOKUP(B55,'TAT L79'!$B$2:$F$221,3,FALSE)</f>
        <v>EQUIPAMENTO</v>
      </c>
      <c r="F55" s="21" t="str">
        <f t="array" ref="F55">INDEX('[1]2. Mapeamento a validar'!$B$6:$E$233,MATCH(C55,'[1]2. Mapeamento a validar'!$E$6:$E$233,0),1)</f>
        <v>N/A</v>
      </c>
    </row>
    <row r="56" spans="2:6" hidden="1" x14ac:dyDescent="0.3">
      <c r="B56" s="18">
        <v>395</v>
      </c>
      <c r="C56" s="18" t="s">
        <v>39</v>
      </c>
      <c r="D56" s="18">
        <v>1</v>
      </c>
      <c r="E56" s="18" t="str">
        <f>VLOOKUP(B56,'TAT L79'!$B$2:$F$221,3,FALSE)</f>
        <v>EQUIPAMENTO</v>
      </c>
      <c r="F56" s="21" t="str">
        <f t="array" ref="F56">INDEX('[1]2. Mapeamento a validar'!$B$6:$E$233,MATCH(C56,'[1]2. Mapeamento a validar'!$E$6:$E$233,0),1)</f>
        <v>N/A</v>
      </c>
    </row>
    <row r="57" spans="2:6" hidden="1" x14ac:dyDescent="0.3">
      <c r="B57" s="18">
        <v>34</v>
      </c>
      <c r="C57" s="18" t="s">
        <v>20</v>
      </c>
      <c r="D57" s="18">
        <v>117</v>
      </c>
      <c r="E57" s="18" t="str">
        <f>VLOOKUP(B57,'TAT L79'!$B$2:$F$221,3,FALSE)</f>
        <v>EQUIPAMENTO</v>
      </c>
      <c r="F57" s="21" t="str">
        <f t="array" ref="F57">INDEX('[1]2. Mapeamento a validar'!$B$6:$E$233,MATCH(C57,'[1]2. Mapeamento a validar'!$E$6:$E$233,0),1)</f>
        <v>N/A</v>
      </c>
    </row>
    <row r="58" spans="2:6" hidden="1" x14ac:dyDescent="0.3">
      <c r="B58" s="18">
        <v>73</v>
      </c>
      <c r="C58" s="18" t="s">
        <v>48</v>
      </c>
      <c r="D58" s="18">
        <v>64</v>
      </c>
      <c r="E58" s="18" t="str">
        <f>VLOOKUP(B58,'TAT L79'!$B$2:$F$221,3,FALSE)</f>
        <v>EQUIPAMENTO</v>
      </c>
      <c r="F58" s="21" t="str">
        <f t="array" ref="F58">INDEX('[1]2. Mapeamento a validar'!$B$6:$E$233,MATCH(C58,'[1]2. Mapeamento a validar'!$E$6:$E$233,0),1)</f>
        <v>N/A</v>
      </c>
    </row>
    <row r="59" spans="2:6" hidden="1" x14ac:dyDescent="0.3">
      <c r="B59" s="18">
        <v>59</v>
      </c>
      <c r="C59" s="18" t="s">
        <v>53</v>
      </c>
      <c r="D59" s="18">
        <v>249</v>
      </c>
      <c r="E59" s="18" t="str">
        <f>VLOOKUP(B59,'TAT L79'!$B$2:$F$221,3,FALSE)</f>
        <v>EQUIPAMENTO</v>
      </c>
      <c r="F59" s="21" t="str">
        <f t="array" ref="F59">INDEX('[1]2. Mapeamento a validar'!$B$6:$E$233,MATCH(C59,'[1]2. Mapeamento a validar'!$E$6:$E$233,0),1)</f>
        <v>N/A</v>
      </c>
    </row>
    <row r="60" spans="2:6" hidden="1" x14ac:dyDescent="0.3">
      <c r="B60" s="18">
        <v>11</v>
      </c>
      <c r="C60" s="18" t="s">
        <v>49</v>
      </c>
      <c r="D60" s="18">
        <v>7</v>
      </c>
      <c r="E60" s="18" t="str">
        <f>VLOOKUP(B60,'TAT L79'!$B$2:$F$221,3,FALSE)</f>
        <v>EQUIPAMENTO</v>
      </c>
      <c r="F60" s="21" t="str">
        <f t="array" ref="F60">INDEX('[1]2. Mapeamento a validar'!$B$6:$E$233,MATCH(C60,'[1]2. Mapeamento a validar'!$E$6:$E$233,0),1)</f>
        <v>N/A</v>
      </c>
    </row>
    <row r="61" spans="2:6" x14ac:dyDescent="0.3">
      <c r="B61" s="18">
        <v>211</v>
      </c>
      <c r="C61" s="18" t="s">
        <v>37</v>
      </c>
      <c r="D61" s="18">
        <v>2</v>
      </c>
      <c r="E61" s="18" t="str">
        <f>VLOOKUP(B61,'TAT L79'!$B$2:$F$221,3,FALSE)</f>
        <v>VIATURA</v>
      </c>
      <c r="F61" s="21" t="str">
        <f t="array" ref="F61">INDEX('[1]2. Mapeamento a validar'!$B$6:$E$233,MATCH(C61,'[1]2. Mapeamento a validar'!$E$6:$E$233,0),1)</f>
        <v>VEH18</v>
      </c>
    </row>
    <row r="62" spans="2:6" hidden="1" x14ac:dyDescent="0.3">
      <c r="B62" s="18">
        <v>49</v>
      </c>
      <c r="C62" s="18" t="s">
        <v>16</v>
      </c>
      <c r="D62" s="18">
        <v>12</v>
      </c>
      <c r="E62" s="18" t="str">
        <f>VLOOKUP(B62,'TAT L79'!$B$2:$F$221,3,FALSE)</f>
        <v>EQUIPAMENTO</v>
      </c>
      <c r="F62" s="21" t="str">
        <f t="array" ref="F62">INDEX('[1]2. Mapeamento a validar'!$B$6:$E$233,MATCH(C62,'[1]2. Mapeamento a validar'!$E$6:$E$233,0),1)</f>
        <v>N/A</v>
      </c>
    </row>
    <row r="63" spans="2:6" hidden="1" x14ac:dyDescent="0.3">
      <c r="B63" s="18">
        <v>24</v>
      </c>
      <c r="C63" s="18" t="s">
        <v>5</v>
      </c>
      <c r="D63" s="18">
        <v>104</v>
      </c>
      <c r="E63" s="18" t="str">
        <f>VLOOKUP(B63,'TAT L79'!$B$2:$F$221,3,FALSE)</f>
        <v>EQUIPAMENTO</v>
      </c>
      <c r="F63" s="21" t="str">
        <f t="array" ref="F63">INDEX('[1]2. Mapeamento a validar'!$B$6:$E$233,MATCH(C63,'[1]2. Mapeamento a validar'!$E$6:$E$233,0),1)</f>
        <v>N/A</v>
      </c>
    </row>
    <row r="64" spans="2:6" hidden="1" x14ac:dyDescent="0.3">
      <c r="B64" s="18">
        <v>10</v>
      </c>
      <c r="C64" s="18" t="s">
        <v>12</v>
      </c>
      <c r="D64" s="18">
        <v>198</v>
      </c>
      <c r="E64" s="18" t="str">
        <f>VLOOKUP(B64,'TAT L79'!$B$2:$F$221,3,FALSE)</f>
        <v>EQUIPAMENTO</v>
      </c>
      <c r="F64" s="21" t="str">
        <f t="array" ref="F64">INDEX('[1]2. Mapeamento a validar'!$B$6:$E$233,MATCH(C64,'[1]2. Mapeamento a validar'!$E$6:$E$233,0),1)</f>
        <v>N/A</v>
      </c>
    </row>
    <row r="65" spans="2:6" hidden="1" x14ac:dyDescent="0.3">
      <c r="B65" s="18">
        <v>43</v>
      </c>
      <c r="C65" s="18" t="s">
        <v>77</v>
      </c>
      <c r="D65" s="18">
        <v>13</v>
      </c>
      <c r="E65" s="18" t="str">
        <f>VLOOKUP(B65,'TAT L79'!$B$2:$F$221,3,FALSE)</f>
        <v>EQUIPAMENTO</v>
      </c>
      <c r="F65" s="21" t="str">
        <f t="array" ref="F65">INDEX('[1]2. Mapeamento a validar'!$B$6:$E$233,MATCH(C65,'[1]2. Mapeamento a validar'!$E$6:$E$233,0),1)</f>
        <v>N/A</v>
      </c>
    </row>
    <row r="66" spans="2:6" x14ac:dyDescent="0.3">
      <c r="B66" s="18">
        <v>15</v>
      </c>
      <c r="C66" s="18" t="s">
        <v>75</v>
      </c>
      <c r="D66" s="18">
        <v>1</v>
      </c>
      <c r="E66" s="18" t="str">
        <f>VLOOKUP(B66,'TAT L79'!$B$2:$F$221,3,FALSE)</f>
        <v>VIATURA</v>
      </c>
      <c r="F66" s="21" t="str">
        <f t="array" ref="F66">INDEX('[1]2. Mapeamento a validar'!$B$6:$E$233,MATCH(C66,'[1]2. Mapeamento a validar'!$E$6:$E$233,0),1)</f>
        <v>VEH18</v>
      </c>
    </row>
    <row r="67" spans="2:6" hidden="1" x14ac:dyDescent="0.3">
      <c r="B67" s="18">
        <v>204</v>
      </c>
      <c r="C67" s="18" t="s">
        <v>52</v>
      </c>
      <c r="D67" s="18">
        <v>18</v>
      </c>
      <c r="E67" s="18" t="str">
        <f>VLOOKUP(B67,'TAT L79'!$B$2:$F$221,3,FALSE)</f>
        <v>EQUIPAMENTO</v>
      </c>
      <c r="F67" s="21" t="str">
        <f t="array" ref="F67">INDEX('[1]2. Mapeamento a validar'!$B$6:$E$233,MATCH(C67,'[1]2. Mapeamento a validar'!$E$6:$E$233,0),1)</f>
        <v>N/A</v>
      </c>
    </row>
    <row r="68" spans="2:6" hidden="1" x14ac:dyDescent="0.3">
      <c r="B68" s="18">
        <v>400</v>
      </c>
      <c r="C68" s="18" t="s">
        <v>11</v>
      </c>
      <c r="D68" s="18">
        <v>7</v>
      </c>
      <c r="E68" s="18" t="str">
        <f>VLOOKUP(B68,'TAT L79'!$B$2:$F$221,3,FALSE)</f>
        <v>EQUIPAMENTO</v>
      </c>
      <c r="F68" s="21" t="str">
        <f t="array" ref="F68">INDEX('[1]2. Mapeamento a validar'!$B$6:$E$233,MATCH(C68,'[1]2. Mapeamento a validar'!$E$6:$E$233,0),1)</f>
        <v>N/A</v>
      </c>
    </row>
    <row r="69" spans="2:6" hidden="1" x14ac:dyDescent="0.3">
      <c r="B69" s="18">
        <v>25</v>
      </c>
      <c r="C69" s="18" t="s">
        <v>26</v>
      </c>
      <c r="D69" s="18">
        <v>11</v>
      </c>
      <c r="E69" s="18" t="str">
        <f>VLOOKUP(B69,'TAT L79'!$B$2:$F$221,3,FALSE)</f>
        <v>EQUIPAMENTO</v>
      </c>
      <c r="F69" s="21" t="str">
        <f t="array" ref="F69">INDEX('[1]2. Mapeamento a validar'!$B$6:$E$233,MATCH(C69,'[1]2. Mapeamento a validar'!$E$6:$E$233,0),1)</f>
        <v>N/A</v>
      </c>
    </row>
    <row r="70" spans="2:6" x14ac:dyDescent="0.3">
      <c r="B70" s="18">
        <v>150</v>
      </c>
      <c r="C70" s="18" t="s">
        <v>60</v>
      </c>
      <c r="D70" s="18">
        <v>48</v>
      </c>
      <c r="E70" s="18" t="str">
        <f>VLOOKUP(B70,'TAT L79'!$B$2:$F$221,3,FALSE)</f>
        <v>VIATURA</v>
      </c>
      <c r="F70" s="21" t="str">
        <f t="array" ref="F70">INDEX('[1]2. Mapeamento a validar'!$B$6:$E$233,MATCH(C70,'[1]2. Mapeamento a validar'!$E$6:$E$233,0),1)</f>
        <v>VEH21</v>
      </c>
    </row>
    <row r="71" spans="2:6" hidden="1" x14ac:dyDescent="0.3">
      <c r="B71" s="18">
        <v>40</v>
      </c>
      <c r="C71" s="18" t="s">
        <v>46</v>
      </c>
      <c r="D71" s="18">
        <v>1024</v>
      </c>
      <c r="E71" s="18" t="str">
        <f>VLOOKUP(B71,'TAT L79'!$B$2:$F$221,3,FALSE)</f>
        <v>EQUIPAMENTO</v>
      </c>
      <c r="F71" s="21" t="str">
        <f t="array" ref="F71">INDEX('[1]2. Mapeamento a validar'!$B$6:$E$233,MATCH(C71,'[1]2. Mapeamento a validar'!$E$6:$E$233,0),1)</f>
        <v>N/A</v>
      </c>
    </row>
    <row r="72" spans="2:6" hidden="1" x14ac:dyDescent="0.3">
      <c r="B72" s="18">
        <v>22</v>
      </c>
      <c r="C72" s="18" t="s">
        <v>59</v>
      </c>
      <c r="D72" s="18">
        <v>233</v>
      </c>
      <c r="E72" s="18" t="str">
        <f>VLOOKUP(B72,'TAT L79'!$B$2:$F$221,3,FALSE)</f>
        <v>EQUIPAMENTO</v>
      </c>
      <c r="F72" s="21" t="str">
        <f t="array" ref="F72">INDEX('[1]2. Mapeamento a validar'!$B$6:$E$233,MATCH(C72,'[1]2. Mapeamento a validar'!$E$6:$E$233,0),1)</f>
        <v>N/A</v>
      </c>
    </row>
    <row r="73" spans="2:6" x14ac:dyDescent="0.3">
      <c r="B73" s="18">
        <v>151</v>
      </c>
      <c r="C73" s="18" t="s">
        <v>2</v>
      </c>
      <c r="D73" s="18">
        <v>57</v>
      </c>
      <c r="E73" s="18" t="str">
        <f>VLOOKUP(B73,'TAT L79'!$B$2:$F$221,3,FALSE)</f>
        <v>VIATURA</v>
      </c>
      <c r="F73" s="21" t="str">
        <f t="array" ref="F73">INDEX('[1]2. Mapeamento a validar'!$B$6:$E$233,MATCH(C73,'[1]2. Mapeamento a validar'!$E$6:$E$233,0),1)</f>
        <v>VEH21</v>
      </c>
    </row>
    <row r="74" spans="2:6" x14ac:dyDescent="0.3">
      <c r="B74" s="18">
        <v>171</v>
      </c>
      <c r="C74" s="18" t="s">
        <v>63</v>
      </c>
      <c r="D74" s="18">
        <v>3</v>
      </c>
      <c r="E74" s="18" t="str">
        <f>VLOOKUP(B74,'TAT L79'!$B$2:$F$221,3,FALSE)</f>
        <v>VIATURA</v>
      </c>
      <c r="F74" s="21" t="str">
        <f t="array" ref="F74">INDEX('[1]2. Mapeamento a validar'!$B$6:$E$233,MATCH(C74,'[1]2. Mapeamento a validar'!$E$6:$E$233,0),1)</f>
        <v>VEH16</v>
      </c>
    </row>
    <row r="75" spans="2:6" hidden="1" x14ac:dyDescent="0.3">
      <c r="B75" s="18">
        <v>69</v>
      </c>
      <c r="C75" s="18" t="s">
        <v>16</v>
      </c>
      <c r="D75" s="18">
        <v>5</v>
      </c>
      <c r="E75" s="18" t="str">
        <f>VLOOKUP(B75,'TAT L79'!$B$2:$F$221,3,FALSE)</f>
        <v>EQUIPAMENTO</v>
      </c>
      <c r="F75" s="21" t="str">
        <f t="array" ref="F75">INDEX('[1]2. Mapeamento a validar'!$B$6:$E$233,MATCH(C75,'[1]2. Mapeamento a validar'!$E$6:$E$233,0),1)</f>
        <v>N/A</v>
      </c>
    </row>
    <row r="76" spans="2:6" hidden="1" x14ac:dyDescent="0.3">
      <c r="B76" s="19">
        <v>120</v>
      </c>
      <c r="C76" s="19" t="s">
        <v>57</v>
      </c>
      <c r="D76" s="19">
        <v>1</v>
      </c>
      <c r="E76" s="19" t="str">
        <f>VLOOKUP(B76,'TAT L79'!$B$2:$F$221,3,FALSE)</f>
        <v>VIATURA</v>
      </c>
      <c r="F76" s="21" t="str">
        <f t="array" ref="F76">INDEX('[1]2. Mapeamento a validar'!$B$6:$E$233,MATCH(C76,'[1]2. Mapeamento a validar'!$E$6:$E$233,0),1)</f>
        <v>N/A</v>
      </c>
    </row>
    <row r="77" spans="2:6" x14ac:dyDescent="0.3">
      <c r="B77" s="18">
        <v>148</v>
      </c>
      <c r="C77" s="18" t="s">
        <v>32</v>
      </c>
      <c r="D77" s="18">
        <v>33</v>
      </c>
      <c r="E77" s="18" t="str">
        <f>VLOOKUP(B77,'TAT L79'!$B$2:$F$221,3,FALSE)</f>
        <v>VIATURA</v>
      </c>
      <c r="F77" s="21" t="str">
        <f t="array" ref="F77">INDEX('[1]2. Mapeamento a validar'!$B$6:$E$233,MATCH(C77,'[1]2. Mapeamento a validar'!$E$6:$E$233,0),1)</f>
        <v>VEH16</v>
      </c>
    </row>
    <row r="78" spans="2:6" x14ac:dyDescent="0.3">
      <c r="B78" s="18">
        <v>223</v>
      </c>
      <c r="C78" s="18" t="s">
        <v>56</v>
      </c>
      <c r="D78" s="18">
        <v>5</v>
      </c>
      <c r="E78" s="18" t="str">
        <f>VLOOKUP(B78,'TAT L79'!$B$2:$F$221,3,FALSE)</f>
        <v>VIATURA</v>
      </c>
      <c r="F78" s="21" t="str">
        <f t="array" ref="F78">INDEX('[1]2. Mapeamento a validar'!$B$6:$E$233,MATCH(C78,'[1]2. Mapeamento a validar'!$E$6:$E$233,0),1)</f>
        <v>VEH20</v>
      </c>
    </row>
    <row r="79" spans="2:6" x14ac:dyDescent="0.3">
      <c r="B79" s="22" t="s">
        <v>248</v>
      </c>
      <c r="C79" s="22"/>
      <c r="D79" s="23">
        <f>SUBTOTAL(9,D3:D78)</f>
        <v>303</v>
      </c>
    </row>
  </sheetData>
  <autoFilter ref="B2:F78" xr:uid="{CD2D79B4-B9F2-4E06-A87E-A6C69AF27A8D}">
    <filterColumn colId="3">
      <filters>
        <filter val="VIATURA"/>
      </filters>
    </filterColumn>
    <filterColumn colId="4">
      <filters>
        <filter val="VEH01"/>
        <filter val="VEH03"/>
        <filter val="VEH04"/>
        <filter val="VEH05"/>
        <filter val="VEH16"/>
        <filter val="VEH18"/>
        <filter val="VEH20"/>
        <filter val="VEH21"/>
      </filters>
    </filterColumn>
  </autoFilter>
  <mergeCells count="1">
    <mergeCell ref="B79:C7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F66C8-878C-4D19-8139-CE82E22B5E54}">
  <dimension ref="B2:F221"/>
  <sheetViews>
    <sheetView workbookViewId="0">
      <selection activeCell="B3" sqref="B3"/>
    </sheetView>
  </sheetViews>
  <sheetFormatPr defaultRowHeight="14.4" x14ac:dyDescent="0.3"/>
  <cols>
    <col min="2" max="2" width="8.77734375" bestFit="1" customWidth="1"/>
    <col min="3" max="3" width="45.44140625" bestFit="1" customWidth="1"/>
    <col min="4" max="4" width="13.77734375" bestFit="1" customWidth="1"/>
    <col min="5" max="6" width="9.33203125" bestFit="1" customWidth="1"/>
  </cols>
  <sheetData>
    <row r="2" spans="2:6" x14ac:dyDescent="0.3">
      <c r="B2" s="10" t="s">
        <v>86</v>
      </c>
      <c r="C2" s="10" t="s">
        <v>87</v>
      </c>
      <c r="D2" s="11" t="s">
        <v>88</v>
      </c>
      <c r="E2" s="11" t="s">
        <v>89</v>
      </c>
      <c r="F2" s="11" t="s">
        <v>90</v>
      </c>
    </row>
    <row r="3" spans="2:6" x14ac:dyDescent="0.3">
      <c r="B3" s="12">
        <v>10</v>
      </c>
      <c r="C3" s="13" t="s">
        <v>12</v>
      </c>
      <c r="D3" s="12" t="s">
        <v>91</v>
      </c>
      <c r="E3" s="12" t="s">
        <v>92</v>
      </c>
      <c r="F3" s="12"/>
    </row>
    <row r="4" spans="2:6" x14ac:dyDescent="0.3">
      <c r="B4" s="12">
        <v>11</v>
      </c>
      <c r="C4" s="13" t="s">
        <v>49</v>
      </c>
      <c r="D4" s="12" t="s">
        <v>91</v>
      </c>
      <c r="E4" s="12" t="s">
        <v>92</v>
      </c>
      <c r="F4" s="12"/>
    </row>
    <row r="5" spans="2:6" x14ac:dyDescent="0.3">
      <c r="B5" s="12">
        <v>12</v>
      </c>
      <c r="C5" s="13" t="s">
        <v>13</v>
      </c>
      <c r="D5" s="12" t="s">
        <v>91</v>
      </c>
      <c r="E5" s="12" t="s">
        <v>92</v>
      </c>
      <c r="F5" s="12"/>
    </row>
    <row r="6" spans="2:6" x14ac:dyDescent="0.3">
      <c r="B6" s="12">
        <v>13</v>
      </c>
      <c r="C6" s="13" t="s">
        <v>54</v>
      </c>
      <c r="D6" s="12" t="s">
        <v>91</v>
      </c>
      <c r="E6" s="12" t="s">
        <v>92</v>
      </c>
      <c r="F6" s="12"/>
    </row>
    <row r="7" spans="2:6" x14ac:dyDescent="0.3">
      <c r="B7" s="12">
        <v>14</v>
      </c>
      <c r="C7" s="13" t="s">
        <v>93</v>
      </c>
      <c r="D7" s="14" t="s">
        <v>94</v>
      </c>
      <c r="E7" s="14" t="s">
        <v>51</v>
      </c>
      <c r="F7" s="12"/>
    </row>
    <row r="8" spans="2:6" x14ac:dyDescent="0.3">
      <c r="B8" s="12">
        <v>15</v>
      </c>
      <c r="C8" s="13" t="s">
        <v>75</v>
      </c>
      <c r="D8" s="12" t="s">
        <v>94</v>
      </c>
      <c r="E8" s="12" t="s">
        <v>95</v>
      </c>
      <c r="F8" s="12"/>
    </row>
    <row r="9" spans="2:6" x14ac:dyDescent="0.3">
      <c r="B9" s="12">
        <v>17</v>
      </c>
      <c r="C9" s="13" t="s">
        <v>7</v>
      </c>
      <c r="D9" s="12" t="s">
        <v>91</v>
      </c>
      <c r="E9" s="12" t="s">
        <v>96</v>
      </c>
      <c r="F9" s="12"/>
    </row>
    <row r="10" spans="2:6" x14ac:dyDescent="0.3">
      <c r="B10" s="12">
        <v>18</v>
      </c>
      <c r="C10" s="13" t="s">
        <v>97</v>
      </c>
      <c r="D10" s="12" t="s">
        <v>91</v>
      </c>
      <c r="E10" s="12" t="s">
        <v>98</v>
      </c>
      <c r="F10" s="12"/>
    </row>
    <row r="11" spans="2:6" x14ac:dyDescent="0.3">
      <c r="B11" s="12">
        <v>19</v>
      </c>
      <c r="C11" s="13" t="s">
        <v>34</v>
      </c>
      <c r="D11" s="12" t="s">
        <v>91</v>
      </c>
      <c r="E11" s="12" t="s">
        <v>99</v>
      </c>
      <c r="F11" s="12"/>
    </row>
    <row r="12" spans="2:6" x14ac:dyDescent="0.3">
      <c r="B12" s="12">
        <v>20</v>
      </c>
      <c r="C12" s="13" t="s">
        <v>71</v>
      </c>
      <c r="D12" s="12" t="s">
        <v>91</v>
      </c>
      <c r="E12" s="12" t="s">
        <v>96</v>
      </c>
      <c r="F12" s="12"/>
    </row>
    <row r="13" spans="2:6" x14ac:dyDescent="0.3">
      <c r="B13" s="12">
        <v>21</v>
      </c>
      <c r="C13" s="13" t="s">
        <v>67</v>
      </c>
      <c r="D13" s="12" t="s">
        <v>91</v>
      </c>
      <c r="E13" s="12" t="s">
        <v>96</v>
      </c>
      <c r="F13" s="12"/>
    </row>
    <row r="14" spans="2:6" x14ac:dyDescent="0.3">
      <c r="B14" s="12">
        <v>22</v>
      </c>
      <c r="C14" s="13" t="s">
        <v>59</v>
      </c>
      <c r="D14" s="12" t="s">
        <v>91</v>
      </c>
      <c r="E14" s="12" t="s">
        <v>96</v>
      </c>
      <c r="F14" s="12"/>
    </row>
    <row r="15" spans="2:6" x14ac:dyDescent="0.3">
      <c r="B15" s="12">
        <v>23</v>
      </c>
      <c r="C15" s="13" t="s">
        <v>58</v>
      </c>
      <c r="D15" s="12" t="s">
        <v>91</v>
      </c>
      <c r="E15" s="12" t="s">
        <v>96</v>
      </c>
      <c r="F15" s="12"/>
    </row>
    <row r="16" spans="2:6" x14ac:dyDescent="0.3">
      <c r="B16" s="12">
        <v>24</v>
      </c>
      <c r="C16" s="13" t="s">
        <v>5</v>
      </c>
      <c r="D16" s="12" t="s">
        <v>91</v>
      </c>
      <c r="E16" s="12" t="s">
        <v>96</v>
      </c>
      <c r="F16" s="12"/>
    </row>
    <row r="17" spans="2:6" x14ac:dyDescent="0.3">
      <c r="B17" s="12">
        <v>25</v>
      </c>
      <c r="C17" s="13" t="s">
        <v>26</v>
      </c>
      <c r="D17" s="12" t="s">
        <v>91</v>
      </c>
      <c r="E17" s="12" t="s">
        <v>96</v>
      </c>
      <c r="F17" s="12"/>
    </row>
    <row r="18" spans="2:6" x14ac:dyDescent="0.3">
      <c r="B18" s="12">
        <v>26</v>
      </c>
      <c r="C18" s="13" t="s">
        <v>22</v>
      </c>
      <c r="D18" s="12" t="s">
        <v>91</v>
      </c>
      <c r="E18" s="12" t="s">
        <v>96</v>
      </c>
      <c r="F18" s="12"/>
    </row>
    <row r="19" spans="2:6" x14ac:dyDescent="0.3">
      <c r="B19" s="12">
        <v>27</v>
      </c>
      <c r="C19" s="13" t="s">
        <v>100</v>
      </c>
      <c r="D19" s="12" t="s">
        <v>91</v>
      </c>
      <c r="E19" s="12" t="s">
        <v>96</v>
      </c>
      <c r="F19" s="12"/>
    </row>
    <row r="20" spans="2:6" x14ac:dyDescent="0.3">
      <c r="B20" s="12">
        <v>28</v>
      </c>
      <c r="C20" s="13" t="s">
        <v>38</v>
      </c>
      <c r="D20" s="12" t="s">
        <v>91</v>
      </c>
      <c r="E20" s="12" t="s">
        <v>96</v>
      </c>
      <c r="F20" s="12"/>
    </row>
    <row r="21" spans="2:6" x14ac:dyDescent="0.3">
      <c r="B21" s="12">
        <v>29</v>
      </c>
      <c r="C21" s="13" t="s">
        <v>6</v>
      </c>
      <c r="D21" s="12" t="s">
        <v>91</v>
      </c>
      <c r="E21" s="12" t="s">
        <v>96</v>
      </c>
      <c r="F21" s="12"/>
    </row>
    <row r="22" spans="2:6" x14ac:dyDescent="0.3">
      <c r="B22" s="12">
        <v>30</v>
      </c>
      <c r="C22" s="13" t="s">
        <v>29</v>
      </c>
      <c r="D22" s="12" t="s">
        <v>91</v>
      </c>
      <c r="E22" s="12" t="s">
        <v>101</v>
      </c>
      <c r="F22" s="12"/>
    </row>
    <row r="23" spans="2:6" x14ac:dyDescent="0.3">
      <c r="B23" s="12">
        <v>31</v>
      </c>
      <c r="C23" s="13" t="s">
        <v>4</v>
      </c>
      <c r="D23" s="12" t="s">
        <v>91</v>
      </c>
      <c r="E23" s="12" t="s">
        <v>101</v>
      </c>
      <c r="F23" s="12"/>
    </row>
    <row r="24" spans="2:6" x14ac:dyDescent="0.3">
      <c r="B24" s="12">
        <v>32</v>
      </c>
      <c r="C24" s="13" t="s">
        <v>9</v>
      </c>
      <c r="D24" s="12" t="s">
        <v>91</v>
      </c>
      <c r="E24" s="12" t="s">
        <v>101</v>
      </c>
      <c r="F24" s="12"/>
    </row>
    <row r="25" spans="2:6" x14ac:dyDescent="0.3">
      <c r="B25" s="12">
        <v>33</v>
      </c>
      <c r="C25" s="13" t="s">
        <v>18</v>
      </c>
      <c r="D25" s="12" t="s">
        <v>94</v>
      </c>
      <c r="E25" s="12" t="s">
        <v>44</v>
      </c>
      <c r="F25" s="12"/>
    </row>
    <row r="26" spans="2:6" x14ac:dyDescent="0.3">
      <c r="B26" s="12">
        <v>34</v>
      </c>
      <c r="C26" s="13" t="s">
        <v>20</v>
      </c>
      <c r="D26" s="12" t="s">
        <v>91</v>
      </c>
      <c r="E26" s="12" t="s">
        <v>96</v>
      </c>
      <c r="F26" s="12"/>
    </row>
    <row r="27" spans="2:6" x14ac:dyDescent="0.3">
      <c r="B27" s="12">
        <v>39</v>
      </c>
      <c r="C27" s="13" t="s">
        <v>17</v>
      </c>
      <c r="D27" s="12" t="s">
        <v>91</v>
      </c>
      <c r="E27" s="12" t="s">
        <v>101</v>
      </c>
      <c r="F27" s="12"/>
    </row>
    <row r="28" spans="2:6" x14ac:dyDescent="0.3">
      <c r="B28" s="12">
        <v>40</v>
      </c>
      <c r="C28" s="13" t="s">
        <v>46</v>
      </c>
      <c r="D28" s="12" t="s">
        <v>91</v>
      </c>
      <c r="E28" s="12" t="s">
        <v>102</v>
      </c>
      <c r="F28" s="12"/>
    </row>
    <row r="29" spans="2:6" x14ac:dyDescent="0.3">
      <c r="B29" s="12">
        <v>41</v>
      </c>
      <c r="C29" s="13" t="s">
        <v>76</v>
      </c>
      <c r="D29" s="12" t="s">
        <v>91</v>
      </c>
      <c r="E29" s="12" t="s">
        <v>103</v>
      </c>
      <c r="F29" s="12"/>
    </row>
    <row r="30" spans="2:6" x14ac:dyDescent="0.3">
      <c r="B30" s="12">
        <v>42</v>
      </c>
      <c r="C30" s="13" t="s">
        <v>104</v>
      </c>
      <c r="D30" s="12" t="s">
        <v>91</v>
      </c>
      <c r="E30" s="12" t="s">
        <v>105</v>
      </c>
      <c r="F30" s="12"/>
    </row>
    <row r="31" spans="2:6" x14ac:dyDescent="0.3">
      <c r="B31" s="12">
        <v>43</v>
      </c>
      <c r="C31" s="13" t="s">
        <v>77</v>
      </c>
      <c r="D31" s="12" t="s">
        <v>91</v>
      </c>
      <c r="E31" s="12" t="s">
        <v>102</v>
      </c>
      <c r="F31" s="12"/>
    </row>
    <row r="32" spans="2:6" x14ac:dyDescent="0.3">
      <c r="B32" s="12">
        <v>49</v>
      </c>
      <c r="C32" s="13" t="s">
        <v>16</v>
      </c>
      <c r="D32" s="12" t="s">
        <v>91</v>
      </c>
      <c r="E32" s="12" t="s">
        <v>106</v>
      </c>
      <c r="F32" s="12"/>
    </row>
    <row r="33" spans="2:6" x14ac:dyDescent="0.3">
      <c r="B33" s="12">
        <v>50</v>
      </c>
      <c r="C33" s="13" t="s">
        <v>47</v>
      </c>
      <c r="D33" s="12" t="s">
        <v>91</v>
      </c>
      <c r="E33" s="12" t="s">
        <v>107</v>
      </c>
      <c r="F33" s="12"/>
    </row>
    <row r="34" spans="2:6" x14ac:dyDescent="0.3">
      <c r="B34" s="12">
        <v>51</v>
      </c>
      <c r="C34" s="13" t="s">
        <v>42</v>
      </c>
      <c r="D34" s="12" t="s">
        <v>91</v>
      </c>
      <c r="E34" s="12" t="s">
        <v>107</v>
      </c>
      <c r="F34" s="12"/>
    </row>
    <row r="35" spans="2:6" x14ac:dyDescent="0.3">
      <c r="B35" s="12">
        <v>52</v>
      </c>
      <c r="C35" s="13" t="s">
        <v>10</v>
      </c>
      <c r="D35" s="12" t="s">
        <v>91</v>
      </c>
      <c r="E35" s="12" t="s">
        <v>107</v>
      </c>
      <c r="F35" s="12"/>
    </row>
    <row r="36" spans="2:6" x14ac:dyDescent="0.3">
      <c r="B36" s="12">
        <v>53</v>
      </c>
      <c r="C36" s="13" t="s">
        <v>66</v>
      </c>
      <c r="D36" s="12" t="s">
        <v>91</v>
      </c>
      <c r="E36" s="12" t="s">
        <v>107</v>
      </c>
      <c r="F36" s="12"/>
    </row>
    <row r="37" spans="2:6" x14ac:dyDescent="0.3">
      <c r="B37" s="12">
        <v>54</v>
      </c>
      <c r="C37" s="13" t="s">
        <v>40</v>
      </c>
      <c r="D37" s="12" t="s">
        <v>91</v>
      </c>
      <c r="E37" s="12" t="s">
        <v>107</v>
      </c>
      <c r="F37" s="12"/>
    </row>
    <row r="38" spans="2:6" x14ac:dyDescent="0.3">
      <c r="B38" s="12">
        <v>55</v>
      </c>
      <c r="C38" s="13" t="s">
        <v>15</v>
      </c>
      <c r="D38" s="12" t="s">
        <v>91</v>
      </c>
      <c r="E38" s="12" t="s">
        <v>107</v>
      </c>
      <c r="F38" s="12"/>
    </row>
    <row r="39" spans="2:6" x14ac:dyDescent="0.3">
      <c r="B39" s="12">
        <v>57</v>
      </c>
      <c r="C39" s="13" t="s">
        <v>108</v>
      </c>
      <c r="D39" s="12" t="s">
        <v>91</v>
      </c>
      <c r="E39" s="12" t="s">
        <v>107</v>
      </c>
      <c r="F39" s="12"/>
    </row>
    <row r="40" spans="2:6" x14ac:dyDescent="0.3">
      <c r="B40" s="12">
        <v>58</v>
      </c>
      <c r="C40" s="13" t="s">
        <v>109</v>
      </c>
      <c r="D40" s="12" t="s">
        <v>91</v>
      </c>
      <c r="E40" s="12" t="s">
        <v>107</v>
      </c>
      <c r="F40" s="12"/>
    </row>
    <row r="41" spans="2:6" x14ac:dyDescent="0.3">
      <c r="B41" s="12">
        <v>59</v>
      </c>
      <c r="C41" s="13" t="s">
        <v>53</v>
      </c>
      <c r="D41" s="12" t="s">
        <v>91</v>
      </c>
      <c r="E41" s="12" t="s">
        <v>106</v>
      </c>
      <c r="F41" s="12"/>
    </row>
    <row r="42" spans="2:6" x14ac:dyDescent="0.3">
      <c r="B42" s="12">
        <v>60</v>
      </c>
      <c r="C42" s="13" t="s">
        <v>50</v>
      </c>
      <c r="D42" s="12" t="s">
        <v>91</v>
      </c>
      <c r="E42" s="12" t="s">
        <v>110</v>
      </c>
      <c r="F42" s="12"/>
    </row>
    <row r="43" spans="2:6" x14ac:dyDescent="0.3">
      <c r="B43" s="12">
        <v>61</v>
      </c>
      <c r="C43" s="13" t="s">
        <v>111</v>
      </c>
      <c r="D43" s="12" t="s">
        <v>91</v>
      </c>
      <c r="E43" s="12" t="s">
        <v>110</v>
      </c>
      <c r="F43" s="12"/>
    </row>
    <row r="44" spans="2:6" x14ac:dyDescent="0.3">
      <c r="B44" s="12">
        <v>62</v>
      </c>
      <c r="C44" s="13" t="s">
        <v>31</v>
      </c>
      <c r="D44" s="12" t="s">
        <v>91</v>
      </c>
      <c r="E44" s="12" t="s">
        <v>110</v>
      </c>
      <c r="F44" s="12"/>
    </row>
    <row r="45" spans="2:6" x14ac:dyDescent="0.3">
      <c r="B45" s="12">
        <v>69</v>
      </c>
      <c r="C45" s="13" t="s">
        <v>16</v>
      </c>
      <c r="D45" s="12" t="s">
        <v>91</v>
      </c>
      <c r="E45" s="12" t="s">
        <v>106</v>
      </c>
      <c r="F45" s="12"/>
    </row>
    <row r="46" spans="2:6" x14ac:dyDescent="0.3">
      <c r="B46" s="12">
        <v>70</v>
      </c>
      <c r="C46" s="13" t="s">
        <v>78</v>
      </c>
      <c r="D46" s="12" t="s">
        <v>91</v>
      </c>
      <c r="E46" s="12" t="s">
        <v>106</v>
      </c>
      <c r="F46" s="12"/>
    </row>
    <row r="47" spans="2:6" x14ac:dyDescent="0.3">
      <c r="B47" s="12">
        <v>71</v>
      </c>
      <c r="C47" s="13" t="s">
        <v>65</v>
      </c>
      <c r="D47" s="12" t="s">
        <v>91</v>
      </c>
      <c r="E47" s="12" t="s">
        <v>112</v>
      </c>
      <c r="F47" s="12"/>
    </row>
    <row r="48" spans="2:6" x14ac:dyDescent="0.3">
      <c r="B48" s="12">
        <v>72</v>
      </c>
      <c r="C48" s="13" t="s">
        <v>113</v>
      </c>
      <c r="D48" s="12" t="s">
        <v>91</v>
      </c>
      <c r="E48" s="12" t="s">
        <v>107</v>
      </c>
      <c r="F48" s="12"/>
    </row>
    <row r="49" spans="2:6" x14ac:dyDescent="0.3">
      <c r="B49" s="12">
        <v>73</v>
      </c>
      <c r="C49" s="13" t="s">
        <v>48</v>
      </c>
      <c r="D49" s="12" t="s">
        <v>91</v>
      </c>
      <c r="E49" s="15" t="s">
        <v>101</v>
      </c>
      <c r="F49" s="12"/>
    </row>
    <row r="50" spans="2:6" x14ac:dyDescent="0.3">
      <c r="B50" s="12">
        <v>74</v>
      </c>
      <c r="C50" s="13" t="s">
        <v>114</v>
      </c>
      <c r="D50" s="12" t="s">
        <v>91</v>
      </c>
      <c r="E50" s="12" t="s">
        <v>107</v>
      </c>
      <c r="F50" s="12"/>
    </row>
    <row r="51" spans="2:6" x14ac:dyDescent="0.3">
      <c r="B51" s="12">
        <v>79</v>
      </c>
      <c r="C51" s="13" t="s">
        <v>16</v>
      </c>
      <c r="D51" s="12" t="s">
        <v>91</v>
      </c>
      <c r="E51" s="12" t="s">
        <v>106</v>
      </c>
      <c r="F51" s="12"/>
    </row>
    <row r="52" spans="2:6" x14ac:dyDescent="0.3">
      <c r="B52" s="12">
        <v>100</v>
      </c>
      <c r="C52" s="13" t="s">
        <v>64</v>
      </c>
      <c r="D52" s="12" t="s">
        <v>91</v>
      </c>
      <c r="E52" s="12" t="s">
        <v>112</v>
      </c>
      <c r="F52" s="12"/>
    </row>
    <row r="53" spans="2:6" x14ac:dyDescent="0.3">
      <c r="B53" s="12">
        <v>110</v>
      </c>
      <c r="C53" s="13" t="s">
        <v>115</v>
      </c>
      <c r="D53" s="12" t="s">
        <v>94</v>
      </c>
      <c r="E53" s="15" t="s">
        <v>116</v>
      </c>
      <c r="F53" s="12"/>
    </row>
    <row r="54" spans="2:6" x14ac:dyDescent="0.3">
      <c r="B54" s="12">
        <v>120</v>
      </c>
      <c r="C54" s="13" t="s">
        <v>57</v>
      </c>
      <c r="D54" s="12" t="s">
        <v>94</v>
      </c>
      <c r="E54" s="15" t="s">
        <v>117</v>
      </c>
      <c r="F54" s="12"/>
    </row>
    <row r="55" spans="2:6" x14ac:dyDescent="0.3">
      <c r="B55" s="12">
        <v>121</v>
      </c>
      <c r="C55" s="13" t="s">
        <v>61</v>
      </c>
      <c r="D55" s="12" t="s">
        <v>94</v>
      </c>
      <c r="E55" s="15" t="s">
        <v>117</v>
      </c>
      <c r="F55" s="12"/>
    </row>
    <row r="56" spans="2:6" x14ac:dyDescent="0.3">
      <c r="B56" s="12">
        <v>122</v>
      </c>
      <c r="C56" s="13" t="s">
        <v>118</v>
      </c>
      <c r="D56" s="12" t="s">
        <v>94</v>
      </c>
      <c r="E56" s="15" t="s">
        <v>117</v>
      </c>
      <c r="F56" s="12"/>
    </row>
    <row r="57" spans="2:6" x14ac:dyDescent="0.3">
      <c r="B57" s="12">
        <v>130</v>
      </c>
      <c r="C57" s="13" t="s">
        <v>55</v>
      </c>
      <c r="D57" s="12" t="s">
        <v>94</v>
      </c>
      <c r="E57" s="15" t="s">
        <v>24</v>
      </c>
      <c r="F57" s="12"/>
    </row>
    <row r="58" spans="2:6" x14ac:dyDescent="0.3">
      <c r="B58" s="12">
        <v>131</v>
      </c>
      <c r="C58" s="13" t="s">
        <v>35</v>
      </c>
      <c r="D58" s="12" t="s">
        <v>94</v>
      </c>
      <c r="E58" s="12" t="s">
        <v>24</v>
      </c>
      <c r="F58" s="12"/>
    </row>
    <row r="59" spans="2:6" x14ac:dyDescent="0.3">
      <c r="B59" s="12">
        <v>132</v>
      </c>
      <c r="C59" s="13" t="s">
        <v>119</v>
      </c>
      <c r="D59" s="12" t="s">
        <v>94</v>
      </c>
      <c r="E59" s="12" t="s">
        <v>24</v>
      </c>
      <c r="F59" s="12"/>
    </row>
    <row r="60" spans="2:6" x14ac:dyDescent="0.3">
      <c r="B60" s="12">
        <v>133</v>
      </c>
      <c r="C60" s="13" t="s">
        <v>120</v>
      </c>
      <c r="D60" s="12" t="s">
        <v>94</v>
      </c>
      <c r="E60" s="12" t="s">
        <v>24</v>
      </c>
      <c r="F60" s="12"/>
    </row>
    <row r="61" spans="2:6" x14ac:dyDescent="0.3">
      <c r="B61" s="12">
        <v>134</v>
      </c>
      <c r="C61" s="13" t="s">
        <v>121</v>
      </c>
      <c r="D61" s="12" t="s">
        <v>94</v>
      </c>
      <c r="E61" s="12" t="s">
        <v>24</v>
      </c>
      <c r="F61" s="12"/>
    </row>
    <row r="62" spans="2:6" x14ac:dyDescent="0.3">
      <c r="B62" s="12">
        <v>140</v>
      </c>
      <c r="C62" s="13" t="s">
        <v>122</v>
      </c>
      <c r="D62" s="12" t="s">
        <v>94</v>
      </c>
      <c r="E62" s="16" t="s">
        <v>51</v>
      </c>
      <c r="F62" s="12"/>
    </row>
    <row r="63" spans="2:6" x14ac:dyDescent="0.3">
      <c r="B63" s="12">
        <v>141</v>
      </c>
      <c r="C63" s="13" t="s">
        <v>72</v>
      </c>
      <c r="D63" s="14" t="s">
        <v>94</v>
      </c>
      <c r="E63" s="14" t="s">
        <v>123</v>
      </c>
      <c r="F63" s="12"/>
    </row>
    <row r="64" spans="2:6" x14ac:dyDescent="0.3">
      <c r="B64" s="12">
        <v>142</v>
      </c>
      <c r="C64" s="13" t="s">
        <v>124</v>
      </c>
      <c r="D64" s="14" t="s">
        <v>94</v>
      </c>
      <c r="E64" s="14" t="s">
        <v>125</v>
      </c>
      <c r="F64" s="12"/>
    </row>
    <row r="65" spans="2:6" x14ac:dyDescent="0.3">
      <c r="B65" s="12">
        <v>143</v>
      </c>
      <c r="C65" s="13" t="s">
        <v>8</v>
      </c>
      <c r="D65" s="14" t="s">
        <v>94</v>
      </c>
      <c r="E65" s="14" t="s">
        <v>126</v>
      </c>
      <c r="F65" s="12"/>
    </row>
    <row r="66" spans="2:6" x14ac:dyDescent="0.3">
      <c r="B66" s="12">
        <v>144</v>
      </c>
      <c r="C66" s="13" t="s">
        <v>3</v>
      </c>
      <c r="D66" s="14" t="s">
        <v>94</v>
      </c>
      <c r="E66" s="14" t="s">
        <v>127</v>
      </c>
      <c r="F66" s="12"/>
    </row>
    <row r="67" spans="2:6" x14ac:dyDescent="0.3">
      <c r="B67" s="12">
        <v>145</v>
      </c>
      <c r="C67" s="13" t="s">
        <v>43</v>
      </c>
      <c r="D67" s="14" t="s">
        <v>94</v>
      </c>
      <c r="E67" s="14" t="s">
        <v>127</v>
      </c>
      <c r="F67" s="12"/>
    </row>
    <row r="68" spans="2:6" x14ac:dyDescent="0.3">
      <c r="B68" s="12">
        <v>146</v>
      </c>
      <c r="C68" s="13" t="s">
        <v>128</v>
      </c>
      <c r="D68" s="14" t="s">
        <v>94</v>
      </c>
      <c r="E68" s="14" t="s">
        <v>129</v>
      </c>
      <c r="F68" s="12"/>
    </row>
    <row r="69" spans="2:6" x14ac:dyDescent="0.3">
      <c r="B69" s="12">
        <v>147</v>
      </c>
      <c r="C69" s="13" t="s">
        <v>130</v>
      </c>
      <c r="D69" s="14" t="s">
        <v>94</v>
      </c>
      <c r="E69" s="14" t="s">
        <v>123</v>
      </c>
      <c r="F69" s="12"/>
    </row>
    <row r="70" spans="2:6" x14ac:dyDescent="0.3">
      <c r="B70" s="12">
        <v>148</v>
      </c>
      <c r="C70" s="13" t="s">
        <v>32</v>
      </c>
      <c r="D70" s="14" t="s">
        <v>94</v>
      </c>
      <c r="E70" s="14" t="s">
        <v>127</v>
      </c>
      <c r="F70" s="12"/>
    </row>
    <row r="71" spans="2:6" x14ac:dyDescent="0.3">
      <c r="B71" s="12">
        <v>149</v>
      </c>
      <c r="C71" s="13" t="s">
        <v>131</v>
      </c>
      <c r="D71" s="14" t="s">
        <v>94</v>
      </c>
      <c r="E71" s="14" t="s">
        <v>51</v>
      </c>
      <c r="F71" s="12"/>
    </row>
    <row r="72" spans="2:6" x14ac:dyDescent="0.3">
      <c r="B72" s="12">
        <v>150</v>
      </c>
      <c r="C72" s="13" t="s">
        <v>60</v>
      </c>
      <c r="D72" s="12" t="s">
        <v>94</v>
      </c>
      <c r="E72" s="12" t="s">
        <v>44</v>
      </c>
      <c r="F72" s="12"/>
    </row>
    <row r="73" spans="2:6" x14ac:dyDescent="0.3">
      <c r="B73" s="12">
        <v>151</v>
      </c>
      <c r="C73" s="13" t="s">
        <v>2</v>
      </c>
      <c r="D73" s="12" t="s">
        <v>94</v>
      </c>
      <c r="E73" s="12" t="s">
        <v>44</v>
      </c>
      <c r="F73" s="12"/>
    </row>
    <row r="74" spans="2:6" x14ac:dyDescent="0.3">
      <c r="B74" s="12">
        <v>152</v>
      </c>
      <c r="C74" s="13" t="s">
        <v>74</v>
      </c>
      <c r="D74" s="12" t="s">
        <v>94</v>
      </c>
      <c r="E74" s="12" t="s">
        <v>44</v>
      </c>
      <c r="F74" s="12"/>
    </row>
    <row r="75" spans="2:6" x14ac:dyDescent="0.3">
      <c r="B75" s="12">
        <v>153</v>
      </c>
      <c r="C75" s="13" t="s">
        <v>132</v>
      </c>
      <c r="D75" s="12" t="s">
        <v>91</v>
      </c>
      <c r="E75" s="12" t="s">
        <v>106</v>
      </c>
      <c r="F75" s="12"/>
    </row>
    <row r="76" spans="2:6" x14ac:dyDescent="0.3">
      <c r="B76" s="12">
        <v>154</v>
      </c>
      <c r="C76" s="13" t="s">
        <v>133</v>
      </c>
      <c r="D76" s="12" t="s">
        <v>91</v>
      </c>
      <c r="E76" s="12" t="s">
        <v>106</v>
      </c>
      <c r="F76" s="12"/>
    </row>
    <row r="77" spans="2:6" x14ac:dyDescent="0.3">
      <c r="B77" s="12">
        <v>155</v>
      </c>
      <c r="C77" s="13" t="s">
        <v>134</v>
      </c>
      <c r="D77" s="12" t="s">
        <v>91</v>
      </c>
      <c r="E77" s="12" t="s">
        <v>106</v>
      </c>
      <c r="F77" s="12"/>
    </row>
    <row r="78" spans="2:6" x14ac:dyDescent="0.3">
      <c r="B78" s="12">
        <v>161</v>
      </c>
      <c r="C78" s="13" t="s">
        <v>135</v>
      </c>
      <c r="D78" s="14" t="s">
        <v>94</v>
      </c>
      <c r="E78" s="14" t="s">
        <v>36</v>
      </c>
      <c r="F78" s="12"/>
    </row>
    <row r="79" spans="2:6" x14ac:dyDescent="0.3">
      <c r="B79" s="12">
        <v>162</v>
      </c>
      <c r="C79" s="13" t="s">
        <v>136</v>
      </c>
      <c r="D79" s="14" t="s">
        <v>94</v>
      </c>
      <c r="E79" s="14" t="s">
        <v>36</v>
      </c>
      <c r="F79" s="12"/>
    </row>
    <row r="80" spans="2:6" x14ac:dyDescent="0.3">
      <c r="B80" s="12">
        <v>167</v>
      </c>
      <c r="C80" s="13" t="s">
        <v>137</v>
      </c>
      <c r="D80" s="14" t="s">
        <v>94</v>
      </c>
      <c r="E80" s="14" t="s">
        <v>36</v>
      </c>
      <c r="F80" s="12"/>
    </row>
    <row r="81" spans="2:6" x14ac:dyDescent="0.3">
      <c r="B81" s="12">
        <v>171</v>
      </c>
      <c r="C81" s="13" t="s">
        <v>63</v>
      </c>
      <c r="D81" s="12" t="s">
        <v>94</v>
      </c>
      <c r="E81" s="12" t="s">
        <v>44</v>
      </c>
      <c r="F81" s="12"/>
    </row>
    <row r="82" spans="2:6" x14ac:dyDescent="0.3">
      <c r="B82" s="12">
        <v>180</v>
      </c>
      <c r="C82" s="13" t="s">
        <v>138</v>
      </c>
      <c r="D82" s="14" t="s">
        <v>94</v>
      </c>
      <c r="E82" s="14" t="s">
        <v>129</v>
      </c>
      <c r="F82" s="12"/>
    </row>
    <row r="83" spans="2:6" x14ac:dyDescent="0.3">
      <c r="B83" s="12">
        <v>181</v>
      </c>
      <c r="C83" s="13" t="s">
        <v>139</v>
      </c>
      <c r="D83" s="14" t="s">
        <v>94</v>
      </c>
      <c r="E83" s="14" t="s">
        <v>129</v>
      </c>
      <c r="F83" s="12"/>
    </row>
    <row r="84" spans="2:6" x14ac:dyDescent="0.3">
      <c r="B84" s="12">
        <v>199</v>
      </c>
      <c r="C84" s="13" t="s">
        <v>140</v>
      </c>
      <c r="D84" s="12" t="s">
        <v>91</v>
      </c>
      <c r="E84" s="12" t="s">
        <v>106</v>
      </c>
      <c r="F84" s="12"/>
    </row>
    <row r="85" spans="2:6" x14ac:dyDescent="0.3">
      <c r="B85" s="12">
        <v>200</v>
      </c>
      <c r="C85" s="13" t="s">
        <v>141</v>
      </c>
      <c r="D85" s="12" t="s">
        <v>91</v>
      </c>
      <c r="E85" s="12" t="s">
        <v>106</v>
      </c>
      <c r="F85" s="12"/>
    </row>
    <row r="86" spans="2:6" x14ac:dyDescent="0.3">
      <c r="B86" s="12">
        <v>201</v>
      </c>
      <c r="C86" s="13" t="s">
        <v>142</v>
      </c>
      <c r="D86" s="12" t="s">
        <v>91</v>
      </c>
      <c r="E86" s="12" t="s">
        <v>106</v>
      </c>
      <c r="F86" s="12"/>
    </row>
    <row r="87" spans="2:6" x14ac:dyDescent="0.3">
      <c r="B87" s="12">
        <v>202</v>
      </c>
      <c r="C87" s="13" t="s">
        <v>25</v>
      </c>
      <c r="D87" s="12" t="s">
        <v>91</v>
      </c>
      <c r="E87" s="12" t="s">
        <v>96</v>
      </c>
      <c r="F87" s="12"/>
    </row>
    <row r="88" spans="2:6" x14ac:dyDescent="0.3">
      <c r="B88" s="12">
        <v>203</v>
      </c>
      <c r="C88" s="13" t="s">
        <v>45</v>
      </c>
      <c r="D88" s="12" t="s">
        <v>94</v>
      </c>
      <c r="E88" s="14" t="s">
        <v>123</v>
      </c>
      <c r="F88" s="12"/>
    </row>
    <row r="89" spans="2:6" x14ac:dyDescent="0.3">
      <c r="B89" s="12">
        <v>204</v>
      </c>
      <c r="C89" s="13" t="s">
        <v>52</v>
      </c>
      <c r="D89" s="12" t="s">
        <v>91</v>
      </c>
      <c r="E89" s="12" t="s">
        <v>101</v>
      </c>
      <c r="F89" s="12"/>
    </row>
    <row r="90" spans="2:6" x14ac:dyDescent="0.3">
      <c r="B90" s="12">
        <v>205</v>
      </c>
      <c r="C90" s="13" t="s">
        <v>143</v>
      </c>
      <c r="D90" s="12" t="s">
        <v>91</v>
      </c>
      <c r="E90" s="12" t="s">
        <v>107</v>
      </c>
      <c r="F90" s="12"/>
    </row>
    <row r="91" spans="2:6" x14ac:dyDescent="0.3">
      <c r="B91" s="12">
        <v>210</v>
      </c>
      <c r="C91" s="13" t="s">
        <v>144</v>
      </c>
      <c r="D91" s="12" t="s">
        <v>94</v>
      </c>
      <c r="E91" s="12" t="s">
        <v>44</v>
      </c>
      <c r="F91" s="12"/>
    </row>
    <row r="92" spans="2:6" x14ac:dyDescent="0.3">
      <c r="B92" s="12">
        <v>211</v>
      </c>
      <c r="C92" s="13" t="s">
        <v>37</v>
      </c>
      <c r="D92" s="12" t="s">
        <v>94</v>
      </c>
      <c r="E92" s="12" t="s">
        <v>44</v>
      </c>
      <c r="F92" s="12"/>
    </row>
    <row r="93" spans="2:6" x14ac:dyDescent="0.3">
      <c r="B93" s="12">
        <v>212</v>
      </c>
      <c r="C93" s="13" t="s">
        <v>145</v>
      </c>
      <c r="D93" s="12" t="s">
        <v>94</v>
      </c>
      <c r="E93" s="12" t="s">
        <v>44</v>
      </c>
      <c r="F93" s="12"/>
    </row>
    <row r="94" spans="2:6" x14ac:dyDescent="0.3">
      <c r="B94" s="12">
        <v>213</v>
      </c>
      <c r="C94" s="13" t="s">
        <v>146</v>
      </c>
      <c r="D94" s="12" t="s">
        <v>94</v>
      </c>
      <c r="E94" s="12" t="s">
        <v>44</v>
      </c>
      <c r="F94" s="12"/>
    </row>
    <row r="95" spans="2:6" x14ac:dyDescent="0.3">
      <c r="B95" s="12">
        <v>214</v>
      </c>
      <c r="C95" s="13" t="s">
        <v>21</v>
      </c>
      <c r="D95" s="12" t="s">
        <v>94</v>
      </c>
      <c r="E95" s="12" t="s">
        <v>44</v>
      </c>
      <c r="F95" s="12"/>
    </row>
    <row r="96" spans="2:6" x14ac:dyDescent="0.3">
      <c r="B96" s="12">
        <v>215</v>
      </c>
      <c r="C96" s="13" t="s">
        <v>147</v>
      </c>
      <c r="D96" s="12" t="s">
        <v>94</v>
      </c>
      <c r="E96" s="12" t="s">
        <v>44</v>
      </c>
      <c r="F96" s="12"/>
    </row>
    <row r="97" spans="2:6" x14ac:dyDescent="0.3">
      <c r="B97" s="12">
        <v>216</v>
      </c>
      <c r="C97" s="13" t="s">
        <v>74</v>
      </c>
      <c r="D97" s="12" t="s">
        <v>94</v>
      </c>
      <c r="E97" s="12" t="s">
        <v>44</v>
      </c>
      <c r="F97" s="12"/>
    </row>
    <row r="98" spans="2:6" x14ac:dyDescent="0.3">
      <c r="B98" s="12">
        <v>217</v>
      </c>
      <c r="C98" s="13" t="s">
        <v>73</v>
      </c>
      <c r="D98" s="12" t="s">
        <v>91</v>
      </c>
      <c r="E98" s="12" t="s">
        <v>96</v>
      </c>
      <c r="F98" s="12"/>
    </row>
    <row r="99" spans="2:6" x14ac:dyDescent="0.3">
      <c r="B99" s="12">
        <v>218</v>
      </c>
      <c r="C99" s="13" t="s">
        <v>148</v>
      </c>
      <c r="D99" s="12" t="s">
        <v>91</v>
      </c>
      <c r="E99" s="12" t="s">
        <v>106</v>
      </c>
      <c r="F99" s="12"/>
    </row>
    <row r="100" spans="2:6" x14ac:dyDescent="0.3">
      <c r="B100" s="12">
        <v>219</v>
      </c>
      <c r="C100" s="13" t="s">
        <v>149</v>
      </c>
      <c r="D100" s="12" t="s">
        <v>91</v>
      </c>
      <c r="E100" s="12" t="s">
        <v>112</v>
      </c>
      <c r="F100" s="12"/>
    </row>
    <row r="101" spans="2:6" x14ac:dyDescent="0.3">
      <c r="B101" s="12">
        <v>220</v>
      </c>
      <c r="C101" s="13" t="s">
        <v>150</v>
      </c>
      <c r="D101" s="12" t="s">
        <v>94</v>
      </c>
      <c r="E101" s="12" t="s">
        <v>44</v>
      </c>
      <c r="F101" s="12"/>
    </row>
    <row r="102" spans="2:6" x14ac:dyDescent="0.3">
      <c r="B102" s="12">
        <v>221</v>
      </c>
      <c r="C102" s="13" t="s">
        <v>14</v>
      </c>
      <c r="D102" s="12" t="s">
        <v>94</v>
      </c>
      <c r="E102" s="12" t="s">
        <v>44</v>
      </c>
      <c r="F102" s="12"/>
    </row>
    <row r="103" spans="2:6" x14ac:dyDescent="0.3">
      <c r="B103" s="12">
        <v>222</v>
      </c>
      <c r="C103" s="13" t="s">
        <v>151</v>
      </c>
      <c r="D103" s="12" t="s">
        <v>94</v>
      </c>
      <c r="E103" s="12" t="s">
        <v>44</v>
      </c>
      <c r="F103" s="12"/>
    </row>
    <row r="104" spans="2:6" x14ac:dyDescent="0.3">
      <c r="B104" s="12">
        <v>223</v>
      </c>
      <c r="C104" s="13" t="s">
        <v>56</v>
      </c>
      <c r="D104" s="12" t="s">
        <v>94</v>
      </c>
      <c r="E104" s="12" t="s">
        <v>44</v>
      </c>
      <c r="F104" s="12"/>
    </row>
    <row r="105" spans="2:6" x14ac:dyDescent="0.3">
      <c r="B105" s="12">
        <v>224</v>
      </c>
      <c r="C105" s="13" t="s">
        <v>19</v>
      </c>
      <c r="D105" s="12" t="s">
        <v>94</v>
      </c>
      <c r="E105" s="12" t="s">
        <v>44</v>
      </c>
      <c r="F105" s="12"/>
    </row>
    <row r="106" spans="2:6" x14ac:dyDescent="0.3">
      <c r="B106" s="12">
        <v>225</v>
      </c>
      <c r="C106" s="13" t="s">
        <v>152</v>
      </c>
      <c r="D106" s="12" t="s">
        <v>94</v>
      </c>
      <c r="E106" s="12" t="s">
        <v>44</v>
      </c>
      <c r="F106" s="12"/>
    </row>
    <row r="107" spans="2:6" x14ac:dyDescent="0.3">
      <c r="B107" s="12">
        <v>226</v>
      </c>
      <c r="C107" s="13" t="s">
        <v>153</v>
      </c>
      <c r="D107" s="12" t="s">
        <v>94</v>
      </c>
      <c r="E107" s="12" t="s">
        <v>44</v>
      </c>
      <c r="F107" s="12"/>
    </row>
    <row r="108" spans="2:6" x14ac:dyDescent="0.3">
      <c r="B108" s="12">
        <v>227</v>
      </c>
      <c r="C108" s="13" t="s">
        <v>154</v>
      </c>
      <c r="D108" s="14" t="s">
        <v>94</v>
      </c>
      <c r="E108" s="14" t="s">
        <v>51</v>
      </c>
      <c r="F108" s="12"/>
    </row>
    <row r="109" spans="2:6" x14ac:dyDescent="0.3">
      <c r="B109" s="12">
        <v>241</v>
      </c>
      <c r="C109" s="13" t="s">
        <v>72</v>
      </c>
      <c r="D109" s="14" t="s">
        <v>94</v>
      </c>
      <c r="E109" s="14" t="s">
        <v>123</v>
      </c>
      <c r="F109" s="12"/>
    </row>
    <row r="110" spans="2:6" x14ac:dyDescent="0.3">
      <c r="B110" s="12">
        <v>242</v>
      </c>
      <c r="C110" s="13" t="s">
        <v>155</v>
      </c>
      <c r="D110" s="14" t="s">
        <v>94</v>
      </c>
      <c r="E110" s="14" t="s">
        <v>125</v>
      </c>
      <c r="F110" s="12"/>
    </row>
    <row r="111" spans="2:6" x14ac:dyDescent="0.3">
      <c r="B111" s="12">
        <v>243</v>
      </c>
      <c r="C111" s="13" t="s">
        <v>156</v>
      </c>
      <c r="D111" s="14" t="s">
        <v>94</v>
      </c>
      <c r="E111" s="14" t="s">
        <v>125</v>
      </c>
      <c r="F111" s="12"/>
    </row>
    <row r="112" spans="2:6" x14ac:dyDescent="0.3">
      <c r="B112" s="12">
        <v>244</v>
      </c>
      <c r="C112" s="13" t="s">
        <v>157</v>
      </c>
      <c r="D112" s="14" t="s">
        <v>94</v>
      </c>
      <c r="E112" s="14" t="s">
        <v>125</v>
      </c>
      <c r="F112" s="12"/>
    </row>
    <row r="113" spans="2:6" x14ac:dyDescent="0.3">
      <c r="B113" s="12">
        <v>251</v>
      </c>
      <c r="C113" s="13" t="s">
        <v>72</v>
      </c>
      <c r="D113" s="14" t="s">
        <v>94</v>
      </c>
      <c r="E113" s="14" t="s">
        <v>123</v>
      </c>
      <c r="F113" s="12"/>
    </row>
    <row r="114" spans="2:6" x14ac:dyDescent="0.3">
      <c r="B114" s="12">
        <v>252</v>
      </c>
      <c r="C114" s="13" t="s">
        <v>158</v>
      </c>
      <c r="D114" s="14" t="s">
        <v>94</v>
      </c>
      <c r="E114" s="14" t="s">
        <v>125</v>
      </c>
      <c r="F114" s="12"/>
    </row>
    <row r="115" spans="2:6" x14ac:dyDescent="0.3">
      <c r="B115" s="12">
        <v>253</v>
      </c>
      <c r="C115" s="13" t="s">
        <v>68</v>
      </c>
      <c r="D115" s="14" t="s">
        <v>94</v>
      </c>
      <c r="E115" s="14" t="s">
        <v>125</v>
      </c>
      <c r="F115" s="12"/>
    </row>
    <row r="116" spans="2:6" x14ac:dyDescent="0.3">
      <c r="B116" s="12">
        <v>254</v>
      </c>
      <c r="C116" s="13" t="s">
        <v>27</v>
      </c>
      <c r="D116" s="14" t="s">
        <v>94</v>
      </c>
      <c r="E116" s="14" t="s">
        <v>125</v>
      </c>
      <c r="F116" s="12"/>
    </row>
    <row r="117" spans="2:6" x14ac:dyDescent="0.3">
      <c r="B117" s="12">
        <v>255</v>
      </c>
      <c r="C117" s="13" t="s">
        <v>159</v>
      </c>
      <c r="D117" s="14" t="s">
        <v>94</v>
      </c>
      <c r="E117" s="14" t="s">
        <v>123</v>
      </c>
      <c r="F117" s="12"/>
    </row>
    <row r="118" spans="2:6" x14ac:dyDescent="0.3">
      <c r="B118" s="12">
        <v>256</v>
      </c>
      <c r="C118" s="13" t="s">
        <v>160</v>
      </c>
      <c r="D118" s="14" t="s">
        <v>94</v>
      </c>
      <c r="E118" s="14" t="s">
        <v>123</v>
      </c>
      <c r="F118" s="12"/>
    </row>
    <row r="119" spans="2:6" x14ac:dyDescent="0.3">
      <c r="B119" s="12">
        <v>257</v>
      </c>
      <c r="C119" s="13" t="s">
        <v>161</v>
      </c>
      <c r="D119" s="14" t="s">
        <v>94</v>
      </c>
      <c r="E119" s="14" t="s">
        <v>123</v>
      </c>
      <c r="F119" s="12"/>
    </row>
    <row r="120" spans="2:6" x14ac:dyDescent="0.3">
      <c r="B120" s="12">
        <v>300</v>
      </c>
      <c r="C120" s="13" t="s">
        <v>33</v>
      </c>
      <c r="D120" s="12" t="s">
        <v>91</v>
      </c>
      <c r="E120" s="12" t="s">
        <v>103</v>
      </c>
      <c r="F120" s="12"/>
    </row>
    <row r="121" spans="2:6" x14ac:dyDescent="0.3">
      <c r="B121" s="12">
        <v>305</v>
      </c>
      <c r="C121" s="13" t="s">
        <v>162</v>
      </c>
      <c r="D121" s="12" t="s">
        <v>91</v>
      </c>
      <c r="E121" s="12" t="s">
        <v>102</v>
      </c>
      <c r="F121" s="12"/>
    </row>
    <row r="122" spans="2:6" x14ac:dyDescent="0.3">
      <c r="B122" s="12">
        <v>310</v>
      </c>
      <c r="C122" s="13" t="s">
        <v>163</v>
      </c>
      <c r="D122" s="12" t="s">
        <v>91</v>
      </c>
      <c r="E122" s="12" t="s">
        <v>102</v>
      </c>
      <c r="F122" s="12"/>
    </row>
    <row r="123" spans="2:6" x14ac:dyDescent="0.3">
      <c r="B123" s="12">
        <v>315</v>
      </c>
      <c r="C123" s="13" t="s">
        <v>164</v>
      </c>
      <c r="D123" s="12" t="s">
        <v>91</v>
      </c>
      <c r="E123" s="12" t="s">
        <v>106</v>
      </c>
      <c r="F123" s="12"/>
    </row>
    <row r="124" spans="2:6" x14ac:dyDescent="0.3">
      <c r="B124" s="12">
        <v>320</v>
      </c>
      <c r="C124" s="13" t="s">
        <v>165</v>
      </c>
      <c r="D124" s="12" t="s">
        <v>91</v>
      </c>
      <c r="E124" s="12" t="s">
        <v>106</v>
      </c>
      <c r="F124" s="12"/>
    </row>
    <row r="125" spans="2:6" x14ac:dyDescent="0.3">
      <c r="B125" s="12">
        <v>325</v>
      </c>
      <c r="C125" s="13" t="s">
        <v>16</v>
      </c>
      <c r="D125" s="12" t="s">
        <v>91</v>
      </c>
      <c r="E125" s="12" t="s">
        <v>106</v>
      </c>
      <c r="F125" s="12"/>
    </row>
    <row r="126" spans="2:6" x14ac:dyDescent="0.3">
      <c r="B126" s="12">
        <v>330</v>
      </c>
      <c r="C126" s="13" t="s">
        <v>166</v>
      </c>
      <c r="D126" s="12" t="s">
        <v>91</v>
      </c>
      <c r="E126" s="12" t="s">
        <v>167</v>
      </c>
      <c r="F126" s="12"/>
    </row>
    <row r="127" spans="2:6" x14ac:dyDescent="0.3">
      <c r="B127" s="12">
        <v>335</v>
      </c>
      <c r="C127" s="13" t="s">
        <v>168</v>
      </c>
      <c r="D127" s="12" t="s">
        <v>91</v>
      </c>
      <c r="E127" s="12" t="s">
        <v>167</v>
      </c>
      <c r="F127" s="12"/>
    </row>
    <row r="128" spans="2:6" x14ac:dyDescent="0.3">
      <c r="B128" s="12">
        <v>340</v>
      </c>
      <c r="C128" s="13" t="s">
        <v>169</v>
      </c>
      <c r="D128" s="12" t="s">
        <v>91</v>
      </c>
      <c r="E128" s="12" t="s">
        <v>102</v>
      </c>
      <c r="F128" s="12"/>
    </row>
    <row r="129" spans="2:6" x14ac:dyDescent="0.3">
      <c r="B129" s="12">
        <v>345</v>
      </c>
      <c r="C129" s="13" t="s">
        <v>170</v>
      </c>
      <c r="D129" s="12" t="s">
        <v>91</v>
      </c>
      <c r="E129" s="12" t="s">
        <v>102</v>
      </c>
      <c r="F129" s="12"/>
    </row>
    <row r="130" spans="2:6" x14ac:dyDescent="0.3">
      <c r="B130" s="12">
        <v>350</v>
      </c>
      <c r="C130" s="13" t="s">
        <v>171</v>
      </c>
      <c r="D130" s="12" t="s">
        <v>91</v>
      </c>
      <c r="E130" s="12" t="s">
        <v>102</v>
      </c>
      <c r="F130" s="12"/>
    </row>
    <row r="131" spans="2:6" x14ac:dyDescent="0.3">
      <c r="B131" s="12">
        <v>355</v>
      </c>
      <c r="C131" s="13" t="s">
        <v>172</v>
      </c>
      <c r="D131" s="12" t="s">
        <v>91</v>
      </c>
      <c r="E131" s="12" t="s">
        <v>102</v>
      </c>
      <c r="F131" s="12"/>
    </row>
    <row r="132" spans="2:6" x14ac:dyDescent="0.3">
      <c r="B132" s="12">
        <v>360</v>
      </c>
      <c r="C132" s="13" t="s">
        <v>69</v>
      </c>
      <c r="D132" s="12" t="s">
        <v>91</v>
      </c>
      <c r="E132" s="12" t="s">
        <v>112</v>
      </c>
      <c r="F132" s="12"/>
    </row>
    <row r="133" spans="2:6" x14ac:dyDescent="0.3">
      <c r="B133" s="12">
        <v>365</v>
      </c>
      <c r="C133" s="13" t="s">
        <v>16</v>
      </c>
      <c r="D133" s="12" t="s">
        <v>91</v>
      </c>
      <c r="E133" s="12" t="s">
        <v>106</v>
      </c>
      <c r="F133" s="12"/>
    </row>
    <row r="134" spans="2:6" x14ac:dyDescent="0.3">
      <c r="B134" s="12">
        <v>370</v>
      </c>
      <c r="C134" s="13" t="s">
        <v>23</v>
      </c>
      <c r="D134" s="12" t="s">
        <v>91</v>
      </c>
      <c r="E134" s="12" t="s">
        <v>103</v>
      </c>
      <c r="F134" s="12"/>
    </row>
    <row r="135" spans="2:6" x14ac:dyDescent="0.3">
      <c r="B135" s="12">
        <v>375</v>
      </c>
      <c r="C135" s="13" t="s">
        <v>173</v>
      </c>
      <c r="D135" s="12" t="s">
        <v>91</v>
      </c>
      <c r="E135" s="12" t="s">
        <v>103</v>
      </c>
      <c r="F135" s="12"/>
    </row>
    <row r="136" spans="2:6" x14ac:dyDescent="0.3">
      <c r="B136" s="12">
        <v>380</v>
      </c>
      <c r="C136" s="13" t="s">
        <v>30</v>
      </c>
      <c r="D136" s="12" t="s">
        <v>91</v>
      </c>
      <c r="E136" s="12" t="s">
        <v>102</v>
      </c>
      <c r="F136" s="12"/>
    </row>
    <row r="137" spans="2:6" x14ac:dyDescent="0.3">
      <c r="B137" s="12">
        <v>385</v>
      </c>
      <c r="C137" s="13" t="s">
        <v>174</v>
      </c>
      <c r="D137" s="12" t="s">
        <v>91</v>
      </c>
      <c r="E137" s="12" t="s">
        <v>106</v>
      </c>
      <c r="F137" s="12"/>
    </row>
    <row r="138" spans="2:6" x14ac:dyDescent="0.3">
      <c r="B138" s="12">
        <v>390</v>
      </c>
      <c r="C138" s="13" t="s">
        <v>175</v>
      </c>
      <c r="D138" s="12" t="s">
        <v>91</v>
      </c>
      <c r="E138" s="12" t="s">
        <v>106</v>
      </c>
      <c r="F138" s="12"/>
    </row>
    <row r="139" spans="2:6" x14ac:dyDescent="0.3">
      <c r="B139" s="12">
        <v>391</v>
      </c>
      <c r="C139" s="13" t="s">
        <v>176</v>
      </c>
      <c r="D139" s="12" t="s">
        <v>91</v>
      </c>
      <c r="E139" s="12" t="s">
        <v>106</v>
      </c>
      <c r="F139" s="12"/>
    </row>
    <row r="140" spans="2:6" x14ac:dyDescent="0.3">
      <c r="B140" s="12">
        <v>395</v>
      </c>
      <c r="C140" s="13" t="s">
        <v>39</v>
      </c>
      <c r="D140" s="12" t="s">
        <v>91</v>
      </c>
      <c r="E140" s="12" t="s">
        <v>107</v>
      </c>
      <c r="F140" s="12"/>
    </row>
    <row r="141" spans="2:6" x14ac:dyDescent="0.3">
      <c r="B141" s="12">
        <v>400</v>
      </c>
      <c r="C141" s="13" t="s">
        <v>11</v>
      </c>
      <c r="D141" s="12" t="s">
        <v>91</v>
      </c>
      <c r="E141" s="12" t="s">
        <v>106</v>
      </c>
      <c r="F141" s="12"/>
    </row>
    <row r="142" spans="2:6" x14ac:dyDescent="0.3">
      <c r="B142" s="12">
        <v>405</v>
      </c>
      <c r="C142" s="13" t="s">
        <v>28</v>
      </c>
      <c r="D142" s="12" t="s">
        <v>91</v>
      </c>
      <c r="E142" s="12" t="s">
        <v>96</v>
      </c>
      <c r="F142" s="12"/>
    </row>
    <row r="143" spans="2:6" x14ac:dyDescent="0.3">
      <c r="B143" s="12">
        <v>410</v>
      </c>
      <c r="C143" s="13" t="s">
        <v>41</v>
      </c>
      <c r="D143" s="12" t="s">
        <v>91</v>
      </c>
      <c r="E143" s="12" t="s">
        <v>177</v>
      </c>
      <c r="F143" s="12"/>
    </row>
    <row r="144" spans="2:6" x14ac:dyDescent="0.3">
      <c r="B144" s="12">
        <v>415</v>
      </c>
      <c r="C144" s="13" t="s">
        <v>178</v>
      </c>
      <c r="D144" s="12" t="s">
        <v>91</v>
      </c>
      <c r="E144" s="12" t="s">
        <v>179</v>
      </c>
      <c r="F144" s="12"/>
    </row>
    <row r="145" spans="2:6" x14ac:dyDescent="0.3">
      <c r="B145" s="12">
        <v>420</v>
      </c>
      <c r="C145" s="13" t="s">
        <v>180</v>
      </c>
      <c r="D145" s="12" t="s">
        <v>91</v>
      </c>
      <c r="E145" s="12" t="s">
        <v>181</v>
      </c>
      <c r="F145" s="12"/>
    </row>
    <row r="146" spans="2:6" x14ac:dyDescent="0.3">
      <c r="B146" s="12">
        <v>500</v>
      </c>
      <c r="C146" s="13" t="s">
        <v>182</v>
      </c>
      <c r="D146" s="12" t="s">
        <v>91</v>
      </c>
      <c r="E146" s="12" t="s">
        <v>107</v>
      </c>
      <c r="F146" s="12"/>
    </row>
    <row r="147" spans="2:6" x14ac:dyDescent="0.3">
      <c r="B147" s="12">
        <v>505</v>
      </c>
      <c r="C147" s="13" t="s">
        <v>182</v>
      </c>
      <c r="D147" s="12" t="s">
        <v>91</v>
      </c>
      <c r="E147" s="12" t="s">
        <v>107</v>
      </c>
      <c r="F147" s="12"/>
    </row>
    <row r="148" spans="2:6" x14ac:dyDescent="0.3">
      <c r="B148" s="12">
        <v>510</v>
      </c>
      <c r="C148" s="13" t="s">
        <v>183</v>
      </c>
      <c r="D148" s="12" t="s">
        <v>91</v>
      </c>
      <c r="E148" s="12" t="s">
        <v>107</v>
      </c>
      <c r="F148" s="12"/>
    </row>
    <row r="149" spans="2:6" x14ac:dyDescent="0.3">
      <c r="B149" s="12">
        <v>515</v>
      </c>
      <c r="C149" s="13" t="s">
        <v>184</v>
      </c>
      <c r="D149" s="12" t="s">
        <v>91</v>
      </c>
      <c r="E149" s="12" t="s">
        <v>107</v>
      </c>
      <c r="F149" s="12"/>
    </row>
    <row r="150" spans="2:6" x14ac:dyDescent="0.3">
      <c r="B150" s="12">
        <v>520</v>
      </c>
      <c r="C150" s="13" t="s">
        <v>184</v>
      </c>
      <c r="D150" s="12" t="s">
        <v>91</v>
      </c>
      <c r="E150" s="12" t="s">
        <v>107</v>
      </c>
      <c r="F150" s="12"/>
    </row>
    <row r="151" spans="2:6" x14ac:dyDescent="0.3">
      <c r="B151" s="12">
        <v>525</v>
      </c>
      <c r="C151" s="13" t="s">
        <v>184</v>
      </c>
      <c r="D151" s="12" t="s">
        <v>91</v>
      </c>
      <c r="E151" s="12" t="s">
        <v>107</v>
      </c>
      <c r="F151" s="12"/>
    </row>
    <row r="152" spans="2:6" x14ac:dyDescent="0.3">
      <c r="B152" s="12">
        <v>530</v>
      </c>
      <c r="C152" s="13" t="s">
        <v>70</v>
      </c>
      <c r="D152" s="12" t="s">
        <v>91</v>
      </c>
      <c r="E152" s="12" t="s">
        <v>107</v>
      </c>
      <c r="F152" s="12"/>
    </row>
    <row r="153" spans="2:6" x14ac:dyDescent="0.3">
      <c r="B153" s="12">
        <v>535</v>
      </c>
      <c r="C153" s="13" t="s">
        <v>70</v>
      </c>
      <c r="D153" s="12" t="s">
        <v>91</v>
      </c>
      <c r="E153" s="12" t="s">
        <v>107</v>
      </c>
      <c r="F153" s="12"/>
    </row>
    <row r="154" spans="2:6" x14ac:dyDescent="0.3">
      <c r="B154" s="12">
        <v>540</v>
      </c>
      <c r="C154" s="13" t="s">
        <v>185</v>
      </c>
      <c r="D154" s="12" t="s">
        <v>91</v>
      </c>
      <c r="E154" s="12" t="s">
        <v>107</v>
      </c>
      <c r="F154" s="12"/>
    </row>
    <row r="155" spans="2:6" x14ac:dyDescent="0.3">
      <c r="B155" s="12">
        <v>545</v>
      </c>
      <c r="C155" s="13" t="s">
        <v>185</v>
      </c>
      <c r="D155" s="12" t="s">
        <v>91</v>
      </c>
      <c r="E155" s="12" t="s">
        <v>107</v>
      </c>
      <c r="F155" s="12"/>
    </row>
    <row r="156" spans="2:6" x14ac:dyDescent="0.3">
      <c r="B156" s="12">
        <v>550</v>
      </c>
      <c r="C156" s="13" t="s">
        <v>185</v>
      </c>
      <c r="D156" s="12" t="s">
        <v>91</v>
      </c>
      <c r="E156" s="12" t="s">
        <v>107</v>
      </c>
      <c r="F156" s="12"/>
    </row>
    <row r="157" spans="2:6" x14ac:dyDescent="0.3">
      <c r="B157" s="12">
        <v>555</v>
      </c>
      <c r="C157" s="13" t="s">
        <v>185</v>
      </c>
      <c r="D157" s="12" t="s">
        <v>91</v>
      </c>
      <c r="E157" s="12" t="s">
        <v>107</v>
      </c>
      <c r="F157" s="12"/>
    </row>
    <row r="158" spans="2:6" x14ac:dyDescent="0.3">
      <c r="B158" s="12">
        <v>560</v>
      </c>
      <c r="C158" s="13" t="s">
        <v>185</v>
      </c>
      <c r="D158" s="12" t="s">
        <v>91</v>
      </c>
      <c r="E158" s="12" t="s">
        <v>107</v>
      </c>
      <c r="F158" s="12"/>
    </row>
    <row r="159" spans="2:6" x14ac:dyDescent="0.3">
      <c r="B159" s="12">
        <v>565</v>
      </c>
      <c r="C159" s="13" t="s">
        <v>185</v>
      </c>
      <c r="D159" s="12" t="s">
        <v>91</v>
      </c>
      <c r="E159" s="12" t="s">
        <v>107</v>
      </c>
      <c r="F159" s="12"/>
    </row>
    <row r="160" spans="2:6" x14ac:dyDescent="0.3">
      <c r="B160" s="12">
        <v>570</v>
      </c>
      <c r="C160" s="13" t="s">
        <v>185</v>
      </c>
      <c r="D160" s="12" t="s">
        <v>91</v>
      </c>
      <c r="E160" s="12" t="s">
        <v>107</v>
      </c>
      <c r="F160" s="12"/>
    </row>
    <row r="161" spans="2:6" x14ac:dyDescent="0.3">
      <c r="B161" s="12">
        <v>600</v>
      </c>
      <c r="C161" s="13" t="s">
        <v>186</v>
      </c>
      <c r="D161" s="12" t="s">
        <v>91</v>
      </c>
      <c r="E161" s="12" t="s">
        <v>107</v>
      </c>
      <c r="F161" s="12"/>
    </row>
    <row r="162" spans="2:6" x14ac:dyDescent="0.3">
      <c r="B162" s="12">
        <v>601</v>
      </c>
      <c r="C162" s="13" t="s">
        <v>187</v>
      </c>
      <c r="D162" s="12" t="s">
        <v>91</v>
      </c>
      <c r="E162" s="12" t="s">
        <v>107</v>
      </c>
      <c r="F162" s="12"/>
    </row>
    <row r="163" spans="2:6" x14ac:dyDescent="0.3">
      <c r="B163" s="12">
        <v>602</v>
      </c>
      <c r="C163" s="13" t="s">
        <v>188</v>
      </c>
      <c r="D163" s="12" t="s">
        <v>91</v>
      </c>
      <c r="E163" s="12" t="s">
        <v>107</v>
      </c>
      <c r="F163" s="12"/>
    </row>
    <row r="164" spans="2:6" x14ac:dyDescent="0.3">
      <c r="B164" s="12">
        <v>603</v>
      </c>
      <c r="C164" s="13" t="s">
        <v>189</v>
      </c>
      <c r="D164" s="12" t="s">
        <v>91</v>
      </c>
      <c r="E164" s="12" t="s">
        <v>107</v>
      </c>
      <c r="F164" s="12"/>
    </row>
    <row r="165" spans="2:6" x14ac:dyDescent="0.3">
      <c r="B165" s="12">
        <v>604</v>
      </c>
      <c r="C165" s="13" t="s">
        <v>190</v>
      </c>
      <c r="D165" s="12" t="s">
        <v>91</v>
      </c>
      <c r="E165" s="12" t="s">
        <v>107</v>
      </c>
      <c r="F165" s="12"/>
    </row>
    <row r="166" spans="2:6" x14ac:dyDescent="0.3">
      <c r="B166" s="12">
        <v>605</v>
      </c>
      <c r="C166" s="13" t="s">
        <v>191</v>
      </c>
      <c r="D166" s="12" t="s">
        <v>91</v>
      </c>
      <c r="E166" s="12" t="s">
        <v>107</v>
      </c>
      <c r="F166" s="12"/>
    </row>
    <row r="167" spans="2:6" x14ac:dyDescent="0.3">
      <c r="B167" s="12">
        <v>606</v>
      </c>
      <c r="C167" s="13" t="s">
        <v>192</v>
      </c>
      <c r="D167" s="12" t="s">
        <v>91</v>
      </c>
      <c r="E167" s="12" t="s">
        <v>107</v>
      </c>
      <c r="F167" s="12"/>
    </row>
    <row r="168" spans="2:6" x14ac:dyDescent="0.3">
      <c r="B168" s="12">
        <v>607</v>
      </c>
      <c r="C168" s="13" t="s">
        <v>193</v>
      </c>
      <c r="D168" s="12" t="s">
        <v>91</v>
      </c>
      <c r="E168" s="12" t="s">
        <v>107</v>
      </c>
      <c r="F168" s="12"/>
    </row>
    <row r="169" spans="2:6" x14ac:dyDescent="0.3">
      <c r="B169" s="12">
        <v>608</v>
      </c>
      <c r="C169" s="13" t="s">
        <v>194</v>
      </c>
      <c r="D169" s="12" t="s">
        <v>91</v>
      </c>
      <c r="E169" s="12" t="s">
        <v>107</v>
      </c>
      <c r="F169" s="12"/>
    </row>
    <row r="170" spans="2:6" x14ac:dyDescent="0.3">
      <c r="B170" s="12">
        <v>609</v>
      </c>
      <c r="C170" s="13" t="s">
        <v>195</v>
      </c>
      <c r="D170" s="12" t="s">
        <v>91</v>
      </c>
      <c r="E170" s="12" t="s">
        <v>107</v>
      </c>
      <c r="F170" s="12"/>
    </row>
    <row r="171" spans="2:6" x14ac:dyDescent="0.3">
      <c r="B171" s="12">
        <v>610</v>
      </c>
      <c r="C171" s="13" t="s">
        <v>196</v>
      </c>
      <c r="D171" s="12" t="s">
        <v>91</v>
      </c>
      <c r="E171" s="12" t="s">
        <v>107</v>
      </c>
      <c r="F171" s="12"/>
    </row>
    <row r="172" spans="2:6" x14ac:dyDescent="0.3">
      <c r="B172" s="12">
        <v>611</v>
      </c>
      <c r="C172" s="13" t="s">
        <v>197</v>
      </c>
      <c r="D172" s="12" t="s">
        <v>91</v>
      </c>
      <c r="E172" s="12" t="s">
        <v>107</v>
      </c>
      <c r="F172" s="12"/>
    </row>
    <row r="173" spans="2:6" x14ac:dyDescent="0.3">
      <c r="B173" s="12">
        <v>612</v>
      </c>
      <c r="C173" s="13" t="s">
        <v>62</v>
      </c>
      <c r="D173" s="12" t="s">
        <v>91</v>
      </c>
      <c r="E173" s="12" t="s">
        <v>107</v>
      </c>
      <c r="F173" s="12"/>
    </row>
    <row r="174" spans="2:6" x14ac:dyDescent="0.3">
      <c r="B174" s="12">
        <v>613</v>
      </c>
      <c r="C174" s="13" t="s">
        <v>198</v>
      </c>
      <c r="D174" s="12" t="s">
        <v>91</v>
      </c>
      <c r="E174" s="12" t="s">
        <v>107</v>
      </c>
      <c r="F174" s="12"/>
    </row>
    <row r="175" spans="2:6" x14ac:dyDescent="0.3">
      <c r="B175" s="12">
        <v>700</v>
      </c>
      <c r="C175" s="13" t="s">
        <v>199</v>
      </c>
      <c r="D175" s="12" t="s">
        <v>91</v>
      </c>
      <c r="E175" s="12" t="s">
        <v>101</v>
      </c>
      <c r="F175" s="12"/>
    </row>
    <row r="176" spans="2:6" x14ac:dyDescent="0.3">
      <c r="B176" s="12">
        <v>701</v>
      </c>
      <c r="C176" s="13" t="s">
        <v>200</v>
      </c>
      <c r="D176" s="12" t="s">
        <v>91</v>
      </c>
      <c r="E176" s="12" t="s">
        <v>96</v>
      </c>
      <c r="F176" s="12"/>
    </row>
    <row r="177" spans="2:6" x14ac:dyDescent="0.3">
      <c r="B177" s="12">
        <v>702</v>
      </c>
      <c r="C177" s="13" t="s">
        <v>201</v>
      </c>
      <c r="D177" s="12" t="s">
        <v>91</v>
      </c>
      <c r="E177" s="12" t="s">
        <v>102</v>
      </c>
      <c r="F177" s="12"/>
    </row>
    <row r="178" spans="2:6" x14ac:dyDescent="0.3">
      <c r="B178" s="12">
        <v>703</v>
      </c>
      <c r="C178" s="13" t="s">
        <v>202</v>
      </c>
      <c r="D178" s="12" t="s">
        <v>91</v>
      </c>
      <c r="E178" s="12" t="s">
        <v>102</v>
      </c>
      <c r="F178" s="12"/>
    </row>
    <row r="179" spans="2:6" x14ac:dyDescent="0.3">
      <c r="B179" s="12">
        <v>704</v>
      </c>
      <c r="C179" s="13" t="s">
        <v>203</v>
      </c>
      <c r="D179" s="12" t="s">
        <v>94</v>
      </c>
      <c r="E179" s="12" t="s">
        <v>51</v>
      </c>
      <c r="F179" s="12"/>
    </row>
    <row r="180" spans="2:6" x14ac:dyDescent="0.3">
      <c r="B180" s="12">
        <v>705</v>
      </c>
      <c r="C180" s="13" t="s">
        <v>204</v>
      </c>
      <c r="D180" s="12" t="s">
        <v>91</v>
      </c>
      <c r="E180" s="12" t="s">
        <v>106</v>
      </c>
      <c r="F180" s="12"/>
    </row>
    <row r="181" spans="2:6" x14ac:dyDescent="0.3">
      <c r="B181" s="12">
        <v>706</v>
      </c>
      <c r="C181" s="13" t="s">
        <v>205</v>
      </c>
      <c r="D181" s="12" t="s">
        <v>91</v>
      </c>
      <c r="E181" s="12" t="s">
        <v>106</v>
      </c>
      <c r="F181" s="12"/>
    </row>
    <row r="182" spans="2:6" x14ac:dyDescent="0.3">
      <c r="B182" s="12">
        <v>707</v>
      </c>
      <c r="C182" s="13" t="s">
        <v>206</v>
      </c>
      <c r="D182" s="12" t="s">
        <v>91</v>
      </c>
      <c r="E182" s="12" t="s">
        <v>101</v>
      </c>
      <c r="F182" s="12"/>
    </row>
    <row r="183" spans="2:6" x14ac:dyDescent="0.3">
      <c r="B183" s="12">
        <v>708</v>
      </c>
      <c r="C183" s="13" t="s">
        <v>207</v>
      </c>
      <c r="D183" s="12" t="s">
        <v>91</v>
      </c>
      <c r="E183" s="12" t="s">
        <v>106</v>
      </c>
      <c r="F183" s="12"/>
    </row>
    <row r="184" spans="2:6" x14ac:dyDescent="0.3">
      <c r="B184" s="12">
        <v>709</v>
      </c>
      <c r="C184" s="13" t="s">
        <v>208</v>
      </c>
      <c r="D184" s="12" t="s">
        <v>91</v>
      </c>
      <c r="E184" s="12" t="s">
        <v>167</v>
      </c>
      <c r="F184" s="12"/>
    </row>
    <row r="185" spans="2:6" x14ac:dyDescent="0.3">
      <c r="B185" s="12">
        <v>710</v>
      </c>
      <c r="C185" s="13" t="s">
        <v>209</v>
      </c>
      <c r="D185" s="12" t="s">
        <v>91</v>
      </c>
      <c r="E185" s="12" t="s">
        <v>105</v>
      </c>
      <c r="F185" s="12"/>
    </row>
    <row r="186" spans="2:6" x14ac:dyDescent="0.3">
      <c r="B186" s="12">
        <v>711</v>
      </c>
      <c r="C186" s="13" t="s">
        <v>210</v>
      </c>
      <c r="D186" s="12" t="s">
        <v>91</v>
      </c>
      <c r="E186" s="12" t="s">
        <v>105</v>
      </c>
      <c r="F186" s="12"/>
    </row>
    <row r="187" spans="2:6" x14ac:dyDescent="0.3">
      <c r="B187" s="12">
        <v>712</v>
      </c>
      <c r="C187" s="13" t="s">
        <v>211</v>
      </c>
      <c r="D187" s="12" t="s">
        <v>94</v>
      </c>
      <c r="E187" s="12" t="s">
        <v>123</v>
      </c>
      <c r="F187" s="12"/>
    </row>
    <row r="188" spans="2:6" x14ac:dyDescent="0.3">
      <c r="B188" s="12">
        <v>713</v>
      </c>
      <c r="C188" s="13" t="s">
        <v>212</v>
      </c>
      <c r="D188" s="12" t="s">
        <v>94</v>
      </c>
      <c r="E188" s="12" t="s">
        <v>125</v>
      </c>
      <c r="F188" s="12"/>
    </row>
    <row r="189" spans="2:6" x14ac:dyDescent="0.3">
      <c r="B189" s="12">
        <v>714</v>
      </c>
      <c r="C189" s="13" t="s">
        <v>213</v>
      </c>
      <c r="D189" s="12" t="s">
        <v>91</v>
      </c>
      <c r="E189" s="12" t="s">
        <v>106</v>
      </c>
      <c r="F189" s="12"/>
    </row>
    <row r="190" spans="2:6" x14ac:dyDescent="0.3">
      <c r="B190" s="12">
        <v>715</v>
      </c>
      <c r="C190" s="13" t="s">
        <v>214</v>
      </c>
      <c r="D190" s="12" t="s">
        <v>91</v>
      </c>
      <c r="E190" s="12" t="s">
        <v>106</v>
      </c>
      <c r="F190" s="12"/>
    </row>
    <row r="191" spans="2:6" x14ac:dyDescent="0.3">
      <c r="B191" s="12">
        <v>716</v>
      </c>
      <c r="C191" s="13" t="s">
        <v>215</v>
      </c>
      <c r="D191" s="12" t="s">
        <v>91</v>
      </c>
      <c r="E191" s="12" t="s">
        <v>106</v>
      </c>
      <c r="F191" s="12"/>
    </row>
    <row r="192" spans="2:6" x14ac:dyDescent="0.3">
      <c r="B192" s="12">
        <v>717</v>
      </c>
      <c r="C192" s="13" t="s">
        <v>216</v>
      </c>
      <c r="D192" s="12" t="s">
        <v>91</v>
      </c>
      <c r="E192" s="12" t="s">
        <v>106</v>
      </c>
      <c r="F192" s="12"/>
    </row>
    <row r="193" spans="2:6" x14ac:dyDescent="0.3">
      <c r="B193" s="12">
        <v>718</v>
      </c>
      <c r="C193" s="13" t="s">
        <v>217</v>
      </c>
      <c r="D193" s="12" t="s">
        <v>94</v>
      </c>
      <c r="E193" s="12" t="s">
        <v>24</v>
      </c>
      <c r="F193" s="12"/>
    </row>
    <row r="194" spans="2:6" x14ac:dyDescent="0.3">
      <c r="B194" s="12">
        <v>719</v>
      </c>
      <c r="C194" s="13" t="s">
        <v>218</v>
      </c>
      <c r="D194" s="12" t="s">
        <v>91</v>
      </c>
      <c r="E194" s="12" t="s">
        <v>106</v>
      </c>
      <c r="F194" s="12"/>
    </row>
    <row r="195" spans="2:6" x14ac:dyDescent="0.3">
      <c r="B195" s="12">
        <v>720</v>
      </c>
      <c r="C195" s="13" t="s">
        <v>219</v>
      </c>
      <c r="D195" s="12" t="s">
        <v>91</v>
      </c>
      <c r="E195" s="12" t="s">
        <v>106</v>
      </c>
      <c r="F195" s="12"/>
    </row>
    <row r="196" spans="2:6" x14ac:dyDescent="0.3">
      <c r="B196" s="12">
        <v>721</v>
      </c>
      <c r="C196" s="13" t="s">
        <v>220</v>
      </c>
      <c r="D196" s="12" t="s">
        <v>91</v>
      </c>
      <c r="E196" s="12" t="s">
        <v>106</v>
      </c>
      <c r="F196" s="12"/>
    </row>
    <row r="197" spans="2:6" x14ac:dyDescent="0.3">
      <c r="B197" s="12">
        <v>722</v>
      </c>
      <c r="C197" s="13" t="s">
        <v>221</v>
      </c>
      <c r="D197" s="12" t="s">
        <v>91</v>
      </c>
      <c r="E197" s="12" t="s">
        <v>106</v>
      </c>
      <c r="F197" s="12"/>
    </row>
    <row r="198" spans="2:6" x14ac:dyDescent="0.3">
      <c r="B198" s="12">
        <v>723</v>
      </c>
      <c r="C198" s="13" t="s">
        <v>222</v>
      </c>
      <c r="D198" s="12" t="s">
        <v>91</v>
      </c>
      <c r="E198" s="12" t="s">
        <v>106</v>
      </c>
      <c r="F198" s="12"/>
    </row>
    <row r="199" spans="2:6" x14ac:dyDescent="0.3">
      <c r="B199" s="12">
        <v>724</v>
      </c>
      <c r="C199" s="13" t="s">
        <v>223</v>
      </c>
      <c r="D199" s="12" t="s">
        <v>91</v>
      </c>
      <c r="E199" s="12" t="s">
        <v>106</v>
      </c>
      <c r="F199" s="12"/>
    </row>
    <row r="200" spans="2:6" x14ac:dyDescent="0.3">
      <c r="B200" s="12">
        <v>725</v>
      </c>
      <c r="C200" s="13" t="s">
        <v>224</v>
      </c>
      <c r="D200" s="12" t="s">
        <v>91</v>
      </c>
      <c r="E200" s="12" t="s">
        <v>106</v>
      </c>
      <c r="F200" s="12"/>
    </row>
    <row r="201" spans="2:6" x14ac:dyDescent="0.3">
      <c r="B201" s="12">
        <v>726</v>
      </c>
      <c r="C201" s="13" t="s">
        <v>225</v>
      </c>
      <c r="D201" s="12" t="s">
        <v>91</v>
      </c>
      <c r="E201" s="12" t="s">
        <v>106</v>
      </c>
      <c r="F201" s="12"/>
    </row>
    <row r="202" spans="2:6" x14ac:dyDescent="0.3">
      <c r="B202" s="12">
        <v>727</v>
      </c>
      <c r="C202" s="13" t="s">
        <v>226</v>
      </c>
      <c r="D202" s="12" t="s">
        <v>91</v>
      </c>
      <c r="E202" s="12" t="s">
        <v>106</v>
      </c>
      <c r="F202" s="12"/>
    </row>
    <row r="203" spans="2:6" x14ac:dyDescent="0.3">
      <c r="B203" s="12">
        <v>728</v>
      </c>
      <c r="C203" s="13" t="s">
        <v>227</v>
      </c>
      <c r="D203" s="12" t="s">
        <v>91</v>
      </c>
      <c r="E203" s="12" t="s">
        <v>106</v>
      </c>
      <c r="F203" s="12"/>
    </row>
    <row r="204" spans="2:6" x14ac:dyDescent="0.3">
      <c r="B204" s="12">
        <v>729</v>
      </c>
      <c r="C204" s="13" t="s">
        <v>228</v>
      </c>
      <c r="D204" s="12" t="s">
        <v>91</v>
      </c>
      <c r="E204" s="12" t="s">
        <v>112</v>
      </c>
      <c r="F204" s="12"/>
    </row>
    <row r="205" spans="2:6" x14ac:dyDescent="0.3">
      <c r="B205" s="12">
        <v>730</v>
      </c>
      <c r="C205" s="13" t="s">
        <v>229</v>
      </c>
      <c r="D205" s="12" t="s">
        <v>91</v>
      </c>
      <c r="E205" s="12" t="s">
        <v>112</v>
      </c>
      <c r="F205" s="12"/>
    </row>
    <row r="206" spans="2:6" x14ac:dyDescent="0.3">
      <c r="B206" s="12">
        <v>731</v>
      </c>
      <c r="C206" s="13" t="s">
        <v>230</v>
      </c>
      <c r="D206" s="12" t="s">
        <v>91</v>
      </c>
      <c r="E206" s="12" t="s">
        <v>96</v>
      </c>
      <c r="F206" s="12"/>
    </row>
    <row r="207" spans="2:6" x14ac:dyDescent="0.3">
      <c r="B207" s="12">
        <v>732</v>
      </c>
      <c r="C207" s="13" t="s">
        <v>231</v>
      </c>
      <c r="D207" s="12" t="s">
        <v>91</v>
      </c>
      <c r="E207" s="12" t="s">
        <v>102</v>
      </c>
      <c r="F207" s="12"/>
    </row>
    <row r="208" spans="2:6" x14ac:dyDescent="0.3">
      <c r="B208" s="12">
        <v>733</v>
      </c>
      <c r="C208" s="13" t="s">
        <v>232</v>
      </c>
      <c r="D208" s="12" t="s">
        <v>91</v>
      </c>
      <c r="E208" s="12" t="s">
        <v>96</v>
      </c>
      <c r="F208" s="12"/>
    </row>
    <row r="209" spans="2:6" x14ac:dyDescent="0.3">
      <c r="B209" s="12">
        <v>734</v>
      </c>
      <c r="C209" s="13" t="s">
        <v>233</v>
      </c>
      <c r="D209" s="12" t="s">
        <v>91</v>
      </c>
      <c r="E209" s="12" t="s">
        <v>96</v>
      </c>
      <c r="F209" s="12"/>
    </row>
    <row r="210" spans="2:6" x14ac:dyDescent="0.3">
      <c r="B210" s="12">
        <v>735</v>
      </c>
      <c r="C210" s="13" t="s">
        <v>234</v>
      </c>
      <c r="D210" s="12" t="s">
        <v>91</v>
      </c>
      <c r="E210" s="12" t="s">
        <v>106</v>
      </c>
      <c r="F210" s="12"/>
    </row>
    <row r="211" spans="2:6" x14ac:dyDescent="0.3">
      <c r="B211" s="12">
        <v>736</v>
      </c>
      <c r="C211" s="13" t="s">
        <v>235</v>
      </c>
      <c r="D211" s="12" t="s">
        <v>91</v>
      </c>
      <c r="E211" s="12" t="s">
        <v>96</v>
      </c>
      <c r="F211" s="12"/>
    </row>
    <row r="212" spans="2:6" x14ac:dyDescent="0.3">
      <c r="B212" s="12">
        <v>737</v>
      </c>
      <c r="C212" s="13" t="s">
        <v>236</v>
      </c>
      <c r="D212" s="12" t="s">
        <v>91</v>
      </c>
      <c r="E212" s="12" t="s">
        <v>96</v>
      </c>
      <c r="F212" s="12"/>
    </row>
    <row r="213" spans="2:6" x14ac:dyDescent="0.3">
      <c r="B213" s="12">
        <v>738</v>
      </c>
      <c r="C213" s="13" t="s">
        <v>237</v>
      </c>
      <c r="D213" s="12" t="s">
        <v>91</v>
      </c>
      <c r="E213" s="12" t="s">
        <v>96</v>
      </c>
      <c r="F213" s="12"/>
    </row>
    <row r="214" spans="2:6" x14ac:dyDescent="0.3">
      <c r="B214" s="12">
        <v>739</v>
      </c>
      <c r="C214" s="13" t="s">
        <v>238</v>
      </c>
      <c r="D214" s="12" t="s">
        <v>91</v>
      </c>
      <c r="E214" s="12" t="s">
        <v>106</v>
      </c>
      <c r="F214" s="12"/>
    </row>
    <row r="215" spans="2:6" x14ac:dyDescent="0.3">
      <c r="B215" s="12">
        <v>740</v>
      </c>
      <c r="C215" s="13" t="s">
        <v>239</v>
      </c>
      <c r="D215" s="12" t="s">
        <v>91</v>
      </c>
      <c r="E215" s="12" t="s">
        <v>102</v>
      </c>
      <c r="F215" s="12"/>
    </row>
    <row r="216" spans="2:6" x14ac:dyDescent="0.3">
      <c r="B216" s="12">
        <v>741</v>
      </c>
      <c r="C216" s="13" t="s">
        <v>240</v>
      </c>
      <c r="D216" s="12" t="s">
        <v>91</v>
      </c>
      <c r="E216" s="12" t="s">
        <v>102</v>
      </c>
      <c r="F216" s="12"/>
    </row>
    <row r="217" spans="2:6" x14ac:dyDescent="0.3">
      <c r="B217" s="12">
        <v>742</v>
      </c>
      <c r="C217" s="13" t="s">
        <v>241</v>
      </c>
      <c r="D217" s="12" t="s">
        <v>91</v>
      </c>
      <c r="E217" s="12" t="s">
        <v>102</v>
      </c>
      <c r="F217" s="12"/>
    </row>
    <row r="218" spans="2:6" x14ac:dyDescent="0.3">
      <c r="B218" s="12">
        <v>743</v>
      </c>
      <c r="C218" s="13" t="s">
        <v>242</v>
      </c>
      <c r="D218" s="12" t="s">
        <v>91</v>
      </c>
      <c r="E218" s="12" t="s">
        <v>105</v>
      </c>
      <c r="F218" s="12"/>
    </row>
    <row r="219" spans="2:6" x14ac:dyDescent="0.3">
      <c r="B219" s="12">
        <v>744</v>
      </c>
      <c r="C219" s="13" t="s">
        <v>243</v>
      </c>
      <c r="D219" s="12" t="s">
        <v>91</v>
      </c>
      <c r="E219" s="12" t="s">
        <v>106</v>
      </c>
      <c r="F219" s="12"/>
    </row>
    <row r="220" spans="2:6" x14ac:dyDescent="0.3">
      <c r="B220" s="12">
        <v>745</v>
      </c>
      <c r="C220" s="13" t="s">
        <v>244</v>
      </c>
      <c r="D220" s="12" t="s">
        <v>91</v>
      </c>
      <c r="E220" s="12" t="s">
        <v>106</v>
      </c>
      <c r="F220" s="12"/>
    </row>
    <row r="221" spans="2:6" x14ac:dyDescent="0.3">
      <c r="B221" s="12">
        <v>999</v>
      </c>
      <c r="C221" s="13" t="s">
        <v>245</v>
      </c>
      <c r="D221" s="12" t="s">
        <v>91</v>
      </c>
      <c r="E221" s="12" t="s">
        <v>106</v>
      </c>
      <c r="F221" s="1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B3D54E-DB8C-462C-AFB5-B30B874CA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2ab218-3f18-4af3-9aea-c75ce8322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FD06058-C869-4F41-832F-2E862291249F}">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0D2EC8CE-5BAA-4C3C-85A2-EC7E45069F3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FLG_ELCTRC_VHCL</vt:lpstr>
      <vt:lpstr>análise FC</vt:lpstr>
      <vt:lpstr>TAT L79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Ana Filipa Silva Carreira</cp:lastModifiedBy>
  <cp:revision/>
  <dcterms:created xsi:type="dcterms:W3CDTF">2025-01-19T04:28:00Z</dcterms:created>
  <dcterms:modified xsi:type="dcterms:W3CDTF">2025-02-18T11:00:31Z</dcterms:modified>
  <cp:category/>
  <dc:identifier/>
  <cp:contentStatus/>
  <dc:language/>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2025-02-17T17:22:23Z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13b3015f-707c-4dc7-a170-e9d0c576b9e2</vt:lpwstr>
  </property>
  <property fmtid="{D5CDD505-2E9C-101B-9397-08002B2CF9AE}" pid="8" name="MSIP_Label_0c2abd79-57a9-4473-8700-c843f76a1e37_ContentBits">
    <vt:lpwstr>0</vt:lpwstr>
  </property>
  <property fmtid="{D5CDD505-2E9C-101B-9397-08002B2CF9AE}" pid="9" name="MSIP_Label_0c2abd79-57a9-4473-8700-c843f76a1e37_Tag">
    <vt:lpwstr>10, 0, 1, 1</vt:lpwstr>
  </property>
  <property fmtid="{D5CDD505-2E9C-101B-9397-08002B2CF9AE}" pid="10" name="ContentTypeId">
    <vt:lpwstr>0x010100B0F2CD0D646C4A4BA134F31D4B24B40E</vt:lpwstr>
  </property>
</Properties>
</file>