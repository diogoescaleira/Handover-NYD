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8. MNGMNT_PRDCT/"/>
    </mc:Choice>
  </mc:AlternateContent>
  <xr:revisionPtr revIDLastSave="0" documentId="8_{B6A4EC33-DD6F-4D6A-9715-4273069958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  <sheet name="Sheet1" sheetId="2" r:id="rId2"/>
  </sheets>
  <externalReferences>
    <externalReference r:id="rId3"/>
  </externalReferences>
  <definedNames>
    <definedName name="_xlnm._FilterDatabase" localSheetId="1" hidden="1">Sheet1!$A$1:$B$88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<sst xmlns="http://schemas.openxmlformats.org/spreadsheetml/2006/main" count="315" uniqueCount="229">
  <si>
    <t>campo</t>
  </si>
  <si>
    <t>valor_campo</t>
  </si>
  <si>
    <t>cnmetanseg</t>
  </si>
  <si>
    <t>ccentro_gestor</t>
  </si>
  <si>
    <t>ckmetamis</t>
  </si>
  <si>
    <t>cmetacom</t>
  </si>
  <si>
    <t>ckarea</t>
  </si>
  <si>
    <t>ordem</t>
  </si>
  <si>
    <t>MNGMNT_PRDCT</t>
  </si>
  <si>
    <t>PRDCT0304</t>
  </si>
  <si>
    <t>NULL</t>
  </si>
  <si>
    <t>in (S,UGP000,A,P)</t>
  </si>
  <si>
    <t>GB0530</t>
  </si>
  <si>
    <t>1</t>
  </si>
  <si>
    <t>PRDCT0303</t>
  </si>
  <si>
    <t>not in (S,UGP000,A,P)</t>
  </si>
  <si>
    <t>2</t>
  </si>
  <si>
    <t>PRDCT01010201</t>
  </si>
  <si>
    <t>GB0525</t>
  </si>
  <si>
    <t>3</t>
  </si>
  <si>
    <t>PRDCT01010202</t>
  </si>
  <si>
    <t>GB0540</t>
  </si>
  <si>
    <t>4</t>
  </si>
  <si>
    <t>PRDCT01010204</t>
  </si>
  <si>
    <t>GB0535</t>
  </si>
  <si>
    <t>5</t>
  </si>
  <si>
    <t>PRDCT01010205</t>
  </si>
  <si>
    <t>GB0545</t>
  </si>
  <si>
    <t>6</t>
  </si>
  <si>
    <t>PRDCT01010206</t>
  </si>
  <si>
    <t>GB1025</t>
  </si>
  <si>
    <t>7</t>
  </si>
  <si>
    <t>PRDCT01010207</t>
  </si>
  <si>
    <t>GB1015</t>
  </si>
  <si>
    <t>8</t>
  </si>
  <si>
    <t>PRDCT0203</t>
  </si>
  <si>
    <t>GB2005</t>
  </si>
  <si>
    <t>9</t>
  </si>
  <si>
    <t>PRDCT0301</t>
  </si>
  <si>
    <t>GB0505</t>
  </si>
  <si>
    <t>10</t>
  </si>
  <si>
    <t>PRDCT0302</t>
  </si>
  <si>
    <t>GB0510</t>
  </si>
  <si>
    <t>11</t>
  </si>
  <si>
    <t>PRDCT010101</t>
  </si>
  <si>
    <t>in (AI02,AI03)</t>
  </si>
  <si>
    <t>12</t>
  </si>
  <si>
    <t>PRDCT0103</t>
  </si>
  <si>
    <t>in (AI0490)</t>
  </si>
  <si>
    <t>13</t>
  </si>
  <si>
    <t>PRDCT0201</t>
  </si>
  <si>
    <t>in (AI10)</t>
  </si>
  <si>
    <t>14</t>
  </si>
  <si>
    <t>PRDCT010103</t>
  </si>
  <si>
    <t>15</t>
  </si>
  <si>
    <t xml:space="preserve">Código </t>
  </si>
  <si>
    <t>English Description</t>
  </si>
  <si>
    <t>AN</t>
  </si>
  <si>
    <t>Total Business Area</t>
  </si>
  <si>
    <t>WM</t>
  </si>
  <si>
    <t>Wealth Management and Insurance</t>
  </si>
  <si>
    <t>BP</t>
  </si>
  <si>
    <t>Private Banking</t>
  </si>
  <si>
    <t>AN01010100</t>
  </si>
  <si>
    <t>Private Wealth</t>
  </si>
  <si>
    <t>AN01050000</t>
  </si>
  <si>
    <t>Private Banking Rest</t>
  </si>
  <si>
    <t>GA</t>
  </si>
  <si>
    <t>Asset Management</t>
  </si>
  <si>
    <t>AN03010000</t>
  </si>
  <si>
    <t>Investment Funds</t>
  </si>
  <si>
    <t>AN03020000</t>
  </si>
  <si>
    <t>Pension Funds</t>
  </si>
  <si>
    <t>SE</t>
  </si>
  <si>
    <t>Insurance</t>
  </si>
  <si>
    <t>AN03030000</t>
  </si>
  <si>
    <t>Insurance.</t>
  </si>
  <si>
    <t>PIW</t>
  </si>
  <si>
    <t>Investment Platforms Wealth</t>
  </si>
  <si>
    <t>AN03040000</t>
  </si>
  <si>
    <t>IPUS</t>
  </si>
  <si>
    <t>AN03050000</t>
  </si>
  <si>
    <t>Legacy</t>
  </si>
  <si>
    <t>BC</t>
  </si>
  <si>
    <t>Retail and Commercial</t>
  </si>
  <si>
    <t>BC00</t>
  </si>
  <si>
    <t>Retail</t>
  </si>
  <si>
    <t>BC1015</t>
  </si>
  <si>
    <t>Individuals</t>
  </si>
  <si>
    <t>AN01010201</t>
  </si>
  <si>
    <t>Select</t>
  </si>
  <si>
    <t>AN01010500</t>
  </si>
  <si>
    <t>Classic</t>
  </si>
  <si>
    <t>BC1014</t>
  </si>
  <si>
    <t>SMEs</t>
  </si>
  <si>
    <t>AN01020410</t>
  </si>
  <si>
    <t>SME I</t>
  </si>
  <si>
    <t>AN01020200</t>
  </si>
  <si>
    <t>SMEs II</t>
  </si>
  <si>
    <t>BC10</t>
  </si>
  <si>
    <t>Commercial</t>
  </si>
  <si>
    <t>AN01020210</t>
  </si>
  <si>
    <t>Companies</t>
  </si>
  <si>
    <t>AN01040220</t>
  </si>
  <si>
    <t>Institutions</t>
  </si>
  <si>
    <t>AN01060010</t>
  </si>
  <si>
    <t>OB &amp; Other</t>
  </si>
  <si>
    <t>FC</t>
  </si>
  <si>
    <t>DCB</t>
  </si>
  <si>
    <t>AN06010000</t>
  </si>
  <si>
    <t>Auto Consumer</t>
  </si>
  <si>
    <t>AN06020000</t>
  </si>
  <si>
    <t>No Auto Consumer</t>
  </si>
  <si>
    <t>AN06030000</t>
  </si>
  <si>
    <t>Other DCB</t>
  </si>
  <si>
    <t>PYM</t>
  </si>
  <si>
    <t>Payments</t>
  </si>
  <si>
    <t>CA</t>
  </si>
  <si>
    <t>Cards</t>
  </si>
  <si>
    <t>CA00</t>
  </si>
  <si>
    <t>Cards sum cero</t>
  </si>
  <si>
    <t>AN07020000</t>
  </si>
  <si>
    <t>Cards Load</t>
  </si>
  <si>
    <t>AN07030000</t>
  </si>
  <si>
    <t>Cards Cancel R&amp;C</t>
  </si>
  <si>
    <t>AN07040000</t>
  </si>
  <si>
    <t>Cards Cancel DCB</t>
  </si>
  <si>
    <t>AN07050000</t>
  </si>
  <si>
    <t>Platform Cards</t>
  </si>
  <si>
    <t>GT</t>
  </si>
  <si>
    <t>PagoNxt</t>
  </si>
  <si>
    <t>AN08010000</t>
  </si>
  <si>
    <t>Business Other PagoNxt</t>
  </si>
  <si>
    <t>AN08020000</t>
  </si>
  <si>
    <t>Business PagoNxt Ebury</t>
  </si>
  <si>
    <t>AN08030000</t>
  </si>
  <si>
    <t>Business PagoNxt Payment</t>
  </si>
  <si>
    <t>AN08040000</t>
  </si>
  <si>
    <t>Business PagoNxt Merchant</t>
  </si>
  <si>
    <t>GB</t>
  </si>
  <si>
    <t>CIB</t>
  </si>
  <si>
    <t>GB05A</t>
  </si>
  <si>
    <t>Global Banking</t>
  </si>
  <si>
    <t>AN02050600</t>
  </si>
  <si>
    <t>M &amp; A - Mergers and Acquisitions</t>
  </si>
  <si>
    <t>ECM - Equity Capital Markets &amp; Others</t>
  </si>
  <si>
    <t>AN02050500</t>
  </si>
  <si>
    <t>ECM - Equity Capital Markets.</t>
  </si>
  <si>
    <t>AN02050900</t>
  </si>
  <si>
    <t>EPCM - Equity Private Capital Markets</t>
  </si>
  <si>
    <t>AN02050800</t>
  </si>
  <si>
    <t>Corporate Equity Derivatives</t>
  </si>
  <si>
    <t>AN02030600</t>
  </si>
  <si>
    <t>Leveraged Finance</t>
  </si>
  <si>
    <t>GB05</t>
  </si>
  <si>
    <t>Structured Finance</t>
  </si>
  <si>
    <t>AN02030300</t>
  </si>
  <si>
    <t>Project and Acquisition Finance.</t>
  </si>
  <si>
    <t>AN02010200</t>
  </si>
  <si>
    <t>ABF</t>
  </si>
  <si>
    <t>AN02030800</t>
  </si>
  <si>
    <t>Capital Finance</t>
  </si>
  <si>
    <t>GB0560</t>
  </si>
  <si>
    <t>IG/EM Debt</t>
  </si>
  <si>
    <t>AN02030200</t>
  </si>
  <si>
    <t>DCM</t>
  </si>
  <si>
    <t>AN02030400</t>
  </si>
  <si>
    <t>Syndicated Loans</t>
  </si>
  <si>
    <t>GB10</t>
  </si>
  <si>
    <t>GTB - Global Transaction Banking</t>
  </si>
  <si>
    <t>AN02020100</t>
  </si>
  <si>
    <t>Cash Management</t>
  </si>
  <si>
    <t>AN02020300</t>
  </si>
  <si>
    <t>Financiación Básica</t>
  </si>
  <si>
    <t>AN02020200</t>
  </si>
  <si>
    <t>Trade &amp; WCS</t>
  </si>
  <si>
    <t>AN02020400</t>
  </si>
  <si>
    <t>Export &amp; Agency Finance</t>
  </si>
  <si>
    <t>GB20</t>
  </si>
  <si>
    <t>Global Markets</t>
  </si>
  <si>
    <t>AN02040100</t>
  </si>
  <si>
    <t>FX</t>
  </si>
  <si>
    <t>AN02040200</t>
  </si>
  <si>
    <t>Rates</t>
  </si>
  <si>
    <t>AN02040300</t>
  </si>
  <si>
    <t>Securitization Products</t>
  </si>
  <si>
    <t>AN02040400</t>
  </si>
  <si>
    <t>Securitization Finance</t>
  </si>
  <si>
    <t>GB2001</t>
  </si>
  <si>
    <t>Credit</t>
  </si>
  <si>
    <t>AN02040500</t>
  </si>
  <si>
    <t>AN02040600</t>
  </si>
  <si>
    <t>Bond Syndicate</t>
  </si>
  <si>
    <t>AN02050100</t>
  </si>
  <si>
    <t>Equity Derivatives</t>
  </si>
  <si>
    <t>AN02040700</t>
  </si>
  <si>
    <t>Commodities</t>
  </si>
  <si>
    <t>AN02050400</t>
  </si>
  <si>
    <t>Cash Equity</t>
  </si>
  <si>
    <t>AN02030900</t>
  </si>
  <si>
    <t>XVA</t>
  </si>
  <si>
    <t>AN02030500</t>
  </si>
  <si>
    <t>Global Structuring</t>
  </si>
  <si>
    <t>AN02030045</t>
  </si>
  <si>
    <t>ACPM</t>
  </si>
  <si>
    <t>AC</t>
  </si>
  <si>
    <t>Corporate Activities</t>
  </si>
  <si>
    <t>AC05</t>
  </si>
  <si>
    <t>Financial Management</t>
  </si>
  <si>
    <t>AN04010100</t>
  </si>
  <si>
    <t>ALCO</t>
  </si>
  <si>
    <t>AN04010400</t>
  </si>
  <si>
    <t>Balance Hedge</t>
  </si>
  <si>
    <t>AN04010500</t>
  </si>
  <si>
    <t>Funding</t>
  </si>
  <si>
    <t>AN04010600</t>
  </si>
  <si>
    <t>Strategic Hedge</t>
  </si>
  <si>
    <t>AN04010700</t>
  </si>
  <si>
    <t>Intragroup Funding</t>
  </si>
  <si>
    <t>AC10</t>
  </si>
  <si>
    <t>Other</t>
  </si>
  <si>
    <t>AN04020000</t>
  </si>
  <si>
    <t>Pool of Funds</t>
  </si>
  <si>
    <t>AC1010</t>
  </si>
  <si>
    <t>AN04030000</t>
  </si>
  <si>
    <t>Other Corporate Activities (Holding)</t>
  </si>
  <si>
    <t>EL</t>
  </si>
  <si>
    <t>Intra-Group Reassignment</t>
  </si>
  <si>
    <t>deixou de existir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</si>
</sst>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Santander Text"/>
      <family val="2"/>
    </font>
    <font>
      <sz val="10"/>
      <name val="Santander Text"/>
      <family val="2"/>
    </font>
    <font>
      <sz val="11"/>
      <color theme="1"/>
      <name val="Santander Text"/>
      <family val="2"/>
    </font>
    <font>
      <b/>
      <sz val="10"/>
      <name val="Santander Text"/>
      <family val="2"/>
    </font>
    <font>
      <sz val="10"/>
      <color indexed="8"/>
      <name val="Santander Text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6">
    <xf numFmtId="0" fontId="0" fillId="0" borderId="0" xfId="0"/>
    <xf numFmtId="164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3" fillId="0" borderId="0" xfId="2" applyFont="1" applyAlignment="1">
      <alignment horizontal="left"/>
    </xf>
    <xf numFmtId="0" fontId="3" fillId="0" borderId="0" xfId="2" applyFont="1"/>
    <xf numFmtId="0" fontId="3" fillId="0" borderId="0" xfId="2" applyFont="1" applyAlignment="1">
      <alignment horizontal="left" indent="1"/>
    </xf>
    <xf numFmtId="0" fontId="3" fillId="0" borderId="0" xfId="2" applyFont="1" applyAlignment="1">
      <alignment horizontal="left" indent="2"/>
    </xf>
    <xf numFmtId="0" fontId="3" fillId="0" borderId="0" xfId="2" applyFont="1" applyAlignment="1">
      <alignment horizontal="left" indent="3"/>
    </xf>
    <xf numFmtId="0" fontId="3" fillId="3" borderId="0" xfId="2" applyFont="1" applyFill="1"/>
    <xf numFmtId="0" fontId="3" fillId="3" borderId="0" xfId="2" applyFont="1" applyFill="1" applyAlignment="1">
      <alignment horizontal="left" indent="2"/>
    </xf>
    <xf numFmtId="0" fontId="3" fillId="3" borderId="0" xfId="2" applyFont="1" applyFill="1" applyAlignment="1">
      <alignment horizontal="left" indent="3"/>
    </xf>
    <xf numFmtId="0" fontId="4" fillId="0" borderId="0" xfId="0" applyFont="1"/>
    <xf numFmtId="0" fontId="4" fillId="0" borderId="0" xfId="0" applyFont="1" applyAlignment="1">
      <alignment horizontal="left" indent="1"/>
    </xf>
    <xf numFmtId="0" fontId="3" fillId="0" borderId="0" xfId="3" applyFont="1"/>
    <xf numFmtId="0" fontId="3" fillId="0" borderId="0" xfId="2" applyFont="1" applyAlignment="1">
      <alignment horizontal="left" indent="4"/>
    </xf>
    <xf numFmtId="0" fontId="3" fillId="4" borderId="0" xfId="2" applyFont="1" applyFill="1" applyAlignment="1">
      <alignment horizontal="left" indent="4"/>
    </xf>
    <xf numFmtId="0" fontId="5" fillId="0" borderId="0" xfId="2" applyFont="1" applyAlignment="1">
      <alignment horizontal="left" indent="1"/>
    </xf>
    <xf numFmtId="0" fontId="5" fillId="0" borderId="0" xfId="2" applyFont="1" applyAlignment="1">
      <alignment horizontal="left" indent="2"/>
    </xf>
    <xf numFmtId="0" fontId="5" fillId="0" borderId="0" xfId="2" applyFont="1" applyAlignment="1">
      <alignment horizontal="left" indent="3"/>
    </xf>
    <xf numFmtId="0" fontId="3" fillId="4" borderId="0" xfId="2" applyFont="1" applyFill="1" applyAlignment="1">
      <alignment horizontal="left" indent="3"/>
    </xf>
    <xf numFmtId="0" fontId="5" fillId="4" borderId="0" xfId="2" applyFont="1" applyFill="1" applyAlignment="1">
      <alignment horizontal="left" indent="2"/>
    </xf>
    <xf numFmtId="0" fontId="4" fillId="3" borderId="0" xfId="0" applyFont="1" applyFill="1"/>
    <xf numFmtId="0" fontId="3" fillId="3" borderId="0" xfId="2" applyFont="1" applyFill="1" applyAlignment="1">
      <alignment horizontal="left" indent="4"/>
    </xf>
    <xf numFmtId="0" fontId="6" fillId="0" borderId="0" xfId="4" applyFont="1"/>
    <xf numFmtId="0" fontId="5" fillId="3" borderId="0" xfId="2" applyFont="1" applyFill="1" applyAlignment="1">
      <alignment horizontal="left" indent="3"/>
    </xf>
    <xf numFmtId="0" fontId="0" fillId="5" borderId="0" xfId="0" applyFill="1"/>
  </cellXfs>
  <cellStyles count="5">
    <cellStyle name="l]_x000d__x000a_Path=M:\RIOCEN01_x000d__x000a_Name=Carlos Emilio Brousse_x000d__x000a_DDEApps=nsf,nsg,nsh,ntf,ns2,ors,org_x000d__x000a_SmartIcons=Todos_x000d__x000a_ 2_Jerarquias_MIS_Consolidado0312v3_CODIFICADA" xfId="1" xr:uid="{5C23BBA9-AD37-4AA3-94B4-BC0B843B828B}"/>
    <cellStyle name="Normal" xfId="0" builtinId="0"/>
    <cellStyle name="Normal 2 2" xfId="3" xr:uid="{362D857D-FCA2-4DFA-B2C8-09EFF2FFEFE1}"/>
    <cellStyle name="Normal 3 2" xfId="4" xr:uid="{7BEFF326-C84C-499E-A840-ACB774387A91}"/>
    <cellStyle name="Normal 7" xfId="2" xr:uid="{14C45F5C-F391-4E5A-BA55-D49A225E5E7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7.%20An&#225;lises/02.%20Mapeamento%20ckarea-BA/BS_TestesGD_MapeamentoBA_v0.1.xlsx" TargetMode="External"/><Relationship Id="rId1" Type="http://schemas.openxmlformats.org/officeDocument/2006/relationships/externalLinkPath" Target="/sites/LoanTapeGD-Testes/Shared%20Documents/Geral/07.%20An&#225;lises/02.%20Mapeamento%20ckarea-BA/BS_TestesGD_MapeamentoBA_v0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T875"/>
      <sheetName val="CT010 &amp; CT011"/>
      <sheetName val="Mapeamento CKAREA-BA"/>
      <sheetName val="Código"/>
    </sheetNames>
    <sheetDataSet>
      <sheetData sheetId="0"/>
      <sheetData sheetId="1">
        <row r="2">
          <cell r="B2" t="str">
            <v>cod_atributo_dim</v>
          </cell>
          <cell r="C2" t="str">
            <v>nome_atributo_dim</v>
          </cell>
        </row>
        <row r="3">
          <cell r="B3" t="str">
            <v>AN</v>
          </cell>
          <cell r="C3" t="str">
            <v>Total Área de Negocio</v>
          </cell>
        </row>
        <row r="4">
          <cell r="B4" t="str">
            <v>AC</v>
          </cell>
          <cell r="C4" t="str">
            <v>Actividades Corporativas</v>
          </cell>
        </row>
        <row r="5">
          <cell r="B5" t="str">
            <v>AC05</v>
          </cell>
          <cell r="C5" t="str">
            <v>Gestión Financiera</v>
          </cell>
        </row>
        <row r="6">
          <cell r="B6" t="str">
            <v>AN04010500</v>
          </cell>
          <cell r="C6" t="str">
            <v>Financiación</v>
          </cell>
        </row>
        <row r="7">
          <cell r="B7" t="str">
            <v>AN04010600</v>
          </cell>
          <cell r="C7" t="str">
            <v>Coberturas estratégicas</v>
          </cell>
        </row>
        <row r="8">
          <cell r="B8" t="str">
            <v>AN04010400</v>
          </cell>
          <cell r="C8" t="str">
            <v>Coberturas de balance</v>
          </cell>
        </row>
        <row r="9">
          <cell r="B9" t="str">
            <v>AN04010100</v>
          </cell>
          <cell r="C9" t="str">
            <v>ALCO</v>
          </cell>
        </row>
        <row r="10">
          <cell r="B10" t="str">
            <v>AN04010700</v>
          </cell>
          <cell r="C10" t="str">
            <v>Financiación intragrupo</v>
          </cell>
        </row>
        <row r="11">
          <cell r="B11" t="str">
            <v>AC10</v>
          </cell>
          <cell r="C11" t="str">
            <v>Resto</v>
          </cell>
        </row>
        <row r="12">
          <cell r="B12" t="str">
            <v>AC1010</v>
          </cell>
          <cell r="C12" t="str">
            <v>Otros</v>
          </cell>
        </row>
        <row r="13">
          <cell r="B13" t="str">
            <v>AN04030000</v>
          </cell>
          <cell r="C13" t="str">
            <v>Resto Actividades Corporativas</v>
          </cell>
        </row>
        <row r="14">
          <cell r="B14" t="str">
            <v>AN04020000</v>
          </cell>
          <cell r="C14" t="str">
            <v>Pool de Fondos</v>
          </cell>
        </row>
        <row r="15">
          <cell r="B15" t="str">
            <v>BC</v>
          </cell>
          <cell r="C15" t="str">
            <v>Retail and Commercial</v>
          </cell>
        </row>
        <row r="16">
          <cell r="B16" t="str">
            <v>BC00</v>
          </cell>
          <cell r="C16" t="str">
            <v>Retail</v>
          </cell>
        </row>
        <row r="17">
          <cell r="B17" t="str">
            <v>BC1014</v>
          </cell>
          <cell r="C17" t="str">
            <v>Pymes</v>
          </cell>
        </row>
        <row r="18">
          <cell r="B18" t="str">
            <v>AN01020410</v>
          </cell>
          <cell r="C18" t="str">
            <v>Pymes I.</v>
          </cell>
        </row>
        <row r="19">
          <cell r="B19" t="str">
            <v>AN01020200</v>
          </cell>
          <cell r="C19" t="str">
            <v>Pymes II</v>
          </cell>
        </row>
        <row r="20">
          <cell r="B20" t="str">
            <v>BC1015</v>
          </cell>
          <cell r="C20" t="str">
            <v>Particulares</v>
          </cell>
        </row>
        <row r="21">
          <cell r="B21" t="str">
            <v>AN01010500</v>
          </cell>
          <cell r="C21" t="str">
            <v>Classic</v>
          </cell>
        </row>
        <row r="22">
          <cell r="B22" t="str">
            <v>AN01010201</v>
          </cell>
          <cell r="C22" t="str">
            <v>Select</v>
          </cell>
        </row>
        <row r="23">
          <cell r="B23" t="str">
            <v>BC10</v>
          </cell>
          <cell r="C23" t="str">
            <v>Commercial</v>
          </cell>
        </row>
        <row r="24">
          <cell r="B24" t="str">
            <v>BC1010</v>
          </cell>
          <cell r="C24" t="str">
            <v>Empresas</v>
          </cell>
        </row>
        <row r="25">
          <cell r="B25" t="str">
            <v>AN01020210</v>
          </cell>
          <cell r="C25" t="str">
            <v>Empresas.</v>
          </cell>
        </row>
        <row r="26">
          <cell r="B26" t="str">
            <v>BC1020</v>
          </cell>
          <cell r="C26" t="str">
            <v>Instituciones</v>
          </cell>
        </row>
        <row r="27">
          <cell r="B27" t="str">
            <v>AN01040220</v>
          </cell>
          <cell r="C27" t="str">
            <v>Instituciones.</v>
          </cell>
        </row>
        <row r="28">
          <cell r="B28" t="str">
            <v>AN01060010</v>
          </cell>
          <cell r="C28" t="str">
            <v>OB y Otros</v>
          </cell>
        </row>
        <row r="29">
          <cell r="B29" t="str">
            <v>EL</v>
          </cell>
          <cell r="C29" t="str">
            <v>Reasignación del Intragrupo</v>
          </cell>
        </row>
        <row r="30">
          <cell r="B30" t="str">
            <v>FC</v>
          </cell>
          <cell r="C30" t="str">
            <v>DCB</v>
          </cell>
        </row>
        <row r="31">
          <cell r="B31" t="str">
            <v>AN06010000</v>
          </cell>
          <cell r="C31" t="str">
            <v>Consumo Auto</v>
          </cell>
        </row>
        <row r="32">
          <cell r="B32" t="str">
            <v>AN06020000</v>
          </cell>
          <cell r="C32" t="str">
            <v>Consumo No Auto</v>
          </cell>
        </row>
        <row r="33">
          <cell r="B33" t="str">
            <v>AN06030000</v>
          </cell>
          <cell r="C33" t="str">
            <v>Resto DCB</v>
          </cell>
        </row>
        <row r="34">
          <cell r="B34" t="str">
            <v>GB</v>
          </cell>
          <cell r="C34" t="str">
            <v>SCIB</v>
          </cell>
        </row>
        <row r="35">
          <cell r="B35" t="str">
            <v>GB05A</v>
          </cell>
          <cell r="C35" t="str">
            <v>Corporate Finance</v>
          </cell>
        </row>
        <row r="36">
          <cell r="B36" t="str">
            <v>GB0505</v>
          </cell>
          <cell r="C36" t="str">
            <v>M &amp; A - Mergers and Acquisitions</v>
          </cell>
        </row>
        <row r="37">
          <cell r="B37" t="str">
            <v>AN02050600</v>
          </cell>
          <cell r="C37" t="str">
            <v>M &amp; A - Mergers and Acquisitions.</v>
          </cell>
        </row>
        <row r="38">
          <cell r="B38" t="str">
            <v>GB0510</v>
          </cell>
          <cell r="C38" t="str">
            <v>ECM - Equity Capital Markets</v>
          </cell>
        </row>
        <row r="39">
          <cell r="B39" t="str">
            <v>AN02050500</v>
          </cell>
          <cell r="C39" t="str">
            <v>ECM - Equity Capital Markets.</v>
          </cell>
        </row>
        <row r="40">
          <cell r="B40" t="str">
            <v>GB0515</v>
          </cell>
          <cell r="C40" t="str">
            <v>Corporate Equity Derivatives</v>
          </cell>
        </row>
        <row r="41">
          <cell r="B41" t="str">
            <v>AN02050800</v>
          </cell>
          <cell r="C41" t="str">
            <v>Corporate Equity Derivatives.</v>
          </cell>
        </row>
        <row r="42">
          <cell r="B42" t="str">
            <v>GB0520</v>
          </cell>
          <cell r="C42" t="str">
            <v>Emisores</v>
          </cell>
        </row>
        <row r="43">
          <cell r="B43" t="str">
            <v>AN02050700</v>
          </cell>
          <cell r="C43" t="str">
            <v>Emisores.</v>
          </cell>
        </row>
        <row r="44">
          <cell r="B44" t="str">
            <v>GB0545</v>
          </cell>
          <cell r="C44" t="str">
            <v>Leveraged Finance</v>
          </cell>
        </row>
        <row r="45">
          <cell r="B45" t="str">
            <v>AN02030600</v>
          </cell>
          <cell r="C45" t="str">
            <v>Leveraged Finance.</v>
          </cell>
        </row>
        <row r="46">
          <cell r="B46" t="str">
            <v>GB05</v>
          </cell>
          <cell r="C46" t="str">
            <v>Global Debt Financing</v>
          </cell>
        </row>
        <row r="47">
          <cell r="B47" t="str">
            <v>GB0525</v>
          </cell>
          <cell r="C47" t="str">
            <v>Project and Acquisition Finance</v>
          </cell>
        </row>
        <row r="48">
          <cell r="B48" t="str">
            <v>AN02030300</v>
          </cell>
          <cell r="C48" t="str">
            <v>Project and Acquisition Finance.</v>
          </cell>
        </row>
        <row r="49">
          <cell r="B49" t="str">
            <v>GB0530</v>
          </cell>
          <cell r="C49" t="str">
            <v>Debt Capital Markets &amp; Securitization</v>
          </cell>
        </row>
        <row r="50">
          <cell r="B50" t="str">
            <v>AN02030200</v>
          </cell>
          <cell r="C50" t="str">
            <v>Debt Capital Markets &amp; Securitization.</v>
          </cell>
        </row>
        <row r="51">
          <cell r="B51" t="str">
            <v>GB0535</v>
          </cell>
          <cell r="C51" t="str">
            <v>ACS - Asset &amp; Capital Structuring</v>
          </cell>
        </row>
        <row r="52">
          <cell r="B52" t="str">
            <v>AN02010200</v>
          </cell>
          <cell r="C52" t="str">
            <v>ACS - Asset &amp; Capital Structuring.</v>
          </cell>
        </row>
        <row r="53">
          <cell r="B53" t="str">
            <v>GB0540</v>
          </cell>
          <cell r="C53" t="str">
            <v>Sindicados</v>
          </cell>
        </row>
        <row r="54">
          <cell r="B54" t="str">
            <v>AN02030400</v>
          </cell>
          <cell r="C54" t="str">
            <v>Sindicados.</v>
          </cell>
        </row>
        <row r="55">
          <cell r="B55" t="str">
            <v>GB0550</v>
          </cell>
          <cell r="C55" t="str">
            <v>Other Global Debt Financing</v>
          </cell>
        </row>
        <row r="56">
          <cell r="B56" t="str">
            <v>AN02030700</v>
          </cell>
          <cell r="C56" t="str">
            <v>Other Global Debt Financing.</v>
          </cell>
        </row>
        <row r="57">
          <cell r="B57" t="str">
            <v>GB10</v>
          </cell>
          <cell r="C57" t="str">
            <v>GTB - Global Transaction Banking</v>
          </cell>
        </row>
        <row r="58">
          <cell r="B58" t="str">
            <v>GB1005</v>
          </cell>
          <cell r="C58" t="str">
            <v>Cash Management</v>
          </cell>
        </row>
        <row r="59">
          <cell r="B59" t="str">
            <v>AN02020100</v>
          </cell>
          <cell r="C59" t="str">
            <v>Cash Management.</v>
          </cell>
        </row>
        <row r="60">
          <cell r="B60" t="str">
            <v>GB1010</v>
          </cell>
          <cell r="C60" t="str">
            <v>Financiación Básica</v>
          </cell>
        </row>
        <row r="61">
          <cell r="B61" t="str">
            <v>AN02020300</v>
          </cell>
          <cell r="C61" t="str">
            <v>Financiación Básica.</v>
          </cell>
        </row>
        <row r="62">
          <cell r="B62" t="str">
            <v>GB1015</v>
          </cell>
          <cell r="C62" t="str">
            <v>Trade &amp; WCS</v>
          </cell>
        </row>
        <row r="63">
          <cell r="B63" t="str">
            <v>AN02020200</v>
          </cell>
          <cell r="C63" t="str">
            <v>Trade &amp; WCS.</v>
          </cell>
        </row>
        <row r="64">
          <cell r="B64" t="str">
            <v>GB1025</v>
          </cell>
          <cell r="C64" t="str">
            <v>Export &amp; Agency Finance</v>
          </cell>
        </row>
        <row r="65">
          <cell r="B65" t="str">
            <v>AN02020400</v>
          </cell>
          <cell r="C65" t="str">
            <v>Export &amp; Agency Finance.</v>
          </cell>
        </row>
        <row r="66">
          <cell r="B66" t="str">
            <v>GB20</v>
          </cell>
          <cell r="C66" t="str">
            <v>Global Markets</v>
          </cell>
        </row>
        <row r="67">
          <cell r="B67" t="str">
            <v>GB2005</v>
          </cell>
          <cell r="C67" t="str">
            <v>Sales Mercados</v>
          </cell>
        </row>
        <row r="68">
          <cell r="B68" t="str">
            <v>AN02080000</v>
          </cell>
          <cell r="C68" t="str">
            <v>Sales Mercados.</v>
          </cell>
        </row>
        <row r="69">
          <cell r="B69" t="str">
            <v>GB2010</v>
          </cell>
          <cell r="C69" t="str">
            <v>ETD - Exchange Traded Derivatives</v>
          </cell>
        </row>
        <row r="70">
          <cell r="B70" t="str">
            <v>AN02050100</v>
          </cell>
          <cell r="C70" t="str">
            <v>ETD - Exchange Traded Derivatives.</v>
          </cell>
        </row>
        <row r="71">
          <cell r="B71" t="str">
            <v>GB2015</v>
          </cell>
          <cell r="C71" t="str">
            <v>Cash Equity</v>
          </cell>
        </row>
        <row r="72">
          <cell r="B72" t="str">
            <v>AN02050400</v>
          </cell>
          <cell r="C72" t="str">
            <v>Cash Equity.</v>
          </cell>
        </row>
        <row r="73">
          <cell r="B73" t="str">
            <v>AN02090000</v>
          </cell>
          <cell r="C73" t="str">
            <v>Market Making</v>
          </cell>
        </row>
        <row r="74">
          <cell r="B74" t="str">
            <v>AN02060000</v>
          </cell>
          <cell r="C74" t="str">
            <v>Other Market Products</v>
          </cell>
        </row>
        <row r="75">
          <cell r="B75" t="str">
            <v>GB45</v>
          </cell>
          <cell r="C75" t="str">
            <v>ACPM</v>
          </cell>
        </row>
        <row r="76">
          <cell r="B76" t="str">
            <v>AN02030045</v>
          </cell>
          <cell r="C76" t="str">
            <v>ACPM.</v>
          </cell>
        </row>
        <row r="77">
          <cell r="B77" t="str">
            <v>GB1020</v>
          </cell>
          <cell r="C77" t="str">
            <v>Custodia</v>
          </cell>
        </row>
        <row r="78">
          <cell r="B78" t="str">
            <v>AN02050300</v>
          </cell>
          <cell r="C78" t="str">
            <v>Custodia.</v>
          </cell>
        </row>
        <row r="79">
          <cell r="B79" t="str">
            <v>AN02030500</v>
          </cell>
          <cell r="C79" t="str">
            <v>Global Structuring</v>
          </cell>
        </row>
        <row r="80">
          <cell r="B80" t="str">
            <v>AN02030900</v>
          </cell>
          <cell r="C80" t="str">
            <v>XVA</v>
          </cell>
        </row>
        <row r="81">
          <cell r="B81" t="str">
            <v>PYM</v>
          </cell>
          <cell r="C81" t="str">
            <v>Payments</v>
          </cell>
        </row>
        <row r="82">
          <cell r="B82" t="str">
            <v>CA</v>
          </cell>
          <cell r="C82" t="str">
            <v>Cards</v>
          </cell>
        </row>
        <row r="83">
          <cell r="B83" t="str">
            <v>CA00</v>
          </cell>
          <cell r="C83" t="str">
            <v>Cards suma cero</v>
          </cell>
        </row>
        <row r="84">
          <cell r="B84" t="str">
            <v>AN07030000</v>
          </cell>
          <cell r="C84" t="str">
            <v>Cards Anular R&amp;C</v>
          </cell>
        </row>
        <row r="85">
          <cell r="B85" t="str">
            <v>AN07020000</v>
          </cell>
          <cell r="C85" t="str">
            <v>Cards negocio</v>
          </cell>
        </row>
        <row r="86">
          <cell r="B86" t="str">
            <v>AN07040000</v>
          </cell>
          <cell r="C86" t="str">
            <v>Cards Plataforma</v>
          </cell>
        </row>
        <row r="87">
          <cell r="B87" t="str">
            <v>GT</v>
          </cell>
          <cell r="C87" t="str">
            <v>PagoNxt</v>
          </cell>
        </row>
        <row r="88">
          <cell r="B88" t="str">
            <v>AN08030000</v>
          </cell>
          <cell r="C88" t="str">
            <v>PagoNxt Trade</v>
          </cell>
        </row>
        <row r="89">
          <cell r="B89" t="str">
            <v>AN08010000</v>
          </cell>
          <cell r="C89" t="str">
            <v>PagoNxt Resto</v>
          </cell>
        </row>
        <row r="90">
          <cell r="B90" t="str">
            <v>AN08020000</v>
          </cell>
          <cell r="C90" t="str">
            <v>PagoNxt Consumer</v>
          </cell>
        </row>
        <row r="91">
          <cell r="B91" t="str">
            <v>AN08040000</v>
          </cell>
          <cell r="C91" t="str">
            <v>PagoNxt Merchant</v>
          </cell>
        </row>
        <row r="92">
          <cell r="B92" t="str">
            <v>WM</v>
          </cell>
          <cell r="C92" t="str">
            <v>Wealth Management and Insurance</v>
          </cell>
        </row>
        <row r="93">
          <cell r="B93" t="str">
            <v>BP</v>
          </cell>
          <cell r="C93" t="str">
            <v>Banca Privada</v>
          </cell>
        </row>
        <row r="94">
          <cell r="B94" t="str">
            <v>AN01010100</v>
          </cell>
          <cell r="C94" t="str">
            <v>Private Wealth</v>
          </cell>
        </row>
        <row r="95">
          <cell r="B95" t="str">
            <v>AN01050000</v>
          </cell>
          <cell r="C95" t="str">
            <v>Resto Banca Privada</v>
          </cell>
        </row>
        <row r="96">
          <cell r="B96" t="str">
            <v>GA</v>
          </cell>
          <cell r="C96" t="str">
            <v>Gestión de Activos</v>
          </cell>
        </row>
        <row r="97">
          <cell r="B97" t="str">
            <v>AN03020000</v>
          </cell>
          <cell r="C97" t="str">
            <v>Fondos de Pensiones</v>
          </cell>
        </row>
        <row r="98">
          <cell r="B98" t="str">
            <v>AN03010000</v>
          </cell>
          <cell r="C98" t="str">
            <v>Fondos de Inversión</v>
          </cell>
        </row>
        <row r="99">
          <cell r="B99" t="str">
            <v>SE</v>
          </cell>
          <cell r="C99" t="str">
            <v>Seguros</v>
          </cell>
        </row>
        <row r="100">
          <cell r="B100" t="str">
            <v>AN03030000</v>
          </cell>
          <cell r="C100" t="str">
            <v>Seguros.</v>
          </cell>
        </row>
        <row r="101">
          <cell r="B101" t="str">
            <v>AN2</v>
          </cell>
          <cell r="C101" t="str">
            <v>Promemoria Area de Negocio</v>
          </cell>
        </row>
        <row r="102">
          <cell r="B102" t="str">
            <v>CD</v>
          </cell>
          <cell r="C102" t="str">
            <v>Promemoria</v>
          </cell>
        </row>
        <row r="103">
          <cell r="B103" t="str">
            <v>AN21010100</v>
          </cell>
          <cell r="C103" t="str">
            <v>Promemoria.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A6" sqref="A6"/>
    </sheetView>
  </sheetViews>
  <sheetFormatPr defaultColWidth="11.5546875" defaultRowHeight="14.4" x14ac:dyDescent="0.3"/>
  <cols>
    <col min="1" max="1" width="15.77734375" bestFit="1" customWidth="1"/>
    <col min="2" max="2" width="14.5546875" bestFit="1" customWidth="1"/>
    <col min="3" max="3" width="10.77734375" bestFit="1" customWidth="1"/>
    <col min="4" max="4" width="13.44140625" bestFit="1" customWidth="1"/>
    <col min="5" max="5" width="18.33203125" bestFit="1" customWidth="1"/>
    <col min="6" max="6" width="9.6640625" bestFit="1" customWidth="1"/>
    <col min="7" max="7" width="7.33203125" bestFit="1" customWidth="1"/>
    <col min="8" max="8" width="6.33203125" bestFit="1" customWidth="1"/>
    <col min="9" max="9" width="31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3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10</v>
      </c>
      <c r="G2" t="s">
        <v>12</v>
      </c>
      <c r="H2" t="s">
        <v>13</v>
      </c>
      <c r="I2" t="str">
        <f>VLOOKUP(G2,'[1]CT010 &amp; CT011'!$B$2:$C$103,2,FALSE)</f>
        <v>Debt Capital Markets &amp; Securitization</v>
      </c>
      <c r="J2" t="s">
        <v>164</v>
      </c>
    </row>
    <row r="3" spans="1:11" x14ac:dyDescent="0.3">
      <c r="A3" t="s">
        <v>8</v>
      </c>
      <c r="B3" t="s">
        <v>14</v>
      </c>
      <c r="C3" t="s">
        <v>10</v>
      </c>
      <c r="D3" t="s">
        <v>10</v>
      </c>
      <c r="E3" t="s">
        <v>15</v>
      </c>
      <c r="F3" t="s">
        <v>10</v>
      </c>
      <c r="G3" t="s">
        <v>12</v>
      </c>
      <c r="H3" t="s">
        <v>16</v>
      </c>
      <c r="I3" t="str">
        <f>VLOOKUP(G3,'[1]CT010 &amp; CT011'!$B$2:$C$103,2,FALSE)</f>
        <v>Debt Capital Markets &amp; Securitization</v>
      </c>
      <c r="J3" t="s">
        <v>164</v>
      </c>
    </row>
    <row r="4" spans="1:11" x14ac:dyDescent="0.3">
      <c r="A4" t="s">
        <v>8</v>
      </c>
      <c r="B4" t="s">
        <v>17</v>
      </c>
      <c r="C4" t="s">
        <v>10</v>
      </c>
      <c r="D4" t="s">
        <v>10</v>
      </c>
      <c r="E4" t="s">
        <v>10</v>
      </c>
      <c r="F4" t="s">
        <v>10</v>
      </c>
      <c r="G4" t="s">
        <v>18</v>
      </c>
      <c r="H4" t="s">
        <v>19</v>
      </c>
      <c r="I4" t="str">
        <f>VLOOKUP(G4,'[1]CT010 &amp; CT011'!$B$2:$C$103,2,FALSE)</f>
        <v>Project and Acquisition Finance</v>
      </c>
      <c r="J4" t="s">
        <v>156</v>
      </c>
    </row>
    <row r="5" spans="1:11" x14ac:dyDescent="0.3">
      <c r="A5" t="s">
        <v>8</v>
      </c>
      <c r="B5" t="s">
        <v>20</v>
      </c>
      <c r="C5" t="s">
        <v>10</v>
      </c>
      <c r="D5" t="s">
        <v>10</v>
      </c>
      <c r="E5" t="s">
        <v>10</v>
      </c>
      <c r="F5" t="s">
        <v>10</v>
      </c>
      <c r="G5" t="s">
        <v>21</v>
      </c>
      <c r="H5" t="s">
        <v>22</v>
      </c>
      <c r="I5" t="str">
        <f>VLOOKUP(G5,'[1]CT010 &amp; CT011'!$B$2:$C$103,2,FALSE)</f>
        <v>Sindicados</v>
      </c>
      <c r="J5" t="s">
        <v>166</v>
      </c>
    </row>
    <row r="6" spans="1:11" x14ac:dyDescent="0.3">
      <c r="A6" t="s">
        <v>8</v>
      </c>
      <c r="B6" t="s">
        <v>23</v>
      </c>
      <c r="C6" t="s">
        <v>10</v>
      </c>
      <c r="D6" t="s">
        <v>10</v>
      </c>
      <c r="E6" t="s">
        <v>10</v>
      </c>
      <c r="F6" t="s">
        <v>10</v>
      </c>
      <c r="G6" t="s">
        <v>24</v>
      </c>
      <c r="H6" t="s">
        <v>25</v>
      </c>
      <c r="I6" s="25" t="str">
        <f>VLOOKUP(G6,'[1]CT010 &amp; CT011'!$B$2:$C$103,2,FALSE)</f>
        <v>ACS - Asset &amp; Capital Structuring</v>
      </c>
      <c r="J6" s="25" t="s">
        <v>158</v>
      </c>
    </row>
    <row r="7" spans="1:11" x14ac:dyDescent="0.3">
      <c r="A7" t="s">
        <v>8</v>
      </c>
      <c r="B7" t="s">
        <v>26</v>
      </c>
      <c r="C7" t="s">
        <v>10</v>
      </c>
      <c r="D7" t="s">
        <v>10</v>
      </c>
      <c r="E7" t="s">
        <v>10</v>
      </c>
      <c r="F7" t="s">
        <v>10</v>
      </c>
      <c r="G7" t="s">
        <v>27</v>
      </c>
      <c r="H7" t="s">
        <v>28</v>
      </c>
      <c r="I7" t="str">
        <f>VLOOKUP(G7,'[1]CT010 &amp; CT011'!$B$2:$C$103,2,FALSE)</f>
        <v>Leveraged Finance</v>
      </c>
      <c r="J7" t="s">
        <v>152</v>
      </c>
    </row>
    <row r="8" spans="1:11" x14ac:dyDescent="0.3">
      <c r="A8" t="s">
        <v>8</v>
      </c>
      <c r="B8" t="s">
        <v>29</v>
      </c>
      <c r="C8" t="s">
        <v>10</v>
      </c>
      <c r="D8" t="s">
        <v>10</v>
      </c>
      <c r="E8" t="s">
        <v>10</v>
      </c>
      <c r="F8" t="s">
        <v>10</v>
      </c>
      <c r="G8" t="s">
        <v>30</v>
      </c>
      <c r="H8" t="s">
        <v>31</v>
      </c>
      <c r="I8" t="str">
        <f>VLOOKUP(G8,'[1]CT010 &amp; CT011'!$B$2:$C$103,2,FALSE)</f>
        <v>Export &amp; Agency Finance</v>
      </c>
      <c r="J8" t="s">
        <v>176</v>
      </c>
    </row>
    <row r="9" spans="1:11" x14ac:dyDescent="0.3">
      <c r="A9" t="s">
        <v>8</v>
      </c>
      <c r="B9" t="s">
        <v>32</v>
      </c>
      <c r="C9" t="s">
        <v>10</v>
      </c>
      <c r="D9" t="s">
        <v>10</v>
      </c>
      <c r="E9" t="s">
        <v>10</v>
      </c>
      <c r="F9" t="s">
        <v>10</v>
      </c>
      <c r="G9" t="s">
        <v>33</v>
      </c>
      <c r="H9" t="s">
        <v>34</v>
      </c>
      <c r="I9" t="str">
        <f>VLOOKUP(G9,'[1]CT010 &amp; CT011'!$B$2:$C$103,2,FALSE)</f>
        <v>Trade &amp; WCS</v>
      </c>
      <c r="J9" t="s">
        <v>174</v>
      </c>
    </row>
    <row r="10" spans="1:11" x14ac:dyDescent="0.3">
      <c r="A10" t="s">
        <v>8</v>
      </c>
      <c r="B10" t="s">
        <v>35</v>
      </c>
      <c r="C10" t="s">
        <v>10</v>
      </c>
      <c r="D10" t="s">
        <v>10</v>
      </c>
      <c r="E10" t="s">
        <v>10</v>
      </c>
      <c r="F10" t="s">
        <v>10</v>
      </c>
      <c r="G10" t="s">
        <v>36</v>
      </c>
      <c r="H10" t="s">
        <v>37</v>
      </c>
      <c r="I10" t="str">
        <f>VLOOKUP(G10,'[1]CT010 &amp; CT011'!$B$2:$C$103,2,FALSE)</f>
        <v>Sales Mercados</v>
      </c>
      <c r="K10" t="s">
        <v>228</v>
      </c>
    </row>
    <row r="11" spans="1:11" x14ac:dyDescent="0.3">
      <c r="A11" t="s">
        <v>8</v>
      </c>
      <c r="B11" t="s">
        <v>38</v>
      </c>
      <c r="C11" t="s">
        <v>10</v>
      </c>
      <c r="D11" t="s">
        <v>10</v>
      </c>
      <c r="E11" t="s">
        <v>10</v>
      </c>
      <c r="F11" t="s">
        <v>10</v>
      </c>
      <c r="G11" t="s">
        <v>39</v>
      </c>
      <c r="H11" t="s">
        <v>40</v>
      </c>
      <c r="I11" t="str">
        <f>VLOOKUP(G11,'[1]CT010 &amp; CT011'!$B$2:$C$103,2,FALSE)</f>
        <v>M &amp; A - Mergers and Acquisitions</v>
      </c>
      <c r="J11" t="s">
        <v>143</v>
      </c>
    </row>
    <row r="12" spans="1:11" x14ac:dyDescent="0.3">
      <c r="A12" t="s">
        <v>8</v>
      </c>
      <c r="B12" t="s">
        <v>41</v>
      </c>
      <c r="C12" t="s">
        <v>10</v>
      </c>
      <c r="D12" t="s">
        <v>10</v>
      </c>
      <c r="E12" t="s">
        <v>10</v>
      </c>
      <c r="F12" t="s">
        <v>10</v>
      </c>
      <c r="G12" t="s">
        <v>42</v>
      </c>
      <c r="H12" t="s">
        <v>43</v>
      </c>
      <c r="I12" t="str">
        <f>VLOOKUP(G12,'[1]CT010 &amp; CT011'!$B$2:$C$103,2,FALSE)</f>
        <v>ECM - Equity Capital Markets</v>
      </c>
      <c r="J12" t="s">
        <v>42</v>
      </c>
    </row>
    <row r="13" spans="1:11" x14ac:dyDescent="0.3">
      <c r="A13" t="s">
        <v>8</v>
      </c>
      <c r="B13" t="s">
        <v>44</v>
      </c>
      <c r="C13" t="s">
        <v>10</v>
      </c>
      <c r="D13" t="s">
        <v>10</v>
      </c>
      <c r="E13" t="s">
        <v>45</v>
      </c>
      <c r="F13" t="s">
        <v>10</v>
      </c>
      <c r="G13" t="s">
        <v>10</v>
      </c>
      <c r="H13" t="s">
        <v>46</v>
      </c>
      <c r="I13" t="e">
        <f>VLOOKUP(G13,'[1]CT010 &amp; CT011'!$B$2:$C$103,2,FALSE)</f>
        <v>#N/A</v>
      </c>
    </row>
    <row r="14" spans="1:11" x14ac:dyDescent="0.3">
      <c r="A14" t="s">
        <v>8</v>
      </c>
      <c r="B14" t="s">
        <v>47</v>
      </c>
      <c r="C14" t="s">
        <v>10</v>
      </c>
      <c r="D14" t="s">
        <v>10</v>
      </c>
      <c r="E14" t="s">
        <v>48</v>
      </c>
      <c r="F14" t="s">
        <v>10</v>
      </c>
      <c r="G14" t="s">
        <v>10</v>
      </c>
      <c r="H14" t="s">
        <v>49</v>
      </c>
      <c r="I14" t="e">
        <f>VLOOKUP(G14,'[1]CT010 &amp; CT011'!$B$2:$C$103,2,FALSE)</f>
        <v>#N/A</v>
      </c>
    </row>
    <row r="15" spans="1:11" x14ac:dyDescent="0.3">
      <c r="A15" t="s">
        <v>8</v>
      </c>
      <c r="B15" t="s">
        <v>50</v>
      </c>
      <c r="C15" t="s">
        <v>10</v>
      </c>
      <c r="D15" t="s">
        <v>10</v>
      </c>
      <c r="E15" t="s">
        <v>51</v>
      </c>
      <c r="F15" t="s">
        <v>10</v>
      </c>
      <c r="G15" t="s">
        <v>10</v>
      </c>
      <c r="H15" t="s">
        <v>52</v>
      </c>
      <c r="I15" t="e">
        <f>VLOOKUP(G15,'[1]CT010 &amp; CT011'!$B$2:$C$103,2,FALSE)</f>
        <v>#N/A</v>
      </c>
    </row>
    <row r="16" spans="1:11" x14ac:dyDescent="0.3">
      <c r="A16" t="s">
        <v>8</v>
      </c>
      <c r="B16" t="s">
        <v>53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54</v>
      </c>
      <c r="I16" t="e">
        <f>VLOOKUP(G16,'[1]CT010 &amp; CT011'!$B$2:$C$103,2,FALSE)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83B7-4F8F-4C39-B3BD-CC2F3ADF3A49}">
  <dimension ref="A1:B88"/>
  <sheetViews>
    <sheetView topLeftCell="A11" workbookViewId="0">
      <selection activeCell="B64" sqref="B64:B65"/>
    </sheetView>
  </sheetViews>
  <sheetFormatPr defaultRowHeight="14.4" x14ac:dyDescent="0.3"/>
  <cols>
    <col min="1" max="1" width="12.33203125" bestFit="1" customWidth="1"/>
    <col min="2" max="2" width="37.5546875" bestFit="1" customWidth="1"/>
  </cols>
  <sheetData>
    <row r="1" spans="1:2" ht="16.8" thickBot="1" x14ac:dyDescent="0.35">
      <c r="A1" s="1" t="s">
        <v>55</v>
      </c>
      <c r="B1" s="2" t="s">
        <v>56</v>
      </c>
    </row>
    <row r="2" spans="1:2" ht="16.2" x14ac:dyDescent="0.4">
      <c r="A2" s="3" t="s">
        <v>57</v>
      </c>
      <c r="B2" s="4" t="s">
        <v>58</v>
      </c>
    </row>
    <row r="3" spans="1:2" ht="16.2" x14ac:dyDescent="0.4">
      <c r="A3" s="3" t="s">
        <v>59</v>
      </c>
      <c r="B3" s="5" t="s">
        <v>60</v>
      </c>
    </row>
    <row r="4" spans="1:2" ht="16.2" x14ac:dyDescent="0.4">
      <c r="A4" s="4" t="s">
        <v>61</v>
      </c>
      <c r="B4" s="6" t="s">
        <v>62</v>
      </c>
    </row>
    <row r="5" spans="1:2" ht="16.2" x14ac:dyDescent="0.4">
      <c r="A5" s="4" t="s">
        <v>63</v>
      </c>
      <c r="B5" s="7" t="s">
        <v>64</v>
      </c>
    </row>
    <row r="6" spans="1:2" ht="16.2" x14ac:dyDescent="0.4">
      <c r="A6" s="4" t="s">
        <v>65</v>
      </c>
      <c r="B6" s="7" t="s">
        <v>66</v>
      </c>
    </row>
    <row r="7" spans="1:2" ht="16.2" x14ac:dyDescent="0.4">
      <c r="A7" s="4" t="s">
        <v>67</v>
      </c>
      <c r="B7" s="6" t="s">
        <v>68</v>
      </c>
    </row>
    <row r="8" spans="1:2" ht="16.2" x14ac:dyDescent="0.4">
      <c r="A8" s="4" t="s">
        <v>69</v>
      </c>
      <c r="B8" s="7" t="s">
        <v>70</v>
      </c>
    </row>
    <row r="9" spans="1:2" ht="16.2" x14ac:dyDescent="0.4">
      <c r="A9" s="4" t="s">
        <v>71</v>
      </c>
      <c r="B9" s="7" t="s">
        <v>72</v>
      </c>
    </row>
    <row r="10" spans="1:2" ht="16.2" x14ac:dyDescent="0.4">
      <c r="A10" s="4" t="s">
        <v>73</v>
      </c>
      <c r="B10" s="6" t="s">
        <v>74</v>
      </c>
    </row>
    <row r="11" spans="1:2" ht="16.2" x14ac:dyDescent="0.4">
      <c r="A11" s="4" t="s">
        <v>75</v>
      </c>
      <c r="B11" s="7" t="s">
        <v>76</v>
      </c>
    </row>
    <row r="12" spans="1:2" ht="16.2" x14ac:dyDescent="0.4">
      <c r="A12" s="8" t="s">
        <v>77</v>
      </c>
      <c r="B12" s="9" t="s">
        <v>78</v>
      </c>
    </row>
    <row r="13" spans="1:2" ht="16.2" x14ac:dyDescent="0.4">
      <c r="A13" s="8" t="s">
        <v>79</v>
      </c>
      <c r="B13" s="10" t="s">
        <v>80</v>
      </c>
    </row>
    <row r="14" spans="1:2" ht="16.2" x14ac:dyDescent="0.4">
      <c r="A14" s="8" t="s">
        <v>81</v>
      </c>
      <c r="B14" s="10" t="s">
        <v>82</v>
      </c>
    </row>
    <row r="15" spans="1:2" ht="17.399999999999999" x14ac:dyDescent="0.45">
      <c r="A15" s="11" t="s">
        <v>83</v>
      </c>
      <c r="B15" s="12" t="s">
        <v>84</v>
      </c>
    </row>
    <row r="16" spans="1:2" ht="16.2" x14ac:dyDescent="0.4">
      <c r="A16" s="13" t="s">
        <v>85</v>
      </c>
      <c r="B16" s="6" t="s">
        <v>86</v>
      </c>
    </row>
    <row r="17" spans="1:2" ht="16.2" x14ac:dyDescent="0.4">
      <c r="A17" s="13" t="s">
        <v>87</v>
      </c>
      <c r="B17" s="7" t="s">
        <v>88</v>
      </c>
    </row>
    <row r="18" spans="1:2" ht="16.2" x14ac:dyDescent="0.4">
      <c r="A18" s="13" t="s">
        <v>89</v>
      </c>
      <c r="B18" s="14" t="s">
        <v>90</v>
      </c>
    </row>
    <row r="19" spans="1:2" ht="16.2" x14ac:dyDescent="0.4">
      <c r="A19" s="13" t="s">
        <v>91</v>
      </c>
      <c r="B19" s="14" t="s">
        <v>92</v>
      </c>
    </row>
    <row r="20" spans="1:2" ht="16.2" x14ac:dyDescent="0.4">
      <c r="A20" s="13" t="s">
        <v>93</v>
      </c>
      <c r="B20" s="7" t="s">
        <v>94</v>
      </c>
    </row>
    <row r="21" spans="1:2" ht="16.2" x14ac:dyDescent="0.4">
      <c r="A21" s="13" t="s">
        <v>95</v>
      </c>
      <c r="B21" s="14" t="s">
        <v>96</v>
      </c>
    </row>
    <row r="22" spans="1:2" ht="16.2" x14ac:dyDescent="0.4">
      <c r="A22" s="13" t="s">
        <v>97</v>
      </c>
      <c r="B22" s="14" t="s">
        <v>98</v>
      </c>
    </row>
    <row r="23" spans="1:2" ht="16.2" x14ac:dyDescent="0.4">
      <c r="A23" s="13" t="s">
        <v>99</v>
      </c>
      <c r="B23" s="6" t="s">
        <v>100</v>
      </c>
    </row>
    <row r="24" spans="1:2" ht="16.2" x14ac:dyDescent="0.4">
      <c r="A24" s="13" t="s">
        <v>101</v>
      </c>
      <c r="B24" s="15" t="s">
        <v>102</v>
      </c>
    </row>
    <row r="25" spans="1:2" ht="16.2" x14ac:dyDescent="0.4">
      <c r="A25" s="13" t="s">
        <v>103</v>
      </c>
      <c r="B25" s="15" t="s">
        <v>104</v>
      </c>
    </row>
    <row r="26" spans="1:2" ht="16.2" x14ac:dyDescent="0.4">
      <c r="A26" s="13" t="s">
        <v>105</v>
      </c>
      <c r="B26" s="6" t="s">
        <v>106</v>
      </c>
    </row>
    <row r="27" spans="1:2" ht="16.2" x14ac:dyDescent="0.4">
      <c r="A27" s="13" t="s">
        <v>107</v>
      </c>
      <c r="B27" s="5" t="s">
        <v>108</v>
      </c>
    </row>
    <row r="28" spans="1:2" ht="16.2" x14ac:dyDescent="0.4">
      <c r="A28" s="13" t="s">
        <v>109</v>
      </c>
      <c r="B28" s="6" t="s">
        <v>110</v>
      </c>
    </row>
    <row r="29" spans="1:2" ht="16.2" x14ac:dyDescent="0.4">
      <c r="A29" s="13" t="s">
        <v>111</v>
      </c>
      <c r="B29" s="6" t="s">
        <v>112</v>
      </c>
    </row>
    <row r="30" spans="1:2" ht="16.2" x14ac:dyDescent="0.4">
      <c r="A30" s="13" t="s">
        <v>113</v>
      </c>
      <c r="B30" s="6" t="s">
        <v>114</v>
      </c>
    </row>
    <row r="31" spans="1:2" ht="16.2" x14ac:dyDescent="0.4">
      <c r="A31" s="13" t="s">
        <v>115</v>
      </c>
      <c r="B31" s="16" t="s">
        <v>116</v>
      </c>
    </row>
    <row r="32" spans="1:2" ht="16.2" x14ac:dyDescent="0.4">
      <c r="A32" s="13" t="s">
        <v>117</v>
      </c>
      <c r="B32" s="17" t="s">
        <v>118</v>
      </c>
    </row>
    <row r="33" spans="1:2" ht="16.2" x14ac:dyDescent="0.4">
      <c r="A33" s="13" t="s">
        <v>119</v>
      </c>
      <c r="B33" s="18" t="s">
        <v>120</v>
      </c>
    </row>
    <row r="34" spans="1:2" ht="16.2" x14ac:dyDescent="0.4">
      <c r="A34" s="13" t="s">
        <v>121</v>
      </c>
      <c r="B34" s="14" t="s">
        <v>122</v>
      </c>
    </row>
    <row r="35" spans="1:2" ht="16.2" x14ac:dyDescent="0.4">
      <c r="A35" s="13" t="s">
        <v>123</v>
      </c>
      <c r="B35" s="14" t="s">
        <v>124</v>
      </c>
    </row>
    <row r="36" spans="1:2" ht="16.2" x14ac:dyDescent="0.4">
      <c r="A36" s="13" t="s">
        <v>125</v>
      </c>
      <c r="B36" s="14" t="s">
        <v>126</v>
      </c>
    </row>
    <row r="37" spans="1:2" ht="16.2" x14ac:dyDescent="0.4">
      <c r="A37" s="13" t="s">
        <v>127</v>
      </c>
      <c r="B37" s="7" t="s">
        <v>128</v>
      </c>
    </row>
    <row r="38" spans="1:2" ht="16.2" x14ac:dyDescent="0.4">
      <c r="A38" s="13" t="s">
        <v>129</v>
      </c>
      <c r="B38" s="17" t="s">
        <v>130</v>
      </c>
    </row>
    <row r="39" spans="1:2" ht="16.2" x14ac:dyDescent="0.4">
      <c r="A39" s="13" t="s">
        <v>131</v>
      </c>
      <c r="B39" s="7" t="s">
        <v>132</v>
      </c>
    </row>
    <row r="40" spans="1:2" ht="16.2" x14ac:dyDescent="0.4">
      <c r="A40" s="13" t="s">
        <v>133</v>
      </c>
      <c r="B40" s="19" t="s">
        <v>134</v>
      </c>
    </row>
    <row r="41" spans="1:2" ht="16.2" x14ac:dyDescent="0.4">
      <c r="A41" s="13" t="s">
        <v>135</v>
      </c>
      <c r="B41" s="19" t="s">
        <v>136</v>
      </c>
    </row>
    <row r="42" spans="1:2" ht="16.2" x14ac:dyDescent="0.4">
      <c r="A42" s="13" t="s">
        <v>137</v>
      </c>
      <c r="B42" s="7" t="s">
        <v>138</v>
      </c>
    </row>
    <row r="43" spans="1:2" ht="16.2" x14ac:dyDescent="0.4">
      <c r="A43" s="4" t="s">
        <v>139</v>
      </c>
      <c r="B43" s="5" t="s">
        <v>140</v>
      </c>
    </row>
    <row r="44" spans="1:2" ht="16.2" x14ac:dyDescent="0.4">
      <c r="A44" s="4" t="s">
        <v>141</v>
      </c>
      <c r="B44" s="20" t="s">
        <v>142</v>
      </c>
    </row>
    <row r="45" spans="1:2" ht="16.2" x14ac:dyDescent="0.4">
      <c r="A45" s="4" t="s">
        <v>143</v>
      </c>
      <c r="B45" s="7" t="s">
        <v>144</v>
      </c>
    </row>
    <row r="46" spans="1:2" ht="16.2" x14ac:dyDescent="0.4">
      <c r="A46" s="4" t="s">
        <v>42</v>
      </c>
      <c r="B46" s="7" t="s">
        <v>145</v>
      </c>
    </row>
    <row r="47" spans="1:2" ht="16.2" x14ac:dyDescent="0.4">
      <c r="A47" s="4" t="s">
        <v>146</v>
      </c>
      <c r="B47" s="14" t="s">
        <v>147</v>
      </c>
    </row>
    <row r="48" spans="1:2" ht="17.399999999999999" x14ac:dyDescent="0.45">
      <c r="A48" s="21" t="s">
        <v>148</v>
      </c>
      <c r="B48" s="22" t="s">
        <v>149</v>
      </c>
    </row>
    <row r="49" spans="1:2" ht="16.2" x14ac:dyDescent="0.4">
      <c r="A49" s="23" t="s">
        <v>150</v>
      </c>
      <c r="B49" s="7" t="s">
        <v>151</v>
      </c>
    </row>
    <row r="50" spans="1:2" ht="16.2" x14ac:dyDescent="0.4">
      <c r="A50" s="4" t="s">
        <v>152</v>
      </c>
      <c r="B50" s="7" t="s">
        <v>153</v>
      </c>
    </row>
    <row r="51" spans="1:2" ht="16.2" x14ac:dyDescent="0.4">
      <c r="A51" s="4" t="s">
        <v>154</v>
      </c>
      <c r="B51" s="19" t="s">
        <v>155</v>
      </c>
    </row>
    <row r="52" spans="1:2" ht="16.2" x14ac:dyDescent="0.4">
      <c r="A52" s="23" t="s">
        <v>156</v>
      </c>
      <c r="B52" s="14" t="s">
        <v>157</v>
      </c>
    </row>
    <row r="53" spans="1:2" ht="16.2" x14ac:dyDescent="0.4">
      <c r="A53" s="4" t="s">
        <v>158</v>
      </c>
      <c r="B53" s="14" t="s">
        <v>159</v>
      </c>
    </row>
    <row r="54" spans="1:2" ht="17.399999999999999" x14ac:dyDescent="0.45">
      <c r="A54" s="21" t="s">
        <v>160</v>
      </c>
      <c r="B54" s="22" t="s">
        <v>161</v>
      </c>
    </row>
    <row r="55" spans="1:2" ht="16.2" x14ac:dyDescent="0.4">
      <c r="A55" s="8" t="s">
        <v>162</v>
      </c>
      <c r="B55" s="24" t="s">
        <v>163</v>
      </c>
    </row>
    <row r="56" spans="1:2" ht="16.2" x14ac:dyDescent="0.4">
      <c r="A56" s="4" t="s">
        <v>164</v>
      </c>
      <c r="B56" s="14" t="s">
        <v>165</v>
      </c>
    </row>
    <row r="57" spans="1:2" ht="16.2" x14ac:dyDescent="0.4">
      <c r="A57" s="4" t="s">
        <v>166</v>
      </c>
      <c r="B57" s="14" t="s">
        <v>167</v>
      </c>
    </row>
    <row r="58" spans="1:2" ht="16.2" x14ac:dyDescent="0.4">
      <c r="A58" s="4" t="s">
        <v>168</v>
      </c>
      <c r="B58" s="17" t="s">
        <v>169</v>
      </c>
    </row>
    <row r="59" spans="1:2" ht="16.2" x14ac:dyDescent="0.4">
      <c r="A59" s="4" t="s">
        <v>170</v>
      </c>
      <c r="B59" s="7" t="s">
        <v>171</v>
      </c>
    </row>
    <row r="60" spans="1:2" ht="16.2" x14ac:dyDescent="0.4">
      <c r="A60" s="4" t="s">
        <v>172</v>
      </c>
      <c r="B60" s="7" t="s">
        <v>173</v>
      </c>
    </row>
    <row r="61" spans="1:2" ht="16.2" x14ac:dyDescent="0.4">
      <c r="A61" s="4" t="s">
        <v>174</v>
      </c>
      <c r="B61" s="7" t="s">
        <v>175</v>
      </c>
    </row>
    <row r="62" spans="1:2" ht="16.2" x14ac:dyDescent="0.4">
      <c r="A62" s="4" t="s">
        <v>176</v>
      </c>
      <c r="B62" s="7" t="s">
        <v>177</v>
      </c>
    </row>
    <row r="63" spans="1:2" ht="16.2" x14ac:dyDescent="0.4">
      <c r="A63" s="4" t="s">
        <v>178</v>
      </c>
      <c r="B63" s="17" t="s">
        <v>179</v>
      </c>
    </row>
    <row r="64" spans="1:2" ht="17.399999999999999" x14ac:dyDescent="0.45">
      <c r="A64" s="21" t="s">
        <v>180</v>
      </c>
      <c r="B64" s="10" t="s">
        <v>181</v>
      </c>
    </row>
    <row r="65" spans="1:2" ht="17.399999999999999" x14ac:dyDescent="0.45">
      <c r="A65" s="21" t="s">
        <v>182</v>
      </c>
      <c r="B65" s="10" t="s">
        <v>183</v>
      </c>
    </row>
    <row r="66" spans="1:2" ht="17.399999999999999" x14ac:dyDescent="0.45">
      <c r="A66" s="21" t="s">
        <v>184</v>
      </c>
      <c r="B66" s="10" t="s">
        <v>185</v>
      </c>
    </row>
    <row r="67" spans="1:2" ht="17.399999999999999" x14ac:dyDescent="0.45">
      <c r="A67" s="21" t="s">
        <v>186</v>
      </c>
      <c r="B67" s="10" t="s">
        <v>187</v>
      </c>
    </row>
    <row r="68" spans="1:2" ht="17.399999999999999" x14ac:dyDescent="0.45">
      <c r="A68" s="21" t="s">
        <v>188</v>
      </c>
      <c r="B68" s="10" t="s">
        <v>189</v>
      </c>
    </row>
    <row r="69" spans="1:2" ht="17.399999999999999" x14ac:dyDescent="0.45">
      <c r="A69" s="21" t="s">
        <v>190</v>
      </c>
      <c r="B69" s="22" t="s">
        <v>189</v>
      </c>
    </row>
    <row r="70" spans="1:2" ht="17.399999999999999" x14ac:dyDescent="0.45">
      <c r="A70" s="21" t="s">
        <v>191</v>
      </c>
      <c r="B70" s="22" t="s">
        <v>192</v>
      </c>
    </row>
    <row r="71" spans="1:2" ht="16.2" x14ac:dyDescent="0.4">
      <c r="A71" s="4" t="s">
        <v>193</v>
      </c>
      <c r="B71" s="7" t="s">
        <v>194</v>
      </c>
    </row>
    <row r="72" spans="1:2" ht="17.399999999999999" x14ac:dyDescent="0.45">
      <c r="A72" s="21" t="s">
        <v>195</v>
      </c>
      <c r="B72" s="10" t="s">
        <v>196</v>
      </c>
    </row>
    <row r="73" spans="1:2" ht="16.2" x14ac:dyDescent="0.4">
      <c r="A73" s="4" t="s">
        <v>197</v>
      </c>
      <c r="B73" s="7" t="s">
        <v>198</v>
      </c>
    </row>
    <row r="74" spans="1:2" ht="16.2" x14ac:dyDescent="0.4">
      <c r="A74" s="4" t="s">
        <v>199</v>
      </c>
      <c r="B74" s="7" t="s">
        <v>200</v>
      </c>
    </row>
    <row r="75" spans="1:2" ht="16.2" x14ac:dyDescent="0.4">
      <c r="A75" s="4" t="s">
        <v>201</v>
      </c>
      <c r="B75" s="17" t="s">
        <v>202</v>
      </c>
    </row>
    <row r="76" spans="1:2" ht="16.2" x14ac:dyDescent="0.4">
      <c r="A76" s="4" t="s">
        <v>203</v>
      </c>
      <c r="B76" s="20" t="s">
        <v>204</v>
      </c>
    </row>
    <row r="77" spans="1:2" ht="16.2" x14ac:dyDescent="0.4">
      <c r="A77" s="4" t="s">
        <v>205</v>
      </c>
      <c r="B77" s="5" t="s">
        <v>206</v>
      </c>
    </row>
    <row r="78" spans="1:2" ht="16.2" x14ac:dyDescent="0.4">
      <c r="A78" s="4" t="s">
        <v>207</v>
      </c>
      <c r="B78" s="6" t="s">
        <v>208</v>
      </c>
    </row>
    <row r="79" spans="1:2" ht="16.2" x14ac:dyDescent="0.4">
      <c r="A79" s="4" t="s">
        <v>209</v>
      </c>
      <c r="B79" s="7" t="s">
        <v>210</v>
      </c>
    </row>
    <row r="80" spans="1:2" ht="16.2" x14ac:dyDescent="0.4">
      <c r="A80" s="4" t="s">
        <v>211</v>
      </c>
      <c r="B80" s="7" t="s">
        <v>212</v>
      </c>
    </row>
    <row r="81" spans="1:2" ht="16.2" x14ac:dyDescent="0.4">
      <c r="A81" s="4" t="s">
        <v>213</v>
      </c>
      <c r="B81" s="7" t="s">
        <v>214</v>
      </c>
    </row>
    <row r="82" spans="1:2" ht="16.2" x14ac:dyDescent="0.4">
      <c r="A82" s="4" t="s">
        <v>215</v>
      </c>
      <c r="B82" s="7" t="s">
        <v>216</v>
      </c>
    </row>
    <row r="83" spans="1:2" ht="16.2" x14ac:dyDescent="0.4">
      <c r="A83" s="4" t="s">
        <v>217</v>
      </c>
      <c r="B83" s="7" t="s">
        <v>218</v>
      </c>
    </row>
    <row r="84" spans="1:2" ht="16.2" x14ac:dyDescent="0.4">
      <c r="A84" s="4" t="s">
        <v>219</v>
      </c>
      <c r="B84" s="6" t="s">
        <v>220</v>
      </c>
    </row>
    <row r="85" spans="1:2" ht="16.2" x14ac:dyDescent="0.4">
      <c r="A85" s="4" t="s">
        <v>221</v>
      </c>
      <c r="B85" s="7" t="s">
        <v>222</v>
      </c>
    </row>
    <row r="86" spans="1:2" ht="16.2" x14ac:dyDescent="0.4">
      <c r="A86" s="4" t="s">
        <v>223</v>
      </c>
      <c r="B86" s="7" t="s">
        <v>220</v>
      </c>
    </row>
    <row r="87" spans="1:2" ht="16.2" x14ac:dyDescent="0.4">
      <c r="A87" s="4" t="s">
        <v>224</v>
      </c>
      <c r="B87" s="14" t="s">
        <v>225</v>
      </c>
    </row>
    <row r="88" spans="1:2" ht="16.2" x14ac:dyDescent="0.4">
      <c r="A88" s="4" t="s">
        <v>226</v>
      </c>
      <c r="B88" s="5" t="s">
        <v>227</v>
      </c>
    </row>
  </sheetData>
  <autoFilter ref="A1:B88" xr:uid="{0B6483B7-4F8F-4C39-B3BD-CC2F3ADF3A4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06C8E0-7931-4135-A262-EE87EA92C5C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029A5F26-D982-4D01-B4A6-9D408100EE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A0BBA5-05BB-4F52-95A5-D17D411E20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2025-01-19T04:28:00Z</dcterms:created>
  <dcterms:modified xsi:type="dcterms:W3CDTF">2025-02-19T10:03:44Z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2025-02-13T12:29:28Z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7d823214-9480-4c40-8610-59ba50573e66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</Properties>
</file>