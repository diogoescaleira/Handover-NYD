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8. MNGMNT_PRDCT/"/>
    </mc:Choice>
  </mc:AlternateContent>
  <xr:revisionPtr revIDLastSave="252" documentId="8_{7B961C34-36AD-4E3E-A8A1-74CC533BC062}" xr6:coauthVersionLast="47" xr6:coauthVersionMax="47" xr10:uidLastSave="{8869BC1B-6BAC-4B8B-A3BD-B8AFB27896FA}"/>
  <bookViews>
    <workbookView xWindow="-108" yWindow="-108" windowWidth="23256" windowHeight="12576" activeTab="1" xr2:uid="{00000000-000D-0000-FFFF-FFFF00000000}"/>
  </bookViews>
  <sheets>
    <sheet name="Mapeamento as-is vs to-be" sheetId="1" r:id="rId1"/>
    <sheet name="Emai CdG" sheetId="7" r:id="rId2"/>
    <sheet name="Novos códigos" sheetId="2" r:id="rId3"/>
    <sheet name="Códigos antigos" sheetId="3" r:id="rId4"/>
    <sheet name="codelist" sheetId="5" r:id="rId5"/>
    <sheet name="Email cátia&amp;irina" sheetId="4" r:id="rId6"/>
    <sheet name="Email cátia&amp;irina_" sheetId="6" r:id="rId7"/>
  </sheets>
  <definedNames>
    <definedName name="_xlnm._FilterDatabase" localSheetId="3" hidden="1">'Códigos antigos'!$A$1:$C$102</definedName>
    <definedName name="_xlnm._FilterDatabase" localSheetId="5" hidden="1">'Email cátia&amp;irina'!$A$1:$H$16</definedName>
    <definedName name="_xlnm._FilterDatabase" localSheetId="0" hidden="1">'Mapeamento as-is vs to-be'!$B$5:$O$25</definedName>
    <definedName name="_xlnm._FilterDatabase" localSheetId="2" hidden="1">'Novos códigos'!$A$1:$B$88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1" l="1"/>
  <c r="O18" i="1"/>
  <c r="O17" i="1"/>
  <c r="O16" i="1"/>
  <c r="O15" i="1"/>
  <c r="O11" i="1"/>
  <c r="O6" i="1"/>
  <c r="O7" i="1"/>
  <c r="D25" i="1"/>
  <c r="D24" i="1"/>
  <c r="D23" i="1"/>
  <c r="D22" i="1"/>
  <c r="D21" i="1"/>
  <c r="D20" i="1"/>
  <c r="D15" i="1"/>
  <c r="D14" i="1"/>
  <c r="D13" i="1"/>
  <c r="D12" i="1"/>
  <c r="D11" i="1"/>
  <c r="D10" i="1"/>
  <c r="D9" i="1"/>
  <c r="D8" i="1"/>
  <c r="D6" i="1"/>
  <c r="D8" i="6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O8" i="1"/>
  <c r="O9" i="1"/>
  <c r="O10" i="1"/>
  <c r="O12" i="1"/>
  <c r="O13" i="1"/>
  <c r="O14" i="1"/>
  <c r="O20" i="1"/>
  <c r="O21" i="1"/>
  <c r="K21" i="1"/>
  <c r="K20" i="1"/>
  <c r="K15" i="1"/>
  <c r="K14" i="1"/>
  <c r="K13" i="1"/>
  <c r="K12" i="1"/>
  <c r="K11" i="1"/>
  <c r="K10" i="1"/>
  <c r="K9" i="1"/>
  <c r="K8" i="1"/>
  <c r="K6" i="1"/>
</calcChain>
</file>

<file path=xl/sharedStrings.xml><?xml version="1.0" encoding="utf-8"?>
<sst xmlns="http://schemas.openxmlformats.org/spreadsheetml/2006/main" count="1033" uniqueCount="387">
  <si>
    <t>campo</t>
  </si>
  <si>
    <t>valor_campo</t>
  </si>
  <si>
    <t>cnmetanseg</t>
  </si>
  <si>
    <t>ccentro_gestor</t>
  </si>
  <si>
    <t>ckmetamis</t>
  </si>
  <si>
    <t>cmetacom</t>
  </si>
  <si>
    <t>ckarea</t>
  </si>
  <si>
    <t>ordem</t>
  </si>
  <si>
    <t>MNGMNT_PRDCT</t>
  </si>
  <si>
    <t>PRDCT0304</t>
  </si>
  <si>
    <t>NULL</t>
  </si>
  <si>
    <t>in (S,UGP000,A,P)</t>
  </si>
  <si>
    <t>GB0530</t>
  </si>
  <si>
    <t>1</t>
  </si>
  <si>
    <t>PRDCT0303</t>
  </si>
  <si>
    <t>not in (S,UGP000,A,P)</t>
  </si>
  <si>
    <t>2</t>
  </si>
  <si>
    <t>PRDCT01010201</t>
  </si>
  <si>
    <t>GB0525</t>
  </si>
  <si>
    <t>3</t>
  </si>
  <si>
    <t>PRDCT01010202</t>
  </si>
  <si>
    <t>GB0540</t>
  </si>
  <si>
    <t>4</t>
  </si>
  <si>
    <t>PRDCT01010204</t>
  </si>
  <si>
    <t>GB0535</t>
  </si>
  <si>
    <t>5</t>
  </si>
  <si>
    <t>PRDCT01010205</t>
  </si>
  <si>
    <t>GB0545</t>
  </si>
  <si>
    <t>6</t>
  </si>
  <si>
    <t>PRDCT01010206</t>
  </si>
  <si>
    <t>GB1025</t>
  </si>
  <si>
    <t>7</t>
  </si>
  <si>
    <t>PRDCT01010207</t>
  </si>
  <si>
    <t>GB1015</t>
  </si>
  <si>
    <t>8</t>
  </si>
  <si>
    <t>PRDCT0203</t>
  </si>
  <si>
    <t>GB2005</t>
  </si>
  <si>
    <t>9</t>
  </si>
  <si>
    <t>PRDCT0301</t>
  </si>
  <si>
    <t>GB0505</t>
  </si>
  <si>
    <t>10</t>
  </si>
  <si>
    <t>PRDCT0302</t>
  </si>
  <si>
    <t>GB0510</t>
  </si>
  <si>
    <t>11</t>
  </si>
  <si>
    <t>PRDCT010101</t>
  </si>
  <si>
    <t>in (AI02,AI03)</t>
  </si>
  <si>
    <t>12</t>
  </si>
  <si>
    <t>PRDCT0103</t>
  </si>
  <si>
    <t>in (AI0490)</t>
  </si>
  <si>
    <t>13</t>
  </si>
  <si>
    <t>PRDCT0201</t>
  </si>
  <si>
    <t>in (AI10)</t>
  </si>
  <si>
    <t>14</t>
  </si>
  <si>
    <t>PRDCT010103</t>
  </si>
  <si>
    <t>15</t>
  </si>
  <si>
    <t xml:space="preserve">Código </t>
  </si>
  <si>
    <t>English Description</t>
  </si>
  <si>
    <t>AN</t>
  </si>
  <si>
    <t>Total Business Area</t>
  </si>
  <si>
    <t>WM</t>
  </si>
  <si>
    <t>Wealth Management and Insurance</t>
  </si>
  <si>
    <t>BP</t>
  </si>
  <si>
    <t>Private Banking</t>
  </si>
  <si>
    <t>AN01010100</t>
  </si>
  <si>
    <t>Private Wealth</t>
  </si>
  <si>
    <t>AN01050000</t>
  </si>
  <si>
    <t>Private Banking Rest</t>
  </si>
  <si>
    <t>GA</t>
  </si>
  <si>
    <t>Asset Management</t>
  </si>
  <si>
    <t>AN03010000</t>
  </si>
  <si>
    <t>Investment Funds</t>
  </si>
  <si>
    <t>AN03020000</t>
  </si>
  <si>
    <t>Pension Funds</t>
  </si>
  <si>
    <t>SE</t>
  </si>
  <si>
    <t>Insurance</t>
  </si>
  <si>
    <t>AN03030000</t>
  </si>
  <si>
    <t>Insurance.</t>
  </si>
  <si>
    <t>PIW</t>
  </si>
  <si>
    <t>Investment Platforms Wealth</t>
  </si>
  <si>
    <t>AN03040000</t>
  </si>
  <si>
    <t>IPUS</t>
  </si>
  <si>
    <t>AN03050000</t>
  </si>
  <si>
    <t>Legacy</t>
  </si>
  <si>
    <t>BC</t>
  </si>
  <si>
    <t>Retail and Commercial</t>
  </si>
  <si>
    <t>BC00</t>
  </si>
  <si>
    <t>Retail</t>
  </si>
  <si>
    <t>BC1015</t>
  </si>
  <si>
    <t>Individuals</t>
  </si>
  <si>
    <t>AN01010201</t>
  </si>
  <si>
    <t>Select</t>
  </si>
  <si>
    <t>AN01010500</t>
  </si>
  <si>
    <t>Classic</t>
  </si>
  <si>
    <t>BC1014</t>
  </si>
  <si>
    <t>SMEs</t>
  </si>
  <si>
    <t>AN01020410</t>
  </si>
  <si>
    <t>SME I</t>
  </si>
  <si>
    <t>AN01020200</t>
  </si>
  <si>
    <t>SMEs II</t>
  </si>
  <si>
    <t>BC10</t>
  </si>
  <si>
    <t>Commercial</t>
  </si>
  <si>
    <t>AN01020210</t>
  </si>
  <si>
    <t>Companies</t>
  </si>
  <si>
    <t>AN01040220</t>
  </si>
  <si>
    <t>Institutions</t>
  </si>
  <si>
    <t>AN01060010</t>
  </si>
  <si>
    <t>OB &amp; Other</t>
  </si>
  <si>
    <t>FC</t>
  </si>
  <si>
    <t>DCB</t>
  </si>
  <si>
    <t>AN06010000</t>
  </si>
  <si>
    <t>Auto Consumer</t>
  </si>
  <si>
    <t>AN06020000</t>
  </si>
  <si>
    <t>No Auto Consumer</t>
  </si>
  <si>
    <t>AN06030000</t>
  </si>
  <si>
    <t>Other DCB</t>
  </si>
  <si>
    <t>PYM</t>
  </si>
  <si>
    <t>Payments</t>
  </si>
  <si>
    <t>CA</t>
  </si>
  <si>
    <t>Cards</t>
  </si>
  <si>
    <t>CA00</t>
  </si>
  <si>
    <t>Cards sum cero</t>
  </si>
  <si>
    <t>AN07020000</t>
  </si>
  <si>
    <t>Cards Load</t>
  </si>
  <si>
    <t>AN07030000</t>
  </si>
  <si>
    <t>Cards Cancel R&amp;C</t>
  </si>
  <si>
    <t>AN07040000</t>
  </si>
  <si>
    <t>Cards Cancel DCB</t>
  </si>
  <si>
    <t>AN07050000</t>
  </si>
  <si>
    <t>Platform Cards</t>
  </si>
  <si>
    <t>GT</t>
  </si>
  <si>
    <t>PagoNxt</t>
  </si>
  <si>
    <t>AN08010000</t>
  </si>
  <si>
    <t>Business Other PagoNxt</t>
  </si>
  <si>
    <t>AN08020000</t>
  </si>
  <si>
    <t>Business PagoNxt Ebury</t>
  </si>
  <si>
    <t>AN08030000</t>
  </si>
  <si>
    <t>Business PagoNxt Payment</t>
  </si>
  <si>
    <t>AN08040000</t>
  </si>
  <si>
    <t>Business PagoNxt Merchant</t>
  </si>
  <si>
    <t>GB</t>
  </si>
  <si>
    <t>CIB</t>
  </si>
  <si>
    <t>GB05A</t>
  </si>
  <si>
    <t>Global Banking</t>
  </si>
  <si>
    <t>AN02050600</t>
  </si>
  <si>
    <t>M &amp; A - Mergers and Acquisitions</t>
  </si>
  <si>
    <t>ECM - Equity Capital Markets &amp; Others</t>
  </si>
  <si>
    <t>AN02050500</t>
  </si>
  <si>
    <t>ECM - Equity Capital Markets.</t>
  </si>
  <si>
    <t>AN02050900</t>
  </si>
  <si>
    <t>EPCM - Equity Private Capital Markets</t>
  </si>
  <si>
    <t>AN02050800</t>
  </si>
  <si>
    <t>Corporate Equity Derivatives</t>
  </si>
  <si>
    <t>AN02030600</t>
  </si>
  <si>
    <t>Leveraged Finance</t>
  </si>
  <si>
    <t>GB05</t>
  </si>
  <si>
    <t>Structured Finance</t>
  </si>
  <si>
    <t>AN02030300</t>
  </si>
  <si>
    <t>Project and Acquisition Finance.</t>
  </si>
  <si>
    <t>AN02010200</t>
  </si>
  <si>
    <t>ABF</t>
  </si>
  <si>
    <t>AN02030800</t>
  </si>
  <si>
    <t>Capital Finance</t>
  </si>
  <si>
    <t>GB0560</t>
  </si>
  <si>
    <t>IG/EM Debt</t>
  </si>
  <si>
    <t>AN02030200</t>
  </si>
  <si>
    <t>DCM</t>
  </si>
  <si>
    <t>AN02030400</t>
  </si>
  <si>
    <t>Syndicated Loans</t>
  </si>
  <si>
    <t>GB10</t>
  </si>
  <si>
    <t>GTB - Global Transaction Banking</t>
  </si>
  <si>
    <t>AN02020100</t>
  </si>
  <si>
    <t>Cash Management</t>
  </si>
  <si>
    <t>AN02020300</t>
  </si>
  <si>
    <t>Financiación Básica</t>
  </si>
  <si>
    <t>AN02020200</t>
  </si>
  <si>
    <t>Trade &amp; WCS</t>
  </si>
  <si>
    <t>AN02020400</t>
  </si>
  <si>
    <t>Export &amp; Agency Finance</t>
  </si>
  <si>
    <t>GB20</t>
  </si>
  <si>
    <t>Global Markets</t>
  </si>
  <si>
    <t>AN02040100</t>
  </si>
  <si>
    <t>FX</t>
  </si>
  <si>
    <t>AN02040200</t>
  </si>
  <si>
    <t>Rates</t>
  </si>
  <si>
    <t>AN02040300</t>
  </si>
  <si>
    <t>Securitization Products</t>
  </si>
  <si>
    <t>AN02040400</t>
  </si>
  <si>
    <t>Securitization Finance</t>
  </si>
  <si>
    <t>GB2001</t>
  </si>
  <si>
    <t>Credit</t>
  </si>
  <si>
    <t>AN02040500</t>
  </si>
  <si>
    <t>AN02040600</t>
  </si>
  <si>
    <t>Bond Syndicate</t>
  </si>
  <si>
    <t>AN02050100</t>
  </si>
  <si>
    <t>Equity Derivatives</t>
  </si>
  <si>
    <t>AN02040700</t>
  </si>
  <si>
    <t>Commodities</t>
  </si>
  <si>
    <t>AN02050400</t>
  </si>
  <si>
    <t>Cash Equity</t>
  </si>
  <si>
    <t>AN02030900</t>
  </si>
  <si>
    <t>XVA</t>
  </si>
  <si>
    <t>AN02030500</t>
  </si>
  <si>
    <t>Global Structuring</t>
  </si>
  <si>
    <t>AN02030045</t>
  </si>
  <si>
    <t>ACPM</t>
  </si>
  <si>
    <t>AC</t>
  </si>
  <si>
    <t>Corporate Activities</t>
  </si>
  <si>
    <t>AC05</t>
  </si>
  <si>
    <t>Financial Management</t>
  </si>
  <si>
    <t>AN04010100</t>
  </si>
  <si>
    <t>ALCO</t>
  </si>
  <si>
    <t>AN04010400</t>
  </si>
  <si>
    <t>Balance Hedge</t>
  </si>
  <si>
    <t>AN04010500</t>
  </si>
  <si>
    <t>Funding</t>
  </si>
  <si>
    <t>AN04010600</t>
  </si>
  <si>
    <t>Strategic Hedge</t>
  </si>
  <si>
    <t>AN04010700</t>
  </si>
  <si>
    <t>Intragroup Funding</t>
  </si>
  <si>
    <t>AC10</t>
  </si>
  <si>
    <t>Other</t>
  </si>
  <si>
    <t>AN04020000</t>
  </si>
  <si>
    <t>Pool of Funds</t>
  </si>
  <si>
    <t>AC1010</t>
  </si>
  <si>
    <t>AN04030000</t>
  </si>
  <si>
    <t>Other Corporate Activities (Holding)</t>
  </si>
  <si>
    <t>EL</t>
  </si>
  <si>
    <t>Intra-Group Reassignment</t>
  </si>
  <si>
    <t>cod_atributo_dim</t>
  </si>
  <si>
    <t>nome_atributo_dim</t>
  </si>
  <si>
    <t>desc_atributo_dim</t>
  </si>
  <si>
    <t>Total Área de Negocio</t>
  </si>
  <si>
    <t>Actividades Corporativas</t>
  </si>
  <si>
    <t>Gestión Financiera</t>
  </si>
  <si>
    <t>Financiación</t>
  </si>
  <si>
    <t>Coberturas estratégicas</t>
  </si>
  <si>
    <t>Coberturas de balance</t>
  </si>
  <si>
    <t>Financiación intragrupo</t>
  </si>
  <si>
    <t>Resto</t>
  </si>
  <si>
    <t>Otros</t>
  </si>
  <si>
    <t>Resto Actividades Corporativas</t>
  </si>
  <si>
    <t>Pool de Fondos</t>
  </si>
  <si>
    <t>Pymes</t>
  </si>
  <si>
    <t>Pymes I.</t>
  </si>
  <si>
    <t>Pymes II</t>
  </si>
  <si>
    <t>Particulares</t>
  </si>
  <si>
    <t>BC1010</t>
  </si>
  <si>
    <t>Empresas</t>
  </si>
  <si>
    <t>Empresas.</t>
  </si>
  <si>
    <t>BC1020</t>
  </si>
  <si>
    <t>Instituciones</t>
  </si>
  <si>
    <t>Instituciones.</t>
  </si>
  <si>
    <t>OB y Otros</t>
  </si>
  <si>
    <t>Reasignación del Intragrupo</t>
  </si>
  <si>
    <t>Consumo Auto</t>
  </si>
  <si>
    <t>Consumo No Auto</t>
  </si>
  <si>
    <t>Resto DCB</t>
  </si>
  <si>
    <t>SCIB</t>
  </si>
  <si>
    <t>Corporate Finance</t>
  </si>
  <si>
    <t>M &amp; A - Mergers and Acquisitions.</t>
  </si>
  <si>
    <t>ECM - Equity Capital Markets</t>
  </si>
  <si>
    <t>GB0515</t>
  </si>
  <si>
    <t>Corporate Equity Derivatives.</t>
  </si>
  <si>
    <t>GB0520</t>
  </si>
  <si>
    <t>Emisores</t>
  </si>
  <si>
    <t>AN02050700</t>
  </si>
  <si>
    <t>Emisores.</t>
  </si>
  <si>
    <t>Leveraged Finance.</t>
  </si>
  <si>
    <t>Global Debt Financing</t>
  </si>
  <si>
    <t>Project and Acquisition Finance</t>
  </si>
  <si>
    <t>Debt Capital Markets &amp; Securitization</t>
  </si>
  <si>
    <t>Debt Capital Markets &amp; Securitization.</t>
  </si>
  <si>
    <t>ACS - Asset &amp; Capital Structuring</t>
  </si>
  <si>
    <t>ACS - Asset &amp; Capital Structuring.</t>
  </si>
  <si>
    <t>Sindicados</t>
  </si>
  <si>
    <t>Sindicados.</t>
  </si>
  <si>
    <t>GB0550</t>
  </si>
  <si>
    <t>Other Global Debt Financing</t>
  </si>
  <si>
    <t>AN02030700</t>
  </si>
  <si>
    <t>Other Global Debt Financing.</t>
  </si>
  <si>
    <t>GB1005</t>
  </si>
  <si>
    <t>Cash Management.</t>
  </si>
  <si>
    <t>GB1010</t>
  </si>
  <si>
    <t>Financiación Básica.</t>
  </si>
  <si>
    <t>Trade &amp; WCS.</t>
  </si>
  <si>
    <t>Export &amp; Agency Finance.</t>
  </si>
  <si>
    <t>Sales Mercados</t>
  </si>
  <si>
    <t>AN02080000</t>
  </si>
  <si>
    <t>Sales Mercados.</t>
  </si>
  <si>
    <t>GB2010</t>
  </si>
  <si>
    <t>ETD - Exchange Traded Derivatives</t>
  </si>
  <si>
    <t>ETD - Exchange Traded Derivatives.</t>
  </si>
  <si>
    <t>GB2015</t>
  </si>
  <si>
    <t>Cash Equity.</t>
  </si>
  <si>
    <t>AN02090000</t>
  </si>
  <si>
    <t>Market Making</t>
  </si>
  <si>
    <t>AN02060000</t>
  </si>
  <si>
    <t>Other Market Products</t>
  </si>
  <si>
    <t>GB45</t>
  </si>
  <si>
    <t>ACPM.</t>
  </si>
  <si>
    <t>GB1020</t>
  </si>
  <si>
    <t>Custodia</t>
  </si>
  <si>
    <t>AN02050300</t>
  </si>
  <si>
    <t>Custodia.</t>
  </si>
  <si>
    <t>Cards suma cero</t>
  </si>
  <si>
    <t>Cards Anular R&amp;C</t>
  </si>
  <si>
    <t>Cards negocio</t>
  </si>
  <si>
    <t>Cards Plataforma</t>
  </si>
  <si>
    <t>PagoNxt Trade</t>
  </si>
  <si>
    <t>PagoNxt Resto</t>
  </si>
  <si>
    <t>PagoNxt Consumer</t>
  </si>
  <si>
    <t>PagoNxt Merchant</t>
  </si>
  <si>
    <t>Banca Privada</t>
  </si>
  <si>
    <t>Resto Banca Privada</t>
  </si>
  <si>
    <t>Gestión de Activos</t>
  </si>
  <si>
    <t>Fondos de Pensiones</t>
  </si>
  <si>
    <t>Fondos de Inversión</t>
  </si>
  <si>
    <t>Seguros</t>
  </si>
  <si>
    <t>Seguros.</t>
  </si>
  <si>
    <t>AN2</t>
  </si>
  <si>
    <t>Promemoria Area de Negocio</t>
  </si>
  <si>
    <t>CD</t>
  </si>
  <si>
    <t>Promemoria</t>
  </si>
  <si>
    <t>AN21010100</t>
  </si>
  <si>
    <t>Promemoria.</t>
  </si>
  <si>
    <t>Novo código</t>
  </si>
  <si>
    <t>Descritivo Novo</t>
  </si>
  <si>
    <t>Code</t>
  </si>
  <si>
    <t>Description</t>
  </si>
  <si>
    <t>On Balance (excluding HfT)</t>
  </si>
  <si>
    <t xml:space="preserve">        Loans &amp; advances (customers and credit institutions)</t>
  </si>
  <si>
    <t xml:space="preserve">            Mortgages</t>
  </si>
  <si>
    <t xml:space="preserve">            Products Added value CIB </t>
  </si>
  <si>
    <t xml:space="preserve">                Project &amp; Acquisition Finance</t>
  </si>
  <si>
    <t xml:space="preserve">                Syndicated Loans</t>
  </si>
  <si>
    <t>PRDCT01010203</t>
  </si>
  <si>
    <t xml:space="preserve">                Capital Finance</t>
  </si>
  <si>
    <t xml:space="preserve">                Asset Based Finance (ABF)</t>
  </si>
  <si>
    <t xml:space="preserve">                Leveraged Finance</t>
  </si>
  <si>
    <t xml:space="preserve">                Export &amp; Agency Finance</t>
  </si>
  <si>
    <t xml:space="preserve">                Trade &amp; Working Capital Solutions</t>
  </si>
  <si>
    <t xml:space="preserve">            Other Loans &amp; Advances</t>
  </si>
  <si>
    <t>PRDCT0102</t>
  </si>
  <si>
    <t xml:space="preserve">        Renting / Operating Leasing</t>
  </si>
  <si>
    <t xml:space="preserve">        Bonds Portfolio</t>
  </si>
  <si>
    <t>Off Balance</t>
  </si>
  <si>
    <t xml:space="preserve">        Contingent risks</t>
  </si>
  <si>
    <t>PRDCT0202</t>
  </si>
  <si>
    <t>Undrawn balances Committed</t>
  </si>
  <si>
    <t xml:space="preserve">        Derivatives</t>
  </si>
  <si>
    <t>Advisory &amp; Facilitation services</t>
  </si>
  <si>
    <t xml:space="preserve">        Mergers &amp; Acquisitions (M&amp;A)</t>
  </si>
  <si>
    <t xml:space="preserve">        Equity Capital Markets (ECM)</t>
  </si>
  <si>
    <t xml:space="preserve">        Debt Capital Markets (DCM)</t>
  </si>
  <si>
    <t xml:space="preserve">        Securitization</t>
  </si>
  <si>
    <t>PRDCT0305</t>
  </si>
  <si>
    <t xml:space="preserve">        Project &amp; Acquisition Finance (Advisory)</t>
  </si>
  <si>
    <t>Liabilities</t>
  </si>
  <si>
    <t>PRDCT0401</t>
  </si>
  <si>
    <t xml:space="preserve">        Financing instruments issued</t>
  </si>
  <si>
    <t>PRDCT0402</t>
  </si>
  <si>
    <t xml:space="preserve">        Deposits</t>
  </si>
  <si>
    <t>PRDCT0403</t>
  </si>
  <si>
    <t xml:space="preserve">        Other Liabilities</t>
  </si>
  <si>
    <t>Descritivo valor_campo</t>
  </si>
  <si>
    <t>Descritivo antigo ckarea</t>
  </si>
  <si>
    <t>Proposta</t>
  </si>
  <si>
    <t>As-Is</t>
  </si>
  <si>
    <t>1) Situações detetadas após a alteração das ckareas</t>
  </si>
  <si>
    <t>Securitization</t>
  </si>
  <si>
    <t>Debt Capital Markets (DCM)</t>
  </si>
  <si>
    <r>
      <t xml:space="preserve">Situação 2: </t>
    </r>
    <r>
      <rPr>
        <sz val="11"/>
        <color theme="1"/>
        <rFont val="Calibri"/>
        <family val="2"/>
        <scheme val="minor"/>
      </rPr>
      <t xml:space="preserve">Descritivo era mais agregador e agora passamos a ter o conceito menos agregado. </t>
    </r>
  </si>
  <si>
    <t xml:space="preserve">Proposta 2.1: </t>
  </si>
  <si>
    <t xml:space="preserve">Proposta 2.2: </t>
  </si>
  <si>
    <r>
      <rPr>
        <b/>
        <u/>
        <sz val="11"/>
        <color theme="1"/>
        <rFont val="Calibri"/>
        <family val="2"/>
        <scheme val="minor"/>
      </rPr>
      <t>Situação 1:</t>
    </r>
    <r>
      <rPr>
        <sz val="11"/>
        <color theme="1"/>
        <rFont val="Calibri"/>
        <family val="2"/>
        <scheme val="minor"/>
      </rPr>
      <t xml:space="preserve"> Deixamos de ter o conceito de Sales Mercados. Do lado da Corporação o descritivo seria Derivatives e temos esse conceito a desagregar em 2 códigos de ckarea, mas o Luis Silva sugeriu a proposta entre um dos dois códigos</t>
    </r>
  </si>
  <si>
    <t>Descritivo</t>
  </si>
  <si>
    <r>
      <t>Código</t>
    </r>
    <r>
      <rPr>
        <b/>
        <i/>
        <sz val="11"/>
        <color theme="0"/>
        <rFont val="Calibri"/>
        <family val="2"/>
        <scheme val="minor"/>
      </rPr>
      <t xml:space="preserve"> old</t>
    </r>
  </si>
  <si>
    <r>
      <t xml:space="preserve">Código </t>
    </r>
    <r>
      <rPr>
        <b/>
        <i/>
        <sz val="11"/>
        <color theme="0"/>
        <rFont val="Calibri"/>
        <family val="2"/>
        <scheme val="minor"/>
      </rPr>
      <t>new</t>
    </r>
  </si>
  <si>
    <t>1. Proposta de mapeamento para os códigos do Management Product | Tabela CT875</t>
  </si>
  <si>
    <t>Descritivo ckarea</t>
  </si>
  <si>
    <r>
      <t xml:space="preserve">Mapeamento </t>
    </r>
    <r>
      <rPr>
        <b/>
        <i/>
        <sz val="11"/>
        <color theme="0"/>
        <rFont val="Calibri"/>
        <family val="2"/>
        <scheme val="minor"/>
      </rPr>
      <t>as-is</t>
    </r>
  </si>
  <si>
    <r>
      <t xml:space="preserve">Proposta </t>
    </r>
    <r>
      <rPr>
        <b/>
        <i/>
        <sz val="11"/>
        <color theme="0"/>
        <rFont val="Calibri"/>
        <family val="2"/>
        <scheme val="minor"/>
      </rPr>
      <t>to-be</t>
    </r>
  </si>
  <si>
    <t>Descritivo Guia Corporativo</t>
  </si>
  <si>
    <t>Inclui as áreas AN02040500 e AN02040600.</t>
  </si>
  <si>
    <t>ckarea (para implementar)</t>
  </si>
  <si>
    <t>in (AN02040300, AN02040400)</t>
  </si>
  <si>
    <t>in (AN02040100, AN02040200, GB2001, AN02050100, AN02040700)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</si>
</sst>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Santander Text"/>
      <family val="2"/>
    </font>
    <font>
      <sz val="10"/>
      <name val="Santander Text"/>
      <family val="2"/>
    </font>
    <font>
      <sz val="11"/>
      <color theme="1"/>
      <name val="Santander Text"/>
      <family val="2"/>
    </font>
    <font>
      <b/>
      <sz val="10"/>
      <name val="Santander Text"/>
      <family val="2"/>
    </font>
    <font>
      <sz val="10"/>
      <color indexed="8"/>
      <name val="Santander Text"/>
      <family val="2"/>
    </font>
    <font>
      <b/>
      <sz val="10"/>
      <color theme="0"/>
      <name val="MS Shell Dlg 2"/>
    </font>
    <font>
      <b/>
      <u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10"/>
        <bgColor indexed="9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DDDD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</borders>
  <cellStyleXfs count="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72">
    <xf numFmtId="0" fontId="0" fillId="0" borderId="0" xfId="0"/>
    <xf numFmtId="164" fontId="4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5" fillId="0" borderId="0" xfId="2" applyFont="1" applyAlignment="1">
      <alignment horizontal="left"/>
    </xf>
    <xf numFmtId="0" fontId="5" fillId="0" borderId="0" xfId="2" applyFont="1"/>
    <xf numFmtId="0" fontId="5" fillId="0" borderId="0" xfId="2" applyFont="1" applyAlignment="1">
      <alignment horizontal="left" indent="1"/>
    </xf>
    <xf numFmtId="0" fontId="5" fillId="0" borderId="0" xfId="2" applyFont="1" applyAlignment="1">
      <alignment horizontal="left" indent="2"/>
    </xf>
    <xf numFmtId="0" fontId="5" fillId="0" borderId="0" xfId="2" applyFont="1" applyAlignment="1">
      <alignment horizontal="left" indent="3"/>
    </xf>
    <xf numFmtId="0" fontId="5" fillId="3" borderId="0" xfId="2" applyFont="1" applyFill="1"/>
    <xf numFmtId="0" fontId="5" fillId="3" borderId="0" xfId="2" applyFont="1" applyFill="1" applyAlignment="1">
      <alignment horizontal="left" indent="2"/>
    </xf>
    <xf numFmtId="0" fontId="5" fillId="3" borderId="0" xfId="2" applyFont="1" applyFill="1" applyAlignment="1">
      <alignment horizontal="left" indent="3"/>
    </xf>
    <xf numFmtId="0" fontId="6" fillId="0" borderId="0" xfId="0" applyFont="1"/>
    <xf numFmtId="0" fontId="6" fillId="0" borderId="0" xfId="0" applyFont="1" applyAlignment="1">
      <alignment horizontal="left" indent="1"/>
    </xf>
    <xf numFmtId="0" fontId="5" fillId="0" borderId="0" xfId="3" applyFont="1"/>
    <xf numFmtId="0" fontId="5" fillId="0" borderId="0" xfId="2" applyFont="1" applyAlignment="1">
      <alignment horizontal="left" indent="4"/>
    </xf>
    <xf numFmtId="0" fontId="5" fillId="4" borderId="0" xfId="2" applyFont="1" applyFill="1" applyAlignment="1">
      <alignment horizontal="left" indent="4"/>
    </xf>
    <xf numFmtId="0" fontId="7" fillId="0" borderId="0" xfId="2" applyFont="1" applyAlignment="1">
      <alignment horizontal="left" indent="1"/>
    </xf>
    <xf numFmtId="0" fontId="7" fillId="0" borderId="0" xfId="2" applyFont="1" applyAlignment="1">
      <alignment horizontal="left" indent="2"/>
    </xf>
    <xf numFmtId="0" fontId="7" fillId="0" borderId="0" xfId="2" applyFont="1" applyAlignment="1">
      <alignment horizontal="left" indent="3"/>
    </xf>
    <xf numFmtId="0" fontId="5" fillId="4" borderId="0" xfId="2" applyFont="1" applyFill="1" applyAlignment="1">
      <alignment horizontal="left" indent="3"/>
    </xf>
    <xf numFmtId="0" fontId="7" fillId="4" borderId="0" xfId="2" applyFont="1" applyFill="1" applyAlignment="1">
      <alignment horizontal="left" indent="2"/>
    </xf>
    <xf numFmtId="0" fontId="6" fillId="3" borderId="0" xfId="0" applyFont="1" applyFill="1"/>
    <xf numFmtId="0" fontId="5" fillId="3" borderId="0" xfId="2" applyFont="1" applyFill="1" applyAlignment="1">
      <alignment horizontal="left" indent="4"/>
    </xf>
    <xf numFmtId="0" fontId="8" fillId="0" borderId="0" xfId="4" applyFont="1"/>
    <xf numFmtId="0" fontId="7" fillId="3" borderId="0" xfId="2" applyFont="1" applyFill="1" applyAlignment="1">
      <alignment horizontal="left" indent="3"/>
    </xf>
    <xf numFmtId="0" fontId="1" fillId="5" borderId="2" xfId="0" applyFon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0" borderId="2" xfId="0" applyBorder="1"/>
    <xf numFmtId="0" fontId="0" fillId="9" borderId="2" xfId="0" applyFill="1" applyBorder="1"/>
    <xf numFmtId="0" fontId="0" fillId="0" borderId="3" xfId="0" applyBorder="1"/>
    <xf numFmtId="0" fontId="0" fillId="10" borderId="3" xfId="0" applyFill="1" applyBorder="1"/>
    <xf numFmtId="0" fontId="0" fillId="12" borderId="3" xfId="0" applyFill="1" applyBorder="1"/>
    <xf numFmtId="0" fontId="0" fillId="11" borderId="3" xfId="0" applyFill="1" applyBorder="1"/>
    <xf numFmtId="0" fontId="0" fillId="0" borderId="3" xfId="0" applyBorder="1" applyAlignment="1">
      <alignment horizontal="left" indent="2"/>
    </xf>
    <xf numFmtId="0" fontId="2" fillId="11" borderId="3" xfId="0" applyFont="1" applyFill="1" applyBorder="1"/>
    <xf numFmtId="0" fontId="2" fillId="12" borderId="3" xfId="0" applyFont="1" applyFill="1" applyBorder="1"/>
    <xf numFmtId="0" fontId="9" fillId="5" borderId="3" xfId="0" applyFont="1" applyFill="1" applyBorder="1" applyAlignment="1">
      <alignment horizontal="center"/>
    </xf>
    <xf numFmtId="0" fontId="5" fillId="0" borderId="3" xfId="2" applyFont="1" applyBorder="1" applyAlignment="1">
      <alignment horizontal="left" vertical="center"/>
    </xf>
    <xf numFmtId="0" fontId="0" fillId="12" borderId="3" xfId="0" applyFill="1" applyBorder="1" applyAlignment="1">
      <alignment horizontal="left" vertical="center"/>
    </xf>
    <xf numFmtId="0" fontId="0" fillId="11" borderId="3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8" fillId="0" borderId="3" xfId="4" applyFont="1" applyBorder="1" applyAlignment="1">
      <alignment horizontal="left" vertical="center"/>
    </xf>
    <xf numFmtId="0" fontId="2" fillId="0" borderId="4" xfId="0" applyFont="1" applyBorder="1"/>
    <xf numFmtId="0" fontId="0" fillId="0" borderId="3" xfId="0" applyBorder="1" applyAlignment="1">
      <alignment horizontal="left" vertical="center" wrapText="1"/>
    </xf>
    <xf numFmtId="0" fontId="2" fillId="0" borderId="0" xfId="0" applyFont="1"/>
    <xf numFmtId="0" fontId="1" fillId="5" borderId="3" xfId="0" applyFont="1" applyFill="1" applyBorder="1" applyAlignment="1">
      <alignment horizontal="center" vertical="center"/>
    </xf>
    <xf numFmtId="0" fontId="1" fillId="14" borderId="7" xfId="0" applyFont="1" applyFill="1" applyBorder="1"/>
    <xf numFmtId="0" fontId="2" fillId="15" borderId="3" xfId="0" applyFont="1" applyFill="1" applyBorder="1"/>
    <xf numFmtId="0" fontId="2" fillId="11" borderId="5" xfId="0" applyFont="1" applyFill="1" applyBorder="1"/>
    <xf numFmtId="0" fontId="2" fillId="0" borderId="8" xfId="0" applyFont="1" applyBorder="1"/>
    <xf numFmtId="0" fontId="0" fillId="0" borderId="8" xfId="0" applyBorder="1"/>
    <xf numFmtId="0" fontId="0" fillId="0" borderId="5" xfId="0" applyBorder="1" applyAlignment="1">
      <alignment vertical="center"/>
    </xf>
    <xf numFmtId="0" fontId="0" fillId="0" borderId="9" xfId="0" applyBorder="1"/>
    <xf numFmtId="0" fontId="0" fillId="0" borderId="10" xfId="0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5" borderId="3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10" borderId="5" xfId="0" applyFill="1" applyBorder="1" applyAlignment="1">
      <alignment horizontal="left" vertical="center"/>
    </xf>
    <xf numFmtId="0" fontId="0" fillId="10" borderId="6" xfId="0" applyFill="1" applyBorder="1" applyAlignment="1">
      <alignment horizontal="left" vertical="center"/>
    </xf>
    <xf numFmtId="0" fontId="0" fillId="10" borderId="5" xfId="0" applyFill="1" applyBorder="1" applyAlignment="1">
      <alignment horizontal="left" vertical="center" wrapText="1"/>
    </xf>
    <xf numFmtId="0" fontId="0" fillId="10" borderId="7" xfId="0" applyFill="1" applyBorder="1" applyAlignment="1">
      <alignment horizontal="left" vertical="center" wrapText="1"/>
    </xf>
    <xf numFmtId="0" fontId="0" fillId="10" borderId="6" xfId="0" applyFill="1" applyBorder="1" applyAlignment="1">
      <alignment horizontal="left" vertical="center" wrapText="1"/>
    </xf>
  </cellXfs>
  <cellStyles count="5">
    <cellStyle name="l]_x000d__x000a_Path=M:\RIOCEN01_x000d__x000a_Name=Carlos Emilio Brousse_x000d__x000a_DDEApps=nsf,nsg,nsh,ntf,ns2,ors,org_x000d__x000a_SmartIcons=Todos_x000d__x000a_ 2_Jerarquias_MIS_Consolidado0312v3_CODIFICADA" xfId="1" xr:uid="{ACB5699C-454B-473B-B0DF-3097B1CA533D}"/>
    <cellStyle name="Normal" xfId="0" builtinId="0"/>
    <cellStyle name="Normal 2 2" xfId="3" xr:uid="{0853B929-A926-4DC4-9670-EA428D0DA8D3}"/>
    <cellStyle name="Normal 3 2" xfId="4" xr:uid="{967BCC28-6F28-446D-BEDA-52716F73A54C}"/>
    <cellStyle name="Normal 7" xfId="2" xr:uid="{F481F9B6-9B7D-473E-9D52-051DAD5D22D2}"/>
  </cellStyles>
  <dxfs count="0"/>
  <tableStyles count="0" defaultTableStyle="TableStyleMedium9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2:P25"/>
  <sheetViews>
    <sheetView showGridLines="0" zoomScaleNormal="100" workbookViewId="0">
      <selection activeCell="M19" sqref="M19"/>
    </sheetView>
  </sheetViews>
  <sheetFormatPr defaultColWidth="10.88671875" defaultRowHeight="14.4" x14ac:dyDescent="0.3"/>
  <cols>
    <col min="1" max="1" width="3.77734375" customWidth="1"/>
    <col min="2" max="2" width="15.6640625" bestFit="1" customWidth="1"/>
    <col min="3" max="3" width="14.33203125" bestFit="1" customWidth="1"/>
    <col min="4" max="4" width="29.109375" bestFit="1" customWidth="1"/>
    <col min="5" max="5" width="11.33203125" bestFit="1" customWidth="1"/>
    <col min="6" max="6" width="13.88671875" bestFit="1" customWidth="1"/>
    <col min="7" max="7" width="19.5546875" bestFit="1" customWidth="1"/>
    <col min="8" max="8" width="9.88671875" bestFit="1" customWidth="1"/>
    <col min="9" max="9" width="7.33203125" bestFit="1" customWidth="1"/>
    <col min="10" max="10" width="6.6640625" bestFit="1" customWidth="1"/>
    <col min="11" max="11" width="33.77734375" customWidth="1"/>
    <col min="12" max="12" width="12.44140625" bestFit="1" customWidth="1"/>
    <col min="13" max="13" width="14.88671875" customWidth="1"/>
    <col min="14" max="14" width="33.21875" customWidth="1"/>
    <col min="15" max="15" width="34.33203125" bestFit="1" customWidth="1"/>
  </cols>
  <sheetData>
    <row r="2" spans="2:15" x14ac:dyDescent="0.3">
      <c r="B2" s="51" t="s">
        <v>378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4" spans="2:15" x14ac:dyDescent="0.3">
      <c r="B4" s="61" t="s">
        <v>380</v>
      </c>
      <c r="C4" s="61"/>
      <c r="D4" s="61"/>
      <c r="E4" s="61"/>
      <c r="F4" s="61"/>
      <c r="G4" s="61"/>
      <c r="H4" s="61"/>
      <c r="I4" s="61"/>
      <c r="J4" s="61"/>
      <c r="K4" s="61"/>
      <c r="L4" s="62" t="s">
        <v>381</v>
      </c>
      <c r="M4" s="62"/>
      <c r="N4" s="62"/>
      <c r="O4" s="62"/>
    </row>
    <row r="5" spans="2:15" x14ac:dyDescent="0.3">
      <c r="B5" s="49" t="s">
        <v>0</v>
      </c>
      <c r="C5" s="49" t="s">
        <v>1</v>
      </c>
      <c r="D5" s="36" t="s">
        <v>382</v>
      </c>
      <c r="E5" s="49" t="s">
        <v>2</v>
      </c>
      <c r="F5" s="49" t="s">
        <v>3</v>
      </c>
      <c r="G5" s="49" t="s">
        <v>4</v>
      </c>
      <c r="H5" s="49" t="s">
        <v>5</v>
      </c>
      <c r="I5" s="49" t="s">
        <v>6</v>
      </c>
      <c r="J5" s="49" t="s">
        <v>7</v>
      </c>
      <c r="K5" s="50" t="s">
        <v>379</v>
      </c>
      <c r="L5" s="48" t="s">
        <v>4</v>
      </c>
      <c r="M5" s="48" t="s">
        <v>6</v>
      </c>
      <c r="N5" s="48" t="s">
        <v>384</v>
      </c>
      <c r="O5" s="48" t="s">
        <v>379</v>
      </c>
    </row>
    <row r="6" spans="2:15" x14ac:dyDescent="0.3">
      <c r="B6" s="58" t="s">
        <v>8</v>
      </c>
      <c r="C6" s="58" t="s">
        <v>9</v>
      </c>
      <c r="D6" s="58" t="str">
        <f>TRIM(VLOOKUP(C6,codelist!$B:$C,2,FALSE))</f>
        <v>Securitization</v>
      </c>
      <c r="E6" s="58" t="s">
        <v>10</v>
      </c>
      <c r="F6" s="58" t="s">
        <v>10</v>
      </c>
      <c r="G6" s="58" t="s">
        <v>11</v>
      </c>
      <c r="H6" s="58" t="s">
        <v>10</v>
      </c>
      <c r="I6" s="58" t="s">
        <v>12</v>
      </c>
      <c r="J6" s="58" t="s">
        <v>13</v>
      </c>
      <c r="K6" s="58" t="str">
        <f>+VLOOKUP(I6,'Códigos antigos'!$A$2:$B$102,2,FALSE)</f>
        <v>Debt Capital Markets &amp; Securitization</v>
      </c>
      <c r="L6" s="32" t="s">
        <v>10</v>
      </c>
      <c r="M6" s="32" t="s">
        <v>184</v>
      </c>
      <c r="N6" s="67" t="s">
        <v>385</v>
      </c>
      <c r="O6" s="32" t="str">
        <f>+VLOOKUP(M6,'Novos códigos'!A1:B87,2,FALSE)</f>
        <v>Securitization Products</v>
      </c>
    </row>
    <row r="7" spans="2:15" x14ac:dyDescent="0.3">
      <c r="B7" s="60"/>
      <c r="C7" s="60"/>
      <c r="D7" s="60"/>
      <c r="E7" s="60"/>
      <c r="F7" s="60"/>
      <c r="G7" s="60"/>
      <c r="H7" s="60"/>
      <c r="I7" s="60"/>
      <c r="J7" s="60"/>
      <c r="K7" s="60"/>
      <c r="L7" s="32" t="s">
        <v>10</v>
      </c>
      <c r="M7" s="32" t="s">
        <v>186</v>
      </c>
      <c r="N7" s="68"/>
      <c r="O7" s="32" t="str">
        <f>+VLOOKUP(M7,'Novos códigos'!A2:B88,2,FALSE)</f>
        <v>Securitization Finance</v>
      </c>
    </row>
    <row r="8" spans="2:15" x14ac:dyDescent="0.3">
      <c r="B8" s="31" t="s">
        <v>8</v>
      </c>
      <c r="C8" s="31" t="s">
        <v>14</v>
      </c>
      <c r="D8" s="31" t="str">
        <f>TRIM(VLOOKUP(C8,codelist!$B:$C,2,FALSE))</f>
        <v>Debt Capital Markets (DCM)</v>
      </c>
      <c r="E8" s="31" t="s">
        <v>10</v>
      </c>
      <c r="F8" s="31" t="s">
        <v>10</v>
      </c>
      <c r="G8" s="31" t="s">
        <v>15</v>
      </c>
      <c r="H8" s="31" t="s">
        <v>10</v>
      </c>
      <c r="I8" s="31" t="s">
        <v>12</v>
      </c>
      <c r="J8" s="31" t="s">
        <v>16</v>
      </c>
      <c r="K8" s="31" t="str">
        <f>+VLOOKUP(I8,'Códigos antigos'!$A$2:$B$102,2,FALSE)</f>
        <v>Debt Capital Markets &amp; Securitization</v>
      </c>
      <c r="L8" s="32" t="s">
        <v>10</v>
      </c>
      <c r="M8" s="32" t="s">
        <v>164</v>
      </c>
      <c r="N8" s="32" t="s">
        <v>164</v>
      </c>
      <c r="O8" s="32" t="str">
        <f>+VLOOKUP(M8,'Novos códigos'!A3:B89,2,FALSE)</f>
        <v>DCM</v>
      </c>
    </row>
    <row r="9" spans="2:15" x14ac:dyDescent="0.3">
      <c r="B9" s="31" t="s">
        <v>8</v>
      </c>
      <c r="C9" s="31" t="s">
        <v>17</v>
      </c>
      <c r="D9" s="31" t="str">
        <f>TRIM(VLOOKUP(C9,codelist!$B:$C,2,FALSE))</f>
        <v>Project &amp; Acquisition Finance</v>
      </c>
      <c r="E9" s="31" t="s">
        <v>10</v>
      </c>
      <c r="F9" s="31" t="s">
        <v>10</v>
      </c>
      <c r="G9" s="31" t="s">
        <v>10</v>
      </c>
      <c r="H9" s="31" t="s">
        <v>10</v>
      </c>
      <c r="I9" s="31" t="s">
        <v>18</v>
      </c>
      <c r="J9" s="31" t="s">
        <v>19</v>
      </c>
      <c r="K9" s="31" t="str">
        <f>+VLOOKUP(I9,'Códigos antigos'!$A$2:$B$102,2,FALSE)</f>
        <v>Project and Acquisition Finance</v>
      </c>
      <c r="L9" s="31" t="s">
        <v>10</v>
      </c>
      <c r="M9" s="31" t="s">
        <v>156</v>
      </c>
      <c r="N9" s="31" t="s">
        <v>156</v>
      </c>
      <c r="O9" s="31" t="str">
        <f>+VLOOKUP(M9,'Novos códigos'!A4:B90,2,FALSE)</f>
        <v>Project and Acquisition Finance.</v>
      </c>
    </row>
    <row r="10" spans="2:15" x14ac:dyDescent="0.3">
      <c r="B10" s="31" t="s">
        <v>8</v>
      </c>
      <c r="C10" s="31" t="s">
        <v>20</v>
      </c>
      <c r="D10" s="31" t="str">
        <f>TRIM(VLOOKUP(C10,codelist!$B:$C,2,FALSE))</f>
        <v>Syndicated Loans</v>
      </c>
      <c r="E10" s="31" t="s">
        <v>10</v>
      </c>
      <c r="F10" s="31" t="s">
        <v>10</v>
      </c>
      <c r="G10" s="31" t="s">
        <v>10</v>
      </c>
      <c r="H10" s="31" t="s">
        <v>10</v>
      </c>
      <c r="I10" s="31" t="s">
        <v>21</v>
      </c>
      <c r="J10" s="31" t="s">
        <v>22</v>
      </c>
      <c r="K10" s="31" t="str">
        <f>+VLOOKUP(I10,'Códigos antigos'!$A$2:$B$102,2,FALSE)</f>
        <v>Sindicados</v>
      </c>
      <c r="L10" s="31" t="s">
        <v>10</v>
      </c>
      <c r="M10" s="31" t="s">
        <v>166</v>
      </c>
      <c r="N10" s="31" t="s">
        <v>166</v>
      </c>
      <c r="O10" s="31" t="str">
        <f>+VLOOKUP(M10,'Novos códigos'!A5:B91,2,FALSE)</f>
        <v>Syndicated Loans</v>
      </c>
    </row>
    <row r="11" spans="2:15" x14ac:dyDescent="0.3">
      <c r="B11" s="31" t="s">
        <v>8</v>
      </c>
      <c r="C11" s="31" t="s">
        <v>23</v>
      </c>
      <c r="D11" s="31" t="str">
        <f>TRIM(VLOOKUP(C11,codelist!$B:$C,2,FALSE))</f>
        <v>Asset Based Finance (ABF)</v>
      </c>
      <c r="E11" s="31" t="s">
        <v>10</v>
      </c>
      <c r="F11" s="31" t="s">
        <v>10</v>
      </c>
      <c r="G11" s="31" t="s">
        <v>10</v>
      </c>
      <c r="H11" s="31" t="s">
        <v>10</v>
      </c>
      <c r="I11" s="31" t="s">
        <v>24</v>
      </c>
      <c r="J11" s="31" t="s">
        <v>25</v>
      </c>
      <c r="K11" s="31" t="str">
        <f>+VLOOKUP(I11,'Códigos antigos'!$A$2:$B$102,2,FALSE)</f>
        <v>ACS - Asset &amp; Capital Structuring</v>
      </c>
      <c r="L11" s="32" t="s">
        <v>10</v>
      </c>
      <c r="M11" s="32" t="s">
        <v>158</v>
      </c>
      <c r="N11" s="32" t="s">
        <v>158</v>
      </c>
      <c r="O11" s="32" t="str">
        <f>+VLOOKUP(M11,'Novos códigos'!A6:B92,2,FALSE)</f>
        <v>ABF</v>
      </c>
    </row>
    <row r="12" spans="2:15" x14ac:dyDescent="0.3">
      <c r="B12" s="31" t="s">
        <v>8</v>
      </c>
      <c r="C12" s="31" t="s">
        <v>26</v>
      </c>
      <c r="D12" s="31" t="str">
        <f>TRIM(VLOOKUP(C12,codelist!$B:$C,2,FALSE))</f>
        <v>Leveraged Finance</v>
      </c>
      <c r="E12" s="31" t="s">
        <v>10</v>
      </c>
      <c r="F12" s="31" t="s">
        <v>10</v>
      </c>
      <c r="G12" s="31" t="s">
        <v>10</v>
      </c>
      <c r="H12" s="31" t="s">
        <v>10</v>
      </c>
      <c r="I12" s="31" t="s">
        <v>27</v>
      </c>
      <c r="J12" s="31" t="s">
        <v>28</v>
      </c>
      <c r="K12" s="31" t="str">
        <f>+VLOOKUP(I12,'Códigos antigos'!$A$2:$B$102,2,FALSE)</f>
        <v>Leveraged Finance</v>
      </c>
      <c r="L12" s="31" t="s">
        <v>10</v>
      </c>
      <c r="M12" s="31" t="s">
        <v>152</v>
      </c>
      <c r="N12" s="31" t="s">
        <v>152</v>
      </c>
      <c r="O12" s="31" t="str">
        <f>+VLOOKUP(M12,'Novos códigos'!A7:B93,2,FALSE)</f>
        <v>Leveraged Finance</v>
      </c>
    </row>
    <row r="13" spans="2:15" x14ac:dyDescent="0.3">
      <c r="B13" s="31" t="s">
        <v>8</v>
      </c>
      <c r="C13" s="31" t="s">
        <v>29</v>
      </c>
      <c r="D13" s="31" t="str">
        <f>TRIM(VLOOKUP(C13,codelist!$B:$C,2,FALSE))</f>
        <v>Export &amp; Agency Finance</v>
      </c>
      <c r="E13" s="31" t="s">
        <v>10</v>
      </c>
      <c r="F13" s="31" t="s">
        <v>10</v>
      </c>
      <c r="G13" s="31" t="s">
        <v>10</v>
      </c>
      <c r="H13" s="31" t="s">
        <v>10</v>
      </c>
      <c r="I13" s="31" t="s">
        <v>30</v>
      </c>
      <c r="J13" s="31" t="s">
        <v>31</v>
      </c>
      <c r="K13" s="31" t="str">
        <f>+VLOOKUP(I13,'Códigos antigos'!$A$2:$B$102,2,FALSE)</f>
        <v>Export &amp; Agency Finance</v>
      </c>
      <c r="L13" s="31" t="s">
        <v>10</v>
      </c>
      <c r="M13" s="31" t="s">
        <v>176</v>
      </c>
      <c r="N13" s="31" t="s">
        <v>176</v>
      </c>
      <c r="O13" s="31" t="str">
        <f>+VLOOKUP(M13,'Novos códigos'!A8:B94,2,FALSE)</f>
        <v>Export &amp; Agency Finance</v>
      </c>
    </row>
    <row r="14" spans="2:15" x14ac:dyDescent="0.3">
      <c r="B14" s="31" t="s">
        <v>8</v>
      </c>
      <c r="C14" s="31" t="s">
        <v>32</v>
      </c>
      <c r="D14" s="31" t="str">
        <f>TRIM(VLOOKUP(C14,codelist!$B:$C,2,FALSE))</f>
        <v>Trade &amp; Working Capital Solutions</v>
      </c>
      <c r="E14" s="31" t="s">
        <v>10</v>
      </c>
      <c r="F14" s="31" t="s">
        <v>10</v>
      </c>
      <c r="G14" s="31" t="s">
        <v>10</v>
      </c>
      <c r="H14" s="31" t="s">
        <v>10</v>
      </c>
      <c r="I14" s="31" t="s">
        <v>33</v>
      </c>
      <c r="J14" s="31" t="s">
        <v>34</v>
      </c>
      <c r="K14" s="31" t="str">
        <f>+VLOOKUP(I14,'Códigos antigos'!$A$2:$B$102,2,FALSE)</f>
        <v>Trade &amp; WCS</v>
      </c>
      <c r="L14" s="31" t="s">
        <v>10</v>
      </c>
      <c r="M14" s="31" t="s">
        <v>174</v>
      </c>
      <c r="N14" s="31" t="s">
        <v>174</v>
      </c>
      <c r="O14" s="31" t="str">
        <f>+VLOOKUP(M14,'Novos códigos'!A9:B95,2,FALSE)</f>
        <v>Trade &amp; WCS</v>
      </c>
    </row>
    <row r="15" spans="2:15" x14ac:dyDescent="0.3">
      <c r="B15" s="58" t="s">
        <v>8</v>
      </c>
      <c r="C15" s="58" t="s">
        <v>35</v>
      </c>
      <c r="D15" s="58" t="str">
        <f>TRIM(VLOOKUP(C15,codelist!$B:$C,2,FALSE))</f>
        <v>Derivatives</v>
      </c>
      <c r="E15" s="58" t="s">
        <v>10</v>
      </c>
      <c r="F15" s="58" t="s">
        <v>10</v>
      </c>
      <c r="G15" s="58" t="s">
        <v>10</v>
      </c>
      <c r="H15" s="58" t="s">
        <v>10</v>
      </c>
      <c r="I15" s="58" t="s">
        <v>36</v>
      </c>
      <c r="J15" s="58" t="s">
        <v>37</v>
      </c>
      <c r="K15" s="58" t="str">
        <f>+VLOOKUP(I15,'Códigos antigos'!$A$2:$B$102,2,FALSE)</f>
        <v>Sales Mercados</v>
      </c>
      <c r="L15" s="32" t="s">
        <v>10</v>
      </c>
      <c r="M15" s="32" t="s">
        <v>180</v>
      </c>
      <c r="N15" s="69" t="s">
        <v>386</v>
      </c>
      <c r="O15" s="32" t="str">
        <f>+VLOOKUP(M15,'Novos códigos'!A10:B96,2,FALSE)</f>
        <v>FX</v>
      </c>
    </row>
    <row r="16" spans="2:15" x14ac:dyDescent="0.3"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32" t="s">
        <v>10</v>
      </c>
      <c r="M16" s="32" t="s">
        <v>182</v>
      </c>
      <c r="N16" s="70"/>
      <c r="O16" s="32" t="str">
        <f>+VLOOKUP(M16,'Novos códigos'!A11:B97,2,FALSE)</f>
        <v>Rates</v>
      </c>
    </row>
    <row r="17" spans="2:16" x14ac:dyDescent="0.3"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32" t="s">
        <v>10</v>
      </c>
      <c r="M17" s="32" t="s">
        <v>188</v>
      </c>
      <c r="N17" s="70"/>
      <c r="O17" s="32" t="str">
        <f>+VLOOKUP(M17,'Novos códigos'!A12:B98,2,FALSE)</f>
        <v>Credit</v>
      </c>
      <c r="P17" t="s">
        <v>383</v>
      </c>
    </row>
    <row r="18" spans="2:16" x14ac:dyDescent="0.3"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32" t="s">
        <v>10</v>
      </c>
      <c r="M18" s="32" t="s">
        <v>193</v>
      </c>
      <c r="N18" s="70"/>
      <c r="O18" s="32" t="str">
        <f>+VLOOKUP(M18,'Novos códigos'!A15:B101,2,FALSE)</f>
        <v>Equity Derivatives</v>
      </c>
    </row>
    <row r="19" spans="2:16" x14ac:dyDescent="0.3"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32" t="s">
        <v>10</v>
      </c>
      <c r="M19" s="32" t="s">
        <v>195</v>
      </c>
      <c r="N19" s="71"/>
      <c r="O19" s="32" t="str">
        <f>+VLOOKUP(M19,'Novos códigos'!A16:B102,2,FALSE)</f>
        <v>Commodities</v>
      </c>
    </row>
    <row r="20" spans="2:16" x14ac:dyDescent="0.3">
      <c r="B20" s="31" t="s">
        <v>8</v>
      </c>
      <c r="C20" s="31" t="s">
        <v>38</v>
      </c>
      <c r="D20" s="31" t="str">
        <f>TRIM(VLOOKUP(C20,codelist!$B:$C,2,FALSE))</f>
        <v>Mergers &amp; Acquisitions (M&amp;A)</v>
      </c>
      <c r="E20" s="31" t="s">
        <v>10</v>
      </c>
      <c r="F20" s="31" t="s">
        <v>10</v>
      </c>
      <c r="G20" s="31" t="s">
        <v>10</v>
      </c>
      <c r="H20" s="31" t="s">
        <v>10</v>
      </c>
      <c r="I20" s="31" t="s">
        <v>39</v>
      </c>
      <c r="J20" s="31" t="s">
        <v>40</v>
      </c>
      <c r="K20" s="31" t="str">
        <f>+VLOOKUP(I20,'Códigos antigos'!$A$2:$B$102,2,FALSE)</f>
        <v>M &amp; A - Mergers and Acquisitions</v>
      </c>
      <c r="L20" s="31" t="s">
        <v>10</v>
      </c>
      <c r="M20" s="31" t="s">
        <v>143</v>
      </c>
      <c r="N20" s="31" t="s">
        <v>143</v>
      </c>
      <c r="O20" s="31" t="str">
        <f>+VLOOKUP(M20,'Novos códigos'!A11:B97,2,FALSE)</f>
        <v>M &amp; A - Mergers and Acquisitions</v>
      </c>
    </row>
    <row r="21" spans="2:16" x14ac:dyDescent="0.3">
      <c r="B21" s="31" t="s">
        <v>8</v>
      </c>
      <c r="C21" s="31" t="s">
        <v>41</v>
      </c>
      <c r="D21" s="31" t="str">
        <f>TRIM(VLOOKUP(C21,codelist!$B:$C,2,FALSE))</f>
        <v>Equity Capital Markets (ECM)</v>
      </c>
      <c r="E21" s="31" t="s">
        <v>10</v>
      </c>
      <c r="F21" s="31" t="s">
        <v>10</v>
      </c>
      <c r="G21" s="31" t="s">
        <v>10</v>
      </c>
      <c r="H21" s="31" t="s">
        <v>10</v>
      </c>
      <c r="I21" s="31" t="s">
        <v>42</v>
      </c>
      <c r="J21" s="31" t="s">
        <v>43</v>
      </c>
      <c r="K21" s="31" t="str">
        <f>+VLOOKUP(I21,'Códigos antigos'!$A$2:$B$102,2,FALSE)</f>
        <v>ECM - Equity Capital Markets</v>
      </c>
      <c r="L21" s="31" t="s">
        <v>10</v>
      </c>
      <c r="M21" s="31" t="s">
        <v>42</v>
      </c>
      <c r="N21" s="31" t="s">
        <v>42</v>
      </c>
      <c r="O21" s="31" t="str">
        <f>+VLOOKUP(M21,'Novos códigos'!A12:B98,2,FALSE)</f>
        <v>ECM - Equity Capital Markets &amp; Others</v>
      </c>
    </row>
    <row r="22" spans="2:16" x14ac:dyDescent="0.3">
      <c r="B22" s="31" t="s">
        <v>8</v>
      </c>
      <c r="C22" s="31" t="s">
        <v>44</v>
      </c>
      <c r="D22" s="31" t="str">
        <f>TRIM(VLOOKUP(C22,codelist!$B:$C,2,FALSE))</f>
        <v>Mortgages</v>
      </c>
      <c r="E22" s="31" t="s">
        <v>10</v>
      </c>
      <c r="F22" s="31" t="s">
        <v>10</v>
      </c>
      <c r="G22" s="31" t="s">
        <v>45</v>
      </c>
      <c r="H22" s="31" t="s">
        <v>10</v>
      </c>
      <c r="I22" s="31" t="s">
        <v>10</v>
      </c>
      <c r="J22" s="31" t="s">
        <v>46</v>
      </c>
      <c r="K22" s="31"/>
      <c r="L22" s="31" t="s">
        <v>45</v>
      </c>
      <c r="M22" s="31" t="s">
        <v>10</v>
      </c>
      <c r="N22" s="31" t="s">
        <v>10</v>
      </c>
      <c r="O22" s="31"/>
    </row>
    <row r="23" spans="2:16" x14ac:dyDescent="0.3">
      <c r="B23" s="31" t="s">
        <v>8</v>
      </c>
      <c r="C23" s="31" t="s">
        <v>47</v>
      </c>
      <c r="D23" s="31" t="str">
        <f>TRIM(VLOOKUP(C23,codelist!$B:$C,2,FALSE))</f>
        <v>Bonds Portfolio</v>
      </c>
      <c r="E23" s="31" t="s">
        <v>10</v>
      </c>
      <c r="F23" s="31" t="s">
        <v>10</v>
      </c>
      <c r="G23" s="31" t="s">
        <v>48</v>
      </c>
      <c r="H23" s="31" t="s">
        <v>10</v>
      </c>
      <c r="I23" s="31" t="s">
        <v>10</v>
      </c>
      <c r="J23" s="31" t="s">
        <v>49</v>
      </c>
      <c r="K23" s="31"/>
      <c r="L23" s="31" t="s">
        <v>48</v>
      </c>
      <c r="M23" s="31" t="s">
        <v>10</v>
      </c>
      <c r="N23" s="31" t="s">
        <v>10</v>
      </c>
      <c r="O23" s="31"/>
    </row>
    <row r="24" spans="2:16" x14ac:dyDescent="0.3">
      <c r="B24" s="31" t="s">
        <v>8</v>
      </c>
      <c r="C24" s="31" t="s">
        <v>50</v>
      </c>
      <c r="D24" s="31" t="str">
        <f>TRIM(VLOOKUP(C24,codelist!$B:$C,2,FALSE))</f>
        <v>Contingent risks</v>
      </c>
      <c r="E24" s="31" t="s">
        <v>10</v>
      </c>
      <c r="F24" s="31" t="s">
        <v>10</v>
      </c>
      <c r="G24" s="31" t="s">
        <v>51</v>
      </c>
      <c r="H24" s="31" t="s">
        <v>10</v>
      </c>
      <c r="I24" s="31" t="s">
        <v>10</v>
      </c>
      <c r="J24" s="31" t="s">
        <v>52</v>
      </c>
      <c r="K24" s="31"/>
      <c r="L24" s="31" t="s">
        <v>51</v>
      </c>
      <c r="M24" s="31" t="s">
        <v>10</v>
      </c>
      <c r="N24" s="31" t="s">
        <v>10</v>
      </c>
      <c r="O24" s="31"/>
    </row>
    <row r="25" spans="2:16" x14ac:dyDescent="0.3">
      <c r="B25" s="31" t="s">
        <v>8</v>
      </c>
      <c r="C25" s="31" t="s">
        <v>53</v>
      </c>
      <c r="D25" s="31" t="str">
        <f>TRIM(VLOOKUP(C25,codelist!$B:$C,2,FALSE))</f>
        <v>Other Loans &amp; Advances</v>
      </c>
      <c r="E25" s="31" t="s">
        <v>10</v>
      </c>
      <c r="F25" s="31" t="s">
        <v>10</v>
      </c>
      <c r="G25" s="31" t="s">
        <v>10</v>
      </c>
      <c r="H25" s="31" t="s">
        <v>10</v>
      </c>
      <c r="I25" s="31" t="s">
        <v>10</v>
      </c>
      <c r="J25" s="31" t="s">
        <v>54</v>
      </c>
      <c r="K25" s="31"/>
      <c r="L25" s="31" t="s">
        <v>10</v>
      </c>
      <c r="M25" s="31" t="s">
        <v>10</v>
      </c>
      <c r="N25" s="31" t="s">
        <v>10</v>
      </c>
      <c r="O25" s="31"/>
    </row>
  </sheetData>
  <mergeCells count="24">
    <mergeCell ref="G15:G19"/>
    <mergeCell ref="H15:H19"/>
    <mergeCell ref="B4:K4"/>
    <mergeCell ref="L4:O4"/>
    <mergeCell ref="B6:B7"/>
    <mergeCell ref="C6:C7"/>
    <mergeCell ref="D6:D7"/>
    <mergeCell ref="E6:E7"/>
    <mergeCell ref="F6:F7"/>
    <mergeCell ref="G6:G7"/>
    <mergeCell ref="H6:H7"/>
    <mergeCell ref="N6:N7"/>
    <mergeCell ref="N15:N19"/>
    <mergeCell ref="B15:B19"/>
    <mergeCell ref="C15:C19"/>
    <mergeCell ref="D15:D19"/>
    <mergeCell ref="E15:E19"/>
    <mergeCell ref="F15:F19"/>
    <mergeCell ref="I15:I19"/>
    <mergeCell ref="J15:J19"/>
    <mergeCell ref="K15:K19"/>
    <mergeCell ref="I6:I7"/>
    <mergeCell ref="J6:J7"/>
    <mergeCell ref="K6:K7"/>
  </mergeCells>
  <pageMargins left="0.7" right="0.7" top="0.75" bottom="0.75" header="0.3" footer="0.3"/>
  <headerFooter>
    <oddHeader>&amp;L&amp;"Calibri"&amp;10&amp;K000000 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5CE9-63AF-474E-86A1-6A6C618AF02B}">
  <dimension ref="B3:I18"/>
  <sheetViews>
    <sheetView showGridLines="0" tabSelected="1" workbookViewId="0">
      <selection activeCell="G7" sqref="G7"/>
    </sheetView>
  </sheetViews>
  <sheetFormatPr defaultRowHeight="14.4" x14ac:dyDescent="0.3"/>
  <cols>
    <col min="2" max="2" width="16" bestFit="1" customWidth="1"/>
    <col min="3" max="3" width="14.5546875" bestFit="1" customWidth="1"/>
    <col min="4" max="4" width="11.33203125" bestFit="1" customWidth="1"/>
    <col min="5" max="5" width="13.88671875" bestFit="1" customWidth="1"/>
    <col min="6" max="6" width="12.44140625" bestFit="1" customWidth="1"/>
    <col min="7" max="7" width="9.88671875" bestFit="1" customWidth="1"/>
    <col min="8" max="8" width="56.88671875" bestFit="1" customWidth="1"/>
    <col min="9" max="9" width="6.6640625" bestFit="1" customWidth="1"/>
  </cols>
  <sheetData>
    <row r="3" spans="2:9" x14ac:dyDescent="0.3">
      <c r="B3" s="47" t="s">
        <v>0</v>
      </c>
      <c r="C3" s="47" t="s">
        <v>1</v>
      </c>
      <c r="D3" s="47" t="s">
        <v>2</v>
      </c>
      <c r="E3" s="47" t="s">
        <v>3</v>
      </c>
      <c r="F3" s="47" t="s">
        <v>4</v>
      </c>
      <c r="G3" s="47" t="s">
        <v>5</v>
      </c>
      <c r="H3" s="47" t="s">
        <v>6</v>
      </c>
      <c r="I3" s="47" t="s">
        <v>7</v>
      </c>
    </row>
    <row r="4" spans="2:9" x14ac:dyDescent="0.3">
      <c r="B4" s="53" t="s">
        <v>8</v>
      </c>
      <c r="C4" s="53" t="s">
        <v>9</v>
      </c>
      <c r="D4" s="53" t="s">
        <v>10</v>
      </c>
      <c r="E4" s="53" t="s">
        <v>10</v>
      </c>
      <c r="F4" s="53" t="s">
        <v>10</v>
      </c>
      <c r="G4" s="53" t="s">
        <v>10</v>
      </c>
      <c r="H4" s="53" t="s">
        <v>385</v>
      </c>
      <c r="I4" s="53">
        <v>1</v>
      </c>
    </row>
    <row r="5" spans="2:9" x14ac:dyDescent="0.3">
      <c r="B5" s="31" t="s">
        <v>8</v>
      </c>
      <c r="C5" s="31" t="s">
        <v>14</v>
      </c>
      <c r="D5" s="31" t="s">
        <v>10</v>
      </c>
      <c r="E5" s="31" t="s">
        <v>10</v>
      </c>
      <c r="F5" s="31" t="s">
        <v>10</v>
      </c>
      <c r="G5" s="31" t="s">
        <v>10</v>
      </c>
      <c r="H5" s="31" t="s">
        <v>164</v>
      </c>
      <c r="I5" s="31">
        <v>2</v>
      </c>
    </row>
    <row r="6" spans="2:9" x14ac:dyDescent="0.3">
      <c r="B6" s="31" t="s">
        <v>8</v>
      </c>
      <c r="C6" s="31" t="s">
        <v>17</v>
      </c>
      <c r="D6" s="31" t="s">
        <v>10</v>
      </c>
      <c r="E6" s="31" t="s">
        <v>10</v>
      </c>
      <c r="F6" s="31" t="s">
        <v>10</v>
      </c>
      <c r="G6" s="31" t="s">
        <v>10</v>
      </c>
      <c r="H6" s="31" t="s">
        <v>156</v>
      </c>
      <c r="I6" s="31">
        <v>3</v>
      </c>
    </row>
    <row r="7" spans="2:9" x14ac:dyDescent="0.3">
      <c r="B7" s="31" t="s">
        <v>8</v>
      </c>
      <c r="C7" s="31" t="s">
        <v>20</v>
      </c>
      <c r="D7" s="31" t="s">
        <v>10</v>
      </c>
      <c r="E7" s="31" t="s">
        <v>10</v>
      </c>
      <c r="F7" s="31" t="s">
        <v>10</v>
      </c>
      <c r="G7" s="31" t="s">
        <v>10</v>
      </c>
      <c r="H7" s="31" t="s">
        <v>166</v>
      </c>
      <c r="I7" s="56">
        <v>4</v>
      </c>
    </row>
    <row r="8" spans="2:9" x14ac:dyDescent="0.3">
      <c r="B8" s="31" t="s">
        <v>8</v>
      </c>
      <c r="C8" s="31" t="s">
        <v>23</v>
      </c>
      <c r="D8" s="31" t="s">
        <v>10</v>
      </c>
      <c r="E8" s="31" t="s">
        <v>10</v>
      </c>
      <c r="F8" s="31" t="s">
        <v>10</v>
      </c>
      <c r="G8" s="31" t="s">
        <v>10</v>
      </c>
      <c r="H8" s="54" t="s">
        <v>158</v>
      </c>
      <c r="I8" s="31">
        <v>5</v>
      </c>
    </row>
    <row r="9" spans="2:9" x14ac:dyDescent="0.3">
      <c r="B9" s="31" t="s">
        <v>8</v>
      </c>
      <c r="C9" s="31" t="s">
        <v>26</v>
      </c>
      <c r="D9" s="31" t="s">
        <v>10</v>
      </c>
      <c r="E9" s="31" t="s">
        <v>10</v>
      </c>
      <c r="F9" s="31" t="s">
        <v>10</v>
      </c>
      <c r="G9" s="31" t="s">
        <v>10</v>
      </c>
      <c r="H9" s="54" t="s">
        <v>152</v>
      </c>
      <c r="I9" s="31">
        <v>6</v>
      </c>
    </row>
    <row r="10" spans="2:9" x14ac:dyDescent="0.3">
      <c r="B10" s="31" t="s">
        <v>8</v>
      </c>
      <c r="C10" s="31" t="s">
        <v>29</v>
      </c>
      <c r="D10" s="31" t="s">
        <v>10</v>
      </c>
      <c r="E10" s="31" t="s">
        <v>10</v>
      </c>
      <c r="F10" s="31" t="s">
        <v>10</v>
      </c>
      <c r="G10" s="31" t="s">
        <v>10</v>
      </c>
      <c r="H10" s="54" t="s">
        <v>176</v>
      </c>
      <c r="I10" s="31">
        <v>7</v>
      </c>
    </row>
    <row r="11" spans="2:9" x14ac:dyDescent="0.3">
      <c r="B11" s="31" t="s">
        <v>8</v>
      </c>
      <c r="C11" s="31" t="s">
        <v>32</v>
      </c>
      <c r="D11" s="31" t="s">
        <v>10</v>
      </c>
      <c r="E11" s="31" t="s">
        <v>10</v>
      </c>
      <c r="F11" s="31" t="s">
        <v>10</v>
      </c>
      <c r="G11" s="31" t="s">
        <v>10</v>
      </c>
      <c r="H11" s="54" t="s">
        <v>174</v>
      </c>
      <c r="I11" s="31">
        <v>8</v>
      </c>
    </row>
    <row r="12" spans="2:9" x14ac:dyDescent="0.3">
      <c r="B12" s="53" t="s">
        <v>8</v>
      </c>
      <c r="C12" s="53" t="s">
        <v>35</v>
      </c>
      <c r="D12" s="53" t="s">
        <v>10</v>
      </c>
      <c r="E12" s="53" t="s">
        <v>10</v>
      </c>
      <c r="F12" s="53" t="s">
        <v>10</v>
      </c>
      <c r="G12" s="53" t="s">
        <v>10</v>
      </c>
      <c r="H12" s="55" t="s">
        <v>386</v>
      </c>
      <c r="I12" s="31">
        <v>9</v>
      </c>
    </row>
    <row r="13" spans="2:9" x14ac:dyDescent="0.3">
      <c r="B13" s="31" t="s">
        <v>8</v>
      </c>
      <c r="C13" s="31" t="s">
        <v>38</v>
      </c>
      <c r="D13" s="31" t="s">
        <v>10</v>
      </c>
      <c r="E13" s="31" t="s">
        <v>10</v>
      </c>
      <c r="F13" s="31" t="s">
        <v>10</v>
      </c>
      <c r="G13" s="31" t="s">
        <v>10</v>
      </c>
      <c r="H13" s="54" t="s">
        <v>143</v>
      </c>
      <c r="I13" s="31">
        <v>10</v>
      </c>
    </row>
    <row r="14" spans="2:9" x14ac:dyDescent="0.3">
      <c r="B14" s="31" t="s">
        <v>8</v>
      </c>
      <c r="C14" s="31" t="s">
        <v>41</v>
      </c>
      <c r="D14" s="31" t="s">
        <v>10</v>
      </c>
      <c r="E14" s="31" t="s">
        <v>10</v>
      </c>
      <c r="F14" s="31" t="s">
        <v>10</v>
      </c>
      <c r="G14" s="31" t="s">
        <v>10</v>
      </c>
      <c r="H14" s="54" t="s">
        <v>42</v>
      </c>
      <c r="I14" s="31">
        <v>11</v>
      </c>
    </row>
    <row r="15" spans="2:9" x14ac:dyDescent="0.3">
      <c r="B15" s="31" t="s">
        <v>8</v>
      </c>
      <c r="C15" s="31" t="s">
        <v>44</v>
      </c>
      <c r="D15" s="31" t="s">
        <v>10</v>
      </c>
      <c r="E15" s="31" t="s">
        <v>10</v>
      </c>
      <c r="F15" s="31" t="s">
        <v>45</v>
      </c>
      <c r="G15" s="31" t="s">
        <v>10</v>
      </c>
      <c r="H15" s="31" t="s">
        <v>10</v>
      </c>
      <c r="I15" s="57">
        <v>12</v>
      </c>
    </row>
    <row r="16" spans="2:9" x14ac:dyDescent="0.3">
      <c r="B16" s="31" t="s">
        <v>8</v>
      </c>
      <c r="C16" s="31" t="s">
        <v>47</v>
      </c>
      <c r="D16" s="31" t="s">
        <v>10</v>
      </c>
      <c r="E16" s="31" t="s">
        <v>10</v>
      </c>
      <c r="F16" s="31" t="s">
        <v>48</v>
      </c>
      <c r="G16" s="31" t="s">
        <v>10</v>
      </c>
      <c r="H16" s="31" t="s">
        <v>10</v>
      </c>
      <c r="I16" s="31">
        <v>13</v>
      </c>
    </row>
    <row r="17" spans="2:9" x14ac:dyDescent="0.3">
      <c r="B17" s="31" t="s">
        <v>8</v>
      </c>
      <c r="C17" s="31" t="s">
        <v>50</v>
      </c>
      <c r="D17" s="31" t="s">
        <v>10</v>
      </c>
      <c r="E17" s="31" t="s">
        <v>10</v>
      </c>
      <c r="F17" s="31" t="s">
        <v>51</v>
      </c>
      <c r="G17" s="31" t="s">
        <v>10</v>
      </c>
      <c r="H17" s="31" t="s">
        <v>10</v>
      </c>
      <c r="I17" s="31">
        <v>14</v>
      </c>
    </row>
    <row r="18" spans="2:9" x14ac:dyDescent="0.3">
      <c r="B18" s="31" t="s">
        <v>8</v>
      </c>
      <c r="C18" s="31" t="s">
        <v>53</v>
      </c>
      <c r="D18" s="31" t="s">
        <v>10</v>
      </c>
      <c r="E18" s="31" t="s">
        <v>10</v>
      </c>
      <c r="F18" s="31" t="s">
        <v>10</v>
      </c>
      <c r="G18" s="31" t="s">
        <v>10</v>
      </c>
      <c r="H18" s="31" t="s">
        <v>10</v>
      </c>
      <c r="I18" s="3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D960A-4DF5-4372-BE7A-802BDD112363}">
  <dimension ref="A1:B88"/>
  <sheetViews>
    <sheetView showGridLines="0" topLeftCell="A42" workbookViewId="0">
      <selection activeCell="A46" sqref="A46:B48"/>
    </sheetView>
  </sheetViews>
  <sheetFormatPr defaultRowHeight="14.4" x14ac:dyDescent="0.3"/>
  <cols>
    <col min="1" max="1" width="12.109375" bestFit="1" customWidth="1"/>
    <col min="2" max="2" width="36" bestFit="1" customWidth="1"/>
  </cols>
  <sheetData>
    <row r="1" spans="1:2" ht="16.8" thickBot="1" x14ac:dyDescent="0.35">
      <c r="A1" s="1" t="s">
        <v>55</v>
      </c>
      <c r="B1" s="2" t="s">
        <v>56</v>
      </c>
    </row>
    <row r="2" spans="1:2" ht="16.2" x14ac:dyDescent="0.4">
      <c r="A2" s="3" t="s">
        <v>57</v>
      </c>
      <c r="B2" s="4" t="s">
        <v>58</v>
      </c>
    </row>
    <row r="3" spans="1:2" ht="16.2" x14ac:dyDescent="0.4">
      <c r="A3" s="3" t="s">
        <v>59</v>
      </c>
      <c r="B3" s="5" t="s">
        <v>60</v>
      </c>
    </row>
    <row r="4" spans="1:2" ht="16.2" x14ac:dyDescent="0.4">
      <c r="A4" s="4" t="s">
        <v>61</v>
      </c>
      <c r="B4" s="6" t="s">
        <v>62</v>
      </c>
    </row>
    <row r="5" spans="1:2" ht="16.2" x14ac:dyDescent="0.4">
      <c r="A5" s="4" t="s">
        <v>63</v>
      </c>
      <c r="B5" s="7" t="s">
        <v>64</v>
      </c>
    </row>
    <row r="6" spans="1:2" ht="16.2" x14ac:dyDescent="0.4">
      <c r="A6" s="4" t="s">
        <v>65</v>
      </c>
      <c r="B6" s="7" t="s">
        <v>66</v>
      </c>
    </row>
    <row r="7" spans="1:2" ht="16.2" x14ac:dyDescent="0.4">
      <c r="A7" s="4" t="s">
        <v>67</v>
      </c>
      <c r="B7" s="6" t="s">
        <v>68</v>
      </c>
    </row>
    <row r="8" spans="1:2" ht="16.2" x14ac:dyDescent="0.4">
      <c r="A8" s="4" t="s">
        <v>69</v>
      </c>
      <c r="B8" s="7" t="s">
        <v>70</v>
      </c>
    </row>
    <row r="9" spans="1:2" ht="16.2" x14ac:dyDescent="0.4">
      <c r="A9" s="4" t="s">
        <v>71</v>
      </c>
      <c r="B9" s="7" t="s">
        <v>72</v>
      </c>
    </row>
    <row r="10" spans="1:2" ht="16.2" x14ac:dyDescent="0.4">
      <c r="A10" s="4" t="s">
        <v>73</v>
      </c>
      <c r="B10" s="6" t="s">
        <v>74</v>
      </c>
    </row>
    <row r="11" spans="1:2" ht="16.2" x14ac:dyDescent="0.4">
      <c r="A11" s="4" t="s">
        <v>75</v>
      </c>
      <c r="B11" s="7" t="s">
        <v>76</v>
      </c>
    </row>
    <row r="12" spans="1:2" ht="16.2" x14ac:dyDescent="0.4">
      <c r="A12" s="8" t="s">
        <v>77</v>
      </c>
      <c r="B12" s="9" t="s">
        <v>78</v>
      </c>
    </row>
    <row r="13" spans="1:2" ht="16.2" x14ac:dyDescent="0.4">
      <c r="A13" s="8" t="s">
        <v>79</v>
      </c>
      <c r="B13" s="10" t="s">
        <v>80</v>
      </c>
    </row>
    <row r="14" spans="1:2" ht="16.2" x14ac:dyDescent="0.4">
      <c r="A14" s="8" t="s">
        <v>81</v>
      </c>
      <c r="B14" s="10" t="s">
        <v>82</v>
      </c>
    </row>
    <row r="15" spans="1:2" ht="17.399999999999999" x14ac:dyDescent="0.45">
      <c r="A15" s="11" t="s">
        <v>83</v>
      </c>
      <c r="B15" s="12" t="s">
        <v>84</v>
      </c>
    </row>
    <row r="16" spans="1:2" ht="16.2" x14ac:dyDescent="0.4">
      <c r="A16" s="13" t="s">
        <v>85</v>
      </c>
      <c r="B16" s="6" t="s">
        <v>86</v>
      </c>
    </row>
    <row r="17" spans="1:2" ht="16.2" x14ac:dyDescent="0.4">
      <c r="A17" s="13" t="s">
        <v>87</v>
      </c>
      <c r="B17" s="7" t="s">
        <v>88</v>
      </c>
    </row>
    <row r="18" spans="1:2" ht="16.2" x14ac:dyDescent="0.4">
      <c r="A18" s="13" t="s">
        <v>89</v>
      </c>
      <c r="B18" s="14" t="s">
        <v>90</v>
      </c>
    </row>
    <row r="19" spans="1:2" ht="16.2" x14ac:dyDescent="0.4">
      <c r="A19" s="13" t="s">
        <v>91</v>
      </c>
      <c r="B19" s="14" t="s">
        <v>92</v>
      </c>
    </row>
    <row r="20" spans="1:2" ht="16.2" x14ac:dyDescent="0.4">
      <c r="A20" s="13" t="s">
        <v>93</v>
      </c>
      <c r="B20" s="7" t="s">
        <v>94</v>
      </c>
    </row>
    <row r="21" spans="1:2" ht="16.2" x14ac:dyDescent="0.4">
      <c r="A21" s="13" t="s">
        <v>95</v>
      </c>
      <c r="B21" s="14" t="s">
        <v>96</v>
      </c>
    </row>
    <row r="22" spans="1:2" ht="16.2" x14ac:dyDescent="0.4">
      <c r="A22" s="13" t="s">
        <v>97</v>
      </c>
      <c r="B22" s="14" t="s">
        <v>98</v>
      </c>
    </row>
    <row r="23" spans="1:2" ht="16.2" x14ac:dyDescent="0.4">
      <c r="A23" s="13" t="s">
        <v>99</v>
      </c>
      <c r="B23" s="6" t="s">
        <v>100</v>
      </c>
    </row>
    <row r="24" spans="1:2" ht="16.2" x14ac:dyDescent="0.4">
      <c r="A24" s="13" t="s">
        <v>101</v>
      </c>
      <c r="B24" s="15" t="s">
        <v>102</v>
      </c>
    </row>
    <row r="25" spans="1:2" ht="16.2" x14ac:dyDescent="0.4">
      <c r="A25" s="13" t="s">
        <v>103</v>
      </c>
      <c r="B25" s="15" t="s">
        <v>104</v>
      </c>
    </row>
    <row r="26" spans="1:2" ht="16.2" x14ac:dyDescent="0.4">
      <c r="A26" s="13" t="s">
        <v>105</v>
      </c>
      <c r="B26" s="6" t="s">
        <v>106</v>
      </c>
    </row>
    <row r="27" spans="1:2" ht="16.2" x14ac:dyDescent="0.4">
      <c r="A27" s="13" t="s">
        <v>107</v>
      </c>
      <c r="B27" s="5" t="s">
        <v>108</v>
      </c>
    </row>
    <row r="28" spans="1:2" ht="16.2" x14ac:dyDescent="0.4">
      <c r="A28" s="13" t="s">
        <v>109</v>
      </c>
      <c r="B28" s="6" t="s">
        <v>110</v>
      </c>
    </row>
    <row r="29" spans="1:2" ht="16.2" x14ac:dyDescent="0.4">
      <c r="A29" s="13" t="s">
        <v>111</v>
      </c>
      <c r="B29" s="6" t="s">
        <v>112</v>
      </c>
    </row>
    <row r="30" spans="1:2" ht="16.2" x14ac:dyDescent="0.4">
      <c r="A30" s="13" t="s">
        <v>113</v>
      </c>
      <c r="B30" s="6" t="s">
        <v>114</v>
      </c>
    </row>
    <row r="31" spans="1:2" ht="16.2" x14ac:dyDescent="0.4">
      <c r="A31" s="13" t="s">
        <v>115</v>
      </c>
      <c r="B31" s="16" t="s">
        <v>116</v>
      </c>
    </row>
    <row r="32" spans="1:2" ht="16.2" x14ac:dyDescent="0.4">
      <c r="A32" s="13" t="s">
        <v>117</v>
      </c>
      <c r="B32" s="17" t="s">
        <v>118</v>
      </c>
    </row>
    <row r="33" spans="1:2" ht="16.2" x14ac:dyDescent="0.4">
      <c r="A33" s="13" t="s">
        <v>119</v>
      </c>
      <c r="B33" s="18" t="s">
        <v>120</v>
      </c>
    </row>
    <row r="34" spans="1:2" ht="16.2" x14ac:dyDescent="0.4">
      <c r="A34" s="13" t="s">
        <v>121</v>
      </c>
      <c r="B34" s="14" t="s">
        <v>122</v>
      </c>
    </row>
    <row r="35" spans="1:2" ht="16.2" x14ac:dyDescent="0.4">
      <c r="A35" s="13" t="s">
        <v>123</v>
      </c>
      <c r="B35" s="14" t="s">
        <v>124</v>
      </c>
    </row>
    <row r="36" spans="1:2" ht="16.2" x14ac:dyDescent="0.4">
      <c r="A36" s="13" t="s">
        <v>125</v>
      </c>
      <c r="B36" s="14" t="s">
        <v>126</v>
      </c>
    </row>
    <row r="37" spans="1:2" ht="16.2" x14ac:dyDescent="0.4">
      <c r="A37" s="13" t="s">
        <v>127</v>
      </c>
      <c r="B37" s="7" t="s">
        <v>128</v>
      </c>
    </row>
    <row r="38" spans="1:2" ht="16.2" x14ac:dyDescent="0.4">
      <c r="A38" s="13" t="s">
        <v>129</v>
      </c>
      <c r="B38" s="17" t="s">
        <v>130</v>
      </c>
    </row>
    <row r="39" spans="1:2" ht="16.2" x14ac:dyDescent="0.4">
      <c r="A39" s="13" t="s">
        <v>131</v>
      </c>
      <c r="B39" s="7" t="s">
        <v>132</v>
      </c>
    </row>
    <row r="40" spans="1:2" ht="16.2" x14ac:dyDescent="0.4">
      <c r="A40" s="13" t="s">
        <v>133</v>
      </c>
      <c r="B40" s="19" t="s">
        <v>134</v>
      </c>
    </row>
    <row r="41" spans="1:2" ht="16.2" x14ac:dyDescent="0.4">
      <c r="A41" s="13" t="s">
        <v>135</v>
      </c>
      <c r="B41" s="19" t="s">
        <v>136</v>
      </c>
    </row>
    <row r="42" spans="1:2" ht="16.2" x14ac:dyDescent="0.4">
      <c r="A42" s="13" t="s">
        <v>137</v>
      </c>
      <c r="B42" s="7" t="s">
        <v>138</v>
      </c>
    </row>
    <row r="43" spans="1:2" ht="16.2" x14ac:dyDescent="0.4">
      <c r="A43" s="4" t="s">
        <v>139</v>
      </c>
      <c r="B43" s="5" t="s">
        <v>140</v>
      </c>
    </row>
    <row r="44" spans="1:2" ht="16.2" x14ac:dyDescent="0.4">
      <c r="A44" s="4" t="s">
        <v>141</v>
      </c>
      <c r="B44" s="20" t="s">
        <v>142</v>
      </c>
    </row>
    <row r="45" spans="1:2" ht="16.2" x14ac:dyDescent="0.4">
      <c r="A45" s="4" t="s">
        <v>143</v>
      </c>
      <c r="B45" s="7" t="s">
        <v>144</v>
      </c>
    </row>
    <row r="46" spans="1:2" ht="16.2" x14ac:dyDescent="0.4">
      <c r="A46" s="4" t="s">
        <v>42</v>
      </c>
      <c r="B46" s="7" t="s">
        <v>145</v>
      </c>
    </row>
    <row r="47" spans="1:2" ht="16.2" x14ac:dyDescent="0.4">
      <c r="A47" s="4" t="s">
        <v>146</v>
      </c>
      <c r="B47" s="14" t="s">
        <v>147</v>
      </c>
    </row>
    <row r="48" spans="1:2" ht="17.399999999999999" x14ac:dyDescent="0.45">
      <c r="A48" s="21" t="s">
        <v>148</v>
      </c>
      <c r="B48" s="22" t="s">
        <v>149</v>
      </c>
    </row>
    <row r="49" spans="1:2" ht="16.2" x14ac:dyDescent="0.4">
      <c r="A49" s="23" t="s">
        <v>150</v>
      </c>
      <c r="B49" s="7" t="s">
        <v>151</v>
      </c>
    </row>
    <row r="50" spans="1:2" ht="16.2" x14ac:dyDescent="0.4">
      <c r="A50" s="4" t="s">
        <v>152</v>
      </c>
      <c r="B50" s="7" t="s">
        <v>153</v>
      </c>
    </row>
    <row r="51" spans="1:2" ht="16.2" x14ac:dyDescent="0.4">
      <c r="A51" s="4" t="s">
        <v>154</v>
      </c>
      <c r="B51" s="19" t="s">
        <v>155</v>
      </c>
    </row>
    <row r="52" spans="1:2" ht="16.2" x14ac:dyDescent="0.4">
      <c r="A52" s="23" t="s">
        <v>156</v>
      </c>
      <c r="B52" s="14" t="s">
        <v>157</v>
      </c>
    </row>
    <row r="53" spans="1:2" ht="16.2" x14ac:dyDescent="0.4">
      <c r="A53" s="4" t="s">
        <v>158</v>
      </c>
      <c r="B53" s="14" t="s">
        <v>159</v>
      </c>
    </row>
    <row r="54" spans="1:2" ht="17.399999999999999" x14ac:dyDescent="0.45">
      <c r="A54" s="21" t="s">
        <v>160</v>
      </c>
      <c r="B54" s="22" t="s">
        <v>161</v>
      </c>
    </row>
    <row r="55" spans="1:2" ht="16.2" x14ac:dyDescent="0.4">
      <c r="A55" s="8" t="s">
        <v>162</v>
      </c>
      <c r="B55" s="24" t="s">
        <v>163</v>
      </c>
    </row>
    <row r="56" spans="1:2" ht="16.2" x14ac:dyDescent="0.4">
      <c r="A56" s="4" t="s">
        <v>164</v>
      </c>
      <c r="B56" s="14" t="s">
        <v>165</v>
      </c>
    </row>
    <row r="57" spans="1:2" ht="16.2" x14ac:dyDescent="0.4">
      <c r="A57" s="4" t="s">
        <v>166</v>
      </c>
      <c r="B57" s="14" t="s">
        <v>167</v>
      </c>
    </row>
    <row r="58" spans="1:2" ht="16.2" x14ac:dyDescent="0.4">
      <c r="A58" s="4" t="s">
        <v>168</v>
      </c>
      <c r="B58" s="17" t="s">
        <v>169</v>
      </c>
    </row>
    <row r="59" spans="1:2" ht="16.2" x14ac:dyDescent="0.4">
      <c r="A59" s="4" t="s">
        <v>170</v>
      </c>
      <c r="B59" s="7" t="s">
        <v>171</v>
      </c>
    </row>
    <row r="60" spans="1:2" ht="16.2" x14ac:dyDescent="0.4">
      <c r="A60" s="4" t="s">
        <v>172</v>
      </c>
      <c r="B60" s="7" t="s">
        <v>173</v>
      </c>
    </row>
    <row r="61" spans="1:2" ht="16.2" x14ac:dyDescent="0.4">
      <c r="A61" s="4" t="s">
        <v>174</v>
      </c>
      <c r="B61" s="7" t="s">
        <v>175</v>
      </c>
    </row>
    <row r="62" spans="1:2" ht="16.2" x14ac:dyDescent="0.4">
      <c r="A62" s="4" t="s">
        <v>176</v>
      </c>
      <c r="B62" s="7" t="s">
        <v>177</v>
      </c>
    </row>
    <row r="63" spans="1:2" ht="16.2" x14ac:dyDescent="0.4">
      <c r="A63" s="4" t="s">
        <v>178</v>
      </c>
      <c r="B63" s="17" t="s">
        <v>179</v>
      </c>
    </row>
    <row r="64" spans="1:2" ht="17.399999999999999" x14ac:dyDescent="0.45">
      <c r="A64" s="21" t="s">
        <v>180</v>
      </c>
      <c r="B64" s="10" t="s">
        <v>181</v>
      </c>
    </row>
    <row r="65" spans="1:2" ht="17.399999999999999" x14ac:dyDescent="0.45">
      <c r="A65" s="21" t="s">
        <v>182</v>
      </c>
      <c r="B65" s="10" t="s">
        <v>183</v>
      </c>
    </row>
    <row r="66" spans="1:2" ht="17.399999999999999" x14ac:dyDescent="0.45">
      <c r="A66" s="21" t="s">
        <v>184</v>
      </c>
      <c r="B66" s="10" t="s">
        <v>185</v>
      </c>
    </row>
    <row r="67" spans="1:2" ht="17.399999999999999" x14ac:dyDescent="0.45">
      <c r="A67" s="21" t="s">
        <v>186</v>
      </c>
      <c r="B67" s="10" t="s">
        <v>187</v>
      </c>
    </row>
    <row r="68" spans="1:2" ht="17.399999999999999" x14ac:dyDescent="0.45">
      <c r="A68" s="21" t="s">
        <v>188</v>
      </c>
      <c r="B68" s="10" t="s">
        <v>189</v>
      </c>
    </row>
    <row r="69" spans="1:2" ht="17.399999999999999" x14ac:dyDescent="0.45">
      <c r="A69" s="21" t="s">
        <v>190</v>
      </c>
      <c r="B69" s="22" t="s">
        <v>189</v>
      </c>
    </row>
    <row r="70" spans="1:2" ht="17.399999999999999" x14ac:dyDescent="0.45">
      <c r="A70" s="21" t="s">
        <v>191</v>
      </c>
      <c r="B70" s="22" t="s">
        <v>192</v>
      </c>
    </row>
    <row r="71" spans="1:2" ht="16.2" x14ac:dyDescent="0.4">
      <c r="A71" s="4" t="s">
        <v>193</v>
      </c>
      <c r="B71" s="7" t="s">
        <v>194</v>
      </c>
    </row>
    <row r="72" spans="1:2" ht="17.399999999999999" x14ac:dyDescent="0.45">
      <c r="A72" s="21" t="s">
        <v>195</v>
      </c>
      <c r="B72" s="10" t="s">
        <v>196</v>
      </c>
    </row>
    <row r="73" spans="1:2" ht="16.2" x14ac:dyDescent="0.4">
      <c r="A73" s="4" t="s">
        <v>197</v>
      </c>
      <c r="B73" s="7" t="s">
        <v>198</v>
      </c>
    </row>
    <row r="74" spans="1:2" ht="16.2" x14ac:dyDescent="0.4">
      <c r="A74" s="4" t="s">
        <v>199</v>
      </c>
      <c r="B74" s="7" t="s">
        <v>200</v>
      </c>
    </row>
    <row r="75" spans="1:2" ht="16.2" x14ac:dyDescent="0.4">
      <c r="A75" s="4" t="s">
        <v>201</v>
      </c>
      <c r="B75" s="17" t="s">
        <v>202</v>
      </c>
    </row>
    <row r="76" spans="1:2" ht="16.2" x14ac:dyDescent="0.4">
      <c r="A76" s="4" t="s">
        <v>203</v>
      </c>
      <c r="B76" s="20" t="s">
        <v>204</v>
      </c>
    </row>
    <row r="77" spans="1:2" ht="16.2" x14ac:dyDescent="0.4">
      <c r="A77" s="4" t="s">
        <v>205</v>
      </c>
      <c r="B77" s="5" t="s">
        <v>206</v>
      </c>
    </row>
    <row r="78" spans="1:2" ht="16.2" x14ac:dyDescent="0.4">
      <c r="A78" s="4" t="s">
        <v>207</v>
      </c>
      <c r="B78" s="6" t="s">
        <v>208</v>
      </c>
    </row>
    <row r="79" spans="1:2" ht="16.2" x14ac:dyDescent="0.4">
      <c r="A79" s="4" t="s">
        <v>209</v>
      </c>
      <c r="B79" s="7" t="s">
        <v>210</v>
      </c>
    </row>
    <row r="80" spans="1:2" ht="16.2" x14ac:dyDescent="0.4">
      <c r="A80" s="4" t="s">
        <v>211</v>
      </c>
      <c r="B80" s="7" t="s">
        <v>212</v>
      </c>
    </row>
    <row r="81" spans="1:2" ht="16.2" x14ac:dyDescent="0.4">
      <c r="A81" s="4" t="s">
        <v>213</v>
      </c>
      <c r="B81" s="7" t="s">
        <v>214</v>
      </c>
    </row>
    <row r="82" spans="1:2" ht="16.2" x14ac:dyDescent="0.4">
      <c r="A82" s="4" t="s">
        <v>215</v>
      </c>
      <c r="B82" s="7" t="s">
        <v>216</v>
      </c>
    </row>
    <row r="83" spans="1:2" ht="16.2" x14ac:dyDescent="0.4">
      <c r="A83" s="4" t="s">
        <v>217</v>
      </c>
      <c r="B83" s="7" t="s">
        <v>218</v>
      </c>
    </row>
    <row r="84" spans="1:2" ht="16.2" x14ac:dyDescent="0.4">
      <c r="A84" s="4" t="s">
        <v>219</v>
      </c>
      <c r="B84" s="6" t="s">
        <v>220</v>
      </c>
    </row>
    <row r="85" spans="1:2" ht="16.2" x14ac:dyDescent="0.4">
      <c r="A85" s="4" t="s">
        <v>221</v>
      </c>
      <c r="B85" s="7" t="s">
        <v>222</v>
      </c>
    </row>
    <row r="86" spans="1:2" ht="16.2" x14ac:dyDescent="0.4">
      <c r="A86" s="4" t="s">
        <v>223</v>
      </c>
      <c r="B86" s="7" t="s">
        <v>220</v>
      </c>
    </row>
    <row r="87" spans="1:2" ht="16.2" x14ac:dyDescent="0.4">
      <c r="A87" s="4" t="s">
        <v>224</v>
      </c>
      <c r="B87" s="14" t="s">
        <v>225</v>
      </c>
    </row>
    <row r="88" spans="1:2" ht="16.2" x14ac:dyDescent="0.4">
      <c r="A88" s="4" t="s">
        <v>226</v>
      </c>
      <c r="B88" s="5" t="s">
        <v>227</v>
      </c>
    </row>
  </sheetData>
  <autoFilter ref="A1:B88" xr:uid="{A4FD960A-4DF5-4372-BE7A-802BDD11236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3B12-6DF4-46A0-9A36-937650B98E03}">
  <dimension ref="A1:C102"/>
  <sheetViews>
    <sheetView showGridLines="0" topLeftCell="A32" workbookViewId="0">
      <selection activeCell="B67" sqref="B67"/>
    </sheetView>
  </sheetViews>
  <sheetFormatPr defaultRowHeight="14.4" x14ac:dyDescent="0.3"/>
  <cols>
    <col min="1" max="1" width="16" bestFit="1" customWidth="1"/>
    <col min="2" max="3" width="32.77734375" bestFit="1" customWidth="1"/>
  </cols>
  <sheetData>
    <row r="1" spans="1:3" x14ac:dyDescent="0.3">
      <c r="A1" s="25" t="s">
        <v>228</v>
      </c>
      <c r="B1" s="25" t="s">
        <v>229</v>
      </c>
      <c r="C1" s="25" t="s">
        <v>230</v>
      </c>
    </row>
    <row r="2" spans="1:3" x14ac:dyDescent="0.3">
      <c r="A2" s="26" t="s">
        <v>57</v>
      </c>
      <c r="B2" s="27" t="s">
        <v>231</v>
      </c>
      <c r="C2" s="27" t="s">
        <v>231</v>
      </c>
    </row>
    <row r="3" spans="1:3" x14ac:dyDescent="0.3">
      <c r="A3" s="26" t="s">
        <v>205</v>
      </c>
      <c r="B3" s="28" t="s">
        <v>232</v>
      </c>
      <c r="C3" s="28" t="s">
        <v>232</v>
      </c>
    </row>
    <row r="4" spans="1:3" x14ac:dyDescent="0.3">
      <c r="A4" s="26" t="s">
        <v>207</v>
      </c>
      <c r="B4" s="29" t="s">
        <v>233</v>
      </c>
      <c r="C4" s="29" t="s">
        <v>233</v>
      </c>
    </row>
    <row r="5" spans="1:3" x14ac:dyDescent="0.3">
      <c r="A5" s="26" t="s">
        <v>213</v>
      </c>
      <c r="B5" s="29" t="s">
        <v>234</v>
      </c>
      <c r="C5" s="29" t="s">
        <v>234</v>
      </c>
    </row>
    <row r="6" spans="1:3" x14ac:dyDescent="0.3">
      <c r="A6" s="26" t="s">
        <v>215</v>
      </c>
      <c r="B6" s="29" t="s">
        <v>235</v>
      </c>
      <c r="C6" s="29" t="s">
        <v>235</v>
      </c>
    </row>
    <row r="7" spans="1:3" x14ac:dyDescent="0.3">
      <c r="A7" s="26" t="s">
        <v>211</v>
      </c>
      <c r="B7" s="29" t="s">
        <v>236</v>
      </c>
      <c r="C7" s="29" t="s">
        <v>236</v>
      </c>
    </row>
    <row r="8" spans="1:3" x14ac:dyDescent="0.3">
      <c r="A8" s="26" t="s">
        <v>209</v>
      </c>
      <c r="B8" s="29" t="s">
        <v>210</v>
      </c>
      <c r="C8" s="29" t="s">
        <v>210</v>
      </c>
    </row>
    <row r="9" spans="1:3" x14ac:dyDescent="0.3">
      <c r="A9" s="26" t="s">
        <v>217</v>
      </c>
      <c r="B9" s="29" t="s">
        <v>237</v>
      </c>
      <c r="C9" s="29" t="s">
        <v>237</v>
      </c>
    </row>
    <row r="10" spans="1:3" x14ac:dyDescent="0.3">
      <c r="A10" s="26" t="s">
        <v>219</v>
      </c>
      <c r="B10" s="29" t="s">
        <v>238</v>
      </c>
      <c r="C10" s="29" t="s">
        <v>238</v>
      </c>
    </row>
    <row r="11" spans="1:3" x14ac:dyDescent="0.3">
      <c r="A11" s="26" t="s">
        <v>223</v>
      </c>
      <c r="B11" s="29" t="s">
        <v>239</v>
      </c>
      <c r="C11" s="29" t="s">
        <v>239</v>
      </c>
    </row>
    <row r="12" spans="1:3" x14ac:dyDescent="0.3">
      <c r="A12" s="26" t="s">
        <v>224</v>
      </c>
      <c r="B12" s="29" t="s">
        <v>240</v>
      </c>
      <c r="C12" s="29" t="s">
        <v>240</v>
      </c>
    </row>
    <row r="13" spans="1:3" x14ac:dyDescent="0.3">
      <c r="A13" s="26" t="s">
        <v>221</v>
      </c>
      <c r="B13" s="29" t="s">
        <v>241</v>
      </c>
      <c r="C13" s="29" t="s">
        <v>241</v>
      </c>
    </row>
    <row r="14" spans="1:3" x14ac:dyDescent="0.3">
      <c r="A14" s="26" t="s">
        <v>83</v>
      </c>
      <c r="B14" s="28" t="s">
        <v>84</v>
      </c>
      <c r="C14" s="28" t="s">
        <v>84</v>
      </c>
    </row>
    <row r="15" spans="1:3" x14ac:dyDescent="0.3">
      <c r="A15" s="26" t="s">
        <v>85</v>
      </c>
      <c r="B15" s="30" t="s">
        <v>86</v>
      </c>
      <c r="C15" s="30" t="s">
        <v>86</v>
      </c>
    </row>
    <row r="16" spans="1:3" x14ac:dyDescent="0.3">
      <c r="A16" s="26" t="s">
        <v>93</v>
      </c>
      <c r="B16" s="29" t="s">
        <v>242</v>
      </c>
      <c r="C16" s="29" t="s">
        <v>242</v>
      </c>
    </row>
    <row r="17" spans="1:3" x14ac:dyDescent="0.3">
      <c r="A17" s="26" t="s">
        <v>95</v>
      </c>
      <c r="B17" s="29" t="s">
        <v>243</v>
      </c>
      <c r="C17" s="29" t="s">
        <v>243</v>
      </c>
    </row>
    <row r="18" spans="1:3" x14ac:dyDescent="0.3">
      <c r="A18" s="26" t="s">
        <v>97</v>
      </c>
      <c r="B18" s="29" t="s">
        <v>244</v>
      </c>
      <c r="C18" s="29" t="s">
        <v>244</v>
      </c>
    </row>
    <row r="19" spans="1:3" x14ac:dyDescent="0.3">
      <c r="A19" s="26" t="s">
        <v>87</v>
      </c>
      <c r="B19" s="29" t="s">
        <v>245</v>
      </c>
      <c r="C19" s="29" t="s">
        <v>245</v>
      </c>
    </row>
    <row r="20" spans="1:3" x14ac:dyDescent="0.3">
      <c r="A20" s="26" t="s">
        <v>91</v>
      </c>
      <c r="B20" s="29" t="s">
        <v>92</v>
      </c>
      <c r="C20" s="29" t="s">
        <v>92</v>
      </c>
    </row>
    <row r="21" spans="1:3" x14ac:dyDescent="0.3">
      <c r="A21" s="26" t="s">
        <v>89</v>
      </c>
      <c r="B21" s="29" t="s">
        <v>90</v>
      </c>
      <c r="C21" s="29" t="s">
        <v>90</v>
      </c>
    </row>
    <row r="22" spans="1:3" x14ac:dyDescent="0.3">
      <c r="A22" s="26" t="s">
        <v>99</v>
      </c>
      <c r="B22" s="30" t="s">
        <v>100</v>
      </c>
      <c r="C22" s="30" t="s">
        <v>100</v>
      </c>
    </row>
    <row r="23" spans="1:3" x14ac:dyDescent="0.3">
      <c r="A23" s="26" t="s">
        <v>246</v>
      </c>
      <c r="B23" s="29" t="s">
        <v>247</v>
      </c>
      <c r="C23" s="29" t="s">
        <v>247</v>
      </c>
    </row>
    <row r="24" spans="1:3" x14ac:dyDescent="0.3">
      <c r="A24" s="26" t="s">
        <v>101</v>
      </c>
      <c r="B24" s="29" t="s">
        <v>248</v>
      </c>
      <c r="C24" s="29" t="s">
        <v>248</v>
      </c>
    </row>
    <row r="25" spans="1:3" x14ac:dyDescent="0.3">
      <c r="A25" s="26" t="s">
        <v>249</v>
      </c>
      <c r="B25" s="29" t="s">
        <v>250</v>
      </c>
      <c r="C25" s="29" t="s">
        <v>250</v>
      </c>
    </row>
    <row r="26" spans="1:3" x14ac:dyDescent="0.3">
      <c r="A26" s="26" t="s">
        <v>103</v>
      </c>
      <c r="B26" s="29" t="s">
        <v>251</v>
      </c>
      <c r="C26" s="29" t="s">
        <v>251</v>
      </c>
    </row>
    <row r="27" spans="1:3" x14ac:dyDescent="0.3">
      <c r="A27" s="26" t="s">
        <v>105</v>
      </c>
      <c r="B27" s="30" t="s">
        <v>252</v>
      </c>
      <c r="C27" s="30" t="s">
        <v>252</v>
      </c>
    </row>
    <row r="28" spans="1:3" x14ac:dyDescent="0.3">
      <c r="A28" s="26" t="s">
        <v>226</v>
      </c>
      <c r="B28" s="28" t="s">
        <v>253</v>
      </c>
      <c r="C28" s="28" t="s">
        <v>253</v>
      </c>
    </row>
    <row r="29" spans="1:3" x14ac:dyDescent="0.3">
      <c r="A29" s="26" t="s">
        <v>107</v>
      </c>
      <c r="B29" s="28" t="s">
        <v>108</v>
      </c>
      <c r="C29" s="28" t="s">
        <v>108</v>
      </c>
    </row>
    <row r="30" spans="1:3" x14ac:dyDescent="0.3">
      <c r="A30" s="26" t="s">
        <v>109</v>
      </c>
      <c r="B30" s="29" t="s">
        <v>254</v>
      </c>
      <c r="C30" s="29" t="s">
        <v>254</v>
      </c>
    </row>
    <row r="31" spans="1:3" x14ac:dyDescent="0.3">
      <c r="A31" s="26" t="s">
        <v>111</v>
      </c>
      <c r="B31" s="29" t="s">
        <v>255</v>
      </c>
      <c r="C31" s="29" t="s">
        <v>255</v>
      </c>
    </row>
    <row r="32" spans="1:3" x14ac:dyDescent="0.3">
      <c r="A32" s="26" t="s">
        <v>113</v>
      </c>
      <c r="B32" s="29" t="s">
        <v>256</v>
      </c>
      <c r="C32" s="29" t="s">
        <v>256</v>
      </c>
    </row>
    <row r="33" spans="1:3" x14ac:dyDescent="0.3">
      <c r="A33" s="26" t="s">
        <v>139</v>
      </c>
      <c r="B33" s="28" t="s">
        <v>257</v>
      </c>
      <c r="C33" s="28" t="s">
        <v>257</v>
      </c>
    </row>
    <row r="34" spans="1:3" x14ac:dyDescent="0.3">
      <c r="A34" s="26" t="s">
        <v>141</v>
      </c>
      <c r="B34" s="30" t="s">
        <v>258</v>
      </c>
      <c r="C34" s="30" t="s">
        <v>258</v>
      </c>
    </row>
    <row r="35" spans="1:3" x14ac:dyDescent="0.3">
      <c r="A35" s="26" t="s">
        <v>39</v>
      </c>
      <c r="B35" s="29" t="s">
        <v>144</v>
      </c>
      <c r="C35" s="29" t="s">
        <v>144</v>
      </c>
    </row>
    <row r="36" spans="1:3" x14ac:dyDescent="0.3">
      <c r="A36" s="26" t="s">
        <v>143</v>
      </c>
      <c r="B36" s="29" t="s">
        <v>259</v>
      </c>
      <c r="C36" s="29" t="s">
        <v>259</v>
      </c>
    </row>
    <row r="37" spans="1:3" x14ac:dyDescent="0.3">
      <c r="A37" s="26" t="s">
        <v>42</v>
      </c>
      <c r="B37" s="29" t="s">
        <v>260</v>
      </c>
      <c r="C37" s="29" t="s">
        <v>260</v>
      </c>
    </row>
    <row r="38" spans="1:3" x14ac:dyDescent="0.3">
      <c r="A38" s="26" t="s">
        <v>146</v>
      </c>
      <c r="B38" s="29" t="s">
        <v>147</v>
      </c>
      <c r="C38" s="29" t="s">
        <v>147</v>
      </c>
    </row>
    <row r="39" spans="1:3" x14ac:dyDescent="0.3">
      <c r="A39" s="26" t="s">
        <v>261</v>
      </c>
      <c r="B39" s="29" t="s">
        <v>151</v>
      </c>
      <c r="C39" s="29" t="s">
        <v>151</v>
      </c>
    </row>
    <row r="40" spans="1:3" x14ac:dyDescent="0.3">
      <c r="A40" s="26" t="s">
        <v>150</v>
      </c>
      <c r="B40" s="29" t="s">
        <v>262</v>
      </c>
      <c r="C40" s="29" t="s">
        <v>262</v>
      </c>
    </row>
    <row r="41" spans="1:3" x14ac:dyDescent="0.3">
      <c r="A41" s="26" t="s">
        <v>263</v>
      </c>
      <c r="B41" s="29" t="s">
        <v>264</v>
      </c>
      <c r="C41" s="29" t="s">
        <v>264</v>
      </c>
    </row>
    <row r="42" spans="1:3" x14ac:dyDescent="0.3">
      <c r="A42" s="26" t="s">
        <v>265</v>
      </c>
      <c r="B42" s="29" t="s">
        <v>266</v>
      </c>
      <c r="C42" s="29" t="s">
        <v>266</v>
      </c>
    </row>
    <row r="43" spans="1:3" x14ac:dyDescent="0.3">
      <c r="A43" s="26" t="s">
        <v>27</v>
      </c>
      <c r="B43" s="29" t="s">
        <v>153</v>
      </c>
      <c r="C43" s="29" t="s">
        <v>153</v>
      </c>
    </row>
    <row r="44" spans="1:3" x14ac:dyDescent="0.3">
      <c r="A44" s="26" t="s">
        <v>152</v>
      </c>
      <c r="B44" s="29" t="s">
        <v>267</v>
      </c>
      <c r="C44" s="29" t="s">
        <v>267</v>
      </c>
    </row>
    <row r="45" spans="1:3" x14ac:dyDescent="0.3">
      <c r="A45" s="26" t="s">
        <v>154</v>
      </c>
      <c r="B45" s="30" t="s">
        <v>268</v>
      </c>
      <c r="C45" s="30" t="s">
        <v>268</v>
      </c>
    </row>
    <row r="46" spans="1:3" x14ac:dyDescent="0.3">
      <c r="A46" s="26" t="s">
        <v>18</v>
      </c>
      <c r="B46" s="29" t="s">
        <v>269</v>
      </c>
      <c r="C46" s="29" t="s">
        <v>269</v>
      </c>
    </row>
    <row r="47" spans="1:3" x14ac:dyDescent="0.3">
      <c r="A47" s="26" t="s">
        <v>156</v>
      </c>
      <c r="B47" s="29" t="s">
        <v>157</v>
      </c>
      <c r="C47" s="29" t="s">
        <v>157</v>
      </c>
    </row>
    <row r="48" spans="1:3" x14ac:dyDescent="0.3">
      <c r="A48" s="26" t="s">
        <v>12</v>
      </c>
      <c r="B48" s="29" t="s">
        <v>270</v>
      </c>
      <c r="C48" s="29" t="s">
        <v>270</v>
      </c>
    </row>
    <row r="49" spans="1:3" x14ac:dyDescent="0.3">
      <c r="A49" s="26" t="s">
        <v>164</v>
      </c>
      <c r="B49" s="29" t="s">
        <v>271</v>
      </c>
      <c r="C49" s="29" t="s">
        <v>271</v>
      </c>
    </row>
    <row r="50" spans="1:3" x14ac:dyDescent="0.3">
      <c r="A50" s="26" t="s">
        <v>24</v>
      </c>
      <c r="B50" s="29" t="s">
        <v>272</v>
      </c>
      <c r="C50" s="29" t="s">
        <v>272</v>
      </c>
    </row>
    <row r="51" spans="1:3" x14ac:dyDescent="0.3">
      <c r="A51" s="26" t="s">
        <v>158</v>
      </c>
      <c r="B51" s="29" t="s">
        <v>273</v>
      </c>
      <c r="C51" s="29" t="s">
        <v>273</v>
      </c>
    </row>
    <row r="52" spans="1:3" x14ac:dyDescent="0.3">
      <c r="A52" s="26" t="s">
        <v>21</v>
      </c>
      <c r="B52" s="29" t="s">
        <v>274</v>
      </c>
      <c r="C52" s="29" t="s">
        <v>274</v>
      </c>
    </row>
    <row r="53" spans="1:3" x14ac:dyDescent="0.3">
      <c r="A53" s="26" t="s">
        <v>166</v>
      </c>
      <c r="B53" s="29" t="s">
        <v>275</v>
      </c>
      <c r="C53" s="29" t="s">
        <v>275</v>
      </c>
    </row>
    <row r="54" spans="1:3" x14ac:dyDescent="0.3">
      <c r="A54" s="26" t="s">
        <v>276</v>
      </c>
      <c r="B54" s="29" t="s">
        <v>277</v>
      </c>
      <c r="C54" s="29" t="s">
        <v>277</v>
      </c>
    </row>
    <row r="55" spans="1:3" x14ac:dyDescent="0.3">
      <c r="A55" s="26" t="s">
        <v>278</v>
      </c>
      <c r="B55" s="29" t="s">
        <v>279</v>
      </c>
      <c r="C55" s="29" t="s">
        <v>279</v>
      </c>
    </row>
    <row r="56" spans="1:3" x14ac:dyDescent="0.3">
      <c r="A56" s="26" t="s">
        <v>168</v>
      </c>
      <c r="B56" s="30" t="s">
        <v>169</v>
      </c>
      <c r="C56" s="30" t="s">
        <v>169</v>
      </c>
    </row>
    <row r="57" spans="1:3" x14ac:dyDescent="0.3">
      <c r="A57" s="26" t="s">
        <v>280</v>
      </c>
      <c r="B57" s="29" t="s">
        <v>171</v>
      </c>
      <c r="C57" s="29" t="s">
        <v>171</v>
      </c>
    </row>
    <row r="58" spans="1:3" x14ac:dyDescent="0.3">
      <c r="A58" s="26" t="s">
        <v>170</v>
      </c>
      <c r="B58" s="29" t="s">
        <v>281</v>
      </c>
      <c r="C58" s="29" t="s">
        <v>281</v>
      </c>
    </row>
    <row r="59" spans="1:3" x14ac:dyDescent="0.3">
      <c r="A59" s="26" t="s">
        <v>282</v>
      </c>
      <c r="B59" s="29" t="s">
        <v>173</v>
      </c>
      <c r="C59" s="29" t="s">
        <v>173</v>
      </c>
    </row>
    <row r="60" spans="1:3" x14ac:dyDescent="0.3">
      <c r="A60" s="26" t="s">
        <v>172</v>
      </c>
      <c r="B60" s="29" t="s">
        <v>283</v>
      </c>
      <c r="C60" s="29" t="s">
        <v>283</v>
      </c>
    </row>
    <row r="61" spans="1:3" x14ac:dyDescent="0.3">
      <c r="A61" s="26" t="s">
        <v>33</v>
      </c>
      <c r="B61" s="29" t="s">
        <v>175</v>
      </c>
      <c r="C61" s="29" t="s">
        <v>175</v>
      </c>
    </row>
    <row r="62" spans="1:3" x14ac:dyDescent="0.3">
      <c r="A62" s="26" t="s">
        <v>174</v>
      </c>
      <c r="B62" s="29" t="s">
        <v>284</v>
      </c>
      <c r="C62" s="29" t="s">
        <v>284</v>
      </c>
    </row>
    <row r="63" spans="1:3" x14ac:dyDescent="0.3">
      <c r="A63" s="26" t="s">
        <v>30</v>
      </c>
      <c r="B63" s="29" t="s">
        <v>177</v>
      </c>
      <c r="C63" s="29" t="s">
        <v>177</v>
      </c>
    </row>
    <row r="64" spans="1:3" x14ac:dyDescent="0.3">
      <c r="A64" s="26" t="s">
        <v>176</v>
      </c>
      <c r="B64" s="29" t="s">
        <v>285</v>
      </c>
      <c r="C64" s="29" t="s">
        <v>285</v>
      </c>
    </row>
    <row r="65" spans="1:3" x14ac:dyDescent="0.3">
      <c r="A65" s="26" t="s">
        <v>178</v>
      </c>
      <c r="B65" s="30" t="s">
        <v>179</v>
      </c>
      <c r="C65" s="30" t="s">
        <v>179</v>
      </c>
    </row>
    <row r="66" spans="1:3" x14ac:dyDescent="0.3">
      <c r="A66" s="26" t="s">
        <v>36</v>
      </c>
      <c r="B66" s="29" t="s">
        <v>286</v>
      </c>
      <c r="C66" s="29" t="s">
        <v>286</v>
      </c>
    </row>
    <row r="67" spans="1:3" x14ac:dyDescent="0.3">
      <c r="A67" s="26" t="s">
        <v>287</v>
      </c>
      <c r="B67" s="29" t="s">
        <v>288</v>
      </c>
      <c r="C67" s="29" t="s">
        <v>288</v>
      </c>
    </row>
    <row r="68" spans="1:3" x14ac:dyDescent="0.3">
      <c r="A68" s="26" t="s">
        <v>289</v>
      </c>
      <c r="B68" s="29" t="s">
        <v>290</v>
      </c>
      <c r="C68" s="29" t="s">
        <v>290</v>
      </c>
    </row>
    <row r="69" spans="1:3" x14ac:dyDescent="0.3">
      <c r="A69" s="26" t="s">
        <v>193</v>
      </c>
      <c r="B69" s="29" t="s">
        <v>291</v>
      </c>
      <c r="C69" s="29" t="s">
        <v>291</v>
      </c>
    </row>
    <row r="70" spans="1:3" x14ac:dyDescent="0.3">
      <c r="A70" s="26" t="s">
        <v>292</v>
      </c>
      <c r="B70" s="29" t="s">
        <v>198</v>
      </c>
      <c r="C70" s="29" t="s">
        <v>198</v>
      </c>
    </row>
    <row r="71" spans="1:3" x14ac:dyDescent="0.3">
      <c r="A71" s="26" t="s">
        <v>197</v>
      </c>
      <c r="B71" s="29" t="s">
        <v>293</v>
      </c>
      <c r="C71" s="29" t="s">
        <v>293</v>
      </c>
    </row>
    <row r="72" spans="1:3" x14ac:dyDescent="0.3">
      <c r="A72" s="26" t="s">
        <v>294</v>
      </c>
      <c r="B72" s="29" t="s">
        <v>295</v>
      </c>
      <c r="C72" s="29" t="s">
        <v>295</v>
      </c>
    </row>
    <row r="73" spans="1:3" x14ac:dyDescent="0.3">
      <c r="A73" s="26" t="s">
        <v>296</v>
      </c>
      <c r="B73" s="29" t="s">
        <v>297</v>
      </c>
      <c r="C73" s="29" t="s">
        <v>297</v>
      </c>
    </row>
    <row r="74" spans="1:3" x14ac:dyDescent="0.3">
      <c r="A74" s="26" t="s">
        <v>298</v>
      </c>
      <c r="B74" s="30" t="s">
        <v>204</v>
      </c>
      <c r="C74" s="30" t="s">
        <v>204</v>
      </c>
    </row>
    <row r="75" spans="1:3" x14ac:dyDescent="0.3">
      <c r="A75" s="26" t="s">
        <v>203</v>
      </c>
      <c r="B75" s="29" t="s">
        <v>299</v>
      </c>
      <c r="C75" s="29" t="s">
        <v>299</v>
      </c>
    </row>
    <row r="76" spans="1:3" x14ac:dyDescent="0.3">
      <c r="A76" s="26" t="s">
        <v>300</v>
      </c>
      <c r="B76" s="30" t="s">
        <v>301</v>
      </c>
      <c r="C76" s="30" t="s">
        <v>301</v>
      </c>
    </row>
    <row r="77" spans="1:3" x14ac:dyDescent="0.3">
      <c r="A77" s="26" t="s">
        <v>302</v>
      </c>
      <c r="B77" s="29" t="s">
        <v>303</v>
      </c>
      <c r="C77" s="29" t="s">
        <v>303</v>
      </c>
    </row>
    <row r="78" spans="1:3" x14ac:dyDescent="0.3">
      <c r="A78" s="26" t="s">
        <v>201</v>
      </c>
      <c r="B78" s="30" t="s">
        <v>202</v>
      </c>
      <c r="C78" s="30" t="s">
        <v>202</v>
      </c>
    </row>
    <row r="79" spans="1:3" x14ac:dyDescent="0.3">
      <c r="A79" s="26" t="s">
        <v>199</v>
      </c>
      <c r="B79" s="30" t="s">
        <v>200</v>
      </c>
      <c r="C79" s="30" t="s">
        <v>200</v>
      </c>
    </row>
    <row r="80" spans="1:3" x14ac:dyDescent="0.3">
      <c r="A80" s="26" t="s">
        <v>115</v>
      </c>
      <c r="B80" s="28" t="s">
        <v>116</v>
      </c>
      <c r="C80" s="28" t="s">
        <v>116</v>
      </c>
    </row>
    <row r="81" spans="1:3" x14ac:dyDescent="0.3">
      <c r="A81" s="26" t="s">
        <v>117</v>
      </c>
      <c r="B81" s="30" t="s">
        <v>118</v>
      </c>
      <c r="C81" s="30" t="s">
        <v>118</v>
      </c>
    </row>
    <row r="82" spans="1:3" x14ac:dyDescent="0.3">
      <c r="A82" s="26" t="s">
        <v>119</v>
      </c>
      <c r="B82" s="29" t="s">
        <v>304</v>
      </c>
      <c r="C82" s="29" t="s">
        <v>304</v>
      </c>
    </row>
    <row r="83" spans="1:3" x14ac:dyDescent="0.3">
      <c r="A83" s="26" t="s">
        <v>123</v>
      </c>
      <c r="B83" s="29" t="s">
        <v>305</v>
      </c>
      <c r="C83" s="29" t="s">
        <v>305</v>
      </c>
    </row>
    <row r="84" spans="1:3" x14ac:dyDescent="0.3">
      <c r="A84" s="26" t="s">
        <v>121</v>
      </c>
      <c r="B84" s="29" t="s">
        <v>306</v>
      </c>
      <c r="C84" s="29" t="s">
        <v>306</v>
      </c>
    </row>
    <row r="85" spans="1:3" x14ac:dyDescent="0.3">
      <c r="A85" s="26" t="s">
        <v>125</v>
      </c>
      <c r="B85" s="29" t="s">
        <v>307</v>
      </c>
      <c r="C85" s="29" t="s">
        <v>307</v>
      </c>
    </row>
    <row r="86" spans="1:3" x14ac:dyDescent="0.3">
      <c r="A86" s="26" t="s">
        <v>129</v>
      </c>
      <c r="B86" s="30" t="s">
        <v>130</v>
      </c>
      <c r="C86" s="30" t="s">
        <v>130</v>
      </c>
    </row>
    <row r="87" spans="1:3" x14ac:dyDescent="0.3">
      <c r="A87" s="26" t="s">
        <v>135</v>
      </c>
      <c r="B87" s="29" t="s">
        <v>308</v>
      </c>
      <c r="C87" s="29" t="s">
        <v>308</v>
      </c>
    </row>
    <row r="88" spans="1:3" x14ac:dyDescent="0.3">
      <c r="A88" s="26" t="s">
        <v>131</v>
      </c>
      <c r="B88" s="29" t="s">
        <v>309</v>
      </c>
      <c r="C88" s="29" t="s">
        <v>309</v>
      </c>
    </row>
    <row r="89" spans="1:3" x14ac:dyDescent="0.3">
      <c r="A89" s="26" t="s">
        <v>133</v>
      </c>
      <c r="B89" s="29" t="s">
        <v>310</v>
      </c>
      <c r="C89" s="29" t="s">
        <v>310</v>
      </c>
    </row>
    <row r="90" spans="1:3" x14ac:dyDescent="0.3">
      <c r="A90" s="26" t="s">
        <v>137</v>
      </c>
      <c r="B90" s="29" t="s">
        <v>311</v>
      </c>
      <c r="C90" s="29" t="s">
        <v>311</v>
      </c>
    </row>
    <row r="91" spans="1:3" x14ac:dyDescent="0.3">
      <c r="A91" s="26" t="s">
        <v>59</v>
      </c>
      <c r="B91" s="28" t="s">
        <v>60</v>
      </c>
      <c r="C91" s="28" t="s">
        <v>60</v>
      </c>
    </row>
    <row r="92" spans="1:3" x14ac:dyDescent="0.3">
      <c r="A92" s="26" t="s">
        <v>61</v>
      </c>
      <c r="B92" s="30" t="s">
        <v>312</v>
      </c>
      <c r="C92" s="30" t="s">
        <v>312</v>
      </c>
    </row>
    <row r="93" spans="1:3" x14ac:dyDescent="0.3">
      <c r="A93" s="26" t="s">
        <v>63</v>
      </c>
      <c r="B93" s="29" t="s">
        <v>64</v>
      </c>
      <c r="C93" s="29" t="s">
        <v>64</v>
      </c>
    </row>
    <row r="94" spans="1:3" x14ac:dyDescent="0.3">
      <c r="A94" s="26" t="s">
        <v>65</v>
      </c>
      <c r="B94" s="29" t="s">
        <v>313</v>
      </c>
      <c r="C94" s="29" t="s">
        <v>313</v>
      </c>
    </row>
    <row r="95" spans="1:3" x14ac:dyDescent="0.3">
      <c r="A95" s="26" t="s">
        <v>67</v>
      </c>
      <c r="B95" s="30" t="s">
        <v>314</v>
      </c>
      <c r="C95" s="30" t="s">
        <v>314</v>
      </c>
    </row>
    <row r="96" spans="1:3" x14ac:dyDescent="0.3">
      <c r="A96" s="26" t="s">
        <v>71</v>
      </c>
      <c r="B96" s="29" t="s">
        <v>315</v>
      </c>
      <c r="C96" s="29" t="s">
        <v>315</v>
      </c>
    </row>
    <row r="97" spans="1:3" x14ac:dyDescent="0.3">
      <c r="A97" s="26" t="s">
        <v>69</v>
      </c>
      <c r="B97" s="29" t="s">
        <v>316</v>
      </c>
      <c r="C97" s="29" t="s">
        <v>316</v>
      </c>
    </row>
    <row r="98" spans="1:3" x14ac:dyDescent="0.3">
      <c r="A98" s="26" t="s">
        <v>73</v>
      </c>
      <c r="B98" s="30" t="s">
        <v>317</v>
      </c>
      <c r="C98" s="30" t="s">
        <v>317</v>
      </c>
    </row>
    <row r="99" spans="1:3" x14ac:dyDescent="0.3">
      <c r="A99" s="26" t="s">
        <v>75</v>
      </c>
      <c r="B99" s="29" t="s">
        <v>318</v>
      </c>
      <c r="C99" s="29" t="s">
        <v>318</v>
      </c>
    </row>
    <row r="100" spans="1:3" x14ac:dyDescent="0.3">
      <c r="A100" s="26" t="s">
        <v>319</v>
      </c>
      <c r="B100" s="28" t="s">
        <v>320</v>
      </c>
      <c r="C100" s="28" t="s">
        <v>320</v>
      </c>
    </row>
    <row r="101" spans="1:3" x14ac:dyDescent="0.3">
      <c r="A101" s="26" t="s">
        <v>321</v>
      </c>
      <c r="B101" s="29" t="s">
        <v>322</v>
      </c>
      <c r="C101" s="29" t="s">
        <v>322</v>
      </c>
    </row>
    <row r="102" spans="1:3" x14ac:dyDescent="0.3">
      <c r="A102" s="26" t="s">
        <v>323</v>
      </c>
      <c r="B102" s="29" t="s">
        <v>324</v>
      </c>
      <c r="C102" s="29" t="s">
        <v>324</v>
      </c>
    </row>
  </sheetData>
  <autoFilter ref="A1:C102" xr:uid="{DBB23B12-6DF4-46A0-9A36-937650B98E0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B0C70-9A24-4D17-B019-0C89A4A98C8A}">
  <dimension ref="B3:C31"/>
  <sheetViews>
    <sheetView workbookViewId="0">
      <selection activeCell="C21" sqref="C21"/>
    </sheetView>
  </sheetViews>
  <sheetFormatPr defaultRowHeight="14.4" x14ac:dyDescent="0.3"/>
  <cols>
    <col min="2" max="2" width="14.33203125" bestFit="1" customWidth="1"/>
    <col min="3" max="3" width="49" bestFit="1" customWidth="1"/>
  </cols>
  <sheetData>
    <row r="3" spans="2:3" x14ac:dyDescent="0.3">
      <c r="B3" s="38" t="s">
        <v>327</v>
      </c>
      <c r="C3" s="38" t="s">
        <v>328</v>
      </c>
    </row>
    <row r="4" spans="2:3" x14ac:dyDescent="0.3">
      <c r="B4" s="33"/>
      <c r="C4" s="37" t="s">
        <v>329</v>
      </c>
    </row>
    <row r="5" spans="2:3" x14ac:dyDescent="0.3">
      <c r="B5" s="34"/>
      <c r="C5" s="36" t="s">
        <v>330</v>
      </c>
    </row>
    <row r="6" spans="2:3" x14ac:dyDescent="0.3">
      <c r="B6" s="31" t="s">
        <v>44</v>
      </c>
      <c r="C6" s="31" t="s">
        <v>331</v>
      </c>
    </row>
    <row r="7" spans="2:3" x14ac:dyDescent="0.3">
      <c r="B7" s="34"/>
      <c r="C7" s="36" t="s">
        <v>332</v>
      </c>
    </row>
    <row r="8" spans="2:3" x14ac:dyDescent="0.3">
      <c r="B8" s="31" t="s">
        <v>17</v>
      </c>
      <c r="C8" s="31" t="s">
        <v>333</v>
      </c>
    </row>
    <row r="9" spans="2:3" x14ac:dyDescent="0.3">
      <c r="B9" s="31" t="s">
        <v>20</v>
      </c>
      <c r="C9" s="31" t="s">
        <v>334</v>
      </c>
    </row>
    <row r="10" spans="2:3" x14ac:dyDescent="0.3">
      <c r="B10" s="31" t="s">
        <v>335</v>
      </c>
      <c r="C10" s="31" t="s">
        <v>336</v>
      </c>
    </row>
    <row r="11" spans="2:3" x14ac:dyDescent="0.3">
      <c r="B11" s="31" t="s">
        <v>23</v>
      </c>
      <c r="C11" s="31" t="s">
        <v>337</v>
      </c>
    </row>
    <row r="12" spans="2:3" x14ac:dyDescent="0.3">
      <c r="B12" s="31" t="s">
        <v>26</v>
      </c>
      <c r="C12" s="31" t="s">
        <v>338</v>
      </c>
    </row>
    <row r="13" spans="2:3" x14ac:dyDescent="0.3">
      <c r="B13" s="31" t="s">
        <v>29</v>
      </c>
      <c r="C13" s="31" t="s">
        <v>339</v>
      </c>
    </row>
    <row r="14" spans="2:3" x14ac:dyDescent="0.3">
      <c r="B14" s="31" t="s">
        <v>32</v>
      </c>
      <c r="C14" s="31" t="s">
        <v>340</v>
      </c>
    </row>
    <row r="15" spans="2:3" x14ac:dyDescent="0.3">
      <c r="B15" s="31" t="s">
        <v>53</v>
      </c>
      <c r="C15" s="31" t="s">
        <v>341</v>
      </c>
    </row>
    <row r="16" spans="2:3" x14ac:dyDescent="0.3">
      <c r="B16" s="31" t="s">
        <v>342</v>
      </c>
      <c r="C16" s="31" t="s">
        <v>343</v>
      </c>
    </row>
    <row r="17" spans="2:3" x14ac:dyDescent="0.3">
      <c r="B17" s="31" t="s">
        <v>47</v>
      </c>
      <c r="C17" s="31" t="s">
        <v>344</v>
      </c>
    </row>
    <row r="18" spans="2:3" x14ac:dyDescent="0.3">
      <c r="B18" s="33"/>
      <c r="C18" s="33" t="s">
        <v>345</v>
      </c>
    </row>
    <row r="19" spans="2:3" x14ac:dyDescent="0.3">
      <c r="B19" s="31" t="s">
        <v>50</v>
      </c>
      <c r="C19" s="31" t="s">
        <v>346</v>
      </c>
    </row>
    <row r="20" spans="2:3" x14ac:dyDescent="0.3">
      <c r="B20" s="31" t="s">
        <v>347</v>
      </c>
      <c r="C20" s="35" t="s">
        <v>348</v>
      </c>
    </row>
    <row r="21" spans="2:3" x14ac:dyDescent="0.3">
      <c r="B21" s="31" t="s">
        <v>35</v>
      </c>
      <c r="C21" s="31" t="s">
        <v>349</v>
      </c>
    </row>
    <row r="22" spans="2:3" x14ac:dyDescent="0.3">
      <c r="B22" s="33"/>
      <c r="C22" s="33" t="s">
        <v>350</v>
      </c>
    </row>
    <row r="23" spans="2:3" x14ac:dyDescent="0.3">
      <c r="B23" s="31" t="s">
        <v>38</v>
      </c>
      <c r="C23" s="31" t="s">
        <v>351</v>
      </c>
    </row>
    <row r="24" spans="2:3" x14ac:dyDescent="0.3">
      <c r="B24" s="31" t="s">
        <v>41</v>
      </c>
      <c r="C24" s="31" t="s">
        <v>352</v>
      </c>
    </row>
    <row r="25" spans="2:3" x14ac:dyDescent="0.3">
      <c r="B25" s="31" t="s">
        <v>14</v>
      </c>
      <c r="C25" s="31" t="s">
        <v>353</v>
      </c>
    </row>
    <row r="26" spans="2:3" x14ac:dyDescent="0.3">
      <c r="B26" s="31" t="s">
        <v>9</v>
      </c>
      <c r="C26" s="31" t="s">
        <v>354</v>
      </c>
    </row>
    <row r="27" spans="2:3" x14ac:dyDescent="0.3">
      <c r="B27" s="31" t="s">
        <v>355</v>
      </c>
      <c r="C27" s="31" t="s">
        <v>356</v>
      </c>
    </row>
    <row r="28" spans="2:3" x14ac:dyDescent="0.3">
      <c r="B28" s="33"/>
      <c r="C28" s="33" t="s">
        <v>357</v>
      </c>
    </row>
    <row r="29" spans="2:3" x14ac:dyDescent="0.3">
      <c r="B29" s="31" t="s">
        <v>358</v>
      </c>
      <c r="C29" s="31" t="s">
        <v>359</v>
      </c>
    </row>
    <row r="30" spans="2:3" x14ac:dyDescent="0.3">
      <c r="B30" s="31" t="s">
        <v>360</v>
      </c>
      <c r="C30" s="31" t="s">
        <v>361</v>
      </c>
    </row>
    <row r="31" spans="2:3" x14ac:dyDescent="0.3">
      <c r="B31" s="31" t="s">
        <v>362</v>
      </c>
      <c r="C31" s="31" t="s">
        <v>363</v>
      </c>
    </row>
  </sheetData>
  <dataValidations count="1">
    <dataValidation type="custom" allowBlank="1" showInputMessage="1" showErrorMessage="1" sqref="C20 C6" xr:uid="{AF6A2B58-A2F8-432B-9204-04CB3B098E9F}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85F6-D136-4D92-8A73-317FE5FD24EA}">
  <dimension ref="A1:H16"/>
  <sheetViews>
    <sheetView showGridLines="0" workbookViewId="0">
      <selection sqref="A1:H3"/>
    </sheetView>
  </sheetViews>
  <sheetFormatPr defaultRowHeight="14.4" x14ac:dyDescent="0.3"/>
  <cols>
    <col min="1" max="1" width="15.6640625" bestFit="1" customWidth="1"/>
    <col min="2" max="2" width="14.33203125" bestFit="1" customWidth="1"/>
    <col min="3" max="3" width="37" bestFit="1" customWidth="1"/>
    <col min="4" max="4" width="18.5546875" hidden="1" customWidth="1"/>
    <col min="5" max="5" width="7.21875" bestFit="1" customWidth="1"/>
    <col min="6" max="6" width="32.21875" bestFit="1" customWidth="1"/>
    <col min="7" max="7" width="11.21875" bestFit="1" customWidth="1"/>
    <col min="8" max="8" width="33.21875" bestFit="1" customWidth="1"/>
  </cols>
  <sheetData>
    <row r="1" spans="1:8" x14ac:dyDescent="0.3">
      <c r="A1" s="33" t="s">
        <v>0</v>
      </c>
      <c r="B1" s="33" t="s">
        <v>1</v>
      </c>
      <c r="C1" s="33" t="s">
        <v>364</v>
      </c>
      <c r="D1" s="33" t="s">
        <v>4</v>
      </c>
      <c r="E1" s="33" t="s">
        <v>6</v>
      </c>
      <c r="F1" s="33" t="s">
        <v>365</v>
      </c>
      <c r="G1" s="34" t="s">
        <v>325</v>
      </c>
      <c r="H1" s="34" t="s">
        <v>326</v>
      </c>
    </row>
    <row r="2" spans="1:8" x14ac:dyDescent="0.3">
      <c r="A2" s="31" t="s">
        <v>8</v>
      </c>
      <c r="B2" s="31" t="s">
        <v>9</v>
      </c>
      <c r="C2" s="31" t="str">
        <f>+VLOOKUP(B2,codelist!$B$4:$C$31,2,FALSE)</f>
        <v xml:space="preserve">        Securitization</v>
      </c>
      <c r="D2" s="31" t="s">
        <v>11</v>
      </c>
      <c r="E2" s="31" t="s">
        <v>12</v>
      </c>
      <c r="F2" s="31" t="s">
        <v>270</v>
      </c>
      <c r="G2" s="31" t="s">
        <v>164</v>
      </c>
      <c r="H2" s="31" t="s">
        <v>165</v>
      </c>
    </row>
    <row r="3" spans="1:8" x14ac:dyDescent="0.3">
      <c r="A3" s="31" t="s">
        <v>8</v>
      </c>
      <c r="B3" s="31" t="s">
        <v>14</v>
      </c>
      <c r="C3" s="31" t="str">
        <f>+VLOOKUP(B3,codelist!$B$4:$C$31,2,FALSE)</f>
        <v xml:space="preserve">        Debt Capital Markets (DCM)</v>
      </c>
      <c r="D3" s="31" t="s">
        <v>15</v>
      </c>
      <c r="E3" s="31" t="s">
        <v>12</v>
      </c>
      <c r="F3" s="31" t="s">
        <v>270</v>
      </c>
      <c r="G3" s="31" t="s">
        <v>164</v>
      </c>
      <c r="H3" s="31" t="s">
        <v>165</v>
      </c>
    </row>
    <row r="4" spans="1:8" x14ac:dyDescent="0.3">
      <c r="A4" s="31" t="s">
        <v>8</v>
      </c>
      <c r="B4" s="31" t="s">
        <v>17</v>
      </c>
      <c r="C4" s="31" t="str">
        <f>+VLOOKUP(B4,codelist!$B$4:$C$31,2,FALSE)</f>
        <v xml:space="preserve">                Project &amp; Acquisition Finance</v>
      </c>
      <c r="D4" s="31" t="s">
        <v>10</v>
      </c>
      <c r="E4" s="31" t="s">
        <v>18</v>
      </c>
      <c r="F4" s="31" t="s">
        <v>269</v>
      </c>
      <c r="G4" s="31" t="s">
        <v>156</v>
      </c>
      <c r="H4" s="31" t="s">
        <v>157</v>
      </c>
    </row>
    <row r="5" spans="1:8" x14ac:dyDescent="0.3">
      <c r="A5" s="31" t="s">
        <v>8</v>
      </c>
      <c r="B5" s="31" t="s">
        <v>20</v>
      </c>
      <c r="C5" s="31" t="str">
        <f>+VLOOKUP(B5,codelist!$B$4:$C$31,2,FALSE)</f>
        <v xml:space="preserve">                Syndicated Loans</v>
      </c>
      <c r="D5" s="31" t="s">
        <v>10</v>
      </c>
      <c r="E5" s="31" t="s">
        <v>21</v>
      </c>
      <c r="F5" s="31" t="s">
        <v>274</v>
      </c>
      <c r="G5" s="31" t="s">
        <v>166</v>
      </c>
      <c r="H5" s="31" t="s">
        <v>167</v>
      </c>
    </row>
    <row r="6" spans="1:8" x14ac:dyDescent="0.3">
      <c r="A6" s="31" t="s">
        <v>8</v>
      </c>
      <c r="B6" s="31" t="s">
        <v>23</v>
      </c>
      <c r="C6" s="31" t="str">
        <f>+VLOOKUP(B6,codelist!$B$4:$C$31,2,FALSE)</f>
        <v xml:space="preserve">                Asset Based Finance (ABF)</v>
      </c>
      <c r="D6" s="31" t="s">
        <v>10</v>
      </c>
      <c r="E6" s="31" t="s">
        <v>24</v>
      </c>
      <c r="F6" s="31" t="s">
        <v>272</v>
      </c>
      <c r="G6" s="31"/>
      <c r="H6" s="31"/>
    </row>
    <row r="7" spans="1:8" x14ac:dyDescent="0.3">
      <c r="A7" s="31" t="s">
        <v>8</v>
      </c>
      <c r="B7" s="31" t="s">
        <v>26</v>
      </c>
      <c r="C7" s="31" t="str">
        <f>+VLOOKUP(B7,codelist!$B$4:$C$31,2,FALSE)</f>
        <v xml:space="preserve">                Leveraged Finance</v>
      </c>
      <c r="D7" s="31" t="s">
        <v>10</v>
      </c>
      <c r="E7" s="31" t="s">
        <v>27</v>
      </c>
      <c r="F7" s="31" t="s">
        <v>153</v>
      </c>
      <c r="G7" s="31" t="s">
        <v>152</v>
      </c>
      <c r="H7" s="31" t="s">
        <v>153</v>
      </c>
    </row>
    <row r="8" spans="1:8" x14ac:dyDescent="0.3">
      <c r="A8" s="31" t="s">
        <v>8</v>
      </c>
      <c r="B8" s="31" t="s">
        <v>29</v>
      </c>
      <c r="C8" s="31" t="str">
        <f>+VLOOKUP(B8,codelist!$B$4:$C$31,2,FALSE)</f>
        <v xml:space="preserve">                Export &amp; Agency Finance</v>
      </c>
      <c r="D8" s="31" t="s">
        <v>10</v>
      </c>
      <c r="E8" s="31" t="s">
        <v>30</v>
      </c>
      <c r="F8" s="31" t="s">
        <v>177</v>
      </c>
      <c r="G8" s="31" t="s">
        <v>176</v>
      </c>
      <c r="H8" s="31" t="s">
        <v>177</v>
      </c>
    </row>
    <row r="9" spans="1:8" x14ac:dyDescent="0.3">
      <c r="A9" s="31" t="s">
        <v>8</v>
      </c>
      <c r="B9" s="31" t="s">
        <v>32</v>
      </c>
      <c r="C9" s="31" t="str">
        <f>+VLOOKUP(B9,codelist!$B$4:$C$31,2,FALSE)</f>
        <v xml:space="preserve">                Trade &amp; Working Capital Solutions</v>
      </c>
      <c r="D9" s="31" t="s">
        <v>10</v>
      </c>
      <c r="E9" s="31" t="s">
        <v>33</v>
      </c>
      <c r="F9" s="31" t="s">
        <v>175</v>
      </c>
      <c r="G9" s="31" t="s">
        <v>174</v>
      </c>
      <c r="H9" s="31" t="s">
        <v>175</v>
      </c>
    </row>
    <row r="10" spans="1:8" x14ac:dyDescent="0.3">
      <c r="A10" s="31" t="s">
        <v>8</v>
      </c>
      <c r="B10" s="31" t="s">
        <v>35</v>
      </c>
      <c r="C10" s="31" t="str">
        <f>+VLOOKUP(B10,codelist!$B$4:$C$31,2,FALSE)</f>
        <v xml:space="preserve">        Derivatives</v>
      </c>
      <c r="D10" s="31" t="s">
        <v>10</v>
      </c>
      <c r="E10" s="31" t="s">
        <v>36</v>
      </c>
      <c r="F10" s="31" t="s">
        <v>286</v>
      </c>
      <c r="G10" s="31"/>
      <c r="H10" s="31"/>
    </row>
    <row r="11" spans="1:8" x14ac:dyDescent="0.3">
      <c r="A11" s="31" t="s">
        <v>8</v>
      </c>
      <c r="B11" s="31" t="s">
        <v>38</v>
      </c>
      <c r="C11" s="31" t="str">
        <f>+VLOOKUP(B11,codelist!$B$4:$C$31,2,FALSE)</f>
        <v xml:space="preserve">        Mergers &amp; Acquisitions (M&amp;A)</v>
      </c>
      <c r="D11" s="31" t="s">
        <v>10</v>
      </c>
      <c r="E11" s="31" t="s">
        <v>39</v>
      </c>
      <c r="F11" s="31" t="s">
        <v>144</v>
      </c>
      <c r="G11" s="31" t="s">
        <v>143</v>
      </c>
      <c r="H11" s="31" t="s">
        <v>144</v>
      </c>
    </row>
    <row r="12" spans="1:8" x14ac:dyDescent="0.3">
      <c r="A12" s="31" t="s">
        <v>8</v>
      </c>
      <c r="B12" s="31" t="s">
        <v>41</v>
      </c>
      <c r="C12" s="31" t="str">
        <f>+VLOOKUP(B12,codelist!$B$4:$C$31,2,FALSE)</f>
        <v xml:space="preserve">        Equity Capital Markets (ECM)</v>
      </c>
      <c r="D12" s="31" t="s">
        <v>10</v>
      </c>
      <c r="E12" s="31" t="s">
        <v>42</v>
      </c>
      <c r="F12" s="31" t="s">
        <v>260</v>
      </c>
      <c r="G12" s="31" t="s">
        <v>42</v>
      </c>
      <c r="H12" s="31" t="s">
        <v>145</v>
      </c>
    </row>
    <row r="13" spans="1:8" x14ac:dyDescent="0.3">
      <c r="A13" s="31" t="s">
        <v>8</v>
      </c>
      <c r="B13" s="31" t="s">
        <v>44</v>
      </c>
      <c r="C13" s="31" t="str">
        <f>+VLOOKUP(B13,codelist!$B$4:$C$31,2,FALSE)</f>
        <v xml:space="preserve">            Mortgages</v>
      </c>
      <c r="D13" s="31" t="s">
        <v>45</v>
      </c>
      <c r="E13" s="31" t="s">
        <v>10</v>
      </c>
      <c r="F13" s="31"/>
      <c r="G13" s="31"/>
      <c r="H13" s="31"/>
    </row>
    <row r="14" spans="1:8" x14ac:dyDescent="0.3">
      <c r="A14" s="31" t="s">
        <v>8</v>
      </c>
      <c r="B14" s="31" t="s">
        <v>47</v>
      </c>
      <c r="C14" s="31" t="str">
        <f>+VLOOKUP(B14,codelist!$B$4:$C$31,2,FALSE)</f>
        <v xml:space="preserve">        Bonds Portfolio</v>
      </c>
      <c r="D14" s="31" t="s">
        <v>48</v>
      </c>
      <c r="E14" s="31" t="s">
        <v>10</v>
      </c>
      <c r="F14" s="31"/>
      <c r="G14" s="31"/>
      <c r="H14" s="31"/>
    </row>
    <row r="15" spans="1:8" x14ac:dyDescent="0.3">
      <c r="A15" s="31" t="s">
        <v>8</v>
      </c>
      <c r="B15" s="31" t="s">
        <v>50</v>
      </c>
      <c r="C15" s="31" t="str">
        <f>+VLOOKUP(B15,codelist!$B$4:$C$31,2,FALSE)</f>
        <v xml:space="preserve">        Contingent risks</v>
      </c>
      <c r="D15" s="31" t="s">
        <v>51</v>
      </c>
      <c r="E15" s="31" t="s">
        <v>10</v>
      </c>
      <c r="F15" s="31"/>
      <c r="G15" s="31"/>
      <c r="H15" s="31"/>
    </row>
    <row r="16" spans="1:8" x14ac:dyDescent="0.3">
      <c r="A16" s="31" t="s">
        <v>8</v>
      </c>
      <c r="B16" s="31" t="s">
        <v>53</v>
      </c>
      <c r="C16" s="31" t="str">
        <f>+VLOOKUP(B16,codelist!$B$4:$C$31,2,FALSE)</f>
        <v xml:space="preserve">            Other Loans &amp; Advances</v>
      </c>
      <c r="D16" s="31" t="s">
        <v>10</v>
      </c>
      <c r="E16" s="31" t="s">
        <v>10</v>
      </c>
      <c r="F16" s="31"/>
      <c r="G16" s="31"/>
      <c r="H16" s="31"/>
    </row>
  </sheetData>
  <autoFilter ref="A1:H16" xr:uid="{95AA85F6-D136-4D92-8A73-317FE5FD24E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1673C-5FBA-44FF-B66E-52270A9966DF}">
  <dimension ref="B2:M23"/>
  <sheetViews>
    <sheetView showGridLines="0" workbookViewId="0">
      <selection activeCell="K18" sqref="K18"/>
    </sheetView>
  </sheetViews>
  <sheetFormatPr defaultRowHeight="14.4" x14ac:dyDescent="0.3"/>
  <cols>
    <col min="2" max="2" width="15.6640625" bestFit="1" customWidth="1"/>
    <col min="3" max="3" width="11.6640625" bestFit="1" customWidth="1"/>
    <col min="4" max="4" width="24.33203125" bestFit="1" customWidth="1"/>
    <col min="5" max="5" width="18.5546875" bestFit="1" customWidth="1"/>
    <col min="6" max="6" width="23.77734375" customWidth="1"/>
    <col min="7" max="7" width="12.109375" bestFit="1" customWidth="1"/>
    <col min="8" max="8" width="23.109375" bestFit="1" customWidth="1"/>
    <col min="9" max="9" width="13.88671875" bestFit="1" customWidth="1"/>
    <col min="10" max="10" width="7.33203125" bestFit="1" customWidth="1"/>
    <col min="11" max="11" width="31.88671875" bestFit="1" customWidth="1"/>
    <col min="12" max="12" width="11.44140625" bestFit="1" customWidth="1"/>
    <col min="13" max="13" width="19.77734375" bestFit="1" customWidth="1"/>
  </cols>
  <sheetData>
    <row r="2" spans="2:13" x14ac:dyDescent="0.3">
      <c r="B2" s="44" t="s">
        <v>368</v>
      </c>
      <c r="C2" s="44"/>
      <c r="D2" s="44"/>
    </row>
    <row r="4" spans="2:13" x14ac:dyDescent="0.3">
      <c r="B4" t="s">
        <v>374</v>
      </c>
    </row>
    <row r="6" spans="2:13" x14ac:dyDescent="0.3">
      <c r="B6" s="63" t="s">
        <v>367</v>
      </c>
      <c r="C6" s="63"/>
      <c r="D6" s="63"/>
      <c r="E6" s="63"/>
      <c r="F6" s="63"/>
      <c r="G6" s="63" t="s">
        <v>366</v>
      </c>
      <c r="H6" s="63"/>
      <c r="J6" s="61" t="s">
        <v>376</v>
      </c>
      <c r="K6" s="61"/>
      <c r="L6" s="62" t="s">
        <v>377</v>
      </c>
      <c r="M6" s="62"/>
    </row>
    <row r="7" spans="2:13" x14ac:dyDescent="0.3">
      <c r="B7" s="40" t="s">
        <v>0</v>
      </c>
      <c r="C7" s="40" t="s">
        <v>1</v>
      </c>
      <c r="D7" s="40" t="s">
        <v>364</v>
      </c>
      <c r="E7" s="40" t="s">
        <v>6</v>
      </c>
      <c r="F7" s="40" t="s">
        <v>365</v>
      </c>
      <c r="G7" s="41" t="s">
        <v>325</v>
      </c>
      <c r="H7" s="41" t="s">
        <v>326</v>
      </c>
      <c r="J7" s="37" t="s">
        <v>6</v>
      </c>
      <c r="K7" s="37" t="s">
        <v>375</v>
      </c>
      <c r="L7" s="36" t="s">
        <v>6</v>
      </c>
      <c r="M7" s="36" t="s">
        <v>375</v>
      </c>
    </row>
    <row r="8" spans="2:13" ht="16.2" x14ac:dyDescent="0.3">
      <c r="B8" s="66" t="s">
        <v>8</v>
      </c>
      <c r="C8" s="66" t="s">
        <v>35</v>
      </c>
      <c r="D8" s="66" t="str">
        <f>+VLOOKUP(C8,codelist!$B$4:$C$31,2,FALSE)</f>
        <v xml:space="preserve">        Derivatives</v>
      </c>
      <c r="E8" s="58" t="s">
        <v>36</v>
      </c>
      <c r="F8" s="66" t="s">
        <v>286</v>
      </c>
      <c r="G8" s="43" t="s">
        <v>180</v>
      </c>
      <c r="H8" s="39" t="s">
        <v>181</v>
      </c>
      <c r="J8" s="31" t="s">
        <v>36</v>
      </c>
      <c r="K8" s="31" t="s">
        <v>286</v>
      </c>
      <c r="L8" s="31" t="s">
        <v>180</v>
      </c>
      <c r="M8" s="31" t="s">
        <v>181</v>
      </c>
    </row>
    <row r="9" spans="2:13" ht="16.2" x14ac:dyDescent="0.3">
      <c r="B9" s="66"/>
      <c r="C9" s="66"/>
      <c r="D9" s="66"/>
      <c r="E9" s="60"/>
      <c r="F9" s="66"/>
      <c r="G9" s="39" t="s">
        <v>182</v>
      </c>
      <c r="H9" s="39" t="s">
        <v>183</v>
      </c>
      <c r="L9" s="42" t="s">
        <v>182</v>
      </c>
      <c r="M9" s="42" t="s">
        <v>183</v>
      </c>
    </row>
    <row r="11" spans="2:13" x14ac:dyDescent="0.3">
      <c r="B11" s="46" t="s">
        <v>371</v>
      </c>
    </row>
    <row r="12" spans="2:13" x14ac:dyDescent="0.3">
      <c r="B12" t="s">
        <v>372</v>
      </c>
    </row>
    <row r="13" spans="2:13" x14ac:dyDescent="0.3">
      <c r="B13" s="63" t="s">
        <v>367</v>
      </c>
      <c r="C13" s="63"/>
      <c r="D13" s="63"/>
      <c r="E13" s="63"/>
      <c r="F13" s="63"/>
      <c r="G13" s="63" t="s">
        <v>366</v>
      </c>
      <c r="H13" s="63"/>
      <c r="J13" s="61" t="s">
        <v>376</v>
      </c>
      <c r="K13" s="61"/>
      <c r="L13" s="62" t="s">
        <v>377</v>
      </c>
      <c r="M13" s="62"/>
    </row>
    <row r="14" spans="2:13" x14ac:dyDescent="0.3">
      <c r="B14" s="33" t="s">
        <v>0</v>
      </c>
      <c r="C14" s="33" t="s">
        <v>1</v>
      </c>
      <c r="D14" s="33" t="s">
        <v>364</v>
      </c>
      <c r="E14" s="33" t="s">
        <v>6</v>
      </c>
      <c r="F14" s="33" t="s">
        <v>365</v>
      </c>
      <c r="G14" s="34" t="s">
        <v>325</v>
      </c>
      <c r="H14" s="34" t="s">
        <v>326</v>
      </c>
      <c r="J14" s="37" t="s">
        <v>6</v>
      </c>
      <c r="K14" s="37" t="s">
        <v>375</v>
      </c>
      <c r="L14" s="36" t="s">
        <v>6</v>
      </c>
      <c r="M14" s="36" t="s">
        <v>375</v>
      </c>
    </row>
    <row r="15" spans="2:13" x14ac:dyDescent="0.3">
      <c r="B15" s="31" t="s">
        <v>8</v>
      </c>
      <c r="C15" s="31" t="s">
        <v>9</v>
      </c>
      <c r="D15" s="31" t="s">
        <v>369</v>
      </c>
      <c r="E15" s="31" t="s">
        <v>12</v>
      </c>
      <c r="F15" s="31" t="s">
        <v>270</v>
      </c>
      <c r="G15" s="31" t="s">
        <v>164</v>
      </c>
      <c r="H15" s="31" t="s">
        <v>165</v>
      </c>
      <c r="J15" s="31" t="s">
        <v>12</v>
      </c>
      <c r="K15" s="31" t="s">
        <v>270</v>
      </c>
      <c r="L15" s="31" t="s">
        <v>164</v>
      </c>
      <c r="M15" s="31" t="s">
        <v>165</v>
      </c>
    </row>
    <row r="16" spans="2:13" x14ac:dyDescent="0.3">
      <c r="B16" s="31" t="s">
        <v>8</v>
      </c>
      <c r="C16" s="31" t="s">
        <v>14</v>
      </c>
      <c r="D16" s="31" t="s">
        <v>370</v>
      </c>
      <c r="E16" s="31" t="s">
        <v>12</v>
      </c>
      <c r="F16" s="31" t="s">
        <v>270</v>
      </c>
      <c r="G16" s="31" t="s">
        <v>164</v>
      </c>
      <c r="H16" s="31" t="s">
        <v>165</v>
      </c>
      <c r="L16" s="42" t="s">
        <v>184</v>
      </c>
      <c r="M16" s="42" t="s">
        <v>185</v>
      </c>
    </row>
    <row r="17" spans="2:13" x14ac:dyDescent="0.3">
      <c r="L17" s="42" t="s">
        <v>186</v>
      </c>
      <c r="M17" s="42" t="s">
        <v>187</v>
      </c>
    </row>
    <row r="18" spans="2:13" x14ac:dyDescent="0.3">
      <c r="B18" t="s">
        <v>373</v>
      </c>
    </row>
    <row r="19" spans="2:13" x14ac:dyDescent="0.3">
      <c r="B19" s="63" t="s">
        <v>367</v>
      </c>
      <c r="C19" s="63"/>
      <c r="D19" s="63"/>
      <c r="E19" s="63"/>
      <c r="F19" s="63"/>
      <c r="G19" s="63" t="s">
        <v>366</v>
      </c>
      <c r="H19" s="63"/>
    </row>
    <row r="20" spans="2:13" x14ac:dyDescent="0.3">
      <c r="B20" s="33" t="s">
        <v>0</v>
      </c>
      <c r="C20" s="33" t="s">
        <v>1</v>
      </c>
      <c r="D20" s="33" t="s">
        <v>364</v>
      </c>
      <c r="E20" s="33" t="s">
        <v>6</v>
      </c>
      <c r="F20" s="33" t="s">
        <v>365</v>
      </c>
      <c r="G20" s="34" t="s">
        <v>325</v>
      </c>
      <c r="H20" s="34" t="s">
        <v>326</v>
      </c>
    </row>
    <row r="21" spans="2:13" x14ac:dyDescent="0.3">
      <c r="B21" s="58" t="s">
        <v>8</v>
      </c>
      <c r="C21" s="58" t="s">
        <v>9</v>
      </c>
      <c r="D21" s="58" t="s">
        <v>369</v>
      </c>
      <c r="E21" s="58" t="s">
        <v>12</v>
      </c>
      <c r="F21" s="64" t="s">
        <v>270</v>
      </c>
      <c r="G21" s="42" t="s">
        <v>184</v>
      </c>
      <c r="H21" s="42" t="s">
        <v>185</v>
      </c>
    </row>
    <row r="22" spans="2:13" x14ac:dyDescent="0.3">
      <c r="B22" s="60"/>
      <c r="C22" s="60"/>
      <c r="D22" s="60"/>
      <c r="E22" s="60"/>
      <c r="F22" s="65"/>
      <c r="G22" s="42" t="s">
        <v>186</v>
      </c>
      <c r="H22" s="42" t="s">
        <v>187</v>
      </c>
    </row>
    <row r="23" spans="2:13" ht="28.8" x14ac:dyDescent="0.3">
      <c r="B23" s="42" t="s">
        <v>8</v>
      </c>
      <c r="C23" s="42" t="s">
        <v>14</v>
      </c>
      <c r="D23" s="42" t="s">
        <v>370</v>
      </c>
      <c r="E23" s="42" t="s">
        <v>12</v>
      </c>
      <c r="F23" s="45" t="s">
        <v>270</v>
      </c>
      <c r="G23" s="42" t="s">
        <v>164</v>
      </c>
      <c r="H23" s="42" t="s">
        <v>165</v>
      </c>
    </row>
  </sheetData>
  <mergeCells count="20">
    <mergeCell ref="J13:K13"/>
    <mergeCell ref="L13:M13"/>
    <mergeCell ref="J6:K6"/>
    <mergeCell ref="L6:M6"/>
    <mergeCell ref="G6:H6"/>
    <mergeCell ref="B6:F6"/>
    <mergeCell ref="B8:B9"/>
    <mergeCell ref="C8:C9"/>
    <mergeCell ref="D8:D9"/>
    <mergeCell ref="E8:E9"/>
    <mergeCell ref="F8:F9"/>
    <mergeCell ref="B13:F13"/>
    <mergeCell ref="G13:H13"/>
    <mergeCell ref="B19:F19"/>
    <mergeCell ref="G19:H19"/>
    <mergeCell ref="B21:B22"/>
    <mergeCell ref="C21:C22"/>
    <mergeCell ref="D21:D22"/>
    <mergeCell ref="E21:E22"/>
    <mergeCell ref="F21:F2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F82795-695A-44AA-913D-91E50936786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F43B51EC-1282-4086-8B84-9FC80B25A3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D710F6-3E09-4C5F-B8E4-6C12DBD22D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Mapeamento as-is vs to-be</vt:lpstr>
      <vt:lpstr>Emai CdG</vt:lpstr>
      <vt:lpstr>Novos códigos</vt:lpstr>
      <vt:lpstr>Códigos antigos</vt:lpstr>
      <vt:lpstr>codelist</vt:lpstr>
      <vt:lpstr>Email cátia&amp;irina</vt:lpstr>
      <vt:lpstr>Email cátia&amp;irina_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2025-01-19T04:28:00Z</dcterms:created>
  <dcterms:modified xsi:type="dcterms:W3CDTF">2025-02-20T15:40:23Z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2025-02-13T10:35:14Z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6b5a85b4-09e4-415b-959f-7125703caff8</vt:lpwstr>
  </property>
  <property fmtid="{D5CDD505-2E9C-101B-9397-08002B2CF9AE}" pid="8" name="MSIP_Label_3c41c091-3cbc-4dba-8b59-ce62f19500db_ContentBits">
    <vt:lpwstr>1</vt:lpwstr>
  </property>
  <property fmtid="{D5CDD505-2E9C-101B-9397-08002B2CF9AE}" pid="9" name="ContentTypeId">
    <vt:lpwstr>0x010100B0F2CD0D646C4A4BA134F31D4B24B40E</vt:lpwstr>
  </property>
</Properties>
</file>