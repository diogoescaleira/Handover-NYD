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mc:AlternateContent xmlns:mc="http://schemas.openxmlformats.org/markup-compatibility/2006">
    <mc:Choice Requires="x15">
      <x15ac:absPath xmlns:x15ac="http://schemas.microsoft.com/office/spreadsheetml/2010/11/ac" url="https://santandernet.sharepoint.com/sites/BSTestesBail-In/Shared Documents/Geral/00. Gestão/01. PdS/01. Versão enviada ao cliente/"/>
    </mc:Choice>
  </mc:AlternateContent>
  <xr:revisionPtr revIDLastSave="2743" documentId="11_C5A106A75B300A84265BEBF0BA07F65A5E92A04A" xr6:coauthVersionLast="47" xr6:coauthVersionMax="47" xr10:uidLastSave="{5D946857-5876-4969-8BDF-2E1A7E989F9C}"/>
  <bookViews>
    <workbookView xWindow="15" yWindow="-16320" windowWidth="29040" windowHeight="15720" tabRatio="914" xr2:uid="{00000000-000D-0000-FFFF-FFFF00000000}"/>
  </bookViews>
  <sheets>
    <sheet name="1. Status Resumo" sheetId="2" r:id="rId1"/>
    <sheet name="2. Status Detalhe Campos" sheetId="1" state="hidden" r:id="rId2"/>
    <sheet name="Detalhe Especificação -&gt;" sheetId="11" r:id="rId3"/>
    <sheet name="B02.00" sheetId="6" r:id="rId4"/>
    <sheet name="B05.00" sheetId="7" r:id="rId5"/>
    <sheet name="B90.00" sheetId="8" r:id="rId6"/>
  </sheets>
  <definedNames>
    <definedName name="_xlnm._FilterDatabase" localSheetId="1" hidden="1">'2. Status Detalhe Campos'!$B$7:$M$158</definedName>
    <definedName name="_xlnm._FilterDatabase" localSheetId="3" hidden="1">'B02.00'!$A$4:$U$85</definedName>
    <definedName name="_xlnm._FilterDatabase" localSheetId="4" hidden="1">'B05.00'!$A$4:$AI$19</definedName>
    <definedName name="_xlnm._FilterDatabase" localSheetId="5" hidden="1">'B90.00'!$A$4:$AH$15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8" l="1" a="1"/>
  <c r="L13" i="8" s="1"/>
  <c r="L11" i="8" a="1"/>
  <c r="L11" i="8" s="1"/>
  <c r="L10" i="8" a="1"/>
  <c r="L10" i="8" s="1"/>
  <c r="L9" i="8" a="1"/>
  <c r="L9" i="8" s="1"/>
  <c r="L8" i="8" a="1"/>
  <c r="L8" i="8" s="1"/>
  <c r="L14" i="7" a="1"/>
  <c r="L14" i="7" s="1"/>
  <c r="L11" i="7" a="1"/>
  <c r="L11" i="7" s="1"/>
  <c r="L10" i="7" a="1"/>
  <c r="L10" i="7" s="1"/>
  <c r="L6" i="7"/>
  <c r="L6" i="7" a="1"/>
  <c r="I86" i="6"/>
  <c r="T85" i="6"/>
  <c r="T84" i="6"/>
  <c r="T83" i="6"/>
  <c r="T82" i="6"/>
  <c r="T81" i="6"/>
  <c r="L81" i="6" a="1"/>
  <c r="L81" i="6" s="1"/>
  <c r="T80" i="6"/>
  <c r="L80" i="6" a="1"/>
  <c r="L80" i="6" s="1"/>
  <c r="T79" i="6"/>
  <c r="T78" i="6"/>
  <c r="T77" i="6"/>
  <c r="T76" i="6"/>
  <c r="T75" i="6"/>
  <c r="T74" i="6"/>
  <c r="L74" i="6" a="1"/>
  <c r="L74" i="6" s="1"/>
  <c r="T73" i="6"/>
  <c r="L73" i="6" a="1"/>
  <c r="L73" i="6" s="1"/>
  <c r="T72" i="6"/>
  <c r="L72" i="6" a="1"/>
  <c r="L72" i="6" s="1"/>
  <c r="T71" i="6"/>
  <c r="L71" i="6"/>
  <c r="L71" i="6" a="1"/>
  <c r="T70" i="6"/>
  <c r="T69" i="6"/>
  <c r="T68" i="6"/>
  <c r="T67" i="6"/>
  <c r="T66" i="6"/>
  <c r="L66" i="6" a="1"/>
  <c r="L66" i="6" s="1"/>
  <c r="T65" i="6"/>
  <c r="L65" i="6" a="1"/>
  <c r="L65" i="6" s="1"/>
  <c r="T64" i="6"/>
  <c r="L64" i="6" a="1"/>
  <c r="L64" i="6" s="1"/>
  <c r="T63" i="6"/>
  <c r="L63" i="6" a="1"/>
  <c r="L63" i="6" s="1"/>
  <c r="T62" i="6"/>
  <c r="T61" i="6"/>
  <c r="T60" i="6"/>
  <c r="L60" i="6" a="1"/>
  <c r="L60" i="6" s="1"/>
  <c r="T59" i="6"/>
  <c r="L59" i="6" a="1"/>
  <c r="L59" i="6" s="1"/>
  <c r="T58" i="6"/>
  <c r="T57" i="6"/>
  <c r="L57" i="6" a="1"/>
  <c r="L57" i="6" s="1"/>
  <c r="T56" i="6"/>
  <c r="L56" i="6" a="1"/>
  <c r="L56" i="6" s="1"/>
  <c r="T55" i="6"/>
  <c r="T54" i="6"/>
  <c r="T53" i="6"/>
  <c r="T52" i="6"/>
  <c r="T51" i="6"/>
  <c r="T50" i="6"/>
  <c r="T49" i="6"/>
  <c r="T48" i="6"/>
  <c r="T47" i="6"/>
  <c r="T46" i="6"/>
  <c r="L46" i="6" a="1"/>
  <c r="L46" i="6" s="1"/>
  <c r="T45" i="6"/>
  <c r="L45" i="6" a="1"/>
  <c r="L45" i="6" s="1"/>
  <c r="T44" i="6"/>
  <c r="L44" i="6" a="1"/>
  <c r="L44" i="6" s="1"/>
  <c r="T43" i="6"/>
  <c r="T42" i="6"/>
  <c r="T41" i="6"/>
  <c r="T40" i="6"/>
  <c r="T39" i="6"/>
  <c r="T38" i="6"/>
  <c r="T37" i="6"/>
  <c r="T36" i="6"/>
  <c r="T35" i="6"/>
  <c r="T34" i="6"/>
  <c r="T33" i="6"/>
  <c r="T32" i="6"/>
  <c r="T31" i="6"/>
  <c r="T30" i="6"/>
  <c r="T29" i="6"/>
  <c r="T28" i="6"/>
  <c r="L28" i="6" a="1"/>
  <c r="L28" i="6" s="1"/>
  <c r="T26" i="6"/>
  <c r="T25" i="6"/>
  <c r="L25" i="6" a="1"/>
  <c r="L25" i="6" s="1"/>
  <c r="T24" i="6"/>
  <c r="L24" i="6" a="1"/>
  <c r="L24" i="6" s="1"/>
  <c r="T23" i="6"/>
  <c r="L23" i="6" a="1"/>
  <c r="L23" i="6" s="1"/>
  <c r="T22" i="6"/>
  <c r="T21" i="6"/>
  <c r="L21" i="6" a="1"/>
  <c r="L21" i="6" s="1"/>
  <c r="T20" i="6"/>
  <c r="T19" i="6"/>
  <c r="T18" i="6"/>
  <c r="L18" i="6" a="1"/>
  <c r="L18" i="6" s="1"/>
  <c r="T17" i="6"/>
  <c r="T16" i="6"/>
  <c r="T15" i="6"/>
  <c r="T14" i="6"/>
  <c r="L14" i="6" a="1"/>
  <c r="L14" i="6" s="1"/>
  <c r="T13" i="6"/>
  <c r="L13" i="6" a="1"/>
  <c r="L13" i="6" s="1"/>
  <c r="T12" i="6"/>
  <c r="L12" i="6" a="1"/>
  <c r="L12" i="6" s="1"/>
  <c r="T11" i="6"/>
  <c r="T10" i="6"/>
  <c r="L10" i="6" a="1"/>
  <c r="L10" i="6" s="1"/>
  <c r="T9" i="6"/>
  <c r="L9" i="6" a="1"/>
  <c r="L9" i="6" s="1"/>
  <c r="T8" i="6"/>
  <c r="T7" i="6"/>
  <c r="L7" i="6" a="1"/>
  <c r="L7" i="6" s="1"/>
  <c r="T6" i="6"/>
  <c r="L6" i="6" a="1"/>
  <c r="L6" i="6" s="1"/>
  <c r="T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<sst xmlns="http://schemas.openxmlformats.org/spreadsheetml/2006/main" count="3303" uniqueCount="902">
  <si>
    <t>B02.00</t>
  </si>
  <si>
    <t>lt002_instrument</t>
  </si>
  <si>
    <t>lt005_instr_ent</t>
  </si>
  <si>
    <t>instrmnt_id</t>
  </si>
  <si>
    <t>isin</t>
  </si>
  <si>
    <t>orgnl_amnt_eur</t>
  </si>
  <si>
    <t>orgnl_amnt_fx</t>
  </si>
  <si>
    <t>crrncy_dnmntn</t>
  </si>
  <si>
    <t>otstndng_prncpl_amnt</t>
  </si>
  <si>
    <t>prtn_amnt_rprtng_entty</t>
  </si>
  <si>
    <t>governing_law</t>
  </si>
  <si>
    <t>dt_lgl_fnl_mtrty</t>
  </si>
  <si>
    <t xml:space="preserve">dt_nxt_intrst_pymnt </t>
  </si>
  <si>
    <t>dt_incptn</t>
  </si>
  <si>
    <t>rank_insolv</t>
  </si>
  <si>
    <t>typ_instrmnt</t>
  </si>
  <si>
    <t>accrd_intrst_instrmnt</t>
  </si>
  <si>
    <t>out_b0200_main_liabilities</t>
  </si>
  <si>
    <t>0010_row_nmbr</t>
  </si>
  <si>
    <t>0020_uniq_id</t>
  </si>
  <si>
    <t>0030_uniq_id_knwn_cntrprty</t>
  </si>
  <si>
    <t>0040_typ_uniq_id_knwn_cntrprty</t>
  </si>
  <si>
    <t>0050_orgnl_amnt_eur</t>
  </si>
  <si>
    <t>0060_orgnl_amnt_fx</t>
  </si>
  <si>
    <t>0070_cntrct_crrncy</t>
  </si>
  <si>
    <t>0080_otstndng_prncpl_amnt</t>
  </si>
  <si>
    <t>0090_prtn_amnt_rprtng_entty</t>
  </si>
  <si>
    <t>0100_accrd_intrst_instrmnt</t>
  </si>
  <si>
    <t>0110_applcbl_fees_charges</t>
  </si>
  <si>
    <t>0120_otstndng_amnt</t>
  </si>
  <si>
    <t>0130_rlvnt_amnt_wdc</t>
  </si>
  <si>
    <t>0140_ntr_lblty</t>
  </si>
  <si>
    <t>0141_ntr_lblty_othr</t>
  </si>
  <si>
    <t>0150_flg_strctrlly_sbrdntd</t>
  </si>
  <si>
    <t>0160_rank_insolv</t>
  </si>
  <si>
    <t>0161_cntrctl_sbrdntn</t>
  </si>
  <si>
    <t>0162_bail_in_cascade</t>
  </si>
  <si>
    <t>0170_dt_incptn</t>
  </si>
  <si>
    <t>0180_dt_nxt_intrst_pymnt</t>
  </si>
  <si>
    <t>0190_dt_nxt_rdmptn_pymnt</t>
  </si>
  <si>
    <t>0200_dt_erlst_rdmptn</t>
  </si>
  <si>
    <t>0210_dt_lgl_fnl_mtrty</t>
  </si>
  <si>
    <t>0220_governing_law</t>
  </si>
  <si>
    <t>0230_bail_in_rcgntn_cls</t>
  </si>
  <si>
    <t>0240_zero_coupon</t>
  </si>
  <si>
    <t>0250_strctrd_prdct</t>
  </si>
  <si>
    <t>0270_fv_amnt_strctrd_prdct</t>
  </si>
  <si>
    <t>0280_flg_ncnp_dpsts</t>
  </si>
  <si>
    <t>0290_flg_ncbp_dpsts</t>
  </si>
  <si>
    <t>0300_amnt_cvrd_elgbl_dpsts</t>
  </si>
  <si>
    <t xml:space="preserve">0310_flg_clltrl_agrmnts </t>
  </si>
  <si>
    <t>0320_amnt_clltrl</t>
  </si>
  <si>
    <t>0330_amnt_unclltrlzd</t>
  </si>
  <si>
    <t>0340_id_clltrl</t>
  </si>
  <si>
    <t>0350_typ_clltrl</t>
  </si>
  <si>
    <t>0351_typ_clltrl_othr</t>
  </si>
  <si>
    <t>0360_trdng_mthd</t>
  </si>
  <si>
    <t>0370_amnt_scrty_eur</t>
  </si>
  <si>
    <t>0380_amnt_scrty_fx</t>
  </si>
  <si>
    <t>0390_nmbr_scrts_not_rprtng_entty</t>
  </si>
  <si>
    <t>0391_nmbr_scrts_rprtng_entty</t>
  </si>
  <si>
    <t>0400_accrd_intrst_scrty</t>
  </si>
  <si>
    <t>0410_fees_charges_scrty</t>
  </si>
  <si>
    <t>0420_fv_amnt_scrty</t>
  </si>
  <si>
    <t>0430_prncpl_amnt_glbl_nt_eur</t>
  </si>
  <si>
    <t>0431_prncpl_amnt_glbl_nt_fx</t>
  </si>
  <si>
    <t>0440_ntr_glbl_nt</t>
  </si>
  <si>
    <t>0450_crrnt_pool_fctr</t>
  </si>
  <si>
    <t>0460_csd</t>
  </si>
  <si>
    <t>0461_csd_lei</t>
  </si>
  <si>
    <t>0462_csd_othr</t>
  </si>
  <si>
    <t>0470_pyng_agnt</t>
  </si>
  <si>
    <t>0471_pyng_agnt_lei</t>
  </si>
  <si>
    <t>0480_trdng_vn</t>
  </si>
  <si>
    <t>0481_trdng_vn_lei</t>
  </si>
  <si>
    <t xml:space="preserve">0490_rgstrr </t>
  </si>
  <si>
    <t>0491_rgstrr_lei</t>
  </si>
  <si>
    <t>0500_nna</t>
  </si>
  <si>
    <t>0501_nna_lei</t>
  </si>
  <si>
    <t>0510_cmmn_dpstry</t>
  </si>
  <si>
    <t>0511_cmmn_dpstry_lei</t>
  </si>
  <si>
    <t>0520_cmmn_srvc_prvdr</t>
  </si>
  <si>
    <t>0521_cmmn_srvc_prvdr_lei</t>
  </si>
  <si>
    <t>0530_typ_own_fnds_ind_lvl</t>
  </si>
  <si>
    <t>0540_elgbl_amnt_own_fnds_ind_lvl</t>
  </si>
  <si>
    <t>0550_typ_own_fnds_cnsldtd_lvl</t>
  </si>
  <si>
    <t>0560_elgbl_amnt_own_fnds_cnsldtd_lvl</t>
  </si>
  <si>
    <t>0570_amnt_scrty_intrst_prvdd</t>
  </si>
  <si>
    <t>0580_scrty_intrst_prvdr</t>
  </si>
  <si>
    <t>0581_scrty_intrst_prvdr_lei</t>
  </si>
  <si>
    <t>0590_typ_scrty_intrst_prvdd</t>
  </si>
  <si>
    <t>0600_flg_clltrl_asst_pstn</t>
  </si>
  <si>
    <t>0610_crryng_amnt_ifrs</t>
  </si>
  <si>
    <t>0620_blnc_sht_ifrs</t>
  </si>
  <si>
    <t>0630_crrying_amnt_ngaap</t>
  </si>
  <si>
    <t>0640_blnc_sht_ngaap</t>
  </si>
  <si>
    <t>5000_flg_shrhldr_not_rsltn_grp</t>
  </si>
  <si>
    <t>5010_flg_art21_7a_srmr</t>
  </si>
  <si>
    <t>amnt_scrty_eur</t>
  </si>
  <si>
    <t>amnt_scrty_fx</t>
  </si>
  <si>
    <t>csd</t>
  </si>
  <si>
    <t>csd_lei</t>
  </si>
  <si>
    <t>pyng_agnt</t>
  </si>
  <si>
    <t>pyng_agnt_lei</t>
  </si>
  <si>
    <t>typ_own_fnds_indvdl_lvl</t>
  </si>
  <si>
    <t>elgbl_amnt_own_fnds_indvdl_lvl</t>
  </si>
  <si>
    <t>crryng_amnt_instrmnt</t>
  </si>
  <si>
    <t>accntng_clssfctn</t>
  </si>
  <si>
    <t>Stream</t>
  </si>
  <si>
    <t>Sub-stream</t>
  </si>
  <si>
    <t>Data entrega IT 
(real)</t>
  </si>
  <si>
    <t xml:space="preserve">Data 
conclusão </t>
  </si>
  <si>
    <t>Observações</t>
  </si>
  <si>
    <r>
      <rPr>
        <b/>
        <i/>
        <sz val="11"/>
        <color theme="0"/>
        <rFont val="Santander Text"/>
        <family val="2"/>
      </rPr>
      <t>Status</t>
    </r>
    <r>
      <rPr>
        <b/>
        <sz val="11"/>
        <color theme="0"/>
        <rFont val="Santander Text"/>
        <family val="2"/>
      </rPr>
      <t xml:space="preserve"> Atual</t>
    </r>
  </si>
  <si>
    <r>
      <rPr>
        <b/>
        <i/>
        <sz val="11"/>
        <color theme="0"/>
        <rFont val="Santander Text"/>
        <family val="2"/>
      </rPr>
      <t>Status</t>
    </r>
    <r>
      <rPr>
        <b/>
        <sz val="11"/>
        <color theme="0"/>
        <rFont val="Santander Text"/>
        <family val="2"/>
      </rPr>
      <t xml:space="preserve"> Anterior</t>
    </r>
  </si>
  <si>
    <r>
      <rPr>
        <b/>
        <i/>
        <sz val="11"/>
        <color theme="0"/>
        <rFont val="Santander Text"/>
        <family val="2"/>
      </rPr>
      <t>Status</t>
    </r>
    <r>
      <rPr>
        <b/>
        <sz val="11"/>
        <color theme="0"/>
        <rFont val="Santander Text"/>
        <family val="2"/>
      </rPr>
      <t xml:space="preserve"> Especificação</t>
    </r>
  </si>
  <si>
    <t>Data field</t>
  </si>
  <si>
    <t>B02.00 - Main Liabilities: the tab includes the data points requested at resolution entity (point of entry) level for the implementation of the bail-in tool, or at non resolution entity level (up to the Senior Non-Preferred layer)11 for monitoring and implementing the loss transfer and recapitalisation mechanisms. Generally, the data points in this tab are requested at individual level12. However, some specific data points may be requested at consolidated level on an adhoc basis by the IRT</t>
  </si>
  <si>
    <t>SRB Instructions</t>
  </si>
  <si>
    <t>Especificação IT</t>
  </si>
  <si>
    <t>Fase 1 - Granular (Loan Tape)</t>
  </si>
  <si>
    <t>Fase 2 - Agregada (Não Loan Tape)</t>
  </si>
  <si>
    <t>Comentários/Histórico EF</t>
  </si>
  <si>
    <t>Data Point</t>
  </si>
  <si>
    <t>ID</t>
  </si>
  <si>
    <t>Data type</t>
  </si>
  <si>
    <t>Constrain</t>
  </si>
  <si>
    <t>Description</t>
  </si>
  <si>
    <t>Treatment of "Not applicable" 
(if cell is grey out, input is not expected)</t>
  </si>
  <si>
    <t>Treatment of "Not available" 
(if cell is grey out, input is not expected)</t>
  </si>
  <si>
    <t>Novo campo?</t>
  </si>
  <si>
    <t>Nome campo</t>
  </si>
  <si>
    <t>Missing Value (LT804)</t>
  </si>
  <si>
    <t>Not Applicable Value (LT804)</t>
  </si>
  <si>
    <t>Regra campo</t>
  </si>
  <si>
    <t>Estado Especificação</t>
  </si>
  <si>
    <t>Estado Desenvolvimento</t>
  </si>
  <si>
    <t>Row number</t>
  </si>
  <si>
    <t>0010</t>
  </si>
  <si>
    <t>Numeric</t>
  </si>
  <si>
    <t>Integer</t>
  </si>
  <si>
    <t>The unique number / primary key to identify the row items (the number must be an integer).</t>
  </si>
  <si>
    <t>Não</t>
  </si>
  <si>
    <t>out_b0200_main_liabilities.0010_row_nmbr</t>
  </si>
  <si>
    <t>Sequenciador a implementar na tabela de output out_b0200_main_liabilities
Nota: A cada execução não deverão ser gerados Row numbers diferentes pelo que provisoriamente deverá ser feito um order by instrmnt_id</t>
  </si>
  <si>
    <t xml:space="preserve">Reunião 2025-06-16 Luís Capitão-Mor, Pedro Mendes, Luísa Sousa
</t>
  </si>
  <si>
    <t>Campo não LT (apenas tabela Output)</t>
  </si>
  <si>
    <t>Concluído</t>
  </si>
  <si>
    <t>Unique internal identification number</t>
  </si>
  <si>
    <t>0020</t>
  </si>
  <si>
    <t>String</t>
  </si>
  <si>
    <t>Free text</t>
  </si>
  <si>
    <t>The unique internal identifier of the instrument/liability. For deposits reported on an aggregate level, please indicate:
▪ ‘NCNP’ for the aggregated not covered not preferential deposits (field c0280 = TRUE); and
▪ ‘NCBP’ for the aggregated not covered but preferential deposits (field c0290 = TRUE).</t>
  </si>
  <si>
    <t>lt002_instrument.instrmnt_id</t>
  </si>
  <si>
    <t>out_b0200_main_liabilities.0020_uniq_id</t>
  </si>
  <si>
    <t xml:space="preserve">lt002_instrument.instrmnt_id </t>
  </si>
  <si>
    <t>Reunião 2025-06-16 Luís Capitão-Mor, Pedro Mendes, Luísa Sousa</t>
  </si>
  <si>
    <t>Campo já existente no LT</t>
  </si>
  <si>
    <t>Unique identification number (known to the counterparty)</t>
  </si>
  <si>
    <t>0030</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</si>
  <si>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For deposits reported on an aggregate level, please indicate:
▪ ‘NCNP’ for the aggregated not covered not preferential deposits (field c0280 = TRUE); and
▪ ‘NCBP’ for the aggregated not covered but preferential deposits (field c0290 = TRUE).</t>
  </si>
  <si>
    <t>lt002_instrument.isin</t>
  </si>
  <si>
    <t>out_b0200_main_liabilities.0030_uniq_id_knwn_cntrprty</t>
  </si>
  <si>
    <t>Type of the unique identifier (known to the counterparty)</t>
  </si>
  <si>
    <t>0040</t>
  </si>
  <si>
    <t>Free text, but fixed values for specific items</t>
  </si>
  <si>
    <t>Free text, to indicate what type of identifier has been used in data point c0020, e.g. if the identifier is an ISIN, please input ‘ISIN’; if the identifier is an account number, please input ‘Account number’; if the identifier is a contract number, please input ‘Contract number’. For deposits reported on an aggregate level, please indicate ‘Aggregated’.</t>
  </si>
  <si>
    <t>out_b0200_main_liabilities.0040_typ_uniq_id_knwn_cntrprty</t>
  </si>
  <si>
    <t xml:space="preserve">Valor fixo 'ISIN'
</t>
  </si>
  <si>
    <t xml:space="preserve">Reunião 2025-06-16 Luís Capitão-Mor, Pedro Mendes, Luísa Sousa:
Neste caso não faz sentido criar o campo no Loan Tape quando ele já existe, portanto será criado apenas na tabela output out_b0200_main_liabilities. Caso contrário haveria um princípio de colisão, pois estar-se-ia a repetir conceitos de campos.
</t>
  </si>
  <si>
    <t>Original amount issued in EUR</t>
  </si>
  <si>
    <t>2 decimals</t>
  </si>
  <si>
    <t>The EUR (counter)value of the total issue size of the instrument, irrespective of the effective issuance dates, i.e. the total nominal amount / face value of a specific liability. For shares, it should reflect the face value / carrying amount of the shares. If a nominal value does not exist, this field is not applicable. This data point is not applicable for cash accounts / saving accounts and deposits reported in aggregated form (Submission A). If a value is reported in a foreign currency (c0060), the amount must additionally be converted into euros and reported in the corresponding EUR field (c0050), using the euro reference exchange rate published by the ECB on the date for which the information is reported40. In the case of foreign currencies for which no euro reference exchange rate is available, a customary market reference rate must be used. If such other customary reference exchange rates are used, a uniform source must be used wherever possible.</t>
  </si>
  <si>
    <t>Input 999999999999999</t>
  </si>
  <si>
    <t>Sim</t>
  </si>
  <si>
    <t>lt002_instrument.orgnl_amnt_eur</t>
  </si>
  <si>
    <t>Se flag_inst_titulos = '1': 
Obter campo nom_tot_inic da ct610_titulos. Adicionalmente, efetuar conversão via tabela cambios, seguindo a lógica definida nos restantes processos, dado que o campo nom_tot_inic está expresso na moeda original (campo cmoeda). 
Exemplo de query que utiliza a tabela cambios para converter moeda original em moeda eur (quando é eur a tcmbme é 1 pelo que o valor é igual):
SELECT DISTINCT concat(cempresa,cbalcao, cnumecta, zdeposit), 
(ct610.nom_tot_inic / cambios.tcmbme) AS orgnl_amnt_eur
FROM
  (SELECT cempresa,cbalcao, cnumecta, zdeposit, nom_tot_inic, cmoeda
   FROM cd_captools.ct610_titulos
   WHERE ref_date='${ref_date}' and
   concat(cempresa,cbalcao, cnumecta, zdeposit) IN ( '31641600000000000PTSTOGOM0003000',
                          '31641600005800007PTBSRDOM0037000',
                          '31641600005800007PTSTOCOM0007000',
                          '31641600005800007PTCPP0AM0007000',
                          '31641600000000000PTSTOEOM0021000',
                          '31641600000000000PTSTOHOM0002000',
                          '31641600000000000PTBSREOM0028000',
                          '31641600000000000PTSTOFOM0004000')) ct610
LEFT JOIN
  (SELECT cmoeda,
          tcmbme
   FROM cd_captools.cambios
   WHERE data_date_part = '${ref_date}'
     AND dcambio = '${ref_date}'
     AND zseqcamb = 99
     AND ctbcamb = 'F'
     AND cmarca = 'BT') cambios ON cambios.cmoeda = ct610.cmoeda;
Se flag_inst_titulos = '0':
Not applicable.
O respetivo valor default de Not applicable deverá ser parametrizado na lt804_conf_dflt.</t>
  </si>
  <si>
    <t>out_b0200_main_liabilities.0050_orgnl_amnt_eur</t>
  </si>
  <si>
    <t>Reunião 2025-08-04 Luís Capitão-Mor, Pedro Mendes, Luísa Sousa</t>
  </si>
  <si>
    <t>Campo novo no LT</t>
  </si>
  <si>
    <t>Campo de montante</t>
  </si>
  <si>
    <t>Original amount issued in foreign currency</t>
  </si>
  <si>
    <t>0060</t>
  </si>
  <si>
    <t>Same as c0050 above, but in the foreign currency (where relevant). Please also report the EUR-converted amount in the corresponding EUR field (c0050). This data point is not applicable for cash accounts / savings accounts and deposits reported in aggregated form (Submission A).</t>
  </si>
  <si>
    <t>lt002_instrument.orgnl_amnt_fx</t>
  </si>
  <si>
    <t>Se flag_inst_titulos = '1' e se campo cmoeda da ct610_titulos = '978' (eur):
Not applicable.
O respetivo valor default de Not applicable deverá ser parametrizado na lt804_conf_dflt.
Se flag_inst_titulos = '1' e se campo cmoeda da ct610_titulos &lt;&gt; '978' (eur):
Obter campo nom_tot_inic da ct610_titulos
Se flag_inst_titulos = '0':
Not applicable.
O respetivo valor default de Not applicable deverá ser parametrizado na lt804_conf_dflt.</t>
  </si>
  <si>
    <t>out_b0200_main_liabilities.0060_orgnl_amnt_fx</t>
  </si>
  <si>
    <r>
      <t>Contract currency</t>
    </r>
    <r>
      <rPr>
        <sz val="10"/>
        <color rgb="FFFF0000"/>
        <rFont val="Calibri"/>
        <family val="2"/>
      </rPr>
      <t xml:space="preserve"> </t>
    </r>
  </si>
  <si>
    <t>0070</t>
  </si>
  <si>
    <t>3-letters ISO 4217</t>
  </si>
  <si>
    <t>The currency in which the instrument/liability is issued. The currency must be reported with its 3-letter ISO 4217 code. For deposits reported on an aggregate level, please indicate ‘XXX’.</t>
  </si>
  <si>
    <t>Input "XXX"</t>
  </si>
  <si>
    <t>lt002_instrument.crrncy_dnmntn</t>
  </si>
  <si>
    <t>XXX</t>
  </si>
  <si>
    <t>out_b0200_main_liabilities.0070_cntrct_crrncy</t>
  </si>
  <si>
    <t>Outstanding principal amount</t>
  </si>
  <si>
    <t>The EUR (counter)value of the outstanding principal amount of the instrument/liability.
The difference between the original amount issued and the outstanding principal amount may be due to partial buybacks of the instrument, amortising instruments, etc. The portion of eligible liabilities subscribed by intragroup entities and excluded under Article 27(3)(h) SRMR must be included in the outstanding principal amount. Only claims against other parties must be reported (i.e. excluding the portion held by the entity itself, which must be reported in field c0090).
For zero coupon bonds issued at discount (i.e. c0240 = ZCB issued at discount) the final redemption amount should be reported.</t>
  </si>
  <si>
    <t>lt005_instr_ent.otstndng_prncpl_amnt</t>
  </si>
  <si>
    <t xml:space="preserve">Se flag_inst_titulos = '1': 
Passo 1: Verificar para cada "entty_id" (de um determinado "instrmnt_id") da lt005_instr_ent se o mesmo consta no vetor "zcliente_investidor" da ct610_titulos (desse "instrmnt_id"). Se constar, identificar em que posição consta e em seguida obter do vetor "nom_tot_ini_investe" da ct610_titulos o montante que consta nessa posição;
Passo 2: Verificar se a soma dos vários "nom_tot_ini_investe" é igual ao "nom_tot_inic", da ct610_titulos
-&gt; Se for igual: Não é necessária ação adicional
-&gt; Se for diferente: Somar essa diferença no "entty_id" 0000000000
Passo 3: Dado que o "outstanding principal amount" que se pretende é o atual e não o inicial, então terá de se multiplicar os vários "nom_tot_ini_investe" pelo rácio "nom_tot_atual"/"nom_tot_inic", da ct610_titulos.
Nota: O Universo do MBDT terá sempre este rácio=1 e portanto o valor inicial será igual ao valor atual, contudo, se existissem titularizações (onde se aplica o conceito de pool factor), o valor inicial seria diferente do valor atual (porque o "pool_factor" seria diferente de 1).
Passo 4: Converter o montante obtido para eur pela tabela de cambios (ver query de conversão já definida no campo Original amount issued in EUR (0050))
Se flag_inst_titulos = '0':
Not applicable. 
O respetivo valor default de Not applicable deverá ser parametrizado na lt804_conf_dflt.
Na sheet "Aux Campos Montante" consta um exemplo com a aplicação desta lógica.
</t>
  </si>
  <si>
    <t>out_b0200_main_liabilities.0080_otstndng_prncpl_amnt</t>
  </si>
  <si>
    <t>Soma "otstndng_prncpl_amnt"  -  Soma "portion_amnt_rprtng_entty", por cada instrmnt_id da lt005_instr_ent
Na sheet "Aux Campos Montante" consta um exemplo com a aplicação desta lógica.</t>
  </si>
  <si>
    <t xml:space="preserve">Reunião 2025-10-09 Luís Capitão-Mor, Pedro Mendes
Reunião 2025-09-22 e 2025-09-18 Luís Capitão-Mor, Pedro Mendes:
Segundo Luís Capitão-Mor não se pode utilizar o campo OTSTNDNG_NMNL_AMNT_INSTRMNT da lt002_instrument dado que esse campo é contabilístico (a pedido do guia do BCE) e o SRB não pede contabilístico. 
Adicionalmente, interpretou-se da definição dada pelo SRB que se pretende retirar as recompras do BST e deve-se incluir o que está no Santander S.A (ou seja não deve se retirar o que está no Santander S.A.). 
Exemplo 1: Emissão de 1000M eur em que: 
100M eur estão recomprados pelo BST 
900M eur estão no mercado (e destes 900M eur, 500M eur estão no Santander S.A.)
Ou seja, neste exemplo o Outstanding principal amount deverá ser 900M eur.
Exemplo 2: Emissão 1000M eur a 95% (abaixo do par), portanto 950M eur.
Na contabilidade na data inicial consta Outstanding principal amount=950M eur mas na ct610_titulos constam 1000M eur. Ou seja, o valor contabilístico nem sempre é igual ao não contabilístico. 
</t>
  </si>
  <si>
    <t>Não Concluído</t>
  </si>
  <si>
    <t xml:space="preserve">Portion of instrument or liability held by the reporting entity </t>
  </si>
  <si>
    <t>0090</t>
  </si>
  <si>
    <t>The EUR amount related to the portion of the liability held by the reporting entity itself. The amount can either be defined as the principal amount plus accrued interest and fees and charges, or as the relevant portion of fair value held by the reporting entity itself, in the event that field c0250 applies. This data point is only relevant for securities.</t>
  </si>
  <si>
    <t>lt005_instr_ent.prtn_amnt_rprtng_entty</t>
  </si>
  <si>
    <t>Se flag_inst_titulos = '1': 
Verificar para cada "entty_id" (de um determinado "instrmnt_id") da lt005_instr_ent se o mesmo corresponde ao "zcliente_emitente" da ct610_titulos (desse "instrmnt_id").
Se não corresponder: Reportar 0
Se corresponder: Verificar se esse "entty_id" consta no vetor "zcliente_investidor" da ct610_titulos.
Se constar: 
Passo 1: Identificar em que posição consta no vetor "zcliente_investidor" e em seguida obter do vetor "nom_tot_ini_investe" da ct610_titulos o montante que consta nessa posição;
Passo 2: Dado que o "Portion of instrument or liability held by the reporting entity" que se pretende é o atual e não o inicial, então terá de se multiplicar  o montante obtido no passo anterior pelo rácio "nom_tot_atual"/"nom_tot_inic", da ct610_titulos; 
Passo 3: Converter para eur pela tabela de cambios (ver query de conversão já definida no campo Original amount issued in EUR (0050)).
Se não constar: 
Reportar 0
Se flag_inst_titulos = '0':
Not applicable.
O respetivo valor default de Not applicable deverá ser parametrizado na lt804_conf_dflt.
Na sheet "Aux Campos Montante" consta um exemplo com a aplicação desta lógica.</t>
  </si>
  <si>
    <t>out_b0200_main_liabilities.0090_prtn_amnt_rprtng_entty</t>
  </si>
  <si>
    <t>Soma "prtn_amnt_rprtng_entty", por cada instrmnt_id da lt005_instr_ent
Na sheet "Aux Campos Montante" consta um exemplo com a aplicação desta lógica.</t>
  </si>
  <si>
    <t>Reunião 2025-10-09 Luís Capitão-Mor, Pedro Mendes
Reunião 2025-09-22 e 2025-09-18 Luís Capitão-Mor, Pedro Mendes</t>
  </si>
  <si>
    <t xml:space="preserve">Accrued interest </t>
  </si>
  <si>
    <t>The EUR (counter)value of the outstanding accrued interest on the instrument. In jurisdictions where accrued interests do not rank pari passu to the principal liability amount, the relevant NRAs have the option to request the reporting of interest accruals on separate line items (41). Only claims against third parties must be reported (i.e. excluding the proportion held by the entity itself, which must be reported in field c0090). In case the field is not applicable (e.g. shares, zero coupon bonds issued at discount), please refer to the specific instructions in the Technical Annex.
(41) - In such cases, please refer to the specific reporting example in Annex II, paragraph 3.7.</t>
  </si>
  <si>
    <t>Leave blank</t>
  </si>
  <si>
    <t>lt002_instrument.accrd_intrst_instrmnt (campo já existente a alterar)
 lt005_instr_ent.accrd_intrst_instrmnt (campo novo a criar)</t>
  </si>
  <si>
    <t xml:space="preserve">lt002_instrument.accrd_intrst_instrmnt (campo já existente a alterar):
O campo accrd_intrst_instrmnt (da lt002_instrument) está atualmente a sair com valor 0 para estes registos de Títulos Passivos (o que não é suposto dado que existem registos que deveriam ter valor).
O campo accrd_intrst_instrmnt (da lt002_instrument) alimenta-se do campo juros_corridos (da lt001_univ_oper) e é calculado atualmente da seguinte forma (segundo "Especificação - BCE Loan Tape_20250915 LF + ESTR"): 
NVL ( SUM(-1*juros_corridos) ,0 )
O campo juros_corridos (da lt001_univ_oper) será calculado da seguinte forma (segundo re-especificação solicitada por Gonçalo Filipe, email 5 de agosto de 2025 12:58):
SUM(MSALDO_FINAL)
WHERE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Constata-se portanto que o campo juros_corridos (da lt001_univ_oper) não contempla atualmente o Passivo (razão pela qual o campo sai com valor 0), pelo que deverá ser adicionada a condição do "OR" abaixo:
SUM(MSALDO_FINAL)
WHERE 												
(												
COD_PLANO = 'BST_IND'												
AND CCONTAB_FINAL_PCSB NOT LIKE '28%'												
AND COMPOSICAO_VALOR = 'juros/rendimentos a receber'												
AND TIPO_CONTA = 'A'												
AND CARTEIRA_CONTABILISTICA IN ('ativos financeiros ao custo amortizado','ativos financeiros ao justo valor atraves de outro rendimento integral','ativos financeiros ao justo valor atraves de resultados')												
)												
OR												
(												
COD_PLANO = 'BST_IND'												
AND COMPOSICAO_VALOR = 'juros/encargos a pagar'												
AND TIPO_CONTA = 'P' 												
AND CARTEIRA_CONTABILISTICA IN ('passivos financeiros ao custo amortizado')												
) 	
- Luís Capitão-Mor, Luísa Sousa, Gonçalo Filipe e Dora Roxo não identificaram impacto nesta alteração.	
lt005_instr_ent.accrd_intrst_instrmnt (campo novo a criar):	
'Se flag_inst_titulos = '1': 
Efetuar exatamente a mesma especificação da lt002_instrument.accrd_intrst_instrmnt mas obtendo o valor por cada "entty_id" (na lt001_univ_oper).
Ex:
Para o contrato 'A' (cempresa, cbalcao,  cnumecta, zdeposit) temos 3 linhas com a seguinte distribuição de juros_corridos na lt001_univ_oper:
cempresa+cbalcao+cnumecta+zdeposit= 'A' | zcliente='1' | juros_corridos = 10 
cempresa+cbalcao+cnumecta+zdeposit= 'A' | zcliente='2' | juros_corridos = 20
cempresa+cbalcao+cnumecta+zdeposit= 'A' | zcliente='3' | juros_corridos = 30
Atualmente o campo accrd_intrst_instrmnt da lt002_instrument calcula simplesmente a soma dos vários montantes de juros_corridos por contrato, ou seja, na  lt002_instrument é apresentado uma única linha:
instrmnt_id= 'A' | accrd_intrst_instrmnt = 60
O que se pretende no novo campo accrd_intrst_instrmnt a criar na lt005_instr_ent:
instrmnt_id= 'A' | entty_id=1 | accrd_intrst_instrmnt = 10
instrmnt_id= 'A' | entty_id=2 | accrd_intrst_instrmnt = 20
instrmnt_id= 'A' | entty_id=3 | accrd_intrst_instrmnt = 30
Se flag_inst_titulos = '0':
Not applicable.
O respetivo valor default de Not applicable deverá ser parametrizado na lt804_conf_dflt.		</t>
  </si>
  <si>
    <t>out_b0200_main_liabilities.0100_accrd_intrst_instrmnt</t>
  </si>
  <si>
    <t>(-1) * Soma "accrd_intrst_instrmnt ", por cada instrmnt_id da lt005_instr_ent 
Nota: Esta multiplicação por -1, deve-se ao facto de no Loan Tape o campo accrd_intrst_instrmnt apresentar valores negativos (para o caso destes registos de Títulos Passivos) e neste report pretenderem-se valores positivos (segundo Pedro Mendes). 
Ex: O contrato 31 6416 00000000000 PTBSREOM0028000 (para 2025-06-30) tem saldo de juros +418465.480000 na fr001_univ_saldo e terá +418465.480000 na lt001_univ_oper (após a nova re-especificação do Gonçalo Filipe, atualmente tem -418465.480000) e terá -418465.480000 na lt002_instrument (dada a fórmula NVL ( SUM(-1*juros_corridos) ,0 )). É portanto necessária a multiplicação por -1, ficando assim +418465.480000.
Deverá ser feita a multiplicação por -1 e não o valor absoluto (abs), dado que poderá  vir a existir algum contrato contra natura.</t>
  </si>
  <si>
    <t>Reunião 2025-10-09 Luís Capitão-Mor, Pedro Mendes
Reunião 2025-09-16 Luís Capitão-Mor, Pedro Mendes, Luísa Sousa</t>
  </si>
  <si>
    <t>Campo já existente no LT - Nova Especificação</t>
  </si>
  <si>
    <t>Applicable fees and charges</t>
  </si>
  <si>
    <t>Total EUR amount of applicable fees and charges (e.g. contractual fees for late payments) linked to the instrument, if the fee or charge is payable and due, but not yet settled with the counterparty as of the request date. This is to the extent that the fee or charge is not covered within the outstanding principal amount, the accrued interest or a separate liability. Fees and charges do not include agios or fees in conjunction with the listing of an instrument. Only claims against third parties must be reported (i.e. excluding the proportion held by the entity itself, which must be reported in field c0090). In case the field is not applicable (e.g. shares), please refer to the specific instructions in the Technical Annex.</t>
  </si>
  <si>
    <t>out_b0200_main_liabilities.0110_applcbl_fees_charges</t>
  </si>
  <si>
    <t>Valor fixo 0</t>
  </si>
  <si>
    <t xml:space="preserve">Reunião 2025-09-22 Luís Capitão-Mor, Pedro Mendes, Luísa Sousa
Solução 1:
Dado que o BST não tem comissões que ainda não tenham sido pagas/liquidadas (not yet settled) neste Universo de Títulos, reportar neste campo valor fixo 0 na tabela final (out_b0200_main_liabilities). 
Segundo Pedro Mendes, nem sequer existem comissões iniciais neste Universo de Títulos dado que é tudo feito internamente ou com o Banco Santander S.A..
Solução 2:
Trazer as comissões periodificadas da Contabilidade, contudo, essas comissões periodificadas podem ter sido pagas ou não, pelo que não é exatamente o que o SRB pede, dado que o SRB refere que quer as não pagas. 
Esta solução implicaria criar um campo novo no Loan Tape e trazer um conceito que não é o que o SRB solicita. Adicionalmente o resultado deste campo seria um conjunto vazio para este Universo de Títulos.
Solução 3:
Criar um campo novo na ct610_titulos. Contudo, este campo seria dinâmico pelo que também não seria uma boa solução.
Dadas as soluções apresentadas, optou-se pela solução 1.
OLD:
Reunião 31/10/2024 Luís Capitão-Mor, Pedro Mendes: 
Segundo Luís Capitão-Mor, Pedro Mendes, este campo aplica-se aos custos periodificados do banco (ainda não pagos, que estão pendentes de pagar) nas emissões que o Banco faz de covered bonds, seniores,... (estão no Passivo do Banco), tem de se pagar aos Advogados, etc. Naturalmente, este campo não se aplica a Depósitos.
Ações solicitadas por Luís Capitão-Mor:
- Agendar reunião com Rafael Pessoa/Carlos Fernandes para ver onde constam estes custos na fr802 (devem ter uma conta contabilistica), levando para a reunião 2 exemplos de covered bonds:
   1) Identificar esses 2 exemplos para uma data mais recente;
   2) Verificar na ct001 quais as contas PCSB (uma conta 50%) e IFRS associadas;
   3) Verificar se para essas contas consta na composicao_valor ou noutro campo da fr802 a indicação de comissão ou despesa
   4) Verificar se esta comissão ficou ou não incluida no gross carrying amount (provavelmente foi incluido).
   5) Verificar na fr004 se já existe lá este conceito de comissão (só seria para adicionar na fr004 caso fosse um conceito que faça sentido para a contabilidade)
   6) Tabela de conceitos ct872 (tem os conceitos com base em campos da fr802): criar nesta tabela o conceito caso ele não exista. </t>
  </si>
  <si>
    <t xml:space="preserve">Outstanding amount </t>
  </si>
  <si>
    <t>0120</t>
  </si>
  <si>
    <t>Total EUR value of the outstanding amount of the instrument/deposit held by the counterparty, calculated as the sum of the amounts reported in data points c0080, c0100 and c0110 (where applicable). The amount is in fact the aggregate of the outstanding principal amount plus, if applicable, interest accrued up to the reference date, and fees and charges, irrespective of whether and to what extent the relevant principal, interest or fee-and-charge liability was already due as at the reference date and whether it is required to be recognised as a liability item in the relevant entity’s balance sheet drawn up in accordance with the applicable accounting principles. In jurisdictions where accrued interest may not rank pari passu to the liability amount, the relevant NRA may request the reporting of interest accruals on separate line items.</t>
  </si>
  <si>
    <t>out_b0200_main_liabilities.0120_otstndng_amnt</t>
  </si>
  <si>
    <t xml:space="preserve">Soma dos 3 campos acima (0080, 0100 e 0110 ): 
Outstanding principal amount + Accrued interest + Applicable fees and charges
</t>
  </si>
  <si>
    <t xml:space="preserve">Reunião 2025-10-09 Luís Capitão-Mor, Pedro Mendes
Reunião 2025-09-22 Luís Capitão-Mor, Pedro Mendes, Luísa Sousa:
Tem de se ter presente que neste campo vamos somar o "Outstanding principal amount" (que não é contabilístico, vem da ct610_titulos) com o "Accrued interest" (que é contabilístico) e com o "Applicable fees and charges" (que é contabilístico). Ou seja, 2 campos vão-se buscar à Contabilidade mas 1 campo não se vai buscar à Contabilidade, o que não é totalmente coerente.
Contudo, não se vê tema dado que o SRB não refere que este campo tem de "bater" com a Contabilidade.
</t>
  </si>
  <si>
    <t>0130</t>
  </si>
  <si>
    <t xml:space="preserve">Total EUR value of the amount eligible for write-down / conversion. Pursuant to Article 48(1) BRRD, resolution authorities shall exercise the write-down and conversion powers in accordance with the cascade set out in letters (a) to (e) of Article 48(1) BRRD. Article 48(2) BRRD further provides that "when applying the write down or conversion powers, resolution authorities shall allocate the losses [...] by reducing the principal amount of, or outstanding amount payable in respect of, those shares or other instruments of ownership and bail-inable liabilities to the same extent pro rata to their value (42) […]".
The portion of eligible liabilities subscribed by intragroup entities and excluded under Article 27(3)(h) SRMR must not be reported as part of the relevant amount for bail-in / WDC.
When determining the relevant amount for bail-in, entities shall take into account national laws that transpose the BRRD. If those provisions do not provide complete and clear guidance for determining the relevant amount for bail-in, careful consideration should in general be given to how the item in question is dealt with under 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above.applicable insolvency legislation43. Furthermore, the contractual terms governing each liability might provide additional insight when performing this assessment.
For debt instruments with embedded derivatives, the following list of items shall be considered:
▪ Any contractually defined floor or cap to the final redemption amount.
▪ Any contractually defined early termination amount, if such amount is deemed to represent the investor’s claim in insolvency/resolution.
▪ The performance of the underlying, whenever it impacts the repayment of the principal amount.
▪ The contractual provisions ruling the payment of interests, to assess whether the accrued component can be properly determined and is relevant for bail-in purposes.
▪ The inclusion of an Article 12c(2)(b) SRMR clause.
▪ Any element relevant to Article 12c(2)(a) SRMR.
▪ Any settlement/close out costs.
▪ Any other term, condition, rule, mechanism or element affecting the making, timing and amount of any kind of payment owed to the holders of the debt instruments with embedded derivatives (please specify).
Without prejudice to the considerations above, in principle:
• the relevant amount for bail-in is defined as the outstanding amount (including accrued interest and fees, when applicable) less any existing components subject to exemptions according to Article 27(3) SRMR (e.g. covered share for bail-inable deposits indicated in data point c0300), or other factors affecting the conversion amount (e.g. safeguards under Articles 76 to 80 BRRD, as applicable);
• for zero coupon bonds issued at discount (i.e. c0240 = ZCB issued at discount), the amount to be reported is the amortised face value (i.e. initially paid up amount plus accrued component of the discount) plus any applicable fees and charges (c0110); and
• for structured instruments, the amount reported in field c0270 minus the value of the collateral (if given) should in principle be considered the relevant amount. In case of products where the derivative component is only affecting the coupon payment (i.e. c0250 = Only structured coupon), please refer to the points above.
In jurisdictions where accrued interest may not rank pari passu to the liability amount, the relevant NRA may request the reporting of interest accruals on separate line items. Own holdings (identified in field c0090) should be deducted.
(42) - For the definition of ‘value’, please refer to EBA Q&amp;A 2017_3629 (https://www.eba.europa.eu/single-rule-book-qa/-
/qna/view/publicId/2017_3629).
</t>
  </si>
  <si>
    <t>out_b0200_main_liabilities.0130_rlvnt_amnt_wdc</t>
  </si>
  <si>
    <t>Reportar Outstanding amount (0120)</t>
  </si>
  <si>
    <t>Reunião 2025-09-24 Luís Capitão-Mor, Pedro Mendes:
Segundo Pedro Mendes, neste campo deve reportar-se o mesmo que é reportado no Outstanding amount (0120), que é a Soma dos 3 campos (0080, 0100 e 0110): Outstanding principal amount + Accrued interest + Applicable fees and charges.
Não se deve reportar o Outstanding principal amount (0040) dado que não contém juros, e segundo Pedro Mendes em caso de resolução os juros devem ser considerados (apesar de na definição não ser referido pelo SRB que se pretende juros), como tal, deve apontar-se para o Outstanding amount (0120), que contém juros. O Outstanding amount (0120) também contém Applicable fees and charges (0110), mas esse campo conterá valor fixo 0.</t>
  </si>
  <si>
    <t>Em curso</t>
  </si>
  <si>
    <t>Nature of the liability</t>
  </si>
  <si>
    <t>0140</t>
  </si>
  <si>
    <t>Drop-down</t>
  </si>
  <si>
    <t>The corresponding category of the instrument/liability. Value to be chosen from the following drop-down list:
• Registered Bond
• Bearer Bond
• Borrower Note Loan
• Certificate of Deposit / Commercial paper
• Title of ownership44
• Cash account/saving account45
• Term deposit46
• Loan
• Bill of exchange
• Other
For deposits reported on an aggregated level (Submission A), please indicate ‘Other’.</t>
  </si>
  <si>
    <t>lt002_instrument.typ_instrmnt</t>
  </si>
  <si>
    <t>Necessário criar novas parametrizações nas tabelas lt829_regras_conversao e lt830_conversoes, podendo as mesmas ser consultadas neste documento nas sheets:
LT829 - filtrando por campo_conceito = 'TYP_INSTRMNT' e regra_conversao = '2';
LT830 - filtrando por segmento = 'ESTR' e campo_conceito = 'TYP_INSTRMNT'.</t>
  </si>
  <si>
    <t>out_b0200_main_liabilities.0140_ntr_lblty</t>
  </si>
  <si>
    <t>Parametrizações da lt829_regras_conversao e da lt830_conversoes validadas com Luísa Sousa em 2025-08-13. 
Adicionalmente, acrescentou-se na lt831_param_conceitos uma nova linha com instrmnt_fncr='titulos de divida emitidos' a mapear para o valor_destino='1005' dado que estes registos estavam a ser preenchidos com typ_instrmnt= '2020' (ou seja, 'Other').
Reunião 2025-07-25 Luís Capitão-Mor, Luísa Sousa</t>
  </si>
  <si>
    <t>Nature of the liability (if other)</t>
  </si>
  <si>
    <t>0141</t>
  </si>
  <si>
    <t>Free text. If ‘Other’ is selected in field c0140, include a meaningful description of the nature of the liability.</t>
  </si>
  <si>
    <t>out_b0200_main_liabilities.0141_ntr_lblty_othr</t>
  </si>
  <si>
    <t>Valor fixo 'Not applicable'</t>
  </si>
  <si>
    <t xml:space="preserve">Reunião 2025-07-25 Luís Capitão-Mor, Luísa Sousa:
</t>
  </si>
  <si>
    <t>Structurally subordinated</t>
  </si>
  <si>
    <t>0150</t>
  </si>
  <si>
    <t>TRUE / FALSE boolean</t>
  </si>
  <si>
    <t>Indicate whether the instrument is considered structurally subordinated (i.e. groups with a HoldCo/OpCo structure). The value to be reported is a TRUE/FALSE Boolean.</t>
  </si>
  <si>
    <t>out_b0200_main_liabilities.0150_flg_strctrlly_sbrdntd</t>
  </si>
  <si>
    <t xml:space="preserve">Insolvency ranking </t>
  </si>
  <si>
    <t>0160</t>
  </si>
  <si>
    <t>The corresponding insolvency ranking of the instrument. Numeric value (e.g. integer of 1 or more).</t>
  </si>
  <si>
    <t>lt002_instrument.rank_insolv</t>
  </si>
  <si>
    <t xml:space="preserve">Se flag_inst_titulos = '1': 
Obter rank_insolv da ct610_titulos;
Se flag_inst_titulos = '0': 
Não preencher 
</t>
  </si>
  <si>
    <t>out_b0200_main_liabilities.0160_rank_insolv</t>
  </si>
  <si>
    <t>Reunião 2025-06-20 Luís Capitão-Mor, Pedro Mendes, Luísa Sousa</t>
  </si>
  <si>
    <t>Contractual subordination</t>
  </si>
  <si>
    <t>0161</t>
  </si>
  <si>
    <t>Numeric sequence to indicate whether an instrument/liability is subordinated within the same insolvency rank as a result of its own contractual terms. The inclusion of these contractual terms should duly consider paragraph 141 of the EBA report on the monitoring of Additional Tier 1 (AT1) instruments of European Union (EU) institutions47, as well as any country-specific provision in this regard.
The value of the field must be indicated using the corresponding insolvency ranking to which the instrument pertains and the numeric sequence of its contractual subordination, separated by a dot (e.g. two instruments in insolvency rank 2 subordinated to each other will have this field set to 2.01 and 2.02). Please refer to the specific reporting example (Annex II, paragraph 3.6).</t>
  </si>
  <si>
    <t>out_b0200_main_liabilities.0161_cntrctl_sbrdntn</t>
  </si>
  <si>
    <t>Valor fixo 999999999999999</t>
  </si>
  <si>
    <t>Reunião 2025-07-31 Luís Capitão-Mor, Pedro Mendes:
Segundo Pedro Mendes, este campo é not applicable porque na nossa operativa as emissões têm sempre o mesmo grau de subordinação dentro do mesmo ranking. Ou seja, por exemplo no caso do ranking 4 não teremos 4.01, 4.02, 4.03 dado que é tudo ranking 4.</t>
  </si>
  <si>
    <t>Bail-in cascade</t>
  </si>
  <si>
    <t>Fixed values</t>
  </si>
  <si>
    <t>(Alpha)numeric sequence to indicate the order of write-down and conversion pursuant to Article 48 BRRD. If the priority order of this cascade differs from the one stemming from the insolvency ranking reported in field c0160, please refer to the relevant Country Annex or to the specific instructions provided by the relevant NRA/IRT. When allowed under the applicable national law, institutions must reflect in this sequence the order provided by the applicable contractual subordination. Please refer to the specific reporting example (Annex II, paragraph 3.6).
The bail-in cascade assigned to secured liabilities shall always be the one applicable to the (potentially) unsecured part of the liability based on the current internal valuation of the collateral by the bank.</t>
  </si>
  <si>
    <t>out_b0200_main_liabilities.0162_bail_in_cascade</t>
  </si>
  <si>
    <t>Reunião 2025-07-30 Luís Capitão-Mor, Pedro Mendes, Luísa Sousa:
No caso de Portugal o bail-in cascade é igual ao ranking de insolvência.</t>
  </si>
  <si>
    <t>Date of issuance</t>
  </si>
  <si>
    <t>0170</t>
  </si>
  <si>
    <t>Date</t>
  </si>
  <si>
    <t>yyyy-mm-dd</t>
  </si>
  <si>
    <t>Date of the original issuance of the liability. Format required: yyyy-mm-dd. This field is not applicable for liabilities of the type ‘Cash account/saving account’ (c0140) and deposits reported in aggregated form (Submission A).
For securities issued as part of a tap issue, i.e. an issuance of additional securities under an ISIN that already exists, there should only be one row including all securities under that ISIN. The date of issuance should be the issuance date of the first issue under that ISIN.</t>
  </si>
  <si>
    <t>lt002_instrument.dt_incptn</t>
  </si>
  <si>
    <t xml:space="preserve">
</t>
  </si>
  <si>
    <t>out_b0200_main_liabilities.0170_dt_incptn</t>
  </si>
  <si>
    <t>Reunião 2025-06-23 Luís Capitão-Mor, Pedro Mendes, Luísa Sousa</t>
  </si>
  <si>
    <t xml:space="preserve">Date of the next interest payment </t>
  </si>
  <si>
    <t>0180</t>
  </si>
  <si>
    <t>The payment date from which the income distribution is made available for payment by the reporting entity. Format required: yyyy-mm-dd. If not applicable (e.g. shares), the bank should report ‘0001-01-01’. This field is not applicable for deposits reported in aggregated form (Submission A).</t>
  </si>
  <si>
    <t>Input "0001-01-01"</t>
  </si>
  <si>
    <t xml:space="preserve">lt002_instrument.dt_nxt_intrst_pymnt </t>
  </si>
  <si>
    <t>‣ Para o universo aplicável, obter campos "dt_prox_liq_juros_act" e "dt_prox_liq_juros_pas" da cd_alm.al029_cnt_core_m. Para cada contrato, mapear com o campo que estiver preenchido. Ou seja, se num determinado contrato estiver preenchido o "dt_prox_liq_juros_act" então mapear este campo, se estiver preenchido o "dt_prox_liq_juros_pas" então mapear este campo (se nenhum dos 2 campos estiver preenchido então é um "MISS")
‣ Para o universo não aplicável (dt_nxt_intrst_pymnt ='1111-11-11' -&gt; valor de Not Applicable para data), necessário criar nova parametrização na tabela lt831_param_conceitos, podendo a mesma ser consultada neste documento na sheet 'LT831' filtrando por tabela_conceito = 'LT002_INSTRUMENT' e campo_conceito = 'DT_NXT_INTRST_PYMNT'. 
Nota: Deverá seguir-se a mesma lógica de obtenção de campos de ALM que atualmente existe no Loan Tape</t>
  </si>
  <si>
    <t>out_b0200_main_liabilities.0180_dt_nxt_intrst_pymnt</t>
  </si>
  <si>
    <t xml:space="preserve">Reunião 2025-08-08 Luís Capitão-Mor, Pedro Mendes, Luísa Sousa:
Segundo Luís Capitão-Mor, o universo Not Applicable deste campo é o mesmo do campo PYMNT_FRQNCY. 
O PYMNT_FRQNCY tem definidos os typ_instrumnt not applicable na lt803_codigos_lt (procurar na lt803_codigos_lt por campo_lt= 'PYMNT_FRQNCY_NA'). Dado que este campo é um campo novo então deverá efetuar-se essa parametrização mas na lt831_param_conceitos (e não na lt803_codigos_lt).
Reunião 2025-08-06 Luís Capitão-Mor, Pedro Mendes, Luísa Sousa
Reunião 2025-06-23 Luís Capitão-Mor, Pedro Mendes, Luísa Sousa
</t>
  </si>
  <si>
    <t>Date of the next (partial) redemption payment</t>
  </si>
  <si>
    <t>0190</t>
  </si>
  <si>
    <t>The payment date or the date on which the (partial) redemption payment is due for payment (e.g. cases in which a portion of the liabilities is reimbursed before the final legal maturity). If not applicable, please report the final legal maturity (c0210).
This field is not applicable for liabilities of the type ‘Cash account/saving account’ (c0140) and for deposits reported in aggregated form (Submission A).</t>
  </si>
  <si>
    <t>Input the final legal maturity of the liability (c0210)</t>
  </si>
  <si>
    <t>out_b0200_main_liabilities.0190_dt_nxt_rdmptn_pymnt</t>
  </si>
  <si>
    <t>lt002_instrument.dt_lgl_fnl_mtrty</t>
  </si>
  <si>
    <t xml:space="preserve">Reunião 2025-09-16 Luís Capitão-Mor, Pedro Mendes:
O conceito de date of the next redemption payment é aplicável aos Títulos, no limite, pode ser a data de maturidade. 
Identificaram-se 2 Soluções possíveis:
Solução 1: Criar um campo novo no Loan Tape (caso não exista):
‣ Para o universo aplicável, obter campos "dt_prox_amort_capital_act" e "dt_prox_amort_capital_pas" da cd_alm.al029_cnt_core_m. Para cada contrato, mapear com o campo que estiver preenchido. Ou seja, se num determinado contrato estiver preenchido o "dt_prox_amort_capital_act" então mapear este campo, se estiver preenchido o "dt_prox_amort_capital_pas" então mapear este campo (se nenhum dos 2 campos estiver preenchido então é um "MISS")
‣ Para o universo não aplicável, necessário criar nova parametrização na tabela lt831_param_conceitos
Solução 2: Não criar o campo no Loan Tape, e na tabela de output final (out_b0200_main_liabilities) apontar este campo para o campo lt002_instrument.dt_lgl_fnl_mtrty, dado que nos registos deste Universo de Títulos este campo corresponde sempre à data de maturidade e não se prevê que esta situação se altere no futuro.
Dado que a Solução 1 é mais dispendiosa (apesar de ser mais resiliente), nesta fase optou-se pela Solução 2. 
Adicionalmente, confirmou-se que não existe valor nos campos "dt_prox_amort_capital_act" e "dt_prox_amort_capital_pas" na cd_alm.al029_cnt_core_m para os registos deste Universo de Títulos.
Query: 
select distinct concat(cempresa,cbalcao,cnumecta,zdeposit) as contrato,
trim(dt_prox_amort_capital_act) , 
trim(dt_prox_amort_capital_pas)
from cd_alm.al029_cnt_core_m
 where ref_date = '2025-06-30' and 
concat(cempresa,cbalcao,cnumecta,zdeposit) in
(
'31641600000000000PTSTOGOM0003000',
'31641600005800007PTBSRDOM0037000',
'31641600005800007PTSTOCOM0007000',
'31641600005800007PTCPP0AM0007000',
'31641600000000000PTSTOEOM0021000', 
'31641600000000000PTSTOHOM0002000', 
'31641600000000000PTBSREOM0028000', 
'31641600000000000PTSTOFOM0004000')
order by 1;
</t>
  </si>
  <si>
    <t xml:space="preserve">Earliest redemption date </t>
  </si>
  <si>
    <t>0200</t>
  </si>
  <si>
    <t>If an option exists for holders of the instrument to request early reimbursement, or conditions for early reimbursement are contractually provided, the earliest occurrence date should be reported. Format required: yyyy-mm-dd. If that date corresponds to the legal maturity (c0210), please report the latter. If not applicable, the bank should report ‘0001-01-01’.
This field is not applicable for liabilities of the type ‘Cash account/saving account’ (c0140) and for deposits reported in aggregated form (Submission A).</t>
  </si>
  <si>
    <t>out_b0200_main_liabilities.0200_dt_erlst_rdmptn</t>
  </si>
  <si>
    <t xml:space="preserve">Valor fixo ‘0001-01-01’.
</t>
  </si>
  <si>
    <t xml:space="preserve">Reunião 2025-09-10 Luís Capitão-Mor, Pedro Mendes, Luísa Sousa:
Segundo Pedro Mendes, este campo é na visão do Investidor. Ou seja, para o âmbito em questão é não aplicável, só o Banco tem a opção de terminar a emissão mais cedo em datas pré-definidas. Portanto, decidiu-se que este campo será reportado com o valor fixo ‘0001-01-01’ (Not applicable). </t>
  </si>
  <si>
    <t>Campo a visitar na próxima reunião</t>
  </si>
  <si>
    <t>Legal maturity</t>
  </si>
  <si>
    <t>0210</t>
  </si>
  <si>
    <t>Date of the legal, final maturity of the instrument or liability (including term deposits). Format required: yyyy-mm-dd. For perpetual instruments, the bank should report ‘2099-01-31’. If not applicable, the bank should report ‘0001-01-01’.
This field is not applicable for liabilities of the type ‘Cash account/saving account’ (c0140) and for deposits reported in aggregated form (Submission A).</t>
  </si>
  <si>
    <t>‣ Necessário criar novas parametrizaçôes nas tabelas lt829_regras_conversao e lt830_conversoes, podendo as mesmas ser consultadas neste documento nas sheets:
     LT829 - filtrando por campo_conceito = 'DT_LGL_FNL_MTRTY' e regra_conversao = '1';
     LT830 - filtrando por segmento = 'ESTR' e campo_conceito = 'DT_LGL_FNL_MTRTY'.</t>
  </si>
  <si>
    <t>out_b0200_main_liabilities.0210_dt_lgl_fnl_mtrty</t>
  </si>
  <si>
    <t>Reunião 2025-08-06 Luís Capitão-Mor, Pedro Mendes, Luísa Sousa
Reunião 2025-06-23 Luís Capitão-Mor, Pedro Mendes, Luísa Sousa
Nota: Mariana Romão comentou que não é necessário colocar na parametrização da lt829 a linha de quando é not in  ('9999-12-31',  '1111-11-11') a mapear para o dt_lgl_fnl_mtrty, dado que o código já está a fazer isso, ou seja, o código aplica as parametrizações que estão na lt029 e o que não estiver traz o que vem no campo (neste caso o dt_lgl_fnl_mtrty).</t>
  </si>
  <si>
    <t>Governing law</t>
  </si>
  <si>
    <t>0220</t>
  </si>
  <si>
    <t>ISO 3166-1 alpha 2 / ISO 3166-2</t>
  </si>
  <si>
    <t>The ISO 3166-1 alpha-2 code of the country whose law governs the instrument (please use the ISO 3166-2 code when the law of an administrative subdivision is relevant, e.g. ‘US-NY’). If the contract is governed by the law of more than one country, the country whose law has the highest relevance for the recognition of write-down and conversion powers must be reported. For deposits reported on an aggregate level, please indicate ‘XX’.</t>
  </si>
  <si>
    <t>Input "XX"</t>
  </si>
  <si>
    <t>lt002_instrument.governing_law</t>
  </si>
  <si>
    <t>XX</t>
  </si>
  <si>
    <t>out_b0200_main_liabilities.0220_governing_law</t>
  </si>
  <si>
    <t>Bail-in recognition clause</t>
  </si>
  <si>
    <t>0230</t>
  </si>
  <si>
    <t>Indicate one of the following:
• Yes, supported by Legal Opinion = the liability includes a bail-in recognition clause in line with Article 55 BRRD that is supported by a legal opinion;
• Yes, not supported by Legal Opinion = the liability includes a bail-in recognition clause in line with Article 55 BRRD that is currently not supported by a legal opinion;
• No = the liability does not include a bail-in recognition clause;
• Not applicable = the bail-in clause is not applicable (e.g. the governing law is not that of a third country, or a recognition clause is not requested as the third-country jurisdiction recognises the powers of the resolution authority).
• Aggregated = deposits reported on an aggregated level.</t>
  </si>
  <si>
    <t>Input "Not applicable"</t>
  </si>
  <si>
    <t>out_b0200_main_liabilities.0230_bail_in_rcgntn_cls</t>
  </si>
  <si>
    <t>Valor fixo 'Yes, supported by Legal Opinion'</t>
  </si>
  <si>
    <t>Reunião 2025-07-30 Luís Capitão-Mor, Pedro Mendes, Luísa Sousa</t>
  </si>
  <si>
    <t>Zero-Coupon</t>
  </si>
  <si>
    <t>0240</t>
  </si>
  <si>
    <t>Indicate whether the instrument/liability is:
• ZCB issued at discount = liabilities issued at discount where the principal / face value of 100% will be repaid at maturity;
• ZCB not issued at discount = liabilities issued at a face value of 100%, where there is one payment at maturity that consists of the face value and the accrued interest;
• No ZCB = the liability is not a zero coupon bond;
• Aggregated = deposits reported on an aggregated level.</t>
  </si>
  <si>
    <t>out_b0200_main_liabilities.0240_zero_coupon</t>
  </si>
  <si>
    <t>Valor fixo 'No ZCB'</t>
  </si>
  <si>
    <t>Structured product</t>
  </si>
  <si>
    <t>0250</t>
  </si>
  <si>
    <t>Indicate whether the instrument/liability is to be considered structured or contains specific non-standard terms, using one of the following values:
• Non-structured/Vanilla;
• Structured;
• Other non-standard terms = “Non-standardised terms” refers to terms and conditions that may influence, among others, the nature and maturity of the contract. Examples of such non-standardised terms are material-adverse-change clauses, termination options with rising interest rates etc;
• Only structured coupon = “Only structured coupon” refers to structured product where the derivative component only affects the coupon payment, namely is fully capital guaranteed with no possibility to reimburse at maturity an amount (excluding the coupon) that differs from the nominal amount. In addition, it is applicable only in case the accrued interest can be computed;
• Aggregated = deposits reported on an aggregated level.
A structured instrument is defined as a debt obligation with an embedded derivative component and whose returns are determined by an underlying, e.g. an underlying security or index (public or special index, e.g. based on shares or bonds, fixed-income investments or loan, foreign exchange, commodities, etc.). Structured debt instruments do not cover debt instruments with an underlying only call or put options, i.e. the value of the instrument is not determined by an embedded derivative.</t>
  </si>
  <si>
    <t> </t>
  </si>
  <si>
    <t>out_b0200_main_liabilities.0250_strctrd_prdct</t>
  </si>
  <si>
    <t>Valor fixo 'Non-structured/Vanilla'</t>
  </si>
  <si>
    <t>Guaranteed minimum repayment amount of the structured product</t>
  </si>
  <si>
    <t>0260</t>
  </si>
  <si>
    <t>Guaranteed minimum principal amount, which is not dependent on contingent liabilities. Relevant only for structured liabilities. Only claims against other parties are to be reported (i.e. excluding the portion held by the entity itself, which must be reported in field c0090).</t>
  </si>
  <si>
    <t>out_b0200_main_liabilities.0260_grntd_min_amnt_strctrd_prdct</t>
  </si>
  <si>
    <t xml:space="preserve">
Valor fixo 999999999999999
</t>
  </si>
  <si>
    <t>Fair value of the structured product</t>
  </si>
  <si>
    <t>0270</t>
  </si>
  <si>
    <t>Total EUR amount of the fair value of the structured product to estimate the outstanding amount due in resolution (including fees, if applicable). Relevant only for structured liabilities.
The impact of the relevant entity’s own credit-risk component shall not be included when determining the value.
Only claims against other parties are to be reported (i.e. excluding the portion held by the entity itself, which must be reported in field c0090).</t>
  </si>
  <si>
    <t>out_b0200_main_liabilities.0270_fv_amnt_strctrd_prdct</t>
  </si>
  <si>
    <t>Not covered and not preferential deposit</t>
  </si>
  <si>
    <t>0280</t>
  </si>
  <si>
    <t>Identification if the deposit does not qualify for exclusion from bail-in or preferential treatment in accordance with Article 27(3)(a) SRMR or Article 108 BRRD. The value to be reported is a TRUE/FALSE Boolean, where ‘TRUE’ identifies an NCNP deposit and ‘FALSE’ identifies otherwise. This field should be reported only for deposits (48).
(48) - Deposits are deposits according to Directive 2014/49/EU and its national transpositions.</t>
  </si>
  <si>
    <t>out_b0200_main_liabilities.0280_flg_ncnp_dpsts</t>
  </si>
  <si>
    <t>Valor fixo 'FALSE'</t>
  </si>
  <si>
    <t>Reunião 2025-09-23 Pedro Mendes:
Segundo Pedro Mendes, este campo deverá assumir valor fixo 'FALSE'.
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</si>
  <si>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Not covered but preferential deposit</t>
  </si>
  <si>
    <t>0290</t>
  </si>
  <si>
    <t>Identification if the deposit does not qualify for exclusion from bail-in (Article 27(3)(a) SRMR), yet to which preferential treatment is provided by Article 108 BRRD. The value to be reported is a TRUE/FALSE Boolean, where ‘TRUE’ identifies an NCBP deposit and ‘FALSE’ identifies otherwise. This field should be reported only for deposits (49).
(49) - Deposits are those defined as such by Directive 2014/49/EU and its national transpositions</t>
  </si>
  <si>
    <t>out_b0200_main_liabilities.0290_flg_ncbp_dpsts</t>
  </si>
  <si>
    <t>Covered portion of eligible deposits</t>
  </si>
  <si>
    <t>0300</t>
  </si>
  <si>
    <t xml:space="preserve">Total EUR amount of the covered portion of eligible deposits as per Article 27(3)a SRMR. As the amount of covered deposits is calculated per depositor (50), in the case of depositors with multiple accounts, this amount shall in principle be calculated pro rata for the different accounts reported at a granular level (on an account by account basis), unless specific provisions resulting from the transposition of Directive 2014/49/EU into national law are applicable (51). This field should be reported only for deposits (52). Fully covered deposits must not be reported.
(50) - Article 6 of Directive 2014/49/EU.
(51) - Please refer to the specific reporting example in Annex II, paragraph 3.9.
(52) -  Deposits are those defined as such by Directive 2014/49/EU and its national transpositions.
</t>
  </si>
  <si>
    <t>out_b0200_main_liabilities.0300_amnt_cvrd_elgbl_dpsts</t>
  </si>
  <si>
    <t>Reunião 2025-06-23 Luís Capitão-Mor, Pedro Mendes, Luísa Sousa:
Tomou-se a decisão de não colocar estes campos not applicable no Loan Tape uma vez que eles não teriam lógica associada. Se a futuro for necessário desenvolver estes campos, então aí sim deverão ser colocados e desenvolvidos no Loan Tape.</t>
  </si>
  <si>
    <t>Secured/Unsecured</t>
  </si>
  <si>
    <t>0310</t>
  </si>
  <si>
    <t xml:space="preserve">Indicate whether the instrument is subject to collateral agreements or not, from a predefined list:
• Secured;
• Unsecured.
When reporting secured liabilities, please refer to the related reporting example in the Technical Annex. </t>
  </si>
  <si>
    <t xml:space="preserve">out_b0200_main_liabilities.0310_flg_clltrl_agrmnts </t>
  </si>
  <si>
    <t>Valor fixo 'Unsecured'</t>
  </si>
  <si>
    <r>
      <t>Amount of pledge</t>
    </r>
    <r>
      <rPr>
        <sz val="10"/>
        <color theme="1"/>
        <rFont val="Calibri"/>
        <family val="2"/>
        <scheme val="minor"/>
      </rPr>
      <t>,</t>
    </r>
    <r>
      <rPr>
        <b/>
        <sz val="10"/>
        <rFont val="Calibri"/>
        <family val="2"/>
        <scheme val="minor"/>
      </rPr>
      <t xml:space="preserve"> </t>
    </r>
    <r>
      <rPr>
        <sz val="10"/>
        <rFont val="Calibri"/>
        <family val="2"/>
        <scheme val="minor"/>
      </rPr>
      <t>lien or collateral</t>
    </r>
  </si>
  <si>
    <t>0320</t>
  </si>
  <si>
    <t>Total EUR amount (market value) of the pledge, lien or collateral if the liability is secured, based on the current internal valuation. For unsecured liabilities, this field is not applicable. If the entity retains a portion of the secured liability (i.e. own holdings), the collateral value should only refer to the portion of the liability against other parties and not held by the reporting entity.(53)
This amount determines the secured portion of each secured liability(54).
For collateral pools securing multiple row items, the overall coverage ratio should be determined and applied pro rata to all row items covered by this pool.
For subordinated collaterals, the outstanding amount of the senior secured liability must be deducted.
(53)=(54)=Please refer to the dedicated reporting example in Annex II, paragraph 3.5.</t>
  </si>
  <si>
    <t>out_b0200_main_liabilities.0320_amnt_clltrl</t>
  </si>
  <si>
    <t>Amount of the uncollateralized part</t>
  </si>
  <si>
    <t>0330</t>
  </si>
  <si>
    <t>The positive difference between the outstanding amount (or fair value, when applicable) of the secured liability (or the liability for which collateral has been pledged) as reported in field c0120 (or c0270, when applicable) and the market value of the pledge, lien or collateral (c0320). For collateral pools securing multiple row items, the overall coverage ratio should be determined and applied pro rata to all row items covered by this pool.</t>
  </si>
  <si>
    <t>out_b0200_main_liabilities.0330_amnt_unclltrlzd</t>
  </si>
  <si>
    <t>Internal identification number of the pledge, lien or collateral/collateral pool</t>
  </si>
  <si>
    <t>0340</t>
  </si>
  <si>
    <t>Indicate the internal identifier of the pledge, lien or collateral / collateral pool (where applicable). In the event of several relevant IDs, all IDs should be reported and separated by a vertical bar.</t>
  </si>
  <si>
    <t>out_b0200_main_liabilities.0340_id_clltrl</t>
  </si>
  <si>
    <t>Type of the collateral</t>
  </si>
  <si>
    <t>0350</t>
  </si>
  <si>
    <t>Identify the type of collateral used for the collateralisation:
• Real estate;
• Ships;
• Aircraft;
• Financial;
• Other;
• Not applicable</t>
  </si>
  <si>
    <t>out_b0200_main_liabilities.0350_typ_clltrl</t>
  </si>
  <si>
    <t>Type of the collateral (if other)</t>
  </si>
  <si>
    <t>0351</t>
  </si>
  <si>
    <t>Specify the type of collateral if ‘Other’ is selected in field c0350.</t>
  </si>
  <si>
    <t>out_b0200_main_liabilities.0351_typ_clltrl_othr</t>
  </si>
  <si>
    <t>Trading method</t>
  </si>
  <si>
    <t>0360</t>
  </si>
  <si>
    <t>Indicate whether the security is traded (55), either in nominal form or in units (56), as specified in the corresponding final issuance documentation, by selecting one of the following:
• Nominal;
• Unit;
• Not applicable.
Please refer to the reporting example in Annex II, paragraph 3.8.
(55) -  In this context, ‘traded’ means all securities for which there is a CSD of issuance, as indicated in data point c0460 (Central securities depository).
(56) - As a general indication, please refer to the definitions provided in the International Securities Operational Market Practice Book published by Euroclear Bank and Clearstream Banking, in particular Annex 9 (‘Units and Nominal recommendation’).
Data points c0360 to c0521 might be relevant only in cases of externally issued liabilities or for intragroup liabilities issued in CSDs/iCSDs.</t>
  </si>
  <si>
    <t>lt002_instrument.trdng_mthd</t>
  </si>
  <si>
    <t xml:space="preserve">Necessário criar nova parametrização na tabela lt831_param_conceitos podendo a mesma ser consultada neste documento na sheet 'LT831' filtrando por tabela_conceito = 'LT002_INSTRUMENT' e campo_conceito = 'TRDNG_MTHD'. 
A parametrização irá basear-se nos campos 'TIPO_TITULO' (proveniente da ct610_titulos), 'FLAG_INST_TITULOS' (proveniente da lt001_univ_oper) e 'PRDCT' (proveniente da lt002_instrument).
</t>
  </si>
  <si>
    <t>out_b0200_main_liabilities.0360_trdng_mthd</t>
  </si>
  <si>
    <t>Denomination / Nominal value per security in EUR</t>
  </si>
  <si>
    <t>The smallest amount of the security that can be transferred, in EUR currency (if the original currency is not EUR, please also report the EUR-converted amount in this field).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</si>
  <si>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lt002_instrument.amnt_scrty_eur</t>
  </si>
  <si>
    <t>Se flag_inst_titulos = '1': 
Obter campo nom_unit_atual da ct610_titulos. Adicionalmente, efetuar conversão via tabela cambios (ver query de conversão já definida no campo Original amount issued in EUR (0050))
Se flag_inst_titulos = '0':
Not applicable.
O respetivo valor default de Not applicable deverá ser parametrizado na lt804_conf_dflt.</t>
  </si>
  <si>
    <t>out_b0200_main_liabilities.0370_amnt_scrty_eur</t>
  </si>
  <si>
    <t>Reunião 2025-09-22 Luís Capitão-Mor, Pedro Mendes, Luísa Sousa:
Interpreta-se que o SRB solicita o valor nominal de cada título</t>
  </si>
  <si>
    <t>Denomination / Nominal value per security in original currency</t>
  </si>
  <si>
    <t>0380</t>
  </si>
  <si>
    <t>The smallest amount of the security that can be transferred, in the original currency. If a denomination exists, it represents the higher integral multiple amount. For unit-traded securities (when indicated in data point c0360), this field should be reported only if a nominal value exists. Please refer to the reporting example in Annex II, paragraph 3.8.
Data points c0360 to c0521 might be relevant only in cases of externally issued liabilities or for intragroup liabilities issued in CSDs/iCSDs.</t>
  </si>
  <si>
    <t>lt002_instrument.amnt_scrty_fx</t>
  </si>
  <si>
    <t>Se flag_inst_titulos = '1': 
Obter campo nom_unit_atual da ct610_titulos.
Se flag_inst_titulos = '0':
Not applicable.
O respetivo valor default de Not applicable deverá ser parametrizado na lt804_conf_dflt.</t>
  </si>
  <si>
    <t>out_b0200_main_liabilities.0380_amnt_scrty_fx</t>
  </si>
  <si>
    <t>Reunião 2025-09-22 Luís Capitão-Mor, Pedro Mendes, Luísa Sousa:
Campo igual ao "Denomination / Nominal value per security in EUR" (0370) mas sem efetuar a conversão para Eur (dado que o SRB solicita o montante na moeda original)</t>
  </si>
  <si>
    <t>Number of securities outstanding not held by the reporting entity</t>
  </si>
  <si>
    <t>Number of outstanding securities issued per ISIN (or other code), not held by the reporting entity itself.
Data points c0360 to c0521 might be relevant only in cases of externally issued liabilities or for intragroup liabilities issued in CSDs/iCSDs.</t>
  </si>
  <si>
    <t>out_b0200_main_liabilities.0390_nmbr_scrts_not_rprtng_entty</t>
  </si>
  <si>
    <t>Outstanding principal amount (0080)  -&gt; vem do nom_tot_atual (e exclui-se as recompras que constam no Portion of instrument or liability held by the reporting entity )
Denomination / Nominal value per security in EUR (0370) -&gt; vem do nom_unit_atual da ct610
Number of securities outstanding not held by the reporting entity= 0080 / 0370</t>
  </si>
  <si>
    <t>Reunião 2025-08-04 Luís Capitão-Mor, Pedro Mendes, Luísa Sousa:
Segundo Pedro Mendes, aqui pede-se a quantidade.
Segundo LCM, ver se nos campos acima de montante existe algum que só tenha o nominal atual excluindo as recompras próprias, mas com tudo o resto.
Exemplo: 
Emissão inicial de uma Titularização de 1000 Milhões de Eur
Atualmente, temos 900 Milhões de Eur (devido ao pool factor de 0,9).
Desses 900 Milhões de Eur:
- 50 Milhões de Eur foram recomprados pelo próprio BST 
- 100 Milhões de Eur estão no Banco Santander SA
- 750 Milhões de Eur estão no Mercado
Ou seja, tem de se identificar se nos campos lá em cima se existe algum que tenha os 850 Milhões de Eur.
O cálculo do campo "Number of securities outstanding not held by the reporting entity" deverá ser feito dividindo esse campo lá cima pelo valor nominal atual que está na ct610</t>
  </si>
  <si>
    <t>campo a visitar na próxima reunião</t>
  </si>
  <si>
    <t>Number of securities outstanding held by the reporting entity</t>
  </si>
  <si>
    <t>0391</t>
  </si>
  <si>
    <t>Number of outstanding securities issued per ISIN (or other code), held by the reporting entity itself. This field must be reported consistently with data point c0090.
Data points c0360 to c0521 might be relevant only in cases of externally issued liabilities or for intragroup liabilities issued in CSDs/iCSDs.</t>
  </si>
  <si>
    <t>out_b0200_main_liabilities.0391_nmbr_scrts_rprtng_entty</t>
  </si>
  <si>
    <t>Portion of instrument or liability held by the reporting entity (0090)
Denomination / Nominal value per security in EUR (0370) -&gt; vem do nom_unit_atual da ct610
Number of securities outstanding held by the reporting entity= 0090/0370</t>
  </si>
  <si>
    <t>Reunião 2025-08-04 Luís Capitão-Mor, Pedro Mendes, Luísa Sousa:
Este campo faria-se pela diferença com o campo anterior</t>
  </si>
  <si>
    <t>Accrued interest per security</t>
  </si>
  <si>
    <t>0400</t>
  </si>
  <si>
    <t>4 decimals</t>
  </si>
  <si>
    <t>Total EUR amount of the accrued interest per security issued per ISIN (or other code). In jurisdictions where accrued interests do not rank pari passu to the principal liability amount, the relevant NRAs may request reporting of interest accruals as on separate line items.
Data points c0360 to c0521 might be relevant only in cases of externally issued liabilities or for intragroup liabilities issued in CSDs/iCSDs.</t>
  </si>
  <si>
    <t>out_b0200_main_liabilities.0400_accrd_intrst_scrty</t>
  </si>
  <si>
    <t>Accrued interest (0100) / (Number of securities outstanding not held by the reporting entity (0390) + Number of securities outstanding held by the reporting entity (0391) )
Reunião 2025-09-22 Luís Capitão-Mor, Pedro Mendes, Luísa Sousa:
Fazer simulação: 
1) Aplicar a fórmula referida: divisão do accrued interest (contabilístico) pela quantidade.
2) Ver se na bloomberg (ou algum site que a Financeira usa) constam estes títulos e ver o accrued interest que lá está. Ou com a Cláudia no Asset Control.
3) Comparar o 1 com o 2 e verificar se dá igual. Se sim, temos então algum conforto em usar o 1.
- Segundo Cláudia Correia, "não existe. O Asset Control só tem preços puros de mercado"
- Pedro Mendes ficou de confirmar se existe alguma plataforma onde conste isso, mas o que existe atualmente é o excel da Contabilidade com as Emissões.
Ver sheet "Accrued interest per security"</t>
  </si>
  <si>
    <t>Fees and charges per security</t>
  </si>
  <si>
    <t>0410</t>
  </si>
  <si>
    <t>Total EUR amount of the fees and charges per security issued per ISIN (or other code). Applicable fees and charges (e.g. contractual fees for late payments) linked to the instrument, if the fee or charge is payable and due but not yet settled with the counterparty as of the request date, to the extent that the fee or charge is not covered within the outstanding principal amount, the accrued interest or a separate liability. Fees and charges do not include agios or fees in conjunction with the listing of a security.
Data points c0360 to c0521 might be relevant only in cases of externally issued liabilities or for intragroup liabilities issued in CSDs/iCSDs.</t>
  </si>
  <si>
    <t>out_b0200_main_liabilities.0410_fees_charges_scrty</t>
  </si>
  <si>
    <t xml:space="preserve">Valor fixo 0
</t>
  </si>
  <si>
    <t>Reunião 2025-09-24 Luís Capitão-Mor, Pedro Mendes:
Tendo em conta que no campo "Applicable fees and charges" (0110) se vai reportar valor fixo 0, e que este campo trata do mesmo conceito (apresenta a mesma definição) mas por título (per security), então também se deve reportar valor fixo 0.</t>
  </si>
  <si>
    <t>Fair value per security</t>
  </si>
  <si>
    <t>0420</t>
  </si>
  <si>
    <t>Total EUR amount of the fair value (as reported in field c0270) per security issued per ISIN (or other code).
Data points c0360 to c0521 might be relevant only in cases of externally issued liabilities or for intragroup liabilities issued in CSDs/iCSDs.</t>
  </si>
  <si>
    <t>out_b0200_main_liabilities.0420_fv_amnt_scrty</t>
  </si>
  <si>
    <t>Reunião 2025-09-24 Luís Capitão-Mor, Pedro Mendes:
Tendo em conta que no campo "Fair value of the structured product" (0270) se vai reportar valor fixo 999999999999999, e que este campo trata do mesmo conceito (apresenta a mesma definição) mas por título (per security), então também se deve reportar valor fixo 999999999999999.</t>
  </si>
  <si>
    <t>Principal amount of the global note in EUR</t>
  </si>
  <si>
    <t>0430</t>
  </si>
  <si>
    <t>The outstanding aggregate principal amount of the global note per ISIN or other code, in EUR (including own holdings when applicable). If the value is reported in a foreign currency in field c0431, the amount must be converted into EUR and reported in this field using the EUR reference exchange rate. For foreign currencies for which no EUR reference exchange rate is available, a customary market reference rate must be used. If such other customary reference exchange rates are used, a uniform source must be used wherever possible. This field is not applicable if the trading method selected in field c0360 is ‘Unit’.
Data points c0360 to c0521 might be relevant only in cases of externally issued liabilities or for intragroup liabilities issued in CSDs/iCSDs.</t>
  </si>
  <si>
    <t>out_b0200_main_liabilities.0430_prncpl_amnt_glbl_nt_eur</t>
  </si>
  <si>
    <t>Reunião 2025-08-13 Luís Capitão-Mor, Pedro Mendes, Luísa Sousa</t>
  </si>
  <si>
    <t>Principal amount of the global note in original currency</t>
  </si>
  <si>
    <t>0431</t>
  </si>
  <si>
    <t>The outstanding aggregate principal amount of the global note per ISIN or other code in the original currency (including own holdings when applicable). Please also report the EUR-converted amount in the corresponding EUR field (c0430). This field is not applicable if trading method selected in field c0360 is ‘Unit’.
Data points c0360 to c0521 might be relevant only in cases of externally issued liabilities or for intragroup liabilities issued in CSDs/iCSDs.</t>
  </si>
  <si>
    <t>out_b0200_main_liabilities.0431_prncpl_amnt_glbl_nt_fx</t>
  </si>
  <si>
    <t>Nature of the global note</t>
  </si>
  <si>
    <t>0440</t>
  </si>
  <si>
    <t>Indicate whether the liability is a Classical Global Note (CGN) or a New Global Note (NGN):
• CGN = a form of global certificate that requires physical annotation on the attached schedule to reflect changes in the issue outstanding amount;
• NGN = a form of global certificate that refers to the records of the ICSDs to determine the issue outstanding amount.
• Not applicable = if it is not applicable (the liability has not been issued in an ICSD, or has another nature).
Data points c0360 to c0521 might be relevant only in cases of externally issued liabilities or for intragroup liabilities issued in CSDs/iCSDs.</t>
  </si>
  <si>
    <t>out_b0200_main_liabilities.0440_ntr_glbl_nt</t>
  </si>
  <si>
    <t>Reunião 2025-07-31 Luís Capitão-Mor, Pedro Mendes:
Não aplicável ao universo de títulos em causa, contudo, aplica-se a outros títulos.</t>
  </si>
  <si>
    <t>Current pool factor</t>
  </si>
  <si>
    <t>0450</t>
  </si>
  <si>
    <t>Values between 0 and 1, with 9 decimals</t>
  </si>
  <si>
    <t>If applicable, the factor used to calculate the value of the outstanding principal of the financial instrument applicable until the next redemption (factor) date, or after the redemption (factor) date. Can also be defined as: ratio of outstanding principal to original face value. Please refer to the SRB publication ‘Reflecting bail-in in the books of the International Central Securities Depositories (ICSDs) (57).
(57) - https://www.srb.europa.eu/system/files/media/document/bail-in_in_books_of_icsds_enn_final_web.pdf (Annex III, letter G)
Data points c0360 to c0521 might be relevant only in cases of externally issued liabilities or for intragroup liabilities issued in CSDs/iCSDs.</t>
  </si>
  <si>
    <t>Input -9999.999999999</t>
  </si>
  <si>
    <t>out_b0200_main_liabilities.0450_crrnt_pool_fctr</t>
  </si>
  <si>
    <t>Valor Fixo -9999.999999999</t>
  </si>
  <si>
    <t xml:space="preserve">Reunião 2025-07-24 Luís Capitão-Mor, Flávia Pinho, Luísa Sousa:
Por definição, o conceito de Pool Factor aplica-se apenas a titularizações (instrumentos financeiros que têm fundos) e não se aplica aos restantes Produtos. Portanto, sabendo que o universo deste report não contempla Titularizações, então não será criado o campo no Loan Tape e será criado apenas na tabela de output out_b0200_main_liabilities com o valor de not applicable.
</t>
  </si>
  <si>
    <t xml:space="preserve">Central securities depository </t>
  </si>
  <si>
    <t>0460</t>
  </si>
  <si>
    <t xml:space="preserve">Indicate the CSD of issue for the security. When applicable, please use the values from the predefined list provided below. In the event of multiple entries, please separate them with a vertical bar and indicate the CSD of issue as the first entry on the list. For securities deposited by international central securities depositories (ICSDs), both CSDs must be reported.
• ATHEX CSD_EL
• BOGS_EL
• CBF_DE
• CBL_LU
• CDCP SR_SK
• CDCP_CZ
• Central Depository &amp; Clearing Company_HR
• Central Depository of Securities Prague_CZ
• Central Depository_BG
• Cyprus CDCR_CY
• Depozitarul Central_RO
• DTC_US
• Euroclear Bank_BE
• Euroclear Belgium_BE
• Euroclear Finland_FI
• Euroclear France_FR
• Euroclear Netherlands_NL
• Euroclear Sweden_SE
• Euroclear UK &amp; Ireland_UK
• Government Securities Depository (GSD)_BG
• Iberclear_ES
• INTERBOLSA_PT
• KDD_SI
• KDPW_PL
• KELER_HU
• LUX CSD_LU
• Malta Stock Exchange CSD_MT
• Euronext Securities Milan_IT
• Nasdaq CSD_EE
• Nasdaq CSD_LT
• Nasdaq CSD_LV
• NBB SSS_BE
• nCDCP_SK
• OeKB CSD_AT
• SAFIR_RO
• SIX SIS_CH
• SKARBNET4_PL
• SKD_CZ
• VP Securities_DK
• VPS_NO
• Other
• Not applicable
Data points c0360 to c0521 might be relevant only in cases of externally issued liabilities or for intragroup liabilities issued in CSDs/iCSDs.
</t>
  </si>
  <si>
    <t>lt002_instrument.csd</t>
  </si>
  <si>
    <t>Se flag_inst_titulos = '1': 
Obter campo central_valores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
Necessário criar novas parametrizaçôes nas tabelas lt829_regras_conversao e lt830_conversoes, podendo as mesmas ser consultadas neste documento nas sheets:
LT829 - filtrando por campo_conceito = 'CSD' e regra_conversao = '1';
LT830 - filtrando por segmento = 'ESTR' e campo_conceito = 'CSD'.</t>
  </si>
  <si>
    <t>out_b0200_main_liabilities.0460_csd</t>
  </si>
  <si>
    <t>Reunião 2025-07-30 Luís Capitão-Mor, Pedro Mendes, Luísa Sousa
Reunião 2025-07-28 Luís Capitão-Mor, Pedro Mendes
Reunião 2025-07-17 Luís Capitão-Mor, Flávia Pinho, Luísa Sousa</t>
  </si>
  <si>
    <t>Central securities depository (LEI)</t>
  </si>
  <si>
    <t>0461</t>
  </si>
  <si>
    <t>When applicable, please indicate the LEI (or another ID) of the CSD. In case of multiple entries, please separate them with a vertical bar and indicate the CSD of issue as the first entry on the list</t>
  </si>
  <si>
    <t>lt002_instrument.csd_lei</t>
  </si>
  <si>
    <t>Se flag_inst_titulos = '1': 
Obter campo central_valores da ct610_titulos.
Se flag_inst_titulos = '0': 
Not applicable.
O respetivo valor default de Not applicable deverá ser parametrizado na lt804_conf_dflt.</t>
  </si>
  <si>
    <t>out_b0200_main_liabilities.0461_csd_lei</t>
  </si>
  <si>
    <t>Central securities depository name (if other)</t>
  </si>
  <si>
    <t>0462</t>
  </si>
  <si>
    <t>Indicate the name of the central securities depository if ‘Other’ is selected in field c0460.
Data points c0360 to c0521 might be relevant only in cases of externally issued liabilities or for intragroup liabilities issued in CSDs/iCSDs.</t>
  </si>
  <si>
    <t>out_b0200_main_liabilities.0462_csd_othr</t>
  </si>
  <si>
    <t>Reunião 2025-07-17 Luís Capitão-Mor, Flávia Pinho, Luísa Sousa
Reunião 2025-07-17 Luís Capitão-Mor, Flávia Pinho, Luísa Sousa</t>
  </si>
  <si>
    <t>(Mandated) paying agent</t>
  </si>
  <si>
    <t>0470</t>
  </si>
  <si>
    <t>Indicate the name of the paying agent, i.e. the entity (or part of an entity) that is processing the cash payments related to the liability’s lifecycle events (e.g. dividend, coupon or redemption) to the holders of that liability. For stocks, a paying agent distributes dividends to stockholders. For bonds, it distributes coupon payments and reimbursements of principal to bondholders. For deposits reported on an aggregated level, input ‘Not applicable’.
Data points c0360 to c0521 might be relevant only in cases of externally issued liabilities or for intragroup liabilities issued in CSDs/iCSDs.</t>
  </si>
  <si>
    <t>lt002_instrument.pyng_agnt</t>
  </si>
  <si>
    <t>Se flag_inst_titulos = '1': 
Obter campo agente_pagador da ct610_titulos (que contém o código lei) e cruzá-lo com o campo clei da ct003_univ_cli, de forma a obter o campo gcliente da ct003_univ_cli. 
Caso o cruzamento resulte em mais do que 1 gcliente, terá de se trazer apenas 1 gcliente. Para tal, selecionar o zcliente maior  (max (zcliente)) que tenha gcliente preenchido.
Se flag_inst_titulos = '0': 
Not applicable.
O respetivo valor default de Not applicable deverá ser parametrizado na lt804_conf_dflt.</t>
  </si>
  <si>
    <t>out_b0200_main_liabilities.0470_pyng_agnt</t>
  </si>
  <si>
    <t>(Mandated) paying agent (LEI)</t>
  </si>
  <si>
    <t>0471</t>
  </si>
  <si>
    <t>When applicable, please indicate the LEI (or another ID) of the paying agent. For deposits reported on an aggregated level, input ‘Not applicable’.
Data points c0360 to c0521 might be relevant only in cases of externally issued liabilities or for intragroup liabilities issued in CSDs/iCSDs.</t>
  </si>
  <si>
    <t>lt002_instrument.pyng_agnt_lei</t>
  </si>
  <si>
    <t xml:space="preserve">Se flag_inst_titulos = '1': 
Obter agente_pagador da ct610_titulos.
Se flag_inst_titulos = '0':
Not applicable.
O respetivo valor default de Not applicable deverá ser parametrizado na lt804_conf_dflt.
</t>
  </si>
  <si>
    <t>out_b0200_main_liabilities.0471_pyng_agnt_lei</t>
  </si>
  <si>
    <t>Trading venue</t>
  </si>
  <si>
    <t>0480</t>
  </si>
  <si>
    <t>A trading venue is either a regulated market (a stock exchange), a multilateral trading facility (MTF, i.e. a multilateral trading system operated by an investment firm or market operator) or an organised trading facility (OTF, i.e. a multilateral system that is not a regulated market or an MTF).
Indicate the name of the trading venue where the liability is admitted to trading. This also includes MTFs and OTFs, where known. In the event of multiple entries, please separate each with a vertical bar. Regulated trading venues must be reported in this field, while unregulated trading venues can be reported on a best-effort basis. When the security is not listed on a trading venue, the attribute ‘Not listed’ must be entered. In case of private placements, the attribute ‘Private placement’ must be entered. For deposits reported on an aggregated level, input ‘Not applicable’. 
Data points c0360 to c0521 might be relevant only in cases of externally issued liabilities or for intragroup liabilities issued in CSDs/iCSDs.</t>
  </si>
  <si>
    <t>out_b0200_main_liabilities.0480_trdng_vn</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</si>
  <si>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</si>
  <si>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r>
      <t>Trading venue</t>
    </r>
    <r>
      <rPr>
        <sz val="10"/>
        <rFont val="Calibri"/>
        <family val="2"/>
        <scheme val="minor"/>
      </rPr>
      <t xml:space="preserve"> (LEI)</t>
    </r>
  </si>
  <si>
    <t>0481</t>
  </si>
  <si>
    <t>When applicable, please indicate the LEI (or another ID) of the trading venue where the liability is admitted to trading. In the event of multiple entries, please separate each with a vertical bar. For deposits reported on an aggregated level, input ‘Not applicable’.
Data points c0360 to c0521 might be relevant only in cases of externally issued liabilities or for intragroup liabilities issued in CSDs/iCSDs.</t>
  </si>
  <si>
    <t>out_b0200_main_liabilities.0481_trdng_vn_lei</t>
  </si>
  <si>
    <t>Registrar for information about creditors/holders</t>
  </si>
  <si>
    <t>0490</t>
  </si>
  <si>
    <t>Indicate the name of the registrar (responsible for holding the records of these liabilities’ owners). The registrar or register holder is usually the issuer itself, a CSD or another entity. For deposits reported on an aggregated level, input ‘Not applicable’.
Data points c0360 to c0521 might be relevant only in cases of externally issued liabilities or for intragroup liabilities issued in CSDs/iCSDs.</t>
  </si>
  <si>
    <t xml:space="preserve">out_b0200_main_liabilities.0490_rgstrr </t>
  </si>
  <si>
    <t>Reunião 2025-07-30 Luís Capitão-Mor, Pedro Mendes, Luísa Sousa
Reunião 2025-07-28 Luís Capitão-Mor, Pedro Mendes:
Decidiu-se apontar para o campo csd que será criado na lt002_instrument. 
Reunião 2025-07-17 Luís Capitão-Mor, Flávia Pinho, Luísa Sousa
old:
Se flag_inst_titulos = '1': 
Obter campo agente_pagador da ct610_titulos (que contém o código lei) e cruzá-lo com o campo clei da ct003_univ_cli, de forma a obter o campo gcliente da ct003_univ_cli. 
O cruzamento não poderá resultar em mais do que 1 gnome, como tal, trazer o gcliente com maior zcliente.
Caso o cruzamento resulte em mais do que 1 gcliente, terá de se trazer apenas 1 gcliente. Para tal, selecionar o zcliente maior: max(zcliente).
Se flag_inst_titulos = '0':
?
Aguarda-se resposta ao email enviado a Flávia Pinho (21/07/2025 11:03)</t>
  </si>
  <si>
    <t>Registrar for information about creditors/holders (LEI)</t>
  </si>
  <si>
    <t>0491</t>
  </si>
  <si>
    <t xml:space="preserve">When applicable, please indicate the LEI (or another ID) of the registrar. For deposits reported on an aggregated level, input ‘Not applicable’.
Data points c0360 to c0521 might be relevant only in cases of externally issued liabilities or for intragroup liabilities issued in CSDs/iCSDs.
</t>
  </si>
  <si>
    <t>out_b0200_main_liabilities.0491_rgstrr_lei</t>
  </si>
  <si>
    <t>Reunião 2025-07-30 Luís Capitão-Mor, Pedro Mendes, Luísa Sousa
Reunião 2025-07-28 Luís Capitão-Mor, Pedro Mendes:
Decidiu-se apontar para o campo csd_lei que será criado na lt002_instrument. 
Reunião 2025-07-17 Luís Capitão-Mor, Flávia Pinho, Luísa Sousa</t>
  </si>
  <si>
    <t>National Numbering Agency</t>
  </si>
  <si>
    <t>0500</t>
  </si>
  <si>
    <t xml:space="preserve">Indicate the name of the organisation responsible for issuing International Securities Identification Numbers (ISINs) as described by ISO 6166, and the Classification of Financial Instruments code as described by ISO 10962. The role of NNA is typically assigned to the national stock exchange, CSD, central bank or financial regulator. When applicable, for securities deposited by the international central securities depositories (ICSDs), both CSDs shall be reported. For deposits reported on an aggregated level, input ‘Not applicable’.
Data points c0360 to c0521 might be relevant only in cases of externally issued liabilities or for intragroup liabilities issued in CSDs/iCSDs.
</t>
  </si>
  <si>
    <t>out_b0200_main_liabilities.0500_nna</t>
  </si>
  <si>
    <t>Reunião 2025-07-30 Luís Capitão-Mor, Pedro Mendes, Luísa Sousa
Reunião 2025-07-28 Luís Capitão-Mor, Pedro Mendes:
Decidiu-se apontar para o campo csd que será criado na lt002_instrument. 
Reunião 2025-07-17 Luís Capitão-Mor, Flávia Pinho, Luísa Sousa</t>
  </si>
  <si>
    <t>National Numbering Agency (LEI)</t>
  </si>
  <si>
    <t>0501</t>
  </si>
  <si>
    <t xml:space="preserve">When applicable, please indicate the LEI code (or another ID) of the national numbering agency. For deposits reported on an aggregated level, input ‘Not applicable’.
Data points c0360 to c0521 might be relevant only in cases of externally issued liabilities or for intragroup liabilities issued in CSDs/iCSDs.
</t>
  </si>
  <si>
    <t>out_b0200_main_liabilities.0501_nna_lei</t>
  </si>
  <si>
    <t>Reunião 2025-07-30 Luís Capitão-Mor, Pedro Mendes, Luísa Sousa
Reunião 2025-07-28 Luís Capitão-Mor, Pedro Mendes:
Decidiu-se apontar para o campo CSD já existente. 
Reunião 2025-07-17 Luís Capitão-Mor, Flávia Pinho, Luísa Sousa</t>
  </si>
  <si>
    <t>Common Depository</t>
  </si>
  <si>
    <t>0510</t>
  </si>
  <si>
    <t xml:space="preserve">Indicate the name of the common depository, when applicable (i.e. if issued in one of the ICSDs and in CGN form). A common depository is an entity appointed by the ICSDs (Euroclear Bank and Clearstream Banking Luxembourg) to provide safekeeping and asset servicing for securities in Classical Global Note form. For deposits reported on an aggregated level, input ‘Not applicable’.
Data points c0360 to c0521 might be relevant only in cases of externally issued liabilities or for intragroup liabilities issued in CSDs/iCSDs.
</t>
  </si>
  <si>
    <t>out_b0200_main_liabilities.0510_cmmn_dpstry</t>
  </si>
  <si>
    <t>Reunião 2025-07-30 Luís Capitão-Mor, Pedro Mendes, Luísa Sousa
Email 2025-07-29 11:06 de Pedro Mendes:
Segundo Pedro Mendes, este campo é não aplicável para o universo em causa.
Reunião 2025-07-28 Luís Capitão-Mor, Pedro Mendes
Reunião 2025-07-17 Luís Capitão-Mor, Flávia Pinho, Luísa Sousa</t>
  </si>
  <si>
    <t>Common Depository (LEI)</t>
  </si>
  <si>
    <t>0511</t>
  </si>
  <si>
    <t xml:space="preserve">When applicable, please indicate the LEI code (or another ID) of the common depository. For deposits reported on an aggregated level, input ‘Not applicable’.
Data points c0360 to c0521 might be relevant only in cases of externally issued liabilities or for intragroup liabilities issued in CSDs/iCSDs.
</t>
  </si>
  <si>
    <t>out_b0200_main_liabilities.0511_cmmn_dpstry_lei</t>
  </si>
  <si>
    <t>Common Service Provider</t>
  </si>
  <si>
    <t>0520</t>
  </si>
  <si>
    <t xml:space="preserve">Indicate the name of the common service provider, when applicable (i.e. if issued in one of the ICSDs and in NGN form). A common service provider is an entity appointed by the ICSDs to provide asset servicing for New Global Notes. For deposits reported on an aggregated level, input ‘Not applicable’.
Data points c0360 to c0521 might be relevant only in cases of externally issued liabilities or for intragroup liabilities issued in CSDs/iCSDs.
</t>
  </si>
  <si>
    <t>out_b0200_main_liabilities.0520_cmmn_srvc_prvdr</t>
  </si>
  <si>
    <t>Common Service Provider (LEI)</t>
  </si>
  <si>
    <t>0521</t>
  </si>
  <si>
    <t xml:space="preserve">When applicable, please indicate the LEI code (or another ID) of the common service provider. For deposits reported on an aggregated level, input ‘Not applicable’.
Data points c0360 to c0521 might be relevant only in cases of externally issued liabilities or for intragroup liabilities issued in CSDs/iCSDs.
</t>
  </si>
  <si>
    <t>out_b0200_main_liabilities.0521_cmmn_srvc_prvdr_lei</t>
  </si>
  <si>
    <t>Type of own funds at individual level</t>
  </si>
  <si>
    <t>0530</t>
  </si>
  <si>
    <t>Indicate the type of own funds, as classified at individual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t>
  </si>
  <si>
    <t>lt002_instrument.typ_own_fnds_indvdl_lvl</t>
  </si>
  <si>
    <t>Se flag_inst_titulos = '1':
Obter eleg_fund_prop da ct610_titulos.
Se flag_inst_titulos = '0': 
Not applicable.
O respetivo valor default de Not applicable deverá ser parametrizado na lt804_conf_dflt.</t>
  </si>
  <si>
    <t>out_b0200_main_liabilities.0530_typ_own_fnds_ind_lvl</t>
  </si>
  <si>
    <t>Reunião 2025-07-30 Luís Capitão-Mor, Pedro Mendes, Luísa Sousa
Reunião 2025-07-24 Luís Capitão-Mor, Flávia Pinho, Luísa Sousa</t>
  </si>
  <si>
    <t>Eligible amount for own funds at individual level</t>
  </si>
  <si>
    <t>0540</t>
  </si>
  <si>
    <t>The actual amount in EUR of the instrument qualifying as own funds at individual level.</t>
  </si>
  <si>
    <t>lt002_instrument.elgbl_amnt_own_fnds_indvdl_lvl</t>
  </si>
  <si>
    <t xml:space="preserve">Se flag_inst_titulos = '1': 
Obter mon_fund_prop da ct610_titulos.
Se flag_inst_titulos = '0': 
Not applicable.
O respetivo valor default de Not applicable deverá ser parametrizado na lt804_conf_dflt. </t>
  </si>
  <si>
    <t>out_b0200_main_liabilities.0540_elgbl_amnt_own_fnds_ind_lvl</t>
  </si>
  <si>
    <t>Type of own funds at consolidated level</t>
  </si>
  <si>
    <t>0550</t>
  </si>
  <si>
    <t>Indicate the type of own funds, as classified at consolidated level:
• T2 in phase-out;
• Grandfathered T2;
• Fully Compliant T2;
• Partially (A)T1 and T2;
• Grandfathered AT1;
• Fully Compliant AT1;
• CET1;
• No.
In the list of options, the term ‘phase-out’ refers to the period of 5 years before maturity of any given T2 instrument, during which there is only proportionate recognition based on the time remaining until maturity. ‘Grandfathered’ should be understood as any transitional measure applicable to a T2 instrument, not including the ‘phase-out’. During this ‘grandfathering’, recognition may be full or partial. If the instrument is not classified as own funds, please indicate ‘No’.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</si>
  <si>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out_b0200_main_liabilities.0550_typ_own_fnds_cnsldtd_lvl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</si>
  <si>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próprios são os mesmos". Adicionalmente, Pedro Mendes comentou que confirmou com Espanha este entendimento.
Reunião 2025-07-30 Luís Capitão-Mor, Pedro Mendes, Luísa Sousa
Reunião 2025-07-24 Luís Capitão-Mor, Flávia Pinho, Luísa Sousa</t>
  </si>
  <si>
    <t>Eligible amount for own funds at consolidated level</t>
  </si>
  <si>
    <t>0560</t>
  </si>
  <si>
    <t>The actual amount in EUR of the instrument qualifying as own funds at consolidated level.
For data points c0550 (Type of own funds at consolidated level) and c0560 (Eligible amount of own funds at consolidated level), non-resolution entities should report the type and amount of the liability that is eligible towards the consolidated own funds68, if any.
The consolidated own funds should be understood as the ones computed by the corresponding Point of Entry for its consolidated (resolution group) perimeter. When the reporting Non-Resolution Entity is required to consolidate on a sub-consolidated basis, the data point c0550 should be interpreted as “Type of own funds at sub-consolidated level” and c0560 as “Eligible amount of own funds at subconsolidated level”.</t>
  </si>
  <si>
    <t>out_b0200_main_liabilities.0560_elgbl_amnt_own_fnds_cnsldtd_lvl</t>
  </si>
  <si>
    <t>Reunião 2025-09-10 Luís Capitão-Mor, Pedro Mendes, Luísa Sousa
Segundo Pedro Mendes:
"A minha interpretação é que eles terão os mesmos valores dos data points 0530 e 0540 respetivamente.
Isto porque diz na guia 
"When the reporting Non-Resolution Entity is required to consolidate on a sub-consolidated basis, the data point c0550 should be interpreted as “Type of own funds at sub-consolidated level” and c0560 as “Eligible amount of own funds at subconsolidated level”."
Ou seja o BST individual consolida num BST consolidado que é um sub-consolidado. Quer no BST individual, quer no BST consolidado os instrumentos e respetivos montantes de fundos proprios são os mesmos". Adicionalmente, Pedro Mendes comentou que confirmou com Espanha este entendimento.
Reunião 2025-07-30 Luís Capitão-Mor, Pedro Mendes, Luísa Sousa
Reunião 2025-07-24 Luís Capitão-Mor, Flávia Pinho, Luísa Sousa</t>
  </si>
  <si>
    <t>Amount of the security interest provided</t>
  </si>
  <si>
    <t>0570</t>
  </si>
  <si>
    <t>EUR amount of the security interest provided by a third party.</t>
  </si>
  <si>
    <t>out_b0200_main_liabilities.0570_amnt_scrty_intrst_prvdd</t>
  </si>
  <si>
    <t xml:space="preserve">Reunião 2025-08-08 Luís Capitão-Mor, Pedro Mendes, Luísa Sousa:
Dado que no caso do BST não existe uma third party, tomou-se a decisão de mapear o valor 0.
</t>
  </si>
  <si>
    <t>Security interest provider (Name)</t>
  </si>
  <si>
    <t>0580</t>
  </si>
  <si>
    <t>Name of the entity providing the security interest. For deposits reported on an aggregated level, input ‘Not applicable’.</t>
  </si>
  <si>
    <t>out_b0200_main_liabilities.0580_scrty_intrst_prvdr</t>
  </si>
  <si>
    <t xml:space="preserve">Reunião 2025-08-08 Luís Capitão-Mor, Pedro Mendes, Luísa Sousa:
Dado que no caso do BST não existe uma third party, tomou-se a decisão de mapear 'Not applicable'.
</t>
  </si>
  <si>
    <t>Security interest provider (LEI)</t>
  </si>
  <si>
    <t>0581</t>
  </si>
  <si>
    <t>LEI code of the entity providing the security interest. For deposits reported on an aggregated level, input ‘Not applicable’.</t>
  </si>
  <si>
    <t>out_b0200_main_liabilities.0581_scrty_intrst_prvdr_lei</t>
  </si>
  <si>
    <t xml:space="preserve">Type of security interest provided by a third party </t>
  </si>
  <si>
    <t>0590</t>
  </si>
  <si>
    <t>Interest linked to guarantees and sureties. Please select the entry from the following drop-down list:
• Lien
• Guarantee
• Surety
• Guarantee obligation
• Other
• Not applicable
In the list of options, "Guarantee obligation" refers to a special type of guarantee agreement that used to be extended to publicly owned banks by their owners where the owners would guarantee liabilities of the respective bank. An example would be the former "Gewährträgerhaftung" applicable to German Landesbanken. For deposits reported on an aggregated level, input ‘Aggregated’.</t>
  </si>
  <si>
    <t>out_b0200_main_liabilities.0590_typ_scrty_intrst_prvdd</t>
  </si>
  <si>
    <t>Collateral for an asset position</t>
  </si>
  <si>
    <t>0600</t>
  </si>
  <si>
    <t>Indicate whether the liability is used as collateral for an asset position. The value to be reported is a TRUE/FALSE Boolean (where ‘TRUE’ = used as collateral, and ‘FALSE’ = not used as collateral). For deposits reported on an aggregate level, this data point is not applicable.</t>
  </si>
  <si>
    <t>out_b0200_main_liabilities.0600_flg_clltrl_asst_pstn</t>
  </si>
  <si>
    <t>Reunião 2025-08-13 Luís Capitão-Mor, Pedro Mendes, Luísa Sousa:
Dado que este universo de títulos contém risco, então dificilmente  serão usados como Colateral. 
Como tal, tomou-se a decisão de mapear 'FALSE'.</t>
  </si>
  <si>
    <t>Carrying amount IFRS</t>
  </si>
  <si>
    <t>0610</t>
  </si>
  <si>
    <t>To the extent relevant for the bank, the carrying amount under IFRS (58).
(58) -  When precise values are not available, estimates can be used to fill this data point.</t>
  </si>
  <si>
    <t>lt002_instrument.crryng_amnt_instrmnt</t>
  </si>
  <si>
    <t>out_b0200_main_liabilities.0610_crryng_amnt_ifrs</t>
  </si>
  <si>
    <t xml:space="preserve">(-1) * lt002_instrument.crryng_amnt_instrmnt
Nota: Esta multiplicação por -1, deve-se ao facto de no Loan Tape o campo crryng_amnt_instrmnt apresentar valores negativos (para o caso destes registos de Títulos Passivos) e neste report pretenderem-se valores positivos (segundo Pedro Mendes). </t>
  </si>
  <si>
    <t>Balance sheet item according to IFRS</t>
  </si>
  <si>
    <t>0620</t>
  </si>
  <si>
    <t>One of the following items to be selected as attribute in accordance with the classification in FINREP (according to Annex IV of Regulation (EU) 2015/534 of the ECB):
• 010 Financial liabilities held for trading;
• 070 Financial liabilities at fair value through profit or loss;
• 110 Financial liabilities at amortized cost;
• 280 Other liabilities;
• 300 Total equity.
For deposits reported on an aggregated level, please indicate the most prevalent balance sheet item category.</t>
  </si>
  <si>
    <t>lt002_instrument.
accntng_clssfctn</t>
  </si>
  <si>
    <t>Necessário criar novas parametrizaçôes nas tabelas lt829_regras_conversao e lt830_conversoes, podendo as mesmas ser consultadas neste documento nas sheets:
LT829 - filtrando por campo_conceito = 'ACCNTNG_CLSSFCTN' e regra_conversao = '3';
LT830 - filtrando por segmento = 'ESTR' e campo_conceito = 'ACCNTNG_CLSSFCTN'.</t>
  </si>
  <si>
    <t>out_b0200_main_liabilities.0620_blnc_sht_ifrs</t>
  </si>
  <si>
    <t>Reunião 2025-08-06 Luísa Sousa
Em 2025-08-11 Luísa Sousa adicionou na tabela lt803_codigos_lt novas parametrizações, que podem ser consultadas na sheet LT803 - filtrando por campo_lt = 'ACCNTNG_CLSSFCTN';
Parametrizações da lt803_codigos_lt/lt829_regras_conversao/lt830_conversoes confirmadas com Luísa Sousa.
Reunião 2025-07-31 Luís Capitão-Mor, Pedro Mendes</t>
  </si>
  <si>
    <t>Carrying amount national GAAP</t>
  </si>
  <si>
    <t>0630</t>
  </si>
  <si>
    <t>Carrying amount under national GAAP (where applicable) (59).
(59) -  When precise values are not available, estimates can be used to fill this data point.</t>
  </si>
  <si>
    <t>out_b0200_main_liabilities.0630_crrying_amnt_ngaap</t>
  </si>
  <si>
    <t>Reunião 2025-08-13 Luís Capitão-Mor, Pedro Mendes, Luísa Sousa:
O BST usa IFRS, não usa national GAAP, como tal, este campo é Not Applicable.</t>
  </si>
  <si>
    <t>Balance sheet item at Resolution entity level according to national GAAP</t>
  </si>
  <si>
    <t>0640</t>
  </si>
  <si>
    <t>Classification in accordance with national GAAP (where applicable). For deposits reported on an aggregated level, please indicate the most prevalent balance sheet item category.</t>
  </si>
  <si>
    <t>out_b0200_main_liabilities.0640_blnc_sht_ngaap</t>
  </si>
  <si>
    <t>Reunião 2025-07-31 Luís Capitão-Mor, Pedro Mendes:
Segundo Pedro Mendes este campo é not applicable por duas razões:
- Porque o BST é uma non-resolution entity; 
- Porque no caso de Portugal, usa-se o IFRS e não o national GAAP.</t>
  </si>
  <si>
    <t>Instrument/liability is issued to or bought by an existing shareholder that is not part of the same resolution group</t>
  </si>
  <si>
    <t>5000</t>
  </si>
  <si>
    <t>Flag to identify whether a liability is issued to or bought by an existing shareholder that is not part of the same resolution group according to Article 12g(2)(a)(i) SRMR. The value to be reported is a TRUE/FALSE Boolean.</t>
  </si>
  <si>
    <t>out_b0200_main_liabilities.5000_flg_shrhldr_not_rsltn_grp</t>
  </si>
  <si>
    <t>Reunião 2025-07-31 Luís Capitão-Mor, Pedro Mendes:
Campo com o valor fixo 'False'. Não existe previsão de que a futuro existam alterações na estrutura dos grupos de resolução, como tal, assumiu-se este valor como fixo.</t>
  </si>
  <si>
    <t>Instrument/liability meets the requirements of Art. 21(7a) SRMR</t>
  </si>
  <si>
    <t>5010</t>
  </si>
  <si>
    <t>Flag to identify whether a liability fulfils the criteria laid down in Article 21(7a) SRMR (conditions referred to in point Article 12g(2)(a) SRMR, except the condition relating to the remaining maturity of liabilities as set out in Article 72c(1) CRR). The value to be reported is a TRUE/FALSE Boolean. This data point is especially relevant if the scope of collection is expanded, as mentioned in the first paragraph of this annex.</t>
  </si>
  <si>
    <t>out_b0200_main_liabilities.5010_flg_art21_7a_srmr</t>
  </si>
  <si>
    <t>Valor fixo 'TRUE'</t>
  </si>
  <si>
    <t xml:space="preserve">Reunião 2025-07-31 Luís Capitão-Mor, Pedro Mendes:
Segundo Pedro Mendes este campo terá valor fixo 'True', pois para o universo em causa do bail-in (títulos) todos os registos contam para MREL. </t>
  </si>
  <si>
    <t>Field Status</t>
  </si>
  <si>
    <r>
      <rPr>
        <b/>
        <i/>
        <sz val="11"/>
        <color theme="0"/>
        <rFont val="Santander Text"/>
        <family val="2"/>
      </rPr>
      <t>Status</t>
    </r>
    <r>
      <rPr>
        <b/>
        <sz val="11"/>
        <color theme="0"/>
        <rFont val="Santander Text"/>
        <family val="2"/>
      </rPr>
      <t xml:space="preserve"> Desenvolvimento</t>
    </r>
  </si>
  <si>
    <t>Loan Tape/Output Table</t>
  </si>
  <si>
    <t>lt005_instr_ent.</t>
  </si>
  <si>
    <t>trdng_mthd</t>
  </si>
  <si>
    <r>
      <rPr>
        <sz val="10"/>
        <color rgb="FF000000"/>
        <rFont val="Calibri"/>
        <family val="2"/>
      </rPr>
      <t>Relevant amount for</t>
    </r>
    <r>
      <rPr>
        <strike/>
        <sz val="10"/>
        <color rgb="FF000000"/>
        <rFont val="Calibri"/>
        <family val="2"/>
      </rPr>
      <t xml:space="preserve"> Bail-in</t>
    </r>
    <r>
      <rPr>
        <sz val="10"/>
        <color rgb="FF000000"/>
        <rFont val="Calibri"/>
        <family val="2"/>
      </rPr>
      <t>/WDC</t>
    </r>
  </si>
  <si>
    <r>
      <rPr>
        <sz val="10"/>
        <color rgb="FF000000"/>
        <rFont val="Santander Text"/>
        <family val="2"/>
      </rPr>
      <t xml:space="preserve">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</si>
  <si>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'Non-structured/Vanilla'.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</si>
  <si>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r>
      <rPr>
        <sz val="10"/>
        <color rgb="FF000000"/>
        <rFont val="Santander Text"/>
        <family val="2"/>
      </rPr>
      <t xml:space="preserve">Reunião 2025-09-23 Pedro Mendes:
Segundo Pedro Mendes, este campo deverá assumir valor fixo 'Unsecured'.
Reunião 2025-06-23 Luís Capitão-Mor, Pedro Mendes, Luísa Sousa:
Segundo o anexo III, este campo deve, em princípio, ser considerado não aplicável para non-resolution entities.
Pedro Mendes enviou email dia 24-06 confirmando que este campo é não aplicável. </t>
    </r>
    <r>
      <rPr>
        <i/>
        <sz val="10"/>
        <color rgb="FF000000"/>
        <rFont val="Santander Text"/>
        <family val="2"/>
      </rPr>
      <t>"Sim, confirmo que todos os campos são não aplicáveis."</t>
    </r>
  </si>
  <si>
    <t>Reunião 2025-10-28 Luís Capitão-Mor, Pedro Mendes, Luísa Sousa
Reunião 2025-10-22 Luís Capitão-Mor, Pedro Mendes, Carlos Daniel:
Tipicamente o que é renda fixa (ex: Obrigações) é em Valor Nominal e o que é renda variável (ex: Ações) é em Unidades/Quantidade.
Nota: O Papel Comercial (produto  113) também deverá ser considerado 'Nominal'</t>
  </si>
  <si>
    <t>B05.00 - Guarantees provided to the Non-Resolution Entity: this tab includes the relevant data points on guarantees for monitoring and implementing the loss transfer and recapitalisation mechanisms at non-resolution entity level;</t>
  </si>
  <si>
    <t xml:space="preserve">Especificação IT		</t>
  </si>
  <si>
    <t>lt833_agreg_campos</t>
  </si>
  <si>
    <t>tabela_condicao</t>
  </si>
  <si>
    <t>campo_condicao</t>
  </si>
  <si>
    <t>valor_condicao</t>
  </si>
  <si>
    <t>tabela_origem</t>
  </si>
  <si>
    <t>campo_origem</t>
  </si>
  <si>
    <t>campo_destino</t>
  </si>
  <si>
    <t>campo_exp</t>
  </si>
  <si>
    <t>acao</t>
  </si>
  <si>
    <t>ckutulmo</t>
  </si>
  <si>
    <t xml:space="preserve">htimest </t>
  </si>
  <si>
    <t xml:space="preserve">ambito </t>
  </si>
  <si>
    <t>segmento</t>
  </si>
  <si>
    <t>segmento_agregado</t>
  </si>
  <si>
    <t>ref_date</t>
  </si>
  <si>
    <t>cod_visao</t>
  </si>
  <si>
    <t>Tipo de Garantia</t>
  </si>
  <si>
    <t>out_b0500_guarantees.0010_row_nmbr</t>
  </si>
  <si>
    <t>Sequenciador a implementar na tabela de output out_b0500_guarantees
Nota: A cada execução não deverão ser gerados Row numbers diferentes pelo que provisoriamente deverá ser feito um order by 0020_uniq_id_guarantee</t>
  </si>
  <si>
    <t>Reunião 2025-06-02 Luís Capitão-Mor, Pedro Mendes, Luísa Sousa</t>
  </si>
  <si>
    <t>1</t>
  </si>
  <si>
    <t>SEQUENCIA</t>
  </si>
  <si>
    <t>SRB</t>
  </si>
  <si>
    <t>B0500</t>
  </si>
  <si>
    <t>Geral</t>
  </si>
  <si>
    <t>Unique (internal) identifier of the guarantee provided to the Non-Resolution Entity</t>
  </si>
  <si>
    <t>Internal identifier of the guarantee and of the financial support arrangement, if applicable.</t>
  </si>
  <si>
    <t>lt006_instr_prot.instrmnt_id.instrmnt_id 
lt006_instr_prot.prtctn_id</t>
  </si>
  <si>
    <t>out_b0500_guarantees.0020_uniq_id_guarantee</t>
  </si>
  <si>
    <t>concat(lt006_instr_prot.instrmnt_id, lt006_instr_prot.prtctn_id)</t>
  </si>
  <si>
    <t xml:space="preserve">Reunião 2025-10-13 Luís Capitão-Mor, Pedro Mendes, Luísa Sousa:
concat(lt006_instr_prot.instrmnt_id, lt006_instr_prot.prtctn_id)
Reunião 2025-06-02 Luís Capitão-Mor, Pedro Mendes, Luísa Sousa:
lt004_protection.prtctn_id </t>
  </si>
  <si>
    <t xml:space="preserve"> lt002_instrument</t>
  </si>
  <si>
    <t>ind_univ</t>
  </si>
  <si>
    <t>lt004_protection</t>
  </si>
  <si>
    <t>prtctn_id</t>
  </si>
  <si>
    <t>2</t>
  </si>
  <si>
    <t>AGRUPAR</t>
  </si>
  <si>
    <t>The ISO 3166-1 alpha-2 code of the country whose law governs the instrument (please use the ISO 3166-2 code when the law of an administrative subdivision is relevant, e.g. ‘US-NY’). If the contract is governed by the law of more than one country, indicate the country whose law has the highest relevance for the recognition of write-down and conversion powers.</t>
  </si>
  <si>
    <t>out_b0500_guarantees.0030_governing_law</t>
  </si>
  <si>
    <t>Valor fixo 'PT'</t>
  </si>
  <si>
    <t>Reunião 2025-09-08 Luís Capitão-Mor, Pedro Mendes:
No âmbito do campo Governing law da sheet B05.00, verificou-se que os registos deste Universo têm maioritarimente Governing law= 'PT', contudo, existe pelo menos 1 registo, "ELECGAS (TEJO II) 557MM 04/03/08 CLOII" cujo Governing law é 'GB'. Para este registo, consta "English Law" no documento LMA Trade Confirmation Risk Participation (Email recebido 26/06/2025 18:40 de Luís Capitão-Mor com os vários documentos). 
Será portanto, necessário efectuar um desenvolvimento estrutural que permita alterar o valor reportado em cada campo de cada uma das quatro tabelas de output (out_b0100_aggregate_view, out_b0200_main_liabilities, out_b0500_guarantees, out_b9000_counterparties). Este novo desenvolvimento deverá consistir num processo igual ao holístico já existente no Loan Tape. 
Exemplo:  
O campo acima (Governing law) terá o valor fixo ‘PT’ para todos os registos da sheet B05.00. Com este novo desenvolvimento, o Utilizador terá a possibilidade de alterar o valor do registo acima ("ELECGAS (TEJO II) 557MM 04/03/08 CLOII") de 'PT' para 'GB'.
Email Pedro Mendes 17/06/2025 08:53:
Neste campo pretende-se a governing law ao nível da garantia (recebida).</t>
  </si>
  <si>
    <t>governing_law
Campo já existente na lt002_instrument (e não na lt004_protection)</t>
  </si>
  <si>
    <t>3</t>
  </si>
  <si>
    <t>Guarantee fulfils the requirements pursuant to Art. 12g (3) SRMR</t>
  </si>
  <si>
    <t>Indicate whether the guarantee fulfils the requirements pursuant to Article 12g(3) SRMR. The value to be reported is a TRUE/FALSE Boolean. ‘TRUE’ should be selected only if the SRB has officially recognised that all necessary requirements have been fulfilled.</t>
  </si>
  <si>
    <t>out_b0500_guarantees.0040_flg_art12g_3_srmr</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</si>
  <si>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'FALSE'. 
Email Pedro Mendes 17/06/2025 08:53:
O BST não tem e não está previsto que venha a ter este tipo de garantias.</t>
  </si>
  <si>
    <t>flg_art12g3_srmr
Campo novo</t>
  </si>
  <si>
    <t>4</t>
  </si>
  <si>
    <t>Type of guarantee</t>
  </si>
  <si>
    <t>0050</t>
  </si>
  <si>
    <t>Drop down</t>
  </si>
  <si>
    <t>Indicate the type of guarantee using one of the values from the Liability Data Report, namely:
• Issuance = for guarantees on specific instruments/liabilities that have been issued;
• Counterparty = for guarantees granted to a specific counterparty of the institution;
• Unlimited = for general guarantees not limited to a fixed amount;
• Other types of guarantee than issuance guarantees, counterparty guarantees and unlimited guarantees.</t>
  </si>
  <si>
    <t>out_b0500_guarantees.0050_typ_guarantee</t>
  </si>
  <si>
    <t>Valor fixo 'Counterparty'</t>
  </si>
  <si>
    <t>Reunião 2025-08-13 Luís Capitão-Mor, Pedro Mendes, Luísa Sousa
‣ Acordou-se que o campo será criado apenas na tabela final  out_b0500_guarantees e não será criado no Loan Tape, à semelhança dos restantes campos de valor fixo.
Reunião 2025-06-04 Luís Capitão-Mor, Pedro Mendes, Luísa Sousa
‣ Segundo Pedro Mendes este campo é sempre 'Counterparty'. 
‣ Comentários Luís Capitão-Mor:
- O BST não tem nada a garantir uma emissão específíca (portanto não há "Issuance");
- O BST não tem "Unlimited".</t>
  </si>
  <si>
    <t>Existem dois campos na lt004_protection: typ_prtctn e typ_prtctn_intrnl. Usar o typ_prtctn ou será um campo novo?</t>
  </si>
  <si>
    <t>5</t>
  </si>
  <si>
    <t xml:space="preserve">Maximum amount of the guarantee </t>
  </si>
  <si>
    <t>The EUR (counter)value of the maximum amount (if any) covered by the guarantee / financial support arrangement.</t>
  </si>
  <si>
    <t>lt006_instr_prot.prtctn_allctd_vl</t>
  </si>
  <si>
    <t>out_b0500_guarantees.0060_max_amnt_guarantee</t>
  </si>
  <si>
    <t>Reunião 2025-09-10 Luís Capitão-Mor, Pedro Mendes, Luísa Sousa:
lt006_instr_prot.prtctn_allctd_vl
Reunião 2025-06-04 Luís Capitão-Mor, Pedro Mendes, Luísa Sousa:
lt004_protection.prtctn_vl
Comentários Luís Capitão-Mor:
Se tivermos o Banco Santander S.A. a garantir 4 responsabilidades diferentes ao BST:
Garantia 1: 1.000.000 eur
Garantia 2: 2.000.000 eur
Garantia 3: 3.000.000 eur
Garantia 4: 4.000.000 eur
Na lt004_protection temos um zcliente único, e portanto, um prtctn_id único dado que no caso das garantias pessoais o protection_id contém o zcliente, logo o prtctn_vl conterá a soma das 4 garantias, ou seja, 10.000.000 eur.
Na lt006_instr_prot temos 4 linhas com os 4 prtctn_allctd_vl (1.000.000 eur,  2.000.000 eur, 3.000.000 eur, 4.000.000 eur).
Neste caso, queremos reportar 10.000.000 eur que corresponde ao campo prtctn_vl da lt004_protection. A alternativa seria "vetorizar" este campo (1.000.000 | 2.000.000 | 3.000.000 | 4.000.000), mas depois não ficaria com valores somáveis.</t>
  </si>
  <si>
    <t>max_amnt_prtctn
Campo novo
nota: já existe o ma</t>
  </si>
  <si>
    <t>6</t>
  </si>
  <si>
    <t>SOMAR</t>
  </si>
  <si>
    <t>Guarantee is secured</t>
  </si>
  <si>
    <t>Indicate whether the guarantee is:
• Secured;
• Unsecured.</t>
  </si>
  <si>
    <t xml:space="preserve"> lt004_protection.flg_scrd</t>
  </si>
  <si>
    <t xml:space="preserve">Passo 1: Usar tradutor chaves finrep para converter chave finrep para chave  ICs, dado que a gt018_rateio_aval está em chave ICs.
Passo 2: Com a chave ICs obtida no Passo 1, aceder à gt018_rateio_aval e obter campo tipologia.
Passo 3 Converter campo tipologia obtido no Passo 2 em 'Secured' ou 'Unsecured'. Para tal, será necessário criar nova parametrização na tabela lt831_param_conceitos, podendo a mesma ser consultada neste documento na sheet 'LT831' filtrando por tabela_conceito = 'LT004_PROTECTION' e campo_conceito = 'FLG_SCRD'. </t>
  </si>
  <si>
    <t>out_b0500_guarantees.0070_flg_scrd</t>
  </si>
  <si>
    <t>lt004_protection.flg_scrd</t>
  </si>
  <si>
    <t>Reunião 2025-06-06 Luís Capitão-Mor, Pedro Mendes, Luísa Sousa
Comentário Pedro Mendes: 
- Secured (quando a garantia é real) e Unsecured (quando a garantia não é real). Portanto, como as garantias pessoais não são reais, então são Unsecured.
Comentário Luís Capitão-Mor: 
- Este campo terá de estar sempre preenchido ('Secured' ou 'Unsecured'), não é expectável existirem MISS ou N/A;</t>
  </si>
  <si>
    <t>flg_scrd_prtctn
Campo novo</t>
  </si>
  <si>
    <t>7</t>
  </si>
  <si>
    <t>Current value of the collateral</t>
  </si>
  <si>
    <t>0080</t>
  </si>
  <si>
    <t>If collateralised (field c0070 = ‘Secured’), indicate the amount of collateral provided, net of valuation adjustments and haircuts.</t>
  </si>
  <si>
    <t>out_b0500_guarantees.0080_amnt_clltrl</t>
  </si>
  <si>
    <t xml:space="preserve">Valor fixo 999999999999999 (valor default N/A para numérico definido pelo SRB)
</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</si>
  <si>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Comentário Luís Capitão-Mor: 
Existe o campo de haircuts no Loan Tape (HRCT_MV), contudo, o mesmo é referente a IFRS9 (segundo o guia do Loan Tape Estrutural da Corporação). Portanto, como o SRB não refere nada relativamente a IFRS9 então não vamos considerar haircuts.
old:
Se typ_scrd (campo ID 0070) = 'Secured'  reportar lt004_protection.prtctn_vl
Se typ_scrd (campo ID 0070) = 'Unsecured' reportar 999999999999999 (valor default N/A para numérico definido pelo SRB)
Nota: terá de ser sempre um campo novo pois o campo prtctn_vl já foi solicitado noutro campo deste report.
</t>
  </si>
  <si>
    <t>crrnt_value_prtctn
Campo novo (se bem que existe o prtctn_vl)</t>
  </si>
  <si>
    <t>8</t>
  </si>
  <si>
    <t>Collateral</t>
  </si>
  <si>
    <t>Guarantee trigger</t>
  </si>
  <si>
    <t>Provide the type(s) of event(s) triggering the activation of the guarantee / financial support, i.e. the event(s) enabling the right for the counterparty to execute the guarantee, choosing from:
• Default;
• Solvency-related;
• Liquidity-related;
• Other than default, solvency-related or liquidity-related.
In case of multiple entries, please separate them with a vertical bar.</t>
  </si>
  <si>
    <t xml:space="preserve">
</t>
  </si>
  <si>
    <t>out_b0500_guarantees.0090_guarantee_trggr</t>
  </si>
  <si>
    <t xml:space="preserve">Valor fixo 'Default'
</t>
  </si>
  <si>
    <t xml:space="preserve">Reunião 2025-09-08 Luís Capitão-Mor, Pedro Mendes:
- Sugere-se reportar valor fixo 'Default' para este campo. No entanto, se a futuro se identificar a necessidade de se alterar este valor para algum registo, deverá recorrer-se ao novo desenvolvimento estrutural anteriormente mencionado no campo Governing law e no documento funcional MBDT Estrutura v1.0, que permitirá alterar de 'Default' para um dos seguintes valores possíveis (code-list SRB): 'Solvency-related', 'Liquidity-related', 'Other than default, solvency-related or liquidity-related'
- Identificaram-se as seguintes referências a Default/Insolvency no documento LMA Trade Confirmation Risk Participation (exemplo Auto-Estradas XXI):
 -"2.1 Notice of Default
(a) If any amont which falls due from an Obligor at any time during the relevant Risk Period and which is referred to in Clause 2.2 (Included Amounts) is not received and applied by the Grantor in full when due, the Grantor may notify the Participant accordingly."
 -"15.  Termination
(c) If an Insolvency Event occurs in respect of the Grantor, the Participant may at any time after the occurrence of that Insolvency Event deliver a termination notice to the Grantor and the Risk Participation shall be terminated on and with effect from the date specified in such termination notice."
</t>
  </si>
  <si>
    <t>trigger_prtctn
Campo novo</t>
  </si>
  <si>
    <t>9</t>
  </si>
  <si>
    <t>Legal maturity date of the collateral</t>
  </si>
  <si>
    <t>0100</t>
  </si>
  <si>
    <t>Date of the legal, final maturity of the collateral.</t>
  </si>
  <si>
    <t xml:space="preserve">lt004_protection.dt_mtrty_prtctn </t>
  </si>
  <si>
    <t>out_b0500_guarantees.0100_dt_mtrty_clltrl</t>
  </si>
  <si>
    <t>Reunião 2025-10-09 Luís Capitão-Mor:
-Caminho 1: Contactar Equipa do LT da Corporação e perguntar se o campo DT_MTRTY_PRTCTN poderia passar a ser preenchido para Garantias Pessoais. Atualmente está a ser preenchido com 1111-11-11 (N/A) para Garantias Pessoais, conforme solicitado no Guia da Corporação: "This field does not apply for personal guarantees, please report “1111-11-11”")
). Referir que este campo é necessário no âmbito do report MBDT do SRB nas Garantias Pessoais.
-Caminho 2 (Se caminho 1 não for possível): Colocar este campo igual à data de vencimento da responsabilidade (ou seja a data de maturidade que consta na lt002) -&gt; vamos assumir que é igual
Reunião 2025-06-11 Luís Capitão-Mor:
Vamos considerar a data de maturidade da garantia (dt_mtrty_prtctn) apesar da descrição referir a data do colateral (estas 2 datas podem ser distintas).
Ex:
Empréstimo a 5 anos que tem como colateral (penhor) um DP que vence a 3 anos. Nesse caso, a data de maturidade do colateral não é 5 anos mas sim os 3 anos.</t>
  </si>
  <si>
    <t>dt_mtrty_prtctn
Campo já existente na lt004_protection</t>
  </si>
  <si>
    <t>10</t>
  </si>
  <si>
    <t>Identifier of the securities used as a collateral for the guarantee</t>
  </si>
  <si>
    <t>0110</t>
  </si>
  <si>
    <t>Identification number of the securities used as collateral for the guarantee. In the event of multiple entries, please separate them with a vertical bar.</t>
  </si>
  <si>
    <t>out_b0500_guarantees.0110_scrts_clltrl_id</t>
  </si>
  <si>
    <t xml:space="preserve">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Como o ISIN não consta na lt004_protection, e dado que no descritivo do campo não referem explicitamente que querem o ISIN (dado que falam apenas em "Identification number") então optou-se por mapear com o prtctn_id que é também composto pelo ISIN.
old:
Se lt004_protection.typ_prtctn ='12' (Securities) reportar lt004_protection.prtctn_id 
Se lt004_protection.typ_prtctn &lt;&gt;'12' reportar 'Not applicable' 
</t>
  </si>
  <si>
    <t>id_security_clltrl
Campo novo</t>
  </si>
  <si>
    <t>11</t>
  </si>
  <si>
    <t>Securities</t>
  </si>
  <si>
    <t>Type of collateralization</t>
  </si>
  <si>
    <t>Specify the type of collateral as defined in Article 12g(3)(f) SRMR and Article 197 CRR.</t>
  </si>
  <si>
    <t>out_b0500_guarantees.0120_typ_clltrlztn</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</si>
  <si>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Nota: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t>
  </si>
  <si>
    <t>typ_collateral_12g3_srmr
Campo novo</t>
  </si>
  <si>
    <r>
      <rPr>
        <sz val="10"/>
        <color theme="1"/>
        <rFont val="Calibri"/>
        <family val="2"/>
      </rPr>
      <t>Type of protection value</t>
    </r>
    <r>
      <rPr>
        <sz val="10"/>
        <color theme="1"/>
        <rFont val="Cambria"/>
        <family val="1"/>
      </rPr>
      <t xml:space="preserve"> </t>
    </r>
  </si>
  <si>
    <t>Indicate the type of value, choosing from the list below.
• Notional amount
• Fair value
• Market value
• Long-term sustainable value
• Other protection value</t>
  </si>
  <si>
    <t>out_b0500_guarantees.0130_typ_prtctn_vl</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</si>
  <si>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2025-06-05 Luís Capitão-Mor, Pedro Mendes, Luísa Sousa
- Atualmente existe uma regra de conversão na lt829_regras_conversao que converte o código que sai no ambito 'PM' ('1', '2,' '3',...) nos respetivos descritivos que são solicitados no ambito 'SRB_VALUATION'  ('Fair value', 'Long-term sustainable value', 'Market value',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typ_prtctn_vl;
Se typ_scrd (campo ID 0070) = 'Unsecured' reportar 'Not applicable' (valor default N/A para string definido pelo SRB)
‣ Necessário criar novas parametrizações nas tabelas lt829_regras_conversao e lt830_conversoes, podendo as mesmas ser consultadas neste documento nas sheets:
     LT829 - filtrando por campo_conceito = 'TYP_PRTCTN_VL_MBDT' e regra_conversao = '1';
     LT830 - filtrando por segmento = 'ESTR' e campo_conceito = 'TYP_PRTCTN_VL_MBDT'.</t>
  </si>
  <si>
    <t>typ_prtctn_value
Campo já existente na lt004_protection</t>
  </si>
  <si>
    <t>Date of the valuation of the security</t>
  </si>
  <si>
    <t>The date on which the collateral was most recently estimated or valued before the reporting reference date.</t>
  </si>
  <si>
    <t>out_b0500_guarantees.0140_dt_vltn_scrty</t>
  </si>
  <si>
    <t xml:space="preserve">Valor fixo '0001-01-01' </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</si>
  <si>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2025-06-06 Luís Capitão-Mor, Pedro Mendes, Luísa Sousa
O data point refere "Date of the valuation of the security", contudo, como na description refere "...which the collateral...", decidiu-se que vamos interpretar este campo com base em colateral (e não em security).
old:
Se typ_scrd (campo ID 0070) = 'Secured' reportar dt_prtctn_vl ;
Se typ_scrd (campo ID 0070) = 'Unsecured' reportar  '0001-01-01' (valor default N/A para data definido pelo SRB)
Aguarda-se resposta ao Email enviado a Pedro Mendes 2025-06-16 16:15:
Pedro Mendes deverá questionar Corporação relativamente à regra de Not applicable referida acima. Contudo, segundo o SRB este campo não prevê Not applicable (coluna F).</t>
  </si>
  <si>
    <t>dt_prtctn_vl
Campo já existente na lt004_protection</t>
  </si>
  <si>
    <t>Protection valuation approach</t>
  </si>
  <si>
    <t>The type of collateral assessment to determine the value, choosing from the the list below.
• Mark-to-market valuation
• Counterparty estimation
• Creditor valuation
• Third party valuation</t>
  </si>
  <si>
    <t>out_b0500_guarantees.0150_prtctn_vltn_apprch</t>
  </si>
  <si>
    <t>Reunião 2025-06-26 Luís Capitão-Mor, Pedro Mendes, Luísa Sousa:
Luis Capitão-Mor indicou que este campo não será criado no Loan Tape mas sim, apenas na tabela de output out_b0500_guarantees, com valor fixo de não aplicável. Isto porque o campo é referente a informação de Colateral, e no caso do BST só existem garantias pessoais recebidas de clientes intragrupo Santander (ou seja, não existem garantias reais, onde se aplica o conceito de colateral). Adicionalmente, Pedro Mendes concordou com esta abordagem (email 03/07/2025 10:18).
Reunião 2025-06-11 Luís Capitão-Mor
- Nos ambitos 'PM' e 'SRB_VALUATION' este campo (prtctn_vltn_apprch ) tem também o valor '4' que corresponde a 'Other type of valuation'. Contudo, o SRB não deu esse valor como opção, mas por indicação de Luís Capitão-Mor vai considerar-se na mesma este valor dado que provavelmente tratou-se de um erro do SRB.
- Atualmente existe uma regra de conversão na lt829_regras_conversao que converte o código que sai no ambito 'PM' ('1', '2,' '3',...) nos respetivos descritivos que são solicitados no ambito 'SRB_VALUATION'  ('Counterparty estimation', 'Creditor valuation', 'Mark-to-market valuation', ...), contudo, nessa parametrização é também realizada a conversão de 11111111111 para 'N/A' e de 99999999999 para 'MISS'. 
Já no ambito SRB_MBDT terá de ser convertido de 11111111111 para  'Not applicable' e de 99999999999 para '' (valores default para N/A e MISS segundo o guia do SRB), e portanto terá de ser criada uma regra nova na lt829_regras_conversao (regra_conversao=2) e não se poderá aproveitar a regra já existente para o ambito 'SRB_VALUATION'.
 Old:
 Se typ_scrd (campo ID 0070) = 'Secured' reportar prtctn_vltn_apprch;
 Se typ_scrd (campo ID 0070) = 'Unsecured' reportar 'Not applicable' (valor default N/A para string definido pelo SRB).
‣ Necessário criar novas parametrizaçôes nas tabelas lt829_regras_conversao e lt830_conversoes, podendo as mesmas ser consultadas neste documento nas sheets:
   LT829 - filtrando por campo_conceito = 'PRTCTN_VLTN_APPRCH_MBDT' e regra_conversao = '1';
   LT830 - filtrando por segmento = 'ESTR' e campo_conceito = 'PRTCTN_VLTN_APPRCH_MBDT'.</t>
  </si>
  <si>
    <t>PRTCTN_VLTN_APPRCH
Campo já existente na lt004_protection</t>
  </si>
  <si>
    <t>B90.00 - Counterparties: this tab includes data points related to counterparties of liabilities reported in B02.00, B03.00 and B04.00</t>
  </si>
  <si>
    <t>Estado preenchimento</t>
  </si>
  <si>
    <t>The unique number / primary key to identify the row items (the number must be an integer)._x000D_</t>
  </si>
  <si>
    <t>out_b9000_counterparties.0010_row_nmbr</t>
  </si>
  <si>
    <t>Sequenciador a implementar na tabela de output out_b9000_counterparties. 
Nota: A cada execução não deverão ser gerados Row numbers diferentes pelo que deverá ser feito um order by 0011_tab_origin, 0020_uniq_id_knwn_cntrprty.</t>
  </si>
  <si>
    <t>Reunião 2025-10-15 Luís Capitão-Mor, Pedro Mendes</t>
  </si>
  <si>
    <t>B9000</t>
  </si>
  <si>
    <t>Concluido</t>
  </si>
  <si>
    <t>Tab of origin</t>
  </si>
  <si>
    <t>0011</t>
  </si>
  <si>
    <t>Indicate, from the list of values, in which tab the liability to which the counterparty refers to is reported:
▪ B0200
▪ B0300
▪ B0400
▪ B0500</t>
  </si>
  <si>
    <t>out_b9000_counterparties.0011_tab_origin</t>
  </si>
  <si>
    <t>- Se registo do universo B0200: Reportar 'B0200'
 - Se registo do universo B0500: Reportar 'B0500'
Nota:
O processo que alimenta a tabela out_b9000_counterparties, será composto por duas sub-queries:
- Uma com universo B0200, em que se colocará valor fixo 'B0200' para todos os registos desta sub-query;
- Uma com universo B0500, em que se colocará valor fixo 'B0500' para todos os registos desta sub-query.</t>
  </si>
  <si>
    <t>The unique identifier of the instrument/liability that would allow the counterparty to conclude that it will be affected by the potential resolution action, without external third parties being able to identify the creditor. For securities, the ISIN code must be indicated where available (other identifiers need only be provided in the absence of an ISIN). For deposits and other liabilities, the account/contract number should be reported. In the event of multiple tranches (multiple counterparties) of one promissory-note loan (e.g. Schuldscheindarlehen) or a syndicated loan, a unique ID must be allocated to each tranche.
Reporting entities must ensure that for the instruments / liabilities reported in B02.00, B03.00, B04.00 and B05.00, a correspondence is guaranteed between this field and the identifiers reported in:
▪ B02.00 - c0030 (Unique identification number (known to the counterparty));
▪ B03.00 - c0010 (Unique identification number of the netting set known to the counterparty);
▪ B04.00 - c0010 (Unique identification number of the netting set known to the counterparty);
▪ B05.00 - c0020 (Unique (internal) identifier of the guarantee provided to the Non-Resolution Entity).</t>
  </si>
  <si>
    <t>out_b9000_counterparties.0020_uniq_id_knwn_cntrprty</t>
  </si>
  <si>
    <t>- Se registo do universo B0200: Reportar out_b0200_main_liabilities.0030_uniq_id_knwn_cntrprty
 - Se registo do universo B0500: Reportar out_b0500_guarantees.0020_uniq_id_guarantee
Nota:
O processo que alimenta a tabela out_b9000_counterparties, será composto por duas sub-queries:
- Uma com universo B0200, em que se reportará out_b0200_main_liabilities.0030_uniq_id_knwn_cntrprty para os registos desta sub-query;
- Uma com universo B0500, em que se reportará out_b0500_guarantees.0020_uniq_id_guarantee  para os registos desta sub-query.</t>
  </si>
  <si>
    <t>B0200</t>
  </si>
  <si>
    <t>Counterparty within the resolution group</t>
  </si>
  <si>
    <t>Indicate whether the counterparty of the (portion of) instrument/liability is:
• ‘Intragroup and intra-resolution group’ = to be used for counterparties that are both intragroup and part of the same resolution group (64);
• ‘Intragroup but not intra-resolution group’ = to be used for counterparties that are intragroup but not part of the same resolution group;
• ‘No’ = to be used for counterparties which are external to the group.
(64) - Resolution Group within the meaning of Article 2(1)(83b) BRRD</t>
  </si>
  <si>
    <t>lt003_entity.cntrprty_rsltn_grp</t>
  </si>
  <si>
    <t xml:space="preserve">O novo campo 'cntrprty_rsltn_grp' a criar na lt003_entity será populado a partir da parametrização a criar para este campo na tabela lt831_param_conceitos, podendo a mesma ser consultada neste documento na sheet 'LT831' filtrando por tabela_conceito = 'LT003_ENTITY' e campo_conceito = 'CNTRPRTY_RSLTN_GRP'.  Esta parametrização irá basear-se em 2 campos: 
Campo 1 - 'flg_intrgrp' (para a classificação 'Intragroup'):
Apesar do report MBDT ser para o Perímetro Individual Local (que não tem intragrupos por definição), neste campo do MBDT o conceito de "Intragroup" é na óptica do perímetro Santander IFRS.
Para tal, deverá criar-se um campo nativo 'flg_intrgrp' para poder ser utilizado na lt831_param_conceitos. A lógica de preenchimento do campo deverá ser:
flg_intrgrp=  '1' no caso dos seguintes zclientes:
select zcliente
from
(SELECT * FROM cd_captools.clientes_intragrupo WHERE data_date_part = '${date}') intragrupo 
INNER JOIN	
(SELECT *  FROM cd_captools.perimetro	WHERE data_date_part = '${date}' AND espanha_ifrs IN ('x', 'B')) perimetro 
ON intragrupo.consoles = perimetro.cod_espana
flg_intrgrp=  '0' no caso de outros zclientes 
Nota: Este campo 'flg_intrgrp' não deverá ser criado na lt003_entity dado que não se identificou necessidade de utilização futura
Campo 2 - 'flg_intr_rsltn_grp' (para a classificação 'Intra-resolution group’):
Deverá parametrizar-se um campo intermédio 'flg_intr_rsltn_grp' na lt831_param_conceitos, podendo o mesmo ser consultado neste documento na sheet 'LT831' filtrando por campo_conceito = 'FLG_INTR_RSLTN_GRP'. 
Nota: Não se justifica definir este campo para todos os zclientes dos 7 Grupos de Resolução, optou-se por definir apenas para os zclientes do Grupo de Resolução do BST. </t>
  </si>
  <si>
    <t>out_b9000_counterparties.0030_cntrprty_rsltn_grp</t>
  </si>
  <si>
    <t>Reunião 2025-10-24 Luís Capitão-Mor, Pedro Mendes
Reunião 2025-10-15 Luís Capitão-Mor, Pedro Mendes
Segundo email da Corporação (email Pedro Mendes 2025-05-14), no caso do zcliente = '0000000000', reportar valor fixo 'No'.</t>
  </si>
  <si>
    <t>lt003_entity</t>
  </si>
  <si>
    <t>cntrprty_resol_group</t>
  </si>
  <si>
    <t>Counterparty name</t>
  </si>
  <si>
    <t>When available, indicate the name of the counterparty/investor/creditor. When deemed relevant to ensure compliance with GDPR requirements, in case of natural persons the name of the counterparty shall be anonymised by the reporting entity. For deposits reported on an aggregate level, please indicate ‘Aggregated’.</t>
  </si>
  <si>
    <t>lt003_entity.entty_nm</t>
  </si>
  <si>
    <t>out_b9000_counterparties.0040_cntrprty_nm</t>
  </si>
  <si>
    <t>Se lt003_entity.entty_id &lt;&gt; '0000000000' or lt003_entity.prsn_typ  &lt;&gt; 'N': Reportar lt003_entity.entty_nm
Caso Contrário: Reportar 'Not applicable'.</t>
  </si>
  <si>
    <t>Reunião 2025-10-16 Luís Capitão-Mor, Pedro Mendes:
É referido pelo SRB que no caso de Natural Persons deve-se mascarar o nome do Cliente, como tal optou-se por colocar 'Not applicable' nestes Clientes (bem como no zcliente '0000000000').
Segundo email da Corporação (email Pedro Mendes 2025-05-14), no caso do zcliente = '0000000000', reportar valor fixo 'Not applicable'.</t>
  </si>
  <si>
    <t xml:space="preserve">entty_nm
</t>
  </si>
  <si>
    <t>Counterparty identifier (preferably LEI)</t>
  </si>
  <si>
    <t>Please report the creditor’s LEI code (when available), issued by the Global Legal Entity Identifier Foundation and recommended by the FSB (65). In the absence of an LEI, for banks, the ECB Monetary Financial Institutions identifier (MFI ID) used in RIAD should be reported. For the deposits reported on an aggregate level, this data point is not applicable. When deemed relevant to ensure compliance with GDPR requirements, in case of natural persons the identifier of the counterparty shall be anonymised by the reporting entity. For deposits reported on an aggregate level, please indicate ‘Aggregated’.
(65) - See also ESRB/2020/12 Recommendation B. When using the LEI as an identified counterparty, please ensure that the same LEI for the same counterparty is consistently used throughout the template</t>
  </si>
  <si>
    <t>lt003_entity.lei 
lt003_entity.entty_id</t>
  </si>
  <si>
    <t>out_b9000_counterparties.0050_cntrprty_lei</t>
  </si>
  <si>
    <t>- Se trim(lt003_entity.lei) &lt;&gt; '' ou trim(lt003_entity.lei) &lt;&gt; 'N/A', (lei preenchido): lt003_entity.lei 
 - Se trim(lt003_entity.lei)    = '' ou trim(lt003_entity.lei)   = 'N/A', (lei não preenchido): lt003_entity.entty_id
 - Se lt003_entity.entty_id = '0000000000': 'Not applicable'.
Nota: 
Atualmente quando o campo clei da ct003_univ_cli está com '#' é colocado 'N/A' no campo lei da lt003_entity.
Deverá constar na lt804_conf_dflt: 
campo not_applic_val='N/A', quando campo_lt='LEI', tabela_lt='LT003_ENTITY', ambito='SRB_MBDT' e segmento='ESTR'.</t>
  </si>
  <si>
    <t>Reunião 2025-10-16 Luís Capitão-Mor, Pedro Mendes:
No campo abaixo "Type of counterparty identifier" é referido "if other identifiers are reported, please provide a short description", como tal, depreende-se que quando não existe LEI nem MFI IF pode-se reportar outro identificador. 
Dado que não se tem o MFI ID, então optou-se por colocar o entty_id quando não se tem o código LEI.
Segundo email da Corporação (email Pedro Mendes 2025-05-14), no caso do zcliente = '0000000000', reportar valor fixo 'Not applicable'.</t>
  </si>
  <si>
    <t>lei
se não tiver preenchido entty_id</t>
  </si>
  <si>
    <t>Type of counterparty identifier</t>
  </si>
  <si>
    <t>Free text, to indicate what type of identifier has been used in data point c0050. E.g. if the identifier is an LEI, please input ‘LEI’; if the identifier is an MFI, please input ‘MFI’; if other identifiers are reported, please provide a short description. For deposits reported on an aggregate level, please indicate ‘Aggregated’</t>
  </si>
  <si>
    <t>lt003_entity.lei
lt003_entity.entty_id</t>
  </si>
  <si>
    <t>out_b9000_counterparties.0060_typ_cntrprty_id</t>
  </si>
  <si>
    <t>- Se trim(lt003_entity.lei) &lt;&gt; '' ou trim(lt003_entity.lei) &lt;&gt; 'N/A', (lei preenchido): 'LEI'
 - Se trim(lt003_entity.lei)    = '' ou trim(lt003_entity.lei)   = 'N/A', (lei não preenchido): 'Internal identifier' 
 - Se lt003_entity.entty_id = '0000000000': 'Not applicable'.</t>
  </si>
  <si>
    <t>Reunião 2025-10-16 Luís Capitão-Mor, Pedro Mendes
Segundo email da Corporação (email Pedro Mendes 2025-05-14), no caso do zcliente = '0000000000', reportar valor fixo 'Not applicable'.</t>
  </si>
  <si>
    <t>typ_instrmnt_id_knwn_cntrprty
lei ou o intern ident</t>
  </si>
  <si>
    <t>Internal identifier of the counterparty</t>
  </si>
  <si>
    <t>The unique internal identifier of the counterparty. For deposits reported on an aggregate level, please indicate ‘Aggregated’.</t>
  </si>
  <si>
    <t>lt003_entity.entty_id
lt004_protection.prtctn_prvdr_id</t>
  </si>
  <si>
    <t>out_b9000_counterparties.0070_cntrprty_id</t>
  </si>
  <si>
    <t>- Se registo do universo B0200: Reportar lt003_entity.entty_id
 - Se registo do universo B0500: Reportar lt004_protection.prtctn_prvdr_id
Se lt003_entity.entty_id = '0000000000': 'Not applicable'.
Nota:
O processo que alimenta a tabela out_b9000_counterparties, será composto por duas sub-queries:
- Uma com universo B0200, em que se reportará lt003_entity.entty_id para os registos desta sub-query;
- Uma com universo B0500, em que se reportará lt004_protection.prtctn_prvdr_id para os registos desta sub-query.</t>
  </si>
  <si>
    <t>entty_id</t>
  </si>
  <si>
    <t>Counterparty type</t>
  </si>
  <si>
    <t>Indicate the type of counterparty, as per the categories listed below:
• Households;
• Micro &amp; SME;
• Corporates;
• Institutions;
• Other financial corporations;
• Insurance firms &amp; pension funds;
• Government, central banks &amp; supranationals;
• Non identified, listed on an exchange platform;
• Non identified, not listed on an exchange platform.</t>
  </si>
  <si>
    <t>lt002_instrument.cntrprty_typ</t>
  </si>
  <si>
    <t xml:space="preserve">Reunião 2025-05-27 com Luís Capitão-Mor, Pedro Mendes, Luísa Sousa:
Novo campo no LT (nome a definir - cntrprty_typ) na ltxxx (a definir), com parametrização na lt831_param_conceitos
Não se poderá aproveitar o campo intrnl_sgmnt (segmento finrep) da lt002_instrument, pois segundo Luisa Sousa, este campo do SRB não representa o mesmo conceito (exemplos: "Micro &amp; SME", "Insurance firms &amp; pension funds" não são segmentos finrep).
Os atributos a constar na lt831_param_conceitos, serão: 
"intrnl_sgmnt" (lt002_instrument ou lt003_entity???);
"sme_fnrp18" (lt002_instrument);
"institutional_sector" (lt003_entity);
(O) 41_21
Reunião 2025-05-14 com Luís Capitão-Mor, Pedro Mendes, Luísa Sousa:
Segundo esta reunião e o email da Corporação (email Pedro Mendes 2025-05-14), no caso do zcliente = '0000000000', reportar valor fixo 'Non identified, not liste don an exchange platform'. 
</t>
  </si>
  <si>
    <t>out_b9000_counterparties.0080_cntrprty_typ</t>
  </si>
  <si>
    <t>Se lt003_entity.entty_id = '0000000000': 'Not applicable'.</t>
  </si>
  <si>
    <t>Segundo email da Corporação (email Pedro Mendes 2025-05-14), no caso do zcliente = '0000000000', reportar valor fixo "Non identified, not listed on an exchange platform".</t>
  </si>
  <si>
    <t>Por iniciar</t>
  </si>
  <si>
    <t xml:space="preserve">Criar novo campo e criar a respetiva parametrização na lt831 com os seguintes atributos:
- intrnl_smg
- sme_fnrp18
-institutional_sector
• Insurance firms &amp; pension funds deveriam ser ordem 1
. sme_fnrp18= Y then Micro &amp; SME ordem 2:  ;
ntrnl_smg: outras empresas nao financeiras ordem 3
ntrnl_smg=particulares ordem 4
ntrnl_smg=instituicoes de credito
 ordem 5
outras empresas nao financeiras
ordem 6
setor publico
 e bancos centrais
 ordem 7
o que falta ordem 8
</t>
  </si>
  <si>
    <t>Country of the counterparty</t>
  </si>
  <si>
    <t xml:space="preserve">ISO 3166-1 </t>
  </si>
  <si>
    <t>Indicate the ISO 3166-1 alpha-2 code of the home state of the counterparty. If unavailable, it may be replaced by the tax residence of the counterparty. If the liability is held by an international/supranational organisation, such as the European Union or the European Central Bank, please enter ‘XX’. For deposits reported on an aggregate level, please indicate ‘XX’.</t>
  </si>
  <si>
    <t>Input "99"</t>
  </si>
  <si>
    <t>lt003_entity.cntry</t>
  </si>
  <si>
    <t>out_b9000_counterparties.0090_cntry_cntrprty</t>
  </si>
  <si>
    <t>lt003_entity.cntry
Se lt003_entity.entty_id = '0000000000': '99.</t>
  </si>
  <si>
    <t xml:space="preserve">Reunião 2025-10-16 Luís Capitão-Mor, Pedro Mendes
Segundo email da Corporação (email Pedro Mendes 2025-05-14), no caso do zcliente = '0000000000', reportar valor fixo '99'. </t>
  </si>
  <si>
    <t>cntry</t>
  </si>
  <si>
    <r>
      <rPr>
        <sz val="10"/>
        <color rgb="FF000000"/>
        <rFont val="Calibri"/>
        <family val="2"/>
      </rPr>
      <t xml:space="preserve">Relevant amount for </t>
    </r>
    <r>
      <rPr>
        <strike/>
        <sz val="10"/>
        <color rgb="FF000000"/>
        <rFont val="Calibri"/>
        <family val="2"/>
      </rPr>
      <t>Bail-in</t>
    </r>
    <r>
      <rPr>
        <sz val="10"/>
        <color rgb="FF000000"/>
        <rFont val="Calibri"/>
        <family val="2"/>
      </rPr>
      <t>/WDC</t>
    </r>
  </si>
  <si>
    <t>For counterparties holding liabilities reported in tab B02.00, please indicate the amount held as portion of the amount reported in field c0130 of tab B02.00 (Relevant amount for Bail-in/WDC). 
For counterparties holding liabilities reported in tab B03.00, please indicate the amount held as portion of the amount reported in field c0110 of tab B03.00 (Estimated early termination amount). 
For counterparties holding liabilities reported in tab B04.00, please indicate the amount held as portion of the amount reported in field c0080 of tab B04.00 (Estimated early termination amount). 
For counterparties of guarantees reported in tab B05.00, please indicate the amount held as portion of the amount reported in field c0060 of tab B05.00 (Maximum amount of the guarantee).</t>
  </si>
  <si>
    <t xml:space="preserve">lt005_instr_ent.otstndng_prncpl_amnt
lt005_instr_ent.prtn_amnt_rprtng_entty
lt005_instr_ent.accrd_intrst_instrmnt
lt006_instr_prot.prtctn_allctd_vl
</t>
  </si>
  <si>
    <t>out_b9000_counterparties.0100_rlvnt_amnt_wdc</t>
  </si>
  <si>
    <t>- Se registo do universo B0200: 
Reportar o seguinte cálculo: lt005_instr_ent.otstndng_prncpl_amnt - lt005_instr_ent.prtn_amnt_rprtng_entty + lt005_instr_ent.accrd_intrst_instrmnt
- Se registo do universo B0500: 
Reportar lt006_instr_prot.prtctn_allctd_vl</t>
  </si>
  <si>
    <t>Reunião 2025-10-28 Luís Capitão-Mor, Pedro Mendes, Luísa Sousa</t>
  </si>
  <si>
    <t>grss_crryng_amnt_instrmnt</t>
  </si>
  <si>
    <t>0260_grntd_min_amnt_strctrd_prdc</t>
  </si>
  <si>
    <r>
      <rPr>
        <sz val="11"/>
        <color theme="1"/>
        <rFont val="Calibri"/>
        <family val="2"/>
        <scheme val="minor"/>
      </rPr>
      <t xml:space="preserve">Tabela </t>
    </r>
    <r>
      <rPr>
        <i/>
        <sz val="11"/>
        <color theme="1"/>
        <rFont val="Calibri"/>
        <family val="2"/>
        <scheme val="minor"/>
      </rPr>
      <t>Output</t>
    </r>
  </si>
  <si>
    <t>B05.00</t>
  </si>
  <si>
    <t xml:space="preserve">instrmnt_id </t>
  </si>
  <si>
    <t>prtctn_allctd_vl</t>
  </si>
  <si>
    <t>flg_scrd</t>
  </si>
  <si>
    <t xml:space="preserve">dt_mtrty_prtctn </t>
  </si>
  <si>
    <t>lt006_instr_prot</t>
  </si>
  <si>
    <t>0020_uniq_id_guarantee</t>
  </si>
  <si>
    <t>0030_governing_law</t>
  </si>
  <si>
    <t>0040_flg_art12g_3_srmr</t>
  </si>
  <si>
    <t>0050_typ_guarantee</t>
  </si>
  <si>
    <t>0060_max_amnt_guarantee</t>
  </si>
  <si>
    <t>0070_flg_scrd</t>
  </si>
  <si>
    <t>0080_amnt_clltrl</t>
  </si>
  <si>
    <t>0090_guarantee_trggr</t>
  </si>
  <si>
    <t>0100_dt_mtrty_clltrl</t>
  </si>
  <si>
    <t>0110_scrts_clltrl_id</t>
  </si>
  <si>
    <t>0120_typ_clltrlztn</t>
  </si>
  <si>
    <t>0130_typ_prtctn_vl</t>
  </si>
  <si>
    <t>0140_dt_vltn_scrty</t>
  </si>
  <si>
    <t>0150_prtctn_vltn_apprch</t>
  </si>
  <si>
    <t>out_b0500_guarantees</t>
  </si>
  <si>
    <t>B90.00</t>
  </si>
  <si>
    <t>cntrprty_rsltn_grp</t>
  </si>
  <si>
    <t>entty_nm</t>
  </si>
  <si>
    <t>lei</t>
  </si>
  <si>
    <t>prtctn_prvdr_id</t>
  </si>
  <si>
    <t>cntrprty_typ</t>
  </si>
  <si>
    <t>lt006_instr_pro</t>
  </si>
  <si>
    <t>0011_tab_origin</t>
  </si>
  <si>
    <t>0020_uniq_id_knwn_cntrprty</t>
  </si>
  <si>
    <t>0030_cntrprty_rsltn_grp</t>
  </si>
  <si>
    <t>0040_cntrprty_nm</t>
  </si>
  <si>
    <t>0050_cntrprty_lei</t>
  </si>
  <si>
    <t>0060_typ_cntrprty_id</t>
  </si>
  <si>
    <t>0070_cntrprty_id</t>
  </si>
  <si>
    <t>0080_cntrprty_typ</t>
  </si>
  <si>
    <t>0090_cntry_cntrprty</t>
  </si>
  <si>
    <t>0100_rlvnt_amnt_wdc</t>
  </si>
  <si>
    <t>out_b9000_counterparties</t>
  </si>
  <si>
    <t>Controlos</t>
  </si>
  <si>
    <t>A. Novos Campos</t>
  </si>
  <si>
    <t>B1. Re-especificação de campos de Sindicados</t>
  </si>
  <si>
    <t>B2. Re-especificação de outros campos</t>
  </si>
  <si>
    <t>C. Campos em testes ou c/ incidências</t>
  </si>
  <si>
    <t>D. Campos com NOK controlos Corporativos</t>
  </si>
  <si>
    <t xml:space="preserve">E. Campos com outras possíveis alterações - Dependente de decisões OSI </t>
  </si>
  <si>
    <t>F1. Fora âmbito | Campos concluídos - Sem necessidade de espec.</t>
  </si>
  <si>
    <t>F2. Fora âmbito | Campos em testes ou c/ incidências (LT - PM)</t>
  </si>
  <si>
    <t>F3. Fora âmbito | Fonte manual LF</t>
  </si>
  <si>
    <t>F4. Fora âmbito | Re-especificação de campos complexos - Dem. Fin. CIB</t>
  </si>
  <si>
    <t>Resumo de Testes</t>
  </si>
  <si>
    <t>Semana Atual</t>
  </si>
  <si>
    <t>Loan Tape</t>
  </si>
  <si>
    <t>Total</t>
  </si>
  <si>
    <t>Streams</t>
  </si>
  <si>
    <r>
      <rPr>
        <sz val="11"/>
        <color theme="1"/>
        <rFont val="Santander Text"/>
        <family val="2"/>
      </rPr>
      <t xml:space="preserve">Tabela </t>
    </r>
    <r>
      <rPr>
        <i/>
        <sz val="11"/>
        <color theme="1"/>
        <rFont val="Santander Text"/>
        <family val="2"/>
      </rPr>
      <t>Output</t>
    </r>
  </si>
  <si>
    <t xml:space="preserve">Concluídos </t>
  </si>
  <si>
    <t>Highlights</t>
  </si>
  <si>
    <t>Com Incidências.</t>
  </si>
  <si>
    <t>Com Incidências</t>
  </si>
  <si>
    <t>∆</t>
  </si>
  <si>
    <r>
      <rPr>
        <b/>
        <i/>
        <sz val="11"/>
        <color theme="1"/>
        <rFont val="Santander Text"/>
        <family val="2"/>
      </rPr>
      <t>Status</t>
    </r>
    <r>
      <rPr>
        <b/>
        <sz val="11"/>
        <color theme="1"/>
        <rFont val="Santander Text"/>
        <family val="2"/>
      </rPr>
      <t xml:space="preserve"> (campos)</t>
    </r>
  </si>
  <si>
    <t>Pendente de desenvolv.</t>
  </si>
  <si>
    <r>
      <t xml:space="preserve">Resumo semana atual:
Tabelas LT:
    </t>
    </r>
    <r>
      <rPr>
        <sz val="12"/>
        <color theme="1"/>
        <rFont val="Calibri"/>
        <family val="2"/>
        <scheme val="minor"/>
      </rPr>
      <t xml:space="preserve">- Sem avanços na presente semana.  </t>
    </r>
    <r>
      <rPr>
        <b/>
        <sz val="12"/>
        <color theme="1"/>
        <rFont val="Calibri"/>
        <family val="2"/>
        <scheme val="minor"/>
      </rPr>
      <t xml:space="preserve">
Tabela Output (out_b0500_guarantees):
    </t>
    </r>
    <r>
      <rPr>
        <sz val="12"/>
        <color theme="1"/>
        <rFont val="Calibri"/>
        <family val="2"/>
        <scheme val="minor"/>
      </rPr>
      <t xml:space="preserve">- Revisão da especificação existente.  </t>
    </r>
    <r>
      <rPr>
        <b/>
        <sz val="12"/>
        <color theme="1"/>
        <rFont val="Calibri"/>
        <family val="2"/>
        <scheme val="minor"/>
      </rPr>
      <t xml:space="preserve">
</t>
    </r>
  </si>
  <si>
    <r>
      <t xml:space="preserve">Resumo semana atual:
Tabelas LT:
    </t>
    </r>
    <r>
      <rPr>
        <sz val="12"/>
        <color theme="1"/>
        <rFont val="Calibri"/>
        <family val="2"/>
        <scheme val="minor"/>
      </rPr>
      <t xml:space="preserve">- Sem avanços na presente semana.  </t>
    </r>
    <r>
      <rPr>
        <b/>
        <sz val="12"/>
        <color theme="1"/>
        <rFont val="Calibri"/>
        <family val="2"/>
        <scheme val="minor"/>
      </rPr>
      <t xml:space="preserve">
Tabela Output (out_b9000_counterparties):
    </t>
    </r>
    <r>
      <rPr>
        <sz val="12"/>
        <color theme="1"/>
        <rFont val="Calibri"/>
        <family val="2"/>
        <scheme val="minor"/>
      </rPr>
      <t xml:space="preserve">- Sem avanços na presente semana.   </t>
    </r>
    <r>
      <rPr>
        <b/>
        <sz val="12"/>
        <color theme="1"/>
        <rFont val="Calibri"/>
        <family val="2"/>
        <scheme val="minor"/>
      </rPr>
      <t xml:space="preserve">
</t>
    </r>
  </si>
  <si>
    <t>flag_gar_intrg_san</t>
  </si>
  <si>
    <t>flag_inst_titulos</t>
  </si>
  <si>
    <t>lt801_param_segm</t>
  </si>
  <si>
    <r>
      <t xml:space="preserve">Resumo semana atual:
1. Certificação B02.00: </t>
    </r>
    <r>
      <rPr>
        <sz val="12"/>
        <color theme="1"/>
        <rFont val="Calibri"/>
        <family val="2"/>
        <scheme val="minor"/>
      </rPr>
      <t xml:space="preserve">Foram testados 3 campos da tabela da </t>
    </r>
    <r>
      <rPr>
        <i/>
        <sz val="12"/>
        <color theme="1"/>
        <rFont val="Calibri"/>
        <family val="2"/>
        <scheme val="minor"/>
      </rPr>
      <t>Loan Tape e 48 campos</t>
    </r>
    <r>
      <rPr>
        <sz val="12"/>
        <color theme="1"/>
        <rFont val="Calibri"/>
        <family val="2"/>
        <scheme val="minor"/>
      </rPr>
      <t xml:space="preserve"> da tabela de </t>
    </r>
    <r>
      <rPr>
        <i/>
        <sz val="12"/>
        <color theme="1"/>
        <rFont val="Calibri"/>
        <family val="2"/>
        <scheme val="minor"/>
      </rPr>
      <t xml:space="preserve">output. </t>
    </r>
    <r>
      <rPr>
        <sz val="12"/>
        <color theme="1"/>
        <rFont val="Calibri"/>
        <family val="2"/>
        <scheme val="minor"/>
      </rPr>
      <t>Foram verificados e partilhadas com a equipa de tecnologia um total de 8 campos com incidências.</t>
    </r>
    <r>
      <rPr>
        <i/>
        <sz val="12"/>
        <color theme="1"/>
        <rFont val="Calibri"/>
        <family val="2"/>
        <scheme val="minor"/>
      </rPr>
      <t xml:space="preserve">
</t>
    </r>
    <r>
      <rPr>
        <b/>
        <sz val="12"/>
        <color theme="1"/>
        <rFont val="Calibri"/>
        <family val="2"/>
        <scheme val="minor"/>
      </rPr>
      <t>2. Certificação B05.00:</t>
    </r>
    <r>
      <rPr>
        <i/>
        <sz val="12"/>
        <color theme="1"/>
        <rFont val="Calibri"/>
        <family val="2"/>
        <scheme val="minor"/>
      </rPr>
      <t xml:space="preserve"> </t>
    </r>
    <r>
      <rPr>
        <sz val="12"/>
        <color theme="1"/>
        <rFont val="Calibri"/>
        <family val="2"/>
        <scheme val="minor"/>
      </rPr>
      <t xml:space="preserve">Revisão da especificação existente. </t>
    </r>
    <r>
      <rPr>
        <i/>
        <sz val="12"/>
        <color theme="1"/>
        <rFont val="Calibri"/>
        <family val="2"/>
        <scheme val="minor"/>
      </rPr>
      <t xml:space="preserve"> </t>
    </r>
    <r>
      <rPr>
        <b/>
        <sz val="12"/>
        <color theme="1"/>
        <rFont val="Calibri"/>
        <family val="2"/>
        <scheme val="minor"/>
      </rPr>
      <t xml:space="preserve">
3. Certificação B90.00: </t>
    </r>
    <r>
      <rPr>
        <sz val="12"/>
        <color theme="1"/>
        <rFont val="Calibri"/>
        <family val="2"/>
        <scheme val="minor"/>
      </rPr>
      <t xml:space="preserve">Sem avanços na presente semana. </t>
    </r>
    <r>
      <rPr>
        <b/>
        <sz val="12"/>
        <color theme="1"/>
        <rFont val="Calibri"/>
        <family val="2"/>
        <scheme val="minor"/>
      </rPr>
      <t xml:space="preserve"> 
Próxima semana:
</t>
    </r>
    <r>
      <rPr>
        <sz val="12"/>
        <color theme="1"/>
        <rFont val="Calibri"/>
        <family val="2"/>
        <scheme val="minor"/>
      </rPr>
      <t xml:space="preserve">- Continuação da certificação dos campos da tabela de </t>
    </r>
    <r>
      <rPr>
        <i/>
        <sz val="12"/>
        <color theme="1"/>
        <rFont val="Calibri"/>
        <family val="2"/>
        <scheme val="minor"/>
      </rPr>
      <t>output</t>
    </r>
    <r>
      <rPr>
        <sz val="12"/>
        <color theme="1"/>
        <rFont val="Calibri"/>
        <family val="2"/>
        <scheme val="minor"/>
      </rPr>
      <t>.</t>
    </r>
    <r>
      <rPr>
        <b/>
        <sz val="12"/>
        <color theme="1"/>
        <rFont val="Calibri"/>
        <family val="2"/>
        <scheme val="minor"/>
      </rPr>
      <t xml:space="preserve">
</t>
    </r>
  </si>
  <si>
    <r>
      <t xml:space="preserve">Resumo semana atual:
Tabela de Operações (lt002_instrument): </t>
    </r>
    <r>
      <rPr>
        <sz val="12"/>
        <color theme="1"/>
        <rFont val="Calibri"/>
        <family val="2"/>
        <scheme val="minor"/>
      </rPr>
      <t>Foram testados 3 campos onde foram verificadas as seguintes incidências:</t>
    </r>
    <r>
      <rPr>
        <b/>
        <sz val="12"/>
        <color theme="1"/>
        <rFont val="Calibri"/>
        <family val="2"/>
        <scheme val="minor"/>
      </rPr>
      <t xml:space="preserve"> 
</t>
    </r>
    <r>
      <rPr>
        <sz val="12"/>
        <color theme="1"/>
        <rFont val="Calibri"/>
        <family val="2"/>
        <scheme val="minor"/>
      </rPr>
      <t xml:space="preserve">    - Campo </t>
    </r>
    <r>
      <rPr>
        <i/>
        <sz val="12"/>
        <color theme="1"/>
        <rFont val="Calibri"/>
        <family val="2"/>
        <scheme val="minor"/>
      </rPr>
      <t xml:space="preserve">typ_own_fnds_indvdl_lvl </t>
    </r>
    <r>
      <rPr>
        <sz val="12"/>
        <color theme="1"/>
        <rFont val="Calibri"/>
        <family val="2"/>
        <scheme val="minor"/>
      </rPr>
      <t xml:space="preserve">- Registos com valor </t>
    </r>
    <r>
      <rPr>
        <i/>
        <sz val="12"/>
        <color theme="1"/>
        <rFont val="Calibri"/>
        <family val="2"/>
        <scheme val="minor"/>
      </rPr>
      <t>null</t>
    </r>
    <r>
      <rPr>
        <sz val="12"/>
        <color theme="1"/>
        <rFont val="Calibri"/>
        <family val="2"/>
        <scheme val="minor"/>
      </rPr>
      <t xml:space="preserve">. Necessidade de ajustar a parametrização </t>
    </r>
    <r>
      <rPr>
        <i/>
        <sz val="12"/>
        <color theme="1"/>
        <rFont val="Calibri"/>
        <family val="2"/>
        <scheme val="minor"/>
      </rPr>
      <t xml:space="preserve">lt804_conf_dflt </t>
    </r>
    <r>
      <rPr>
        <sz val="12"/>
        <color theme="1"/>
        <rFont val="Calibri"/>
        <family val="2"/>
        <scheme val="minor"/>
      </rPr>
      <t>de acordo com a especificação funcional. 
    -</t>
    </r>
    <r>
      <rPr>
        <b/>
        <sz val="12"/>
        <color theme="1"/>
        <rFont val="Calibri"/>
        <family val="2"/>
        <scheme val="minor"/>
      </rPr>
      <t xml:space="preserve"> </t>
    </r>
    <r>
      <rPr>
        <sz val="12"/>
        <color theme="1"/>
        <rFont val="Calibri"/>
        <family val="2"/>
        <scheme val="minor"/>
      </rPr>
      <t>Campo</t>
    </r>
    <r>
      <rPr>
        <b/>
        <sz val="12"/>
        <color theme="1"/>
        <rFont val="Calibri"/>
        <family val="2"/>
        <scheme val="minor"/>
      </rPr>
      <t xml:space="preserve"> </t>
    </r>
    <r>
      <rPr>
        <i/>
        <sz val="12"/>
        <color theme="1"/>
        <rFont val="Calibri"/>
        <family val="2"/>
        <scheme val="minor"/>
      </rPr>
      <t xml:space="preserve">orgnl_amnt_fx </t>
    </r>
    <r>
      <rPr>
        <sz val="12"/>
        <color theme="1"/>
        <rFont val="Calibri"/>
        <family val="2"/>
        <scheme val="minor"/>
      </rPr>
      <t xml:space="preserve">- Todos os registos com valor </t>
    </r>
    <r>
      <rPr>
        <i/>
        <sz val="12"/>
        <color theme="1"/>
        <rFont val="Calibri"/>
        <family val="2"/>
        <scheme val="minor"/>
      </rPr>
      <t>default (99999999999.00)</t>
    </r>
    <r>
      <rPr>
        <sz val="12"/>
        <color theme="1"/>
        <rFont val="Calibri"/>
        <family val="2"/>
        <scheme val="minor"/>
      </rPr>
      <t xml:space="preserve">. Necessidade de ajustar a parametrização </t>
    </r>
    <r>
      <rPr>
        <i/>
        <sz val="12"/>
        <color theme="1"/>
        <rFont val="Calibri"/>
        <family val="2"/>
        <scheme val="minor"/>
      </rPr>
      <t xml:space="preserve">lt804_conf_dflt </t>
    </r>
    <r>
      <rPr>
        <sz val="12"/>
        <color theme="1"/>
        <rFont val="Calibri"/>
        <family val="2"/>
        <scheme val="minor"/>
      </rPr>
      <t xml:space="preserve">de acordo com a especificação funcional. 
    - Campo </t>
    </r>
    <r>
      <rPr>
        <i/>
        <sz val="12"/>
        <color theme="1"/>
        <rFont val="Calibri"/>
        <family val="2"/>
        <scheme val="minor"/>
      </rPr>
      <t>accntng_clssfctn</t>
    </r>
    <r>
      <rPr>
        <sz val="12"/>
        <color theme="1"/>
        <rFont val="Calibri"/>
        <family val="2"/>
        <scheme val="minor"/>
      </rPr>
      <t xml:space="preserve"> - Todos os registos com valor</t>
    </r>
    <r>
      <rPr>
        <i/>
        <sz val="12"/>
        <color theme="1"/>
        <rFont val="Calibri"/>
        <family val="2"/>
        <scheme val="minor"/>
      </rPr>
      <t xml:space="preserve"> default (99999999999).</t>
    </r>
    <r>
      <rPr>
        <sz val="12"/>
        <color theme="1"/>
        <rFont val="Calibri"/>
        <family val="2"/>
        <scheme val="minor"/>
      </rPr>
      <t xml:space="preserve"> Necessidade de ajustar as parametrizações </t>
    </r>
    <r>
      <rPr>
        <i/>
        <sz val="12"/>
        <color theme="1"/>
        <rFont val="Calibri"/>
        <family val="2"/>
        <scheme val="minor"/>
      </rPr>
      <t>lt829_regras_conversao</t>
    </r>
    <r>
      <rPr>
        <sz val="12"/>
        <color theme="1"/>
        <rFont val="Calibri"/>
        <family val="2"/>
        <scheme val="minor"/>
      </rPr>
      <t xml:space="preserve"> e </t>
    </r>
    <r>
      <rPr>
        <i/>
        <sz val="12"/>
        <color theme="1"/>
        <rFont val="Calibri"/>
        <family val="2"/>
        <scheme val="minor"/>
      </rPr>
      <t xml:space="preserve">lt830_conversoes </t>
    </r>
    <r>
      <rPr>
        <sz val="12"/>
        <color theme="1"/>
        <rFont val="Calibri"/>
        <family val="2"/>
        <scheme val="minor"/>
      </rPr>
      <t xml:space="preserve">de acordo com a especificação funcional. </t>
    </r>
    <r>
      <rPr>
        <b/>
        <sz val="12"/>
        <color theme="1"/>
        <rFont val="Calibri"/>
        <family val="2"/>
        <scheme val="minor"/>
      </rPr>
      <t xml:space="preserve">
Tabela </t>
    </r>
    <r>
      <rPr>
        <b/>
        <i/>
        <sz val="12"/>
        <color theme="1"/>
        <rFont val="Calibri"/>
        <family val="2"/>
        <scheme val="minor"/>
      </rPr>
      <t>Output</t>
    </r>
    <r>
      <rPr>
        <b/>
        <sz val="12"/>
        <color theme="1"/>
        <rFont val="Calibri"/>
        <family val="2"/>
        <scheme val="minor"/>
      </rPr>
      <t xml:space="preserve"> (out_b0200_main_liabilities): </t>
    </r>
    <r>
      <rPr>
        <sz val="12"/>
        <color theme="1"/>
        <rFont val="Calibri"/>
        <family val="2"/>
        <scheme val="minor"/>
      </rPr>
      <t xml:space="preserve">Foram testados 48 campos onde foram verificadas 5 campos com incidências: </t>
    </r>
    <r>
      <rPr>
        <b/>
        <sz val="12"/>
        <color theme="1"/>
        <rFont val="Calibri"/>
        <family val="2"/>
        <scheme val="minor"/>
      </rPr>
      <t xml:space="preserve">
</t>
    </r>
    <r>
      <rPr>
        <sz val="12"/>
        <color theme="1"/>
        <rFont val="Calibri"/>
        <family val="2"/>
        <scheme val="minor"/>
      </rPr>
      <t xml:space="preserve">    - Campo </t>
    </r>
    <r>
      <rPr>
        <i/>
        <sz val="12"/>
        <color theme="1"/>
        <rFont val="Calibri"/>
        <family val="2"/>
        <scheme val="minor"/>
      </rPr>
      <t xml:space="preserve">0020_uniq_id </t>
    </r>
    <r>
      <rPr>
        <sz val="12"/>
        <color theme="1"/>
        <rFont val="Calibri"/>
        <family val="2"/>
        <scheme val="minor"/>
      </rPr>
      <t xml:space="preserve">- 1 operação duplicada;
    - Campo </t>
    </r>
    <r>
      <rPr>
        <i/>
        <sz val="12"/>
        <color theme="1"/>
        <rFont val="Calibri"/>
        <family val="2"/>
        <scheme val="minor"/>
      </rPr>
      <t xml:space="preserve">0060_orgnl_amnt_fx </t>
    </r>
    <r>
      <rPr>
        <sz val="12"/>
        <color theme="1"/>
        <rFont val="Calibri"/>
        <family val="2"/>
        <scheme val="minor"/>
      </rPr>
      <t xml:space="preserve">- Todos os registos mapeados com um valor default.
    - Campo </t>
    </r>
    <r>
      <rPr>
        <i/>
        <sz val="12"/>
        <color theme="1"/>
        <rFont val="Calibri"/>
        <family val="2"/>
        <scheme val="minor"/>
      </rPr>
      <t xml:space="preserve">0530_typ_own_fnds_ind_lvl </t>
    </r>
    <r>
      <rPr>
        <sz val="12"/>
        <color theme="1"/>
        <rFont val="Calibri"/>
        <family val="2"/>
        <scheme val="minor"/>
      </rPr>
      <t>- 2 registos com valores não válidos (</t>
    </r>
    <r>
      <rPr>
        <i/>
        <sz val="12"/>
        <color theme="1"/>
        <rFont val="Calibri"/>
        <family val="2"/>
        <scheme val="minor"/>
      </rPr>
      <t>null</t>
    </r>
    <r>
      <rPr>
        <sz val="12"/>
        <color theme="1"/>
        <rFont val="Calibri"/>
        <family val="2"/>
        <scheme val="minor"/>
      </rPr>
      <t xml:space="preserve">). 
    - Campo </t>
    </r>
    <r>
      <rPr>
        <i/>
        <sz val="12"/>
        <color theme="1"/>
        <rFont val="Calibri"/>
        <family val="2"/>
        <scheme val="minor"/>
      </rPr>
      <t xml:space="preserve">0550_typ_own_fnds_cnsldtd_lvl - </t>
    </r>
    <r>
      <rPr>
        <sz val="12"/>
        <color theme="1"/>
        <rFont val="Calibri"/>
        <family val="2"/>
        <scheme val="minor"/>
      </rPr>
      <t>2 registos com</t>
    </r>
    <r>
      <rPr>
        <i/>
        <sz val="12"/>
        <color theme="1"/>
        <rFont val="Calibri"/>
        <family val="2"/>
        <scheme val="minor"/>
      </rPr>
      <t xml:space="preserve"> v</t>
    </r>
    <r>
      <rPr>
        <sz val="12"/>
        <color theme="1"/>
        <rFont val="Calibri"/>
        <family val="2"/>
        <scheme val="minor"/>
      </rPr>
      <t>alores não válidos (</t>
    </r>
    <r>
      <rPr>
        <i/>
        <sz val="12"/>
        <color theme="1"/>
        <rFont val="Calibri"/>
        <family val="2"/>
        <scheme val="minor"/>
      </rPr>
      <t>null</t>
    </r>
    <r>
      <rPr>
        <sz val="12"/>
        <color theme="1"/>
        <rFont val="Calibri"/>
        <family val="2"/>
        <scheme val="minor"/>
      </rPr>
      <t>).</t>
    </r>
    <r>
      <rPr>
        <i/>
        <sz val="12"/>
        <color theme="1"/>
        <rFont val="Calibri"/>
        <family val="2"/>
        <scheme val="minor"/>
      </rPr>
      <t xml:space="preserve"> </t>
    </r>
    <r>
      <rPr>
        <sz val="12"/>
        <color theme="1"/>
        <rFont val="Calibri"/>
        <family val="2"/>
        <scheme val="minor"/>
      </rPr>
      <t xml:space="preserve">
    - Campo </t>
    </r>
    <r>
      <rPr>
        <i/>
        <sz val="12"/>
        <color theme="1"/>
        <rFont val="Calibri"/>
        <family val="2"/>
        <scheme val="minor"/>
      </rPr>
      <t xml:space="preserve">0620_blnc_sht_ifrs - </t>
    </r>
    <r>
      <rPr>
        <sz val="12"/>
        <color theme="1"/>
        <rFont val="Calibri"/>
        <family val="2"/>
        <scheme val="minor"/>
      </rPr>
      <t xml:space="preserve">Todos os registos mapeados com um valor </t>
    </r>
    <r>
      <rPr>
        <i/>
        <sz val="12"/>
        <color theme="1"/>
        <rFont val="Calibri"/>
        <family val="2"/>
        <scheme val="minor"/>
      </rPr>
      <t>default</t>
    </r>
    <r>
      <rPr>
        <sz val="12"/>
        <color theme="1"/>
        <rFont val="Calibri"/>
        <family val="2"/>
        <scheme val="minor"/>
      </rPr>
      <t>. 
Após o ajuste das parametrizações no LT é expectável a resolução das incidência reportadas (exceto a operação duplicada).</t>
    </r>
    <r>
      <rPr>
        <i/>
        <sz val="12"/>
        <color theme="1"/>
        <rFont val="Calibri"/>
        <family val="2"/>
        <scheme val="minor"/>
      </rPr>
      <t xml:space="preserve">
</t>
    </r>
    <r>
      <rPr>
        <b/>
        <sz val="12"/>
        <color theme="1"/>
        <rFont val="Calibri"/>
        <family val="2"/>
        <scheme val="minor"/>
      </rPr>
      <t xml:space="preserve">Todos os temas supramencionados já foram endereçados com a equipa de IT.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</si>
</sst>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Calibri"/>
      <family val="2"/>
      <scheme val="minor"/>
    </font>
    <font>
      <b/>
      <sz val="11"/>
      <color theme="0"/>
      <name val="Santander Text"/>
      <family val="2"/>
    </font>
    <font>
      <i/>
      <sz val="11"/>
      <color theme="1"/>
      <name val="Calibri"/>
      <family val="2"/>
      <scheme val="minor"/>
    </font>
    <font>
      <b/>
      <i/>
      <sz val="11"/>
      <color theme="0"/>
      <name val="Santander Text"/>
      <family val="2"/>
    </font>
    <font>
      <sz val="11"/>
      <color theme="1"/>
      <name val="Santander Text"/>
      <family val="2"/>
    </font>
    <font>
      <b/>
      <sz val="11"/>
      <color theme="1"/>
      <name val="Calibri"/>
      <family val="2"/>
      <scheme val="minor"/>
    </font>
    <font>
      <sz val="10"/>
      <color theme="1"/>
      <name val="Santander Text"/>
      <family val="2"/>
    </font>
    <font>
      <b/>
      <sz val="10"/>
      <color theme="1"/>
      <name val="Santander Text"/>
      <family val="2"/>
    </font>
    <font>
      <b/>
      <sz val="10"/>
      <color rgb="FF000000"/>
      <name val="Santander Text"/>
      <family val="2"/>
    </font>
    <font>
      <sz val="10"/>
      <color rgb="FF000000"/>
      <name val="Calibri"/>
      <family val="2"/>
    </font>
    <font>
      <sz val="10"/>
      <color theme="1"/>
      <name val="Calibri"/>
      <family val="2"/>
      <scheme val="minor"/>
    </font>
    <font>
      <sz val="10"/>
      <color rgb="FF000000"/>
      <name val="Santander Text"/>
      <family val="2"/>
    </font>
    <font>
      <sz val="10"/>
      <color rgb="FFFF0000"/>
      <name val="Santander Text"/>
      <family val="2"/>
    </font>
    <font>
      <sz val="10"/>
      <color rgb="FFFF0000"/>
      <name val="Calibri"/>
      <family val="2"/>
    </font>
    <font>
      <sz val="11"/>
      <color rgb="FF000000"/>
      <name val="Calibri"/>
      <family val="2"/>
    </font>
    <font>
      <b/>
      <sz val="10"/>
      <name val="Calibri"/>
      <family val="2"/>
      <scheme val="minor"/>
    </font>
    <font>
      <sz val="10"/>
      <name val="Calibri"/>
      <family val="2"/>
      <scheme val="minor"/>
    </font>
    <font>
      <sz val="10"/>
      <color theme="1"/>
      <name val="Calibri"/>
      <family val="2"/>
    </font>
    <font>
      <sz val="10"/>
      <name val="Calibri"/>
      <family val="2"/>
    </font>
    <font>
      <sz val="11"/>
      <color theme="1"/>
      <name val="Calibri"/>
      <family val="2"/>
      <scheme val="minor"/>
    </font>
    <font>
      <sz val="11"/>
      <color theme="1"/>
      <name val="Calibri"/>
      <family val="2"/>
    </font>
    <font>
      <b/>
      <sz val="10"/>
      <color rgb="FF000000"/>
      <name val="Santander Text"/>
      <family val="2"/>
    </font>
    <font>
      <sz val="10"/>
      <color rgb="FF000000"/>
      <name val="Santander Text"/>
      <family val="2"/>
    </font>
    <font>
      <sz val="10"/>
      <color rgb="FF000000"/>
      <name val="Santander Text"/>
      <family val="2"/>
    </font>
    <font>
      <strike/>
      <sz val="10"/>
      <color rgb="FF000000"/>
      <name val="Calibri"/>
      <family val="2"/>
    </font>
    <font>
      <sz val="10"/>
      <color rgb="FF000000"/>
      <name val="Calibri"/>
      <family val="2"/>
    </font>
    <font>
      <i/>
      <sz val="10"/>
      <color rgb="FF000000"/>
      <name val="Santander Text"/>
      <family val="2"/>
    </font>
    <font>
      <b/>
      <sz val="10"/>
      <color theme="1"/>
      <name val="Calibri"/>
      <family val="2"/>
      <scheme val="minor"/>
    </font>
    <font>
      <sz val="11"/>
      <color rgb="FF000000"/>
      <name val="Calibri"/>
      <family val="2"/>
    </font>
    <font>
      <sz val="10"/>
      <color theme="1"/>
      <name val="Cambria"/>
      <family val="1"/>
    </font>
    <font>
      <sz val="10"/>
      <color theme="1"/>
      <name val="Santander Text"/>
      <family val="2"/>
    </font>
    <font>
      <sz val="10"/>
      <color theme="1"/>
      <name val="Calibri"/>
      <family val="2"/>
      <scheme val="minor"/>
    </font>
    <font>
      <sz val="10"/>
      <name val="Santander Text"/>
      <family val="2"/>
    </font>
    <font>
      <b/>
      <sz val="11"/>
      <color theme="0"/>
      <name val="Calibri"/>
      <family val="2"/>
      <scheme val="minor"/>
    </font>
    <font>
      <b/>
      <sz val="11"/>
      <color theme="1"/>
      <name val="Santander Text"/>
      <family val="2"/>
    </font>
    <font>
      <sz val="10"/>
      <color theme="0"/>
      <name val="Santander Text"/>
      <family val="2"/>
    </font>
    <font>
      <sz val="11"/>
      <color theme="0"/>
      <name val="Santander Text"/>
      <family val="2"/>
    </font>
    <font>
      <b/>
      <sz val="11.5"/>
      <color theme="0"/>
      <name val="Santander Text"/>
      <family val="2"/>
    </font>
    <font>
      <b/>
      <sz val="11.5"/>
      <color theme="1"/>
      <name val="Santander Text"/>
      <family val="2"/>
    </font>
    <font>
      <i/>
      <sz val="11"/>
      <color theme="1"/>
      <name val="Santander Text"/>
      <family val="2"/>
    </font>
    <font>
      <sz val="11.5"/>
      <color theme="1"/>
      <name val="Santander Text"/>
      <family val="2"/>
    </font>
    <font>
      <b/>
      <i/>
      <sz val="11.5"/>
      <color theme="0"/>
      <name val="Santander Text"/>
      <family val="2"/>
    </font>
    <font>
      <b/>
      <i/>
      <u/>
      <sz val="11"/>
      <color theme="1"/>
      <name val="Santander Text"/>
      <family val="2"/>
    </font>
    <font>
      <b/>
      <sz val="12"/>
      <color theme="1"/>
      <name val="Calibri"/>
      <family val="2"/>
      <scheme val="minor"/>
    </font>
    <font>
      <b/>
      <sz val="14"/>
      <color theme="0"/>
      <name val="Santander Text"/>
      <family val="2"/>
    </font>
    <font>
      <b/>
      <sz val="12"/>
      <color theme="1"/>
      <name val="Aptos Narrow"/>
      <family val="2"/>
    </font>
    <font>
      <b/>
      <i/>
      <sz val="11"/>
      <color theme="1"/>
      <name val="Santander Text"/>
      <family val="2"/>
    </font>
    <font>
      <b/>
      <i/>
      <sz val="12"/>
      <color theme="1"/>
      <name val="Calibri"/>
      <family val="2"/>
      <scheme val="minor"/>
    </font>
    <font>
      <sz val="12"/>
      <color theme="1"/>
      <name val="Calibri"/>
      <family val="2"/>
      <scheme val="minor"/>
    </font>
    <font>
      <i/>
      <sz val="12"/>
      <color theme="1"/>
      <name val="Calibri"/>
      <family val="2"/>
      <scheme val="minor"/>
    </font>
  </fonts>
  <fills count="22">
    <fill>
      <patternFill patternType="none"/>
    </fill>
    <fill>
      <patternFill patternType="gray125"/>
    </fill>
    <fill>
      <patternFill patternType="solid">
        <fgColor rgb="FF8CC1CE"/>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EB0000"/>
        <bgColor indexed="64"/>
      </patternFill>
    </fill>
    <fill>
      <patternFill patternType="solid">
        <fgColor theme="0"/>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0.249977111117893"/>
        <bgColor indexed="64"/>
      </patternFill>
    </fill>
    <fill>
      <patternFill patternType="solid">
        <fgColor rgb="FFFFFF00"/>
        <bgColor indexed="64"/>
      </patternFill>
    </fill>
    <fill>
      <patternFill patternType="solid">
        <fgColor rgb="FFBFBFBF"/>
        <bgColor rgb="FF000000"/>
      </patternFill>
    </fill>
    <fill>
      <patternFill patternType="solid">
        <fgColor theme="2"/>
        <bgColor indexed="64"/>
      </patternFill>
    </fill>
    <fill>
      <patternFill patternType="solid">
        <fgColor theme="2" tint="-9.9978637043366805E-2"/>
        <bgColor indexed="64"/>
      </patternFill>
    </fill>
    <fill>
      <patternFill patternType="solid">
        <fgColor theme="7" tint="0.59999389629810485"/>
        <bgColor indexed="64"/>
      </patternFill>
    </fill>
    <fill>
      <patternFill patternType="solid">
        <fgColor rgb="FFC00000"/>
        <bgColor indexed="64"/>
      </patternFill>
    </fill>
    <fill>
      <patternFill patternType="solid">
        <fgColor rgb="FF750000"/>
        <bgColor indexed="64"/>
      </patternFill>
    </fill>
    <fill>
      <patternFill patternType="solid">
        <fgColor rgb="FFFFE084"/>
        <bgColor indexed="64"/>
      </patternFill>
    </fill>
    <fill>
      <patternFill patternType="solid">
        <fgColor rgb="FFC0E2C2"/>
        <bgColor indexed="64"/>
      </patternFill>
    </fill>
    <fill>
      <patternFill patternType="solid">
        <fgColor rgb="FF63E2E9"/>
        <bgColor indexed="64"/>
      </patternFill>
    </fill>
    <fill>
      <patternFill patternType="solid">
        <fgColor theme="0" tint="-0.499984740745262"/>
        <bgColor indexed="64"/>
      </patternFill>
    </fill>
    <fill>
      <patternFill patternType="solid">
        <fgColor rgb="FFFF5959"/>
        <bgColor indexed="64"/>
      </patternFill>
    </fill>
  </fills>
  <borders count="107">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rgb="FF000000"/>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medium">
        <color rgb="FF000000"/>
      </left>
      <right style="thin">
        <color rgb="FF000000"/>
      </right>
      <top/>
      <bottom style="medium">
        <color rgb="FF000000"/>
      </bottom>
      <diagonal/>
    </border>
    <border>
      <left style="thin">
        <color rgb="FF000000"/>
      </left>
      <right/>
      <top/>
      <bottom style="medium">
        <color rgb="FF000000"/>
      </bottom>
      <diagonal/>
    </border>
    <border>
      <left style="medium">
        <color rgb="FF000000"/>
      </left>
      <right style="medium">
        <color rgb="FF000000"/>
      </right>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medium">
        <color rgb="FF000000"/>
      </top>
      <bottom style="thin">
        <color rgb="FF000000"/>
      </bottom>
      <diagonal/>
    </border>
    <border>
      <left style="thin">
        <color rgb="FF000000"/>
      </left>
      <right/>
      <top/>
      <bottom style="thin">
        <color rgb="FF000000"/>
      </bottom>
      <diagonal/>
    </border>
    <border>
      <left style="medium">
        <color rgb="FF000000"/>
      </left>
      <right style="medium">
        <color rgb="FF000000"/>
      </right>
      <top/>
      <bottom style="thin">
        <color rgb="FF000000"/>
      </bottom>
      <diagonal/>
    </border>
    <border>
      <left/>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thin">
        <color rgb="FF000000"/>
      </top>
      <bottom style="thin">
        <color rgb="FF000000"/>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style="thin">
        <color rgb="FF000000"/>
      </top>
      <bottom style="medium">
        <color rgb="FF000000"/>
      </bottom>
      <diagonal/>
    </border>
    <border>
      <left/>
      <right/>
      <top/>
      <bottom style="thin">
        <color indexed="64"/>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medium">
        <color rgb="FF000000"/>
      </right>
      <top/>
      <bottom/>
      <diagonal/>
    </border>
    <border>
      <left/>
      <right style="thin">
        <color rgb="FF000000"/>
      </right>
      <top/>
      <bottom style="thin">
        <color rgb="FF000000"/>
      </bottom>
      <diagonal/>
    </border>
    <border>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style="thin">
        <color rgb="FF000000"/>
      </top>
      <bottom/>
      <diagonal/>
    </border>
    <border>
      <left/>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diagonal/>
    </border>
    <border>
      <left/>
      <right style="thin">
        <color rgb="FF000000"/>
      </right>
      <top style="thin">
        <color rgb="FF000000"/>
      </top>
      <bottom/>
      <diagonal/>
    </border>
    <border>
      <left style="dotted">
        <color rgb="FF1AB2BB"/>
      </left>
      <right/>
      <top style="dotted">
        <color rgb="FF1AB2BB"/>
      </top>
      <bottom/>
      <diagonal/>
    </border>
    <border>
      <left/>
      <right/>
      <top style="dotted">
        <color rgb="FF1AB2BB"/>
      </top>
      <bottom/>
      <diagonal/>
    </border>
    <border>
      <left style="dotted">
        <color rgb="FF1AB2BB"/>
      </left>
      <right/>
      <top/>
      <bottom/>
      <diagonal/>
    </border>
    <border>
      <left style="dotted">
        <color rgb="FF1AB2BB"/>
      </left>
      <right/>
      <top style="thin">
        <color theme="0"/>
      </top>
      <bottom/>
      <diagonal/>
    </border>
    <border>
      <left style="dotted">
        <color rgb="FF1AB2BB"/>
      </left>
      <right/>
      <top/>
      <bottom style="dotted">
        <color rgb="FF1AB2BB"/>
      </bottom>
      <diagonal/>
    </border>
    <border>
      <left/>
      <right/>
      <top/>
      <bottom style="dotted">
        <color rgb="FF1AB2BB"/>
      </bottom>
      <diagonal/>
    </border>
    <border>
      <left/>
      <right style="dotted">
        <color rgb="FF1AB2BB"/>
      </right>
      <top style="dotted">
        <color rgb="FF1AB2BB"/>
      </top>
      <bottom/>
      <diagonal/>
    </border>
    <border>
      <left/>
      <right style="dotted">
        <color rgb="FF1AB2BB"/>
      </right>
      <top/>
      <bottom/>
      <diagonal/>
    </border>
    <border>
      <left/>
      <right style="dotted">
        <color rgb="FF1AB2BB"/>
      </right>
      <top/>
      <bottom style="dotted">
        <color rgb="FF1AB2BB"/>
      </bottom>
      <diagonal/>
    </border>
    <border>
      <left/>
      <right/>
      <top style="hair">
        <color theme="0" tint="-0.34998626667073579"/>
      </top>
      <bottom style="thin">
        <color theme="0" tint="-0.34998626667073579"/>
      </bottom>
      <diagonal/>
    </border>
    <border>
      <left style="hair">
        <color theme="0" tint="-0.34998626667073579"/>
      </left>
      <right style="hair">
        <color theme="0" tint="-0.34998626667073579"/>
      </right>
      <top style="hair">
        <color theme="0" tint="-0.34998626667073579"/>
      </top>
      <bottom style="thin">
        <color theme="0" tint="-0.34998626667073579"/>
      </bottom>
      <diagonal/>
    </border>
    <border>
      <left style="hair">
        <color theme="0" tint="-0.34998626667073579"/>
      </left>
      <right/>
      <top style="hair">
        <color theme="0" tint="-0.34998626667073579"/>
      </top>
      <bottom style="thin">
        <color theme="0" tint="-0.34998626667073579"/>
      </bottom>
      <diagonal/>
    </border>
    <border>
      <left style="hair">
        <color theme="0" tint="-0.34998626667073579"/>
      </left>
      <right style="hair">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style="thin">
        <color theme="0" tint="-0.499984740745262"/>
      </left>
      <right/>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right/>
      <top/>
      <bottom style="hair">
        <color theme="0" tint="-0.34998626667073579"/>
      </bottom>
      <diagonal/>
    </border>
    <border>
      <left/>
      <right/>
      <top style="hair">
        <color auto="1"/>
      </top>
      <bottom/>
      <diagonal/>
    </border>
    <border>
      <left/>
      <right/>
      <top/>
      <bottom style="hair">
        <color auto="1"/>
      </bottom>
      <diagonal/>
    </border>
    <border>
      <left/>
      <right/>
      <top style="hair">
        <color auto="1"/>
      </top>
      <bottom style="thin">
        <color theme="0" tint="-0.499984740745262"/>
      </bottom>
      <diagonal/>
    </border>
    <border>
      <left style="hair">
        <color theme="0" tint="-0.34998626667073579"/>
      </left>
      <right style="hair">
        <color theme="0" tint="-0.34998626667073579"/>
      </right>
      <top/>
      <bottom style="hair">
        <color theme="0" tint="-0.34998626667073579"/>
      </bottom>
      <diagonal/>
    </border>
    <border>
      <left style="hair">
        <color theme="0" tint="-0.34998626667073579"/>
      </left>
      <right/>
      <top/>
      <bottom style="hair">
        <color theme="0" tint="-0.34998626667073579"/>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hair">
        <color theme="0" tint="-0.34998626667073579"/>
      </bottom>
      <diagonal/>
    </border>
    <border>
      <left/>
      <right/>
      <top style="thin">
        <color theme="0" tint="-0.499984740745262"/>
      </top>
      <bottom style="hair">
        <color theme="0" tint="-0.34998626667073579"/>
      </bottom>
      <diagonal/>
    </border>
    <border>
      <left style="hair">
        <color theme="0" tint="-0.34998626667073579"/>
      </left>
      <right style="hair">
        <color theme="0" tint="-0.34998626667073579"/>
      </right>
      <top style="thin">
        <color theme="0" tint="-0.499984740745262"/>
      </top>
      <bottom style="hair">
        <color theme="0" tint="-0.34998626667073579"/>
      </bottom>
      <diagonal/>
    </border>
    <border>
      <left style="hair">
        <color theme="0" tint="-0.34998626667073579"/>
      </left>
      <right/>
      <top style="thin">
        <color theme="0" tint="-0.499984740745262"/>
      </top>
      <bottom style="hair">
        <color theme="0" tint="-0.34998626667073579"/>
      </bottom>
      <diagonal/>
    </border>
    <border>
      <left style="hair">
        <color theme="0" tint="-0.34998626667073579"/>
      </left>
      <right style="thin">
        <color theme="0" tint="-0.499984740745262"/>
      </right>
      <top style="thin">
        <color theme="0" tint="-0.499984740745262"/>
      </top>
      <bottom style="hair">
        <color theme="0" tint="-0.34998626667073579"/>
      </bottom>
      <diagonal/>
    </border>
    <border>
      <left style="thin">
        <color theme="0" tint="-0.499984740745262"/>
      </left>
      <right/>
      <top style="hair">
        <color theme="0" tint="-0.34998626667073579"/>
      </top>
      <bottom style="thin">
        <color theme="0" tint="-0.34998626667073579"/>
      </bottom>
      <diagonal/>
    </border>
    <border>
      <left style="hair">
        <color theme="0" tint="-0.34998626667073579"/>
      </left>
      <right style="thin">
        <color theme="0" tint="-0.499984740745262"/>
      </right>
      <top style="hair">
        <color theme="0" tint="-0.34998626667073579"/>
      </top>
      <bottom style="thin">
        <color theme="0" tint="-0.34998626667073579"/>
      </bottom>
      <diagonal/>
    </border>
    <border>
      <left style="thin">
        <color theme="0" tint="-0.499984740745262"/>
      </left>
      <right/>
      <top/>
      <bottom style="hair">
        <color theme="0" tint="-0.34998626667073579"/>
      </bottom>
      <diagonal/>
    </border>
    <border>
      <left style="hair">
        <color theme="0" tint="-0.34998626667073579"/>
      </left>
      <right style="thin">
        <color theme="0" tint="-0.499984740745262"/>
      </right>
      <top/>
      <bottom style="hair">
        <color theme="0" tint="-0.34998626667073579"/>
      </bottom>
      <diagonal/>
    </border>
    <border>
      <left style="hair">
        <color theme="0" tint="-0.34998626667073579"/>
      </left>
      <right style="hair">
        <color theme="0" tint="-0.34998626667073579"/>
      </right>
      <top/>
      <bottom style="thin">
        <color theme="0" tint="-0.499984740745262"/>
      </bottom>
      <diagonal/>
    </border>
    <border>
      <left style="hair">
        <color theme="0" tint="-0.34998626667073579"/>
      </left>
      <right style="thin">
        <color theme="0" tint="-0.499984740745262"/>
      </right>
      <top/>
      <bottom/>
      <diagonal/>
    </border>
    <border>
      <left style="hair">
        <color theme="0" tint="-0.34998626667073579"/>
      </left>
      <right style="thin">
        <color theme="0" tint="-0.499984740745262"/>
      </right>
      <top/>
      <bottom style="thin">
        <color theme="0" tint="-0.499984740745262"/>
      </bottom>
      <diagonal/>
    </border>
  </borders>
  <cellStyleXfs count="3">
    <xf numFmtId="0" fontId="0" fillId="0" borderId="0"/>
    <xf numFmtId="0" fontId="6" fillId="0" borderId="0"/>
    <xf numFmtId="0" fontId="19" fillId="0" borderId="0"/>
  </cellStyleXfs>
  <cellXfs count="440">
    <xf numFmtId="0" fontId="0" fillId="0" borderId="0" xfId="0"/>
    <xf numFmtId="0" fontId="4" fillId="3" borderId="0" xfId="0" applyFont="1" applyFill="1"/>
    <xf numFmtId="0" fontId="4" fillId="0" borderId="0" xfId="0" applyFont="1"/>
    <xf numFmtId="0" fontId="4" fillId="4" borderId="0" xfId="0" applyFont="1" applyFill="1"/>
    <xf numFmtId="0" fontId="3" fillId="2" borderId="1" xfId="0" applyFont="1" applyFill="1" applyBorder="1" applyAlignment="1">
      <alignment horizontal="center" vertical="center"/>
    </xf>
    <xf numFmtId="0" fontId="1" fillId="5" borderId="1" xfId="0" applyFont="1" applyFill="1" applyBorder="1" applyAlignment="1">
      <alignment horizontal="center" vertical="center"/>
    </xf>
    <xf numFmtId="0" fontId="1" fillId="5" borderId="1" xfId="0" applyFont="1" applyFill="1" applyBorder="1" applyAlignment="1">
      <alignment horizontal="center" vertical="center" wrapText="1"/>
    </xf>
    <xf numFmtId="0" fontId="6" fillId="6" borderId="0" xfId="1" applyFill="1" applyAlignment="1">
      <alignment wrapText="1"/>
    </xf>
    <xf numFmtId="0" fontId="7" fillId="6" borderId="0" xfId="1" applyFont="1" applyFill="1" applyAlignment="1">
      <alignment horizontal="center" vertical="top" wrapText="1"/>
    </xf>
    <xf numFmtId="0" fontId="6" fillId="6" borderId="0" xfId="1" applyFill="1" applyAlignment="1">
      <alignment horizontal="center" vertical="center" wrapText="1"/>
    </xf>
    <xf numFmtId="0" fontId="6" fillId="6" borderId="0" xfId="1" applyFill="1" applyAlignment="1">
      <alignment vertical="center" wrapText="1"/>
    </xf>
    <xf numFmtId="0" fontId="7" fillId="7" borderId="9" xfId="1" applyFont="1" applyFill="1" applyBorder="1" applyAlignment="1">
      <alignment horizontal="center" vertical="top" wrapText="1"/>
    </xf>
    <xf numFmtId="0" fontId="7" fillId="7" borderId="10" xfId="1" applyFont="1" applyFill="1" applyBorder="1" applyAlignment="1">
      <alignment horizontal="center" vertical="top" wrapText="1"/>
    </xf>
    <xf numFmtId="0" fontId="7" fillId="7" borderId="10" xfId="1" applyFont="1" applyFill="1" applyBorder="1" applyAlignment="1">
      <alignment horizontal="center" vertical="center" wrapText="1"/>
    </xf>
    <xf numFmtId="0" fontId="7" fillId="7" borderId="11" xfId="1" applyFont="1" applyFill="1" applyBorder="1" applyAlignment="1">
      <alignment horizontal="center" vertical="center" wrapText="1"/>
    </xf>
    <xf numFmtId="0" fontId="6" fillId="6" borderId="0" xfId="1" applyFill="1" applyAlignment="1">
      <alignment horizontal="center" vertical="center"/>
    </xf>
    <xf numFmtId="0" fontId="6" fillId="6" borderId="0" xfId="1" applyFill="1" applyAlignment="1">
      <alignment vertical="center"/>
    </xf>
    <xf numFmtId="0" fontId="7" fillId="7" borderId="16" xfId="1" applyFont="1" applyFill="1" applyBorder="1" applyAlignment="1">
      <alignment horizontal="center" vertical="center" wrapText="1"/>
    </xf>
    <xf numFmtId="0" fontId="7" fillId="7" borderId="17" xfId="1" applyFont="1" applyFill="1" applyBorder="1" applyAlignment="1">
      <alignment horizontal="center" vertical="center" wrapText="1"/>
    </xf>
    <xf numFmtId="0" fontId="7" fillId="7" borderId="17" xfId="1" applyFont="1" applyFill="1" applyBorder="1" applyAlignment="1">
      <alignment horizontal="center" vertical="top" wrapText="1"/>
    </xf>
    <xf numFmtId="0" fontId="7" fillId="7" borderId="18" xfId="1" applyFont="1" applyFill="1" applyBorder="1" applyAlignment="1">
      <alignment horizontal="center" vertical="top" wrapText="1"/>
    </xf>
    <xf numFmtId="0" fontId="7" fillId="8" borderId="19" xfId="1" applyFont="1" applyFill="1" applyBorder="1" applyAlignment="1">
      <alignment horizontal="center" vertical="center" wrapText="1"/>
    </xf>
    <xf numFmtId="0" fontId="7" fillId="8" borderId="20" xfId="1" applyFont="1" applyFill="1" applyBorder="1" applyAlignment="1">
      <alignment horizontal="center" vertical="center" wrapText="1"/>
    </xf>
    <xf numFmtId="0" fontId="7" fillId="8" borderId="21" xfId="1" applyFont="1" applyFill="1" applyBorder="1" applyAlignment="1">
      <alignment horizontal="center" vertical="center" wrapText="1"/>
    </xf>
    <xf numFmtId="0" fontId="7" fillId="8" borderId="22" xfId="1" applyFont="1" applyFill="1" applyBorder="1" applyAlignment="1">
      <alignment horizontal="center" vertical="center" wrapText="1"/>
    </xf>
    <xf numFmtId="0" fontId="7" fillId="8" borderId="24" xfId="1" applyFont="1" applyFill="1" applyBorder="1" applyAlignment="1">
      <alignment horizontal="center" vertical="center" wrapText="1"/>
    </xf>
    <xf numFmtId="0" fontId="7" fillId="8" borderId="25" xfId="1" applyFont="1" applyFill="1" applyBorder="1" applyAlignment="1">
      <alignment horizontal="center" vertical="center" wrapText="1"/>
    </xf>
    <xf numFmtId="0" fontId="6" fillId="6" borderId="26" xfId="1" applyFill="1" applyBorder="1" applyAlignment="1">
      <alignment vertical="center"/>
    </xf>
    <xf numFmtId="0" fontId="9" fillId="7" borderId="9" xfId="1" applyFont="1" applyFill="1" applyBorder="1" applyAlignment="1">
      <alignment horizontal="center" vertical="center" wrapText="1"/>
    </xf>
    <xf numFmtId="0" fontId="9" fillId="7" borderId="10" xfId="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wrapText="1"/>
    </xf>
    <xf numFmtId="0" fontId="6" fillId="7" borderId="10" xfId="1" applyFill="1" applyBorder="1" applyAlignment="1">
      <alignment vertical="top" wrapText="1"/>
    </xf>
    <xf numFmtId="0" fontId="6" fillId="9" borderId="10" xfId="1" applyFill="1" applyBorder="1" applyAlignment="1">
      <alignment vertical="center" wrapText="1"/>
    </xf>
    <xf numFmtId="0" fontId="6" fillId="9" borderId="11" xfId="1" applyFill="1" applyBorder="1" applyAlignment="1">
      <alignment vertical="center" wrapText="1"/>
    </xf>
    <xf numFmtId="0" fontId="6" fillId="8" borderId="3" xfId="1" applyFill="1" applyBorder="1" applyAlignment="1">
      <alignment horizontal="left" vertical="top" wrapText="1"/>
    </xf>
    <xf numFmtId="0" fontId="6" fillId="8" borderId="4" xfId="1" applyFill="1" applyBorder="1" applyAlignment="1">
      <alignment horizontal="left" vertical="top" wrapText="1"/>
    </xf>
    <xf numFmtId="0" fontId="11" fillId="8" borderId="28" xfId="1" applyFont="1" applyFill="1" applyBorder="1" applyAlignment="1">
      <alignment horizontal="left" vertical="top" wrapText="1"/>
    </xf>
    <xf numFmtId="0" fontId="6" fillId="8" borderId="24" xfId="1" applyFill="1" applyBorder="1" applyAlignment="1">
      <alignment horizontal="center" vertical="top" wrapText="1"/>
    </xf>
    <xf numFmtId="0" fontId="6" fillId="8" borderId="25" xfId="1" applyFill="1" applyBorder="1" applyAlignment="1">
      <alignment horizontal="center" vertical="top" wrapText="1"/>
    </xf>
    <xf numFmtId="0" fontId="6" fillId="6" borderId="30" xfId="1" applyFill="1" applyBorder="1" applyAlignment="1">
      <alignment horizontal="center" vertical="center" wrapText="1"/>
    </xf>
    <xf numFmtId="0" fontId="9" fillId="7" borderId="31" xfId="1" applyFont="1" applyFill="1" applyBorder="1" applyAlignment="1">
      <alignment horizontal="center" vertical="center" wrapText="1"/>
    </xf>
    <xf numFmtId="0" fontId="9" fillId="7" borderId="25" xfId="1" applyFont="1" applyFill="1" applyBorder="1" applyAlignment="1">
      <alignment horizontal="center" vertical="center" wrapText="1"/>
    </xf>
    <xf numFmtId="16" fontId="10" fillId="7" borderId="25" xfId="1" quotePrefix="1" applyNumberFormat="1" applyFont="1" applyFill="1" applyBorder="1" applyAlignment="1">
      <alignment horizontal="center" vertical="center" wrapText="1"/>
    </xf>
    <xf numFmtId="0" fontId="6" fillId="7" borderId="25" xfId="1" applyFill="1" applyBorder="1" applyAlignment="1">
      <alignment vertical="top" wrapText="1"/>
    </xf>
    <xf numFmtId="0" fontId="6" fillId="9" borderId="25" xfId="1" applyFill="1" applyBorder="1" applyAlignment="1">
      <alignment vertical="center" wrapText="1"/>
    </xf>
    <xf numFmtId="0" fontId="6" fillId="9" borderId="32" xfId="1" applyFill="1" applyBorder="1" applyAlignment="1">
      <alignment vertical="center" wrapText="1"/>
    </xf>
    <xf numFmtId="0" fontId="6" fillId="8" borderId="31" xfId="1" applyFill="1" applyBorder="1" applyAlignment="1">
      <alignment horizontal="left" vertical="top" wrapText="1"/>
    </xf>
    <xf numFmtId="0" fontId="6" fillId="8" borderId="25" xfId="1" applyFill="1" applyBorder="1" applyAlignment="1">
      <alignment horizontal="left" vertical="top" wrapText="1"/>
    </xf>
    <xf numFmtId="0" fontId="11" fillId="8" borderId="33" xfId="1" applyFont="1" applyFill="1" applyBorder="1" applyAlignment="1">
      <alignment horizontal="left" vertical="top" wrapText="1"/>
    </xf>
    <xf numFmtId="0" fontId="11" fillId="8" borderId="31" xfId="1" applyFont="1" applyFill="1" applyBorder="1" applyAlignment="1">
      <alignment horizontal="left" vertical="top" wrapText="1"/>
    </xf>
    <xf numFmtId="0" fontId="11" fillId="8" borderId="34" xfId="1" applyFont="1" applyFill="1" applyBorder="1" applyAlignment="1">
      <alignment horizontal="left" vertical="top" wrapText="1"/>
    </xf>
    <xf numFmtId="0" fontId="6" fillId="8" borderId="33" xfId="1" applyFill="1" applyBorder="1" applyAlignment="1">
      <alignment horizontal="left" vertical="top" wrapText="1"/>
    </xf>
    <xf numFmtId="0" fontId="9" fillId="7" borderId="25" xfId="1" quotePrefix="1" applyFont="1" applyFill="1" applyBorder="1" applyAlignment="1">
      <alignment horizontal="center" vertical="center" wrapText="1"/>
    </xf>
    <xf numFmtId="0" fontId="12" fillId="8" borderId="33" xfId="1" applyFont="1" applyFill="1" applyBorder="1" applyAlignment="1">
      <alignment horizontal="left" vertical="top" wrapText="1"/>
    </xf>
    <xf numFmtId="0" fontId="6" fillId="8" borderId="34" xfId="1" applyFill="1" applyBorder="1" applyAlignment="1">
      <alignment horizontal="left" vertical="top" wrapText="1"/>
    </xf>
    <xf numFmtId="0" fontId="10" fillId="7" borderId="25" xfId="1" applyFont="1" applyFill="1" applyBorder="1" applyAlignment="1">
      <alignment horizontal="center" vertical="center" wrapText="1"/>
    </xf>
    <xf numFmtId="0" fontId="6" fillId="0" borderId="25" xfId="1" applyBorder="1" applyAlignment="1">
      <alignment vertical="center" wrapText="1"/>
    </xf>
    <xf numFmtId="49" fontId="9" fillId="7" borderId="25" xfId="1" applyNumberFormat="1" applyFont="1" applyFill="1" applyBorder="1" applyAlignment="1">
      <alignment horizontal="center" vertical="center" wrapText="1"/>
    </xf>
    <xf numFmtId="0" fontId="6" fillId="8" borderId="33" xfId="1" quotePrefix="1" applyFill="1" applyBorder="1" applyAlignment="1">
      <alignment horizontal="left" vertical="top" wrapText="1"/>
    </xf>
    <xf numFmtId="0" fontId="6" fillId="8" borderId="31" xfId="1" quotePrefix="1" applyFill="1" applyBorder="1" applyAlignment="1">
      <alignment horizontal="left" vertical="top" wrapText="1"/>
    </xf>
    <xf numFmtId="0" fontId="6" fillId="8" borderId="34" xfId="1" quotePrefix="1" applyFill="1" applyBorder="1" applyAlignment="1">
      <alignment horizontal="left" vertical="top" wrapText="1"/>
    </xf>
    <xf numFmtId="0" fontId="6" fillId="8" borderId="25" xfId="1" quotePrefix="1" applyFill="1" applyBorder="1" applyAlignment="1">
      <alignment horizontal="left" vertical="top" wrapText="1"/>
    </xf>
    <xf numFmtId="0" fontId="6" fillId="10" borderId="30" xfId="1" applyFill="1" applyBorder="1" applyAlignment="1">
      <alignment horizontal="center" vertical="center" wrapText="1"/>
    </xf>
    <xf numFmtId="0" fontId="6" fillId="10" borderId="0" xfId="1" applyFill="1" applyAlignment="1">
      <alignment wrapText="1"/>
    </xf>
    <xf numFmtId="0" fontId="6" fillId="0" borderId="32" xfId="1" applyBorder="1" applyAlignment="1">
      <alignment vertical="center" wrapText="1"/>
    </xf>
    <xf numFmtId="0" fontId="6" fillId="9" borderId="35" xfId="1" applyFill="1" applyBorder="1" applyAlignment="1">
      <alignment vertical="center" wrapText="1"/>
    </xf>
    <xf numFmtId="0" fontId="6" fillId="9" borderId="36" xfId="1" applyFill="1" applyBorder="1" applyAlignment="1">
      <alignment vertical="center" wrapText="1"/>
    </xf>
    <xf numFmtId="0" fontId="6" fillId="7" borderId="33" xfId="1" applyFill="1" applyBorder="1" applyAlignment="1">
      <alignment vertical="top" wrapText="1"/>
    </xf>
    <xf numFmtId="0" fontId="14" fillId="11" borderId="25" xfId="1" applyFont="1" applyFill="1" applyBorder="1"/>
    <xf numFmtId="0" fontId="14" fillId="11" borderId="32" xfId="1" applyFont="1" applyFill="1" applyBorder="1"/>
    <xf numFmtId="0" fontId="14" fillId="6" borderId="0" xfId="1" applyFont="1" applyFill="1"/>
    <xf numFmtId="0" fontId="6" fillId="8" borderId="37" xfId="1" applyFill="1" applyBorder="1" applyAlignment="1">
      <alignment horizontal="left" vertical="top" wrapText="1"/>
    </xf>
    <xf numFmtId="0" fontId="14" fillId="0" borderId="32" xfId="1" applyFont="1" applyBorder="1"/>
    <xf numFmtId="0" fontId="14" fillId="0" borderId="25" xfId="1" applyFont="1" applyBorder="1" applyAlignment="1">
      <alignment wrapText="1"/>
    </xf>
    <xf numFmtId="0" fontId="14" fillId="0" borderId="32" xfId="1" applyFont="1" applyBorder="1" applyAlignment="1">
      <alignment wrapText="1"/>
    </xf>
    <xf numFmtId="0" fontId="17" fillId="7" borderId="31" xfId="1" applyFont="1" applyFill="1" applyBorder="1" applyAlignment="1">
      <alignment horizontal="center" vertical="center" wrapText="1"/>
    </xf>
    <xf numFmtId="0" fontId="14" fillId="0" borderId="25" xfId="1" applyFont="1" applyBorder="1"/>
    <xf numFmtId="0" fontId="14" fillId="0" borderId="25" xfId="1" applyFont="1" applyBorder="1" applyAlignment="1">
      <alignment vertical="center" wrapText="1"/>
    </xf>
    <xf numFmtId="0" fontId="14" fillId="11" borderId="32" xfId="1" applyFont="1" applyFill="1" applyBorder="1" applyAlignment="1">
      <alignment vertical="center" wrapText="1"/>
    </xf>
    <xf numFmtId="49" fontId="6" fillId="8" borderId="25" xfId="1" applyNumberFormat="1" applyFill="1" applyBorder="1" applyAlignment="1">
      <alignment horizontal="left" vertical="top" wrapText="1"/>
    </xf>
    <xf numFmtId="0" fontId="14" fillId="11" borderId="25" xfId="1" applyFont="1" applyFill="1" applyBorder="1" applyAlignment="1">
      <alignment vertical="center" wrapText="1"/>
    </xf>
    <xf numFmtId="0" fontId="9" fillId="7" borderId="35" xfId="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wrapText="1"/>
    </xf>
    <xf numFmtId="0" fontId="6" fillId="7" borderId="38" xfId="1" applyFill="1" applyBorder="1" applyAlignment="1">
      <alignment vertical="top" wrapText="1"/>
    </xf>
    <xf numFmtId="0" fontId="14" fillId="0" borderId="35" xfId="1" applyFont="1" applyBorder="1" applyAlignment="1">
      <alignment vertical="center" wrapText="1"/>
    </xf>
    <xf numFmtId="0" fontId="9" fillId="7" borderId="37" xfId="1" applyFont="1" applyFill="1" applyBorder="1" applyAlignment="1">
      <alignment horizontal="center" vertical="center" wrapText="1"/>
    </xf>
    <xf numFmtId="0" fontId="14" fillId="11" borderId="39" xfId="1" applyFont="1" applyFill="1" applyBorder="1" applyAlignment="1">
      <alignment vertical="center" wrapText="1"/>
    </xf>
    <xf numFmtId="0" fontId="6" fillId="7" borderId="28" xfId="1" applyFill="1" applyBorder="1" applyAlignment="1">
      <alignment vertical="top" wrapText="1"/>
    </xf>
    <xf numFmtId="0" fontId="14" fillId="0" borderId="10" xfId="1" applyFont="1" applyBorder="1" applyAlignment="1">
      <alignment vertical="center" wrapText="1"/>
    </xf>
    <xf numFmtId="0" fontId="18" fillId="7" borderId="31" xfId="1" applyFont="1" applyFill="1" applyBorder="1" applyAlignment="1">
      <alignment horizontal="center" vertical="center" wrapText="1"/>
    </xf>
    <xf numFmtId="0" fontId="10" fillId="7" borderId="16" xfId="1" applyFont="1" applyFill="1" applyBorder="1" applyAlignment="1">
      <alignment horizontal="center" vertical="top" wrapText="1"/>
    </xf>
    <xf numFmtId="0" fontId="9" fillId="7" borderId="17" xfId="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wrapText="1"/>
    </xf>
    <xf numFmtId="0" fontId="6" fillId="7" borderId="40" xfId="1" applyFill="1" applyBorder="1" applyAlignment="1">
      <alignment vertical="top" wrapText="1"/>
    </xf>
    <xf numFmtId="0" fontId="14" fillId="11" borderId="17" xfId="1" applyFont="1" applyFill="1" applyBorder="1"/>
    <xf numFmtId="0" fontId="14" fillId="11" borderId="18" xfId="1" applyFont="1" applyFill="1" applyBorder="1"/>
    <xf numFmtId="0" fontId="6" fillId="8" borderId="16" xfId="1" applyFill="1" applyBorder="1" applyAlignment="1">
      <alignment horizontal="left" vertical="top" wrapText="1"/>
    </xf>
    <xf numFmtId="0" fontId="6" fillId="8" borderId="17" xfId="1" applyFill="1" applyBorder="1" applyAlignment="1">
      <alignment horizontal="left" vertical="top" wrapText="1"/>
    </xf>
    <xf numFmtId="0" fontId="6" fillId="8" borderId="40" xfId="1" applyFill="1" applyBorder="1" applyAlignment="1">
      <alignment horizontal="left" vertical="top" wrapText="1"/>
    </xf>
    <xf numFmtId="0" fontId="6" fillId="8" borderId="41" xfId="1" applyFill="1" applyBorder="1" applyAlignment="1">
      <alignment horizontal="left" vertical="top" wrapText="1"/>
    </xf>
    <xf numFmtId="0" fontId="11" fillId="6" borderId="0" xfId="1" applyFont="1" applyFill="1" applyAlignment="1">
      <alignment wrapText="1"/>
    </xf>
    <xf numFmtId="0" fontId="11" fillId="6" borderId="0" xfId="1" applyFont="1" applyFill="1" applyAlignment="1">
      <alignment vertical="center" wrapText="1"/>
    </xf>
    <xf numFmtId="0" fontId="6" fillId="0" borderId="0" xfId="1" applyAlignment="1">
      <alignment horizontal="left" vertical="top"/>
    </xf>
    <xf numFmtId="0" fontId="6" fillId="6" borderId="0" xfId="1" applyFill="1" applyAlignment="1">
      <alignment horizontal="left" vertical="top" wrapText="1"/>
    </xf>
    <xf numFmtId="0" fontId="11" fillId="6" borderId="0" xfId="1" applyFont="1" applyFill="1" applyAlignment="1">
      <alignment horizontal="left" vertical="top" wrapText="1"/>
    </xf>
    <xf numFmtId="0" fontId="11" fillId="6" borderId="0" xfId="1" applyFont="1" applyFill="1" applyAlignment="1">
      <alignment horizontal="center" vertical="top" wrapText="1"/>
    </xf>
    <xf numFmtId="0" fontId="11" fillId="6" borderId="0" xfId="1" applyFont="1" applyFill="1" applyAlignment="1">
      <alignment horizontal="center" vertical="center" wrapText="1"/>
    </xf>
    <xf numFmtId="0" fontId="6" fillId="6" borderId="0" xfId="1" applyFill="1" applyAlignment="1">
      <alignment horizontal="center" vertical="top" wrapText="1"/>
    </xf>
    <xf numFmtId="0" fontId="4" fillId="3" borderId="0" xfId="0" applyFont="1" applyFill="1" applyAlignment="1">
      <alignment vertical="center"/>
    </xf>
    <xf numFmtId="0" fontId="0" fillId="0" borderId="0" xfId="0" applyAlignment="1">
      <alignment vertical="center"/>
    </xf>
    <xf numFmtId="0" fontId="4" fillId="0" borderId="0" xfId="0" applyFont="1" applyAlignment="1">
      <alignment vertical="center"/>
    </xf>
    <xf numFmtId="0" fontId="4" fillId="4" borderId="0" xfId="0" applyFont="1" applyFill="1" applyAlignment="1">
      <alignment vertical="center"/>
    </xf>
    <xf numFmtId="0" fontId="21" fillId="8" borderId="20" xfId="1" applyFont="1" applyFill="1" applyBorder="1" applyAlignment="1">
      <alignment horizontal="center" vertical="center" wrapText="1"/>
    </xf>
    <xf numFmtId="0" fontId="21" fillId="8" borderId="2" xfId="1" applyFont="1" applyFill="1" applyBorder="1" applyAlignment="1">
      <alignment horizontal="center" vertical="center" wrapText="1"/>
    </xf>
    <xf numFmtId="0" fontId="22" fillId="8" borderId="27" xfId="1" applyFont="1" applyFill="1" applyBorder="1" applyAlignment="1">
      <alignment horizontal="left" vertical="top" wrapText="1"/>
    </xf>
    <xf numFmtId="0" fontId="22" fillId="8" borderId="9" xfId="1" applyFont="1" applyFill="1" applyBorder="1" applyAlignment="1">
      <alignment horizontal="left" vertical="top" wrapText="1"/>
    </xf>
    <xf numFmtId="0" fontId="23" fillId="8" borderId="28" xfId="1" applyFont="1" applyFill="1" applyBorder="1" applyAlignment="1">
      <alignment horizontal="left" vertical="top" wrapText="1"/>
    </xf>
    <xf numFmtId="0" fontId="22" fillId="8" borderId="29" xfId="1" applyFont="1" applyFill="1" applyBorder="1" applyAlignment="1">
      <alignment horizontal="left" vertical="top" wrapText="1"/>
    </xf>
    <xf numFmtId="0" fontId="22" fillId="8" borderId="33" xfId="1" applyFont="1" applyFill="1" applyBorder="1" applyAlignment="1">
      <alignment horizontal="left" vertical="top" wrapText="1"/>
    </xf>
    <xf numFmtId="0" fontId="22" fillId="8" borderId="31" xfId="1" applyFont="1" applyFill="1" applyBorder="1" applyAlignment="1">
      <alignment horizontal="left" vertical="top" wrapText="1"/>
    </xf>
    <xf numFmtId="0" fontId="22" fillId="8" borderId="34" xfId="1" applyFont="1" applyFill="1" applyBorder="1" applyAlignment="1">
      <alignment horizontal="left" vertical="top" wrapText="1"/>
    </xf>
    <xf numFmtId="0" fontId="23" fillId="8" borderId="33" xfId="1" applyFont="1" applyFill="1" applyBorder="1" applyAlignment="1">
      <alignment horizontal="left" vertical="top" wrapText="1"/>
    </xf>
    <xf numFmtId="0" fontId="23" fillId="8" borderId="33" xfId="1" quotePrefix="1" applyFont="1" applyFill="1" applyBorder="1" applyAlignment="1">
      <alignment horizontal="left" vertical="top" wrapText="1"/>
    </xf>
    <xf numFmtId="0" fontId="24" fillId="7" borderId="31" xfId="1" applyFont="1" applyFill="1" applyBorder="1" applyAlignment="1">
      <alignment horizontal="center" vertical="center" wrapText="1"/>
    </xf>
    <xf numFmtId="0" fontId="23" fillId="8" borderId="34" xfId="1" applyFont="1" applyFill="1" applyBorder="1" applyAlignment="1">
      <alignment horizontal="left" vertical="top" wrapText="1"/>
    </xf>
    <xf numFmtId="0" fontId="23" fillId="8" borderId="37" xfId="1" applyFont="1" applyFill="1" applyBorder="1" applyAlignment="1">
      <alignment horizontal="left" vertical="top" wrapText="1"/>
    </xf>
    <xf numFmtId="0" fontId="23" fillId="8" borderId="31" xfId="1" applyFont="1" applyFill="1" applyBorder="1" applyAlignment="1">
      <alignment horizontal="left" vertical="top" wrapText="1"/>
    </xf>
    <xf numFmtId="0" fontId="6" fillId="0" borderId="0" xfId="1" applyAlignment="1">
      <alignment horizontal="center" vertical="top" wrapText="1"/>
    </xf>
    <xf numFmtId="0" fontId="6" fillId="0" borderId="0" xfId="1" applyAlignment="1">
      <alignment horizontal="left"/>
    </xf>
    <xf numFmtId="0" fontId="6" fillId="0" borderId="0" xfId="1" applyAlignment="1">
      <alignment horizontal="left" vertical="center"/>
    </xf>
    <xf numFmtId="0" fontId="6" fillId="0" borderId="0" xfId="1" applyAlignment="1">
      <alignment horizontal="center" vertical="top"/>
    </xf>
    <xf numFmtId="0" fontId="6" fillId="0" borderId="0" xfId="1" applyAlignment="1">
      <alignment vertical="center"/>
    </xf>
    <xf numFmtId="0" fontId="6" fillId="0" borderId="0" xfId="1"/>
    <xf numFmtId="49" fontId="7" fillId="12" borderId="55" xfId="1" applyNumberFormat="1" applyFont="1" applyFill="1" applyBorder="1" applyAlignment="1">
      <alignment horizontal="center" vertical="center" wrapText="1"/>
    </xf>
    <xf numFmtId="49" fontId="7" fillId="12" borderId="10" xfId="1" applyNumberFormat="1" applyFont="1" applyFill="1" applyBorder="1" applyAlignment="1">
      <alignment horizontal="center" vertical="center" wrapText="1"/>
    </xf>
    <xf numFmtId="49" fontId="7" fillId="12" borderId="11" xfId="1" applyNumberFormat="1" applyFont="1" applyFill="1" applyBorder="1" applyAlignment="1">
      <alignment horizontal="center" vertical="center" wrapText="1"/>
    </xf>
    <xf numFmtId="0" fontId="7" fillId="7" borderId="17" xfId="1" applyFont="1" applyFill="1" applyBorder="1" applyAlignment="1">
      <alignment vertical="top" wrapText="1"/>
    </xf>
    <xf numFmtId="0" fontId="7" fillId="7" borderId="18" xfId="1" applyFont="1" applyFill="1" applyBorder="1" applyAlignment="1">
      <alignment vertical="top" wrapText="1"/>
    </xf>
    <xf numFmtId="0" fontId="7" fillId="6" borderId="0" xfId="1" applyFont="1" applyFill="1" applyAlignment="1">
      <alignment vertical="top" wrapText="1"/>
    </xf>
    <xf numFmtId="0" fontId="7" fillId="8" borderId="56" xfId="1" applyFont="1" applyFill="1" applyBorder="1" applyAlignment="1">
      <alignment horizontal="center" vertical="center" wrapText="1"/>
    </xf>
    <xf numFmtId="0" fontId="7" fillId="8" borderId="57" xfId="1" applyFont="1" applyFill="1" applyBorder="1" applyAlignment="1">
      <alignment horizontal="center" vertical="center" wrapText="1"/>
    </xf>
    <xf numFmtId="0" fontId="7" fillId="8" borderId="52" xfId="1" applyFont="1" applyFill="1" applyBorder="1" applyAlignment="1">
      <alignment horizontal="center" vertical="center" wrapText="1"/>
    </xf>
    <xf numFmtId="0" fontId="27" fillId="12" borderId="24" xfId="2" applyFont="1" applyFill="1" applyBorder="1" applyAlignment="1">
      <alignment horizontal="center" vertical="center" wrapText="1"/>
    </xf>
    <xf numFmtId="0" fontId="27" fillId="12" borderId="25" xfId="2" applyFont="1" applyFill="1" applyBorder="1" applyAlignment="1">
      <alignment horizontal="center" vertical="center" wrapText="1"/>
    </xf>
    <xf numFmtId="0" fontId="27" fillId="12" borderId="32" xfId="2" applyFont="1" applyFill="1" applyBorder="1" applyAlignment="1">
      <alignment horizontal="center" vertical="center" wrapText="1"/>
    </xf>
    <xf numFmtId="0" fontId="9" fillId="7" borderId="10" xfId="1" quotePrefix="1" applyFont="1" applyFill="1" applyBorder="1" applyAlignment="1">
      <alignment horizontal="center" vertical="center" wrapText="1"/>
    </xf>
    <xf numFmtId="16" fontId="10" fillId="7" borderId="10" xfId="1" quotePrefix="1" applyNumberFormat="1" applyFont="1" applyFill="1" applyBorder="1" applyAlignment="1">
      <alignment horizontal="center" vertical="center"/>
    </xf>
    <xf numFmtId="0" fontId="6" fillId="7" borderId="10" xfId="1" applyFill="1" applyBorder="1" applyAlignment="1">
      <alignment horizontal="left" vertical="center" wrapText="1"/>
    </xf>
    <xf numFmtId="0" fontId="6" fillId="13" borderId="10" xfId="1" applyFill="1" applyBorder="1"/>
    <xf numFmtId="0" fontId="6" fillId="13" borderId="11" xfId="1" applyFill="1" applyBorder="1"/>
    <xf numFmtId="0" fontId="6" fillId="6" borderId="0" xfId="1" applyFill="1"/>
    <xf numFmtId="0" fontId="6" fillId="8" borderId="3" xfId="1" applyFill="1" applyBorder="1" applyAlignment="1">
      <alignment horizontal="center" vertical="center"/>
    </xf>
    <xf numFmtId="0" fontId="6" fillId="8" borderId="4" xfId="1" applyFill="1" applyBorder="1" applyAlignment="1">
      <alignment vertical="top" wrapText="1"/>
    </xf>
    <xf numFmtId="0" fontId="6" fillId="8" borderId="4" xfId="1" applyFill="1" applyBorder="1" applyAlignment="1">
      <alignment horizontal="center" vertical="center" wrapText="1"/>
    </xf>
    <xf numFmtId="0" fontId="6" fillId="8" borderId="5" xfId="1" applyFill="1" applyBorder="1" applyAlignment="1">
      <alignment vertical="top" wrapText="1"/>
    </xf>
    <xf numFmtId="0" fontId="6" fillId="8" borderId="55" xfId="1" applyFill="1" applyBorder="1" applyAlignment="1">
      <alignment vertical="top" wrapText="1"/>
    </xf>
    <xf numFmtId="0" fontId="23" fillId="8" borderId="28" xfId="1" applyFont="1" applyFill="1" applyBorder="1" applyAlignment="1">
      <alignment vertical="top" wrapText="1"/>
    </xf>
    <xf numFmtId="0" fontId="6" fillId="8" borderId="29" xfId="1" applyFill="1" applyBorder="1" applyAlignment="1">
      <alignment vertical="top" wrapText="1"/>
    </xf>
    <xf numFmtId="49" fontId="12" fillId="6" borderId="24" xfId="1" applyNumberFormat="1" applyFont="1" applyFill="1" applyBorder="1" applyAlignment="1">
      <alignment horizontal="center" vertical="center" wrapText="1"/>
    </xf>
    <xf numFmtId="49" fontId="6" fillId="0" borderId="25" xfId="1" applyNumberFormat="1" applyBorder="1" applyAlignment="1">
      <alignment horizontal="center" vertical="center" wrapText="1"/>
    </xf>
    <xf numFmtId="49" fontId="6" fillId="0" borderId="25" xfId="1" applyNumberFormat="1" applyBorder="1" applyAlignment="1">
      <alignment horizontal="center" vertical="top" wrapText="1"/>
    </xf>
    <xf numFmtId="0" fontId="23" fillId="0" borderId="25" xfId="1" applyFont="1" applyBorder="1" applyAlignment="1">
      <alignment horizontal="center" vertical="center" wrapText="1"/>
    </xf>
    <xf numFmtId="49" fontId="6" fillId="6" borderId="25" xfId="1" applyNumberFormat="1" applyFill="1" applyBorder="1" applyAlignment="1">
      <alignment horizontal="center" vertical="top" wrapText="1"/>
    </xf>
    <xf numFmtId="49" fontId="11" fillId="6" borderId="25" xfId="1" applyNumberFormat="1" applyFont="1" applyFill="1" applyBorder="1" applyAlignment="1">
      <alignment horizontal="center" vertical="center" wrapText="1"/>
    </xf>
    <xf numFmtId="49" fontId="6" fillId="6" borderId="25" xfId="1" applyNumberFormat="1" applyFill="1" applyBorder="1" applyAlignment="1">
      <alignment horizontal="center" vertical="center" wrapText="1"/>
    </xf>
    <xf numFmtId="49" fontId="6" fillId="6" borderId="33" xfId="1" applyNumberFormat="1" applyFill="1" applyBorder="1" applyAlignment="1">
      <alignment horizontal="center" vertical="center" wrapText="1"/>
    </xf>
    <xf numFmtId="0" fontId="6" fillId="0" borderId="25" xfId="1" applyBorder="1" applyAlignment="1">
      <alignment vertical="center"/>
    </xf>
    <xf numFmtId="16" fontId="10" fillId="7" borderId="25" xfId="1" quotePrefix="1" applyNumberFormat="1" applyFont="1" applyFill="1" applyBorder="1" applyAlignment="1">
      <alignment horizontal="center" vertical="center"/>
    </xf>
    <xf numFmtId="0" fontId="6" fillId="7" borderId="25" xfId="1" applyFill="1" applyBorder="1" applyAlignment="1">
      <alignment vertical="center" wrapText="1"/>
    </xf>
    <xf numFmtId="0" fontId="6" fillId="13" borderId="25" xfId="1" applyFill="1" applyBorder="1"/>
    <xf numFmtId="0" fontId="6" fillId="13" borderId="32" xfId="1" applyFill="1" applyBorder="1"/>
    <xf numFmtId="0" fontId="6" fillId="8" borderId="31" xfId="1" applyFill="1" applyBorder="1" applyAlignment="1">
      <alignment horizontal="center" vertical="center"/>
    </xf>
    <xf numFmtId="0" fontId="6" fillId="8" borderId="25" xfId="1" applyFill="1" applyBorder="1" applyAlignment="1">
      <alignment vertical="top" wrapText="1"/>
    </xf>
    <xf numFmtId="0" fontId="6" fillId="8" borderId="25" xfId="1" applyFill="1" applyBorder="1" applyAlignment="1">
      <alignment horizontal="center" vertical="center" wrapText="1"/>
    </xf>
    <xf numFmtId="0" fontId="11" fillId="8" borderId="32" xfId="1" applyFont="1" applyFill="1" applyBorder="1" applyAlignment="1">
      <alignment horizontal="left" vertical="top" wrapText="1"/>
    </xf>
    <xf numFmtId="0" fontId="11" fillId="8" borderId="24" xfId="1" applyFont="1" applyFill="1" applyBorder="1" applyAlignment="1">
      <alignment horizontal="left" vertical="top" wrapText="1"/>
    </xf>
    <xf numFmtId="49" fontId="6" fillId="6" borderId="24" xfId="1" applyNumberFormat="1" applyFill="1" applyBorder="1" applyAlignment="1">
      <alignment horizontal="center" vertical="center" wrapText="1"/>
    </xf>
    <xf numFmtId="0" fontId="14" fillId="0" borderId="25" xfId="1" applyFont="1" applyBorder="1" applyAlignment="1">
      <alignment horizontal="center" vertical="center" wrapText="1"/>
    </xf>
    <xf numFmtId="0" fontId="23" fillId="0" borderId="25" xfId="1" quotePrefix="1" applyFont="1" applyBorder="1" applyAlignment="1">
      <alignment horizontal="center" vertical="center" wrapText="1"/>
    </xf>
    <xf numFmtId="0" fontId="28" fillId="0" borderId="25" xfId="1" applyFont="1" applyBorder="1" applyAlignment="1">
      <alignment horizontal="center" vertical="top" wrapText="1"/>
    </xf>
    <xf numFmtId="0" fontId="25" fillId="6" borderId="25" xfId="1" applyFont="1" applyFill="1" applyBorder="1" applyAlignment="1">
      <alignment horizontal="center" vertical="top" wrapText="1"/>
    </xf>
    <xf numFmtId="0" fontId="6" fillId="8" borderId="32" xfId="1" applyFill="1" applyBorder="1" applyAlignment="1">
      <alignment vertical="top" wrapText="1"/>
    </xf>
    <xf numFmtId="0" fontId="6" fillId="8" borderId="24" xfId="1" applyFill="1" applyBorder="1" applyAlignment="1">
      <alignment vertical="top" wrapText="1"/>
    </xf>
    <xf numFmtId="0" fontId="10" fillId="7" borderId="25" xfId="1" applyFont="1" applyFill="1" applyBorder="1" applyAlignment="1">
      <alignment horizontal="center" vertical="center"/>
    </xf>
    <xf numFmtId="0" fontId="23" fillId="8" borderId="32" xfId="1" applyFont="1" applyFill="1" applyBorder="1" applyAlignment="1">
      <alignment vertical="top" wrapText="1"/>
    </xf>
    <xf numFmtId="0" fontId="23" fillId="8" borderId="24" xfId="1" applyFont="1" applyFill="1" applyBorder="1" applyAlignment="1">
      <alignment vertical="top" wrapText="1"/>
    </xf>
    <xf numFmtId="0" fontId="23" fillId="0" borderId="25" xfId="1" applyFont="1" applyBorder="1" applyAlignment="1">
      <alignment horizontal="center" vertical="top" wrapText="1"/>
    </xf>
    <xf numFmtId="0" fontId="11" fillId="8" borderId="32" xfId="1" applyFont="1" applyFill="1" applyBorder="1" applyAlignment="1">
      <alignment vertical="top" wrapText="1"/>
    </xf>
    <xf numFmtId="0" fontId="11" fillId="8" borderId="24" xfId="1" applyFont="1" applyFill="1" applyBorder="1" applyAlignment="1">
      <alignment vertical="top" wrapText="1"/>
    </xf>
    <xf numFmtId="0" fontId="11" fillId="8" borderId="38" xfId="1" applyFont="1" applyFill="1" applyBorder="1" applyAlignment="1">
      <alignment horizontal="left" vertical="top" wrapText="1"/>
    </xf>
    <xf numFmtId="49" fontId="23" fillId="0" borderId="25" xfId="1" applyNumberFormat="1" applyFont="1" applyBorder="1" applyAlignment="1">
      <alignment horizontal="center" vertical="top" wrapText="1"/>
    </xf>
    <xf numFmtId="0" fontId="11" fillId="8" borderId="30" xfId="1" applyFont="1" applyFill="1" applyBorder="1" applyAlignment="1">
      <alignment vertical="top" wrapText="1"/>
    </xf>
    <xf numFmtId="0" fontId="6" fillId="8" borderId="34" xfId="1" applyFill="1" applyBorder="1" applyAlignment="1">
      <alignment vertical="top" wrapText="1"/>
    </xf>
    <xf numFmtId="0" fontId="23" fillId="8" borderId="34" xfId="1" applyFont="1" applyFill="1" applyBorder="1" applyAlignment="1">
      <alignment vertical="top" wrapText="1"/>
    </xf>
    <xf numFmtId="0" fontId="6" fillId="8" borderId="58" xfId="1" applyFill="1" applyBorder="1" applyAlignment="1">
      <alignment vertical="top" wrapText="1"/>
    </xf>
    <xf numFmtId="0" fontId="14" fillId="0" borderId="24" xfId="1" applyFont="1" applyBorder="1" applyAlignment="1">
      <alignment horizontal="center" vertical="center" wrapText="1"/>
    </xf>
    <xf numFmtId="0" fontId="17" fillId="7" borderId="25" xfId="1" quotePrefix="1" applyFont="1" applyFill="1" applyBorder="1" applyAlignment="1">
      <alignment horizontal="center" vertical="center" wrapText="1"/>
    </xf>
    <xf numFmtId="0" fontId="20" fillId="0" borderId="25" xfId="1" applyFont="1" applyBorder="1" applyAlignment="1">
      <alignment horizontal="center" vertical="center" wrapText="1"/>
    </xf>
    <xf numFmtId="49" fontId="30" fillId="0" borderId="25" xfId="1" applyNumberFormat="1" applyFont="1" applyBorder="1" applyAlignment="1">
      <alignment horizontal="center" vertical="top" wrapText="1"/>
    </xf>
    <xf numFmtId="0" fontId="30" fillId="0" borderId="25" xfId="1" quotePrefix="1" applyFont="1" applyBorder="1" applyAlignment="1">
      <alignment horizontal="center" vertical="center" wrapText="1"/>
    </xf>
    <xf numFmtId="0" fontId="9" fillId="7" borderId="16" xfId="1" applyFont="1" applyFill="1" applyBorder="1" applyAlignment="1">
      <alignment horizontal="center" vertical="center" wrapText="1"/>
    </xf>
    <xf numFmtId="0" fontId="9" fillId="7" borderId="17" xfId="1" quotePrefix="1" applyFont="1" applyFill="1" applyBorder="1" applyAlignment="1">
      <alignment horizontal="center" vertical="center" wrapText="1"/>
    </xf>
    <xf numFmtId="16" fontId="10" fillId="7" borderId="17" xfId="1" quotePrefix="1" applyNumberFormat="1" applyFont="1" applyFill="1" applyBorder="1" applyAlignment="1">
      <alignment horizontal="center" vertical="center"/>
    </xf>
    <xf numFmtId="0" fontId="6" fillId="7" borderId="17" xfId="1" applyFill="1" applyBorder="1" applyAlignment="1">
      <alignment vertical="center" wrapText="1"/>
    </xf>
    <xf numFmtId="0" fontId="6" fillId="13" borderId="17" xfId="1" applyFill="1" applyBorder="1"/>
    <xf numFmtId="0" fontId="6" fillId="13" borderId="18" xfId="1" applyFill="1" applyBorder="1"/>
    <xf numFmtId="0" fontId="6" fillId="8" borderId="16" xfId="1" applyFill="1" applyBorder="1" applyAlignment="1">
      <alignment horizontal="center" vertical="center"/>
    </xf>
    <xf numFmtId="0" fontId="6" fillId="8" borderId="17" xfId="1" applyFill="1" applyBorder="1" applyAlignment="1">
      <alignment vertical="top" wrapText="1"/>
    </xf>
    <xf numFmtId="0" fontId="6" fillId="8" borderId="17" xfId="1" applyFill="1" applyBorder="1" applyAlignment="1">
      <alignment horizontal="center" vertical="center" wrapText="1"/>
    </xf>
    <xf numFmtId="0" fontId="6" fillId="8" borderId="18" xfId="1" applyFill="1" applyBorder="1" applyAlignment="1">
      <alignment vertical="top" wrapText="1"/>
    </xf>
    <xf numFmtId="0" fontId="6" fillId="8" borderId="59" xfId="1" applyFill="1" applyBorder="1" applyAlignment="1">
      <alignment vertical="top" wrapText="1"/>
    </xf>
    <xf numFmtId="0" fontId="11" fillId="8" borderId="40" xfId="1" applyFont="1" applyFill="1" applyBorder="1" applyAlignment="1">
      <alignment horizontal="left" vertical="top" wrapText="1"/>
    </xf>
    <xf numFmtId="0" fontId="6" fillId="8" borderId="41" xfId="1" applyFill="1" applyBorder="1" applyAlignment="1">
      <alignment vertical="top" wrapText="1"/>
    </xf>
    <xf numFmtId="0" fontId="14" fillId="0" borderId="17" xfId="1" applyFont="1" applyBorder="1" applyAlignment="1">
      <alignment horizontal="center" vertical="center" wrapText="1"/>
    </xf>
    <xf numFmtId="49" fontId="23" fillId="0" borderId="17" xfId="1" applyNumberFormat="1" applyFont="1" applyBorder="1" applyAlignment="1">
      <alignment horizontal="center" vertical="top" wrapText="1"/>
    </xf>
    <xf numFmtId="49" fontId="6" fillId="0" borderId="17" xfId="1" applyNumberFormat="1" applyBorder="1" applyAlignment="1">
      <alignment horizontal="center" vertical="center" wrapText="1"/>
    </xf>
    <xf numFmtId="0" fontId="23" fillId="0" borderId="17" xfId="1" quotePrefix="1" applyFont="1" applyBorder="1" applyAlignment="1">
      <alignment horizontal="center" vertical="center" wrapText="1"/>
    </xf>
    <xf numFmtId="49" fontId="6" fillId="6" borderId="17" xfId="1" applyNumberFormat="1" applyFill="1" applyBorder="1" applyAlignment="1">
      <alignment horizontal="center" vertical="top" wrapText="1"/>
    </xf>
    <xf numFmtId="49" fontId="11" fillId="6" borderId="17" xfId="1" applyNumberFormat="1" applyFont="1" applyFill="1" applyBorder="1" applyAlignment="1">
      <alignment horizontal="center" vertical="center" wrapText="1"/>
    </xf>
    <xf numFmtId="49" fontId="6" fillId="6" borderId="17" xfId="1" applyNumberFormat="1" applyFill="1" applyBorder="1" applyAlignment="1">
      <alignment horizontal="center" vertical="center" wrapText="1"/>
    </xf>
    <xf numFmtId="49" fontId="6" fillId="6" borderId="40" xfId="1" applyNumberFormat="1" applyFill="1" applyBorder="1" applyAlignment="1">
      <alignment horizontal="center" vertical="center" wrapText="1"/>
    </xf>
    <xf numFmtId="0" fontId="6" fillId="0" borderId="0" xfId="1" applyAlignment="1">
      <alignment horizontal="center" vertical="center"/>
    </xf>
    <xf numFmtId="0" fontId="6" fillId="0" borderId="0" xfId="1" applyAlignment="1">
      <alignment vertical="top"/>
    </xf>
    <xf numFmtId="0" fontId="6" fillId="0" borderId="0" xfId="1" applyAlignment="1">
      <alignment horizontal="center"/>
    </xf>
    <xf numFmtId="0" fontId="6" fillId="6" borderId="0" xfId="1" applyFill="1" applyAlignment="1">
      <alignment horizontal="left"/>
    </xf>
    <xf numFmtId="0" fontId="7" fillId="6" borderId="0" xfId="1" applyFont="1" applyFill="1" applyAlignment="1">
      <alignment horizontal="center" vertical="center" wrapText="1"/>
    </xf>
    <xf numFmtId="0" fontId="6" fillId="6" borderId="0" xfId="1" applyFill="1" applyAlignment="1">
      <alignment horizontal="center" vertical="top"/>
    </xf>
    <xf numFmtId="0" fontId="7" fillId="7" borderId="9" xfId="1" applyFont="1" applyFill="1" applyBorder="1" applyAlignment="1">
      <alignment horizontal="center" vertical="center" wrapText="1"/>
    </xf>
    <xf numFmtId="49" fontId="8" fillId="12" borderId="55" xfId="1" applyNumberFormat="1" applyFont="1" applyFill="1" applyBorder="1" applyAlignment="1">
      <alignment horizontal="center" vertical="center" wrapText="1"/>
    </xf>
    <xf numFmtId="49" fontId="6" fillId="12" borderId="10" xfId="1" applyNumberFormat="1" applyFill="1" applyBorder="1" applyAlignment="1">
      <alignment horizontal="center" vertical="center" wrapText="1"/>
    </xf>
    <xf numFmtId="49" fontId="6" fillId="12" borderId="11" xfId="1" applyNumberFormat="1" applyFill="1" applyBorder="1" applyAlignment="1">
      <alignment horizontal="center" vertical="center" wrapText="1"/>
    </xf>
    <xf numFmtId="0" fontId="7" fillId="7" borderId="31" xfId="1" applyFont="1" applyFill="1" applyBorder="1" applyAlignment="1">
      <alignment horizontal="center" vertical="center" wrapText="1"/>
    </xf>
    <xf numFmtId="0" fontId="7" fillId="7" borderId="25" xfId="1" applyFont="1" applyFill="1" applyBorder="1" applyAlignment="1">
      <alignment horizontal="center" vertical="center" wrapText="1"/>
    </xf>
    <xf numFmtId="0" fontId="7" fillId="7" borderId="25" xfId="1" applyFont="1" applyFill="1" applyBorder="1" applyAlignment="1">
      <alignment vertical="top" wrapText="1"/>
    </xf>
    <xf numFmtId="0" fontId="7" fillId="7" borderId="32" xfId="1" applyFont="1" applyFill="1" applyBorder="1" applyAlignment="1">
      <alignment vertical="top" wrapText="1"/>
    </xf>
    <xf numFmtId="0" fontId="27" fillId="12" borderId="35" xfId="2" applyFont="1" applyFill="1" applyBorder="1" applyAlignment="1">
      <alignment horizontal="center" vertical="center" wrapText="1"/>
    </xf>
    <xf numFmtId="0" fontId="6" fillId="7" borderId="25" xfId="1" applyFill="1" applyBorder="1" applyAlignment="1">
      <alignment horizontal="left" vertical="top"/>
    </xf>
    <xf numFmtId="0" fontId="6" fillId="9" borderId="25" xfId="1" applyFill="1" applyBorder="1"/>
    <xf numFmtId="0" fontId="6" fillId="9" borderId="32" xfId="1" applyFill="1" applyBorder="1"/>
    <xf numFmtId="0" fontId="6" fillId="8" borderId="3" xfId="1" applyFill="1" applyBorder="1" applyAlignment="1">
      <alignment horizontal="left" vertical="top"/>
    </xf>
    <xf numFmtId="0" fontId="6" fillId="8" borderId="5" xfId="1" applyFill="1" applyBorder="1" applyAlignment="1">
      <alignment horizontal="left" vertical="top"/>
    </xf>
    <xf numFmtId="0" fontId="6" fillId="8" borderId="55" xfId="1" applyFill="1" applyBorder="1" applyAlignment="1">
      <alignment horizontal="left" vertical="top" wrapText="1"/>
    </xf>
    <xf numFmtId="0" fontId="6" fillId="8" borderId="25" xfId="1" applyFill="1" applyBorder="1" applyAlignment="1">
      <alignment horizontal="center" vertical="top"/>
    </xf>
    <xf numFmtId="49" fontId="6" fillId="6" borderId="32" xfId="1" applyNumberFormat="1" applyFill="1" applyBorder="1" applyAlignment="1">
      <alignment horizontal="center" vertical="center" wrapText="1"/>
    </xf>
    <xf numFmtId="0" fontId="6" fillId="0" borderId="25" xfId="1" applyBorder="1" applyAlignment="1">
      <alignment horizontal="center" vertical="center" wrapText="1"/>
    </xf>
    <xf numFmtId="0" fontId="6" fillId="7" borderId="25" xfId="1" applyFill="1" applyBorder="1" applyAlignment="1">
      <alignment horizontal="left" vertical="top" wrapText="1"/>
    </xf>
    <xf numFmtId="0" fontId="6" fillId="8" borderId="31" xfId="1" applyFill="1" applyBorder="1" applyAlignment="1">
      <alignment horizontal="left" vertical="top"/>
    </xf>
    <xf numFmtId="0" fontId="6" fillId="8" borderId="32" xfId="1" applyFill="1" applyBorder="1" applyAlignment="1">
      <alignment horizontal="left" vertical="top" wrapText="1"/>
    </xf>
    <xf numFmtId="0" fontId="6" fillId="8" borderId="24" xfId="1" applyFill="1" applyBorder="1" applyAlignment="1">
      <alignment horizontal="left" vertical="top" wrapText="1"/>
    </xf>
    <xf numFmtId="49" fontId="23" fillId="6" borderId="24" xfId="1" applyNumberFormat="1" applyFont="1" applyFill="1" applyBorder="1" applyAlignment="1">
      <alignment horizontal="center" vertical="center" wrapText="1"/>
    </xf>
    <xf numFmtId="0" fontId="25" fillId="6" borderId="25" xfId="1" applyFont="1" applyFill="1" applyBorder="1" applyAlignment="1">
      <alignment horizontal="center" vertical="center" wrapText="1"/>
    </xf>
    <xf numFmtId="0" fontId="25" fillId="7" borderId="62" xfId="1" applyFont="1" applyFill="1" applyBorder="1" applyAlignment="1">
      <alignment horizontal="center" vertical="center" wrapText="1"/>
    </xf>
    <xf numFmtId="0" fontId="25" fillId="7" borderId="35" xfId="1" quotePrefix="1" applyFont="1" applyFill="1" applyBorder="1" applyAlignment="1">
      <alignment horizontal="center" vertical="center" wrapText="1"/>
    </xf>
    <xf numFmtId="16" fontId="31" fillId="7" borderId="35" xfId="1" quotePrefix="1" applyNumberFormat="1" applyFont="1" applyFill="1" applyBorder="1" applyAlignment="1">
      <alignment horizontal="center" vertical="center"/>
    </xf>
    <xf numFmtId="16" fontId="31" fillId="7" borderId="35" xfId="1" quotePrefix="1" applyNumberFormat="1" applyFont="1" applyFill="1" applyBorder="1" applyAlignment="1">
      <alignment horizontal="center" vertical="center" wrapText="1"/>
    </xf>
    <xf numFmtId="0" fontId="6" fillId="7" borderId="35" xfId="1" applyFill="1" applyBorder="1" applyAlignment="1">
      <alignment horizontal="left" vertical="top" wrapText="1"/>
    </xf>
    <xf numFmtId="0" fontId="6" fillId="9" borderId="35" xfId="1" applyFill="1" applyBorder="1" applyAlignment="1">
      <alignment horizontal="left"/>
    </xf>
    <xf numFmtId="0" fontId="6" fillId="9" borderId="36" xfId="1" applyFill="1" applyBorder="1" applyAlignment="1">
      <alignment horizontal="left"/>
    </xf>
    <xf numFmtId="49" fontId="6" fillId="14" borderId="24" xfId="1" applyNumberFormat="1" applyFill="1" applyBorder="1" applyAlignment="1">
      <alignment horizontal="left" vertical="center" wrapText="1"/>
    </xf>
    <xf numFmtId="49" fontId="6" fillId="14" borderId="25" xfId="1" applyNumberFormat="1" applyFill="1" applyBorder="1" applyAlignment="1">
      <alignment horizontal="left" vertical="center" wrapText="1"/>
    </xf>
    <xf numFmtId="0" fontId="28" fillId="14" borderId="25" xfId="1" applyFont="1" applyFill="1" applyBorder="1" applyAlignment="1">
      <alignment horizontal="left" vertical="center" wrapText="1"/>
    </xf>
    <xf numFmtId="49" fontId="6" fillId="14" borderId="25" xfId="1" applyNumberFormat="1" applyFill="1" applyBorder="1" applyAlignment="1">
      <alignment horizontal="left" vertical="top" wrapText="1"/>
    </xf>
    <xf numFmtId="49" fontId="6" fillId="14" borderId="32" xfId="1" applyNumberFormat="1" applyFill="1" applyBorder="1" applyAlignment="1">
      <alignment horizontal="left" vertical="center" wrapText="1"/>
    </xf>
    <xf numFmtId="0" fontId="6" fillId="0" borderId="25" xfId="1" applyBorder="1" applyAlignment="1">
      <alignment horizontal="left" vertical="center" wrapText="1"/>
    </xf>
    <xf numFmtId="0" fontId="23" fillId="8" borderId="24" xfId="1" applyFont="1" applyFill="1" applyBorder="1" applyAlignment="1">
      <alignment horizontal="left" vertical="top" wrapText="1"/>
    </xf>
    <xf numFmtId="0" fontId="6" fillId="8" borderId="24" xfId="1" applyFill="1" applyBorder="1" applyAlignment="1">
      <alignment horizontal="center" vertical="top"/>
    </xf>
    <xf numFmtId="0" fontId="22" fillId="0" borderId="25" xfId="1" applyFont="1" applyBorder="1" applyAlignment="1">
      <alignment horizontal="center" vertical="center" wrapText="1"/>
    </xf>
    <xf numFmtId="0" fontId="9" fillId="6" borderId="25" xfId="1" applyFont="1" applyFill="1" applyBorder="1" applyAlignment="1">
      <alignment horizontal="center" vertical="center" wrapText="1"/>
    </xf>
    <xf numFmtId="0" fontId="23" fillId="8" borderId="32" xfId="1" applyFont="1" applyFill="1" applyBorder="1" applyAlignment="1">
      <alignment horizontal="left" vertical="top" wrapText="1"/>
    </xf>
    <xf numFmtId="49" fontId="23" fillId="0" borderId="25" xfId="1" applyNumberFormat="1" applyFont="1" applyBorder="1" applyAlignment="1">
      <alignment horizontal="center" vertical="center" wrapText="1"/>
    </xf>
    <xf numFmtId="16" fontId="10" fillId="7" borderId="25" xfId="1" quotePrefix="1" applyNumberFormat="1" applyFont="1" applyFill="1" applyBorder="1" applyAlignment="1">
      <alignment horizontal="left" vertical="center" wrapText="1"/>
    </xf>
    <xf numFmtId="49" fontId="11" fillId="0" borderId="25" xfId="1" applyNumberFormat="1" applyFont="1" applyBorder="1" applyAlignment="1">
      <alignment horizontal="center" vertical="center" wrapText="1"/>
    </xf>
    <xf numFmtId="0" fontId="9" fillId="7" borderId="35" xfId="1" quotePrefix="1" applyFont="1" applyFill="1" applyBorder="1" applyAlignment="1">
      <alignment horizontal="center" vertical="center" wrapText="1"/>
    </xf>
    <xf numFmtId="16" fontId="10" fillId="7" borderId="35" xfId="1" quotePrefix="1" applyNumberFormat="1" applyFont="1" applyFill="1" applyBorder="1" applyAlignment="1">
      <alignment horizontal="center" vertical="center"/>
    </xf>
    <xf numFmtId="0" fontId="10" fillId="7" borderId="35" xfId="1" applyFont="1" applyFill="1" applyBorder="1" applyAlignment="1">
      <alignment horizontal="center" vertical="center" wrapText="1"/>
    </xf>
    <xf numFmtId="0" fontId="6" fillId="9" borderId="35" xfId="1" applyFill="1" applyBorder="1" applyAlignment="1">
      <alignment horizontal="center" vertical="center"/>
    </xf>
    <xf numFmtId="0" fontId="6" fillId="9" borderId="36" xfId="1" applyFill="1" applyBorder="1" applyAlignment="1">
      <alignment horizontal="center"/>
    </xf>
    <xf numFmtId="0" fontId="6" fillId="6" borderId="0" xfId="1" applyFill="1" applyAlignment="1">
      <alignment horizontal="center"/>
    </xf>
    <xf numFmtId="0" fontId="6" fillId="8" borderId="35" xfId="1" applyFill="1" applyBorder="1" applyAlignment="1">
      <alignment horizontal="left" vertical="top" wrapText="1"/>
    </xf>
    <xf numFmtId="0" fontId="11" fillId="8" borderId="63" xfId="1" applyFont="1" applyFill="1" applyBorder="1" applyAlignment="1">
      <alignment horizontal="left" vertical="top" wrapText="1"/>
    </xf>
    <xf numFmtId="0" fontId="6" fillId="8" borderId="38" xfId="1" quotePrefix="1" applyFill="1" applyBorder="1" applyAlignment="1">
      <alignment vertical="top" wrapText="1"/>
    </xf>
    <xf numFmtId="0" fontId="6" fillId="8" borderId="58" xfId="1" applyFill="1" applyBorder="1" applyAlignment="1">
      <alignment horizontal="left" vertical="top" wrapText="1"/>
    </xf>
    <xf numFmtId="49" fontId="6" fillId="14" borderId="63" xfId="1" applyNumberFormat="1" applyFill="1" applyBorder="1" applyAlignment="1">
      <alignment horizontal="center" vertical="center" wrapText="1"/>
    </xf>
    <xf numFmtId="0" fontId="22" fillId="0" borderId="35" xfId="1" applyFont="1" applyBorder="1" applyAlignment="1">
      <alignment horizontal="center" vertical="center" wrapText="1"/>
    </xf>
    <xf numFmtId="49" fontId="23" fillId="0" borderId="35" xfId="1" applyNumberFormat="1" applyFont="1" applyBorder="1" applyAlignment="1">
      <alignment horizontal="center" vertical="center" wrapText="1"/>
    </xf>
    <xf numFmtId="49" fontId="6" fillId="0" borderId="35" xfId="1" applyNumberFormat="1" applyBorder="1" applyAlignment="1">
      <alignment horizontal="center" vertical="center" wrapText="1"/>
    </xf>
    <xf numFmtId="49" fontId="6" fillId="6" borderId="35" xfId="1" applyNumberFormat="1" applyFill="1" applyBorder="1" applyAlignment="1">
      <alignment horizontal="center" vertical="top" wrapText="1"/>
    </xf>
    <xf numFmtId="49" fontId="6" fillId="6" borderId="36" xfId="1" applyNumberFormat="1" applyFill="1" applyBorder="1" applyAlignment="1">
      <alignment horizontal="center" vertical="center" wrapText="1"/>
    </xf>
    <xf numFmtId="0" fontId="6" fillId="0" borderId="63" xfId="1" applyBorder="1" applyAlignment="1">
      <alignment horizontal="center" vertical="center" wrapText="1"/>
    </xf>
    <xf numFmtId="0" fontId="0" fillId="0" borderId="0" xfId="0" applyAlignment="1">
      <alignment horizontal="center" vertical="center"/>
    </xf>
    <xf numFmtId="0" fontId="0" fillId="10" borderId="0" xfId="0" applyFill="1" applyAlignment="1">
      <alignment vertical="center"/>
    </xf>
    <xf numFmtId="0" fontId="32" fillId="0" borderId="1" xfId="0" applyFont="1" applyBorder="1" applyAlignment="1">
      <alignment horizontal="left" vertical="center" readingOrder="1"/>
    </xf>
    <xf numFmtId="0" fontId="32" fillId="10" borderId="1" xfId="0" applyFont="1" applyFill="1" applyBorder="1" applyAlignment="1">
      <alignment horizontal="left" vertical="center" readingOrder="1"/>
    </xf>
    <xf numFmtId="0" fontId="4" fillId="3" borderId="0" xfId="0" applyFont="1" applyFill="1" applyAlignment="1">
      <alignment horizontal="center" vertical="center"/>
    </xf>
    <xf numFmtId="0" fontId="4" fillId="4" borderId="0" xfId="0" applyFont="1" applyFill="1" applyAlignment="1">
      <alignment horizontal="center" vertical="center"/>
    </xf>
    <xf numFmtId="0" fontId="32" fillId="0" borderId="1" xfId="0" applyFont="1" applyBorder="1" applyAlignment="1">
      <alignment horizontal="center" vertical="center" readingOrder="1"/>
    </xf>
    <xf numFmtId="0" fontId="32" fillId="10" borderId="1" xfId="0" applyFont="1" applyFill="1" applyBorder="1" applyAlignment="1">
      <alignment horizontal="center" vertical="center" readingOrder="1"/>
    </xf>
    <xf numFmtId="0" fontId="4" fillId="0" borderId="64" xfId="0" applyFont="1" applyBorder="1"/>
    <xf numFmtId="0" fontId="4" fillId="6" borderId="65" xfId="0" applyFont="1" applyFill="1" applyBorder="1"/>
    <xf numFmtId="0" fontId="4" fillId="0" borderId="66" xfId="0" applyFont="1" applyBorder="1"/>
    <xf numFmtId="0" fontId="4" fillId="6" borderId="0" xfId="0" applyFont="1" applyFill="1"/>
    <xf numFmtId="0" fontId="34" fillId="6" borderId="0" xfId="0" applyFont="1" applyFill="1"/>
    <xf numFmtId="0" fontId="4" fillId="6" borderId="0" xfId="0" applyFont="1" applyFill="1" applyAlignment="1">
      <alignment horizontal="left"/>
    </xf>
    <xf numFmtId="0" fontId="35" fillId="0" borderId="67" xfId="0" applyFont="1" applyBorder="1" applyAlignment="1">
      <alignment vertical="top"/>
    </xf>
    <xf numFmtId="0" fontId="35" fillId="0" borderId="66" xfId="0" applyFont="1" applyBorder="1" applyAlignment="1">
      <alignment horizontal="left" vertical="top"/>
    </xf>
    <xf numFmtId="0" fontId="36" fillId="0" borderId="66" xfId="0" applyFont="1" applyBorder="1"/>
    <xf numFmtId="0" fontId="32" fillId="0" borderId="0" xfId="0" applyFont="1" applyAlignment="1" applyProtection="1">
      <alignment horizontal="left" vertical="center" indent="1"/>
      <protection hidden="1"/>
    </xf>
    <xf numFmtId="0" fontId="6" fillId="0" borderId="0" xfId="0" applyFont="1" applyAlignment="1">
      <alignment horizontal="left" vertical="top"/>
    </xf>
    <xf numFmtId="0" fontId="6" fillId="0" borderId="0" xfId="0" applyFont="1"/>
    <xf numFmtId="0" fontId="4" fillId="6" borderId="68" xfId="0" applyFont="1" applyFill="1" applyBorder="1"/>
    <xf numFmtId="0" fontId="4" fillId="6" borderId="69" xfId="0" applyFont="1" applyFill="1" applyBorder="1"/>
    <xf numFmtId="0" fontId="4" fillId="6" borderId="70" xfId="0" applyFont="1" applyFill="1" applyBorder="1"/>
    <xf numFmtId="0" fontId="4" fillId="6" borderId="71" xfId="0" applyFont="1" applyFill="1" applyBorder="1"/>
    <xf numFmtId="0" fontId="4" fillId="6" borderId="72" xfId="0" applyFont="1" applyFill="1" applyBorder="1"/>
    <xf numFmtId="0" fontId="40" fillId="3" borderId="73" xfId="0" applyFont="1" applyFill="1" applyBorder="1" applyAlignment="1">
      <alignment horizontal="left"/>
    </xf>
    <xf numFmtId="0" fontId="4" fillId="0" borderId="74" xfId="0" applyFont="1" applyBorder="1" applyAlignment="1">
      <alignment horizontal="center"/>
    </xf>
    <xf numFmtId="0" fontId="4" fillId="0" borderId="75" xfId="0" applyFont="1" applyBorder="1" applyAlignment="1">
      <alignment horizontal="center"/>
    </xf>
    <xf numFmtId="0" fontId="4" fillId="0" borderId="74" xfId="0" quotePrefix="1" applyFont="1" applyBorder="1" applyAlignment="1">
      <alignment horizontal="center"/>
    </xf>
    <xf numFmtId="0" fontId="4" fillId="0" borderId="75" xfId="0" quotePrefix="1" applyFont="1" applyBorder="1" applyAlignment="1">
      <alignment horizontal="center"/>
    </xf>
    <xf numFmtId="0" fontId="40" fillId="3" borderId="0" xfId="0" applyFont="1" applyFill="1" applyAlignment="1">
      <alignment horizontal="left"/>
    </xf>
    <xf numFmtId="0" fontId="4" fillId="0" borderId="76" xfId="0" applyFont="1" applyBorder="1" applyAlignment="1">
      <alignment horizontal="center"/>
    </xf>
    <xf numFmtId="0" fontId="42" fillId="0" borderId="0" xfId="0" applyFont="1"/>
    <xf numFmtId="0" fontId="36" fillId="2" borderId="0" xfId="0" applyFont="1" applyFill="1"/>
    <xf numFmtId="0" fontId="44" fillId="2" borderId="0" xfId="0" applyFont="1" applyFill="1"/>
    <xf numFmtId="0" fontId="34" fillId="0" borderId="42" xfId="0" applyFont="1" applyBorder="1"/>
    <xf numFmtId="0" fontId="4" fillId="0" borderId="87" xfId="0" applyFont="1" applyBorder="1"/>
    <xf numFmtId="0" fontId="4" fillId="0" borderId="89" xfId="0" applyFont="1" applyBorder="1"/>
    <xf numFmtId="0" fontId="34" fillId="0" borderId="0" xfId="0" applyFont="1"/>
    <xf numFmtId="0" fontId="5" fillId="0" borderId="0" xfId="0" applyFont="1" applyAlignment="1">
      <alignment horizontal="center" vertical="center"/>
    </xf>
    <xf numFmtId="0" fontId="35" fillId="0" borderId="0" xfId="0" applyFont="1" applyAlignment="1">
      <alignment horizontal="left" vertical="top"/>
    </xf>
    <xf numFmtId="16" fontId="34" fillId="0" borderId="42" xfId="0" applyNumberFormat="1" applyFont="1" applyBorder="1" applyAlignment="1">
      <alignment horizontal="center" vertical="center"/>
    </xf>
    <xf numFmtId="0" fontId="45" fillId="0" borderId="42" xfId="0" applyFont="1" applyBorder="1" applyAlignment="1">
      <alignment horizontal="center" vertical="center"/>
    </xf>
    <xf numFmtId="0" fontId="43" fillId="8" borderId="80" xfId="0" applyFont="1" applyFill="1" applyBorder="1" applyAlignment="1">
      <alignment vertical="top"/>
    </xf>
    <xf numFmtId="0" fontId="43" fillId="8" borderId="82" xfId="0" applyFont="1" applyFill="1" applyBorder="1" applyAlignment="1">
      <alignment vertical="top"/>
    </xf>
    <xf numFmtId="0" fontId="43" fillId="8" borderId="85" xfId="0" applyFont="1" applyFill="1" applyBorder="1" applyAlignment="1">
      <alignment vertical="top"/>
    </xf>
    <xf numFmtId="0" fontId="40" fillId="3" borderId="86" xfId="0" applyFont="1" applyFill="1" applyBorder="1" applyAlignment="1">
      <alignment horizontal="left"/>
    </xf>
    <xf numFmtId="0" fontId="4" fillId="0" borderId="90" xfId="0" applyFont="1" applyBorder="1" applyAlignment="1">
      <alignment horizontal="center"/>
    </xf>
    <xf numFmtId="0" fontId="4" fillId="0" borderId="91" xfId="0" applyFont="1" applyBorder="1" applyAlignment="1">
      <alignment horizontal="center"/>
    </xf>
    <xf numFmtId="0" fontId="38" fillId="9" borderId="76" xfId="0" applyFont="1" applyFill="1" applyBorder="1" applyAlignment="1">
      <alignment horizontal="center"/>
    </xf>
    <xf numFmtId="0" fontId="39" fillId="3" borderId="95" xfId="0" applyFont="1" applyFill="1" applyBorder="1" applyAlignment="1">
      <alignment horizontal="left" indent="2"/>
    </xf>
    <xf numFmtId="0" fontId="40" fillId="3" borderId="96" xfId="0" applyFont="1" applyFill="1" applyBorder="1" applyAlignment="1">
      <alignment horizontal="left"/>
    </xf>
    <xf numFmtId="0" fontId="4" fillId="0" borderId="97" xfId="0" applyFont="1" applyBorder="1" applyAlignment="1">
      <alignment horizontal="center"/>
    </xf>
    <xf numFmtId="0" fontId="4" fillId="0" borderId="98" xfId="0" applyFont="1" applyBorder="1" applyAlignment="1">
      <alignment horizontal="center"/>
    </xf>
    <xf numFmtId="0" fontId="4" fillId="0" borderId="99" xfId="0" applyFont="1" applyBorder="1" applyAlignment="1">
      <alignment horizontal="center"/>
    </xf>
    <xf numFmtId="0" fontId="39" fillId="3" borderId="100" xfId="0" applyFont="1" applyFill="1" applyBorder="1" applyAlignment="1">
      <alignment horizontal="left" indent="2"/>
    </xf>
    <xf numFmtId="0" fontId="4" fillId="0" borderId="101" xfId="0" quotePrefix="1" applyFont="1" applyBorder="1" applyAlignment="1">
      <alignment horizontal="center"/>
    </xf>
    <xf numFmtId="0" fontId="39" fillId="3" borderId="102" xfId="0" applyFont="1" applyFill="1" applyBorder="1" applyAlignment="1">
      <alignment horizontal="left" indent="2"/>
    </xf>
    <xf numFmtId="0" fontId="4" fillId="0" borderId="103" xfId="0" applyFont="1" applyBorder="1" applyAlignment="1">
      <alignment horizontal="center"/>
    </xf>
    <xf numFmtId="0" fontId="38" fillId="9" borderId="104" xfId="0" applyFont="1" applyFill="1" applyBorder="1" applyAlignment="1">
      <alignment horizontal="center"/>
    </xf>
    <xf numFmtId="0" fontId="5" fillId="0" borderId="0" xfId="0" applyFont="1" applyAlignment="1">
      <alignment horizontal="left"/>
    </xf>
    <xf numFmtId="0" fontId="38" fillId="9" borderId="105" xfId="0" applyFont="1" applyFill="1" applyBorder="1" applyAlignment="1">
      <alignment horizontal="center"/>
    </xf>
    <xf numFmtId="0" fontId="38" fillId="9" borderId="106" xfId="0" applyFont="1" applyFill="1" applyBorder="1" applyAlignment="1">
      <alignment horizontal="center"/>
    </xf>
    <xf numFmtId="0" fontId="6" fillId="0" borderId="88" xfId="0" applyFont="1" applyBorder="1" applyAlignment="1">
      <alignment horizontal="center" vertical="center"/>
    </xf>
    <xf numFmtId="0" fontId="6" fillId="0" borderId="0" xfId="0" applyFont="1" applyAlignment="1">
      <alignment horizontal="center" vertical="center"/>
    </xf>
    <xf numFmtId="0" fontId="0" fillId="0" borderId="89" xfId="0" applyBorder="1" applyAlignment="1">
      <alignment horizontal="center" vertical="center"/>
    </xf>
    <xf numFmtId="0" fontId="6" fillId="0" borderId="88" xfId="0" applyFont="1" applyBorder="1" applyAlignment="1">
      <alignment horizontal="center"/>
    </xf>
    <xf numFmtId="0" fontId="6" fillId="0" borderId="0" xfId="0" applyFont="1" applyAlignment="1">
      <alignment horizontal="center"/>
    </xf>
    <xf numFmtId="0" fontId="0" fillId="0" borderId="89" xfId="0" applyBorder="1" applyAlignment="1">
      <alignment horizontal="center"/>
    </xf>
    <xf numFmtId="17" fontId="33" fillId="16" borderId="77" xfId="0" applyNumberFormat="1" applyFont="1" applyFill="1" applyBorder="1" applyAlignment="1">
      <alignment horizontal="center" vertical="center"/>
    </xf>
    <xf numFmtId="17" fontId="33" fillId="17" borderId="77" xfId="0" applyNumberFormat="1" applyFont="1" applyFill="1" applyBorder="1" applyAlignment="1">
      <alignment horizontal="center" vertical="center"/>
    </xf>
    <xf numFmtId="17" fontId="33" fillId="18" borderId="77" xfId="0" applyNumberFormat="1" applyFont="1" applyFill="1" applyBorder="1" applyAlignment="1">
      <alignment horizontal="center" vertical="center"/>
    </xf>
    <xf numFmtId="17" fontId="33" fillId="19" borderId="77" xfId="0" applyNumberFormat="1" applyFont="1" applyFill="1" applyBorder="1" applyAlignment="1">
      <alignment horizontal="center" vertical="center" wrapText="1"/>
    </xf>
    <xf numFmtId="17" fontId="33" fillId="21" borderId="77" xfId="0" applyNumberFormat="1" applyFont="1" applyFill="1" applyBorder="1" applyAlignment="1">
      <alignment horizontal="center" vertical="center"/>
    </xf>
    <xf numFmtId="0" fontId="37" fillId="20" borderId="92" xfId="0" applyFont="1" applyFill="1" applyBorder="1" applyAlignment="1">
      <alignment horizontal="center"/>
    </xf>
    <xf numFmtId="0" fontId="37" fillId="20" borderId="93" xfId="0" applyFont="1" applyFill="1" applyBorder="1" applyAlignment="1">
      <alignment horizontal="center"/>
    </xf>
    <xf numFmtId="0" fontId="37" fillId="20" borderId="94" xfId="0" applyFont="1" applyFill="1" applyBorder="1" applyAlignment="1">
      <alignment horizontal="center"/>
    </xf>
    <xf numFmtId="0" fontId="43" fillId="8" borderId="78" xfId="0" applyFont="1" applyFill="1" applyBorder="1" applyAlignment="1">
      <alignment horizontal="left" vertical="top" wrapText="1"/>
    </xf>
    <xf numFmtId="0" fontId="43" fillId="8" borderId="79" xfId="0" applyFont="1" applyFill="1" applyBorder="1" applyAlignment="1">
      <alignment horizontal="left" vertical="top" wrapText="1"/>
    </xf>
    <xf numFmtId="0" fontId="43" fillId="8" borderId="80" xfId="0" applyFont="1" applyFill="1" applyBorder="1" applyAlignment="1">
      <alignment horizontal="left" vertical="top" wrapText="1"/>
    </xf>
    <xf numFmtId="0" fontId="43" fillId="8" borderId="81" xfId="0" applyFont="1" applyFill="1" applyBorder="1" applyAlignment="1">
      <alignment horizontal="left" vertical="top" wrapText="1"/>
    </xf>
    <xf numFmtId="0" fontId="43" fillId="8" borderId="0" xfId="0" applyFont="1" applyFill="1" applyAlignment="1">
      <alignment horizontal="left" vertical="top" wrapText="1"/>
    </xf>
    <xf numFmtId="0" fontId="43" fillId="8" borderId="82" xfId="0" applyFont="1" applyFill="1" applyBorder="1" applyAlignment="1">
      <alignment horizontal="left" vertical="top" wrapText="1"/>
    </xf>
    <xf numFmtId="0" fontId="43" fillId="8" borderId="83" xfId="0" applyFont="1" applyFill="1" applyBorder="1" applyAlignment="1">
      <alignment horizontal="left" vertical="top" wrapText="1"/>
    </xf>
    <xf numFmtId="0" fontId="43" fillId="8" borderId="84" xfId="0" applyFont="1" applyFill="1" applyBorder="1" applyAlignment="1">
      <alignment horizontal="left" vertical="top" wrapText="1"/>
    </xf>
    <xf numFmtId="0" fontId="43" fillId="8" borderId="85" xfId="0" applyFont="1" applyFill="1" applyBorder="1" applyAlignment="1">
      <alignment horizontal="left" vertical="top" wrapText="1"/>
    </xf>
    <xf numFmtId="0" fontId="41" fillId="20" borderId="77" xfId="0" applyFont="1" applyFill="1" applyBorder="1" applyAlignment="1">
      <alignment horizontal="center" vertical="center"/>
    </xf>
    <xf numFmtId="0" fontId="38" fillId="9" borderId="83" xfId="0" applyFont="1" applyFill="1" applyBorder="1" applyAlignment="1">
      <alignment horizontal="left"/>
    </xf>
    <xf numFmtId="0" fontId="38" fillId="9" borderId="84" xfId="0" applyFont="1" applyFill="1" applyBorder="1" applyAlignment="1">
      <alignment horizontal="left"/>
    </xf>
    <xf numFmtId="0" fontId="38" fillId="9" borderId="81" xfId="0" applyFont="1" applyFill="1" applyBorder="1" applyAlignment="1">
      <alignment horizontal="left"/>
    </xf>
    <xf numFmtId="0" fontId="38" fillId="9" borderId="0" xfId="0" applyFont="1" applyFill="1" applyAlignment="1">
      <alignment horizontal="left"/>
    </xf>
    <xf numFmtId="0" fontId="43" fillId="8" borderId="79" xfId="0" applyFont="1" applyFill="1" applyBorder="1" applyAlignment="1">
      <alignment horizontal="left" vertical="top"/>
    </xf>
    <xf numFmtId="0" fontId="43" fillId="8" borderId="80" xfId="0" applyFont="1" applyFill="1" applyBorder="1" applyAlignment="1">
      <alignment horizontal="left" vertical="top"/>
    </xf>
    <xf numFmtId="0" fontId="43" fillId="8" borderId="81" xfId="0" applyFont="1" applyFill="1" applyBorder="1" applyAlignment="1">
      <alignment horizontal="left" vertical="top"/>
    </xf>
    <xf numFmtId="0" fontId="43" fillId="8" borderId="0" xfId="0" applyFont="1" applyFill="1" applyAlignment="1">
      <alignment horizontal="left" vertical="top"/>
    </xf>
    <xf numFmtId="0" fontId="43" fillId="8" borderId="82" xfId="0" applyFont="1" applyFill="1" applyBorder="1" applyAlignment="1">
      <alignment horizontal="left" vertical="top"/>
    </xf>
    <xf numFmtId="0" fontId="43" fillId="8" borderId="83" xfId="0" applyFont="1" applyFill="1" applyBorder="1" applyAlignment="1">
      <alignment horizontal="left" vertical="top"/>
    </xf>
    <xf numFmtId="0" fontId="43" fillId="8" borderId="84" xfId="0" applyFont="1" applyFill="1" applyBorder="1" applyAlignment="1">
      <alignment horizontal="left" vertical="top"/>
    </xf>
    <xf numFmtId="0" fontId="43" fillId="8" borderId="85" xfId="0" applyFont="1" applyFill="1" applyBorder="1" applyAlignment="1">
      <alignment horizontal="left" vertical="top"/>
    </xf>
    <xf numFmtId="0" fontId="37" fillId="15" borderId="92" xfId="0" applyFont="1" applyFill="1" applyBorder="1" applyAlignment="1">
      <alignment horizontal="left"/>
    </xf>
    <xf numFmtId="0" fontId="37" fillId="15" borderId="93" xfId="0" applyFont="1" applyFill="1" applyBorder="1" applyAlignment="1">
      <alignment horizontal="left"/>
    </xf>
    <xf numFmtId="0" fontId="37" fillId="15" borderId="94" xfId="0" applyFont="1" applyFill="1" applyBorder="1" applyAlignment="1">
      <alignment horizontal="left"/>
    </xf>
    <xf numFmtId="49" fontId="6" fillId="0" borderId="2" xfId="1" applyNumberFormat="1" applyBorder="1" applyAlignment="1">
      <alignment horizontal="left" vertical="top"/>
    </xf>
    <xf numFmtId="49" fontId="6" fillId="0" borderId="0" xfId="1" applyNumberFormat="1" applyAlignment="1">
      <alignment horizontal="left" vertical="top"/>
    </xf>
    <xf numFmtId="49" fontId="6" fillId="0" borderId="0" xfId="1" applyNumberFormat="1" applyAlignment="1">
      <alignment horizontal="left" vertical="center" wrapText="1"/>
    </xf>
    <xf numFmtId="0" fontId="7" fillId="7" borderId="3" xfId="1" applyFont="1" applyFill="1" applyBorder="1" applyAlignment="1">
      <alignment horizontal="center" vertical="top" wrapText="1"/>
    </xf>
    <xf numFmtId="0" fontId="7" fillId="7" borderId="4" xfId="1" applyFont="1" applyFill="1" applyBorder="1" applyAlignment="1">
      <alignment horizontal="center" vertical="top" wrapText="1"/>
    </xf>
    <xf numFmtId="0" fontId="7" fillId="7" borderId="4" xfId="1" applyFont="1" applyFill="1" applyBorder="1" applyAlignment="1">
      <alignment horizontal="center" vertical="center" wrapText="1"/>
    </xf>
    <xf numFmtId="0" fontId="7" fillId="7" borderId="5" xfId="1" applyFont="1" applyFill="1" applyBorder="1" applyAlignment="1">
      <alignment horizontal="center" vertical="center" wrapText="1"/>
    </xf>
    <xf numFmtId="0" fontId="7" fillId="8" borderId="6" xfId="1" applyFont="1" applyFill="1" applyBorder="1" applyAlignment="1">
      <alignment horizontal="center" vertical="top"/>
    </xf>
    <xf numFmtId="0" fontId="7" fillId="8" borderId="7" xfId="1" applyFont="1" applyFill="1" applyBorder="1" applyAlignment="1">
      <alignment horizontal="center" vertical="top"/>
    </xf>
    <xf numFmtId="0" fontId="7" fillId="8" borderId="8" xfId="1" applyFont="1" applyFill="1" applyBorder="1" applyAlignment="1">
      <alignment horizontal="center" vertical="top"/>
    </xf>
    <xf numFmtId="0" fontId="7" fillId="8" borderId="12" xfId="1" applyFont="1" applyFill="1" applyBorder="1" applyAlignment="1">
      <alignment horizontal="center" vertical="top" wrapText="1"/>
    </xf>
    <xf numFmtId="0" fontId="7" fillId="8" borderId="13" xfId="1" applyFont="1" applyFill="1" applyBorder="1" applyAlignment="1">
      <alignment horizontal="center" vertical="top" wrapText="1"/>
    </xf>
    <xf numFmtId="0" fontId="7" fillId="8" borderId="14" xfId="1" applyFont="1" applyFill="1" applyBorder="1" applyAlignment="1">
      <alignment horizontal="center" vertical="top" wrapText="1"/>
    </xf>
    <xf numFmtId="0" fontId="7" fillId="8" borderId="15" xfId="1" applyFont="1" applyFill="1" applyBorder="1" applyAlignment="1">
      <alignment horizontal="center" vertical="top"/>
    </xf>
    <xf numFmtId="0" fontId="7" fillId="8" borderId="14" xfId="1" applyFont="1" applyFill="1" applyBorder="1" applyAlignment="1">
      <alignment horizontal="center" vertical="top"/>
    </xf>
    <xf numFmtId="0" fontId="7" fillId="8" borderId="8" xfId="1" applyFont="1" applyFill="1" applyBorder="1" applyAlignment="1">
      <alignment horizontal="center" vertical="center"/>
    </xf>
    <xf numFmtId="0" fontId="7" fillId="8" borderId="23" xfId="1" applyFont="1" applyFill="1" applyBorder="1" applyAlignment="1">
      <alignment horizontal="center" vertical="center"/>
    </xf>
    <xf numFmtId="0" fontId="6" fillId="0" borderId="35" xfId="1" applyBorder="1" applyAlignment="1">
      <alignment horizontal="left" vertical="top" wrapText="1"/>
    </xf>
    <xf numFmtId="0" fontId="7" fillId="7" borderId="6" xfId="1" applyFont="1" applyFill="1" applyBorder="1" applyAlignment="1">
      <alignment horizontal="center" vertical="center" wrapText="1"/>
    </xf>
    <xf numFmtId="0" fontId="7" fillId="7" borderId="7" xfId="1" applyFont="1" applyFill="1" applyBorder="1" applyAlignment="1">
      <alignment horizontal="center" vertical="center" wrapText="1"/>
    </xf>
    <xf numFmtId="0" fontId="7" fillId="7" borderId="8" xfId="1" applyFont="1" applyFill="1" applyBorder="1" applyAlignment="1">
      <alignment horizontal="center" vertical="center" wrapText="1"/>
    </xf>
    <xf numFmtId="0" fontId="7" fillId="7" borderId="47" xfId="1" applyFont="1" applyFill="1" applyBorder="1" applyAlignment="1">
      <alignment horizontal="center" vertical="center" wrapText="1"/>
    </xf>
    <xf numFmtId="0" fontId="7" fillId="7" borderId="26" xfId="1" applyFont="1" applyFill="1" applyBorder="1" applyAlignment="1">
      <alignment horizontal="center" vertical="center" wrapText="1"/>
    </xf>
    <xf numFmtId="0" fontId="7" fillId="7" borderId="48" xfId="1" applyFont="1" applyFill="1" applyBorder="1" applyAlignment="1">
      <alignment horizontal="center" vertical="center" wrapText="1"/>
    </xf>
    <xf numFmtId="0" fontId="7" fillId="8" borderId="43" xfId="1" applyFont="1" applyFill="1" applyBorder="1" applyAlignment="1">
      <alignment horizontal="center" vertical="top" wrapText="1"/>
    </xf>
    <xf numFmtId="0" fontId="7" fillId="8" borderId="44" xfId="1" applyFont="1" applyFill="1" applyBorder="1" applyAlignment="1">
      <alignment horizontal="center" vertical="top" wrapText="1"/>
    </xf>
    <xf numFmtId="0" fontId="7" fillId="8" borderId="45" xfId="1" applyFont="1" applyFill="1" applyBorder="1" applyAlignment="1">
      <alignment horizontal="center" vertical="top" wrapText="1"/>
    </xf>
    <xf numFmtId="49" fontId="7" fillId="12" borderId="46" xfId="1" applyNumberFormat="1" applyFont="1" applyFill="1" applyBorder="1" applyAlignment="1">
      <alignment horizontal="center" vertical="center" wrapText="1"/>
    </xf>
    <xf numFmtId="49" fontId="7" fillId="12" borderId="4" xfId="1" applyNumberFormat="1" applyFont="1" applyFill="1" applyBorder="1" applyAlignment="1">
      <alignment horizontal="center" vertical="center" wrapText="1"/>
    </xf>
    <xf numFmtId="49" fontId="7" fillId="12" borderId="5" xfId="1" applyNumberFormat="1" applyFont="1" applyFill="1" applyBorder="1" applyAlignment="1">
      <alignment horizontal="center" vertical="center" wrapText="1"/>
    </xf>
    <xf numFmtId="0" fontId="7" fillId="8" borderId="49" xfId="1" applyFont="1" applyFill="1" applyBorder="1" applyAlignment="1">
      <alignment horizontal="center" vertical="top" wrapText="1"/>
    </xf>
    <xf numFmtId="0" fontId="7" fillId="8" borderId="50" xfId="1" applyFont="1" applyFill="1" applyBorder="1" applyAlignment="1">
      <alignment horizontal="center" vertical="top" wrapText="1"/>
    </xf>
    <xf numFmtId="0" fontId="7" fillId="8" borderId="51" xfId="1" applyFont="1" applyFill="1" applyBorder="1" applyAlignment="1">
      <alignment horizontal="center" vertical="top" wrapText="1"/>
    </xf>
    <xf numFmtId="0" fontId="7" fillId="8" borderId="52" xfId="1" applyFont="1" applyFill="1" applyBorder="1" applyAlignment="1">
      <alignment horizontal="center" vertical="top" wrapText="1"/>
    </xf>
    <xf numFmtId="0" fontId="7" fillId="8" borderId="53" xfId="1" applyFont="1" applyFill="1" applyBorder="1" applyAlignment="1">
      <alignment horizontal="center" vertical="top" wrapText="1"/>
    </xf>
    <xf numFmtId="0" fontId="7" fillId="8" borderId="54" xfId="1" applyFont="1" applyFill="1" applyBorder="1" applyAlignment="1">
      <alignment horizontal="center" vertical="center"/>
    </xf>
    <xf numFmtId="0" fontId="6" fillId="0" borderId="0" xfId="1" applyAlignment="1">
      <alignment horizontal="left" vertical="top" wrapText="1"/>
    </xf>
    <xf numFmtId="0" fontId="7" fillId="7" borderId="3" xfId="1" applyFont="1" applyFill="1" applyBorder="1" applyAlignment="1">
      <alignment horizontal="center" vertical="center" wrapText="1"/>
    </xf>
    <xf numFmtId="0" fontId="7" fillId="8" borderId="43" xfId="1" applyFont="1" applyFill="1" applyBorder="1" applyAlignment="1">
      <alignment horizontal="center" vertical="center" wrapText="1"/>
    </xf>
    <xf numFmtId="0" fontId="7" fillId="8" borderId="44" xfId="1" applyFont="1" applyFill="1" applyBorder="1" applyAlignment="1">
      <alignment horizontal="center" vertical="center" wrapText="1"/>
    </xf>
    <xf numFmtId="0" fontId="7" fillId="8" borderId="8" xfId="1" applyFont="1" applyFill="1" applyBorder="1" applyAlignment="1">
      <alignment horizontal="center" vertical="center" wrapText="1"/>
    </xf>
    <xf numFmtId="49" fontId="8" fillId="12" borderId="46" xfId="1" applyNumberFormat="1" applyFont="1" applyFill="1" applyBorder="1" applyAlignment="1">
      <alignment horizontal="center" vertical="center" wrapText="1"/>
    </xf>
    <xf numFmtId="49" fontId="6" fillId="12" borderId="4" xfId="1" applyNumberFormat="1" applyFill="1" applyBorder="1" applyAlignment="1">
      <alignment horizontal="center" vertical="center" wrapText="1"/>
    </xf>
    <xf numFmtId="49" fontId="6" fillId="12" borderId="5" xfId="1" applyNumberFormat="1" applyFill="1" applyBorder="1" applyAlignment="1">
      <alignment horizontal="center" vertical="center" wrapText="1"/>
    </xf>
    <xf numFmtId="0" fontId="7" fillId="8" borderId="21" xfId="1" applyFont="1" applyFill="1" applyBorder="1" applyAlignment="1">
      <alignment horizontal="center" vertical="top" wrapText="1"/>
    </xf>
    <xf numFmtId="0" fontId="7" fillId="8" borderId="60" xfId="1" applyFont="1" applyFill="1" applyBorder="1" applyAlignment="1">
      <alignment horizontal="center" vertical="top" wrapText="1"/>
    </xf>
    <xf numFmtId="0" fontId="7" fillId="8" borderId="22" xfId="1" applyFont="1" applyFill="1" applyBorder="1" applyAlignment="1">
      <alignment horizontal="center" vertical="top" wrapText="1"/>
    </xf>
    <xf numFmtId="0" fontId="7" fillId="8" borderId="61" xfId="1" applyFont="1" applyFill="1" applyBorder="1" applyAlignment="1">
      <alignment horizontal="center" vertical="center"/>
    </xf>
    <xf numFmtId="0" fontId="7" fillId="8" borderId="29" xfId="1" applyFont="1" applyFill="1" applyBorder="1" applyAlignment="1">
      <alignment horizontal="center" vertical="center"/>
    </xf>
  </cellXfs>
  <cellStyles count="3">
    <cellStyle name="Normal" xfId="0" builtinId="0"/>
    <cellStyle name="Normal 2" xfId="1" xr:uid="{45E18FD4-E59C-4210-904C-8521D0A9983E}"/>
    <cellStyle name="Normal 2 2" xfId="2" xr:uid="{D189B8EF-3EAB-494C-A05E-B94912F640F5}"/>
  </cellStyles>
  <dxfs count="4">
    <dxf>
      <font>
        <color rgb="FF00B050"/>
      </font>
      <fill>
        <patternFill>
          <bgColor rgb="FFDFF0E0"/>
        </patternFill>
      </fill>
    </dxf>
    <dxf>
      <font>
        <color theme="7" tint="-0.499984740745262"/>
      </font>
      <fill>
        <patternFill>
          <bgColor theme="7" tint="0.59996337778862885"/>
        </patternFill>
      </fill>
    </dxf>
    <dxf>
      <font>
        <color rgb="FFC00000"/>
      </font>
      <fill>
        <patternFill>
          <bgColor rgb="FFFF8989"/>
        </patternFill>
      </fill>
    </dxf>
    <dxf>
      <font>
        <color rgb="FFC00000"/>
      </font>
      <fill>
        <patternFill>
          <bgColor rgb="FFFF8989"/>
        </patternFill>
      </fill>
    </dxf>
  </dxfs>
  <tableStyles count="0" defaultTableStyle="TableStyleMedium2" defaultPivotStyle="PivotStyleLight16"/>
  <colors>
    <mruColors>
      <color rgb="FF750000"/>
      <color rgb="FF63E2E9"/>
      <color rgb="FFFFE084"/>
      <color rgb="FFFF5959"/>
      <color rgb="FFC0E2C2"/>
      <color rgb="FFE20000"/>
      <color rgb="FF8CC1CE"/>
      <color rgb="FF1AB2BB"/>
      <color rgb="FFDFF0E0"/>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0"/>
        <c:spPr>
          <a:solidFill>
            <a:srgbClr val="63E2E9"/>
          </a:solidFill>
          <a:ln>
            <a:noFill/>
          </a:ln>
          <a:effectLst>
            <a:outerShdw blurRad="254000" sx="102000" sy="102000" algn="ctr" rotWithShape="0">
              <a:prstClr val="black">
                <a:alpha val="20000"/>
              </a:prstClr>
            </a:outerShdw>
          </a:effectLst>
        </c:spPr>
      </c:pivotFmt>
      <c:pivotFmt>
        <c:idx val="201"/>
        <c:spPr>
          <a:solidFill>
            <a:srgbClr val="750000"/>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3"/>
        <c:spPr>
          <a:solidFill>
            <a:srgbClr val="63E2E9"/>
          </a:solidFill>
          <a:ln>
            <a:noFill/>
          </a:ln>
          <a:effectLst>
            <a:outerShdw blurRad="254000" sx="102000" sy="102000" algn="ctr" rotWithShape="0">
              <a:prstClr val="black">
                <a:alpha val="20000"/>
              </a:prstClr>
            </a:outerShdw>
          </a:effectLst>
        </c:spPr>
      </c:pivotFmt>
      <c:pivotFmt>
        <c:idx val="204"/>
        <c:spPr>
          <a:solidFill>
            <a:srgbClr val="750000"/>
          </a:solidFill>
          <a:ln>
            <a:noFill/>
          </a:ln>
          <a:effectLst>
            <a:outerShdw blurRad="254000" sx="102000" sy="102000" algn="ctr" rotWithShape="0">
              <a:prstClr val="black">
                <a:alpha val="20000"/>
              </a:prstClr>
            </a:outerShdw>
          </a:effectLst>
        </c:spPr>
      </c:pivotFmt>
      <c:pivotFmt>
        <c:idx val="205"/>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6"/>
        <c:spPr>
          <a:solidFill>
            <a:srgbClr val="63E2E9"/>
          </a:solidFill>
          <a:ln>
            <a:noFill/>
          </a:ln>
          <a:effectLst>
            <a:outerShdw blurRad="254000" sx="102000" sy="102000" algn="ctr" rotWithShape="0">
              <a:prstClr val="black">
                <a:alpha val="20000"/>
              </a:prstClr>
            </a:outerShdw>
          </a:effectLst>
        </c:spPr>
      </c:pivotFmt>
      <c:pivotFmt>
        <c:idx val="207"/>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9D4B-468B-99EA-ED42DBA54769}"/>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D-9D4B-468B-99EA-ED42DBA5476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F-9D4B-468B-99EA-ED42DBA5476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21-9D4B-468B-99EA-ED42DBA54769}"/>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Pendente de desenvolv.</c:v>
              </c:pt>
              <c:pt idx="1">
                <c:v>Por iniciar</c:v>
              </c:pt>
            </c:strLit>
          </c:cat>
          <c:val>
            <c:numLit>
              <c:formatCode>General</c:formatCode>
              <c:ptCount val="2"/>
              <c:pt idx="0">
                <c:v>2</c:v>
              </c:pt>
              <c:pt idx="1">
                <c:v>13</c:v>
              </c:pt>
            </c:numLit>
          </c:val>
          <c:extLst>
            <c:ext xmlns:c16="http://schemas.microsoft.com/office/drawing/2014/chart" uri="{C3380CC4-5D6E-409C-BE32-E72D297353CC}">
              <c16:uniqueId val="{00000022-9D4B-468B-99EA-ED42DBA54769}"/>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rgbClr val="750000"/>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spPr>
            <a:solidFill>
              <a:srgbClr val="750000"/>
            </a:solidFill>
          </c:spPr>
          <c:dPt>
            <c:idx val="0"/>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C4A1-4991-AAEB-27FC0A6AA985}"/>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C4A1-4991-AAEB-27FC0A6AA985}"/>
              </c:ext>
            </c:extLst>
          </c:dPt>
          <c:dPt>
            <c:idx val="2"/>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C4A1-4991-AAEB-27FC0A6AA985}"/>
              </c:ext>
            </c:extLst>
          </c:dPt>
          <c:dPt>
            <c:idx val="3"/>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C4A1-4991-AAEB-27FC0A6AA985}"/>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Por iniciar</c:v>
              </c:pt>
            </c:strLit>
          </c:cat>
          <c:val>
            <c:numLit>
              <c:formatCode>General</c:formatCode>
              <c:ptCount val="1"/>
              <c:pt idx="0">
                <c:v>11</c:v>
              </c:pt>
            </c:numLit>
          </c:val>
          <c:extLst>
            <c:ext xmlns:c16="http://schemas.microsoft.com/office/drawing/2014/chart" uri="{C3380CC4-5D6E-409C-BE32-E72D297353CC}">
              <c16:uniqueId val="{0000000E-C4A1-4991-AAEB-27FC0A6AA98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63E2E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262-4A03-84B2-6AAD3EE76E24}"/>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262-4A03-84B2-6AAD3EE76E2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A262-4A03-84B2-6AAD3EE76E24}"/>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A262-4A03-84B2-6AAD3EE76E24}"/>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Pendente de desenvolv.</c:v>
              </c:pt>
              <c:pt idx="1">
                <c:v>Por iniciar</c:v>
              </c:pt>
            </c:strLit>
          </c:cat>
          <c:val>
            <c:numLit>
              <c:formatCode>General</c:formatCode>
              <c:ptCount val="2"/>
              <c:pt idx="0">
                <c:v>8</c:v>
              </c:pt>
              <c:pt idx="1">
                <c:v>3</c:v>
              </c:pt>
            </c:numLit>
          </c:val>
          <c:extLst>
            <c:ext xmlns:c16="http://schemas.microsoft.com/office/drawing/2014/chart" uri="{C3380CC4-5D6E-409C-BE32-E72D297353CC}">
              <c16:uniqueId val="{0000000E-A262-4A03-84B2-6AAD3EE76E24}"/>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FF595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dPt>
            <c:idx val="0"/>
            <c:bubble3D val="0"/>
            <c:spPr>
              <a:solidFill>
                <a:srgbClr val="FF59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D071-4214-9B51-8221E108EDEE}"/>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D071-4214-9B51-8221E108EDEE}"/>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D071-4214-9B51-8221E108EDEE}"/>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D071-4214-9B51-8221E108EDEE}"/>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2"/>
              <c:pt idx="0">
                <c:v>Com Incidências</c:v>
              </c:pt>
              <c:pt idx="1">
                <c:v>Por iniciar</c:v>
              </c:pt>
            </c:strLit>
          </c:cat>
          <c:val>
            <c:numLit>
              <c:formatCode>General</c:formatCode>
              <c:ptCount val="2"/>
              <c:pt idx="0">
                <c:v>3</c:v>
              </c:pt>
              <c:pt idx="1">
                <c:v>25</c:v>
              </c:pt>
            </c:numLit>
          </c:val>
          <c:extLst>
            <c:ext xmlns:c16="http://schemas.microsoft.com/office/drawing/2014/chart" uri="{C3380CC4-5D6E-409C-BE32-E72D297353CC}">
              <c16:uniqueId val="{00000012-D071-4214-9B51-8221E108EDEE}"/>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s>
    <c:plotArea>
      <c:layout/>
      <c:doughnutChart>
        <c:varyColors val="1"/>
        <c:ser>
          <c:idx val="0"/>
          <c:order val="0"/>
          <c:tx>
            <c:v>Series1</c:v>
          </c:tx>
          <c:dPt>
            <c:idx val="0"/>
            <c:bubble3D val="0"/>
            <c:spPr>
              <a:solidFill>
                <a:srgbClr val="FF595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3C2-48FA-A742-C394F9F2439C}"/>
              </c:ext>
            </c:extLst>
          </c:dPt>
          <c:dPt>
            <c:idx val="1"/>
            <c:bubble3D val="0"/>
            <c:spPr>
              <a:solidFill>
                <a:srgbClr val="C0E2C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3C2-48FA-A742-C394F9F2439C}"/>
              </c:ext>
            </c:extLst>
          </c:dPt>
          <c:dPt>
            <c:idx val="2"/>
            <c:bubble3D val="0"/>
            <c:spPr>
              <a:solidFill>
                <a:srgbClr val="FFE08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3C2-48FA-A742-C394F9F2439C}"/>
              </c:ext>
            </c:extLst>
          </c:dPt>
          <c:dPt>
            <c:idx val="3"/>
            <c:bubble3D val="0"/>
            <c:spPr>
              <a:solidFill>
                <a:srgbClr val="63E2E9"/>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3C2-48FA-A742-C394F9F2439C}"/>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4"/>
              <c:pt idx="0">
                <c:v>Com Incidências</c:v>
              </c:pt>
              <c:pt idx="1">
                <c:v>Concluído</c:v>
              </c:pt>
              <c:pt idx="2">
                <c:v>Em curso</c:v>
              </c:pt>
              <c:pt idx="3">
                <c:v>Pendente de desenvolv.</c:v>
              </c:pt>
            </c:strLit>
          </c:cat>
          <c:val>
            <c:numLit>
              <c:formatCode>General</c:formatCode>
              <c:ptCount val="4"/>
              <c:pt idx="0">
                <c:v>5</c:v>
              </c:pt>
              <c:pt idx="1">
                <c:v>43</c:v>
              </c:pt>
              <c:pt idx="2">
                <c:v>22</c:v>
              </c:pt>
              <c:pt idx="3">
                <c:v>11</c:v>
              </c:pt>
            </c:numLit>
          </c:val>
          <c:extLst>
            <c:ext xmlns:c16="http://schemas.microsoft.com/office/drawing/2014/chart" uri="{C3380CC4-5D6E-409C-BE32-E72D297353CC}">
              <c16:uniqueId val="{00000008-63C2-48FA-A742-C394F9F2439C}"/>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254000" sx="102000" sy="102000" algn="ctr" rotWithShape="0">
              <a:prstClr val="black">
                <a:alpha val="20000"/>
              </a:prstClr>
            </a:outerShdw>
          </a:effectLst>
        </c:spPr>
      </c:pivotFmt>
      <c:pivotFmt>
        <c:idx val="26"/>
        <c:spPr>
          <a:solidFill>
            <a:schemeClr val="accent1"/>
          </a:solidFill>
          <a:ln>
            <a:noFill/>
          </a:ln>
          <a:effectLst>
            <a:outerShdw blurRad="254000" sx="102000" sy="102000" algn="ctr" rotWithShape="0">
              <a:prstClr val="black">
                <a:alpha val="20000"/>
              </a:prstClr>
            </a:outerShdw>
          </a:effectLst>
        </c:spPr>
      </c:pivotFmt>
      <c:pivotFmt>
        <c:idx val="27"/>
        <c:spPr>
          <a:solidFill>
            <a:schemeClr val="accent1"/>
          </a:solidFill>
          <a:ln>
            <a:noFill/>
          </a:ln>
          <a:effectLst>
            <a:outerShdw blurRad="254000" sx="102000" sy="102000" algn="ctr" rotWithShape="0">
              <a:prstClr val="black">
                <a:alpha val="20000"/>
              </a:prstClr>
            </a:outerShdw>
          </a:effectLst>
        </c:spPr>
      </c:pivotFmt>
      <c:pivotFmt>
        <c:idx val="28"/>
        <c:spPr>
          <a:solidFill>
            <a:schemeClr val="accent1"/>
          </a:solidFill>
          <a:ln>
            <a:noFill/>
          </a:ln>
          <a:effectLst>
            <a:outerShdw blurRad="254000" sx="102000" sy="102000" algn="ctr" rotWithShape="0">
              <a:prstClr val="black">
                <a:alpha val="20000"/>
              </a:prstClr>
            </a:outerShdw>
          </a:effectLst>
        </c:spPr>
      </c:pivotFmt>
      <c:pivotFmt>
        <c:idx val="29"/>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1"/>
          </a:solidFill>
          <a:ln>
            <a:noFill/>
          </a:ln>
          <a:effectLst>
            <a:outerShdw blurRad="63500" dist="50800" dir="5400000" sx="102000" sy="102000" algn="ctr" rotWithShape="0">
              <a:prstClr val="black">
                <a:alpha val="40000"/>
              </a:prstClr>
            </a:outerShdw>
          </a:effectLst>
        </c:spPr>
      </c:pivotFmt>
      <c:pivotFmt>
        <c:idx val="31"/>
        <c:spPr>
          <a:solidFill>
            <a:schemeClr val="accent1"/>
          </a:solidFill>
          <a:ln>
            <a:noFill/>
          </a:ln>
          <a:effectLst>
            <a:outerShdw blurRad="63500" dist="50800" dir="5400000" sx="102000" sy="102000" algn="ctr" rotWithShape="0">
              <a:prstClr val="black">
                <a:alpha val="40000"/>
              </a:prstClr>
            </a:outerShdw>
          </a:effectLst>
        </c:spPr>
      </c:pivotFmt>
      <c:pivotFmt>
        <c:idx val="32"/>
        <c:spPr>
          <a:solidFill>
            <a:schemeClr val="accent1"/>
          </a:solidFill>
          <a:ln>
            <a:noFill/>
          </a:ln>
          <a:effectLst>
            <a:outerShdw blurRad="63500" dist="50800" dir="5400000" sx="102000" sy="102000" algn="ctr" rotWithShape="0">
              <a:prstClr val="black">
                <a:alpha val="40000"/>
              </a:prstClr>
            </a:outerShdw>
          </a:effectLst>
        </c:spPr>
      </c:pivotFmt>
      <c:pivotFmt>
        <c:idx val="33"/>
        <c:spPr>
          <a:solidFill>
            <a:schemeClr val="accent1"/>
          </a:solidFill>
          <a:ln>
            <a:noFill/>
          </a:ln>
          <a:effectLst>
            <a:outerShdw blurRad="63500" dist="50800" dir="5400000" sx="102000" sy="102000" algn="ctr" rotWithShape="0">
              <a:prstClr val="black">
                <a:alpha val="40000"/>
              </a:prstClr>
            </a:outerShdw>
          </a:effectLst>
        </c:spPr>
      </c:pivotFmt>
      <c:pivotFmt>
        <c:idx val="3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1"/>
          </a:solidFill>
          <a:ln>
            <a:noFill/>
          </a:ln>
          <a:effectLst>
            <a:outerShdw blurRad="63500" dist="50800" dir="5400000" sx="102000" sy="102000" algn="ctr" rotWithShape="0">
              <a:prstClr val="black">
                <a:alpha val="40000"/>
              </a:prstClr>
            </a:outerShdw>
          </a:effectLst>
        </c:spPr>
      </c:pivotFmt>
      <c:pivotFmt>
        <c:idx val="36"/>
        <c:spPr>
          <a:solidFill>
            <a:schemeClr val="accent1"/>
          </a:solidFill>
          <a:ln>
            <a:noFill/>
          </a:ln>
          <a:effectLst>
            <a:outerShdw blurRad="63500" dist="50800" dir="5400000" sx="102000" sy="102000" algn="ctr" rotWithShape="0">
              <a:prstClr val="black">
                <a:alpha val="40000"/>
              </a:prstClr>
            </a:outerShdw>
          </a:effectLst>
        </c:spPr>
      </c:pivotFmt>
      <c:pivotFmt>
        <c:idx val="37"/>
        <c:spPr>
          <a:solidFill>
            <a:schemeClr val="accent1"/>
          </a:solidFill>
          <a:ln>
            <a:noFill/>
          </a:ln>
          <a:effectLst>
            <a:outerShdw blurRad="63500" dist="50800" dir="5400000" sx="102000" sy="102000" algn="ctr" rotWithShape="0">
              <a:prstClr val="black">
                <a:alpha val="40000"/>
              </a:prstClr>
            </a:outerShdw>
          </a:effectLst>
        </c:spPr>
      </c:pivotFmt>
      <c:pivotFmt>
        <c:idx val="38"/>
        <c:spPr>
          <a:solidFill>
            <a:schemeClr val="accent1"/>
          </a:solidFill>
          <a:ln>
            <a:noFill/>
          </a:ln>
          <a:effectLst>
            <a:outerShdw blurRad="63500" dist="50800" dir="5400000" sx="102000" sy="102000" algn="ctr" rotWithShape="0">
              <a:prstClr val="black">
                <a:alpha val="40000"/>
              </a:prstClr>
            </a:outerShdw>
          </a:effectLst>
        </c:spPr>
      </c:pivotFmt>
      <c:pivotFmt>
        <c:idx val="39"/>
        <c:spPr>
          <a:solidFill>
            <a:schemeClr val="accent1"/>
          </a:solidFill>
          <a:ln>
            <a:noFill/>
          </a:ln>
          <a:effectLst>
            <a:outerShdw blurRad="63500" dist="50800" dir="5400000" sx="102000" sy="102000" algn="ctr" rotWithShape="0">
              <a:prstClr val="black">
                <a:alpha val="40000"/>
              </a:prstClr>
            </a:outerShdw>
          </a:effectLst>
        </c:spPr>
      </c:pivotFmt>
      <c:pivotFmt>
        <c:idx val="4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1"/>
          </a:solidFill>
          <a:ln>
            <a:noFill/>
          </a:ln>
          <a:effectLst>
            <a:outerShdw blurRad="63500" dist="50800" dir="5400000" sx="102000" sy="102000" algn="ctr" rotWithShape="0">
              <a:prstClr val="black">
                <a:alpha val="40000"/>
              </a:prstClr>
            </a:outerShdw>
          </a:effectLst>
        </c:spPr>
      </c:pivotFmt>
      <c:pivotFmt>
        <c:idx val="42"/>
        <c:spPr>
          <a:solidFill>
            <a:schemeClr val="accent1"/>
          </a:solidFill>
          <a:ln>
            <a:noFill/>
          </a:ln>
          <a:effectLst>
            <a:outerShdw blurRad="63500" dist="50800" dir="5400000" sx="102000" sy="102000" algn="ctr" rotWithShape="0">
              <a:prstClr val="black">
                <a:alpha val="40000"/>
              </a:prstClr>
            </a:outerShdw>
          </a:effectLst>
        </c:spPr>
      </c:pivotFmt>
      <c:pivotFmt>
        <c:idx val="43"/>
        <c:spPr>
          <a:solidFill>
            <a:schemeClr val="accent1"/>
          </a:solidFill>
          <a:ln>
            <a:noFill/>
          </a:ln>
          <a:effectLst>
            <a:outerShdw blurRad="63500" dist="50800" dir="5400000" sx="102000" sy="102000" algn="ctr" rotWithShape="0">
              <a:prstClr val="black">
                <a:alpha val="40000"/>
              </a:prstClr>
            </a:outerShdw>
          </a:effectLst>
        </c:spPr>
      </c:pivotFmt>
      <c:pivotFmt>
        <c:idx val="44"/>
        <c:spPr>
          <a:solidFill>
            <a:schemeClr val="accent1"/>
          </a:solidFill>
          <a:ln>
            <a:noFill/>
          </a:ln>
          <a:effectLst>
            <a:outerShdw blurRad="63500" dist="50800" dir="5400000" sx="102000" sy="102000" algn="ctr" rotWithShape="0">
              <a:prstClr val="black">
                <a:alpha val="40000"/>
              </a:prstClr>
            </a:outerShdw>
          </a:effectLst>
        </c:spPr>
      </c:pivotFmt>
      <c:pivotFmt>
        <c:idx val="4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1"/>
          </a:solidFill>
          <a:ln>
            <a:noFill/>
          </a:ln>
          <a:effectLst>
            <a:outerShdw blurRad="63500" dist="50800" dir="5400000" sx="102000" sy="102000" algn="ctr" rotWithShape="0">
              <a:prstClr val="black">
                <a:alpha val="40000"/>
              </a:prstClr>
            </a:outerShdw>
          </a:effectLst>
        </c:spPr>
      </c:pivotFmt>
      <c:pivotFmt>
        <c:idx val="47"/>
        <c:spPr>
          <a:solidFill>
            <a:schemeClr val="accent1"/>
          </a:solidFill>
          <a:ln>
            <a:noFill/>
          </a:ln>
          <a:effectLst>
            <a:outerShdw blurRad="63500" dist="50800" dir="5400000" sx="102000" sy="102000" algn="ctr" rotWithShape="0">
              <a:prstClr val="black">
                <a:alpha val="40000"/>
              </a:prstClr>
            </a:outerShdw>
          </a:effectLst>
        </c:spPr>
      </c:pivotFmt>
      <c:pivotFmt>
        <c:idx val="48"/>
        <c:spPr>
          <a:solidFill>
            <a:schemeClr val="accent1"/>
          </a:solidFill>
          <a:ln>
            <a:noFill/>
          </a:ln>
          <a:effectLst>
            <a:outerShdw blurRad="63500" dist="50800" dir="5400000" sx="102000" sy="102000" algn="ctr" rotWithShape="0">
              <a:prstClr val="black">
                <a:alpha val="40000"/>
              </a:prstClr>
            </a:outerShdw>
          </a:effectLst>
        </c:spPr>
      </c:pivotFmt>
      <c:pivotFmt>
        <c:idx val="49"/>
        <c:spPr>
          <a:solidFill>
            <a:schemeClr val="accent1"/>
          </a:solidFill>
          <a:ln>
            <a:noFill/>
          </a:ln>
          <a:effectLst>
            <a:outerShdw blurRad="63500" dist="50800" dir="5400000" sx="102000" sy="102000" algn="ctr" rotWithShape="0">
              <a:prstClr val="black">
                <a:alpha val="40000"/>
              </a:prstClr>
            </a:outerShdw>
          </a:effectLst>
        </c:spPr>
      </c:pivotFmt>
      <c:pivotFmt>
        <c:idx val="5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1"/>
          </a:solidFill>
          <a:ln>
            <a:noFill/>
          </a:ln>
          <a:effectLst>
            <a:outerShdw blurRad="63500" dist="50800" dir="5400000" sx="102000" sy="102000" algn="ctr" rotWithShape="0">
              <a:prstClr val="black">
                <a:alpha val="40000"/>
              </a:prstClr>
            </a:outerShdw>
          </a:effectLst>
        </c:spPr>
      </c:pivotFmt>
      <c:pivotFmt>
        <c:idx val="52"/>
        <c:spPr>
          <a:solidFill>
            <a:schemeClr val="accent1"/>
          </a:solidFill>
          <a:ln>
            <a:noFill/>
          </a:ln>
          <a:effectLst>
            <a:outerShdw blurRad="63500" dist="50800" dir="5400000" sx="102000" sy="102000" algn="ctr" rotWithShape="0">
              <a:prstClr val="black">
                <a:alpha val="40000"/>
              </a:prstClr>
            </a:outerShdw>
          </a:effectLst>
        </c:spPr>
      </c:pivotFmt>
      <c:pivotFmt>
        <c:idx val="53"/>
        <c:spPr>
          <a:solidFill>
            <a:schemeClr val="accent1"/>
          </a:solidFill>
          <a:ln>
            <a:noFill/>
          </a:ln>
          <a:effectLst>
            <a:outerShdw blurRad="63500" dist="50800" dir="5400000" sx="102000" sy="102000" algn="ctr" rotWithShape="0">
              <a:prstClr val="black">
                <a:alpha val="40000"/>
              </a:prstClr>
            </a:outerShdw>
          </a:effectLst>
        </c:spPr>
      </c:pivotFmt>
      <c:pivotFmt>
        <c:idx val="54"/>
        <c:spPr>
          <a:solidFill>
            <a:schemeClr val="accent1"/>
          </a:solidFill>
          <a:ln>
            <a:noFill/>
          </a:ln>
          <a:effectLst>
            <a:outerShdw blurRad="63500" dist="50800" dir="5400000" sx="102000" sy="102000" algn="ctr" rotWithShape="0">
              <a:prstClr val="black">
                <a:alpha val="40000"/>
              </a:prstClr>
            </a:outerShdw>
          </a:effectLst>
        </c:spPr>
      </c:pivotFmt>
      <c:pivotFmt>
        <c:idx val="5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1"/>
          </a:solidFill>
          <a:ln>
            <a:noFill/>
          </a:ln>
          <a:effectLst>
            <a:outerShdw blurRad="63500" dist="50800" dir="5400000" sx="102000" sy="102000" algn="ctr" rotWithShape="0">
              <a:prstClr val="black">
                <a:alpha val="40000"/>
              </a:prstClr>
            </a:outerShdw>
          </a:effectLst>
        </c:spPr>
      </c:pivotFmt>
      <c:pivotFmt>
        <c:idx val="57"/>
        <c:spPr>
          <a:solidFill>
            <a:schemeClr val="accent1"/>
          </a:solidFill>
          <a:ln>
            <a:noFill/>
          </a:ln>
          <a:effectLst>
            <a:outerShdw blurRad="63500" dist="50800" dir="5400000" sx="102000" sy="102000" algn="ctr" rotWithShape="0">
              <a:prstClr val="black">
                <a:alpha val="40000"/>
              </a:prstClr>
            </a:outerShdw>
          </a:effectLst>
        </c:spPr>
      </c:pivotFmt>
      <c:pivotFmt>
        <c:idx val="58"/>
        <c:spPr>
          <a:solidFill>
            <a:schemeClr val="accent1"/>
          </a:solidFill>
          <a:ln>
            <a:noFill/>
          </a:ln>
          <a:effectLst>
            <a:outerShdw blurRad="63500" dist="50800" dir="5400000" sx="102000" sy="102000" algn="ctr" rotWithShape="0">
              <a:prstClr val="black">
                <a:alpha val="40000"/>
              </a:prstClr>
            </a:outerShdw>
          </a:effectLst>
        </c:spPr>
      </c:pivotFmt>
      <c:pivotFmt>
        <c:idx val="59"/>
        <c:spPr>
          <a:solidFill>
            <a:schemeClr val="accent1"/>
          </a:solidFill>
          <a:ln>
            <a:noFill/>
          </a:ln>
          <a:effectLst>
            <a:outerShdw blurRad="63500" dist="50800" dir="5400000" sx="102000" sy="102000" algn="ctr" rotWithShape="0">
              <a:prstClr val="black">
                <a:alpha val="40000"/>
              </a:prstClr>
            </a:outerShdw>
          </a:effectLst>
        </c:spPr>
      </c:pivotFmt>
      <c:pivotFmt>
        <c:idx val="6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1"/>
          </a:solidFill>
          <a:ln>
            <a:noFill/>
          </a:ln>
          <a:effectLst>
            <a:outerShdw blurRad="63500" dist="50800" dir="5400000" sx="102000" sy="102000" algn="ctr" rotWithShape="0">
              <a:prstClr val="black">
                <a:alpha val="40000"/>
              </a:prstClr>
            </a:outerShdw>
          </a:effectLst>
        </c:spPr>
      </c:pivotFmt>
      <c:pivotFmt>
        <c:idx val="62"/>
        <c:spPr>
          <a:solidFill>
            <a:schemeClr val="accent1"/>
          </a:solidFill>
          <a:ln>
            <a:noFill/>
          </a:ln>
          <a:effectLst>
            <a:outerShdw blurRad="63500" dist="50800" dir="5400000" sx="102000" sy="102000" algn="ctr" rotWithShape="0">
              <a:prstClr val="black">
                <a:alpha val="40000"/>
              </a:prstClr>
            </a:outerShdw>
          </a:effectLst>
        </c:spPr>
      </c:pivotFmt>
      <c:pivotFmt>
        <c:idx val="63"/>
        <c:spPr>
          <a:solidFill>
            <a:schemeClr val="accent1"/>
          </a:solidFill>
          <a:ln>
            <a:noFill/>
          </a:ln>
          <a:effectLst>
            <a:outerShdw blurRad="63500" dist="50800" dir="5400000" sx="102000" sy="102000" algn="ctr" rotWithShape="0">
              <a:prstClr val="black">
                <a:alpha val="40000"/>
              </a:prstClr>
            </a:outerShdw>
          </a:effectLst>
        </c:spPr>
      </c:pivotFmt>
      <c:pivotFmt>
        <c:idx val="64"/>
        <c:spPr>
          <a:solidFill>
            <a:schemeClr val="accent1"/>
          </a:solidFill>
          <a:ln>
            <a:noFill/>
          </a:ln>
          <a:effectLst>
            <a:outerShdw blurRad="63500" dist="50800" dir="5400000" sx="102000" sy="102000" algn="ctr" rotWithShape="0">
              <a:prstClr val="black">
                <a:alpha val="40000"/>
              </a:prstClr>
            </a:outerShdw>
          </a:effectLst>
        </c:spPr>
      </c:pivotFmt>
      <c:pivotFmt>
        <c:idx val="65"/>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solidFill>
          <a:ln>
            <a:noFill/>
          </a:ln>
          <a:effectLst>
            <a:outerShdw blurRad="63500" dist="50800" dir="5400000" sx="102000" sy="102000" algn="ctr" rotWithShape="0">
              <a:prstClr val="black">
                <a:alpha val="40000"/>
              </a:prstClr>
            </a:outerShdw>
          </a:effectLst>
        </c:spPr>
      </c:pivotFmt>
      <c:pivotFmt>
        <c:idx val="67"/>
        <c:spPr>
          <a:solidFill>
            <a:schemeClr val="accent1"/>
          </a:solidFill>
          <a:ln>
            <a:noFill/>
          </a:ln>
          <a:effectLst>
            <a:outerShdw blurRad="63500" dist="50800" dir="5400000" sx="102000" sy="102000" algn="ctr" rotWithShape="0">
              <a:prstClr val="black">
                <a:alpha val="40000"/>
              </a:prstClr>
            </a:outerShdw>
          </a:effectLst>
        </c:spPr>
      </c:pivotFmt>
      <c:pivotFmt>
        <c:idx val="68"/>
        <c:spPr>
          <a:solidFill>
            <a:schemeClr val="accent1"/>
          </a:solidFill>
          <a:ln>
            <a:noFill/>
          </a:ln>
          <a:effectLst>
            <a:outerShdw blurRad="63500" dist="50800" dir="5400000" sx="102000" sy="102000" algn="ctr" rotWithShape="0">
              <a:prstClr val="black">
                <a:alpha val="40000"/>
              </a:prstClr>
            </a:outerShdw>
          </a:effectLst>
        </c:spPr>
      </c:pivotFmt>
      <c:pivotFmt>
        <c:idx val="69"/>
        <c:spPr>
          <a:solidFill>
            <a:schemeClr val="accent1"/>
          </a:solidFill>
          <a:ln>
            <a:noFill/>
          </a:ln>
          <a:effectLst>
            <a:outerShdw blurRad="63500" dist="50800" dir="5400000" sx="102000" sy="102000" algn="ctr" rotWithShape="0">
              <a:prstClr val="black">
                <a:alpha val="40000"/>
              </a:prstClr>
            </a:outerShdw>
          </a:effectLst>
        </c:spPr>
      </c:pivotFmt>
      <c:pivotFmt>
        <c:idx val="70"/>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solidFill>
          <a:ln>
            <a:noFill/>
          </a:ln>
          <a:effectLst>
            <a:outerShdw blurRad="63500" dist="50800" dir="5400000" sx="102000" sy="102000" algn="ctr" rotWithShape="0">
              <a:prstClr val="black">
                <a:alpha val="40000"/>
              </a:prstClr>
            </a:outerShdw>
          </a:effectLst>
        </c:spPr>
      </c:pivotFmt>
      <c:pivotFmt>
        <c:idx val="72"/>
        <c:spPr>
          <a:solidFill>
            <a:schemeClr val="accent1"/>
          </a:solidFill>
          <a:ln>
            <a:noFill/>
          </a:ln>
          <a:effectLst>
            <a:outerShdw blurRad="63500" dist="50800" dir="5400000" sx="102000" sy="102000" algn="ctr" rotWithShape="0">
              <a:prstClr val="black">
                <a:alpha val="40000"/>
              </a:prstClr>
            </a:outerShdw>
          </a:effectLst>
        </c:spPr>
      </c:pivotFmt>
      <c:pivotFmt>
        <c:idx val="73"/>
        <c:spPr>
          <a:solidFill>
            <a:schemeClr val="accent1"/>
          </a:solidFill>
          <a:ln>
            <a:noFill/>
          </a:ln>
          <a:effectLst>
            <a:outerShdw blurRad="63500" dist="50800" dir="5400000" sx="102000" sy="102000" algn="ctr" rotWithShape="0">
              <a:prstClr val="black">
                <a:alpha val="40000"/>
              </a:prstClr>
            </a:outerShdw>
          </a:effectLst>
        </c:spPr>
      </c:pivotFmt>
      <c:pivotFmt>
        <c:idx val="7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solidFill>
          <a:ln>
            <a:noFill/>
          </a:ln>
          <a:effectLst>
            <a:outerShdw blurRad="63500" dist="50800" dir="5400000" sx="102000" sy="102000" algn="ctr" rotWithShape="0">
              <a:prstClr val="black">
                <a:alpha val="40000"/>
              </a:prstClr>
            </a:outerShdw>
          </a:effectLst>
        </c:spPr>
      </c:pivotFmt>
      <c:pivotFmt>
        <c:idx val="76"/>
        <c:spPr>
          <a:solidFill>
            <a:schemeClr val="accent1"/>
          </a:solidFill>
          <a:ln>
            <a:noFill/>
          </a:ln>
          <a:effectLst>
            <a:outerShdw blurRad="63500" dist="50800" dir="5400000" sx="102000" sy="102000" algn="ctr" rotWithShape="0">
              <a:prstClr val="black">
                <a:alpha val="40000"/>
              </a:prstClr>
            </a:outerShdw>
          </a:effectLst>
        </c:spPr>
      </c:pivotFmt>
      <c:pivotFmt>
        <c:idx val="77"/>
        <c:spPr>
          <a:solidFill>
            <a:schemeClr val="accent1"/>
          </a:solidFill>
          <a:ln>
            <a:noFill/>
          </a:ln>
          <a:effectLst>
            <a:outerShdw blurRad="63500" dist="50800" dir="5400000" sx="102000" sy="102000" algn="ctr" rotWithShape="0">
              <a:prstClr val="black">
                <a:alpha val="40000"/>
              </a:prstClr>
            </a:outerShdw>
          </a:effectLst>
        </c:spPr>
      </c:pivotFmt>
      <c:pivotFmt>
        <c:idx val="7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solidFill>
          <a:ln>
            <a:noFill/>
          </a:ln>
          <a:effectLst>
            <a:outerShdw blurRad="63500" dist="50800" dir="5400000" sx="102000" sy="102000" algn="ctr" rotWithShape="0">
              <a:prstClr val="black">
                <a:alpha val="40000"/>
              </a:prstClr>
            </a:outerShdw>
          </a:effectLst>
        </c:spPr>
      </c:pivotFmt>
      <c:pivotFmt>
        <c:idx val="80"/>
        <c:spPr>
          <a:solidFill>
            <a:schemeClr val="accent1"/>
          </a:solidFill>
          <a:ln>
            <a:noFill/>
          </a:ln>
          <a:effectLst>
            <a:outerShdw blurRad="63500" dist="50800" dir="5400000" sx="102000" sy="102000" algn="ctr" rotWithShape="0">
              <a:prstClr val="black">
                <a:alpha val="40000"/>
              </a:prstClr>
            </a:outerShdw>
          </a:effectLst>
        </c:spPr>
      </c:pivotFmt>
      <c:pivotFmt>
        <c:idx val="81"/>
        <c:spPr>
          <a:solidFill>
            <a:schemeClr val="accent1"/>
          </a:solidFill>
          <a:ln>
            <a:noFill/>
          </a:ln>
          <a:effectLst>
            <a:outerShdw blurRad="63500" dist="50800" dir="5400000" sx="102000" sy="102000" algn="ctr" rotWithShape="0">
              <a:prstClr val="black">
                <a:alpha val="40000"/>
              </a:prstClr>
            </a:outerShdw>
          </a:effectLst>
        </c:spPr>
      </c:pivotFmt>
      <c:pivotFmt>
        <c:idx val="82"/>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solidFill>
          <a:ln>
            <a:noFill/>
          </a:ln>
          <a:effectLst>
            <a:outerShdw blurRad="63500" dist="50800" dir="5400000" sx="102000" sy="102000" algn="ctr" rotWithShape="0">
              <a:prstClr val="black">
                <a:alpha val="40000"/>
              </a:prstClr>
            </a:outerShdw>
          </a:effectLst>
        </c:spPr>
      </c:pivotFmt>
      <c:pivotFmt>
        <c:idx val="84"/>
        <c:spPr>
          <a:solidFill>
            <a:schemeClr val="accent1"/>
          </a:solidFill>
          <a:ln>
            <a:noFill/>
          </a:ln>
          <a:effectLst>
            <a:outerShdw blurRad="63500" dist="50800" dir="5400000" sx="102000" sy="102000" algn="ctr" rotWithShape="0">
              <a:prstClr val="black">
                <a:alpha val="40000"/>
              </a:prstClr>
            </a:outerShdw>
          </a:effectLst>
        </c:spPr>
      </c:pivotFmt>
      <c:pivotFmt>
        <c:idx val="85"/>
        <c:spPr>
          <a:solidFill>
            <a:schemeClr val="accent1"/>
          </a:solidFill>
          <a:ln>
            <a:noFill/>
          </a:ln>
          <a:effectLst>
            <a:outerShdw blurRad="63500" dist="50800" dir="5400000" sx="102000" sy="102000" algn="ctr" rotWithShape="0">
              <a:prstClr val="black">
                <a:alpha val="40000"/>
              </a:prstClr>
            </a:outerShdw>
          </a:effectLst>
        </c:spPr>
      </c:pivotFmt>
      <c:pivotFmt>
        <c:idx val="86"/>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solidFill>
          <a:ln>
            <a:noFill/>
          </a:ln>
          <a:effectLst>
            <a:outerShdw blurRad="63500" dist="50800" dir="5400000" sx="102000" sy="102000" algn="ctr" rotWithShape="0">
              <a:prstClr val="black">
                <a:alpha val="40000"/>
              </a:prstClr>
            </a:outerShdw>
          </a:effectLst>
        </c:spPr>
      </c:pivotFmt>
      <c:pivotFmt>
        <c:idx val="88"/>
        <c:spPr>
          <a:solidFill>
            <a:schemeClr val="accent1"/>
          </a:solidFill>
          <a:ln>
            <a:noFill/>
          </a:ln>
          <a:effectLst>
            <a:outerShdw blurRad="63500" dist="50800" dir="5400000" sx="102000" sy="102000" algn="ctr" rotWithShape="0">
              <a:prstClr val="black">
                <a:alpha val="40000"/>
              </a:prstClr>
            </a:outerShdw>
          </a:effectLst>
        </c:spPr>
      </c:pivotFmt>
      <c:pivotFmt>
        <c:idx val="89"/>
        <c:spPr>
          <a:solidFill>
            <a:schemeClr val="accent1"/>
          </a:solidFill>
          <a:ln>
            <a:noFill/>
          </a:ln>
          <a:effectLst>
            <a:outerShdw blurRad="63500" dist="50800" dir="5400000" sx="102000" sy="102000" algn="ctr" rotWithShape="0">
              <a:prstClr val="black">
                <a:alpha val="40000"/>
              </a:prstClr>
            </a:outerShdw>
          </a:effectLst>
        </c:spPr>
      </c:pivotFmt>
      <c:pivotFmt>
        <c:idx val="90"/>
        <c:spPr>
          <a:solidFill>
            <a:schemeClr val="accent1"/>
          </a:solidFill>
          <a:ln>
            <a:noFill/>
          </a:ln>
          <a:effectLst>
            <a:outerShdw blurRad="63500" dist="50800" dir="5400000" sx="102000" sy="102000" algn="ctr" rotWithShape="0">
              <a:prstClr val="black">
                <a:alpha val="40000"/>
              </a:prstClr>
            </a:outerShdw>
          </a:effectLst>
        </c:spPr>
      </c:pivotFmt>
      <c:pivotFmt>
        <c:idx val="91"/>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outerShdw blurRad="63500" dist="50800" dir="5400000" sx="102000" sy="102000" algn="ctr" rotWithShape="0">
              <a:prstClr val="black">
                <a:alpha val="40000"/>
              </a:prstClr>
            </a:outerShdw>
          </a:effectLst>
        </c:spPr>
      </c:pivotFmt>
      <c:pivotFmt>
        <c:idx val="93"/>
        <c:spPr>
          <a:solidFill>
            <a:schemeClr val="accent1"/>
          </a:solidFill>
          <a:ln>
            <a:noFill/>
          </a:ln>
          <a:effectLst>
            <a:outerShdw blurRad="63500" dist="50800" dir="5400000" sx="102000" sy="102000" algn="ctr" rotWithShape="0">
              <a:prstClr val="black">
                <a:alpha val="40000"/>
              </a:prstClr>
            </a:outerShdw>
          </a:effectLst>
        </c:spPr>
      </c:pivotFmt>
      <c:pivotFmt>
        <c:idx val="94"/>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outerShdw blurRad="63500" dist="50800" dir="5400000" sx="102000" sy="102000" algn="ctr" rotWithShape="0">
              <a:prstClr val="black">
                <a:alpha val="40000"/>
              </a:prstClr>
            </a:outerShdw>
          </a:effectLst>
        </c:spPr>
      </c:pivotFmt>
      <c:pivotFmt>
        <c:idx val="96"/>
        <c:spPr>
          <a:solidFill>
            <a:schemeClr val="accent1"/>
          </a:solidFill>
          <a:ln>
            <a:noFill/>
          </a:ln>
          <a:effectLst>
            <a:outerShdw blurRad="63500" dist="50800" dir="5400000" sx="102000" sy="102000" algn="ctr" rotWithShape="0">
              <a:prstClr val="black">
                <a:alpha val="40000"/>
              </a:prstClr>
            </a:outerShdw>
          </a:effectLst>
        </c:spPr>
      </c:pivotFmt>
      <c:pivotFmt>
        <c:idx val="97"/>
        <c:spPr>
          <a:solidFill>
            <a:schemeClr val="accent1"/>
          </a:solidFill>
          <a:ln>
            <a:noFill/>
          </a:ln>
          <a:effectLst>
            <a:outerShdw blurRad="63500" dist="50800" dir="5400000" sx="102000" sy="102000" algn="ctr" rotWithShape="0">
              <a:prstClr val="black">
                <a:alpha val="40000"/>
              </a:prstClr>
            </a:outerShdw>
          </a:effectLst>
        </c:spPr>
      </c:pivotFmt>
      <c:pivotFmt>
        <c:idx val="98"/>
        <c:spPr>
          <a:solidFill>
            <a:schemeClr val="accent1"/>
          </a:solidFill>
          <a:ln>
            <a:no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a:outerShdw blurRad="63500" dist="50800" dir="5400000" sx="102000" sy="102000" algn="ctr" rotWithShape="0">
              <a:prstClr val="black">
                <a:alpha val="40000"/>
              </a:prstClr>
            </a:outerShdw>
          </a:effectLst>
        </c:spPr>
      </c:pivotFmt>
      <c:pivotFmt>
        <c:idx val="100"/>
        <c:spPr>
          <a:solidFill>
            <a:schemeClr val="accent1"/>
          </a:solidFill>
          <a:ln>
            <a:noFill/>
          </a:ln>
          <a:effectLst>
            <a:outerShdw blurRad="63500" dist="50800" dir="5400000" sx="102000" sy="102000" algn="ctr" rotWithShape="0">
              <a:prstClr val="black">
                <a:alpha val="40000"/>
              </a:prstClr>
            </a:outerShdw>
          </a:effectLst>
        </c:spPr>
      </c:pivotFmt>
      <c:pivotFmt>
        <c:idx val="101"/>
        <c:spPr>
          <a:solidFill>
            <a:schemeClr val="accent1"/>
          </a:solidFill>
          <a:ln>
            <a:noFill/>
          </a:ln>
          <a:effectLst>
            <a:outerShdw blurRad="63500" dist="50800" dir="5400000" sx="102000" sy="102000" algn="ctr" rotWithShape="0">
              <a:prstClr val="black">
                <a:alpha val="40000"/>
              </a:prstClr>
            </a:outerShdw>
          </a:effectLst>
        </c:spPr>
      </c:pivotFmt>
      <c:pivotFmt>
        <c:idx val="1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a:outerShdw blurRad="254000" sx="102000" sy="102000" algn="ctr" rotWithShape="0">
              <a:prstClr val="black">
                <a:alpha val="20000"/>
              </a:prstClr>
            </a:outerShdw>
          </a:effectLst>
        </c:spPr>
      </c:pivotFmt>
      <c:pivotFmt>
        <c:idx val="104"/>
        <c:spPr>
          <a:solidFill>
            <a:schemeClr val="accent1"/>
          </a:solidFill>
          <a:ln>
            <a:noFill/>
          </a:ln>
          <a:effectLst>
            <a:outerShdw blurRad="254000" sx="102000" sy="102000" algn="ctr" rotWithShape="0">
              <a:prstClr val="black">
                <a:alpha val="20000"/>
              </a:prstClr>
            </a:outerShdw>
          </a:effectLst>
        </c:spPr>
      </c:pivotFmt>
      <c:pivotFmt>
        <c:idx val="105"/>
        <c:spPr>
          <a:solidFill>
            <a:schemeClr val="accent1"/>
          </a:solidFill>
          <a:ln>
            <a:noFill/>
          </a:ln>
          <a:effectLst>
            <a:outerShdw blurRad="254000" sx="102000" sy="102000" algn="ctr" rotWithShape="0">
              <a:prstClr val="black">
                <a:alpha val="20000"/>
              </a:prstClr>
            </a:outerShdw>
          </a:effectLst>
        </c:spPr>
      </c:pivotFmt>
      <c:pivotFmt>
        <c:idx val="10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a:outerShdw blurRad="254000" sx="102000" sy="102000" algn="ctr" rotWithShape="0">
              <a:prstClr val="black">
                <a:alpha val="20000"/>
              </a:prstClr>
            </a:outerShdw>
          </a:effectLst>
        </c:spPr>
      </c:pivotFmt>
      <c:pivotFmt>
        <c:idx val="108"/>
        <c:spPr>
          <a:solidFill>
            <a:schemeClr val="accent1"/>
          </a:solidFill>
          <a:ln>
            <a:noFill/>
          </a:ln>
          <a:effectLst>
            <a:outerShdw blurRad="254000" sx="102000" sy="102000" algn="ctr" rotWithShape="0">
              <a:prstClr val="black">
                <a:alpha val="20000"/>
              </a:prstClr>
            </a:outerShdw>
          </a:effectLst>
        </c:spPr>
      </c:pivotFmt>
      <c:pivotFmt>
        <c:idx val="109"/>
        <c:spPr>
          <a:solidFill>
            <a:schemeClr val="accent1"/>
          </a:solidFill>
          <a:ln>
            <a:noFill/>
          </a:ln>
          <a:effectLst>
            <a:outerShdw blurRad="254000" sx="102000" sy="102000" algn="ctr" rotWithShape="0">
              <a:prstClr val="black">
                <a:alpha val="20000"/>
              </a:prstClr>
            </a:outerShdw>
          </a:effectLst>
        </c:spPr>
      </c:pivotFmt>
      <c:pivotFmt>
        <c:idx val="110"/>
        <c:spPr>
          <a:solidFill>
            <a:schemeClr val="accent1"/>
          </a:solidFill>
          <a:ln>
            <a:noFill/>
          </a:ln>
          <a:effectLst>
            <a:outerShdw blurRad="254000" sx="102000" sy="102000" algn="ctr" rotWithShape="0">
              <a:prstClr val="black">
                <a:alpha val="20000"/>
              </a:prstClr>
            </a:outerShdw>
          </a:effectLst>
        </c:spPr>
      </c:pivotFmt>
      <c:pivotFmt>
        <c:idx val="11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a:outerShdw blurRad="254000" sx="102000" sy="102000" algn="ctr" rotWithShape="0">
              <a:prstClr val="black">
                <a:alpha val="20000"/>
              </a:prstClr>
            </a:outerShdw>
          </a:effectLst>
        </c:spPr>
      </c:pivotFmt>
      <c:pivotFmt>
        <c:idx val="113"/>
        <c:spPr>
          <a:solidFill>
            <a:schemeClr val="accent1"/>
          </a:solidFill>
          <a:ln>
            <a:noFill/>
          </a:ln>
          <a:effectLst>
            <a:outerShdw blurRad="254000" sx="102000" sy="102000" algn="ctr" rotWithShape="0">
              <a:prstClr val="black">
                <a:alpha val="20000"/>
              </a:prstClr>
            </a:outerShdw>
          </a:effectLst>
        </c:spPr>
      </c:pivotFmt>
      <c:pivotFmt>
        <c:idx val="114"/>
        <c:spPr>
          <a:solidFill>
            <a:schemeClr val="accent1"/>
          </a:solidFill>
          <a:ln>
            <a:noFill/>
          </a:ln>
          <a:effectLst>
            <a:outerShdw blurRad="254000" sx="102000" sy="102000" algn="ctr" rotWithShape="0">
              <a:prstClr val="black">
                <a:alpha val="20000"/>
              </a:prstClr>
            </a:outerShdw>
          </a:effectLst>
        </c:spPr>
      </c:pivotFmt>
      <c:pivotFmt>
        <c:idx val="115"/>
        <c:spPr>
          <a:solidFill>
            <a:schemeClr val="accent1"/>
          </a:solidFill>
          <a:ln>
            <a:noFill/>
          </a:ln>
          <a:effectLst>
            <a:outerShdw blurRad="254000" sx="102000" sy="102000" algn="ctr" rotWithShape="0">
              <a:prstClr val="black">
                <a:alpha val="20000"/>
              </a:prstClr>
            </a:outerShdw>
          </a:effectLst>
        </c:spPr>
      </c:pivotFmt>
      <c:pivotFmt>
        <c:idx val="116"/>
        <c:spPr>
          <a:solidFill>
            <a:schemeClr val="accent1"/>
          </a:solidFill>
          <a:ln>
            <a:noFill/>
          </a:ln>
          <a:effectLst>
            <a:outerShdw blurRad="254000" sx="102000" sy="102000" algn="ctr" rotWithShape="0">
              <a:prstClr val="black">
                <a:alpha val="20000"/>
              </a:prstClr>
            </a:outerShdw>
          </a:effectLst>
        </c:spPr>
      </c:pivotFmt>
      <c:pivotFmt>
        <c:idx val="117"/>
        <c:spPr>
          <a:solidFill>
            <a:schemeClr val="accent1"/>
          </a:solidFill>
          <a:ln>
            <a:noFill/>
          </a:ln>
          <a:effectLst>
            <a:outerShdw blurRad="254000" sx="102000" sy="102000" algn="ctr" rotWithShape="0">
              <a:prstClr val="black">
                <a:alpha val="20000"/>
              </a:prstClr>
            </a:outerShdw>
          </a:effectLst>
        </c:spPr>
      </c:pivotFmt>
      <c:pivotFmt>
        <c:idx val="118"/>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a:outerShdw blurRad="254000" sx="102000" sy="102000" algn="ctr" rotWithShape="0">
              <a:prstClr val="black">
                <a:alpha val="20000"/>
              </a:prstClr>
            </a:outerShdw>
          </a:effectLst>
        </c:spPr>
      </c:pivotFmt>
      <c:pivotFmt>
        <c:idx val="120"/>
        <c:spPr>
          <a:solidFill>
            <a:schemeClr val="accent1"/>
          </a:solidFill>
          <a:ln>
            <a:noFill/>
          </a:ln>
          <a:effectLst>
            <a:outerShdw blurRad="254000" sx="102000" sy="102000" algn="ctr" rotWithShape="0">
              <a:prstClr val="black">
                <a:alpha val="20000"/>
              </a:prstClr>
            </a:outerShdw>
          </a:effectLst>
        </c:spPr>
      </c:pivotFmt>
      <c:pivotFmt>
        <c:idx val="121"/>
        <c:spPr>
          <a:solidFill>
            <a:schemeClr val="accent1"/>
          </a:solidFill>
          <a:ln>
            <a:noFill/>
          </a:ln>
          <a:effectLst>
            <a:outerShdw blurRad="254000" sx="102000" sy="102000" algn="ctr" rotWithShape="0">
              <a:prstClr val="black">
                <a:alpha val="20000"/>
              </a:prstClr>
            </a:outerShdw>
          </a:effectLst>
        </c:spPr>
      </c:pivotFmt>
      <c:pivotFmt>
        <c:idx val="12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3"/>
        <c:spPr>
          <a:solidFill>
            <a:schemeClr val="accent1"/>
          </a:solidFill>
          <a:ln>
            <a:noFill/>
          </a:ln>
          <a:effectLst>
            <a:outerShdw blurRad="254000" sx="102000" sy="102000" algn="ctr" rotWithShape="0">
              <a:prstClr val="black">
                <a:alpha val="20000"/>
              </a:prstClr>
            </a:outerShdw>
          </a:effectLst>
        </c:spPr>
      </c:pivotFmt>
      <c:pivotFmt>
        <c:idx val="124"/>
        <c:spPr>
          <a:solidFill>
            <a:schemeClr val="accent1"/>
          </a:solidFill>
          <a:ln>
            <a:noFill/>
          </a:ln>
          <a:effectLst>
            <a:outerShdw blurRad="254000" sx="102000" sy="102000" algn="ctr" rotWithShape="0">
              <a:prstClr val="black">
                <a:alpha val="20000"/>
              </a:prstClr>
            </a:outerShdw>
          </a:effectLst>
        </c:spPr>
      </c:pivotFmt>
      <c:pivotFmt>
        <c:idx val="12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6"/>
        <c:spPr>
          <a:solidFill>
            <a:schemeClr val="accent1"/>
          </a:solidFill>
          <a:ln>
            <a:noFill/>
          </a:ln>
          <a:effectLst>
            <a:outerShdw blurRad="254000" sx="102000" sy="102000" algn="ctr" rotWithShape="0">
              <a:prstClr val="black">
                <a:alpha val="20000"/>
              </a:prstClr>
            </a:outerShdw>
          </a:effectLst>
        </c:spPr>
      </c:pivotFmt>
      <c:pivotFmt>
        <c:idx val="127"/>
        <c:spPr>
          <a:solidFill>
            <a:schemeClr val="accent1"/>
          </a:solidFill>
          <a:ln>
            <a:noFill/>
          </a:ln>
          <a:effectLst>
            <a:outerShdw blurRad="254000" sx="102000" sy="102000" algn="ctr" rotWithShape="0">
              <a:prstClr val="black">
                <a:alpha val="20000"/>
              </a:prstClr>
            </a:outerShdw>
          </a:effectLst>
        </c:spPr>
      </c:pivotFmt>
      <c:pivotFmt>
        <c:idx val="12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9"/>
        <c:spPr>
          <a:solidFill>
            <a:schemeClr val="accent1"/>
          </a:solidFill>
          <a:ln>
            <a:noFill/>
          </a:ln>
          <a:effectLst>
            <a:outerShdw blurRad="254000" sx="102000" sy="102000" algn="ctr" rotWithShape="0">
              <a:prstClr val="black">
                <a:alpha val="20000"/>
              </a:prstClr>
            </a:outerShdw>
          </a:effectLst>
        </c:spPr>
      </c:pivotFmt>
      <c:pivotFmt>
        <c:idx val="130"/>
        <c:spPr>
          <a:solidFill>
            <a:schemeClr val="accent1"/>
          </a:solidFill>
          <a:ln>
            <a:noFill/>
          </a:ln>
          <a:effectLst>
            <a:outerShdw blurRad="254000" sx="102000" sy="102000" algn="ctr" rotWithShape="0">
              <a:prstClr val="black">
                <a:alpha val="20000"/>
              </a:prstClr>
            </a:outerShdw>
          </a:effectLst>
        </c:spPr>
      </c:pivotFmt>
      <c:pivotFmt>
        <c:idx val="13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2"/>
        <c:spPr>
          <a:solidFill>
            <a:schemeClr val="accent1"/>
          </a:solidFill>
          <a:ln>
            <a:noFill/>
          </a:ln>
          <a:effectLst>
            <a:outerShdw blurRad="254000" sx="102000" sy="102000" algn="ctr" rotWithShape="0">
              <a:prstClr val="black">
                <a:alpha val="20000"/>
              </a:prstClr>
            </a:outerShdw>
          </a:effectLst>
        </c:spPr>
      </c:pivotFmt>
      <c:pivotFmt>
        <c:idx val="133"/>
        <c:spPr>
          <a:solidFill>
            <a:schemeClr val="accent1"/>
          </a:solidFill>
          <a:ln>
            <a:noFill/>
          </a:ln>
          <a:effectLst>
            <a:outerShdw blurRad="254000" sx="102000" sy="102000" algn="ctr" rotWithShape="0">
              <a:prstClr val="black">
                <a:alpha val="20000"/>
              </a:prstClr>
            </a:outerShdw>
          </a:effectLst>
        </c:spPr>
      </c:pivotFmt>
      <c:pivotFmt>
        <c:idx val="13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5"/>
        <c:spPr>
          <a:solidFill>
            <a:schemeClr val="accent1"/>
          </a:solidFill>
          <a:ln>
            <a:noFill/>
          </a:ln>
          <a:effectLst>
            <a:outerShdw blurRad="254000" sx="102000" sy="102000" algn="ctr" rotWithShape="0">
              <a:prstClr val="black">
                <a:alpha val="20000"/>
              </a:prstClr>
            </a:outerShdw>
          </a:effectLst>
        </c:spPr>
      </c:pivotFmt>
      <c:pivotFmt>
        <c:idx val="136"/>
        <c:spPr>
          <a:solidFill>
            <a:schemeClr val="accent1"/>
          </a:solidFill>
          <a:ln>
            <a:noFill/>
          </a:ln>
          <a:effectLst>
            <a:outerShdw blurRad="254000" sx="102000" sy="102000" algn="ctr" rotWithShape="0">
              <a:prstClr val="black">
                <a:alpha val="20000"/>
              </a:prstClr>
            </a:outerShdw>
          </a:effectLst>
        </c:spPr>
      </c:pivotFmt>
      <c:pivotFmt>
        <c:idx val="13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8"/>
        <c:spPr>
          <a:solidFill>
            <a:schemeClr val="accent1"/>
          </a:solidFill>
          <a:ln>
            <a:noFill/>
          </a:ln>
          <a:effectLst>
            <a:outerShdw blurRad="254000" sx="102000" sy="102000" algn="ctr" rotWithShape="0">
              <a:prstClr val="black">
                <a:alpha val="20000"/>
              </a:prstClr>
            </a:outerShdw>
          </a:effectLst>
        </c:spPr>
      </c:pivotFmt>
      <c:pivotFmt>
        <c:idx val="139"/>
        <c:spPr>
          <a:solidFill>
            <a:schemeClr val="accent1"/>
          </a:solidFill>
          <a:ln>
            <a:noFill/>
          </a:ln>
          <a:effectLst>
            <a:outerShdw blurRad="254000" sx="102000" sy="102000" algn="ctr" rotWithShape="0">
              <a:prstClr val="black">
                <a:alpha val="20000"/>
              </a:prstClr>
            </a:outerShdw>
          </a:effectLst>
        </c:spPr>
      </c:pivotFmt>
      <c:pivotFmt>
        <c:idx val="14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1"/>
        <c:spPr>
          <a:solidFill>
            <a:schemeClr val="accent1"/>
          </a:solidFill>
          <a:ln>
            <a:noFill/>
          </a:ln>
          <a:effectLst>
            <a:outerShdw blurRad="254000" sx="102000" sy="102000" algn="ctr" rotWithShape="0">
              <a:prstClr val="black">
                <a:alpha val="20000"/>
              </a:prstClr>
            </a:outerShdw>
          </a:effectLst>
        </c:spPr>
      </c:pivotFmt>
      <c:pivotFmt>
        <c:idx val="142"/>
        <c:spPr>
          <a:solidFill>
            <a:schemeClr val="accent1"/>
          </a:solidFill>
          <a:ln>
            <a:noFill/>
          </a:ln>
          <a:effectLst>
            <a:outerShdw blurRad="254000" sx="102000" sy="102000" algn="ctr" rotWithShape="0">
              <a:prstClr val="black">
                <a:alpha val="20000"/>
              </a:prstClr>
            </a:outerShdw>
          </a:effectLst>
        </c:spPr>
      </c:pivotFmt>
      <c:pivotFmt>
        <c:idx val="14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4"/>
        <c:spPr>
          <a:solidFill>
            <a:schemeClr val="accent1"/>
          </a:solidFill>
          <a:ln>
            <a:noFill/>
          </a:ln>
          <a:effectLst>
            <a:outerShdw blurRad="254000" sx="102000" sy="102000" algn="ctr" rotWithShape="0">
              <a:prstClr val="black">
                <a:alpha val="20000"/>
              </a:prstClr>
            </a:outerShdw>
          </a:effectLst>
        </c:spPr>
      </c:pivotFmt>
      <c:pivotFmt>
        <c:idx val="145"/>
        <c:spPr>
          <a:solidFill>
            <a:schemeClr val="accent1"/>
          </a:solidFill>
          <a:ln>
            <a:noFill/>
          </a:ln>
          <a:effectLst>
            <a:outerShdw blurRad="254000" sx="102000" sy="102000" algn="ctr" rotWithShape="0">
              <a:prstClr val="black">
                <a:alpha val="20000"/>
              </a:prstClr>
            </a:outerShdw>
          </a:effectLst>
        </c:spPr>
      </c:pivotFmt>
      <c:pivotFmt>
        <c:idx val="14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47"/>
        <c:spPr>
          <a:solidFill>
            <a:schemeClr val="accent1"/>
          </a:solidFill>
          <a:ln>
            <a:noFill/>
          </a:ln>
          <a:effectLst>
            <a:outerShdw blurRad="254000" sx="102000" sy="102000" algn="ctr" rotWithShape="0">
              <a:prstClr val="black">
                <a:alpha val="20000"/>
              </a:prstClr>
            </a:outerShdw>
          </a:effectLst>
        </c:spPr>
      </c:pivotFmt>
      <c:pivotFmt>
        <c:idx val="148"/>
        <c:spPr>
          <a:solidFill>
            <a:schemeClr val="accent1"/>
          </a:solidFill>
          <a:ln>
            <a:noFill/>
          </a:ln>
          <a:effectLst>
            <a:outerShdw blurRad="254000" sx="102000" sy="102000" algn="ctr" rotWithShape="0">
              <a:prstClr val="black">
                <a:alpha val="20000"/>
              </a:prstClr>
            </a:outerShdw>
          </a:effectLst>
        </c:spPr>
      </c:pivotFmt>
      <c:pivotFmt>
        <c:idx val="14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0"/>
        <c:spPr>
          <a:solidFill>
            <a:schemeClr val="accent1"/>
          </a:solidFill>
          <a:ln>
            <a:noFill/>
          </a:ln>
          <a:effectLst>
            <a:outerShdw blurRad="254000" sx="102000" sy="102000" algn="ctr" rotWithShape="0">
              <a:prstClr val="black">
                <a:alpha val="20000"/>
              </a:prstClr>
            </a:outerShdw>
          </a:effectLst>
        </c:spPr>
      </c:pivotFmt>
      <c:pivotFmt>
        <c:idx val="151"/>
        <c:spPr>
          <a:solidFill>
            <a:schemeClr val="accent1"/>
          </a:solidFill>
          <a:ln>
            <a:noFill/>
          </a:ln>
          <a:effectLst>
            <a:outerShdw blurRad="254000" sx="102000" sy="102000" algn="ctr" rotWithShape="0">
              <a:prstClr val="black">
                <a:alpha val="20000"/>
              </a:prstClr>
            </a:outerShdw>
          </a:effectLst>
        </c:spPr>
      </c:pivotFmt>
      <c:pivotFmt>
        <c:idx val="15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3"/>
        <c:spPr>
          <a:solidFill>
            <a:schemeClr val="accent1"/>
          </a:solidFill>
          <a:ln>
            <a:noFill/>
          </a:ln>
          <a:effectLst>
            <a:outerShdw blurRad="254000" sx="102000" sy="102000" algn="ctr" rotWithShape="0">
              <a:prstClr val="black">
                <a:alpha val="20000"/>
              </a:prstClr>
            </a:outerShdw>
          </a:effectLst>
        </c:spPr>
      </c:pivotFmt>
      <c:pivotFmt>
        <c:idx val="154"/>
        <c:spPr>
          <a:solidFill>
            <a:schemeClr val="accent1"/>
          </a:solidFill>
          <a:ln>
            <a:noFill/>
          </a:ln>
          <a:effectLst>
            <a:outerShdw blurRad="254000" sx="102000" sy="102000" algn="ctr" rotWithShape="0">
              <a:prstClr val="black">
                <a:alpha val="20000"/>
              </a:prstClr>
            </a:outerShdw>
          </a:effectLst>
        </c:spPr>
      </c:pivotFmt>
      <c:pivotFmt>
        <c:idx val="15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6"/>
        <c:spPr>
          <a:solidFill>
            <a:schemeClr val="accent1"/>
          </a:solidFill>
          <a:ln>
            <a:noFill/>
          </a:ln>
          <a:effectLst>
            <a:outerShdw blurRad="254000" sx="102000" sy="102000" algn="ctr" rotWithShape="0">
              <a:prstClr val="black">
                <a:alpha val="20000"/>
              </a:prstClr>
            </a:outerShdw>
          </a:effectLst>
        </c:spPr>
      </c:pivotFmt>
      <c:pivotFmt>
        <c:idx val="157"/>
        <c:spPr>
          <a:solidFill>
            <a:schemeClr val="accent1"/>
          </a:solidFill>
          <a:ln>
            <a:noFill/>
          </a:ln>
          <a:effectLst>
            <a:outerShdw blurRad="254000" sx="102000" sy="102000" algn="ctr" rotWithShape="0">
              <a:prstClr val="black">
                <a:alpha val="20000"/>
              </a:prstClr>
            </a:outerShdw>
          </a:effectLst>
        </c:spPr>
      </c:pivotFmt>
      <c:pivotFmt>
        <c:idx val="15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9"/>
        <c:spPr>
          <a:solidFill>
            <a:schemeClr val="accent1"/>
          </a:solidFill>
          <a:ln>
            <a:noFill/>
          </a:ln>
          <a:effectLst>
            <a:outerShdw blurRad="254000" sx="102000" sy="102000" algn="ctr" rotWithShape="0">
              <a:prstClr val="black">
                <a:alpha val="20000"/>
              </a:prstClr>
            </a:outerShdw>
          </a:effectLst>
        </c:spPr>
      </c:pivotFmt>
      <c:pivotFmt>
        <c:idx val="160"/>
        <c:spPr>
          <a:solidFill>
            <a:schemeClr val="accent1"/>
          </a:solidFill>
          <a:ln>
            <a:noFill/>
          </a:ln>
          <a:effectLst>
            <a:outerShdw blurRad="254000" sx="102000" sy="102000" algn="ctr" rotWithShape="0">
              <a:prstClr val="black">
                <a:alpha val="20000"/>
              </a:prstClr>
            </a:outerShdw>
          </a:effectLst>
        </c:spPr>
      </c:pivotFmt>
      <c:pivotFmt>
        <c:idx val="16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2"/>
        <c:spPr>
          <a:solidFill>
            <a:schemeClr val="accent1"/>
          </a:solidFill>
          <a:ln>
            <a:noFill/>
          </a:ln>
          <a:effectLst>
            <a:outerShdw blurRad="254000" sx="102000" sy="102000" algn="ctr" rotWithShape="0">
              <a:prstClr val="black">
                <a:alpha val="20000"/>
              </a:prstClr>
            </a:outerShdw>
          </a:effectLst>
        </c:spPr>
      </c:pivotFmt>
      <c:pivotFmt>
        <c:idx val="163"/>
        <c:spPr>
          <a:solidFill>
            <a:schemeClr val="accent1"/>
          </a:solidFill>
          <a:ln>
            <a:noFill/>
          </a:ln>
          <a:effectLst>
            <a:outerShdw blurRad="254000" sx="102000" sy="102000" algn="ctr" rotWithShape="0">
              <a:prstClr val="black">
                <a:alpha val="20000"/>
              </a:prstClr>
            </a:outerShdw>
          </a:effectLst>
        </c:spPr>
      </c:pivotFmt>
      <c:pivotFmt>
        <c:idx val="16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5"/>
        <c:spPr>
          <a:solidFill>
            <a:schemeClr val="accent1"/>
          </a:solidFill>
          <a:ln>
            <a:noFill/>
          </a:ln>
          <a:effectLst>
            <a:outerShdw blurRad="254000" sx="102000" sy="102000" algn="ctr" rotWithShape="0">
              <a:prstClr val="black">
                <a:alpha val="20000"/>
              </a:prstClr>
            </a:outerShdw>
          </a:effectLst>
        </c:spPr>
      </c:pivotFmt>
      <c:pivotFmt>
        <c:idx val="166"/>
        <c:spPr>
          <a:solidFill>
            <a:schemeClr val="accent1"/>
          </a:solidFill>
          <a:ln>
            <a:noFill/>
          </a:ln>
          <a:effectLst>
            <a:outerShdw blurRad="254000" sx="102000" sy="102000" algn="ctr" rotWithShape="0">
              <a:prstClr val="black">
                <a:alpha val="20000"/>
              </a:prstClr>
            </a:outerShdw>
          </a:effectLst>
        </c:spPr>
      </c:pivotFmt>
      <c:pivotFmt>
        <c:idx val="16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8"/>
        <c:spPr>
          <a:solidFill>
            <a:schemeClr val="accent1"/>
          </a:solidFill>
          <a:ln>
            <a:noFill/>
          </a:ln>
          <a:effectLst>
            <a:outerShdw blurRad="254000" sx="102000" sy="102000" algn="ctr" rotWithShape="0">
              <a:prstClr val="black">
                <a:alpha val="20000"/>
              </a:prstClr>
            </a:outerShdw>
          </a:effectLst>
        </c:spPr>
      </c:pivotFmt>
      <c:pivotFmt>
        <c:idx val="169"/>
        <c:spPr>
          <a:solidFill>
            <a:schemeClr val="accent1"/>
          </a:solidFill>
          <a:ln>
            <a:noFill/>
          </a:ln>
          <a:effectLst>
            <a:outerShdw blurRad="254000" sx="102000" sy="102000" algn="ctr" rotWithShape="0">
              <a:prstClr val="black">
                <a:alpha val="20000"/>
              </a:prstClr>
            </a:outerShdw>
          </a:effectLst>
        </c:spPr>
      </c:pivotFmt>
      <c:pivotFmt>
        <c:idx val="17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1"/>
        <c:spPr>
          <a:solidFill>
            <a:schemeClr val="accent1"/>
          </a:solidFill>
          <a:ln>
            <a:noFill/>
          </a:ln>
          <a:effectLst>
            <a:outerShdw blurRad="254000" sx="102000" sy="102000" algn="ctr" rotWithShape="0">
              <a:prstClr val="black">
                <a:alpha val="20000"/>
              </a:prstClr>
            </a:outerShdw>
          </a:effectLst>
        </c:spPr>
      </c:pivotFmt>
      <c:pivotFmt>
        <c:idx val="172"/>
        <c:spPr>
          <a:solidFill>
            <a:schemeClr val="accent1"/>
          </a:solidFill>
          <a:ln>
            <a:noFill/>
          </a:ln>
          <a:effectLst>
            <a:outerShdw blurRad="254000" sx="102000" sy="102000" algn="ctr" rotWithShape="0">
              <a:prstClr val="black">
                <a:alpha val="20000"/>
              </a:prstClr>
            </a:outerShdw>
          </a:effectLst>
        </c:spPr>
      </c:pivotFmt>
      <c:pivotFmt>
        <c:idx val="17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4"/>
        <c:spPr>
          <a:solidFill>
            <a:schemeClr val="accent1"/>
          </a:solidFill>
          <a:ln>
            <a:noFill/>
          </a:ln>
          <a:effectLst>
            <a:outerShdw blurRad="254000" sx="102000" sy="102000" algn="ctr" rotWithShape="0">
              <a:prstClr val="black">
                <a:alpha val="20000"/>
              </a:prstClr>
            </a:outerShdw>
          </a:effectLst>
        </c:spPr>
      </c:pivotFmt>
      <c:pivotFmt>
        <c:idx val="175"/>
        <c:spPr>
          <a:solidFill>
            <a:schemeClr val="accent1"/>
          </a:solidFill>
          <a:ln>
            <a:noFill/>
          </a:ln>
          <a:effectLst>
            <a:outerShdw blurRad="254000" sx="102000" sy="102000" algn="ctr" rotWithShape="0">
              <a:prstClr val="black">
                <a:alpha val="20000"/>
              </a:prstClr>
            </a:outerShdw>
          </a:effectLst>
        </c:spPr>
      </c:pivotFmt>
      <c:pivotFmt>
        <c:idx val="17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7"/>
        <c:spPr>
          <a:solidFill>
            <a:schemeClr val="accent1"/>
          </a:solidFill>
          <a:ln>
            <a:noFill/>
          </a:ln>
          <a:effectLst>
            <a:outerShdw blurRad="254000" sx="102000" sy="102000" algn="ctr" rotWithShape="0">
              <a:prstClr val="black">
                <a:alpha val="20000"/>
              </a:prstClr>
            </a:outerShdw>
          </a:effectLst>
        </c:spPr>
      </c:pivotFmt>
      <c:pivotFmt>
        <c:idx val="178"/>
        <c:spPr>
          <a:solidFill>
            <a:schemeClr val="accent1"/>
          </a:solidFill>
          <a:ln>
            <a:noFill/>
          </a:ln>
          <a:effectLst>
            <a:outerShdw blurRad="254000" sx="102000" sy="102000" algn="ctr" rotWithShape="0">
              <a:prstClr val="black">
                <a:alpha val="20000"/>
              </a:prstClr>
            </a:outerShdw>
          </a:effectLst>
        </c:spPr>
      </c:pivotFmt>
      <c:pivotFmt>
        <c:idx val="179"/>
        <c:spPr>
          <a:solidFill>
            <a:schemeClr val="accent1"/>
          </a:solidFill>
          <a:ln>
            <a:noFill/>
          </a:ln>
          <a:effectLst>
            <a:outerShdw blurRad="254000" sx="102000" sy="102000" algn="ctr" rotWithShape="0">
              <a:prstClr val="black">
                <a:alpha val="20000"/>
              </a:prstClr>
            </a:outerShdw>
          </a:effectLst>
        </c:spPr>
      </c:pivotFmt>
      <c:pivotFmt>
        <c:idx val="180"/>
        <c:spPr>
          <a:solidFill>
            <a:schemeClr val="accent1"/>
          </a:solidFill>
          <a:ln>
            <a:noFill/>
          </a:ln>
          <a:effectLst>
            <a:outerShdw blurRad="254000" sx="102000" sy="102000" algn="ctr" rotWithShape="0">
              <a:prstClr val="black">
                <a:alpha val="20000"/>
              </a:prstClr>
            </a:outerShdw>
          </a:effectLst>
        </c:spPr>
      </c:pivotFmt>
      <c:pivotFmt>
        <c:idx val="18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2"/>
        <c:spPr>
          <a:solidFill>
            <a:srgbClr val="FF5959"/>
          </a:solidFill>
          <a:ln>
            <a:noFill/>
          </a:ln>
          <a:effectLst>
            <a:outerShdw blurRad="254000" sx="102000" sy="102000" algn="ctr" rotWithShape="0">
              <a:prstClr val="black">
                <a:alpha val="20000"/>
              </a:prstClr>
            </a:outerShdw>
          </a:effectLst>
        </c:spPr>
      </c:pivotFmt>
      <c:pivotFmt>
        <c:idx val="183"/>
        <c:spPr>
          <a:solidFill>
            <a:srgbClr val="C0E2C2"/>
          </a:solidFill>
          <a:ln>
            <a:noFill/>
          </a:ln>
          <a:effectLst>
            <a:outerShdw blurRad="254000" sx="102000" sy="102000" algn="ctr" rotWithShape="0">
              <a:prstClr val="black">
                <a:alpha val="20000"/>
              </a:prstClr>
            </a:outerShdw>
          </a:effectLst>
        </c:spPr>
      </c:pivotFmt>
      <c:pivotFmt>
        <c:idx val="184"/>
        <c:spPr>
          <a:solidFill>
            <a:srgbClr val="FFE084"/>
          </a:solidFill>
          <a:ln>
            <a:noFill/>
          </a:ln>
          <a:effectLst>
            <a:outerShdw blurRad="254000" sx="102000" sy="102000" algn="ctr" rotWithShape="0">
              <a:prstClr val="black">
                <a:alpha val="20000"/>
              </a:prstClr>
            </a:outerShdw>
          </a:effectLst>
        </c:spPr>
      </c:pivotFmt>
      <c:pivotFmt>
        <c:idx val="185"/>
        <c:spPr>
          <a:solidFill>
            <a:srgbClr val="63E2E9"/>
          </a:solidFill>
          <a:ln>
            <a:noFill/>
          </a:ln>
          <a:effectLst>
            <a:outerShdw blurRad="254000" sx="102000" sy="102000" algn="ctr" rotWithShape="0">
              <a:prstClr val="black">
                <a:alpha val="20000"/>
              </a:prstClr>
            </a:outerShdw>
          </a:effectLst>
        </c:spPr>
      </c:pivotFmt>
      <c:pivotFmt>
        <c:idx val="18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87"/>
        <c:spPr>
          <a:solidFill>
            <a:srgbClr val="FF5959"/>
          </a:solidFill>
          <a:ln>
            <a:noFill/>
          </a:ln>
          <a:effectLst>
            <a:outerShdw blurRad="254000" sx="102000" sy="102000" algn="ctr" rotWithShape="0">
              <a:prstClr val="black">
                <a:alpha val="20000"/>
              </a:prstClr>
            </a:outerShdw>
          </a:effectLst>
        </c:spPr>
      </c:pivotFmt>
      <c:pivotFmt>
        <c:idx val="188"/>
        <c:spPr>
          <a:solidFill>
            <a:srgbClr val="C0E2C2"/>
          </a:solidFill>
          <a:ln>
            <a:noFill/>
          </a:ln>
          <a:effectLst>
            <a:outerShdw blurRad="254000" sx="102000" sy="102000" algn="ctr" rotWithShape="0">
              <a:prstClr val="black">
                <a:alpha val="20000"/>
              </a:prstClr>
            </a:outerShdw>
          </a:effectLst>
        </c:spPr>
      </c:pivotFmt>
      <c:pivotFmt>
        <c:idx val="189"/>
        <c:spPr>
          <a:solidFill>
            <a:srgbClr val="FFE084"/>
          </a:solidFill>
          <a:ln>
            <a:noFill/>
          </a:ln>
          <a:effectLst>
            <a:outerShdw blurRad="254000" sx="102000" sy="102000" algn="ctr" rotWithShape="0">
              <a:prstClr val="black">
                <a:alpha val="20000"/>
              </a:prstClr>
            </a:outerShdw>
          </a:effectLst>
        </c:spPr>
      </c:pivotFmt>
      <c:pivotFmt>
        <c:idx val="190"/>
        <c:spPr>
          <a:solidFill>
            <a:srgbClr val="63E2E9"/>
          </a:solidFill>
          <a:ln>
            <a:noFill/>
          </a:ln>
          <a:effectLst>
            <a:outerShdw blurRad="254000" sx="102000" sy="102000" algn="ctr" rotWithShape="0">
              <a:prstClr val="black">
                <a:alpha val="20000"/>
              </a:prstClr>
            </a:outerShdw>
          </a:effectLst>
        </c:spPr>
      </c:pivotFmt>
      <c:pivotFmt>
        <c:idx val="191"/>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2"/>
        <c:spPr>
          <a:solidFill>
            <a:srgbClr val="FF5959"/>
          </a:solidFill>
          <a:ln>
            <a:noFill/>
          </a:ln>
          <a:effectLst>
            <a:outerShdw blurRad="254000" sx="102000" sy="102000" algn="ctr" rotWithShape="0">
              <a:prstClr val="black">
                <a:alpha val="20000"/>
              </a:prstClr>
            </a:outerShdw>
          </a:effectLst>
        </c:spPr>
      </c:pivotFmt>
      <c:pivotFmt>
        <c:idx val="193"/>
        <c:spPr>
          <a:solidFill>
            <a:srgbClr val="C0E2C2"/>
          </a:solidFill>
          <a:ln>
            <a:noFill/>
          </a:ln>
          <a:effectLst>
            <a:outerShdw blurRad="254000" sx="102000" sy="102000" algn="ctr" rotWithShape="0">
              <a:prstClr val="black">
                <a:alpha val="20000"/>
              </a:prstClr>
            </a:outerShdw>
          </a:effectLst>
        </c:spPr>
      </c:pivotFmt>
      <c:pivotFmt>
        <c:idx val="194"/>
        <c:spPr>
          <a:solidFill>
            <a:srgbClr val="FFE084"/>
          </a:solidFill>
          <a:ln>
            <a:noFill/>
          </a:ln>
          <a:effectLst>
            <a:outerShdw blurRad="254000" sx="102000" sy="102000" algn="ctr" rotWithShape="0">
              <a:prstClr val="black">
                <a:alpha val="20000"/>
              </a:prstClr>
            </a:outerShdw>
          </a:effectLst>
        </c:spPr>
      </c:pivotFmt>
      <c:pivotFmt>
        <c:idx val="195"/>
        <c:spPr>
          <a:solidFill>
            <a:srgbClr val="63E2E9"/>
          </a:solidFill>
          <a:ln>
            <a:noFill/>
          </a:ln>
          <a:effectLst>
            <a:outerShdw blurRad="254000" sx="102000" sy="102000" algn="ctr" rotWithShape="0">
              <a:prstClr val="black">
                <a:alpha val="20000"/>
              </a:prstClr>
            </a:outerShdw>
          </a:effectLst>
        </c:spPr>
      </c:pivotFmt>
      <c:pivotFmt>
        <c:idx val="196"/>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7"/>
        <c:spPr>
          <a:solidFill>
            <a:srgbClr val="FF5959"/>
          </a:solidFill>
          <a:ln>
            <a:noFill/>
          </a:ln>
          <a:effectLst>
            <a:outerShdw blurRad="254000" sx="102000" sy="102000" algn="ctr" rotWithShape="0">
              <a:prstClr val="black">
                <a:alpha val="20000"/>
              </a:prstClr>
            </a:outerShdw>
          </a:effectLst>
        </c:spPr>
      </c:pivotFmt>
      <c:pivotFmt>
        <c:idx val="198"/>
        <c:spPr>
          <a:solidFill>
            <a:srgbClr val="750000"/>
          </a:solidFill>
          <a:ln>
            <a:noFill/>
          </a:ln>
          <a:effectLst>
            <a:outerShdw blurRad="254000" sx="102000" sy="102000" algn="ctr" rotWithShape="0">
              <a:prstClr val="black">
                <a:alpha val="20000"/>
              </a:prstClr>
            </a:outerShdw>
          </a:effectLst>
        </c:spPr>
      </c:pivotFmt>
      <c:pivotFmt>
        <c:idx val="199"/>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0"/>
        <c:spPr>
          <a:solidFill>
            <a:srgbClr val="FF5959"/>
          </a:solidFill>
          <a:ln>
            <a:noFill/>
          </a:ln>
          <a:effectLst>
            <a:outerShdw blurRad="254000" sx="102000" sy="102000" algn="ctr" rotWithShape="0">
              <a:prstClr val="black">
                <a:alpha val="20000"/>
              </a:prstClr>
            </a:outerShdw>
          </a:effectLst>
        </c:spPr>
      </c:pivotFmt>
      <c:pivotFmt>
        <c:idx val="201"/>
        <c:spPr>
          <a:solidFill>
            <a:srgbClr val="750000"/>
          </a:solidFill>
          <a:ln>
            <a:noFill/>
          </a:ln>
          <a:effectLst>
            <a:outerShdw blurRad="254000" sx="102000" sy="102000" algn="ctr" rotWithShape="0">
              <a:prstClr val="black">
                <a:alpha val="20000"/>
              </a:prstClr>
            </a:outerShdw>
          </a:effectLst>
        </c:spPr>
      </c:pivotFmt>
      <c:pivotFmt>
        <c:idx val="202"/>
        <c:spPr>
          <a:solidFill>
            <a:schemeClr val="accent1"/>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3"/>
        <c:spPr>
          <a:solidFill>
            <a:srgbClr val="FF5959"/>
          </a:solidFill>
          <a:ln>
            <a:noFill/>
          </a:ln>
          <a:effectLst>
            <a:outerShdw blurRad="254000" sx="102000" sy="102000" algn="ctr" rotWithShape="0">
              <a:prstClr val="black">
                <a:alpha val="20000"/>
              </a:prstClr>
            </a:outerShdw>
          </a:effectLst>
        </c:spPr>
      </c:pivotFmt>
      <c:pivotFmt>
        <c:idx val="204"/>
        <c:spPr>
          <a:solidFill>
            <a:srgbClr val="750000"/>
          </a:solidFill>
          <a:ln>
            <a:noFill/>
          </a:ln>
          <a:effectLst>
            <a:outerShdw blurRad="254000" sx="102000" sy="102000" algn="ctr" rotWithShape="0">
              <a:prstClr val="black">
                <a:alpha val="20000"/>
              </a:prstClr>
            </a:outerShdw>
          </a:effectLst>
        </c:spPr>
      </c:pivotFmt>
      <c:pivotFmt>
        <c:idx val="205"/>
        <c:spPr>
          <a:solidFill>
            <a:srgbClr val="750000"/>
          </a:solidFill>
          <a:ln>
            <a:noFill/>
          </a:ln>
          <a:effectLst>
            <a:outerShdw blurRad="254000" sx="102000" sy="102000" algn="ctr" rotWithShape="0">
              <a:prstClr val="black">
                <a:alpha val="20000"/>
              </a:prstClr>
            </a:outerShdw>
          </a:effectLst>
        </c:spPr>
        <c:marker>
          <c:symbol val="none"/>
        </c:marker>
        <c:dLbl>
          <c:idx val="0"/>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6"/>
        <c:spPr>
          <a:solidFill>
            <a:srgbClr val="750000"/>
          </a:solidFill>
          <a:ln>
            <a:noFill/>
          </a:ln>
          <a:effectLst>
            <a:outerShdw blurRad="254000" sx="102000" sy="102000" algn="ctr" rotWithShape="0">
              <a:prstClr val="black">
                <a:alpha val="20000"/>
              </a:prstClr>
            </a:outerShdw>
          </a:effectLst>
        </c:spPr>
      </c:pivotFmt>
    </c:pivotFmts>
    <c:plotArea>
      <c:layout/>
      <c:doughnutChart>
        <c:varyColors val="1"/>
        <c:ser>
          <c:idx val="0"/>
          <c:order val="0"/>
          <c:tx>
            <c:v>Total</c:v>
          </c:tx>
          <c:spPr>
            <a:solidFill>
              <a:srgbClr val="750000"/>
            </a:solidFill>
          </c:spPr>
          <c:dPt>
            <c:idx val="0"/>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88F2-4399-9C90-9618DB13D56A}"/>
              </c:ext>
            </c:extLst>
          </c:dPt>
          <c:dPt>
            <c:idx val="1"/>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2-88F2-4399-9C90-9618DB13D56A}"/>
              </c:ext>
            </c:extLst>
          </c:dPt>
          <c:dPt>
            <c:idx val="2"/>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4-88F2-4399-9C90-9618DB13D56A}"/>
              </c:ext>
            </c:extLst>
          </c:dPt>
          <c:dPt>
            <c:idx val="3"/>
            <c:bubble3D val="0"/>
            <c:spPr>
              <a:solidFill>
                <a:srgbClr val="75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6-88F2-4399-9C90-9618DB13D56A}"/>
              </c:ext>
            </c:extLst>
          </c:dPt>
          <c:dLbls>
            <c:spPr>
              <a:solidFill>
                <a:schemeClr val="bg1">
                  <a:lumMod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Lit>
              <c:ptCount val="1"/>
              <c:pt idx="0">
                <c:v>Por iniciar</c:v>
              </c:pt>
            </c:strLit>
          </c:cat>
          <c:val>
            <c:numLit>
              <c:formatCode>General</c:formatCode>
              <c:ptCount val="1"/>
              <c:pt idx="0">
                <c:v>4</c:v>
              </c:pt>
            </c:numLit>
          </c:val>
          <c:extLst>
            <c:ext xmlns:c16="http://schemas.microsoft.com/office/drawing/2014/chart" uri="{C3380CC4-5D6E-409C-BE32-E72D297353CC}">
              <c16:uniqueId val="{00000017-88F2-4399-9C90-9618DB13D56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solidFill>
          <a:schemeClr val="bg1">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pt-PT"/>
        </a:p>
      </c:txPr>
    </c:legend>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6"/>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27"/>
        <c:spPr>
          <a:solidFill>
            <a:schemeClr val="accent6">
              <a:lumMod val="75000"/>
            </a:schemeClr>
          </a:solidFill>
          <a:ln>
            <a:solidFill>
              <a:schemeClr val="bg1"/>
            </a:solidFill>
          </a:ln>
          <a:effectLst>
            <a:outerShdw blurRad="254000" sx="102000" sy="102000" algn="ctr" rotWithShape="0">
              <a:prstClr val="black">
                <a:alpha val="20000"/>
              </a:prstClr>
            </a:outerShdw>
          </a:effectLst>
        </c:spPr>
      </c:pivotFmt>
      <c:pivotFmt>
        <c:idx val="28"/>
        <c:spPr>
          <a:solidFill>
            <a:schemeClr val="accent1">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29"/>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3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3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3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3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4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4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4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4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5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6"/>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5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5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59"/>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1"/>
        <c:spPr>
          <a:solidFill>
            <a:schemeClr val="accent6"/>
          </a:solidFill>
          <a:ln>
            <a:solidFill>
              <a:schemeClr val="bg1"/>
            </a:solidFill>
          </a:ln>
          <a:effectLst>
            <a:outerShdw blurRad="63500" dist="50800" dir="5400000" sx="102000" sy="102000" algn="ctr" rotWithShape="0">
              <a:prstClr val="black">
                <a:alpha val="40000"/>
              </a:prstClr>
            </a:outerShdw>
          </a:effectLst>
        </c:spPr>
      </c:pivotFmt>
      <c:pivotFmt>
        <c:idx val="62"/>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3"/>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4"/>
        <c:spPr>
          <a:solidFill>
            <a:schemeClr val="accent1">
              <a:tint val="54000"/>
            </a:schemeClr>
          </a:solidFill>
          <a:ln>
            <a:solidFill>
              <a:schemeClr val="bg1"/>
            </a:solidFill>
          </a:ln>
          <a:effectLst>
            <a:outerShdw blurRad="63500" dist="50800" dir="5400000" sx="102000" sy="102000" algn="ctr" rotWithShape="0">
              <a:prstClr val="black">
                <a:alpha val="40000"/>
              </a:prstClr>
            </a:outerShdw>
          </a:effectLst>
        </c:spPr>
      </c:pivotFmt>
      <c:pivotFmt>
        <c:idx val="65"/>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6"/>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6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6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69"/>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0"/>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1"/>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2"/>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3"/>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5"/>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76"/>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77"/>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7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9"/>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0"/>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1"/>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2"/>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3"/>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4"/>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5"/>
        <c:spPr>
          <a:solidFill>
            <a:schemeClr val="accent5"/>
          </a:solidFill>
          <a:ln>
            <a:solidFill>
              <a:schemeClr val="bg1"/>
            </a:solidFill>
          </a:ln>
          <a:effectLst>
            <a:outerShdw blurRad="63500" dist="50800" dir="5400000" sx="102000" sy="102000" algn="ctr" rotWithShape="0">
              <a:prstClr val="black">
                <a:alpha val="40000"/>
              </a:prstClr>
            </a:outerShdw>
          </a:effectLst>
        </c:spPr>
      </c:pivotFmt>
      <c:pivotFmt>
        <c:idx val="86"/>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7"/>
        <c:spPr>
          <a:solidFill>
            <a:schemeClr val="accent1">
              <a:lumMod val="20000"/>
              <a:lumOff val="80000"/>
            </a:schemeClr>
          </a:solidFill>
          <a:ln>
            <a:solidFill>
              <a:schemeClr val="bg1"/>
            </a:solidFill>
          </a:ln>
          <a:effectLst>
            <a:outerShdw blurRad="63500" dist="50800" dir="5400000" sx="102000" sy="102000" algn="ctr" rotWithShape="0">
              <a:prstClr val="black">
                <a:alpha val="40000"/>
              </a:prstClr>
            </a:outerShdw>
          </a:effectLst>
        </c:spPr>
      </c:pivotFmt>
      <c:pivotFmt>
        <c:idx val="88"/>
        <c:spPr>
          <a:solidFill>
            <a:schemeClr val="accent6">
              <a:lumMod val="75000"/>
            </a:schemeClr>
          </a:solidFill>
          <a:ln>
            <a:solidFill>
              <a:schemeClr val="bg1"/>
            </a:solidFill>
          </a:ln>
          <a:effectLst>
            <a:outerShdw blurRad="63500" dist="50800" dir="5400000" sx="102000" sy="102000" algn="ctr" rotWithShape="0">
              <a:prstClr val="black">
                <a:alpha val="40000"/>
              </a:prstClr>
            </a:outerShdw>
          </a:effectLst>
        </c:spPr>
      </c:pivotFmt>
      <c:pivotFmt>
        <c:idx val="8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1"/>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3"/>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4"/>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96"/>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7"/>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98"/>
        <c:spPr>
          <a:solidFill>
            <a:schemeClr val="accent1"/>
          </a:solidFill>
          <a:ln>
            <a:solidFill>
              <a:schemeClr val="bg1"/>
            </a:solidFill>
          </a:ln>
          <a:effectLst>
            <a:outerShdw blurRad="63500" dist="50800" dir="5400000" sx="102000" sy="102000" algn="ctr" rotWithShape="0">
              <a:prstClr val="black">
                <a:alpha val="4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lumMod val="40000"/>
              <a:lumOff val="60000"/>
            </a:schemeClr>
          </a:solidFill>
          <a:ln>
            <a:solidFill>
              <a:schemeClr val="bg1"/>
            </a:solidFill>
          </a:ln>
          <a:effectLst>
            <a:outerShdw blurRad="63500" dist="50800" dir="5400000" sx="102000" sy="102000" algn="ctr" rotWithShape="0">
              <a:prstClr val="black">
                <a:alpha val="40000"/>
              </a:prstClr>
            </a:outerShdw>
          </a:effectLst>
        </c:spPr>
      </c:pivotFmt>
      <c:pivotFmt>
        <c:idx val="100"/>
        <c:spPr>
          <a:solidFill>
            <a:schemeClr val="accent4">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1"/>
        <c:spPr>
          <a:solidFill>
            <a:schemeClr val="accent5">
              <a:lumMod val="60000"/>
              <a:lumOff val="40000"/>
            </a:schemeClr>
          </a:solidFill>
          <a:ln>
            <a:solidFill>
              <a:schemeClr val="bg1"/>
            </a:solidFill>
          </a:ln>
          <a:effectLst>
            <a:outerShdw blurRad="63500" dist="50800" dir="5400000" sx="102000" sy="102000" algn="ctr" rotWithShape="0">
              <a:prstClr val="black">
                <a:alpha val="40000"/>
              </a:prstClr>
            </a:outerShdw>
          </a:effectLst>
        </c:spPr>
      </c:pivotFmt>
      <c:pivotFmt>
        <c:idx val="102"/>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4"/>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5"/>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6"/>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08"/>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09"/>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0"/>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1"/>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2"/>
        <c:spPr>
          <a:solidFill>
            <a:schemeClr val="accent1">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3"/>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4"/>
        <c:spPr>
          <a:solidFill>
            <a:schemeClr val="accent5">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5"/>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
        <c:idx val="116"/>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17"/>
        <c:spPr>
          <a:solidFill>
            <a:schemeClr val="accent3">
              <a:lumMod val="20000"/>
              <a:lumOff val="80000"/>
            </a:schemeClr>
          </a:solidFill>
          <a:ln>
            <a:solidFill>
              <a:schemeClr val="bg1"/>
            </a:solidFill>
          </a:ln>
          <a:effectLst>
            <a:outerShdw blurRad="254000" sx="102000" sy="102000" algn="ctr" rotWithShape="0">
              <a:prstClr val="black">
                <a:alpha val="20000"/>
              </a:prstClr>
            </a:outerShdw>
          </a:effectLst>
        </c:spPr>
      </c:pivotFmt>
      <c:pivotFmt>
        <c:idx val="118"/>
        <c:spPr>
          <a:solidFill>
            <a:schemeClr val="accent1"/>
          </a:solidFill>
          <a:ln>
            <a:solidFill>
              <a:schemeClr val="bg1"/>
            </a:solidFill>
          </a:ln>
          <a:effectLst>
            <a:outerShdw blurRad="254000" sx="102000" sy="102000" algn="ctr" rotWithShape="0">
              <a:prstClr val="black">
                <a:alpha val="20000"/>
              </a:prstClr>
            </a:outerShdw>
          </a:effectLst>
        </c:spPr>
        <c:marker>
          <c:symbol val="none"/>
        </c:marker>
        <c:dLbl>
          <c:idx val="0"/>
          <c:spPr>
            <a:solidFill>
              <a:schemeClr val="tx1">
                <a:lumMod val="50000"/>
                <a:lumOff val="50000"/>
              </a:schemeClr>
            </a:solid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lt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19"/>
        <c:spPr>
          <a:solidFill>
            <a:schemeClr val="accent6">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0"/>
        <c:spPr>
          <a:solidFill>
            <a:schemeClr val="accent4">
              <a:lumMod val="60000"/>
              <a:lumOff val="40000"/>
            </a:schemeClr>
          </a:solidFill>
          <a:ln>
            <a:solidFill>
              <a:schemeClr val="bg1"/>
            </a:solidFill>
          </a:ln>
          <a:effectLst>
            <a:outerShdw blurRad="254000" sx="102000" sy="102000" algn="ctr" rotWithShape="0">
              <a:prstClr val="black">
                <a:alpha val="20000"/>
              </a:prstClr>
            </a:outerShdw>
          </a:effectLst>
        </c:spPr>
      </c:pivotFmt>
      <c:pivotFmt>
        <c:idx val="121"/>
        <c:spPr>
          <a:solidFill>
            <a:schemeClr val="accent3">
              <a:lumMod val="40000"/>
              <a:lumOff val="60000"/>
            </a:schemeClr>
          </a:solidFill>
          <a:ln>
            <a:solidFill>
              <a:schemeClr val="bg1"/>
            </a:solidFill>
          </a:ln>
          <a:effectLst>
            <a:outerShdw blurRad="254000" sx="102000" sy="102000" algn="ctr" rotWithShape="0">
              <a:prstClr val="black">
                <a:alpha val="20000"/>
              </a:prstClr>
            </a:outerShdw>
          </a:effectLst>
        </c:spPr>
      </c:pivotFmt>
    </c:pivotFmts>
    <c:plotArea>
      <c:layout/>
      <c:doughnutChart>
        <c:varyColors val="1"/>
        <c:dLbls>
          <c:showLegendKey val="0"/>
          <c:showVal val="1"/>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withinLinear" id="14">
  <a:schemeClr val="accent1"/>
</cs:colorStyle>
</file>

<file path=xl/charts/colors9.xml><?xml version="1.0" encoding="utf-8"?>
<cs:colorStyle xmlns:cs="http://schemas.microsoft.com/office/drawing/2012/chartStyle" xmlns:a="http://schemas.openxmlformats.org/drawingml/2006/main" meth="withinLinear" id="14">
  <a:schemeClr val="accent1"/>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image" Target="../media/image4.sv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8</xdr:col>
      <xdr:colOff>859572</xdr:colOff>
      <xdr:row>59</xdr:row>
      <xdr:rowOff>197469</xdr:rowOff>
    </xdr:from>
    <xdr:to>
      <xdr:col>13</xdr:col>
      <xdr:colOff>355444</xdr:colOff>
      <xdr:row>71</xdr:row>
      <xdr:rowOff>36706</xdr:rowOff>
    </xdr:to>
    <xdr:graphicFrame macro="">
      <xdr:nvGraphicFramePr>
        <xdr:cNvPr id="10" name="Chart 12">
          <a:extLst>
            <a:ext uri="{FF2B5EF4-FFF2-40B4-BE49-F238E27FC236}">
              <a16:creationId xmlns:a16="http://schemas.microsoft.com/office/drawing/2014/main" id="{DCC34DD0-463F-4BCC-A21E-84A66F30D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44547</xdr:colOff>
      <xdr:row>84</xdr:row>
      <xdr:rowOff>209086</xdr:rowOff>
    </xdr:from>
    <xdr:to>
      <xdr:col>7</xdr:col>
      <xdr:colOff>771699</xdr:colOff>
      <xdr:row>96</xdr:row>
      <xdr:rowOff>51393</xdr:rowOff>
    </xdr:to>
    <xdr:graphicFrame macro="">
      <xdr:nvGraphicFramePr>
        <xdr:cNvPr id="15" name="Chart 13">
          <a:extLst>
            <a:ext uri="{FF2B5EF4-FFF2-40B4-BE49-F238E27FC236}">
              <a16:creationId xmlns:a16="http://schemas.microsoft.com/office/drawing/2014/main" id="{702FF44A-5B45-4393-9E89-D452549FA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859572</xdr:colOff>
      <xdr:row>84</xdr:row>
      <xdr:rowOff>209086</xdr:rowOff>
    </xdr:from>
    <xdr:to>
      <xdr:col>13</xdr:col>
      <xdr:colOff>355444</xdr:colOff>
      <xdr:row>96</xdr:row>
      <xdr:rowOff>48322</xdr:rowOff>
    </xdr:to>
    <xdr:graphicFrame macro="">
      <xdr:nvGraphicFramePr>
        <xdr:cNvPr id="17" name="Chart 14">
          <a:extLst>
            <a:ext uri="{FF2B5EF4-FFF2-40B4-BE49-F238E27FC236}">
              <a16:creationId xmlns:a16="http://schemas.microsoft.com/office/drawing/2014/main" id="{D39BC420-4146-40D8-8FD1-5D36078372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44547</xdr:colOff>
      <xdr:row>33</xdr:row>
      <xdr:rowOff>164222</xdr:rowOff>
    </xdr:from>
    <xdr:to>
      <xdr:col>8</xdr:col>
      <xdr:colOff>7323</xdr:colOff>
      <xdr:row>45</xdr:row>
      <xdr:rowOff>38973</xdr:rowOff>
    </xdr:to>
    <xdr:graphicFrame macro="">
      <xdr:nvGraphicFramePr>
        <xdr:cNvPr id="18" name="Chart 17">
          <a:extLst>
            <a:ext uri="{FF2B5EF4-FFF2-40B4-BE49-F238E27FC236}">
              <a16:creationId xmlns:a16="http://schemas.microsoft.com/office/drawing/2014/main" id="{26670971-97AB-4FC3-965A-579EDD3A1C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859572</xdr:colOff>
      <xdr:row>33</xdr:row>
      <xdr:rowOff>175170</xdr:rowOff>
    </xdr:from>
    <xdr:to>
      <xdr:col>13</xdr:col>
      <xdr:colOff>355444</xdr:colOff>
      <xdr:row>45</xdr:row>
      <xdr:rowOff>14407</xdr:rowOff>
    </xdr:to>
    <xdr:graphicFrame macro="">
      <xdr:nvGraphicFramePr>
        <xdr:cNvPr id="5" name="Chart 4">
          <a:extLst>
            <a:ext uri="{FF2B5EF4-FFF2-40B4-BE49-F238E27FC236}">
              <a16:creationId xmlns:a16="http://schemas.microsoft.com/office/drawing/2014/main" id="{BAED8CE3-F6CA-4610-9AF3-80E743FF63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44547</xdr:colOff>
      <xdr:row>60</xdr:row>
      <xdr:rowOff>11616</xdr:rowOff>
    </xdr:from>
    <xdr:to>
      <xdr:col>7</xdr:col>
      <xdr:colOff>771699</xdr:colOff>
      <xdr:row>71</xdr:row>
      <xdr:rowOff>94786</xdr:rowOff>
    </xdr:to>
    <xdr:graphicFrame macro="">
      <xdr:nvGraphicFramePr>
        <xdr:cNvPr id="6" name="Chart 5">
          <a:extLst>
            <a:ext uri="{FF2B5EF4-FFF2-40B4-BE49-F238E27FC236}">
              <a16:creationId xmlns:a16="http://schemas.microsoft.com/office/drawing/2014/main" id="{C1B5BF16-57D4-418A-B3F4-9C17C87FB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161925</xdr:colOff>
      <xdr:row>7</xdr:row>
      <xdr:rowOff>0</xdr:rowOff>
    </xdr:from>
    <xdr:to>
      <xdr:col>5</xdr:col>
      <xdr:colOff>342900</xdr:colOff>
      <xdr:row>8</xdr:row>
      <xdr:rowOff>193119</xdr:rowOff>
    </xdr:to>
    <xdr:sp macro="" textlink="">
      <xdr:nvSpPr>
        <xdr:cNvPr id="2" name="Rectangle: Rounded Corners 13">
          <a:extLst>
            <a:ext uri="{FF2B5EF4-FFF2-40B4-BE49-F238E27FC236}">
              <a16:creationId xmlns:a16="http://schemas.microsoft.com/office/drawing/2014/main" id="{06E62E6A-4BF8-43F7-8BDE-B868F0B569C7}"/>
            </a:ext>
          </a:extLst>
        </xdr:cNvPr>
        <xdr:cNvSpPr/>
      </xdr:nvSpPr>
      <xdr:spPr>
        <a:xfrm>
          <a:off x="1019175" y="1019175"/>
          <a:ext cx="261937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0">
              <a:latin typeface="Santander Text" panose="020B0504020201020104" pitchFamily="34" charset="0"/>
            </a:rPr>
            <a:t>Sumário Executivo</a:t>
          </a:r>
        </a:p>
      </xdr:txBody>
    </xdr:sp>
    <xdr:clientData/>
  </xdr:twoCellAnchor>
  <xdr:twoCellAnchor>
    <xdr:from>
      <xdr:col>2</xdr:col>
      <xdr:colOff>161925</xdr:colOff>
      <xdr:row>29</xdr:row>
      <xdr:rowOff>0</xdr:rowOff>
    </xdr:from>
    <xdr:to>
      <xdr:col>5</xdr:col>
      <xdr:colOff>342900</xdr:colOff>
      <xdr:row>30</xdr:row>
      <xdr:rowOff>193119</xdr:rowOff>
    </xdr:to>
    <xdr:sp macro="" textlink="">
      <xdr:nvSpPr>
        <xdr:cNvPr id="3" name="Rectangle: Rounded Corners 13">
          <a:extLst>
            <a:ext uri="{FF2B5EF4-FFF2-40B4-BE49-F238E27FC236}">
              <a16:creationId xmlns:a16="http://schemas.microsoft.com/office/drawing/2014/main" id="{0C96ACF2-B44E-4FE8-838C-7E3F53EAE331}"/>
            </a:ext>
          </a:extLst>
        </xdr:cNvPr>
        <xdr:cNvSpPr/>
      </xdr:nvSpPr>
      <xdr:spPr>
        <a:xfrm>
          <a:off x="1019175" y="1019175"/>
          <a:ext cx="3057525" cy="412194"/>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600" b="1" i="1">
              <a:latin typeface="Santander Text" panose="020B0504020201020104" pitchFamily="34" charset="0"/>
            </a:rPr>
            <a:t>Overview </a:t>
          </a:r>
          <a:r>
            <a:rPr lang="pt-PT" sz="1600" b="1" i="0">
              <a:latin typeface="Santander Text" panose="020B0504020201020104" pitchFamily="34" charset="0"/>
            </a:rPr>
            <a:t>- </a:t>
          </a:r>
          <a:r>
            <a:rPr lang="pt-PT" sz="1600" b="1" i="1">
              <a:latin typeface="Santander Text" panose="020B0504020201020104" pitchFamily="34" charset="0"/>
            </a:rPr>
            <a:t>Status </a:t>
          </a:r>
          <a:r>
            <a:rPr lang="pt-PT" sz="1600" b="1" i="0">
              <a:latin typeface="Santander Text" panose="020B0504020201020104" pitchFamily="34" charset="0"/>
            </a:rPr>
            <a:t>de testes</a:t>
          </a:r>
          <a:endParaRPr lang="pt-PT" sz="1600" b="1" i="1">
            <a:latin typeface="Santander Text" panose="020B0504020201020104" pitchFamily="34" charset="0"/>
          </a:endParaRPr>
        </a:p>
      </xdr:txBody>
    </xdr:sp>
    <xdr:clientData/>
  </xdr:twoCellAnchor>
  <xdr:twoCellAnchor>
    <xdr:from>
      <xdr:col>3</xdr:col>
      <xdr:colOff>96528</xdr:colOff>
      <xdr:row>45</xdr:row>
      <xdr:rowOff>107442</xdr:rowOff>
    </xdr:from>
    <xdr:to>
      <xdr:col>8</xdr:col>
      <xdr:colOff>13933</xdr:colOff>
      <xdr:row>47</xdr:row>
      <xdr:rowOff>174553</xdr:rowOff>
    </xdr:to>
    <xdr:sp macro="" textlink="">
      <xdr:nvSpPr>
        <xdr:cNvPr id="11" name="Rectangle: Rounded Corners 21">
          <a:extLst>
            <a:ext uri="{FF2B5EF4-FFF2-40B4-BE49-F238E27FC236}">
              <a16:creationId xmlns:a16="http://schemas.microsoft.com/office/drawing/2014/main" id="{0B619669-14F7-7418-9150-13AB4F9F9A80}"/>
            </a:ext>
          </a:extLst>
        </xdr:cNvPr>
        <xdr:cNvSpPr/>
      </xdr:nvSpPr>
      <xdr:spPr>
        <a:xfrm>
          <a:off x="1525278" y="10184459"/>
          <a:ext cx="4539195" cy="543361"/>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clientData/>
  </xdr:twoCellAnchor>
  <xdr:twoCellAnchor>
    <xdr:from>
      <xdr:col>7</xdr:col>
      <xdr:colOff>772891</xdr:colOff>
      <xdr:row>33</xdr:row>
      <xdr:rowOff>141514</xdr:rowOff>
    </xdr:from>
    <xdr:to>
      <xdr:col>14</xdr:col>
      <xdr:colOff>424891</xdr:colOff>
      <xdr:row>47</xdr:row>
      <xdr:rowOff>174553</xdr:rowOff>
    </xdr:to>
    <xdr:grpSp>
      <xdr:nvGrpSpPr>
        <xdr:cNvPr id="7" name="Group 1">
          <a:extLst>
            <a:ext uri="{FF2B5EF4-FFF2-40B4-BE49-F238E27FC236}">
              <a16:creationId xmlns:a16="http://schemas.microsoft.com/office/drawing/2014/main" id="{DD40F40C-740A-41E8-82DF-93C2F4CAFE6A}"/>
            </a:ext>
          </a:extLst>
        </xdr:cNvPr>
        <xdr:cNvGrpSpPr/>
      </xdr:nvGrpSpPr>
      <xdr:grpSpPr>
        <a:xfrm>
          <a:off x="6022224" y="7518097"/>
          <a:ext cx="6298334" cy="3419706"/>
          <a:chOff x="1795354" y="18711418"/>
          <a:chExt cx="4990432" cy="3135875"/>
        </a:xfrm>
      </xdr:grpSpPr>
      <xdr:sp macro="" textlink="">
        <xdr:nvSpPr>
          <xdr:cNvPr id="8" name="Rectangle: Rounded Corners 21">
            <a:extLst>
              <a:ext uri="{FF2B5EF4-FFF2-40B4-BE49-F238E27FC236}">
                <a16:creationId xmlns:a16="http://schemas.microsoft.com/office/drawing/2014/main" id="{7E0216F6-7969-85F2-D487-9A1FBBC1BBB7}"/>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(out_b0200_main_liabilities)</a:t>
            </a:r>
            <a:endParaRPr lang="pt-PT" sz="1400" b="1" i="1">
              <a:latin typeface="Santander Text" panose="020B0504020201020104" pitchFamily="34" charset="0"/>
            </a:endParaRPr>
          </a:p>
        </xdr:txBody>
      </xdr:sp>
      <xdr:graphicFrame macro="">
        <xdr:nvGraphicFramePr>
          <xdr:cNvPr id="9" name="Chart 10">
            <a:extLst>
              <a:ext uri="{FF2B5EF4-FFF2-40B4-BE49-F238E27FC236}">
                <a16:creationId xmlns:a16="http://schemas.microsoft.com/office/drawing/2014/main" id="{9B079E99-7239-9BBF-D4BF-EFBA55E35844}"/>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7"/>
          </a:graphicData>
        </a:graphic>
      </xdr:graphicFrame>
    </xdr:grpSp>
    <xdr:clientData/>
  </xdr:twoCellAnchor>
  <xdr:twoCellAnchor>
    <xdr:from>
      <xdr:col>2</xdr:col>
      <xdr:colOff>348343</xdr:colOff>
      <xdr:row>50</xdr:row>
      <xdr:rowOff>54430</xdr:rowOff>
    </xdr:from>
    <xdr:to>
      <xdr:col>2</xdr:col>
      <xdr:colOff>467143</xdr:colOff>
      <xdr:row>50</xdr:row>
      <xdr:rowOff>173230</xdr:rowOff>
    </xdr:to>
    <xdr:sp macro="" textlink="">
      <xdr:nvSpPr>
        <xdr:cNvPr id="19" name="Oval 18">
          <a:extLst>
            <a:ext uri="{FF2B5EF4-FFF2-40B4-BE49-F238E27FC236}">
              <a16:creationId xmlns:a16="http://schemas.microsoft.com/office/drawing/2014/main" id="{2C901545-D6B5-4261-8DC7-7EBB8E77C4CB}"/>
            </a:ext>
          </a:extLst>
        </xdr:cNvPr>
        <xdr:cNvSpPr>
          <a:spLocks noChangeAspect="1"/>
        </xdr:cNvSpPr>
      </xdr:nvSpPr>
      <xdr:spPr>
        <a:xfrm>
          <a:off x="1208314" y="113320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51</xdr:row>
      <xdr:rowOff>43546</xdr:rowOff>
    </xdr:from>
    <xdr:to>
      <xdr:col>2</xdr:col>
      <xdr:colOff>467143</xdr:colOff>
      <xdr:row>51</xdr:row>
      <xdr:rowOff>162346</xdr:rowOff>
    </xdr:to>
    <xdr:sp macro="" textlink="">
      <xdr:nvSpPr>
        <xdr:cNvPr id="20" name="Oval 19">
          <a:extLst>
            <a:ext uri="{FF2B5EF4-FFF2-40B4-BE49-F238E27FC236}">
              <a16:creationId xmlns:a16="http://schemas.microsoft.com/office/drawing/2014/main" id="{1BFE1738-8E30-48FF-8B06-0424CCFCB435}"/>
            </a:ext>
          </a:extLst>
        </xdr:cNvPr>
        <xdr:cNvSpPr>
          <a:spLocks noChangeAspect="1"/>
        </xdr:cNvSpPr>
      </xdr:nvSpPr>
      <xdr:spPr>
        <a:xfrm>
          <a:off x="1208314" y="115388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52</xdr:row>
      <xdr:rowOff>43545</xdr:rowOff>
    </xdr:from>
    <xdr:to>
      <xdr:col>2</xdr:col>
      <xdr:colOff>467143</xdr:colOff>
      <xdr:row>52</xdr:row>
      <xdr:rowOff>162345</xdr:rowOff>
    </xdr:to>
    <xdr:sp macro="" textlink="">
      <xdr:nvSpPr>
        <xdr:cNvPr id="21" name="Oval 20">
          <a:extLst>
            <a:ext uri="{FF2B5EF4-FFF2-40B4-BE49-F238E27FC236}">
              <a16:creationId xmlns:a16="http://schemas.microsoft.com/office/drawing/2014/main" id="{3BE2C4A6-EF81-4AE4-A2A8-E249558504AD}"/>
            </a:ext>
          </a:extLst>
        </xdr:cNvPr>
        <xdr:cNvSpPr>
          <a:spLocks noChangeAspect="1"/>
        </xdr:cNvSpPr>
      </xdr:nvSpPr>
      <xdr:spPr>
        <a:xfrm>
          <a:off x="1208314" y="117565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54</xdr:row>
      <xdr:rowOff>54429</xdr:rowOff>
    </xdr:from>
    <xdr:to>
      <xdr:col>2</xdr:col>
      <xdr:colOff>467143</xdr:colOff>
      <xdr:row>54</xdr:row>
      <xdr:rowOff>173229</xdr:rowOff>
    </xdr:to>
    <xdr:sp macro="" textlink="">
      <xdr:nvSpPr>
        <xdr:cNvPr id="22" name="Oval 21">
          <a:extLst>
            <a:ext uri="{FF2B5EF4-FFF2-40B4-BE49-F238E27FC236}">
              <a16:creationId xmlns:a16="http://schemas.microsoft.com/office/drawing/2014/main" id="{0046F967-CAB2-4582-8718-F479D28771F7}"/>
            </a:ext>
          </a:extLst>
        </xdr:cNvPr>
        <xdr:cNvSpPr>
          <a:spLocks noChangeAspect="1"/>
        </xdr:cNvSpPr>
      </xdr:nvSpPr>
      <xdr:spPr>
        <a:xfrm>
          <a:off x="1208314" y="11985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50</xdr:row>
      <xdr:rowOff>54430</xdr:rowOff>
    </xdr:from>
    <xdr:to>
      <xdr:col>8</xdr:col>
      <xdr:colOff>924343</xdr:colOff>
      <xdr:row>50</xdr:row>
      <xdr:rowOff>173230</xdr:rowOff>
    </xdr:to>
    <xdr:sp macro="" textlink="">
      <xdr:nvSpPr>
        <xdr:cNvPr id="27" name="Oval 26">
          <a:extLst>
            <a:ext uri="{FF2B5EF4-FFF2-40B4-BE49-F238E27FC236}">
              <a16:creationId xmlns:a16="http://schemas.microsoft.com/office/drawing/2014/main" id="{1CFDA1F8-B172-4714-A1BD-A8EE64A73D57}"/>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51</xdr:row>
      <xdr:rowOff>43546</xdr:rowOff>
    </xdr:from>
    <xdr:to>
      <xdr:col>8</xdr:col>
      <xdr:colOff>924343</xdr:colOff>
      <xdr:row>51</xdr:row>
      <xdr:rowOff>162346</xdr:rowOff>
    </xdr:to>
    <xdr:sp macro="" textlink="">
      <xdr:nvSpPr>
        <xdr:cNvPr id="28" name="Oval 27">
          <a:extLst>
            <a:ext uri="{FF2B5EF4-FFF2-40B4-BE49-F238E27FC236}">
              <a16:creationId xmlns:a16="http://schemas.microsoft.com/office/drawing/2014/main" id="{94D99059-9E4C-4457-B07F-70C4F25A3FE7}"/>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52</xdr:row>
      <xdr:rowOff>43545</xdr:rowOff>
    </xdr:from>
    <xdr:to>
      <xdr:col>8</xdr:col>
      <xdr:colOff>924343</xdr:colOff>
      <xdr:row>52</xdr:row>
      <xdr:rowOff>162345</xdr:rowOff>
    </xdr:to>
    <xdr:sp macro="" textlink="">
      <xdr:nvSpPr>
        <xdr:cNvPr id="29" name="Oval 28">
          <a:extLst>
            <a:ext uri="{FF2B5EF4-FFF2-40B4-BE49-F238E27FC236}">
              <a16:creationId xmlns:a16="http://schemas.microsoft.com/office/drawing/2014/main" id="{CB57AD07-44D9-4F60-9056-A482B77AB311}"/>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54</xdr:row>
      <xdr:rowOff>54429</xdr:rowOff>
    </xdr:from>
    <xdr:to>
      <xdr:col>8</xdr:col>
      <xdr:colOff>924343</xdr:colOff>
      <xdr:row>54</xdr:row>
      <xdr:rowOff>173229</xdr:rowOff>
    </xdr:to>
    <xdr:sp macro="" textlink="">
      <xdr:nvSpPr>
        <xdr:cNvPr id="30" name="Oval 29">
          <a:extLst>
            <a:ext uri="{FF2B5EF4-FFF2-40B4-BE49-F238E27FC236}">
              <a16:creationId xmlns:a16="http://schemas.microsoft.com/office/drawing/2014/main" id="{2A0842E5-5B18-4C4B-8EC1-AEE4B36B2D47}"/>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304803</xdr:colOff>
      <xdr:row>59</xdr:row>
      <xdr:rowOff>141514</xdr:rowOff>
    </xdr:from>
    <xdr:to>
      <xdr:col>8</xdr:col>
      <xdr:colOff>401289</xdr:colOff>
      <xdr:row>73</xdr:row>
      <xdr:rowOff>174553</xdr:rowOff>
    </xdr:to>
    <xdr:grpSp>
      <xdr:nvGrpSpPr>
        <xdr:cNvPr id="31" name="Group 1">
          <a:extLst>
            <a:ext uri="{FF2B5EF4-FFF2-40B4-BE49-F238E27FC236}">
              <a16:creationId xmlns:a16="http://schemas.microsoft.com/office/drawing/2014/main" id="{F5923EE5-FFE3-41E4-AC4F-B41D9878EB8D}"/>
            </a:ext>
          </a:extLst>
        </xdr:cNvPr>
        <xdr:cNvGrpSpPr/>
      </xdr:nvGrpSpPr>
      <xdr:grpSpPr>
        <a:xfrm>
          <a:off x="1130303" y="13889264"/>
          <a:ext cx="5303486" cy="3419706"/>
          <a:chOff x="1795354" y="18711418"/>
          <a:chExt cx="4990432" cy="3135875"/>
        </a:xfrm>
      </xdr:grpSpPr>
      <xdr:sp macro="" textlink="">
        <xdr:nvSpPr>
          <xdr:cNvPr id="32" name="Rectangle: Rounded Corners 21">
            <a:extLst>
              <a:ext uri="{FF2B5EF4-FFF2-40B4-BE49-F238E27FC236}">
                <a16:creationId xmlns:a16="http://schemas.microsoft.com/office/drawing/2014/main" id="{E34F962B-F42C-C9E1-D82C-2C1FBAED7EBE}"/>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33" name="Chart 10">
            <a:extLst>
              <a:ext uri="{FF2B5EF4-FFF2-40B4-BE49-F238E27FC236}">
                <a16:creationId xmlns:a16="http://schemas.microsoft.com/office/drawing/2014/main" id="{6552344F-23F0-60AC-4DAC-CDB272577A55}"/>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7</xdr:col>
      <xdr:colOff>772891</xdr:colOff>
      <xdr:row>59</xdr:row>
      <xdr:rowOff>141514</xdr:rowOff>
    </xdr:from>
    <xdr:to>
      <xdr:col>14</xdr:col>
      <xdr:colOff>424891</xdr:colOff>
      <xdr:row>73</xdr:row>
      <xdr:rowOff>174553</xdr:rowOff>
    </xdr:to>
    <xdr:grpSp>
      <xdr:nvGrpSpPr>
        <xdr:cNvPr id="34" name="Group 1">
          <a:extLst>
            <a:ext uri="{FF2B5EF4-FFF2-40B4-BE49-F238E27FC236}">
              <a16:creationId xmlns:a16="http://schemas.microsoft.com/office/drawing/2014/main" id="{5E5086DB-9DD9-495D-96CB-740125FC427C}"/>
            </a:ext>
          </a:extLst>
        </xdr:cNvPr>
        <xdr:cNvGrpSpPr/>
      </xdr:nvGrpSpPr>
      <xdr:grpSpPr>
        <a:xfrm>
          <a:off x="6022224" y="13889264"/>
          <a:ext cx="6298334" cy="3419706"/>
          <a:chOff x="1795354" y="18711418"/>
          <a:chExt cx="4990432" cy="3135875"/>
        </a:xfrm>
      </xdr:grpSpPr>
      <xdr:sp macro="" textlink="">
        <xdr:nvSpPr>
          <xdr:cNvPr id="35" name="Rectangle: Rounded Corners 21">
            <a:extLst>
              <a:ext uri="{FF2B5EF4-FFF2-40B4-BE49-F238E27FC236}">
                <a16:creationId xmlns:a16="http://schemas.microsoft.com/office/drawing/2014/main" id="{FD78B12C-1AA9-E958-AE3F-FFC7D5E681AC}"/>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(out_b0500_guarantees)</a:t>
            </a:r>
            <a:endParaRPr lang="pt-PT" sz="1400" b="1" i="1">
              <a:latin typeface="Santander Text" panose="020B0504020201020104" pitchFamily="34" charset="0"/>
            </a:endParaRPr>
          </a:p>
        </xdr:txBody>
      </xdr:sp>
      <xdr:graphicFrame macro="">
        <xdr:nvGraphicFramePr>
          <xdr:cNvPr id="36" name="Chart 10">
            <a:extLst>
              <a:ext uri="{FF2B5EF4-FFF2-40B4-BE49-F238E27FC236}">
                <a16:creationId xmlns:a16="http://schemas.microsoft.com/office/drawing/2014/main" id="{8639E4B4-07C6-084E-D758-AABAEC8401ED}"/>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2</xdr:col>
      <xdr:colOff>304803</xdr:colOff>
      <xdr:row>84</xdr:row>
      <xdr:rowOff>141514</xdr:rowOff>
    </xdr:from>
    <xdr:to>
      <xdr:col>8</xdr:col>
      <xdr:colOff>401289</xdr:colOff>
      <xdr:row>98</xdr:row>
      <xdr:rowOff>174553</xdr:rowOff>
    </xdr:to>
    <xdr:grpSp>
      <xdr:nvGrpSpPr>
        <xdr:cNvPr id="45" name="Group 1">
          <a:extLst>
            <a:ext uri="{FF2B5EF4-FFF2-40B4-BE49-F238E27FC236}">
              <a16:creationId xmlns:a16="http://schemas.microsoft.com/office/drawing/2014/main" id="{862EB963-A6B9-4349-A358-0C4DD8E43884}"/>
            </a:ext>
          </a:extLst>
        </xdr:cNvPr>
        <xdr:cNvGrpSpPr/>
      </xdr:nvGrpSpPr>
      <xdr:grpSpPr>
        <a:xfrm>
          <a:off x="1130303" y="20017014"/>
          <a:ext cx="5303486" cy="3419706"/>
          <a:chOff x="1795354" y="18711418"/>
          <a:chExt cx="4990432" cy="3135875"/>
        </a:xfrm>
      </xdr:grpSpPr>
      <xdr:sp macro="" textlink="">
        <xdr:nvSpPr>
          <xdr:cNvPr id="46" name="Rectangle: Rounded Corners 21">
            <a:extLst>
              <a:ext uri="{FF2B5EF4-FFF2-40B4-BE49-F238E27FC236}">
                <a16:creationId xmlns:a16="http://schemas.microsoft.com/office/drawing/2014/main" id="{32BBCBAC-E5E3-08B0-C084-C4E54585807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Loan Tape</a:t>
            </a:r>
          </a:p>
        </xdr:txBody>
      </xdr:sp>
      <xdr:graphicFrame macro="">
        <xdr:nvGraphicFramePr>
          <xdr:cNvPr id="47" name="Chart 10">
            <a:extLst>
              <a:ext uri="{FF2B5EF4-FFF2-40B4-BE49-F238E27FC236}">
                <a16:creationId xmlns:a16="http://schemas.microsoft.com/office/drawing/2014/main" id="{15EBB61D-CFF5-CE78-7EC9-E784DB8702C9}"/>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7</xdr:col>
      <xdr:colOff>772891</xdr:colOff>
      <xdr:row>84</xdr:row>
      <xdr:rowOff>141514</xdr:rowOff>
    </xdr:from>
    <xdr:to>
      <xdr:col>14</xdr:col>
      <xdr:colOff>424891</xdr:colOff>
      <xdr:row>98</xdr:row>
      <xdr:rowOff>174553</xdr:rowOff>
    </xdr:to>
    <xdr:grpSp>
      <xdr:nvGrpSpPr>
        <xdr:cNvPr id="48" name="Group 1">
          <a:extLst>
            <a:ext uri="{FF2B5EF4-FFF2-40B4-BE49-F238E27FC236}">
              <a16:creationId xmlns:a16="http://schemas.microsoft.com/office/drawing/2014/main" id="{B2112D82-46D4-48BE-A697-1CD69037B296}"/>
            </a:ext>
          </a:extLst>
        </xdr:cNvPr>
        <xdr:cNvGrpSpPr/>
      </xdr:nvGrpSpPr>
      <xdr:grpSpPr>
        <a:xfrm>
          <a:off x="6022224" y="20017014"/>
          <a:ext cx="6298334" cy="3419706"/>
          <a:chOff x="1795354" y="18711418"/>
          <a:chExt cx="4990432" cy="3135875"/>
        </a:xfrm>
      </xdr:grpSpPr>
      <xdr:sp macro="" textlink="">
        <xdr:nvSpPr>
          <xdr:cNvPr id="49" name="Rectangle: Rounded Corners 21">
            <a:extLst>
              <a:ext uri="{FF2B5EF4-FFF2-40B4-BE49-F238E27FC236}">
                <a16:creationId xmlns:a16="http://schemas.microsoft.com/office/drawing/2014/main" id="{8E4F5C79-A1FF-99BE-8809-E846EAE377D6}"/>
              </a:ext>
            </a:extLst>
          </xdr:cNvPr>
          <xdr:cNvSpPr/>
        </xdr:nvSpPr>
        <xdr:spPr>
          <a:xfrm>
            <a:off x="2159003" y="21337924"/>
            <a:ext cx="4263135" cy="509369"/>
          </a:xfrm>
          <a:prstGeom prst="roundRect">
            <a:avLst/>
          </a:prstGeom>
          <a:solidFill>
            <a:srgbClr val="1AB2BB"/>
          </a:solidFill>
          <a:ln>
            <a:no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pt-PT" sz="1400" b="1" i="1">
                <a:latin typeface="Santander Text" panose="020B0504020201020104" pitchFamily="34" charset="0"/>
              </a:rPr>
              <a:t>Tabela</a:t>
            </a:r>
            <a:r>
              <a:rPr lang="pt-PT" sz="1400" b="1" i="1" baseline="0">
                <a:latin typeface="Santander Text" panose="020B0504020201020104" pitchFamily="34" charset="0"/>
              </a:rPr>
              <a:t> Output (out_b9000_counterparties)</a:t>
            </a:r>
            <a:endParaRPr lang="pt-PT" sz="1400" b="1" i="1">
              <a:latin typeface="Santander Text" panose="020B0504020201020104" pitchFamily="34" charset="0"/>
            </a:endParaRPr>
          </a:p>
        </xdr:txBody>
      </xdr:sp>
      <xdr:graphicFrame macro="">
        <xdr:nvGraphicFramePr>
          <xdr:cNvPr id="50" name="Chart 10">
            <a:extLst>
              <a:ext uri="{FF2B5EF4-FFF2-40B4-BE49-F238E27FC236}">
                <a16:creationId xmlns:a16="http://schemas.microsoft.com/office/drawing/2014/main" id="{DB862B77-C312-0745-FD87-C9B4608F0F60}"/>
              </a:ext>
            </a:extLst>
          </xdr:cNvPr>
          <xdr:cNvGraphicFramePr>
            <a:graphicFrameLocks/>
          </xdr:cNvGraphicFramePr>
        </xdr:nvGraphicFramePr>
        <xdr:xfrm>
          <a:off x="1795354" y="18711418"/>
          <a:ext cx="4990432" cy="2598520"/>
        </xdr:xfrm>
        <a:graphic>
          <a:graphicData uri="http://schemas.openxmlformats.org/drawingml/2006/chart">
            <c:chart xmlns:c="http://schemas.openxmlformats.org/drawingml/2006/chart" xmlns:r="http://schemas.openxmlformats.org/officeDocument/2006/relationships" r:id="rId11"/>
          </a:graphicData>
        </a:graphic>
      </xdr:graphicFrame>
    </xdr:grpSp>
    <xdr:clientData/>
  </xdr:twoCellAnchor>
  <xdr:twoCellAnchor>
    <xdr:from>
      <xdr:col>2</xdr:col>
      <xdr:colOff>348343</xdr:colOff>
      <xdr:row>53</xdr:row>
      <xdr:rowOff>54427</xdr:rowOff>
    </xdr:from>
    <xdr:to>
      <xdr:col>2</xdr:col>
      <xdr:colOff>467143</xdr:colOff>
      <xdr:row>53</xdr:row>
      <xdr:rowOff>173227</xdr:rowOff>
    </xdr:to>
    <xdr:sp macro="" textlink="">
      <xdr:nvSpPr>
        <xdr:cNvPr id="59" name="Oval 58">
          <a:extLst>
            <a:ext uri="{FF2B5EF4-FFF2-40B4-BE49-F238E27FC236}">
              <a16:creationId xmlns:a16="http://schemas.microsoft.com/office/drawing/2014/main" id="{410B47A7-16D1-44A5-8FE1-A895761B5673}"/>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53</xdr:row>
      <xdr:rowOff>54427</xdr:rowOff>
    </xdr:from>
    <xdr:to>
      <xdr:col>8</xdr:col>
      <xdr:colOff>924343</xdr:colOff>
      <xdr:row>53</xdr:row>
      <xdr:rowOff>173227</xdr:rowOff>
    </xdr:to>
    <xdr:sp macro="" textlink="">
      <xdr:nvSpPr>
        <xdr:cNvPr id="60" name="Oval 59">
          <a:extLst>
            <a:ext uri="{FF2B5EF4-FFF2-40B4-BE49-F238E27FC236}">
              <a16:creationId xmlns:a16="http://schemas.microsoft.com/office/drawing/2014/main" id="{9DBB54AF-31E7-4C1E-8637-060BC437BF86}"/>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76</xdr:row>
      <xdr:rowOff>54430</xdr:rowOff>
    </xdr:from>
    <xdr:to>
      <xdr:col>2</xdr:col>
      <xdr:colOff>467143</xdr:colOff>
      <xdr:row>76</xdr:row>
      <xdr:rowOff>173230</xdr:rowOff>
    </xdr:to>
    <xdr:sp macro="" textlink="">
      <xdr:nvSpPr>
        <xdr:cNvPr id="71" name="Oval 70">
          <a:extLst>
            <a:ext uri="{FF2B5EF4-FFF2-40B4-BE49-F238E27FC236}">
              <a16:creationId xmlns:a16="http://schemas.microsoft.com/office/drawing/2014/main" id="{28061D7A-F9C8-46A6-A399-7B82BE7FE5EE}"/>
            </a:ext>
          </a:extLst>
        </xdr:cNvPr>
        <xdr:cNvSpPr>
          <a:spLocks noChangeAspect="1"/>
        </xdr:cNvSpPr>
      </xdr:nvSpPr>
      <xdr:spPr>
        <a:xfrm>
          <a:off x="1208314"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77</xdr:row>
      <xdr:rowOff>43546</xdr:rowOff>
    </xdr:from>
    <xdr:to>
      <xdr:col>2</xdr:col>
      <xdr:colOff>467143</xdr:colOff>
      <xdr:row>77</xdr:row>
      <xdr:rowOff>162346</xdr:rowOff>
    </xdr:to>
    <xdr:sp macro="" textlink="">
      <xdr:nvSpPr>
        <xdr:cNvPr id="72" name="Oval 71">
          <a:extLst>
            <a:ext uri="{FF2B5EF4-FFF2-40B4-BE49-F238E27FC236}">
              <a16:creationId xmlns:a16="http://schemas.microsoft.com/office/drawing/2014/main" id="{40DF2EED-13F1-49E2-AA5E-D1A35D34A369}"/>
            </a:ext>
          </a:extLst>
        </xdr:cNvPr>
        <xdr:cNvSpPr>
          <a:spLocks noChangeAspect="1"/>
        </xdr:cNvSpPr>
      </xdr:nvSpPr>
      <xdr:spPr>
        <a:xfrm>
          <a:off x="1208314"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78</xdr:row>
      <xdr:rowOff>43545</xdr:rowOff>
    </xdr:from>
    <xdr:to>
      <xdr:col>2</xdr:col>
      <xdr:colOff>467143</xdr:colOff>
      <xdr:row>78</xdr:row>
      <xdr:rowOff>162345</xdr:rowOff>
    </xdr:to>
    <xdr:sp macro="" textlink="">
      <xdr:nvSpPr>
        <xdr:cNvPr id="73" name="Oval 72">
          <a:extLst>
            <a:ext uri="{FF2B5EF4-FFF2-40B4-BE49-F238E27FC236}">
              <a16:creationId xmlns:a16="http://schemas.microsoft.com/office/drawing/2014/main" id="{58BB041A-21E4-4A99-A7A0-CA3B1D460096}"/>
            </a:ext>
          </a:extLst>
        </xdr:cNvPr>
        <xdr:cNvSpPr>
          <a:spLocks noChangeAspect="1"/>
        </xdr:cNvSpPr>
      </xdr:nvSpPr>
      <xdr:spPr>
        <a:xfrm>
          <a:off x="1208314"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80</xdr:row>
      <xdr:rowOff>54429</xdr:rowOff>
    </xdr:from>
    <xdr:to>
      <xdr:col>2</xdr:col>
      <xdr:colOff>467143</xdr:colOff>
      <xdr:row>80</xdr:row>
      <xdr:rowOff>173229</xdr:rowOff>
    </xdr:to>
    <xdr:sp macro="" textlink="">
      <xdr:nvSpPr>
        <xdr:cNvPr id="74" name="Oval 73">
          <a:extLst>
            <a:ext uri="{FF2B5EF4-FFF2-40B4-BE49-F238E27FC236}">
              <a16:creationId xmlns:a16="http://schemas.microsoft.com/office/drawing/2014/main" id="{4DEB5C32-AB30-4D9C-BA7E-1F5D1895FC38}"/>
            </a:ext>
          </a:extLst>
        </xdr:cNvPr>
        <xdr:cNvSpPr>
          <a:spLocks noChangeAspect="1"/>
        </xdr:cNvSpPr>
      </xdr:nvSpPr>
      <xdr:spPr>
        <a:xfrm>
          <a:off x="1208314"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79</xdr:row>
      <xdr:rowOff>54427</xdr:rowOff>
    </xdr:from>
    <xdr:to>
      <xdr:col>2</xdr:col>
      <xdr:colOff>467143</xdr:colOff>
      <xdr:row>79</xdr:row>
      <xdr:rowOff>173227</xdr:rowOff>
    </xdr:to>
    <xdr:sp macro="" textlink="">
      <xdr:nvSpPr>
        <xdr:cNvPr id="79" name="Oval 78">
          <a:extLst>
            <a:ext uri="{FF2B5EF4-FFF2-40B4-BE49-F238E27FC236}">
              <a16:creationId xmlns:a16="http://schemas.microsoft.com/office/drawing/2014/main" id="{E52765AF-BF35-42B0-8B36-79EEE0C3B022}"/>
            </a:ext>
          </a:extLst>
        </xdr:cNvPr>
        <xdr:cNvSpPr>
          <a:spLocks noChangeAspect="1"/>
        </xdr:cNvSpPr>
      </xdr:nvSpPr>
      <xdr:spPr>
        <a:xfrm>
          <a:off x="1208314"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101</xdr:row>
      <xdr:rowOff>54430</xdr:rowOff>
    </xdr:from>
    <xdr:to>
      <xdr:col>2</xdr:col>
      <xdr:colOff>467143</xdr:colOff>
      <xdr:row>101</xdr:row>
      <xdr:rowOff>173230</xdr:rowOff>
    </xdr:to>
    <xdr:sp macro="" textlink="">
      <xdr:nvSpPr>
        <xdr:cNvPr id="81" name="Oval 80">
          <a:extLst>
            <a:ext uri="{FF2B5EF4-FFF2-40B4-BE49-F238E27FC236}">
              <a16:creationId xmlns:a16="http://schemas.microsoft.com/office/drawing/2014/main" id="{C539FD69-139D-474F-A876-205433872582}"/>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102</xdr:row>
      <xdr:rowOff>43546</xdr:rowOff>
    </xdr:from>
    <xdr:to>
      <xdr:col>2</xdr:col>
      <xdr:colOff>467143</xdr:colOff>
      <xdr:row>102</xdr:row>
      <xdr:rowOff>162346</xdr:rowOff>
    </xdr:to>
    <xdr:sp macro="" textlink="">
      <xdr:nvSpPr>
        <xdr:cNvPr id="82" name="Oval 81">
          <a:extLst>
            <a:ext uri="{FF2B5EF4-FFF2-40B4-BE49-F238E27FC236}">
              <a16:creationId xmlns:a16="http://schemas.microsoft.com/office/drawing/2014/main" id="{72E48A81-1858-4522-A362-2DF5EABDBE89}"/>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103</xdr:row>
      <xdr:rowOff>43545</xdr:rowOff>
    </xdr:from>
    <xdr:to>
      <xdr:col>2</xdr:col>
      <xdr:colOff>467143</xdr:colOff>
      <xdr:row>103</xdr:row>
      <xdr:rowOff>162345</xdr:rowOff>
    </xdr:to>
    <xdr:sp macro="" textlink="">
      <xdr:nvSpPr>
        <xdr:cNvPr id="83" name="Oval 82">
          <a:extLst>
            <a:ext uri="{FF2B5EF4-FFF2-40B4-BE49-F238E27FC236}">
              <a16:creationId xmlns:a16="http://schemas.microsoft.com/office/drawing/2014/main" id="{42861B14-B61F-4FDF-9D35-E0F180F9A07A}"/>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105</xdr:row>
      <xdr:rowOff>54429</xdr:rowOff>
    </xdr:from>
    <xdr:to>
      <xdr:col>2</xdr:col>
      <xdr:colOff>467143</xdr:colOff>
      <xdr:row>105</xdr:row>
      <xdr:rowOff>173229</xdr:rowOff>
    </xdr:to>
    <xdr:sp macro="" textlink="">
      <xdr:nvSpPr>
        <xdr:cNvPr id="84" name="Oval 83">
          <a:extLst>
            <a:ext uri="{FF2B5EF4-FFF2-40B4-BE49-F238E27FC236}">
              <a16:creationId xmlns:a16="http://schemas.microsoft.com/office/drawing/2014/main" id="{B5EB70AA-935C-4BDB-9DC3-E46686EEBE4B}"/>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104</xdr:row>
      <xdr:rowOff>54427</xdr:rowOff>
    </xdr:from>
    <xdr:to>
      <xdr:col>2</xdr:col>
      <xdr:colOff>467143</xdr:colOff>
      <xdr:row>104</xdr:row>
      <xdr:rowOff>173227</xdr:rowOff>
    </xdr:to>
    <xdr:sp macro="" textlink="">
      <xdr:nvSpPr>
        <xdr:cNvPr id="89" name="Oval 88">
          <a:extLst>
            <a:ext uri="{FF2B5EF4-FFF2-40B4-BE49-F238E27FC236}">
              <a16:creationId xmlns:a16="http://schemas.microsoft.com/office/drawing/2014/main" id="{F4EC2A01-3BB6-4099-B060-1D4A1002396A}"/>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76</xdr:row>
      <xdr:rowOff>54430</xdr:rowOff>
    </xdr:from>
    <xdr:to>
      <xdr:col>8</xdr:col>
      <xdr:colOff>924343</xdr:colOff>
      <xdr:row>76</xdr:row>
      <xdr:rowOff>173230</xdr:rowOff>
    </xdr:to>
    <xdr:sp macro="" textlink="">
      <xdr:nvSpPr>
        <xdr:cNvPr id="91" name="Oval 90">
          <a:extLst>
            <a:ext uri="{FF2B5EF4-FFF2-40B4-BE49-F238E27FC236}">
              <a16:creationId xmlns:a16="http://schemas.microsoft.com/office/drawing/2014/main" id="{BF2A66EB-6378-49E0-BC42-359296149F59}"/>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77</xdr:row>
      <xdr:rowOff>43546</xdr:rowOff>
    </xdr:from>
    <xdr:to>
      <xdr:col>8</xdr:col>
      <xdr:colOff>924343</xdr:colOff>
      <xdr:row>77</xdr:row>
      <xdr:rowOff>162346</xdr:rowOff>
    </xdr:to>
    <xdr:sp macro="" textlink="">
      <xdr:nvSpPr>
        <xdr:cNvPr id="92" name="Oval 91">
          <a:extLst>
            <a:ext uri="{FF2B5EF4-FFF2-40B4-BE49-F238E27FC236}">
              <a16:creationId xmlns:a16="http://schemas.microsoft.com/office/drawing/2014/main" id="{4969D704-CBB7-4A8B-91B5-3E47AE46ED73}"/>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78</xdr:row>
      <xdr:rowOff>43545</xdr:rowOff>
    </xdr:from>
    <xdr:to>
      <xdr:col>8</xdr:col>
      <xdr:colOff>924343</xdr:colOff>
      <xdr:row>78</xdr:row>
      <xdr:rowOff>162345</xdr:rowOff>
    </xdr:to>
    <xdr:sp macro="" textlink="">
      <xdr:nvSpPr>
        <xdr:cNvPr id="93" name="Oval 92">
          <a:extLst>
            <a:ext uri="{FF2B5EF4-FFF2-40B4-BE49-F238E27FC236}">
              <a16:creationId xmlns:a16="http://schemas.microsoft.com/office/drawing/2014/main" id="{0AE17D6E-728D-4A3E-BD2E-0CDDAE6219E9}"/>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80</xdr:row>
      <xdr:rowOff>54429</xdr:rowOff>
    </xdr:from>
    <xdr:to>
      <xdr:col>8</xdr:col>
      <xdr:colOff>924343</xdr:colOff>
      <xdr:row>80</xdr:row>
      <xdr:rowOff>173229</xdr:rowOff>
    </xdr:to>
    <xdr:sp macro="" textlink="">
      <xdr:nvSpPr>
        <xdr:cNvPr id="94" name="Oval 93">
          <a:extLst>
            <a:ext uri="{FF2B5EF4-FFF2-40B4-BE49-F238E27FC236}">
              <a16:creationId xmlns:a16="http://schemas.microsoft.com/office/drawing/2014/main" id="{B3086B55-903B-4769-90FF-6449A011434C}"/>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79</xdr:row>
      <xdr:rowOff>54427</xdr:rowOff>
    </xdr:from>
    <xdr:to>
      <xdr:col>8</xdr:col>
      <xdr:colOff>924343</xdr:colOff>
      <xdr:row>79</xdr:row>
      <xdr:rowOff>173227</xdr:rowOff>
    </xdr:to>
    <xdr:sp macro="" textlink="">
      <xdr:nvSpPr>
        <xdr:cNvPr id="95" name="Oval 94">
          <a:extLst>
            <a:ext uri="{FF2B5EF4-FFF2-40B4-BE49-F238E27FC236}">
              <a16:creationId xmlns:a16="http://schemas.microsoft.com/office/drawing/2014/main" id="{88BFA847-9BCD-4A61-9CB1-B9C8B099B66F}"/>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101</xdr:row>
      <xdr:rowOff>54430</xdr:rowOff>
    </xdr:from>
    <xdr:to>
      <xdr:col>8</xdr:col>
      <xdr:colOff>924343</xdr:colOff>
      <xdr:row>101</xdr:row>
      <xdr:rowOff>173230</xdr:rowOff>
    </xdr:to>
    <xdr:sp macro="" textlink="">
      <xdr:nvSpPr>
        <xdr:cNvPr id="96" name="Oval 95">
          <a:extLst>
            <a:ext uri="{FF2B5EF4-FFF2-40B4-BE49-F238E27FC236}">
              <a16:creationId xmlns:a16="http://schemas.microsoft.com/office/drawing/2014/main" id="{7FFA58E1-3E64-4C34-A02A-6DA1B0494F22}"/>
            </a:ext>
          </a:extLst>
        </xdr:cNvPr>
        <xdr:cNvSpPr>
          <a:spLocks noChangeAspect="1"/>
        </xdr:cNvSpPr>
      </xdr:nvSpPr>
      <xdr:spPr>
        <a:xfrm>
          <a:off x="7010400" y="11484430"/>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102</xdr:row>
      <xdr:rowOff>43546</xdr:rowOff>
    </xdr:from>
    <xdr:to>
      <xdr:col>8</xdr:col>
      <xdr:colOff>924343</xdr:colOff>
      <xdr:row>102</xdr:row>
      <xdr:rowOff>162346</xdr:rowOff>
    </xdr:to>
    <xdr:sp macro="" textlink="">
      <xdr:nvSpPr>
        <xdr:cNvPr id="97" name="Oval 96">
          <a:extLst>
            <a:ext uri="{FF2B5EF4-FFF2-40B4-BE49-F238E27FC236}">
              <a16:creationId xmlns:a16="http://schemas.microsoft.com/office/drawing/2014/main" id="{284A6297-0461-43CC-8F1E-11513CA2FCEB}"/>
            </a:ext>
          </a:extLst>
        </xdr:cNvPr>
        <xdr:cNvSpPr>
          <a:spLocks noChangeAspect="1"/>
        </xdr:cNvSpPr>
      </xdr:nvSpPr>
      <xdr:spPr>
        <a:xfrm>
          <a:off x="7010400" y="11691260"/>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103</xdr:row>
      <xdr:rowOff>43545</xdr:rowOff>
    </xdr:from>
    <xdr:to>
      <xdr:col>8</xdr:col>
      <xdr:colOff>924343</xdr:colOff>
      <xdr:row>103</xdr:row>
      <xdr:rowOff>162345</xdr:rowOff>
    </xdr:to>
    <xdr:sp macro="" textlink="">
      <xdr:nvSpPr>
        <xdr:cNvPr id="98" name="Oval 97">
          <a:extLst>
            <a:ext uri="{FF2B5EF4-FFF2-40B4-BE49-F238E27FC236}">
              <a16:creationId xmlns:a16="http://schemas.microsoft.com/office/drawing/2014/main" id="{2448A75B-B55D-450E-BB33-FA7B291156AA}"/>
            </a:ext>
          </a:extLst>
        </xdr:cNvPr>
        <xdr:cNvSpPr>
          <a:spLocks noChangeAspect="1"/>
        </xdr:cNvSpPr>
      </xdr:nvSpPr>
      <xdr:spPr>
        <a:xfrm>
          <a:off x="7010400" y="11908974"/>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105</xdr:row>
      <xdr:rowOff>54429</xdr:rowOff>
    </xdr:from>
    <xdr:to>
      <xdr:col>8</xdr:col>
      <xdr:colOff>924343</xdr:colOff>
      <xdr:row>105</xdr:row>
      <xdr:rowOff>173229</xdr:rowOff>
    </xdr:to>
    <xdr:sp macro="" textlink="">
      <xdr:nvSpPr>
        <xdr:cNvPr id="99" name="Oval 98">
          <a:extLst>
            <a:ext uri="{FF2B5EF4-FFF2-40B4-BE49-F238E27FC236}">
              <a16:creationId xmlns:a16="http://schemas.microsoft.com/office/drawing/2014/main" id="{AB3A2F2C-CC5B-4040-B1CB-07EDAA848D21}"/>
            </a:ext>
          </a:extLst>
        </xdr:cNvPr>
        <xdr:cNvSpPr>
          <a:spLocks noChangeAspect="1"/>
        </xdr:cNvSpPr>
      </xdr:nvSpPr>
      <xdr:spPr>
        <a:xfrm>
          <a:off x="7010400" y="12355286"/>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104</xdr:row>
      <xdr:rowOff>54427</xdr:rowOff>
    </xdr:from>
    <xdr:to>
      <xdr:col>8</xdr:col>
      <xdr:colOff>924343</xdr:colOff>
      <xdr:row>104</xdr:row>
      <xdr:rowOff>173227</xdr:rowOff>
    </xdr:to>
    <xdr:sp macro="" textlink="">
      <xdr:nvSpPr>
        <xdr:cNvPr id="100" name="Oval 99">
          <a:extLst>
            <a:ext uri="{FF2B5EF4-FFF2-40B4-BE49-F238E27FC236}">
              <a16:creationId xmlns:a16="http://schemas.microsoft.com/office/drawing/2014/main" id="{D26386AD-DD3E-40AE-A78E-D90615D94535}"/>
            </a:ext>
          </a:extLst>
        </xdr:cNvPr>
        <xdr:cNvSpPr>
          <a:spLocks noChangeAspect="1"/>
        </xdr:cNvSpPr>
      </xdr:nvSpPr>
      <xdr:spPr>
        <a:xfrm>
          <a:off x="7010400" y="12137570"/>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76</xdr:row>
      <xdr:rowOff>54430</xdr:rowOff>
    </xdr:from>
    <xdr:to>
      <xdr:col>2</xdr:col>
      <xdr:colOff>467143</xdr:colOff>
      <xdr:row>76</xdr:row>
      <xdr:rowOff>173230</xdr:rowOff>
    </xdr:to>
    <xdr:sp macro="" textlink="">
      <xdr:nvSpPr>
        <xdr:cNvPr id="101" name="Oval 100">
          <a:extLst>
            <a:ext uri="{FF2B5EF4-FFF2-40B4-BE49-F238E27FC236}">
              <a16:creationId xmlns:a16="http://schemas.microsoft.com/office/drawing/2014/main" id="{B34B294E-7C41-4DA6-A532-109EEF088C22}"/>
            </a:ext>
          </a:extLst>
        </xdr:cNvPr>
        <xdr:cNvSpPr>
          <a:spLocks noChangeAspect="1"/>
        </xdr:cNvSpPr>
      </xdr:nvSpPr>
      <xdr:spPr>
        <a:xfrm>
          <a:off x="1208314"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77</xdr:row>
      <xdr:rowOff>43546</xdr:rowOff>
    </xdr:from>
    <xdr:to>
      <xdr:col>2</xdr:col>
      <xdr:colOff>467143</xdr:colOff>
      <xdr:row>77</xdr:row>
      <xdr:rowOff>162346</xdr:rowOff>
    </xdr:to>
    <xdr:sp macro="" textlink="">
      <xdr:nvSpPr>
        <xdr:cNvPr id="102" name="Oval 101">
          <a:extLst>
            <a:ext uri="{FF2B5EF4-FFF2-40B4-BE49-F238E27FC236}">
              <a16:creationId xmlns:a16="http://schemas.microsoft.com/office/drawing/2014/main" id="{4C6EB84A-E730-4118-8BE6-132D3C288D0E}"/>
            </a:ext>
          </a:extLst>
        </xdr:cNvPr>
        <xdr:cNvSpPr>
          <a:spLocks noChangeAspect="1"/>
        </xdr:cNvSpPr>
      </xdr:nvSpPr>
      <xdr:spPr>
        <a:xfrm>
          <a:off x="1208314"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78</xdr:row>
      <xdr:rowOff>43545</xdr:rowOff>
    </xdr:from>
    <xdr:to>
      <xdr:col>2</xdr:col>
      <xdr:colOff>467143</xdr:colOff>
      <xdr:row>78</xdr:row>
      <xdr:rowOff>162345</xdr:rowOff>
    </xdr:to>
    <xdr:sp macro="" textlink="">
      <xdr:nvSpPr>
        <xdr:cNvPr id="103" name="Oval 102">
          <a:extLst>
            <a:ext uri="{FF2B5EF4-FFF2-40B4-BE49-F238E27FC236}">
              <a16:creationId xmlns:a16="http://schemas.microsoft.com/office/drawing/2014/main" id="{1306DA48-B05A-4454-A9AD-0576FE53F20B}"/>
            </a:ext>
          </a:extLst>
        </xdr:cNvPr>
        <xdr:cNvSpPr>
          <a:spLocks noChangeAspect="1"/>
        </xdr:cNvSpPr>
      </xdr:nvSpPr>
      <xdr:spPr>
        <a:xfrm>
          <a:off x="1208314"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80</xdr:row>
      <xdr:rowOff>54429</xdr:rowOff>
    </xdr:from>
    <xdr:to>
      <xdr:col>2</xdr:col>
      <xdr:colOff>467143</xdr:colOff>
      <xdr:row>80</xdr:row>
      <xdr:rowOff>173229</xdr:rowOff>
    </xdr:to>
    <xdr:sp macro="" textlink="">
      <xdr:nvSpPr>
        <xdr:cNvPr id="104" name="Oval 103">
          <a:extLst>
            <a:ext uri="{FF2B5EF4-FFF2-40B4-BE49-F238E27FC236}">
              <a16:creationId xmlns:a16="http://schemas.microsoft.com/office/drawing/2014/main" id="{B0CF57FA-24D0-45B5-A766-7E34DCFDF077}"/>
            </a:ext>
          </a:extLst>
        </xdr:cNvPr>
        <xdr:cNvSpPr>
          <a:spLocks noChangeAspect="1"/>
        </xdr:cNvSpPr>
      </xdr:nvSpPr>
      <xdr:spPr>
        <a:xfrm>
          <a:off x="1208314"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76</xdr:row>
      <xdr:rowOff>54430</xdr:rowOff>
    </xdr:from>
    <xdr:to>
      <xdr:col>8</xdr:col>
      <xdr:colOff>924343</xdr:colOff>
      <xdr:row>76</xdr:row>
      <xdr:rowOff>173230</xdr:rowOff>
    </xdr:to>
    <xdr:sp macro="" textlink="">
      <xdr:nvSpPr>
        <xdr:cNvPr id="105" name="Oval 104">
          <a:extLst>
            <a:ext uri="{FF2B5EF4-FFF2-40B4-BE49-F238E27FC236}">
              <a16:creationId xmlns:a16="http://schemas.microsoft.com/office/drawing/2014/main" id="{1860B470-32FA-4534-AC33-4D012A65F639}"/>
            </a:ext>
          </a:extLst>
        </xdr:cNvPr>
        <xdr:cNvSpPr>
          <a:spLocks noChangeAspect="1"/>
        </xdr:cNvSpPr>
      </xdr:nvSpPr>
      <xdr:spPr>
        <a:xfrm>
          <a:off x="7010400" y="11484430"/>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77</xdr:row>
      <xdr:rowOff>43546</xdr:rowOff>
    </xdr:from>
    <xdr:to>
      <xdr:col>8</xdr:col>
      <xdr:colOff>924343</xdr:colOff>
      <xdr:row>77</xdr:row>
      <xdr:rowOff>162346</xdr:rowOff>
    </xdr:to>
    <xdr:sp macro="" textlink="">
      <xdr:nvSpPr>
        <xdr:cNvPr id="106" name="Oval 105">
          <a:extLst>
            <a:ext uri="{FF2B5EF4-FFF2-40B4-BE49-F238E27FC236}">
              <a16:creationId xmlns:a16="http://schemas.microsoft.com/office/drawing/2014/main" id="{72A83AB3-E35F-456D-921D-35B620B3FAF6}"/>
            </a:ext>
          </a:extLst>
        </xdr:cNvPr>
        <xdr:cNvSpPr>
          <a:spLocks noChangeAspect="1"/>
        </xdr:cNvSpPr>
      </xdr:nvSpPr>
      <xdr:spPr>
        <a:xfrm>
          <a:off x="7010400" y="11691260"/>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78</xdr:row>
      <xdr:rowOff>43545</xdr:rowOff>
    </xdr:from>
    <xdr:to>
      <xdr:col>8</xdr:col>
      <xdr:colOff>924343</xdr:colOff>
      <xdr:row>78</xdr:row>
      <xdr:rowOff>162345</xdr:rowOff>
    </xdr:to>
    <xdr:sp macro="" textlink="">
      <xdr:nvSpPr>
        <xdr:cNvPr id="107" name="Oval 106">
          <a:extLst>
            <a:ext uri="{FF2B5EF4-FFF2-40B4-BE49-F238E27FC236}">
              <a16:creationId xmlns:a16="http://schemas.microsoft.com/office/drawing/2014/main" id="{8E02AA4E-6F70-404B-B092-DE1AB41BE694}"/>
            </a:ext>
          </a:extLst>
        </xdr:cNvPr>
        <xdr:cNvSpPr>
          <a:spLocks noChangeAspect="1"/>
        </xdr:cNvSpPr>
      </xdr:nvSpPr>
      <xdr:spPr>
        <a:xfrm>
          <a:off x="7010400" y="11908974"/>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80</xdr:row>
      <xdr:rowOff>54429</xdr:rowOff>
    </xdr:from>
    <xdr:to>
      <xdr:col>8</xdr:col>
      <xdr:colOff>924343</xdr:colOff>
      <xdr:row>80</xdr:row>
      <xdr:rowOff>173229</xdr:rowOff>
    </xdr:to>
    <xdr:sp macro="" textlink="">
      <xdr:nvSpPr>
        <xdr:cNvPr id="108" name="Oval 107">
          <a:extLst>
            <a:ext uri="{FF2B5EF4-FFF2-40B4-BE49-F238E27FC236}">
              <a16:creationId xmlns:a16="http://schemas.microsoft.com/office/drawing/2014/main" id="{F0C46E7A-BEBF-43B6-91B4-09961D6BF32D}"/>
            </a:ext>
          </a:extLst>
        </xdr:cNvPr>
        <xdr:cNvSpPr>
          <a:spLocks noChangeAspect="1"/>
        </xdr:cNvSpPr>
      </xdr:nvSpPr>
      <xdr:spPr>
        <a:xfrm>
          <a:off x="7010400" y="12355286"/>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79</xdr:row>
      <xdr:rowOff>54427</xdr:rowOff>
    </xdr:from>
    <xdr:to>
      <xdr:col>2</xdr:col>
      <xdr:colOff>467143</xdr:colOff>
      <xdr:row>79</xdr:row>
      <xdr:rowOff>173227</xdr:rowOff>
    </xdr:to>
    <xdr:sp macro="" textlink="">
      <xdr:nvSpPr>
        <xdr:cNvPr id="109" name="Oval 108">
          <a:extLst>
            <a:ext uri="{FF2B5EF4-FFF2-40B4-BE49-F238E27FC236}">
              <a16:creationId xmlns:a16="http://schemas.microsoft.com/office/drawing/2014/main" id="{AD1A966B-AEAF-462C-8118-2B4630EDB702}"/>
            </a:ext>
          </a:extLst>
        </xdr:cNvPr>
        <xdr:cNvSpPr>
          <a:spLocks noChangeAspect="1"/>
        </xdr:cNvSpPr>
      </xdr:nvSpPr>
      <xdr:spPr>
        <a:xfrm>
          <a:off x="1208314"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79</xdr:row>
      <xdr:rowOff>54427</xdr:rowOff>
    </xdr:from>
    <xdr:to>
      <xdr:col>8</xdr:col>
      <xdr:colOff>924343</xdr:colOff>
      <xdr:row>79</xdr:row>
      <xdr:rowOff>173227</xdr:rowOff>
    </xdr:to>
    <xdr:sp macro="" textlink="">
      <xdr:nvSpPr>
        <xdr:cNvPr id="110" name="Oval 109">
          <a:extLst>
            <a:ext uri="{FF2B5EF4-FFF2-40B4-BE49-F238E27FC236}">
              <a16:creationId xmlns:a16="http://schemas.microsoft.com/office/drawing/2014/main" id="{3B22E9EF-081E-4F04-B8DC-A261C141F02A}"/>
            </a:ext>
          </a:extLst>
        </xdr:cNvPr>
        <xdr:cNvSpPr>
          <a:spLocks noChangeAspect="1"/>
        </xdr:cNvSpPr>
      </xdr:nvSpPr>
      <xdr:spPr>
        <a:xfrm>
          <a:off x="7010400" y="12137570"/>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101</xdr:row>
      <xdr:rowOff>54430</xdr:rowOff>
    </xdr:from>
    <xdr:to>
      <xdr:col>2</xdr:col>
      <xdr:colOff>467143</xdr:colOff>
      <xdr:row>101</xdr:row>
      <xdr:rowOff>173230</xdr:rowOff>
    </xdr:to>
    <xdr:sp macro="" textlink="">
      <xdr:nvSpPr>
        <xdr:cNvPr id="111" name="Oval 110">
          <a:extLst>
            <a:ext uri="{FF2B5EF4-FFF2-40B4-BE49-F238E27FC236}">
              <a16:creationId xmlns:a16="http://schemas.microsoft.com/office/drawing/2014/main" id="{155CF275-D095-4CE5-BDED-9B37FF26CE4E}"/>
            </a:ext>
          </a:extLst>
        </xdr:cNvPr>
        <xdr:cNvSpPr>
          <a:spLocks noChangeAspect="1"/>
        </xdr:cNvSpPr>
      </xdr:nvSpPr>
      <xdr:spPr>
        <a:xfrm>
          <a:off x="1208314"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102</xdr:row>
      <xdr:rowOff>43546</xdr:rowOff>
    </xdr:from>
    <xdr:to>
      <xdr:col>2</xdr:col>
      <xdr:colOff>467143</xdr:colOff>
      <xdr:row>102</xdr:row>
      <xdr:rowOff>162346</xdr:rowOff>
    </xdr:to>
    <xdr:sp macro="" textlink="">
      <xdr:nvSpPr>
        <xdr:cNvPr id="112" name="Oval 111">
          <a:extLst>
            <a:ext uri="{FF2B5EF4-FFF2-40B4-BE49-F238E27FC236}">
              <a16:creationId xmlns:a16="http://schemas.microsoft.com/office/drawing/2014/main" id="{933082E4-F0F3-45FB-93C0-A5B8C1B3D1B0}"/>
            </a:ext>
          </a:extLst>
        </xdr:cNvPr>
        <xdr:cNvSpPr>
          <a:spLocks noChangeAspect="1"/>
        </xdr:cNvSpPr>
      </xdr:nvSpPr>
      <xdr:spPr>
        <a:xfrm>
          <a:off x="1208314"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103</xdr:row>
      <xdr:rowOff>43545</xdr:rowOff>
    </xdr:from>
    <xdr:to>
      <xdr:col>2</xdr:col>
      <xdr:colOff>467143</xdr:colOff>
      <xdr:row>103</xdr:row>
      <xdr:rowOff>162345</xdr:rowOff>
    </xdr:to>
    <xdr:sp macro="" textlink="">
      <xdr:nvSpPr>
        <xdr:cNvPr id="113" name="Oval 112">
          <a:extLst>
            <a:ext uri="{FF2B5EF4-FFF2-40B4-BE49-F238E27FC236}">
              <a16:creationId xmlns:a16="http://schemas.microsoft.com/office/drawing/2014/main" id="{EECC1E92-BA24-4A5C-9477-B57F7685C80F}"/>
            </a:ext>
          </a:extLst>
        </xdr:cNvPr>
        <xdr:cNvSpPr>
          <a:spLocks noChangeAspect="1"/>
        </xdr:cNvSpPr>
      </xdr:nvSpPr>
      <xdr:spPr>
        <a:xfrm>
          <a:off x="1208314"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105</xdr:row>
      <xdr:rowOff>54429</xdr:rowOff>
    </xdr:from>
    <xdr:to>
      <xdr:col>2</xdr:col>
      <xdr:colOff>467143</xdr:colOff>
      <xdr:row>105</xdr:row>
      <xdr:rowOff>173229</xdr:rowOff>
    </xdr:to>
    <xdr:sp macro="" textlink="">
      <xdr:nvSpPr>
        <xdr:cNvPr id="114" name="Oval 113">
          <a:extLst>
            <a:ext uri="{FF2B5EF4-FFF2-40B4-BE49-F238E27FC236}">
              <a16:creationId xmlns:a16="http://schemas.microsoft.com/office/drawing/2014/main" id="{6061528D-99AD-4563-A64B-7525F0FB3D35}"/>
            </a:ext>
          </a:extLst>
        </xdr:cNvPr>
        <xdr:cNvSpPr>
          <a:spLocks noChangeAspect="1"/>
        </xdr:cNvSpPr>
      </xdr:nvSpPr>
      <xdr:spPr>
        <a:xfrm>
          <a:off x="1208314"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104</xdr:row>
      <xdr:rowOff>54427</xdr:rowOff>
    </xdr:from>
    <xdr:to>
      <xdr:col>2</xdr:col>
      <xdr:colOff>467143</xdr:colOff>
      <xdr:row>104</xdr:row>
      <xdr:rowOff>173227</xdr:rowOff>
    </xdr:to>
    <xdr:sp macro="" textlink="">
      <xdr:nvSpPr>
        <xdr:cNvPr id="115" name="Oval 114">
          <a:extLst>
            <a:ext uri="{FF2B5EF4-FFF2-40B4-BE49-F238E27FC236}">
              <a16:creationId xmlns:a16="http://schemas.microsoft.com/office/drawing/2014/main" id="{D4239E7F-B2D0-404E-8D3A-FEF211BD4E26}"/>
            </a:ext>
          </a:extLst>
        </xdr:cNvPr>
        <xdr:cNvSpPr>
          <a:spLocks noChangeAspect="1"/>
        </xdr:cNvSpPr>
      </xdr:nvSpPr>
      <xdr:spPr>
        <a:xfrm>
          <a:off x="1208314"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101</xdr:row>
      <xdr:rowOff>54430</xdr:rowOff>
    </xdr:from>
    <xdr:to>
      <xdr:col>8</xdr:col>
      <xdr:colOff>924343</xdr:colOff>
      <xdr:row>101</xdr:row>
      <xdr:rowOff>173230</xdr:rowOff>
    </xdr:to>
    <xdr:sp macro="" textlink="">
      <xdr:nvSpPr>
        <xdr:cNvPr id="116" name="Oval 115">
          <a:extLst>
            <a:ext uri="{FF2B5EF4-FFF2-40B4-BE49-F238E27FC236}">
              <a16:creationId xmlns:a16="http://schemas.microsoft.com/office/drawing/2014/main" id="{A76965BD-FEFB-4C93-88F4-D654BAB9B10B}"/>
            </a:ext>
          </a:extLst>
        </xdr:cNvPr>
        <xdr:cNvSpPr>
          <a:spLocks noChangeAspect="1"/>
        </xdr:cNvSpPr>
      </xdr:nvSpPr>
      <xdr:spPr>
        <a:xfrm>
          <a:off x="7010400" y="17210316"/>
          <a:ext cx="118800" cy="118800"/>
        </a:xfrm>
        <a:prstGeom prst="ellipse">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102</xdr:row>
      <xdr:rowOff>43546</xdr:rowOff>
    </xdr:from>
    <xdr:to>
      <xdr:col>8</xdr:col>
      <xdr:colOff>924343</xdr:colOff>
      <xdr:row>102</xdr:row>
      <xdr:rowOff>162346</xdr:rowOff>
    </xdr:to>
    <xdr:sp macro="" textlink="">
      <xdr:nvSpPr>
        <xdr:cNvPr id="117" name="Oval 116">
          <a:extLst>
            <a:ext uri="{FF2B5EF4-FFF2-40B4-BE49-F238E27FC236}">
              <a16:creationId xmlns:a16="http://schemas.microsoft.com/office/drawing/2014/main" id="{A48E216D-F4B0-40BE-8167-31F153380296}"/>
            </a:ext>
          </a:extLst>
        </xdr:cNvPr>
        <xdr:cNvSpPr>
          <a:spLocks noChangeAspect="1"/>
        </xdr:cNvSpPr>
      </xdr:nvSpPr>
      <xdr:spPr>
        <a:xfrm>
          <a:off x="7010400" y="17417146"/>
          <a:ext cx="118800" cy="11880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103</xdr:row>
      <xdr:rowOff>43545</xdr:rowOff>
    </xdr:from>
    <xdr:to>
      <xdr:col>8</xdr:col>
      <xdr:colOff>924343</xdr:colOff>
      <xdr:row>103</xdr:row>
      <xdr:rowOff>162345</xdr:rowOff>
    </xdr:to>
    <xdr:sp macro="" textlink="">
      <xdr:nvSpPr>
        <xdr:cNvPr id="118" name="Oval 117">
          <a:extLst>
            <a:ext uri="{FF2B5EF4-FFF2-40B4-BE49-F238E27FC236}">
              <a16:creationId xmlns:a16="http://schemas.microsoft.com/office/drawing/2014/main" id="{5AFD9B81-8657-4982-9ACA-A20DDE7AB2F3}"/>
            </a:ext>
          </a:extLst>
        </xdr:cNvPr>
        <xdr:cNvSpPr>
          <a:spLocks noChangeAspect="1"/>
        </xdr:cNvSpPr>
      </xdr:nvSpPr>
      <xdr:spPr>
        <a:xfrm>
          <a:off x="7010400" y="17634859"/>
          <a:ext cx="118800" cy="118800"/>
        </a:xfrm>
        <a:prstGeom prst="ellipse">
          <a:avLst/>
        </a:prstGeom>
        <a:solidFill>
          <a:srgbClr val="00B0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105</xdr:row>
      <xdr:rowOff>54429</xdr:rowOff>
    </xdr:from>
    <xdr:to>
      <xdr:col>8</xdr:col>
      <xdr:colOff>924343</xdr:colOff>
      <xdr:row>105</xdr:row>
      <xdr:rowOff>173229</xdr:rowOff>
    </xdr:to>
    <xdr:sp macro="" textlink="">
      <xdr:nvSpPr>
        <xdr:cNvPr id="119" name="Oval 118">
          <a:extLst>
            <a:ext uri="{FF2B5EF4-FFF2-40B4-BE49-F238E27FC236}">
              <a16:creationId xmlns:a16="http://schemas.microsoft.com/office/drawing/2014/main" id="{98E96808-EAE0-4B03-A92D-8FB89194FE03}"/>
            </a:ext>
          </a:extLst>
        </xdr:cNvPr>
        <xdr:cNvSpPr>
          <a:spLocks noChangeAspect="1"/>
        </xdr:cNvSpPr>
      </xdr:nvSpPr>
      <xdr:spPr>
        <a:xfrm>
          <a:off x="7010400" y="18081172"/>
          <a:ext cx="118800" cy="118800"/>
        </a:xfrm>
        <a:prstGeom prst="ellipse">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104</xdr:row>
      <xdr:rowOff>54427</xdr:rowOff>
    </xdr:from>
    <xdr:to>
      <xdr:col>8</xdr:col>
      <xdr:colOff>924343</xdr:colOff>
      <xdr:row>104</xdr:row>
      <xdr:rowOff>173227</xdr:rowOff>
    </xdr:to>
    <xdr:sp macro="" textlink="">
      <xdr:nvSpPr>
        <xdr:cNvPr id="120" name="Oval 119">
          <a:extLst>
            <a:ext uri="{FF2B5EF4-FFF2-40B4-BE49-F238E27FC236}">
              <a16:creationId xmlns:a16="http://schemas.microsoft.com/office/drawing/2014/main" id="{89ABBAA7-BC5F-4C22-81D0-5B82898F96D9}"/>
            </a:ext>
          </a:extLst>
        </xdr:cNvPr>
        <xdr:cNvSpPr>
          <a:spLocks noChangeAspect="1"/>
        </xdr:cNvSpPr>
      </xdr:nvSpPr>
      <xdr:spPr>
        <a:xfrm>
          <a:off x="7010400" y="17863456"/>
          <a:ext cx="118800" cy="118800"/>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101</xdr:row>
      <xdr:rowOff>54430</xdr:rowOff>
    </xdr:from>
    <xdr:to>
      <xdr:col>2</xdr:col>
      <xdr:colOff>467143</xdr:colOff>
      <xdr:row>101</xdr:row>
      <xdr:rowOff>173230</xdr:rowOff>
    </xdr:to>
    <xdr:sp macro="" textlink="">
      <xdr:nvSpPr>
        <xdr:cNvPr id="121" name="Oval 120">
          <a:extLst>
            <a:ext uri="{FF2B5EF4-FFF2-40B4-BE49-F238E27FC236}">
              <a16:creationId xmlns:a16="http://schemas.microsoft.com/office/drawing/2014/main" id="{49C39CF8-E423-429E-B965-7B643329D666}"/>
            </a:ext>
          </a:extLst>
        </xdr:cNvPr>
        <xdr:cNvSpPr>
          <a:spLocks noChangeAspect="1"/>
        </xdr:cNvSpPr>
      </xdr:nvSpPr>
      <xdr:spPr>
        <a:xfrm>
          <a:off x="1208314"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102</xdr:row>
      <xdr:rowOff>43546</xdr:rowOff>
    </xdr:from>
    <xdr:to>
      <xdr:col>2</xdr:col>
      <xdr:colOff>467143</xdr:colOff>
      <xdr:row>102</xdr:row>
      <xdr:rowOff>162346</xdr:rowOff>
    </xdr:to>
    <xdr:sp macro="" textlink="">
      <xdr:nvSpPr>
        <xdr:cNvPr id="122" name="Oval 121">
          <a:extLst>
            <a:ext uri="{FF2B5EF4-FFF2-40B4-BE49-F238E27FC236}">
              <a16:creationId xmlns:a16="http://schemas.microsoft.com/office/drawing/2014/main" id="{B6A4FAEB-E4B4-4016-86DC-64DC9E8D62F6}"/>
            </a:ext>
          </a:extLst>
        </xdr:cNvPr>
        <xdr:cNvSpPr>
          <a:spLocks noChangeAspect="1"/>
        </xdr:cNvSpPr>
      </xdr:nvSpPr>
      <xdr:spPr>
        <a:xfrm>
          <a:off x="1208314"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103</xdr:row>
      <xdr:rowOff>43545</xdr:rowOff>
    </xdr:from>
    <xdr:to>
      <xdr:col>2</xdr:col>
      <xdr:colOff>467143</xdr:colOff>
      <xdr:row>103</xdr:row>
      <xdr:rowOff>162345</xdr:rowOff>
    </xdr:to>
    <xdr:sp macro="" textlink="">
      <xdr:nvSpPr>
        <xdr:cNvPr id="123" name="Oval 122">
          <a:extLst>
            <a:ext uri="{FF2B5EF4-FFF2-40B4-BE49-F238E27FC236}">
              <a16:creationId xmlns:a16="http://schemas.microsoft.com/office/drawing/2014/main" id="{4A1AC8A2-07D8-407A-929F-B5373D3E7E25}"/>
            </a:ext>
          </a:extLst>
        </xdr:cNvPr>
        <xdr:cNvSpPr>
          <a:spLocks noChangeAspect="1"/>
        </xdr:cNvSpPr>
      </xdr:nvSpPr>
      <xdr:spPr>
        <a:xfrm>
          <a:off x="1208314"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105</xdr:row>
      <xdr:rowOff>54429</xdr:rowOff>
    </xdr:from>
    <xdr:to>
      <xdr:col>2</xdr:col>
      <xdr:colOff>467143</xdr:colOff>
      <xdr:row>105</xdr:row>
      <xdr:rowOff>173229</xdr:rowOff>
    </xdr:to>
    <xdr:sp macro="" textlink="">
      <xdr:nvSpPr>
        <xdr:cNvPr id="124" name="Oval 123">
          <a:extLst>
            <a:ext uri="{FF2B5EF4-FFF2-40B4-BE49-F238E27FC236}">
              <a16:creationId xmlns:a16="http://schemas.microsoft.com/office/drawing/2014/main" id="{BFBA409A-450B-4168-AC86-F27F2CF5F7E6}"/>
            </a:ext>
          </a:extLst>
        </xdr:cNvPr>
        <xdr:cNvSpPr>
          <a:spLocks noChangeAspect="1"/>
        </xdr:cNvSpPr>
      </xdr:nvSpPr>
      <xdr:spPr>
        <a:xfrm>
          <a:off x="1208314"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101</xdr:row>
      <xdr:rowOff>54430</xdr:rowOff>
    </xdr:from>
    <xdr:to>
      <xdr:col>8</xdr:col>
      <xdr:colOff>924343</xdr:colOff>
      <xdr:row>101</xdr:row>
      <xdr:rowOff>173230</xdr:rowOff>
    </xdr:to>
    <xdr:sp macro="" textlink="">
      <xdr:nvSpPr>
        <xdr:cNvPr id="125" name="Oval 124">
          <a:extLst>
            <a:ext uri="{FF2B5EF4-FFF2-40B4-BE49-F238E27FC236}">
              <a16:creationId xmlns:a16="http://schemas.microsoft.com/office/drawing/2014/main" id="{62D7D9C9-BF4B-4325-A413-9EFA59C135B1}"/>
            </a:ext>
          </a:extLst>
        </xdr:cNvPr>
        <xdr:cNvSpPr>
          <a:spLocks noChangeAspect="1"/>
        </xdr:cNvSpPr>
      </xdr:nvSpPr>
      <xdr:spPr>
        <a:xfrm>
          <a:off x="7010400" y="17210316"/>
          <a:ext cx="118800" cy="118800"/>
        </a:xfrm>
        <a:prstGeom prst="ellipse">
          <a:avLst/>
        </a:prstGeom>
        <a:solidFill>
          <a:srgbClr val="75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102</xdr:row>
      <xdr:rowOff>43546</xdr:rowOff>
    </xdr:from>
    <xdr:to>
      <xdr:col>8</xdr:col>
      <xdr:colOff>924343</xdr:colOff>
      <xdr:row>102</xdr:row>
      <xdr:rowOff>162346</xdr:rowOff>
    </xdr:to>
    <xdr:sp macro="" textlink="">
      <xdr:nvSpPr>
        <xdr:cNvPr id="126" name="Oval 125">
          <a:extLst>
            <a:ext uri="{FF2B5EF4-FFF2-40B4-BE49-F238E27FC236}">
              <a16:creationId xmlns:a16="http://schemas.microsoft.com/office/drawing/2014/main" id="{CBBB248F-7410-4956-81F5-A50D2C853CED}"/>
            </a:ext>
          </a:extLst>
        </xdr:cNvPr>
        <xdr:cNvSpPr>
          <a:spLocks noChangeAspect="1"/>
        </xdr:cNvSpPr>
      </xdr:nvSpPr>
      <xdr:spPr>
        <a:xfrm>
          <a:off x="7010400" y="17417146"/>
          <a:ext cx="118800" cy="118800"/>
        </a:xfrm>
        <a:prstGeom prst="ellipse">
          <a:avLst/>
        </a:prstGeom>
        <a:solidFill>
          <a:srgbClr val="FFE08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103</xdr:row>
      <xdr:rowOff>43545</xdr:rowOff>
    </xdr:from>
    <xdr:to>
      <xdr:col>8</xdr:col>
      <xdr:colOff>924343</xdr:colOff>
      <xdr:row>103</xdr:row>
      <xdr:rowOff>162345</xdr:rowOff>
    </xdr:to>
    <xdr:sp macro="" textlink="">
      <xdr:nvSpPr>
        <xdr:cNvPr id="127" name="Oval 126">
          <a:extLst>
            <a:ext uri="{FF2B5EF4-FFF2-40B4-BE49-F238E27FC236}">
              <a16:creationId xmlns:a16="http://schemas.microsoft.com/office/drawing/2014/main" id="{A2959FCF-8F21-4DFC-91AB-B50F265827CB}"/>
            </a:ext>
          </a:extLst>
        </xdr:cNvPr>
        <xdr:cNvSpPr>
          <a:spLocks noChangeAspect="1"/>
        </xdr:cNvSpPr>
      </xdr:nvSpPr>
      <xdr:spPr>
        <a:xfrm>
          <a:off x="7010400" y="17634859"/>
          <a:ext cx="118800" cy="118800"/>
        </a:xfrm>
        <a:prstGeom prst="ellipse">
          <a:avLst/>
        </a:prstGeom>
        <a:solidFill>
          <a:srgbClr val="C0E2C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105</xdr:row>
      <xdr:rowOff>54429</xdr:rowOff>
    </xdr:from>
    <xdr:to>
      <xdr:col>8</xdr:col>
      <xdr:colOff>924343</xdr:colOff>
      <xdr:row>105</xdr:row>
      <xdr:rowOff>173229</xdr:rowOff>
    </xdr:to>
    <xdr:sp macro="" textlink="">
      <xdr:nvSpPr>
        <xdr:cNvPr id="128" name="Oval 127">
          <a:extLst>
            <a:ext uri="{FF2B5EF4-FFF2-40B4-BE49-F238E27FC236}">
              <a16:creationId xmlns:a16="http://schemas.microsoft.com/office/drawing/2014/main" id="{0F782D06-6813-41F1-B285-F2ED6FD9E046}"/>
            </a:ext>
          </a:extLst>
        </xdr:cNvPr>
        <xdr:cNvSpPr>
          <a:spLocks noChangeAspect="1"/>
        </xdr:cNvSpPr>
      </xdr:nvSpPr>
      <xdr:spPr>
        <a:xfrm>
          <a:off x="7010400" y="18081172"/>
          <a:ext cx="118800" cy="118800"/>
        </a:xfrm>
        <a:prstGeom prst="ellipse">
          <a:avLst/>
        </a:prstGeom>
        <a:solidFill>
          <a:srgbClr val="FF595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2</xdr:col>
      <xdr:colOff>348343</xdr:colOff>
      <xdr:row>104</xdr:row>
      <xdr:rowOff>54427</xdr:rowOff>
    </xdr:from>
    <xdr:to>
      <xdr:col>2</xdr:col>
      <xdr:colOff>467143</xdr:colOff>
      <xdr:row>104</xdr:row>
      <xdr:rowOff>173227</xdr:rowOff>
    </xdr:to>
    <xdr:sp macro="" textlink="">
      <xdr:nvSpPr>
        <xdr:cNvPr id="129" name="Oval 128">
          <a:extLst>
            <a:ext uri="{FF2B5EF4-FFF2-40B4-BE49-F238E27FC236}">
              <a16:creationId xmlns:a16="http://schemas.microsoft.com/office/drawing/2014/main" id="{6666BF28-6F62-4E3F-9A20-CCE260498B79}"/>
            </a:ext>
          </a:extLst>
        </xdr:cNvPr>
        <xdr:cNvSpPr>
          <a:spLocks noChangeAspect="1"/>
        </xdr:cNvSpPr>
      </xdr:nvSpPr>
      <xdr:spPr>
        <a:xfrm>
          <a:off x="1208314"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8</xdr:col>
      <xdr:colOff>805543</xdr:colOff>
      <xdr:row>104</xdr:row>
      <xdr:rowOff>54427</xdr:rowOff>
    </xdr:from>
    <xdr:to>
      <xdr:col>8</xdr:col>
      <xdr:colOff>924343</xdr:colOff>
      <xdr:row>104</xdr:row>
      <xdr:rowOff>173227</xdr:rowOff>
    </xdr:to>
    <xdr:sp macro="" textlink="">
      <xdr:nvSpPr>
        <xdr:cNvPr id="130" name="Oval 129">
          <a:extLst>
            <a:ext uri="{FF2B5EF4-FFF2-40B4-BE49-F238E27FC236}">
              <a16:creationId xmlns:a16="http://schemas.microsoft.com/office/drawing/2014/main" id="{72CF095F-3331-4ECA-80DE-48E087B2B0B9}"/>
            </a:ext>
          </a:extLst>
        </xdr:cNvPr>
        <xdr:cNvSpPr>
          <a:spLocks noChangeAspect="1"/>
        </xdr:cNvSpPr>
      </xdr:nvSpPr>
      <xdr:spPr>
        <a:xfrm>
          <a:off x="7010400" y="17863456"/>
          <a:ext cx="118800" cy="118800"/>
        </a:xfrm>
        <a:prstGeom prst="ellipse">
          <a:avLst/>
        </a:prstGeom>
        <a:solidFill>
          <a:srgbClr val="63E2E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endParaRPr lang="pt-PT"/>
        </a:p>
      </xdr:txBody>
    </xdr:sp>
    <xdr:clientData/>
  </xdr:twoCellAnchor>
  <xdr:twoCellAnchor>
    <xdr:from>
      <xdr:col>4</xdr:col>
      <xdr:colOff>353581</xdr:colOff>
      <xdr:row>37</xdr:row>
      <xdr:rowOff>205998</xdr:rowOff>
    </xdr:from>
    <xdr:to>
      <xdr:col>5</xdr:col>
      <xdr:colOff>503765</xdr:colOff>
      <xdr:row>39</xdr:row>
      <xdr:rowOff>227770</xdr:rowOff>
    </xdr:to>
    <xdr:sp macro="" textlink="">
      <xdr:nvSpPr>
        <xdr:cNvPr id="131" name="TextBox 130">
          <a:extLst>
            <a:ext uri="{FF2B5EF4-FFF2-40B4-BE49-F238E27FC236}">
              <a16:creationId xmlns:a16="http://schemas.microsoft.com/office/drawing/2014/main" id="{42958807-64A3-9FE6-FB10-BC41E7FC2603}"/>
            </a:ext>
          </a:extLst>
        </xdr:cNvPr>
        <xdr:cNvSpPr txBox="1"/>
      </xdr:nvSpPr>
      <xdr:spPr>
        <a:xfrm>
          <a:off x="3386253" y="8460998"/>
          <a:ext cx="741391"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26</a:t>
          </a:r>
        </a:p>
      </xdr:txBody>
    </xdr:sp>
    <xdr:clientData/>
  </xdr:twoCellAnchor>
  <xdr:twoCellAnchor>
    <xdr:from>
      <xdr:col>10</xdr:col>
      <xdr:colOff>772886</xdr:colOff>
      <xdr:row>37</xdr:row>
      <xdr:rowOff>207395</xdr:rowOff>
    </xdr:from>
    <xdr:to>
      <xdr:col>10</xdr:col>
      <xdr:colOff>1534886</xdr:colOff>
      <xdr:row>39</xdr:row>
      <xdr:rowOff>229167</xdr:rowOff>
    </xdr:to>
    <xdr:sp macro="" textlink="">
      <xdr:nvSpPr>
        <xdr:cNvPr id="132" name="TextBox 131">
          <a:extLst>
            <a:ext uri="{FF2B5EF4-FFF2-40B4-BE49-F238E27FC236}">
              <a16:creationId xmlns:a16="http://schemas.microsoft.com/office/drawing/2014/main" id="{D057A9F9-8E4F-48F5-A66B-9FE73F86FCD5}"/>
            </a:ext>
          </a:extLst>
        </xdr:cNvPr>
        <xdr:cNvSpPr txBox="1"/>
      </xdr:nvSpPr>
      <xdr:spPr>
        <a:xfrm>
          <a:off x="8841765" y="8462395"/>
          <a:ext cx="762000"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81</a:t>
          </a:r>
        </a:p>
      </xdr:txBody>
    </xdr:sp>
    <xdr:clientData/>
  </xdr:twoCellAnchor>
  <xdr:twoCellAnchor>
    <xdr:from>
      <xdr:col>4</xdr:col>
      <xdr:colOff>424233</xdr:colOff>
      <xdr:row>64</xdr:row>
      <xdr:rowOff>10387</xdr:rowOff>
    </xdr:from>
    <xdr:to>
      <xdr:col>5</xdr:col>
      <xdr:colOff>576633</xdr:colOff>
      <xdr:row>66</xdr:row>
      <xdr:rowOff>32158</xdr:rowOff>
    </xdr:to>
    <xdr:sp macro="" textlink="">
      <xdr:nvSpPr>
        <xdr:cNvPr id="133" name="TextBox 132">
          <a:extLst>
            <a:ext uri="{FF2B5EF4-FFF2-40B4-BE49-F238E27FC236}">
              <a16:creationId xmlns:a16="http://schemas.microsoft.com/office/drawing/2014/main" id="{076D5523-3210-47DD-9B5B-1BB24351350B}"/>
            </a:ext>
          </a:extLst>
        </xdr:cNvPr>
        <xdr:cNvSpPr txBox="1"/>
      </xdr:nvSpPr>
      <xdr:spPr>
        <a:xfrm>
          <a:off x="3456905" y="14812456"/>
          <a:ext cx="743607" cy="503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4</a:t>
          </a:r>
        </a:p>
      </xdr:txBody>
    </xdr:sp>
    <xdr:clientData/>
  </xdr:twoCellAnchor>
  <xdr:twoCellAnchor>
    <xdr:from>
      <xdr:col>10</xdr:col>
      <xdr:colOff>751115</xdr:colOff>
      <xdr:row>64</xdr:row>
      <xdr:rowOff>10387</xdr:rowOff>
    </xdr:from>
    <xdr:to>
      <xdr:col>10</xdr:col>
      <xdr:colOff>1513115</xdr:colOff>
      <xdr:row>66</xdr:row>
      <xdr:rowOff>32158</xdr:rowOff>
    </xdr:to>
    <xdr:sp macro="" textlink="">
      <xdr:nvSpPr>
        <xdr:cNvPr id="134" name="TextBox 133">
          <a:extLst>
            <a:ext uri="{FF2B5EF4-FFF2-40B4-BE49-F238E27FC236}">
              <a16:creationId xmlns:a16="http://schemas.microsoft.com/office/drawing/2014/main" id="{61CC9ABF-2BAC-4FF4-9EFB-6559D737DE77}"/>
            </a:ext>
          </a:extLst>
        </xdr:cNvPr>
        <xdr:cNvSpPr txBox="1"/>
      </xdr:nvSpPr>
      <xdr:spPr>
        <a:xfrm>
          <a:off x="8819994" y="14812456"/>
          <a:ext cx="762000" cy="5034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15</a:t>
          </a:r>
        </a:p>
      </xdr:txBody>
    </xdr:sp>
    <xdr:clientData/>
  </xdr:twoCellAnchor>
  <xdr:twoCellAnchor>
    <xdr:from>
      <xdr:col>4</xdr:col>
      <xdr:colOff>402772</xdr:colOff>
      <xdr:row>88</xdr:row>
      <xdr:rowOff>218468</xdr:rowOff>
    </xdr:from>
    <xdr:to>
      <xdr:col>5</xdr:col>
      <xdr:colOff>555172</xdr:colOff>
      <xdr:row>90</xdr:row>
      <xdr:rowOff>240240</xdr:rowOff>
    </xdr:to>
    <xdr:sp macro="" textlink="">
      <xdr:nvSpPr>
        <xdr:cNvPr id="135" name="TextBox 134">
          <a:extLst>
            <a:ext uri="{FF2B5EF4-FFF2-40B4-BE49-F238E27FC236}">
              <a16:creationId xmlns:a16="http://schemas.microsoft.com/office/drawing/2014/main" id="{B1776767-5E11-4A8D-899F-C786319E55AF}"/>
            </a:ext>
          </a:extLst>
        </xdr:cNvPr>
        <xdr:cNvSpPr txBox="1"/>
      </xdr:nvSpPr>
      <xdr:spPr>
        <a:xfrm>
          <a:off x="3435444" y="20845020"/>
          <a:ext cx="743607"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xdr:from>
      <xdr:col>10</xdr:col>
      <xdr:colOff>772886</xdr:colOff>
      <xdr:row>88</xdr:row>
      <xdr:rowOff>218468</xdr:rowOff>
    </xdr:from>
    <xdr:to>
      <xdr:col>10</xdr:col>
      <xdr:colOff>1534886</xdr:colOff>
      <xdr:row>90</xdr:row>
      <xdr:rowOff>240240</xdr:rowOff>
    </xdr:to>
    <xdr:sp macro="" textlink="">
      <xdr:nvSpPr>
        <xdr:cNvPr id="136" name="TextBox 135">
          <a:extLst>
            <a:ext uri="{FF2B5EF4-FFF2-40B4-BE49-F238E27FC236}">
              <a16:creationId xmlns:a16="http://schemas.microsoft.com/office/drawing/2014/main" id="{B79C0A6B-0F9F-4FD3-A3BA-F0ADEFD4C920}"/>
            </a:ext>
          </a:extLst>
        </xdr:cNvPr>
        <xdr:cNvSpPr txBox="1"/>
      </xdr:nvSpPr>
      <xdr:spPr>
        <a:xfrm>
          <a:off x="8841765" y="20845020"/>
          <a:ext cx="762000" cy="5034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PT" sz="2000" b="1">
              <a:latin typeface="Santander Headline" panose="020B0504020201020104" pitchFamily="34" charset="0"/>
              <a:ea typeface="Sans Serif Collection" panose="020B0502040504020204" pitchFamily="34" charset="0"/>
              <a:cs typeface="Sans Serif Collection" panose="020B0502040504020204" pitchFamily="34" charset="0"/>
            </a:rPr>
            <a:t># 11</a:t>
          </a:r>
        </a:p>
      </xdr:txBody>
    </xdr:sp>
    <xdr:clientData/>
  </xdr:twoCellAnchor>
  <xdr:twoCellAnchor editAs="absolute">
    <xdr:from>
      <xdr:col>1</xdr:col>
      <xdr:colOff>0</xdr:colOff>
      <xdr:row>1</xdr:row>
      <xdr:rowOff>45234</xdr:rowOff>
    </xdr:from>
    <xdr:to>
      <xdr:col>3</xdr:col>
      <xdr:colOff>77472</xdr:colOff>
      <xdr:row>2</xdr:row>
      <xdr:rowOff>141037</xdr:rowOff>
    </xdr:to>
    <xdr:pic>
      <xdr:nvPicPr>
        <xdr:cNvPr id="40" name="Gráfico 10">
          <a:extLst>
            <a:ext uri="{FF2B5EF4-FFF2-40B4-BE49-F238E27FC236}">
              <a16:creationId xmlns:a16="http://schemas.microsoft.com/office/drawing/2014/main" id="{49BFACAB-E00C-4CFC-9100-E627201ACEA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43417" y="172234"/>
          <a:ext cx="1252222" cy="254553"/>
        </a:xfrm>
        <a:prstGeom prst="rect">
          <a:avLst/>
        </a:prstGeom>
      </xdr:spPr>
    </xdr:pic>
    <xdr:clientData/>
  </xdr:twoCellAnchor>
  <xdr:twoCellAnchor>
    <xdr:from>
      <xdr:col>3</xdr:col>
      <xdr:colOff>296326</xdr:colOff>
      <xdr:row>0</xdr:row>
      <xdr:rowOff>95251</xdr:rowOff>
    </xdr:from>
    <xdr:to>
      <xdr:col>3</xdr:col>
      <xdr:colOff>1132413</xdr:colOff>
      <xdr:row>3</xdr:row>
      <xdr:rowOff>65654</xdr:rowOff>
    </xdr:to>
    <xdr:pic>
      <xdr:nvPicPr>
        <xdr:cNvPr id="41" name="Graphic 267">
          <a:extLst>
            <a:ext uri="{FF2B5EF4-FFF2-40B4-BE49-F238E27FC236}">
              <a16:creationId xmlns:a16="http://schemas.microsoft.com/office/drawing/2014/main" id="{3C0B5B1D-273B-45B6-9013-28F3A5EFCC88}"/>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714493" y="95251"/>
          <a:ext cx="836087" cy="4149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45234</xdr:rowOff>
    </xdr:from>
    <xdr:to>
      <xdr:col>2</xdr:col>
      <xdr:colOff>744222</xdr:colOff>
      <xdr:row>2</xdr:row>
      <xdr:rowOff>141037</xdr:rowOff>
    </xdr:to>
    <xdr:pic>
      <xdr:nvPicPr>
        <xdr:cNvPr id="12" name="Gráfico 10">
          <a:extLst>
            <a:ext uri="{FF2B5EF4-FFF2-40B4-BE49-F238E27FC236}">
              <a16:creationId xmlns:a16="http://schemas.microsoft.com/office/drawing/2014/main" id="{3D28117D-793D-4651-B15B-B5AC17717F8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3417" y="172234"/>
          <a:ext cx="1252222" cy="254553"/>
        </a:xfrm>
        <a:prstGeom prst="rect">
          <a:avLst/>
        </a:prstGeom>
      </xdr:spPr>
    </xdr:pic>
    <xdr:clientData/>
  </xdr:twoCellAnchor>
  <xdr:twoCellAnchor>
    <xdr:from>
      <xdr:col>3</xdr:col>
      <xdr:colOff>42326</xdr:colOff>
      <xdr:row>0</xdr:row>
      <xdr:rowOff>95251</xdr:rowOff>
    </xdr:from>
    <xdr:to>
      <xdr:col>3</xdr:col>
      <xdr:colOff>878413</xdr:colOff>
      <xdr:row>3</xdr:row>
      <xdr:rowOff>65654</xdr:rowOff>
    </xdr:to>
    <xdr:pic>
      <xdr:nvPicPr>
        <xdr:cNvPr id="13" name="Graphic 267">
          <a:extLst>
            <a:ext uri="{FF2B5EF4-FFF2-40B4-BE49-F238E27FC236}">
              <a16:creationId xmlns:a16="http://schemas.microsoft.com/office/drawing/2014/main" id="{AE629392-D5BA-46B8-A9E9-60E9DD2875C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714493" y="95251"/>
          <a:ext cx="836087" cy="414903"/>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5EC7289C-21F3-4DD2-BE5B-FDA8CEB0691D}"/>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6961FDC1-A236-47CB-B6B6-17AFE090DCB9}"/>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ev" id="{4F9C92C8-AC6A-4B09-ABC2-D396F8232055}"/>
</namedSheetView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microsoft.com/office/2019/04/relationships/namedSheetView" Target="../namedSheetViews/namedSheetView2.xml"/></Relationships>
</file>

<file path=xl/worksheets/_rels/sheet6.xml.rels><?xml version="1.0" encoding="UTF-8" standalone="yes"?>
<Relationships xmlns="http://schemas.openxmlformats.org/package/2006/relationships"><Relationship Id="rId1" Type="http://schemas.microsoft.com/office/2019/04/relationships/namedSheetView" Target="../namedSheetViews/namedSheetView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26F16-F905-45F4-A73D-E85E5CE8CF4F}">
  <dimension ref="A1:AT114"/>
  <sheetViews>
    <sheetView showGridLines="0" tabSelected="1" topLeftCell="B50" zoomScale="90" zoomScaleNormal="90" workbookViewId="0">
      <selection activeCell="K50" sqref="K50:L50"/>
    </sheetView>
  </sheetViews>
  <sheetFormatPr defaultColWidth="0" defaultRowHeight="15" zeroHeight="1"/>
  <cols>
    <col min="1" max="1" width="3.7109375" customWidth="1"/>
    <col min="2" max="2" width="8.7109375" customWidth="1"/>
    <col min="3" max="3" width="8.85546875" customWidth="1"/>
    <col min="4" max="4" width="24.140625" bestFit="1" customWidth="1"/>
    <col min="5" max="5" width="8.85546875" customWidth="1"/>
    <col min="6" max="6" width="12.28515625" bestFit="1" customWidth="1"/>
    <col min="7" max="7" width="12.140625" bestFit="1" customWidth="1"/>
    <col min="8" max="8" width="11.7109375" bestFit="1" customWidth="1"/>
    <col min="9" max="9" width="15.28515625" bestFit="1" customWidth="1"/>
    <col min="10" max="10" width="15.28515625" customWidth="1"/>
    <col min="11" max="11" width="24.140625" customWidth="1"/>
    <col min="12" max="12" width="8.85546875" customWidth="1"/>
    <col min="13" max="13" width="12.28515625" customWidth="1"/>
    <col min="14" max="14" width="12.140625" customWidth="1"/>
    <col min="15" max="26" width="8.85546875" customWidth="1"/>
    <col min="27" max="27" width="8.7109375" customWidth="1"/>
    <col min="28" max="28" width="3.7109375" customWidth="1"/>
    <col min="29" max="46" width="0" hidden="1" customWidth="1"/>
    <col min="47" max="16384" width="8.85546875" hidden="1"/>
  </cols>
  <sheetData>
    <row r="1" spans="1:28" ht="10.15" customHeight="1">
      <c r="A1" s="1"/>
      <c r="B1" s="1"/>
      <c r="C1" s="1"/>
      <c r="D1" s="1"/>
      <c r="E1" s="1"/>
      <c r="F1" s="1"/>
      <c r="G1" s="1"/>
      <c r="H1" s="1"/>
      <c r="I1" s="1"/>
      <c r="J1" s="1"/>
      <c r="K1" s="1"/>
      <c r="L1" s="1"/>
      <c r="M1" s="1"/>
      <c r="N1" s="1"/>
      <c r="O1" s="1"/>
      <c r="P1" s="1"/>
      <c r="Q1" s="1"/>
      <c r="R1" s="1"/>
      <c r="S1" s="1"/>
      <c r="T1" s="1"/>
      <c r="U1" s="1"/>
      <c r="V1" s="1"/>
      <c r="W1" s="1"/>
      <c r="X1" s="1"/>
      <c r="Y1" s="1"/>
      <c r="Z1" s="1"/>
      <c r="AA1" s="1"/>
      <c r="AB1" s="1"/>
    </row>
    <row r="2" spans="1:28" ht="13.35" customHeight="1">
      <c r="A2" s="1"/>
      <c r="B2" s="1"/>
      <c r="C2" s="1"/>
      <c r="D2" s="1"/>
      <c r="E2" s="1"/>
      <c r="F2" s="1"/>
      <c r="G2" s="1"/>
      <c r="H2" s="1"/>
      <c r="I2" s="1"/>
      <c r="J2" s="1"/>
      <c r="K2" s="1"/>
      <c r="L2" s="1"/>
      <c r="M2" s="1"/>
      <c r="N2" s="1"/>
      <c r="O2" s="1"/>
      <c r="P2" s="1"/>
      <c r="Q2" s="1"/>
      <c r="R2" s="1"/>
      <c r="S2" s="1"/>
      <c r="T2" s="1"/>
      <c r="U2" s="1"/>
      <c r="V2" s="1"/>
      <c r="W2" s="1"/>
      <c r="X2" s="1"/>
      <c r="Y2" s="1"/>
      <c r="Z2" s="1"/>
      <c r="AA2" s="1"/>
      <c r="AB2" s="1"/>
    </row>
    <row r="3" spans="1:28" ht="13.35" customHeight="1">
      <c r="A3" s="1"/>
      <c r="B3" s="1"/>
      <c r="C3" s="1"/>
      <c r="D3" s="1"/>
      <c r="E3" s="1"/>
      <c r="F3" s="1"/>
      <c r="G3" s="1"/>
      <c r="H3" s="1"/>
      <c r="I3" s="1"/>
      <c r="J3" s="1"/>
      <c r="K3" s="1"/>
      <c r="L3" s="1"/>
      <c r="M3" s="1"/>
      <c r="N3" s="1"/>
      <c r="O3" s="1"/>
      <c r="P3" s="1"/>
      <c r="Q3" s="1"/>
      <c r="R3" s="1"/>
      <c r="S3" s="1"/>
      <c r="T3" s="1"/>
      <c r="U3" s="1"/>
      <c r="V3" s="1"/>
      <c r="W3" s="1"/>
      <c r="X3" s="1"/>
      <c r="Y3" s="1"/>
      <c r="Z3" s="1"/>
      <c r="AA3" s="1"/>
      <c r="AB3" s="1"/>
    </row>
    <row r="4" spans="1:28" ht="10.15" customHeight="1">
      <c r="A4" s="1"/>
      <c r="B4" s="1"/>
      <c r="C4" s="1"/>
      <c r="D4" s="1"/>
      <c r="E4" s="1"/>
      <c r="F4" s="1"/>
      <c r="G4" s="1"/>
      <c r="H4" s="1"/>
      <c r="I4" s="1"/>
      <c r="J4" s="1"/>
      <c r="K4" s="1"/>
      <c r="L4" s="1"/>
      <c r="M4" s="1"/>
      <c r="N4" s="1"/>
      <c r="O4" s="1"/>
      <c r="P4" s="1"/>
      <c r="Q4" s="1"/>
      <c r="R4" s="1"/>
      <c r="S4" s="1"/>
      <c r="T4" s="1"/>
      <c r="U4" s="1"/>
      <c r="V4" s="1"/>
      <c r="W4" s="1"/>
      <c r="X4" s="1"/>
      <c r="Y4" s="1"/>
      <c r="Z4" s="1"/>
      <c r="AA4" s="1"/>
      <c r="AB4" s="1"/>
    </row>
    <row r="5" spans="1:28" ht="2.85" customHeight="1">
      <c r="A5" s="3"/>
      <c r="B5" s="3"/>
      <c r="C5" s="3"/>
      <c r="D5" s="3"/>
      <c r="E5" s="3"/>
      <c r="F5" s="3"/>
      <c r="G5" s="3"/>
      <c r="H5" s="3"/>
      <c r="I5" s="3"/>
      <c r="J5" s="3"/>
      <c r="K5" s="3"/>
      <c r="L5" s="3"/>
      <c r="M5" s="3"/>
      <c r="N5" s="3"/>
      <c r="O5" s="3"/>
      <c r="P5" s="3"/>
      <c r="Q5" s="3"/>
      <c r="R5" s="3"/>
      <c r="S5" s="3"/>
      <c r="T5" s="3"/>
      <c r="U5" s="3"/>
      <c r="V5" s="3"/>
      <c r="W5" s="3"/>
      <c r="X5" s="3"/>
      <c r="Y5" s="3"/>
      <c r="Z5" s="3"/>
      <c r="AA5" s="3"/>
      <c r="AB5" s="3"/>
    </row>
    <row r="6" spans="1:28"/>
    <row r="7" spans="1:28" ht="18.75">
      <c r="B7" s="1"/>
      <c r="C7" s="1"/>
      <c r="D7" s="1"/>
      <c r="E7" s="1"/>
      <c r="F7" s="1"/>
      <c r="G7" s="1"/>
      <c r="H7" s="1"/>
      <c r="I7" s="1"/>
      <c r="J7" s="1"/>
      <c r="K7" s="1"/>
      <c r="L7" s="1"/>
      <c r="M7" s="1"/>
      <c r="N7" s="1"/>
      <c r="O7" s="1"/>
      <c r="P7" s="1"/>
      <c r="Q7" s="1"/>
      <c r="R7" s="1"/>
      <c r="S7" s="1"/>
      <c r="T7" s="1"/>
      <c r="U7" s="1"/>
      <c r="V7" s="1"/>
      <c r="W7" s="1"/>
      <c r="X7" s="1"/>
      <c r="Y7" s="1"/>
      <c r="Z7" s="1"/>
      <c r="AA7" s="1"/>
    </row>
    <row r="8" spans="1:28" ht="18.75">
      <c r="B8" s="1"/>
      <c r="C8" s="1"/>
      <c r="D8" s="1"/>
      <c r="E8" s="1"/>
      <c r="F8" s="1"/>
      <c r="G8" s="1"/>
      <c r="H8" s="1"/>
      <c r="I8" s="1"/>
      <c r="J8" s="1"/>
      <c r="K8" s="1"/>
      <c r="L8" s="1"/>
      <c r="M8" s="1"/>
      <c r="N8" s="1"/>
      <c r="O8" s="1"/>
      <c r="P8" s="1"/>
      <c r="Q8" s="1"/>
      <c r="R8" s="1"/>
      <c r="S8" s="1"/>
      <c r="T8" s="1"/>
      <c r="U8" s="1"/>
      <c r="V8" s="1"/>
      <c r="W8" s="1"/>
      <c r="X8" s="1"/>
      <c r="Y8" s="1"/>
      <c r="Z8" s="1"/>
      <c r="AA8" s="1"/>
    </row>
    <row r="9" spans="1:28" ht="18.75">
      <c r="B9" s="1"/>
      <c r="C9" s="297"/>
      <c r="D9" s="298"/>
      <c r="E9" s="298"/>
      <c r="F9" s="298"/>
      <c r="G9" s="298"/>
      <c r="H9" s="298"/>
      <c r="I9" s="298"/>
      <c r="J9" s="298"/>
      <c r="K9" s="298"/>
      <c r="L9" s="298"/>
      <c r="M9" s="298"/>
      <c r="N9" s="298"/>
      <c r="O9" s="298"/>
      <c r="P9" s="298"/>
      <c r="Q9" s="298"/>
      <c r="R9" s="298"/>
      <c r="S9" s="298"/>
      <c r="T9" s="298"/>
      <c r="U9" s="298"/>
      <c r="V9" s="298"/>
      <c r="W9" s="298"/>
      <c r="X9" s="298"/>
      <c r="Y9" s="298"/>
      <c r="Z9" s="311"/>
      <c r="AA9" s="1"/>
    </row>
    <row r="10" spans="1:28" ht="18.75">
      <c r="B10" s="1"/>
      <c r="C10" s="299"/>
      <c r="D10" s="300"/>
      <c r="E10" s="300"/>
      <c r="F10" s="300"/>
      <c r="G10" s="300"/>
      <c r="H10" s="300"/>
      <c r="I10" s="300"/>
      <c r="J10" s="300"/>
      <c r="K10" s="300"/>
      <c r="L10" s="300"/>
      <c r="M10" s="300"/>
      <c r="N10" s="300"/>
      <c r="O10" s="300"/>
      <c r="P10" s="300"/>
      <c r="Q10" s="300"/>
      <c r="R10" s="300"/>
      <c r="S10" s="300"/>
      <c r="T10" s="300"/>
      <c r="U10" s="300"/>
      <c r="V10" s="300"/>
      <c r="W10" s="2"/>
      <c r="X10" s="2"/>
      <c r="Y10" s="2"/>
      <c r="Z10" s="312"/>
      <c r="AA10" s="1"/>
    </row>
    <row r="11" spans="1:28" ht="18.75">
      <c r="B11" s="1"/>
      <c r="C11" s="299"/>
      <c r="D11" s="301" t="s">
        <v>882</v>
      </c>
      <c r="E11" s="300"/>
      <c r="F11" s="300"/>
      <c r="G11" s="300"/>
      <c r="H11" s="300"/>
      <c r="I11" s="300"/>
      <c r="J11" s="300"/>
      <c r="K11" s="300"/>
      <c r="L11" s="300"/>
      <c r="M11" s="300"/>
      <c r="N11" s="300"/>
      <c r="O11" s="300"/>
      <c r="P11" s="300"/>
      <c r="Q11" s="300"/>
      <c r="R11" s="300"/>
      <c r="S11" s="300"/>
      <c r="T11" s="300"/>
      <c r="U11" s="300"/>
      <c r="V11" s="300"/>
      <c r="W11" s="2"/>
      <c r="X11" s="2"/>
      <c r="Y11" s="2"/>
      <c r="Z11" s="312"/>
      <c r="AA11" s="1"/>
    </row>
    <row r="12" spans="1:28" ht="4.9000000000000004" customHeight="1">
      <c r="B12" s="1"/>
      <c r="C12" s="299"/>
      <c r="D12" s="302"/>
      <c r="E12" s="300"/>
      <c r="F12" s="300"/>
      <c r="G12" s="300"/>
      <c r="H12" s="2"/>
      <c r="I12" s="2"/>
      <c r="J12" s="2"/>
      <c r="K12" s="2"/>
      <c r="L12" s="2"/>
      <c r="M12" s="2"/>
      <c r="N12" s="2"/>
      <c r="O12" s="2"/>
      <c r="P12" s="2"/>
      <c r="Q12" s="2"/>
      <c r="R12" s="2"/>
      <c r="S12" s="2"/>
      <c r="T12" s="2"/>
      <c r="U12" s="2"/>
      <c r="V12" s="2"/>
      <c r="W12" s="2"/>
      <c r="X12" s="2"/>
      <c r="Y12" s="2"/>
      <c r="Z12" s="312"/>
      <c r="AA12" s="1"/>
    </row>
    <row r="13" spans="1:28" ht="18.75">
      <c r="B13" s="1"/>
      <c r="C13" s="299"/>
      <c r="D13" s="375" t="s">
        <v>886</v>
      </c>
      <c r="E13" s="375"/>
      <c r="F13" s="363" t="s">
        <v>883</v>
      </c>
      <c r="G13" s="364"/>
      <c r="H13" s="364"/>
      <c r="I13" s="364"/>
      <c r="J13" s="365"/>
      <c r="L13" s="321" t="s">
        <v>889</v>
      </c>
      <c r="O13" s="2"/>
      <c r="P13" s="2"/>
      <c r="Q13" s="2"/>
      <c r="R13" s="2"/>
      <c r="S13" s="2"/>
      <c r="T13" s="2"/>
      <c r="U13" s="2"/>
      <c r="V13" s="2"/>
      <c r="W13" s="2"/>
      <c r="X13" s="2"/>
      <c r="Y13" s="2"/>
      <c r="Z13" s="312"/>
      <c r="AA13" s="1"/>
    </row>
    <row r="14" spans="1:28" ht="30">
      <c r="B14" s="1"/>
      <c r="C14" s="299"/>
      <c r="D14" s="375"/>
      <c r="E14" s="375"/>
      <c r="F14" s="358" t="s">
        <v>812</v>
      </c>
      <c r="G14" s="359" t="s">
        <v>236</v>
      </c>
      <c r="H14" s="360" t="s">
        <v>147</v>
      </c>
      <c r="I14" s="362" t="s">
        <v>891</v>
      </c>
      <c r="J14" s="361" t="s">
        <v>894</v>
      </c>
      <c r="L14" s="366" t="s">
        <v>900</v>
      </c>
      <c r="M14" s="380"/>
      <c r="N14" s="380"/>
      <c r="O14" s="380"/>
      <c r="P14" s="380"/>
      <c r="Q14" s="380"/>
      <c r="R14" s="380"/>
      <c r="S14" s="380"/>
      <c r="T14" s="380"/>
      <c r="U14" s="380"/>
      <c r="V14" s="380"/>
      <c r="W14" s="380"/>
      <c r="X14" s="380"/>
      <c r="Y14" s="381"/>
      <c r="Z14" s="312"/>
      <c r="AA14" s="1"/>
    </row>
    <row r="15" spans="1:28" ht="18.75">
      <c r="B15" s="1"/>
      <c r="C15" s="303" t="s">
        <v>872</v>
      </c>
      <c r="D15" s="388" t="s">
        <v>0</v>
      </c>
      <c r="E15" s="389"/>
      <c r="F15" s="389"/>
      <c r="G15" s="389"/>
      <c r="H15" s="389"/>
      <c r="I15" s="389"/>
      <c r="J15" s="390"/>
      <c r="L15" s="382"/>
      <c r="M15" s="383"/>
      <c r="N15" s="383"/>
      <c r="O15" s="383"/>
      <c r="P15" s="383"/>
      <c r="Q15" s="383"/>
      <c r="R15" s="383"/>
      <c r="S15" s="383"/>
      <c r="T15" s="383"/>
      <c r="U15" s="383"/>
      <c r="V15" s="383"/>
      <c r="W15" s="383"/>
      <c r="X15" s="383"/>
      <c r="Y15" s="384"/>
      <c r="Z15" s="312"/>
      <c r="AA15" s="1"/>
    </row>
    <row r="16" spans="1:28" ht="19.149999999999999" customHeight="1">
      <c r="B16" s="1"/>
      <c r="C16" s="304" t="s">
        <v>873</v>
      </c>
      <c r="D16" s="339" t="s">
        <v>884</v>
      </c>
      <c r="E16" s="340"/>
      <c r="F16" s="341">
        <v>25</v>
      </c>
      <c r="G16" s="342">
        <v>0</v>
      </c>
      <c r="H16" s="341">
        <v>0</v>
      </c>
      <c r="I16" s="341">
        <v>3</v>
      </c>
      <c r="J16" s="343">
        <v>0</v>
      </c>
      <c r="K16" s="349">
        <v>28</v>
      </c>
      <c r="L16" s="382"/>
      <c r="M16" s="383"/>
      <c r="N16" s="383"/>
      <c r="O16" s="383"/>
      <c r="P16" s="383"/>
      <c r="Q16" s="383"/>
      <c r="R16" s="383"/>
      <c r="S16" s="383"/>
      <c r="T16" s="383"/>
      <c r="U16" s="383"/>
      <c r="V16" s="383"/>
      <c r="W16" s="383"/>
      <c r="X16" s="383"/>
      <c r="Y16" s="384"/>
      <c r="Z16" s="312"/>
      <c r="AA16" s="1"/>
    </row>
    <row r="17" spans="2:27" ht="18.75">
      <c r="B17" s="1"/>
      <c r="C17" s="305" t="s">
        <v>874</v>
      </c>
      <c r="D17" s="344" t="s">
        <v>887</v>
      </c>
      <c r="E17" s="314"/>
      <c r="F17" s="315">
        <v>0</v>
      </c>
      <c r="G17" s="316">
        <v>22</v>
      </c>
      <c r="H17" s="317">
        <v>43</v>
      </c>
      <c r="I17" s="317">
        <v>5</v>
      </c>
      <c r="J17" s="345">
        <v>11</v>
      </c>
      <c r="K17" s="349">
        <v>81</v>
      </c>
      <c r="L17" s="382"/>
      <c r="M17" s="383"/>
      <c r="N17" s="383"/>
      <c r="O17" s="383"/>
      <c r="P17" s="383"/>
      <c r="Q17" s="383"/>
      <c r="R17" s="383"/>
      <c r="S17" s="383"/>
      <c r="T17" s="383"/>
      <c r="U17" s="383"/>
      <c r="V17" s="383"/>
      <c r="W17" s="383"/>
      <c r="X17" s="383"/>
      <c r="Y17" s="384"/>
      <c r="Z17" s="312"/>
      <c r="AA17" s="1"/>
    </row>
    <row r="18" spans="2:27" ht="18.75">
      <c r="B18" s="1"/>
      <c r="C18" s="304" t="s">
        <v>881</v>
      </c>
      <c r="D18" s="378" t="s">
        <v>885</v>
      </c>
      <c r="E18" s="379"/>
      <c r="F18" s="338">
        <v>25</v>
      </c>
      <c r="G18" s="338">
        <v>22</v>
      </c>
      <c r="H18" s="338">
        <v>43</v>
      </c>
      <c r="I18" s="338">
        <v>8</v>
      </c>
      <c r="J18" s="350">
        <v>11</v>
      </c>
      <c r="K18" s="349">
        <v>109</v>
      </c>
      <c r="L18" s="382"/>
      <c r="M18" s="383"/>
      <c r="N18" s="383"/>
      <c r="O18" s="383"/>
      <c r="P18" s="383"/>
      <c r="Q18" s="383"/>
      <c r="R18" s="383"/>
      <c r="S18" s="383"/>
      <c r="T18" s="383"/>
      <c r="U18" s="383"/>
      <c r="V18" s="383"/>
      <c r="W18" s="383"/>
      <c r="X18" s="383"/>
      <c r="Y18" s="384"/>
      <c r="Z18" s="312"/>
      <c r="AA18" s="1"/>
    </row>
    <row r="19" spans="2:27" ht="18.75">
      <c r="B19" s="1"/>
      <c r="C19" s="305" t="s">
        <v>875</v>
      </c>
      <c r="D19" s="388" t="s">
        <v>832</v>
      </c>
      <c r="E19" s="389"/>
      <c r="F19" s="389"/>
      <c r="G19" s="389"/>
      <c r="H19" s="389"/>
      <c r="I19" s="389"/>
      <c r="J19" s="390"/>
      <c r="L19" s="382"/>
      <c r="M19" s="383"/>
      <c r="N19" s="383"/>
      <c r="O19" s="383"/>
      <c r="P19" s="383"/>
      <c r="Q19" s="383"/>
      <c r="R19" s="383"/>
      <c r="S19" s="383"/>
      <c r="T19" s="383"/>
      <c r="U19" s="383"/>
      <c r="V19" s="383"/>
      <c r="W19" s="383"/>
      <c r="X19" s="383"/>
      <c r="Y19" s="384"/>
      <c r="Z19" s="312"/>
      <c r="AA19" s="1"/>
    </row>
    <row r="20" spans="2:27" ht="18.75">
      <c r="B20" s="1"/>
      <c r="C20" s="305" t="s">
        <v>876</v>
      </c>
      <c r="D20" s="346" t="s">
        <v>884</v>
      </c>
      <c r="E20" s="335"/>
      <c r="F20" s="336">
        <v>4</v>
      </c>
      <c r="G20" s="337">
        <v>0</v>
      </c>
      <c r="H20" s="336">
        <v>0</v>
      </c>
      <c r="I20" s="336">
        <v>0</v>
      </c>
      <c r="J20" s="347">
        <v>0</v>
      </c>
      <c r="K20" s="349">
        <v>4</v>
      </c>
      <c r="L20" s="382"/>
      <c r="M20" s="383"/>
      <c r="N20" s="383"/>
      <c r="O20" s="383"/>
      <c r="P20" s="383"/>
      <c r="Q20" s="383"/>
      <c r="R20" s="383"/>
      <c r="S20" s="383"/>
      <c r="T20" s="383"/>
      <c r="U20" s="383"/>
      <c r="V20" s="383"/>
      <c r="W20" s="383"/>
      <c r="X20" s="383"/>
      <c r="Y20" s="384"/>
      <c r="Z20" s="312"/>
      <c r="AA20" s="1"/>
    </row>
    <row r="21" spans="2:27" ht="18.75">
      <c r="B21" s="1"/>
      <c r="C21" s="305" t="s">
        <v>877</v>
      </c>
      <c r="D21" s="344" t="s">
        <v>887</v>
      </c>
      <c r="E21" s="314"/>
      <c r="F21" s="315">
        <v>13</v>
      </c>
      <c r="G21" s="316">
        <v>0</v>
      </c>
      <c r="H21" s="315">
        <v>0</v>
      </c>
      <c r="I21" s="317">
        <v>0</v>
      </c>
      <c r="J21" s="345">
        <v>2</v>
      </c>
      <c r="K21" s="349">
        <v>15</v>
      </c>
      <c r="L21" s="382"/>
      <c r="M21" s="383"/>
      <c r="N21" s="383"/>
      <c r="O21" s="383"/>
      <c r="P21" s="383"/>
      <c r="Q21" s="383"/>
      <c r="R21" s="383"/>
      <c r="S21" s="383"/>
      <c r="T21" s="383"/>
      <c r="U21" s="383"/>
      <c r="V21" s="383"/>
      <c r="W21" s="383"/>
      <c r="X21" s="383"/>
      <c r="Y21" s="384"/>
      <c r="Z21" s="312"/>
      <c r="AA21" s="1"/>
    </row>
    <row r="22" spans="2:27" ht="18.75">
      <c r="B22" s="1"/>
      <c r="C22" s="304" t="s">
        <v>881</v>
      </c>
      <c r="D22" s="378" t="s">
        <v>885</v>
      </c>
      <c r="E22" s="379"/>
      <c r="F22" s="338">
        <v>17</v>
      </c>
      <c r="G22" s="338">
        <v>0</v>
      </c>
      <c r="H22" s="338">
        <v>0</v>
      </c>
      <c r="I22" s="338">
        <v>0</v>
      </c>
      <c r="J22" s="350">
        <v>2</v>
      </c>
      <c r="K22" s="349">
        <v>19</v>
      </c>
      <c r="L22" s="382"/>
      <c r="M22" s="383"/>
      <c r="N22" s="383"/>
      <c r="O22" s="383"/>
      <c r="P22" s="383"/>
      <c r="Q22" s="383"/>
      <c r="R22" s="383"/>
      <c r="S22" s="383"/>
      <c r="T22" s="383"/>
      <c r="U22" s="383"/>
      <c r="V22" s="383"/>
      <c r="W22" s="383"/>
      <c r="X22" s="383"/>
      <c r="Y22" s="384"/>
      <c r="Z22" s="312"/>
      <c r="AA22" s="1"/>
    </row>
    <row r="23" spans="2:27" ht="18.75">
      <c r="B23" s="1"/>
      <c r="C23" s="304" t="s">
        <v>878</v>
      </c>
      <c r="D23" s="388" t="s">
        <v>853</v>
      </c>
      <c r="E23" s="389"/>
      <c r="F23" s="389"/>
      <c r="G23" s="389"/>
      <c r="H23" s="389"/>
      <c r="I23" s="389"/>
      <c r="J23" s="390"/>
      <c r="L23" s="382"/>
      <c r="M23" s="383"/>
      <c r="N23" s="383"/>
      <c r="O23" s="383"/>
      <c r="P23" s="383"/>
      <c r="Q23" s="383"/>
      <c r="R23" s="383"/>
      <c r="S23" s="383"/>
      <c r="T23" s="383"/>
      <c r="U23" s="383"/>
      <c r="V23" s="383"/>
      <c r="W23" s="383"/>
      <c r="X23" s="383"/>
      <c r="Y23" s="384"/>
      <c r="Z23" s="312"/>
      <c r="AA23" s="1"/>
    </row>
    <row r="24" spans="2:27" ht="18.75">
      <c r="B24" s="1"/>
      <c r="C24" s="304" t="s">
        <v>879</v>
      </c>
      <c r="D24" s="346" t="s">
        <v>884</v>
      </c>
      <c r="E24" s="319"/>
      <c r="F24" s="336">
        <v>11</v>
      </c>
      <c r="G24" s="337">
        <v>0</v>
      </c>
      <c r="H24" s="320">
        <v>0</v>
      </c>
      <c r="I24" s="336">
        <v>0</v>
      </c>
      <c r="J24" s="347">
        <v>0</v>
      </c>
      <c r="K24" s="349">
        <v>11</v>
      </c>
      <c r="L24" s="382"/>
      <c r="M24" s="383"/>
      <c r="N24" s="383"/>
      <c r="O24" s="383"/>
      <c r="P24" s="383"/>
      <c r="Q24" s="383"/>
      <c r="R24" s="383"/>
      <c r="S24" s="383"/>
      <c r="T24" s="383"/>
      <c r="U24" s="383"/>
      <c r="V24" s="383"/>
      <c r="W24" s="383"/>
      <c r="X24" s="383"/>
      <c r="Y24" s="384"/>
      <c r="Z24" s="312"/>
      <c r="AA24" s="1"/>
    </row>
    <row r="25" spans="2:27" ht="18.75">
      <c r="B25" s="1"/>
      <c r="C25" s="304" t="s">
        <v>880</v>
      </c>
      <c r="D25" s="344" t="s">
        <v>887</v>
      </c>
      <c r="E25" s="314"/>
      <c r="F25" s="317">
        <v>3</v>
      </c>
      <c r="G25" s="318">
        <v>0</v>
      </c>
      <c r="H25" s="317">
        <v>0</v>
      </c>
      <c r="I25" s="317">
        <v>0</v>
      </c>
      <c r="J25" s="345">
        <v>8</v>
      </c>
      <c r="K25" s="349">
        <v>11</v>
      </c>
      <c r="L25" s="382"/>
      <c r="M25" s="383"/>
      <c r="N25" s="383"/>
      <c r="O25" s="383"/>
      <c r="P25" s="383"/>
      <c r="Q25" s="383"/>
      <c r="R25" s="383"/>
      <c r="S25" s="383"/>
      <c r="T25" s="383"/>
      <c r="U25" s="383"/>
      <c r="V25" s="383"/>
      <c r="W25" s="383"/>
      <c r="X25" s="383"/>
      <c r="Y25" s="384"/>
      <c r="Z25" s="312"/>
      <c r="AA25" s="1"/>
    </row>
    <row r="26" spans="2:27" ht="18.75">
      <c r="B26" s="1"/>
      <c r="C26" s="304" t="s">
        <v>881</v>
      </c>
      <c r="D26" s="376" t="s">
        <v>885</v>
      </c>
      <c r="E26" s="377"/>
      <c r="F26" s="348">
        <v>14</v>
      </c>
      <c r="G26" s="348">
        <v>0</v>
      </c>
      <c r="H26" s="348">
        <v>0</v>
      </c>
      <c r="I26" s="348">
        <v>0</v>
      </c>
      <c r="J26" s="351">
        <v>8</v>
      </c>
      <c r="K26" s="349">
        <v>22</v>
      </c>
      <c r="L26" s="385"/>
      <c r="M26" s="386"/>
      <c r="N26" s="386"/>
      <c r="O26" s="386"/>
      <c r="P26" s="386"/>
      <c r="Q26" s="386"/>
      <c r="R26" s="386"/>
      <c r="S26" s="386"/>
      <c r="T26" s="386"/>
      <c r="U26" s="386"/>
      <c r="V26" s="386"/>
      <c r="W26" s="386"/>
      <c r="X26" s="386"/>
      <c r="Y26" s="387"/>
      <c r="Z26" s="312"/>
      <c r="AA26" s="1"/>
    </row>
    <row r="27" spans="2:27" ht="18.75">
      <c r="B27" s="1"/>
      <c r="C27" s="299"/>
      <c r="D27" s="307"/>
      <c r="E27" s="308"/>
      <c r="G27" s="2"/>
      <c r="H27" s="306"/>
      <c r="I27" s="306"/>
      <c r="J27" s="306"/>
      <c r="K27" s="306"/>
      <c r="L27" s="306"/>
      <c r="M27" s="306"/>
      <c r="N27" s="306"/>
      <c r="O27" s="306"/>
      <c r="P27" s="306"/>
      <c r="Q27" s="306"/>
      <c r="R27" s="306"/>
      <c r="S27" s="306"/>
      <c r="T27" s="306"/>
      <c r="U27" s="306"/>
      <c r="V27" s="306"/>
      <c r="W27" s="300"/>
      <c r="X27" s="300"/>
      <c r="Y27" s="300"/>
      <c r="Z27" s="312"/>
      <c r="AA27" s="1"/>
    </row>
    <row r="28" spans="2:27" ht="18.75">
      <c r="B28" s="1"/>
      <c r="C28" s="309"/>
      <c r="D28" s="310"/>
      <c r="E28" s="310"/>
      <c r="F28" s="310"/>
      <c r="G28" s="310"/>
      <c r="H28" s="310"/>
      <c r="I28" s="310"/>
      <c r="J28" s="310"/>
      <c r="K28" s="310"/>
      <c r="L28" s="310"/>
      <c r="M28" s="310"/>
      <c r="N28" s="310"/>
      <c r="O28" s="310"/>
      <c r="P28" s="310"/>
      <c r="Q28" s="310"/>
      <c r="R28" s="310"/>
      <c r="S28" s="310"/>
      <c r="T28" s="310"/>
      <c r="U28" s="310"/>
      <c r="V28" s="310"/>
      <c r="W28" s="310"/>
      <c r="X28" s="310"/>
      <c r="Y28" s="310"/>
      <c r="Z28" s="313"/>
      <c r="AA28" s="1"/>
    </row>
    <row r="29" spans="2:27" ht="18.75">
      <c r="B29" s="1"/>
      <c r="C29" s="1"/>
      <c r="D29" s="1"/>
      <c r="E29" s="1"/>
      <c r="F29" s="1"/>
      <c r="G29" s="1"/>
      <c r="H29" s="1"/>
      <c r="I29" s="1"/>
      <c r="J29" s="1"/>
      <c r="K29" s="1"/>
      <c r="L29" s="1"/>
      <c r="M29" s="1"/>
      <c r="N29" s="1"/>
      <c r="O29" s="1"/>
      <c r="P29" s="1"/>
      <c r="Q29" s="1"/>
      <c r="R29" s="1"/>
      <c r="S29" s="1"/>
      <c r="T29" s="1"/>
      <c r="U29" s="1"/>
      <c r="V29" s="1"/>
      <c r="W29" s="1"/>
      <c r="X29" s="1"/>
      <c r="Y29" s="1"/>
      <c r="Z29" s="1"/>
      <c r="AA29" s="1"/>
    </row>
    <row r="30" spans="2:27" ht="18.75">
      <c r="B30" s="1"/>
      <c r="C30" s="1"/>
      <c r="D30" s="1"/>
      <c r="E30" s="1"/>
      <c r="F30" s="1"/>
      <c r="G30" s="1"/>
      <c r="H30" s="1"/>
      <c r="I30" s="1"/>
      <c r="J30" s="1"/>
      <c r="K30" s="1"/>
      <c r="L30" s="1"/>
      <c r="M30" s="1"/>
      <c r="N30" s="1"/>
      <c r="O30" s="1"/>
      <c r="P30" s="1"/>
      <c r="Q30" s="1"/>
      <c r="R30" s="1"/>
      <c r="S30" s="1"/>
      <c r="T30" s="1"/>
      <c r="U30" s="1"/>
      <c r="V30" s="1"/>
      <c r="W30" s="1"/>
      <c r="X30" s="1"/>
      <c r="Y30" s="1"/>
      <c r="Z30" s="1"/>
      <c r="AA30" s="1"/>
    </row>
    <row r="31" spans="2:27" ht="18.75">
      <c r="B31" s="1"/>
      <c r="C31" s="297"/>
      <c r="D31" s="298"/>
      <c r="E31" s="298"/>
      <c r="F31" s="298"/>
      <c r="G31" s="298"/>
      <c r="H31" s="298"/>
      <c r="I31" s="298"/>
      <c r="J31" s="298"/>
      <c r="K31" s="298"/>
      <c r="L31" s="298"/>
      <c r="M31" s="298"/>
      <c r="N31" s="298"/>
      <c r="O31" s="298"/>
      <c r="P31" s="298"/>
      <c r="Q31" s="298"/>
      <c r="R31" s="298"/>
      <c r="S31" s="298"/>
      <c r="T31" s="298"/>
      <c r="U31" s="298"/>
      <c r="V31" s="298"/>
      <c r="W31" s="298"/>
      <c r="X31" s="298"/>
      <c r="Y31" s="298"/>
      <c r="Z31" s="311"/>
      <c r="AA31" s="1"/>
    </row>
    <row r="32" spans="2:27" ht="18.75">
      <c r="B32" s="1"/>
      <c r="C32" s="299"/>
      <c r="D32" s="300"/>
      <c r="E32" s="300"/>
      <c r="F32" s="300"/>
      <c r="G32" s="300"/>
      <c r="H32" s="300"/>
      <c r="I32" s="300"/>
      <c r="J32" s="300"/>
      <c r="K32" s="300"/>
      <c r="L32" s="300"/>
      <c r="M32" s="300"/>
      <c r="N32" s="300"/>
      <c r="O32" s="300"/>
      <c r="P32" s="300"/>
      <c r="Q32" s="300"/>
      <c r="R32" s="300"/>
      <c r="S32" s="300"/>
      <c r="T32" s="300"/>
      <c r="U32" s="300"/>
      <c r="V32" s="300"/>
      <c r="W32" s="2"/>
      <c r="X32" s="2"/>
      <c r="Y32" s="2"/>
      <c r="Z32" s="312"/>
      <c r="AA32" s="1"/>
    </row>
    <row r="33" spans="2:29" ht="24">
      <c r="B33" s="1"/>
      <c r="C33" s="299"/>
      <c r="D33" s="323" t="s">
        <v>0</v>
      </c>
      <c r="E33" s="322"/>
      <c r="F33" s="322"/>
      <c r="G33" s="322"/>
      <c r="H33" s="322"/>
      <c r="I33" s="322"/>
      <c r="J33" s="322"/>
      <c r="K33" s="322"/>
      <c r="L33" s="322"/>
      <c r="M33" s="322"/>
      <c r="N33" s="322"/>
      <c r="O33" s="322"/>
      <c r="P33" s="322"/>
      <c r="Q33" s="322"/>
      <c r="R33" s="322"/>
      <c r="S33" s="322"/>
      <c r="T33" s="322"/>
      <c r="U33" s="322"/>
      <c r="V33" s="322"/>
      <c r="W33" s="322"/>
      <c r="X33" s="322"/>
      <c r="Y33" s="322"/>
      <c r="Z33" s="312"/>
      <c r="AA33" s="1"/>
    </row>
    <row r="34" spans="2:29" ht="18.75">
      <c r="B34" s="1"/>
      <c r="C34" s="299"/>
      <c r="D34" s="302"/>
      <c r="E34" s="302"/>
      <c r="F34" s="302"/>
      <c r="G34" s="302"/>
      <c r="H34" s="302"/>
      <c r="I34" s="302"/>
      <c r="J34" s="302"/>
      <c r="K34" s="302"/>
      <c r="L34" s="302"/>
      <c r="M34" s="302"/>
      <c r="N34" s="302"/>
      <c r="O34" s="302"/>
      <c r="P34" s="302"/>
      <c r="Q34" s="302"/>
      <c r="R34" s="302"/>
      <c r="S34" s="302"/>
      <c r="T34" s="302"/>
      <c r="U34" s="302"/>
      <c r="V34" s="302"/>
      <c r="W34" s="302"/>
      <c r="X34" s="302"/>
      <c r="Y34" s="302"/>
      <c r="Z34" s="312"/>
      <c r="AA34" s="1"/>
    </row>
    <row r="35" spans="2:29" ht="18.75">
      <c r="B35" s="1"/>
      <c r="C35" s="299"/>
      <c r="L35" s="321"/>
      <c r="O35" s="2"/>
      <c r="P35" s="321"/>
      <c r="Q35" s="2"/>
      <c r="R35" s="2"/>
      <c r="S35" s="2"/>
      <c r="T35" s="2"/>
      <c r="U35" s="2"/>
      <c r="V35" s="2"/>
      <c r="W35" s="2"/>
      <c r="X35" s="2"/>
      <c r="Y35" s="2"/>
      <c r="Z35" s="312"/>
      <c r="AA35" s="1"/>
    </row>
    <row r="36" spans="2:29" ht="18.75">
      <c r="B36" s="1"/>
      <c r="C36" s="299"/>
      <c r="P36" s="321" t="s">
        <v>889</v>
      </c>
      <c r="Z36" s="312"/>
      <c r="AA36" s="1"/>
    </row>
    <row r="37" spans="2:29" ht="17.45" customHeight="1">
      <c r="B37" s="1"/>
      <c r="C37" s="303" t="s">
        <v>872</v>
      </c>
      <c r="P37" s="366" t="s">
        <v>901</v>
      </c>
      <c r="Q37" s="367"/>
      <c r="R37" s="367"/>
      <c r="S37" s="367"/>
      <c r="T37" s="367"/>
      <c r="U37" s="367"/>
      <c r="V37" s="367"/>
      <c r="W37" s="367"/>
      <c r="X37" s="367"/>
      <c r="Y37" s="368"/>
      <c r="Z37" s="312"/>
      <c r="AA37" s="1"/>
      <c r="AC37" s="332"/>
    </row>
    <row r="38" spans="2:29" ht="18.75">
      <c r="B38" s="1"/>
      <c r="C38" s="304" t="s">
        <v>873</v>
      </c>
      <c r="P38" s="369"/>
      <c r="Q38" s="370"/>
      <c r="R38" s="370"/>
      <c r="S38" s="370"/>
      <c r="T38" s="370"/>
      <c r="U38" s="370"/>
      <c r="V38" s="370"/>
      <c r="W38" s="370"/>
      <c r="X38" s="370"/>
      <c r="Y38" s="371"/>
      <c r="Z38" s="312"/>
      <c r="AA38" s="1"/>
      <c r="AC38" s="333"/>
    </row>
    <row r="39" spans="2:29" ht="18.75">
      <c r="B39" s="1"/>
      <c r="C39" s="305" t="s">
        <v>874</v>
      </c>
      <c r="P39" s="369"/>
      <c r="Q39" s="370"/>
      <c r="R39" s="370"/>
      <c r="S39" s="370"/>
      <c r="T39" s="370"/>
      <c r="U39" s="370"/>
      <c r="V39" s="370"/>
      <c r="W39" s="370"/>
      <c r="X39" s="370"/>
      <c r="Y39" s="371"/>
      <c r="Z39" s="312"/>
      <c r="AA39" s="1"/>
      <c r="AC39" s="333"/>
    </row>
    <row r="40" spans="2:29" ht="18.75">
      <c r="B40" s="1"/>
      <c r="C40" s="305"/>
      <c r="P40" s="369"/>
      <c r="Q40" s="370"/>
      <c r="R40" s="370"/>
      <c r="S40" s="370"/>
      <c r="T40" s="370"/>
      <c r="U40" s="370"/>
      <c r="V40" s="370"/>
      <c r="W40" s="370"/>
      <c r="X40" s="370"/>
      <c r="Y40" s="371"/>
      <c r="Z40" s="312"/>
      <c r="AA40" s="1"/>
      <c r="AC40" s="333"/>
    </row>
    <row r="41" spans="2:29" ht="18.75">
      <c r="B41" s="1"/>
      <c r="C41" s="304" t="s">
        <v>881</v>
      </c>
      <c r="P41" s="369"/>
      <c r="Q41" s="370"/>
      <c r="R41" s="370"/>
      <c r="S41" s="370"/>
      <c r="T41" s="370"/>
      <c r="U41" s="370"/>
      <c r="V41" s="370"/>
      <c r="W41" s="370"/>
      <c r="X41" s="370"/>
      <c r="Y41" s="371"/>
      <c r="Z41" s="312"/>
      <c r="AA41" s="1"/>
      <c r="AC41" s="333"/>
    </row>
    <row r="42" spans="2:29" ht="18.75">
      <c r="B42" s="1"/>
      <c r="C42" s="304"/>
      <c r="P42" s="369"/>
      <c r="Q42" s="370"/>
      <c r="R42" s="370"/>
      <c r="S42" s="370"/>
      <c r="T42" s="370"/>
      <c r="U42" s="370"/>
      <c r="V42" s="370"/>
      <c r="W42" s="370"/>
      <c r="X42" s="370"/>
      <c r="Y42" s="371"/>
      <c r="Z42" s="312"/>
      <c r="AA42" s="1"/>
      <c r="AC42" s="333"/>
    </row>
    <row r="43" spans="2:29" ht="18.75">
      <c r="B43" s="1"/>
      <c r="C43" s="304"/>
      <c r="P43" s="369"/>
      <c r="Q43" s="370"/>
      <c r="R43" s="370"/>
      <c r="S43" s="370"/>
      <c r="T43" s="370"/>
      <c r="U43" s="370"/>
      <c r="V43" s="370"/>
      <c r="W43" s="370"/>
      <c r="X43" s="370"/>
      <c r="Y43" s="371"/>
      <c r="Z43" s="312"/>
      <c r="AA43" s="1"/>
      <c r="AC43" s="333"/>
    </row>
    <row r="44" spans="2:29" ht="18.75">
      <c r="B44" s="1"/>
      <c r="C44" s="304"/>
      <c r="P44" s="369"/>
      <c r="Q44" s="370"/>
      <c r="R44" s="370"/>
      <c r="S44" s="370"/>
      <c r="T44" s="370"/>
      <c r="U44" s="370"/>
      <c r="V44" s="370"/>
      <c r="W44" s="370"/>
      <c r="X44" s="370"/>
      <c r="Y44" s="371"/>
      <c r="Z44" s="312"/>
      <c r="AA44" s="1"/>
      <c r="AC44" s="333"/>
    </row>
    <row r="45" spans="2:29" ht="18.75">
      <c r="B45" s="1"/>
      <c r="C45" s="304"/>
      <c r="P45" s="369"/>
      <c r="Q45" s="370"/>
      <c r="R45" s="370"/>
      <c r="S45" s="370"/>
      <c r="T45" s="370"/>
      <c r="U45" s="370"/>
      <c r="V45" s="370"/>
      <c r="W45" s="370"/>
      <c r="X45" s="370"/>
      <c r="Y45" s="371"/>
      <c r="Z45" s="312"/>
      <c r="AA45" s="1"/>
      <c r="AC45" s="333"/>
    </row>
    <row r="46" spans="2:29" ht="18.75">
      <c r="B46" s="1"/>
      <c r="C46" s="304"/>
      <c r="P46" s="369"/>
      <c r="Q46" s="370"/>
      <c r="R46" s="370"/>
      <c r="S46" s="370"/>
      <c r="T46" s="370"/>
      <c r="U46" s="370"/>
      <c r="V46" s="370"/>
      <c r="W46" s="370"/>
      <c r="X46" s="370"/>
      <c r="Y46" s="371"/>
      <c r="Z46" s="312"/>
      <c r="AA46" s="1"/>
      <c r="AC46" s="333"/>
    </row>
    <row r="47" spans="2:29" ht="18.75">
      <c r="B47" s="1"/>
      <c r="C47" s="304"/>
      <c r="P47" s="369"/>
      <c r="Q47" s="370"/>
      <c r="R47" s="370"/>
      <c r="S47" s="370"/>
      <c r="T47" s="370"/>
      <c r="U47" s="370"/>
      <c r="V47" s="370"/>
      <c r="W47" s="370"/>
      <c r="X47" s="370"/>
      <c r="Y47" s="371"/>
      <c r="Z47" s="312"/>
      <c r="AA47" s="1"/>
      <c r="AC47" s="333"/>
    </row>
    <row r="48" spans="2:29" ht="18.75">
      <c r="B48" s="1"/>
      <c r="C48" s="304"/>
      <c r="P48" s="369"/>
      <c r="Q48" s="370"/>
      <c r="R48" s="370"/>
      <c r="S48" s="370"/>
      <c r="T48" s="370"/>
      <c r="U48" s="370"/>
      <c r="V48" s="370"/>
      <c r="W48" s="370"/>
      <c r="X48" s="370"/>
      <c r="Y48" s="371"/>
      <c r="Z48" s="312"/>
      <c r="AA48" s="1"/>
      <c r="AC48" s="333"/>
    </row>
    <row r="49" spans="2:29" ht="18.75">
      <c r="B49" s="1"/>
      <c r="C49" s="304"/>
      <c r="P49" s="369"/>
      <c r="Q49" s="370"/>
      <c r="R49" s="370"/>
      <c r="S49" s="370"/>
      <c r="T49" s="370"/>
      <c r="U49" s="370"/>
      <c r="V49" s="370"/>
      <c r="W49" s="370"/>
      <c r="X49" s="370"/>
      <c r="Y49" s="371"/>
      <c r="Z49" s="312"/>
      <c r="AA49" s="1"/>
      <c r="AC49" s="333"/>
    </row>
    <row r="50" spans="2:29" ht="18.75">
      <c r="B50" s="1"/>
      <c r="C50" s="304"/>
      <c r="D50" s="324" t="s">
        <v>893</v>
      </c>
      <c r="E50" s="330">
        <v>45952</v>
      </c>
      <c r="F50" s="330">
        <v>45959</v>
      </c>
      <c r="G50" s="331" t="s">
        <v>892</v>
      </c>
      <c r="I50" s="329"/>
      <c r="J50" s="324" t="s">
        <v>893</v>
      </c>
      <c r="K50" s="330">
        <v>45952</v>
      </c>
      <c r="L50" s="330">
        <v>45959</v>
      </c>
      <c r="M50" s="331" t="s">
        <v>892</v>
      </c>
      <c r="P50" s="369"/>
      <c r="Q50" s="370"/>
      <c r="R50" s="370"/>
      <c r="S50" s="370"/>
      <c r="T50" s="370"/>
      <c r="U50" s="370"/>
      <c r="V50" s="370"/>
      <c r="W50" s="370"/>
      <c r="X50" s="370"/>
      <c r="Y50" s="371"/>
      <c r="Z50" s="312"/>
      <c r="AA50" s="1"/>
      <c r="AC50" s="333"/>
    </row>
    <row r="51" spans="2:29" ht="18.75">
      <c r="B51" s="1"/>
      <c r="C51" s="304"/>
      <c r="D51" s="325" t="s">
        <v>812</v>
      </c>
      <c r="E51" s="352">
        <v>28</v>
      </c>
      <c r="F51" s="352">
        <v>25</v>
      </c>
      <c r="G51" s="352">
        <v>-3</v>
      </c>
      <c r="I51" s="329"/>
      <c r="J51" s="325" t="s">
        <v>812</v>
      </c>
      <c r="K51" s="355">
        <v>70</v>
      </c>
      <c r="L51" s="355">
        <v>0</v>
      </c>
      <c r="M51" s="355">
        <v>-70</v>
      </c>
      <c r="P51" s="369"/>
      <c r="Q51" s="370"/>
      <c r="R51" s="370"/>
      <c r="S51" s="370"/>
      <c r="T51" s="370"/>
      <c r="U51" s="370"/>
      <c r="V51" s="370"/>
      <c r="W51" s="370"/>
      <c r="X51" s="370"/>
      <c r="Y51" s="371"/>
      <c r="Z51" s="312"/>
      <c r="AA51" s="1"/>
      <c r="AC51" s="333"/>
    </row>
    <row r="52" spans="2:29" ht="18.75">
      <c r="B52" s="1"/>
      <c r="C52" s="304"/>
      <c r="D52" s="325" t="s">
        <v>236</v>
      </c>
      <c r="E52" s="352">
        <v>0</v>
      </c>
      <c r="F52" s="352">
        <v>0</v>
      </c>
      <c r="G52" s="352">
        <v>0</v>
      </c>
      <c r="I52" s="329"/>
      <c r="J52" s="325" t="s">
        <v>236</v>
      </c>
      <c r="K52" s="355">
        <v>0</v>
      </c>
      <c r="L52" s="355">
        <v>22</v>
      </c>
      <c r="M52" s="355">
        <v>22</v>
      </c>
      <c r="P52" s="369"/>
      <c r="Q52" s="370"/>
      <c r="R52" s="370"/>
      <c r="S52" s="370"/>
      <c r="T52" s="370"/>
      <c r="U52" s="370"/>
      <c r="V52" s="370"/>
      <c r="W52" s="370"/>
      <c r="X52" s="370"/>
      <c r="Y52" s="371"/>
      <c r="Z52" s="312"/>
      <c r="AA52" s="1"/>
      <c r="AC52" s="334"/>
    </row>
    <row r="53" spans="2:29" ht="18.75">
      <c r="B53" s="1"/>
      <c r="C53" s="304"/>
      <c r="D53" s="325" t="s">
        <v>888</v>
      </c>
      <c r="E53" s="352">
        <v>0</v>
      </c>
      <c r="F53" s="352">
        <v>0</v>
      </c>
      <c r="G53" s="352">
        <v>0</v>
      </c>
      <c r="I53" s="329"/>
      <c r="J53" s="325" t="s">
        <v>888</v>
      </c>
      <c r="K53" s="355">
        <v>0</v>
      </c>
      <c r="L53" s="355">
        <v>43</v>
      </c>
      <c r="M53" s="355">
        <v>43</v>
      </c>
      <c r="P53" s="369"/>
      <c r="Q53" s="370"/>
      <c r="R53" s="370"/>
      <c r="S53" s="370"/>
      <c r="T53" s="370"/>
      <c r="U53" s="370"/>
      <c r="V53" s="370"/>
      <c r="W53" s="370"/>
      <c r="X53" s="370"/>
      <c r="Y53" s="371"/>
      <c r="Z53" s="312"/>
      <c r="AA53" s="1"/>
    </row>
    <row r="54" spans="2:29" ht="18.75">
      <c r="B54" s="1"/>
      <c r="C54" s="304"/>
      <c r="D54" s="325" t="s">
        <v>894</v>
      </c>
      <c r="E54" s="353">
        <v>0</v>
      </c>
      <c r="F54" s="353">
        <v>0</v>
      </c>
      <c r="G54" s="353">
        <v>0</v>
      </c>
      <c r="I54" s="329"/>
      <c r="J54" s="325" t="s">
        <v>894</v>
      </c>
      <c r="K54" s="356">
        <v>11</v>
      </c>
      <c r="L54" s="356">
        <v>11</v>
      </c>
      <c r="M54" s="356">
        <v>0</v>
      </c>
      <c r="P54" s="369"/>
      <c r="Q54" s="370"/>
      <c r="R54" s="370"/>
      <c r="S54" s="370"/>
      <c r="T54" s="370"/>
      <c r="U54" s="370"/>
      <c r="V54" s="370"/>
      <c r="W54" s="370"/>
      <c r="X54" s="370"/>
      <c r="Y54" s="371"/>
      <c r="Z54" s="312"/>
      <c r="AA54" s="1"/>
    </row>
    <row r="55" spans="2:29" ht="18.75">
      <c r="B55" s="1"/>
      <c r="C55" s="304"/>
      <c r="D55" s="326" t="s">
        <v>890</v>
      </c>
      <c r="E55" s="354">
        <v>0</v>
      </c>
      <c r="F55" s="354">
        <v>3</v>
      </c>
      <c r="G55" s="354">
        <v>3</v>
      </c>
      <c r="I55" s="329"/>
      <c r="J55" s="326" t="s">
        <v>890</v>
      </c>
      <c r="K55" s="357">
        <v>0</v>
      </c>
      <c r="L55" s="357">
        <v>5</v>
      </c>
      <c r="M55" s="357">
        <v>5</v>
      </c>
      <c r="P55" s="369"/>
      <c r="Q55" s="370"/>
      <c r="R55" s="370"/>
      <c r="S55" s="370"/>
      <c r="T55" s="370"/>
      <c r="U55" s="370"/>
      <c r="V55" s="370"/>
      <c r="W55" s="370"/>
      <c r="X55" s="370"/>
      <c r="Y55" s="371"/>
      <c r="Z55" s="312"/>
      <c r="AA55" s="1"/>
    </row>
    <row r="56" spans="2:29" ht="18.75">
      <c r="B56" s="1"/>
      <c r="C56" s="304"/>
      <c r="D56" s="327" t="s">
        <v>885</v>
      </c>
      <c r="E56" s="328">
        <v>28</v>
      </c>
      <c r="F56" s="328">
        <v>28</v>
      </c>
      <c r="G56" s="328">
        <v>0</v>
      </c>
      <c r="I56" s="329"/>
      <c r="J56" s="327" t="s">
        <v>885</v>
      </c>
      <c r="K56" s="328">
        <v>81</v>
      </c>
      <c r="L56" s="328">
        <v>81</v>
      </c>
      <c r="M56" s="328">
        <v>0</v>
      </c>
      <c r="P56" s="372"/>
      <c r="Q56" s="373"/>
      <c r="R56" s="373"/>
      <c r="S56" s="373"/>
      <c r="T56" s="373"/>
      <c r="U56" s="373"/>
      <c r="V56" s="373"/>
      <c r="W56" s="373"/>
      <c r="X56" s="373"/>
      <c r="Y56" s="374"/>
      <c r="Z56" s="312"/>
      <c r="AA56" s="1"/>
    </row>
    <row r="57" spans="2:29" ht="18.75">
      <c r="B57" s="1"/>
      <c r="C57" s="304"/>
      <c r="D57" s="2"/>
      <c r="Z57" s="312"/>
      <c r="AA57" s="1"/>
    </row>
    <row r="58" spans="2:29" ht="18.75">
      <c r="B58" s="1"/>
      <c r="C58" s="304"/>
      <c r="Z58" s="312"/>
      <c r="AA58" s="1"/>
    </row>
    <row r="59" spans="2:29" ht="24">
      <c r="B59" s="1"/>
      <c r="C59" s="299"/>
      <c r="D59" s="323" t="s">
        <v>832</v>
      </c>
      <c r="E59" s="322"/>
      <c r="F59" s="322"/>
      <c r="G59" s="322"/>
      <c r="H59" s="322"/>
      <c r="I59" s="322"/>
      <c r="J59" s="322"/>
      <c r="K59" s="322"/>
      <c r="L59" s="322"/>
      <c r="M59" s="322"/>
      <c r="N59" s="322"/>
      <c r="O59" s="322"/>
      <c r="P59" s="322"/>
      <c r="Q59" s="322"/>
      <c r="R59" s="322"/>
      <c r="S59" s="322"/>
      <c r="T59" s="322"/>
      <c r="U59" s="322"/>
      <c r="V59" s="322"/>
      <c r="W59" s="322"/>
      <c r="X59" s="322"/>
      <c r="Y59" s="322"/>
      <c r="Z59" s="312"/>
      <c r="AA59" s="1"/>
    </row>
    <row r="60" spans="2:29" ht="18.75">
      <c r="B60" s="1"/>
      <c r="C60" s="299"/>
      <c r="D60" s="302"/>
      <c r="E60" s="302"/>
      <c r="F60" s="302"/>
      <c r="G60" s="302"/>
      <c r="H60" s="302"/>
      <c r="I60" s="302"/>
      <c r="J60" s="302"/>
      <c r="K60" s="302"/>
      <c r="L60" s="302"/>
      <c r="M60" s="302"/>
      <c r="N60" s="302"/>
      <c r="O60" s="302"/>
      <c r="P60" s="302"/>
      <c r="Q60" s="302"/>
      <c r="R60" s="302"/>
      <c r="S60" s="302"/>
      <c r="T60" s="302"/>
      <c r="U60" s="302"/>
      <c r="V60" s="302"/>
      <c r="W60" s="302"/>
      <c r="X60" s="302"/>
      <c r="Y60" s="302"/>
      <c r="Z60" s="312"/>
      <c r="AA60" s="1"/>
    </row>
    <row r="61" spans="2:29" ht="18.75">
      <c r="B61" s="1"/>
      <c r="C61" s="299"/>
      <c r="L61" s="321"/>
      <c r="O61" s="2"/>
      <c r="Q61" s="2"/>
      <c r="R61" s="2"/>
      <c r="S61" s="2"/>
      <c r="T61" s="2"/>
      <c r="U61" s="2"/>
      <c r="V61" s="2"/>
      <c r="W61" s="2"/>
      <c r="X61" s="2"/>
      <c r="Y61" s="2"/>
      <c r="Z61" s="312"/>
      <c r="AA61" s="1"/>
    </row>
    <row r="62" spans="2:29" ht="18.75">
      <c r="B62" s="1"/>
      <c r="C62" s="299"/>
      <c r="P62" s="321" t="s">
        <v>889</v>
      </c>
      <c r="Z62" s="312"/>
      <c r="AA62" s="1"/>
    </row>
    <row r="63" spans="2:29" ht="17.45" customHeight="1">
      <c r="B63" s="1"/>
      <c r="C63" s="303" t="s">
        <v>872</v>
      </c>
      <c r="P63" s="366" t="s">
        <v>895</v>
      </c>
      <c r="Q63" s="367"/>
      <c r="R63" s="367"/>
      <c r="S63" s="367"/>
      <c r="T63" s="367"/>
      <c r="U63" s="367"/>
      <c r="V63" s="367"/>
      <c r="W63" s="367"/>
      <c r="X63" s="367"/>
      <c r="Y63" s="368"/>
      <c r="Z63" s="312"/>
      <c r="AA63" s="1"/>
      <c r="AC63" s="332"/>
    </row>
    <row r="64" spans="2:29" ht="18.75">
      <c r="B64" s="1"/>
      <c r="C64" s="304" t="s">
        <v>873</v>
      </c>
      <c r="P64" s="369"/>
      <c r="Q64" s="370"/>
      <c r="R64" s="370"/>
      <c r="S64" s="370"/>
      <c r="T64" s="370"/>
      <c r="U64" s="370"/>
      <c r="V64" s="370"/>
      <c r="W64" s="370"/>
      <c r="X64" s="370"/>
      <c r="Y64" s="371"/>
      <c r="Z64" s="312"/>
      <c r="AA64" s="1"/>
      <c r="AC64" s="333"/>
    </row>
    <row r="65" spans="2:29" ht="18.75">
      <c r="B65" s="1"/>
      <c r="C65" s="305" t="s">
        <v>874</v>
      </c>
      <c r="P65" s="369"/>
      <c r="Q65" s="370"/>
      <c r="R65" s="370"/>
      <c r="S65" s="370"/>
      <c r="T65" s="370"/>
      <c r="U65" s="370"/>
      <c r="V65" s="370"/>
      <c r="W65" s="370"/>
      <c r="X65" s="370"/>
      <c r="Y65" s="371"/>
      <c r="Z65" s="312"/>
      <c r="AA65" s="1"/>
      <c r="AC65" s="333"/>
    </row>
    <row r="66" spans="2:29" ht="18.75">
      <c r="B66" s="1"/>
      <c r="C66" s="305"/>
      <c r="P66" s="369"/>
      <c r="Q66" s="370"/>
      <c r="R66" s="370"/>
      <c r="S66" s="370"/>
      <c r="T66" s="370"/>
      <c r="U66" s="370"/>
      <c r="V66" s="370"/>
      <c r="W66" s="370"/>
      <c r="X66" s="370"/>
      <c r="Y66" s="371"/>
      <c r="Z66" s="312"/>
      <c r="AA66" s="1"/>
      <c r="AC66" s="333"/>
    </row>
    <row r="67" spans="2:29" ht="18.75">
      <c r="B67" s="1"/>
      <c r="C67" s="304" t="s">
        <v>881</v>
      </c>
      <c r="P67" s="369"/>
      <c r="Q67" s="370"/>
      <c r="R67" s="370"/>
      <c r="S67" s="370"/>
      <c r="T67" s="370"/>
      <c r="U67" s="370"/>
      <c r="V67" s="370"/>
      <c r="W67" s="370"/>
      <c r="X67" s="370"/>
      <c r="Y67" s="371"/>
      <c r="Z67" s="312"/>
      <c r="AA67" s="1"/>
      <c r="AC67" s="333"/>
    </row>
    <row r="68" spans="2:29" ht="18.75">
      <c r="B68" s="1"/>
      <c r="C68" s="304"/>
      <c r="P68" s="369"/>
      <c r="Q68" s="370"/>
      <c r="R68" s="370"/>
      <c r="S68" s="370"/>
      <c r="T68" s="370"/>
      <c r="U68" s="370"/>
      <c r="V68" s="370"/>
      <c r="W68" s="370"/>
      <c r="X68" s="370"/>
      <c r="Y68" s="371"/>
      <c r="Z68" s="312"/>
      <c r="AA68" s="1"/>
      <c r="AC68" s="333"/>
    </row>
    <row r="69" spans="2:29" ht="18.75">
      <c r="B69" s="1"/>
      <c r="C69" s="304"/>
      <c r="P69" s="369"/>
      <c r="Q69" s="370"/>
      <c r="R69" s="370"/>
      <c r="S69" s="370"/>
      <c r="T69" s="370"/>
      <c r="U69" s="370"/>
      <c r="V69" s="370"/>
      <c r="W69" s="370"/>
      <c r="X69" s="370"/>
      <c r="Y69" s="371"/>
      <c r="Z69" s="312"/>
      <c r="AA69" s="1"/>
      <c r="AC69" s="333"/>
    </row>
    <row r="70" spans="2:29" ht="18.75">
      <c r="B70" s="1"/>
      <c r="C70" s="304"/>
      <c r="P70" s="369"/>
      <c r="Q70" s="370"/>
      <c r="R70" s="370"/>
      <c r="S70" s="370"/>
      <c r="T70" s="370"/>
      <c r="U70" s="370"/>
      <c r="V70" s="370"/>
      <c r="W70" s="370"/>
      <c r="X70" s="370"/>
      <c r="Y70" s="371"/>
      <c r="Z70" s="312"/>
      <c r="AA70" s="1"/>
      <c r="AC70" s="333"/>
    </row>
    <row r="71" spans="2:29" ht="18.75">
      <c r="B71" s="1"/>
      <c r="C71" s="304"/>
      <c r="P71" s="369"/>
      <c r="Q71" s="370"/>
      <c r="R71" s="370"/>
      <c r="S71" s="370"/>
      <c r="T71" s="370"/>
      <c r="U71" s="370"/>
      <c r="V71" s="370"/>
      <c r="W71" s="370"/>
      <c r="X71" s="370"/>
      <c r="Y71" s="371"/>
      <c r="Z71" s="312"/>
      <c r="AA71" s="1"/>
      <c r="AC71" s="333"/>
    </row>
    <row r="72" spans="2:29" ht="18.75">
      <c r="B72" s="1"/>
      <c r="C72" s="304"/>
      <c r="P72" s="369"/>
      <c r="Q72" s="370"/>
      <c r="R72" s="370"/>
      <c r="S72" s="370"/>
      <c r="T72" s="370"/>
      <c r="U72" s="370"/>
      <c r="V72" s="370"/>
      <c r="W72" s="370"/>
      <c r="X72" s="370"/>
      <c r="Y72" s="371"/>
      <c r="Z72" s="312"/>
      <c r="AA72" s="1"/>
      <c r="AC72" s="333"/>
    </row>
    <row r="73" spans="2:29" ht="18.75">
      <c r="B73" s="1"/>
      <c r="C73" s="304"/>
      <c r="P73" s="369"/>
      <c r="Q73" s="370"/>
      <c r="R73" s="370"/>
      <c r="S73" s="370"/>
      <c r="T73" s="370"/>
      <c r="U73" s="370"/>
      <c r="V73" s="370"/>
      <c r="W73" s="370"/>
      <c r="X73" s="370"/>
      <c r="Y73" s="371"/>
      <c r="Z73" s="312"/>
      <c r="AA73" s="1"/>
      <c r="AC73" s="333"/>
    </row>
    <row r="74" spans="2:29" ht="18.75">
      <c r="B74" s="1"/>
      <c r="C74" s="304"/>
      <c r="P74" s="369"/>
      <c r="Q74" s="370"/>
      <c r="R74" s="370"/>
      <c r="S74" s="370"/>
      <c r="T74" s="370"/>
      <c r="U74" s="370"/>
      <c r="V74" s="370"/>
      <c r="W74" s="370"/>
      <c r="X74" s="370"/>
      <c r="Y74" s="371"/>
      <c r="Z74" s="312"/>
      <c r="AA74" s="1"/>
      <c r="AC74" s="333"/>
    </row>
    <row r="75" spans="2:29" ht="18.75">
      <c r="B75" s="1"/>
      <c r="C75" s="304"/>
      <c r="P75" s="369"/>
      <c r="Q75" s="370"/>
      <c r="R75" s="370"/>
      <c r="S75" s="370"/>
      <c r="T75" s="370"/>
      <c r="U75" s="370"/>
      <c r="V75" s="370"/>
      <c r="W75" s="370"/>
      <c r="X75" s="370"/>
      <c r="Y75" s="371"/>
      <c r="Z75" s="312"/>
      <c r="AA75" s="1"/>
      <c r="AC75" s="333"/>
    </row>
    <row r="76" spans="2:29" ht="18.75">
      <c r="B76" s="1"/>
      <c r="C76" s="304"/>
      <c r="D76" s="324" t="s">
        <v>893</v>
      </c>
      <c r="E76" s="330">
        <v>45952</v>
      </c>
      <c r="F76" s="330">
        <v>45959</v>
      </c>
      <c r="G76" s="331" t="s">
        <v>892</v>
      </c>
      <c r="I76" s="329"/>
      <c r="J76" s="324" t="s">
        <v>893</v>
      </c>
      <c r="K76" s="330">
        <v>45952</v>
      </c>
      <c r="L76" s="330">
        <v>45959</v>
      </c>
      <c r="M76" s="331" t="s">
        <v>892</v>
      </c>
      <c r="P76" s="369"/>
      <c r="Q76" s="370"/>
      <c r="R76" s="370"/>
      <c r="S76" s="370"/>
      <c r="T76" s="370"/>
      <c r="U76" s="370"/>
      <c r="V76" s="370"/>
      <c r="W76" s="370"/>
      <c r="X76" s="370"/>
      <c r="Y76" s="371"/>
      <c r="Z76" s="312"/>
      <c r="AA76" s="1"/>
      <c r="AC76" s="333"/>
    </row>
    <row r="77" spans="2:29" ht="18.75">
      <c r="B77" s="1"/>
      <c r="C77" s="304"/>
      <c r="D77" s="325" t="s">
        <v>812</v>
      </c>
      <c r="E77" s="352">
        <v>4</v>
      </c>
      <c r="F77" s="352">
        <v>4</v>
      </c>
      <c r="G77" s="352">
        <v>0</v>
      </c>
      <c r="I77" s="329"/>
      <c r="J77" s="325" t="s">
        <v>812</v>
      </c>
      <c r="K77" s="355">
        <v>13</v>
      </c>
      <c r="L77" s="355">
        <v>13</v>
      </c>
      <c r="M77" s="355">
        <v>0</v>
      </c>
      <c r="P77" s="369"/>
      <c r="Q77" s="370"/>
      <c r="R77" s="370"/>
      <c r="S77" s="370"/>
      <c r="T77" s="370"/>
      <c r="U77" s="370"/>
      <c r="V77" s="370"/>
      <c r="W77" s="370"/>
      <c r="X77" s="370"/>
      <c r="Y77" s="371"/>
      <c r="Z77" s="312"/>
      <c r="AA77" s="1"/>
      <c r="AC77" s="333"/>
    </row>
    <row r="78" spans="2:29" ht="18.75">
      <c r="B78" s="1"/>
      <c r="C78" s="304"/>
      <c r="D78" s="325" t="s">
        <v>236</v>
      </c>
      <c r="E78" s="352">
        <v>0</v>
      </c>
      <c r="F78" s="352">
        <v>0</v>
      </c>
      <c r="G78" s="352">
        <v>0</v>
      </c>
      <c r="I78" s="329"/>
      <c r="J78" s="325" t="s">
        <v>236</v>
      </c>
      <c r="K78" s="355">
        <v>0</v>
      </c>
      <c r="L78" s="355">
        <v>0</v>
      </c>
      <c r="M78" s="355">
        <v>0</v>
      </c>
      <c r="P78" s="369"/>
      <c r="Q78" s="370"/>
      <c r="R78" s="370"/>
      <c r="S78" s="370"/>
      <c r="T78" s="370"/>
      <c r="U78" s="370"/>
      <c r="V78" s="370"/>
      <c r="W78" s="370"/>
      <c r="X78" s="370"/>
      <c r="Y78" s="371"/>
      <c r="Z78" s="312"/>
      <c r="AA78" s="1"/>
      <c r="AC78" s="334"/>
    </row>
    <row r="79" spans="2:29" ht="18.75">
      <c r="B79" s="1"/>
      <c r="C79" s="304"/>
      <c r="D79" s="325" t="s">
        <v>888</v>
      </c>
      <c r="E79" s="352">
        <v>0</v>
      </c>
      <c r="F79" s="352">
        <v>0</v>
      </c>
      <c r="G79" s="352">
        <v>0</v>
      </c>
      <c r="I79" s="329"/>
      <c r="J79" s="325" t="s">
        <v>888</v>
      </c>
      <c r="K79" s="355">
        <v>0</v>
      </c>
      <c r="L79" s="355">
        <v>0</v>
      </c>
      <c r="M79" s="355">
        <v>0</v>
      </c>
      <c r="P79" s="369"/>
      <c r="Q79" s="370"/>
      <c r="R79" s="370"/>
      <c r="S79" s="370"/>
      <c r="T79" s="370"/>
      <c r="U79" s="370"/>
      <c r="V79" s="370"/>
      <c r="W79" s="370"/>
      <c r="X79" s="370"/>
      <c r="Y79" s="371"/>
      <c r="Z79" s="312"/>
      <c r="AA79" s="1"/>
    </row>
    <row r="80" spans="2:29" ht="18.75">
      <c r="B80" s="1"/>
      <c r="C80" s="304"/>
      <c r="D80" s="325" t="s">
        <v>894</v>
      </c>
      <c r="E80" s="353">
        <v>0</v>
      </c>
      <c r="F80" s="353">
        <v>0</v>
      </c>
      <c r="G80" s="353">
        <v>0</v>
      </c>
      <c r="I80" s="329"/>
      <c r="J80" s="325" t="s">
        <v>894</v>
      </c>
      <c r="K80" s="356">
        <v>2</v>
      </c>
      <c r="L80" s="356">
        <v>2</v>
      </c>
      <c r="M80" s="356">
        <v>0</v>
      </c>
      <c r="P80" s="369"/>
      <c r="Q80" s="370"/>
      <c r="R80" s="370"/>
      <c r="S80" s="370"/>
      <c r="T80" s="370"/>
      <c r="U80" s="370"/>
      <c r="V80" s="370"/>
      <c r="W80" s="370"/>
      <c r="X80" s="370"/>
      <c r="Y80" s="371"/>
      <c r="Z80" s="312"/>
      <c r="AA80" s="1"/>
    </row>
    <row r="81" spans="2:29" ht="18.75">
      <c r="B81" s="1"/>
      <c r="C81" s="304"/>
      <c r="D81" s="326" t="s">
        <v>890</v>
      </c>
      <c r="E81" s="354">
        <v>0</v>
      </c>
      <c r="F81" s="354">
        <v>0</v>
      </c>
      <c r="G81" s="354">
        <v>0</v>
      </c>
      <c r="I81" s="329"/>
      <c r="J81" s="326" t="s">
        <v>890</v>
      </c>
      <c r="K81" s="357">
        <v>0</v>
      </c>
      <c r="L81" s="357">
        <v>0</v>
      </c>
      <c r="M81" s="357">
        <v>0</v>
      </c>
      <c r="P81" s="369"/>
      <c r="Q81" s="370"/>
      <c r="R81" s="370"/>
      <c r="S81" s="370"/>
      <c r="T81" s="370"/>
      <c r="U81" s="370"/>
      <c r="V81" s="370"/>
      <c r="W81" s="370"/>
      <c r="X81" s="370"/>
      <c r="Y81" s="371"/>
      <c r="Z81" s="312"/>
      <c r="AA81" s="1"/>
    </row>
    <row r="82" spans="2:29" ht="18.75">
      <c r="B82" s="1"/>
      <c r="C82" s="304"/>
      <c r="D82" s="327" t="s">
        <v>885</v>
      </c>
      <c r="E82" s="328">
        <v>4</v>
      </c>
      <c r="F82" s="328">
        <v>4</v>
      </c>
      <c r="G82" s="328">
        <v>0</v>
      </c>
      <c r="I82" s="329"/>
      <c r="J82" s="327" t="s">
        <v>885</v>
      </c>
      <c r="K82" s="328">
        <v>15</v>
      </c>
      <c r="L82" s="328">
        <v>15</v>
      </c>
      <c r="M82" s="328">
        <v>0</v>
      </c>
      <c r="P82" s="372"/>
      <c r="Q82" s="373"/>
      <c r="R82" s="373"/>
      <c r="S82" s="373"/>
      <c r="T82" s="373"/>
      <c r="U82" s="373"/>
      <c r="V82" s="373"/>
      <c r="W82" s="373"/>
      <c r="X82" s="373"/>
      <c r="Y82" s="374"/>
      <c r="Z82" s="312"/>
      <c r="AA82" s="1"/>
    </row>
    <row r="83" spans="2:29" ht="18.75">
      <c r="B83" s="1"/>
      <c r="C83" s="304"/>
      <c r="Z83" s="312"/>
      <c r="AA83" s="1"/>
    </row>
    <row r="84" spans="2:29" ht="24">
      <c r="B84" s="1"/>
      <c r="C84" s="299"/>
      <c r="D84" s="323" t="s">
        <v>853</v>
      </c>
      <c r="E84" s="322"/>
      <c r="F84" s="322"/>
      <c r="G84" s="322"/>
      <c r="H84" s="322"/>
      <c r="I84" s="322"/>
      <c r="J84" s="322"/>
      <c r="K84" s="322"/>
      <c r="L84" s="322"/>
      <c r="M84" s="322"/>
      <c r="N84" s="322"/>
      <c r="O84" s="322"/>
      <c r="P84" s="322"/>
      <c r="Q84" s="322"/>
      <c r="R84" s="322"/>
      <c r="S84" s="322"/>
      <c r="T84" s="322"/>
      <c r="U84" s="322"/>
      <c r="V84" s="322"/>
      <c r="W84" s="322"/>
      <c r="X84" s="322"/>
      <c r="Y84" s="322"/>
      <c r="Z84" s="312"/>
      <c r="AA84" s="1"/>
    </row>
    <row r="85" spans="2:29" ht="18.75">
      <c r="B85" s="1"/>
      <c r="C85" s="299"/>
      <c r="D85" s="302"/>
      <c r="E85" s="302"/>
      <c r="F85" s="302"/>
      <c r="G85" s="302"/>
      <c r="H85" s="302"/>
      <c r="I85" s="302"/>
      <c r="J85" s="302"/>
      <c r="K85" s="302"/>
      <c r="L85" s="302"/>
      <c r="M85" s="302"/>
      <c r="N85" s="302"/>
      <c r="O85" s="302"/>
      <c r="P85" s="302"/>
      <c r="Q85" s="302"/>
      <c r="R85" s="302"/>
      <c r="S85" s="302"/>
      <c r="T85" s="302"/>
      <c r="U85" s="302"/>
      <c r="V85" s="302"/>
      <c r="W85" s="302"/>
      <c r="X85" s="302"/>
      <c r="Y85" s="302"/>
      <c r="Z85" s="312"/>
      <c r="AA85" s="1"/>
    </row>
    <row r="86" spans="2:29" ht="18.75">
      <c r="B86" s="1"/>
      <c r="C86" s="299"/>
      <c r="L86" s="321"/>
      <c r="O86" s="2"/>
      <c r="P86" s="321"/>
      <c r="Q86" s="2"/>
      <c r="R86" s="2"/>
      <c r="S86" s="2"/>
      <c r="T86" s="2"/>
      <c r="U86" s="2"/>
      <c r="V86" s="2"/>
      <c r="W86" s="2"/>
      <c r="X86" s="2"/>
      <c r="Y86" s="2"/>
      <c r="Z86" s="312"/>
      <c r="AA86" s="1"/>
    </row>
    <row r="87" spans="2:29" ht="18.75">
      <c r="B87" s="1"/>
      <c r="C87" s="299"/>
      <c r="P87" s="321" t="s">
        <v>889</v>
      </c>
      <c r="Z87" s="312"/>
      <c r="AA87" s="1"/>
    </row>
    <row r="88" spans="2:29" ht="17.45" customHeight="1">
      <c r="B88" s="1"/>
      <c r="C88" s="303" t="s">
        <v>872</v>
      </c>
      <c r="P88" s="366" t="s">
        <v>896</v>
      </c>
      <c r="Q88" s="367"/>
      <c r="R88" s="367"/>
      <c r="S88" s="367"/>
      <c r="T88" s="367"/>
      <c r="U88" s="367"/>
      <c r="V88" s="367"/>
      <c r="W88" s="367"/>
      <c r="X88" s="367"/>
      <c r="Y88" s="368"/>
      <c r="Z88" s="312"/>
      <c r="AA88" s="1"/>
      <c r="AC88" s="332"/>
    </row>
    <row r="89" spans="2:29" ht="18.75">
      <c r="B89" s="1"/>
      <c r="C89" s="304" t="s">
        <v>873</v>
      </c>
      <c r="P89" s="369"/>
      <c r="Q89" s="370"/>
      <c r="R89" s="370"/>
      <c r="S89" s="370"/>
      <c r="T89" s="370"/>
      <c r="U89" s="370"/>
      <c r="V89" s="370"/>
      <c r="W89" s="370"/>
      <c r="X89" s="370"/>
      <c r="Y89" s="371"/>
      <c r="Z89" s="312"/>
      <c r="AA89" s="1"/>
      <c r="AC89" s="333"/>
    </row>
    <row r="90" spans="2:29" ht="18.75">
      <c r="B90" s="1"/>
      <c r="C90" s="305" t="s">
        <v>874</v>
      </c>
      <c r="P90" s="369"/>
      <c r="Q90" s="370"/>
      <c r="R90" s="370"/>
      <c r="S90" s="370"/>
      <c r="T90" s="370"/>
      <c r="U90" s="370"/>
      <c r="V90" s="370"/>
      <c r="W90" s="370"/>
      <c r="X90" s="370"/>
      <c r="Y90" s="371"/>
      <c r="Z90" s="312"/>
      <c r="AA90" s="1"/>
      <c r="AC90" s="333"/>
    </row>
    <row r="91" spans="2:29" ht="18.75">
      <c r="B91" s="1"/>
      <c r="C91" s="305"/>
      <c r="P91" s="369"/>
      <c r="Q91" s="370"/>
      <c r="R91" s="370"/>
      <c r="S91" s="370"/>
      <c r="T91" s="370"/>
      <c r="U91" s="370"/>
      <c r="V91" s="370"/>
      <c r="W91" s="370"/>
      <c r="X91" s="370"/>
      <c r="Y91" s="371"/>
      <c r="Z91" s="312"/>
      <c r="AA91" s="1"/>
      <c r="AC91" s="333"/>
    </row>
    <row r="92" spans="2:29" ht="18.75">
      <c r="B92" s="1"/>
      <c r="C92" s="304" t="s">
        <v>881</v>
      </c>
      <c r="P92" s="369"/>
      <c r="Q92" s="370"/>
      <c r="R92" s="370"/>
      <c r="S92" s="370"/>
      <c r="T92" s="370"/>
      <c r="U92" s="370"/>
      <c r="V92" s="370"/>
      <c r="W92" s="370"/>
      <c r="X92" s="370"/>
      <c r="Y92" s="371"/>
      <c r="Z92" s="312"/>
      <c r="AA92" s="1"/>
      <c r="AC92" s="333"/>
    </row>
    <row r="93" spans="2:29" ht="18.75">
      <c r="B93" s="1"/>
      <c r="C93" s="304"/>
      <c r="P93" s="369"/>
      <c r="Q93" s="370"/>
      <c r="R93" s="370"/>
      <c r="S93" s="370"/>
      <c r="T93" s="370"/>
      <c r="U93" s="370"/>
      <c r="V93" s="370"/>
      <c r="W93" s="370"/>
      <c r="X93" s="370"/>
      <c r="Y93" s="371"/>
      <c r="Z93" s="312"/>
      <c r="AA93" s="1"/>
      <c r="AC93" s="333"/>
    </row>
    <row r="94" spans="2:29" ht="18.75">
      <c r="B94" s="1"/>
      <c r="C94" s="304"/>
      <c r="P94" s="369"/>
      <c r="Q94" s="370"/>
      <c r="R94" s="370"/>
      <c r="S94" s="370"/>
      <c r="T94" s="370"/>
      <c r="U94" s="370"/>
      <c r="V94" s="370"/>
      <c r="W94" s="370"/>
      <c r="X94" s="370"/>
      <c r="Y94" s="371"/>
      <c r="Z94" s="312"/>
      <c r="AA94" s="1"/>
      <c r="AC94" s="333"/>
    </row>
    <row r="95" spans="2:29" ht="18.75">
      <c r="B95" s="1"/>
      <c r="C95" s="304"/>
      <c r="P95" s="369"/>
      <c r="Q95" s="370"/>
      <c r="R95" s="370"/>
      <c r="S95" s="370"/>
      <c r="T95" s="370"/>
      <c r="U95" s="370"/>
      <c r="V95" s="370"/>
      <c r="W95" s="370"/>
      <c r="X95" s="370"/>
      <c r="Y95" s="371"/>
      <c r="Z95" s="312"/>
      <c r="AA95" s="1"/>
      <c r="AC95" s="333"/>
    </row>
    <row r="96" spans="2:29" ht="18.75">
      <c r="B96" s="1"/>
      <c r="C96" s="304"/>
      <c r="P96" s="369"/>
      <c r="Q96" s="370"/>
      <c r="R96" s="370"/>
      <c r="S96" s="370"/>
      <c r="T96" s="370"/>
      <c r="U96" s="370"/>
      <c r="V96" s="370"/>
      <c r="W96" s="370"/>
      <c r="X96" s="370"/>
      <c r="Y96" s="371"/>
      <c r="Z96" s="312"/>
      <c r="AA96" s="1"/>
      <c r="AC96" s="333"/>
    </row>
    <row r="97" spans="2:29" ht="18.75">
      <c r="B97" s="1"/>
      <c r="C97" s="304"/>
      <c r="P97" s="369"/>
      <c r="Q97" s="370"/>
      <c r="R97" s="370"/>
      <c r="S97" s="370"/>
      <c r="T97" s="370"/>
      <c r="U97" s="370"/>
      <c r="V97" s="370"/>
      <c r="W97" s="370"/>
      <c r="X97" s="370"/>
      <c r="Y97" s="371"/>
      <c r="Z97" s="312"/>
      <c r="AA97" s="1"/>
      <c r="AC97" s="333"/>
    </row>
    <row r="98" spans="2:29" ht="18.75">
      <c r="B98" s="1"/>
      <c r="C98" s="304"/>
      <c r="P98" s="369"/>
      <c r="Q98" s="370"/>
      <c r="R98" s="370"/>
      <c r="S98" s="370"/>
      <c r="T98" s="370"/>
      <c r="U98" s="370"/>
      <c r="V98" s="370"/>
      <c r="W98" s="370"/>
      <c r="X98" s="370"/>
      <c r="Y98" s="371"/>
      <c r="Z98" s="312"/>
      <c r="AA98" s="1"/>
      <c r="AC98" s="333"/>
    </row>
    <row r="99" spans="2:29" ht="18.75">
      <c r="B99" s="1"/>
      <c r="C99" s="304"/>
      <c r="P99" s="369"/>
      <c r="Q99" s="370"/>
      <c r="R99" s="370"/>
      <c r="S99" s="370"/>
      <c r="T99" s="370"/>
      <c r="U99" s="370"/>
      <c r="V99" s="370"/>
      <c r="W99" s="370"/>
      <c r="X99" s="370"/>
      <c r="Y99" s="371"/>
      <c r="Z99" s="312"/>
      <c r="AA99" s="1"/>
      <c r="AC99" s="333"/>
    </row>
    <row r="100" spans="2:29" ht="18.75">
      <c r="B100" s="1"/>
      <c r="C100" s="304"/>
      <c r="P100" s="369"/>
      <c r="Q100" s="370"/>
      <c r="R100" s="370"/>
      <c r="S100" s="370"/>
      <c r="T100" s="370"/>
      <c r="U100" s="370"/>
      <c r="V100" s="370"/>
      <c r="W100" s="370"/>
      <c r="X100" s="370"/>
      <c r="Y100" s="371"/>
      <c r="Z100" s="312"/>
      <c r="AA100" s="1"/>
      <c r="AC100" s="333"/>
    </row>
    <row r="101" spans="2:29" ht="18.75">
      <c r="B101" s="1"/>
      <c r="C101" s="304"/>
      <c r="D101" s="324" t="s">
        <v>893</v>
      </c>
      <c r="E101" s="330">
        <v>45952</v>
      </c>
      <c r="F101" s="330">
        <v>45959</v>
      </c>
      <c r="G101" s="331" t="s">
        <v>892</v>
      </c>
      <c r="I101" s="329"/>
      <c r="J101" s="324" t="s">
        <v>893</v>
      </c>
      <c r="K101" s="330">
        <v>45952</v>
      </c>
      <c r="L101" s="330">
        <v>45959</v>
      </c>
      <c r="M101" s="331" t="s">
        <v>892</v>
      </c>
      <c r="P101" s="369"/>
      <c r="Q101" s="370"/>
      <c r="R101" s="370"/>
      <c r="S101" s="370"/>
      <c r="T101" s="370"/>
      <c r="U101" s="370"/>
      <c r="V101" s="370"/>
      <c r="W101" s="370"/>
      <c r="X101" s="370"/>
      <c r="Y101" s="371"/>
      <c r="Z101" s="312"/>
      <c r="AA101" s="1"/>
      <c r="AC101" s="333"/>
    </row>
    <row r="102" spans="2:29" ht="18.75">
      <c r="B102" s="1"/>
      <c r="C102" s="304"/>
      <c r="D102" s="325" t="s">
        <v>812</v>
      </c>
      <c r="E102" s="352">
        <v>11</v>
      </c>
      <c r="F102" s="352">
        <v>11</v>
      </c>
      <c r="G102" s="352">
        <v>0</v>
      </c>
      <c r="I102" s="329"/>
      <c r="J102" s="325" t="s">
        <v>812</v>
      </c>
      <c r="K102" s="355">
        <v>3</v>
      </c>
      <c r="L102" s="355">
        <v>3</v>
      </c>
      <c r="M102" s="355">
        <v>0</v>
      </c>
      <c r="P102" s="369"/>
      <c r="Q102" s="370"/>
      <c r="R102" s="370"/>
      <c r="S102" s="370"/>
      <c r="T102" s="370"/>
      <c r="U102" s="370"/>
      <c r="V102" s="370"/>
      <c r="W102" s="370"/>
      <c r="X102" s="370"/>
      <c r="Y102" s="371"/>
      <c r="Z102" s="312"/>
      <c r="AA102" s="1"/>
      <c r="AC102" s="333"/>
    </row>
    <row r="103" spans="2:29" ht="18.75">
      <c r="B103" s="1"/>
      <c r="C103" s="304"/>
      <c r="D103" s="325" t="s">
        <v>236</v>
      </c>
      <c r="E103" s="352">
        <v>0</v>
      </c>
      <c r="F103" s="352">
        <v>0</v>
      </c>
      <c r="G103" s="352">
        <v>0</v>
      </c>
      <c r="I103" s="329"/>
      <c r="J103" s="325" t="s">
        <v>236</v>
      </c>
      <c r="K103" s="355">
        <v>0</v>
      </c>
      <c r="L103" s="355">
        <v>0</v>
      </c>
      <c r="M103" s="355">
        <v>0</v>
      </c>
      <c r="P103" s="369"/>
      <c r="Q103" s="370"/>
      <c r="R103" s="370"/>
      <c r="S103" s="370"/>
      <c r="T103" s="370"/>
      <c r="U103" s="370"/>
      <c r="V103" s="370"/>
      <c r="W103" s="370"/>
      <c r="X103" s="370"/>
      <c r="Y103" s="371"/>
      <c r="Z103" s="312"/>
      <c r="AA103" s="1"/>
      <c r="AC103" s="334"/>
    </row>
    <row r="104" spans="2:29" ht="18.75">
      <c r="B104" s="1"/>
      <c r="C104" s="304"/>
      <c r="D104" s="325" t="s">
        <v>888</v>
      </c>
      <c r="E104" s="352">
        <v>0</v>
      </c>
      <c r="F104" s="352">
        <v>0</v>
      </c>
      <c r="G104" s="352">
        <v>0</v>
      </c>
      <c r="I104" s="329"/>
      <c r="J104" s="325" t="s">
        <v>888</v>
      </c>
      <c r="K104" s="355">
        <v>0</v>
      </c>
      <c r="L104" s="355">
        <v>0</v>
      </c>
      <c r="M104" s="355">
        <v>0</v>
      </c>
      <c r="P104" s="369"/>
      <c r="Q104" s="370"/>
      <c r="R104" s="370"/>
      <c r="S104" s="370"/>
      <c r="T104" s="370"/>
      <c r="U104" s="370"/>
      <c r="V104" s="370"/>
      <c r="W104" s="370"/>
      <c r="X104" s="370"/>
      <c r="Y104" s="371"/>
      <c r="Z104" s="312"/>
      <c r="AA104" s="1"/>
    </row>
    <row r="105" spans="2:29" ht="18.75">
      <c r="B105" s="1"/>
      <c r="C105" s="304"/>
      <c r="D105" s="325" t="s">
        <v>894</v>
      </c>
      <c r="E105" s="353">
        <v>0</v>
      </c>
      <c r="F105" s="353">
        <v>0</v>
      </c>
      <c r="G105" s="353">
        <v>0</v>
      </c>
      <c r="I105" s="329"/>
      <c r="J105" s="325" t="s">
        <v>894</v>
      </c>
      <c r="K105" s="356">
        <v>8</v>
      </c>
      <c r="L105" s="356">
        <v>8</v>
      </c>
      <c r="M105" s="356">
        <v>0</v>
      </c>
      <c r="P105" s="369"/>
      <c r="Q105" s="370"/>
      <c r="R105" s="370"/>
      <c r="S105" s="370"/>
      <c r="T105" s="370"/>
      <c r="U105" s="370"/>
      <c r="V105" s="370"/>
      <c r="W105" s="370"/>
      <c r="X105" s="370"/>
      <c r="Y105" s="371"/>
      <c r="Z105" s="312"/>
      <c r="AA105" s="1"/>
    </row>
    <row r="106" spans="2:29" ht="18.75">
      <c r="B106" s="1"/>
      <c r="C106" s="304"/>
      <c r="D106" s="326" t="s">
        <v>890</v>
      </c>
      <c r="E106" s="354">
        <v>0</v>
      </c>
      <c r="F106" s="354">
        <v>0</v>
      </c>
      <c r="G106" s="354">
        <v>0</v>
      </c>
      <c r="I106" s="329"/>
      <c r="J106" s="326" t="s">
        <v>890</v>
      </c>
      <c r="K106" s="357">
        <v>0</v>
      </c>
      <c r="L106" s="357">
        <v>0</v>
      </c>
      <c r="M106" s="357">
        <v>0</v>
      </c>
      <c r="P106" s="369"/>
      <c r="Q106" s="370"/>
      <c r="R106" s="370"/>
      <c r="S106" s="370"/>
      <c r="T106" s="370"/>
      <c r="U106" s="370"/>
      <c r="V106" s="370"/>
      <c r="W106" s="370"/>
      <c r="X106" s="370"/>
      <c r="Y106" s="371"/>
      <c r="Z106" s="312"/>
      <c r="AA106" s="1"/>
    </row>
    <row r="107" spans="2:29" ht="18.75">
      <c r="B107" s="1"/>
      <c r="C107" s="304"/>
      <c r="D107" s="327" t="s">
        <v>885</v>
      </c>
      <c r="E107" s="328">
        <v>11</v>
      </c>
      <c r="F107" s="328">
        <v>11</v>
      </c>
      <c r="G107" s="328">
        <v>0</v>
      </c>
      <c r="I107" s="329"/>
      <c r="J107" s="327" t="s">
        <v>885</v>
      </c>
      <c r="K107" s="328">
        <v>11</v>
      </c>
      <c r="L107" s="328">
        <v>11</v>
      </c>
      <c r="M107" s="328">
        <v>0</v>
      </c>
      <c r="P107" s="372"/>
      <c r="Q107" s="373"/>
      <c r="R107" s="373"/>
      <c r="S107" s="373"/>
      <c r="T107" s="373"/>
      <c r="U107" s="373"/>
      <c r="V107" s="373"/>
      <c r="W107" s="373"/>
      <c r="X107" s="373"/>
      <c r="Y107" s="374"/>
      <c r="Z107" s="312"/>
      <c r="AA107" s="1"/>
    </row>
    <row r="108" spans="2:29" ht="18.75">
      <c r="B108" s="1"/>
      <c r="C108" s="309"/>
      <c r="D108" s="310"/>
      <c r="E108" s="310"/>
      <c r="F108" s="310"/>
      <c r="G108" s="310"/>
      <c r="H108" s="310"/>
      <c r="I108" s="310"/>
      <c r="J108" s="310"/>
      <c r="K108" s="310"/>
      <c r="L108" s="310"/>
      <c r="M108" s="310"/>
      <c r="N108" s="310"/>
      <c r="O108" s="310"/>
      <c r="P108" s="310"/>
      <c r="Q108" s="310"/>
      <c r="R108" s="310"/>
      <c r="S108" s="310"/>
      <c r="T108" s="310"/>
      <c r="U108" s="310"/>
      <c r="V108" s="310"/>
      <c r="W108" s="310"/>
      <c r="X108" s="310"/>
      <c r="Y108" s="310"/>
      <c r="Z108" s="313"/>
      <c r="AA108" s="1"/>
    </row>
    <row r="109" spans="2:29" ht="18.75">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spans="2:29" ht="18.75">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spans="2:29"/>
    <row r="112" spans="2:29"/>
    <row r="113"/>
    <row r="114"/>
  </sheetData>
  <mergeCells count="12">
    <mergeCell ref="F13:J13"/>
    <mergeCell ref="P63:Y82"/>
    <mergeCell ref="D13:E14"/>
    <mergeCell ref="P88:Y107"/>
    <mergeCell ref="P37:Y56"/>
    <mergeCell ref="D26:E26"/>
    <mergeCell ref="D18:E18"/>
    <mergeCell ref="D22:E22"/>
    <mergeCell ref="L14:Y26"/>
    <mergeCell ref="D15:J15"/>
    <mergeCell ref="D19:J19"/>
    <mergeCell ref="D23:J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G159"/>
  <sheetViews>
    <sheetView showGridLines="0" zoomScale="90" zoomScaleNormal="90" workbookViewId="0">
      <pane ySplit="7" topLeftCell="A8" activePane="bottomLeft" state="frozen"/>
      <selection pane="bottomLeft" activeCell="C7" sqref="C7"/>
    </sheetView>
  </sheetViews>
  <sheetFormatPr defaultColWidth="0" defaultRowHeight="15" zeroHeight="1"/>
  <cols>
    <col min="1" max="1" width="3.7109375" style="109" customWidth="1"/>
    <col min="2" max="2" width="7.5703125" style="109" bestFit="1" customWidth="1"/>
    <col min="3" max="3" width="13.85546875" style="109" bestFit="1" customWidth="1"/>
    <col min="4" max="4" width="25.7109375" style="109" bestFit="1" customWidth="1"/>
    <col min="5" max="5" width="36" style="109" bestFit="1" customWidth="1"/>
    <col min="6" max="6" width="41" style="109" customWidth="1"/>
    <col min="7" max="8" width="24.28515625" style="289" customWidth="1"/>
    <col min="9" max="9" width="15.28515625" style="289" customWidth="1"/>
    <col min="10" max="10" width="18.7109375" style="289" customWidth="1"/>
    <col min="11" max="11" width="25.140625" style="109" customWidth="1"/>
    <col min="12" max="12" width="19.140625" style="109" customWidth="1"/>
    <col min="13" max="13" width="25.42578125" style="109" customWidth="1"/>
    <col min="14" max="14" width="3.7109375" style="109" customWidth="1"/>
    <col min="15" max="15" width="24.85546875" style="109" hidden="1" customWidth="1"/>
    <col min="16" max="16" width="23.85546875" style="109" hidden="1" customWidth="1"/>
    <col min="17" max="17" width="32.7109375" style="109" hidden="1" customWidth="1"/>
    <col min="18" max="18" width="22" style="109" hidden="1" customWidth="1"/>
    <col min="19" max="19" width="15.5703125" style="109" hidden="1" customWidth="1"/>
    <col min="20" max="20" width="10.140625" style="109" hidden="1" customWidth="1"/>
    <col min="21" max="21" width="14.140625" style="109" hidden="1" customWidth="1"/>
    <col min="22" max="22" width="14.85546875" style="109" hidden="1" customWidth="1"/>
    <col min="23" max="23" width="6.28515625" style="109" hidden="1" customWidth="1"/>
    <col min="24" max="24" width="3.7109375" style="109" hidden="1" customWidth="1"/>
    <col min="25" max="33" width="0" style="109" hidden="1" customWidth="1"/>
    <col min="34" max="16384" width="8.85546875" style="109" hidden="1"/>
  </cols>
  <sheetData>
    <row r="1" spans="1:23" s="110" customFormat="1" ht="10.15" customHeight="1">
      <c r="A1" s="108"/>
      <c r="B1" s="108"/>
      <c r="C1" s="108"/>
      <c r="D1" s="108"/>
      <c r="E1" s="108"/>
      <c r="F1" s="108"/>
      <c r="G1" s="293"/>
      <c r="H1" s="293"/>
      <c r="I1" s="293"/>
      <c r="J1" s="293"/>
      <c r="K1" s="108"/>
      <c r="L1" s="108"/>
      <c r="M1" s="108"/>
      <c r="N1" s="108"/>
      <c r="O1" s="109"/>
      <c r="P1" s="109"/>
      <c r="Q1" s="109"/>
      <c r="R1" s="109"/>
      <c r="S1" s="109"/>
      <c r="T1" s="109"/>
      <c r="U1" s="109"/>
      <c r="V1" s="109"/>
      <c r="W1" s="109"/>
    </row>
    <row r="2" spans="1:23" s="110" customFormat="1" ht="13.35" customHeight="1">
      <c r="A2" s="108"/>
      <c r="B2" s="108"/>
      <c r="C2" s="108"/>
      <c r="D2" s="108"/>
      <c r="E2" s="108"/>
      <c r="F2" s="108"/>
      <c r="G2" s="293"/>
      <c r="H2" s="293"/>
      <c r="I2" s="293"/>
      <c r="J2" s="293"/>
      <c r="K2" s="108"/>
      <c r="L2" s="108"/>
      <c r="M2" s="108"/>
      <c r="N2" s="108"/>
      <c r="O2" s="109"/>
      <c r="P2" s="109"/>
      <c r="Q2" s="109"/>
      <c r="R2" s="109"/>
      <c r="S2" s="109"/>
      <c r="T2" s="109"/>
      <c r="U2" s="109"/>
      <c r="V2" s="109"/>
      <c r="W2" s="109"/>
    </row>
    <row r="3" spans="1:23" s="110" customFormat="1" ht="13.35" customHeight="1">
      <c r="A3" s="108"/>
      <c r="B3" s="108"/>
      <c r="C3" s="108"/>
      <c r="D3" s="108"/>
      <c r="E3" s="108"/>
      <c r="F3" s="108"/>
      <c r="G3" s="293"/>
      <c r="H3" s="293"/>
      <c r="I3" s="293"/>
      <c r="J3" s="293"/>
      <c r="K3" s="108"/>
      <c r="L3" s="108"/>
      <c r="M3" s="108"/>
      <c r="N3" s="108"/>
      <c r="O3" s="109"/>
      <c r="P3" s="109"/>
      <c r="Q3" s="109"/>
      <c r="R3" s="109"/>
      <c r="S3" s="109"/>
      <c r="T3" s="109"/>
      <c r="U3" s="109"/>
      <c r="V3" s="109"/>
      <c r="W3" s="109"/>
    </row>
    <row r="4" spans="1:23" s="110" customFormat="1" ht="10.15" customHeight="1">
      <c r="A4" s="108"/>
      <c r="B4" s="108"/>
      <c r="C4" s="108"/>
      <c r="D4" s="108"/>
      <c r="E4" s="108"/>
      <c r="F4" s="108"/>
      <c r="G4" s="293"/>
      <c r="H4" s="293"/>
      <c r="I4" s="293"/>
      <c r="J4" s="293"/>
      <c r="K4" s="108"/>
      <c r="L4" s="108"/>
      <c r="M4" s="108"/>
      <c r="N4" s="108"/>
      <c r="O4" s="109"/>
      <c r="P4" s="109"/>
      <c r="Q4" s="109"/>
      <c r="R4" s="109"/>
      <c r="S4" s="109"/>
      <c r="T4" s="109"/>
      <c r="U4" s="109"/>
      <c r="V4" s="109"/>
      <c r="W4" s="109"/>
    </row>
    <row r="5" spans="1:23" s="110" customFormat="1" ht="2.85" customHeight="1">
      <c r="A5" s="111"/>
      <c r="B5" s="111"/>
      <c r="C5" s="111"/>
      <c r="D5" s="111"/>
      <c r="E5" s="111"/>
      <c r="F5" s="111"/>
      <c r="G5" s="294"/>
      <c r="H5" s="294"/>
      <c r="I5" s="294"/>
      <c r="J5" s="294"/>
      <c r="K5" s="111"/>
      <c r="L5" s="111"/>
      <c r="M5" s="111"/>
      <c r="N5" s="111"/>
      <c r="O5" s="109"/>
      <c r="P5" s="109"/>
      <c r="Q5" s="109"/>
      <c r="R5" s="109"/>
      <c r="S5" s="109"/>
      <c r="T5" s="109"/>
      <c r="U5" s="109"/>
      <c r="V5" s="109"/>
      <c r="W5" s="109"/>
    </row>
    <row r="6" spans="1:23"/>
    <row r="7" spans="1:23" ht="18.75">
      <c r="B7" s="4" t="s">
        <v>108</v>
      </c>
      <c r="C7" s="4" t="s">
        <v>109</v>
      </c>
      <c r="D7" s="4" t="s">
        <v>614</v>
      </c>
      <c r="E7" s="4" t="s">
        <v>116</v>
      </c>
      <c r="F7" s="4" t="s">
        <v>612</v>
      </c>
      <c r="G7" s="4" t="s">
        <v>115</v>
      </c>
      <c r="H7" s="4" t="s">
        <v>613</v>
      </c>
      <c r="I7" s="5" t="s">
        <v>113</v>
      </c>
      <c r="J7" s="6" t="s">
        <v>114</v>
      </c>
      <c r="K7" s="5" t="s">
        <v>110</v>
      </c>
      <c r="L7" s="5" t="s">
        <v>111</v>
      </c>
      <c r="M7" s="5" t="s">
        <v>112</v>
      </c>
    </row>
    <row r="8" spans="1:23" ht="16.5">
      <c r="B8" s="291" t="s">
        <v>0</v>
      </c>
      <c r="C8" s="291" t="s">
        <v>884</v>
      </c>
      <c r="D8" s="291" t="s">
        <v>1</v>
      </c>
      <c r="E8" s="291" t="s">
        <v>3</v>
      </c>
      <c r="F8" s="291" t="s">
        <v>157</v>
      </c>
      <c r="G8" s="295" t="s">
        <v>147</v>
      </c>
      <c r="H8" s="295" t="s">
        <v>147</v>
      </c>
      <c r="I8" s="295" t="s">
        <v>812</v>
      </c>
      <c r="J8" s="295" t="s">
        <v>812</v>
      </c>
      <c r="K8" s="291"/>
      <c r="L8" s="291"/>
      <c r="M8" s="291"/>
    </row>
    <row r="9" spans="1:23" ht="16.5">
      <c r="B9" s="291" t="s">
        <v>0</v>
      </c>
      <c r="C9" s="291" t="s">
        <v>884</v>
      </c>
      <c r="D9" s="291" t="s">
        <v>1</v>
      </c>
      <c r="E9" s="291" t="s">
        <v>4</v>
      </c>
      <c r="F9" s="291" t="s">
        <v>157</v>
      </c>
      <c r="G9" s="295" t="s">
        <v>147</v>
      </c>
      <c r="H9" s="295" t="s">
        <v>147</v>
      </c>
      <c r="I9" s="295" t="s">
        <v>812</v>
      </c>
      <c r="J9" s="295" t="s">
        <v>812</v>
      </c>
      <c r="K9" s="291"/>
      <c r="L9" s="291"/>
      <c r="M9" s="291"/>
    </row>
    <row r="10" spans="1:23" ht="16.5">
      <c r="B10" s="291" t="s">
        <v>0</v>
      </c>
      <c r="C10" s="291" t="s">
        <v>884</v>
      </c>
      <c r="D10" s="291" t="s">
        <v>1</v>
      </c>
      <c r="E10" s="291" t="s">
        <v>5</v>
      </c>
      <c r="F10" s="291" t="s">
        <v>179</v>
      </c>
      <c r="G10" s="295" t="s">
        <v>147</v>
      </c>
      <c r="H10" s="295" t="s">
        <v>147</v>
      </c>
      <c r="I10" s="295" t="s">
        <v>812</v>
      </c>
      <c r="J10" s="295" t="s">
        <v>812</v>
      </c>
      <c r="K10" s="291"/>
      <c r="L10" s="291"/>
      <c r="M10" s="291"/>
    </row>
    <row r="11" spans="1:23" ht="16.5">
      <c r="B11" s="291" t="s">
        <v>0</v>
      </c>
      <c r="C11" s="291" t="s">
        <v>884</v>
      </c>
      <c r="D11" s="291" t="s">
        <v>1</v>
      </c>
      <c r="E11" s="291" t="s">
        <v>6</v>
      </c>
      <c r="F11" s="291" t="s">
        <v>179</v>
      </c>
      <c r="G11" s="295" t="s">
        <v>147</v>
      </c>
      <c r="H11" s="295" t="s">
        <v>147</v>
      </c>
      <c r="I11" s="295" t="s">
        <v>891</v>
      </c>
      <c r="J11" s="295" t="s">
        <v>812</v>
      </c>
      <c r="K11" s="291"/>
      <c r="L11" s="291"/>
      <c r="M11" s="291"/>
    </row>
    <row r="12" spans="1:23" ht="16.5">
      <c r="B12" s="291" t="s">
        <v>0</v>
      </c>
      <c r="C12" s="291" t="s">
        <v>884</v>
      </c>
      <c r="D12" s="291" t="s">
        <v>1</v>
      </c>
      <c r="E12" s="291" t="s">
        <v>7</v>
      </c>
      <c r="F12" s="291" t="s">
        <v>157</v>
      </c>
      <c r="G12" s="295" t="s">
        <v>147</v>
      </c>
      <c r="H12" s="295" t="s">
        <v>147</v>
      </c>
      <c r="I12" s="295" t="s">
        <v>812</v>
      </c>
      <c r="J12" s="295" t="s">
        <v>812</v>
      </c>
      <c r="K12" s="291"/>
      <c r="L12" s="291"/>
      <c r="M12" s="291"/>
    </row>
    <row r="13" spans="1:23" ht="16.5">
      <c r="B13" s="291" t="s">
        <v>0</v>
      </c>
      <c r="C13" s="291" t="s">
        <v>884</v>
      </c>
      <c r="D13" s="291" t="s">
        <v>615</v>
      </c>
      <c r="E13" s="291" t="s">
        <v>8</v>
      </c>
      <c r="F13" s="291" t="s">
        <v>179</v>
      </c>
      <c r="G13" s="295" t="s">
        <v>147</v>
      </c>
      <c r="H13" s="295" t="s">
        <v>202</v>
      </c>
      <c r="I13" s="295" t="s">
        <v>812</v>
      </c>
      <c r="J13" s="295" t="s">
        <v>812</v>
      </c>
      <c r="K13" s="291"/>
      <c r="L13" s="291"/>
      <c r="M13" s="291"/>
    </row>
    <row r="14" spans="1:23" ht="16.5">
      <c r="B14" s="291" t="s">
        <v>0</v>
      </c>
      <c r="C14" s="291" t="s">
        <v>884</v>
      </c>
      <c r="D14" s="291" t="s">
        <v>615</v>
      </c>
      <c r="E14" s="291" t="s">
        <v>9</v>
      </c>
      <c r="F14" s="291" t="s">
        <v>179</v>
      </c>
      <c r="G14" s="295" t="s">
        <v>147</v>
      </c>
      <c r="H14" s="295" t="s">
        <v>202</v>
      </c>
      <c r="I14" s="295" t="s">
        <v>812</v>
      </c>
      <c r="J14" s="295" t="s">
        <v>812</v>
      </c>
      <c r="K14" s="291"/>
      <c r="L14" s="291"/>
      <c r="M14" s="291"/>
    </row>
    <row r="15" spans="1:23" ht="16.5">
      <c r="B15" s="291" t="s">
        <v>0</v>
      </c>
      <c r="C15" s="291" t="s">
        <v>884</v>
      </c>
      <c r="D15" s="291" t="s">
        <v>1</v>
      </c>
      <c r="E15" s="291" t="s">
        <v>16</v>
      </c>
      <c r="F15" s="291" t="s">
        <v>219</v>
      </c>
      <c r="G15" s="295" t="s">
        <v>147</v>
      </c>
      <c r="H15" s="295" t="s">
        <v>202</v>
      </c>
      <c r="I15" s="295" t="s">
        <v>812</v>
      </c>
      <c r="J15" s="295" t="s">
        <v>812</v>
      </c>
      <c r="K15" s="291"/>
      <c r="L15" s="291"/>
      <c r="M15" s="291"/>
    </row>
    <row r="16" spans="1:23" ht="16.5">
      <c r="B16" s="291" t="s">
        <v>0</v>
      </c>
      <c r="C16" s="291" t="s">
        <v>884</v>
      </c>
      <c r="D16" s="291" t="s">
        <v>2</v>
      </c>
      <c r="E16" s="291" t="s">
        <v>16</v>
      </c>
      <c r="F16" s="291" t="s">
        <v>219</v>
      </c>
      <c r="G16" s="295" t="s">
        <v>147</v>
      </c>
      <c r="H16" s="295" t="s">
        <v>202</v>
      </c>
      <c r="I16" s="295" t="s">
        <v>812</v>
      </c>
      <c r="J16" s="295" t="s">
        <v>812</v>
      </c>
      <c r="K16" s="291"/>
      <c r="L16" s="291"/>
      <c r="M16" s="291"/>
    </row>
    <row r="17" spans="2:13" ht="16.5">
      <c r="B17" s="291" t="s">
        <v>0</v>
      </c>
      <c r="C17" s="291" t="s">
        <v>884</v>
      </c>
      <c r="D17" s="291" t="s">
        <v>1</v>
      </c>
      <c r="E17" s="291" t="s">
        <v>15</v>
      </c>
      <c r="F17" s="291" t="s">
        <v>157</v>
      </c>
      <c r="G17" s="295" t="s">
        <v>147</v>
      </c>
      <c r="H17" s="295" t="s">
        <v>147</v>
      </c>
      <c r="I17" s="295" t="s">
        <v>812</v>
      </c>
      <c r="J17" s="295" t="s">
        <v>812</v>
      </c>
      <c r="K17" s="291"/>
      <c r="L17" s="291"/>
      <c r="M17" s="291"/>
    </row>
    <row r="18" spans="2:13" ht="16.5">
      <c r="B18" s="291" t="s">
        <v>0</v>
      </c>
      <c r="C18" s="291" t="s">
        <v>884</v>
      </c>
      <c r="D18" s="291" t="s">
        <v>1</v>
      </c>
      <c r="E18" s="291" t="s">
        <v>14</v>
      </c>
      <c r="F18" s="291" t="s">
        <v>179</v>
      </c>
      <c r="G18" s="295" t="s">
        <v>147</v>
      </c>
      <c r="H18" s="295" t="s">
        <v>147</v>
      </c>
      <c r="I18" s="295" t="s">
        <v>812</v>
      </c>
      <c r="J18" s="295" t="s">
        <v>812</v>
      </c>
      <c r="K18" s="291"/>
      <c r="L18" s="291"/>
      <c r="M18" s="291"/>
    </row>
    <row r="19" spans="2:13" ht="16.5">
      <c r="B19" s="291" t="s">
        <v>0</v>
      </c>
      <c r="C19" s="291" t="s">
        <v>884</v>
      </c>
      <c r="D19" s="291" t="s">
        <v>1</v>
      </c>
      <c r="E19" s="291" t="s">
        <v>13</v>
      </c>
      <c r="F19" s="291" t="s">
        <v>157</v>
      </c>
      <c r="G19" s="295" t="s">
        <v>147</v>
      </c>
      <c r="H19" s="295" t="s">
        <v>147</v>
      </c>
      <c r="I19" s="295" t="s">
        <v>812</v>
      </c>
      <c r="J19" s="295" t="s">
        <v>812</v>
      </c>
      <c r="K19" s="291"/>
      <c r="L19" s="291"/>
      <c r="M19" s="291"/>
    </row>
    <row r="20" spans="2:13" ht="16.5">
      <c r="B20" s="291" t="s">
        <v>0</v>
      </c>
      <c r="C20" s="291" t="s">
        <v>884</v>
      </c>
      <c r="D20" s="291" t="s">
        <v>1</v>
      </c>
      <c r="E20" s="291" t="s">
        <v>12</v>
      </c>
      <c r="F20" s="291" t="s">
        <v>179</v>
      </c>
      <c r="G20" s="295" t="s">
        <v>147</v>
      </c>
      <c r="H20" s="295" t="s">
        <v>202</v>
      </c>
      <c r="I20" s="295" t="s">
        <v>812</v>
      </c>
      <c r="J20" s="295" t="s">
        <v>812</v>
      </c>
      <c r="K20" s="291"/>
      <c r="L20" s="291"/>
      <c r="M20" s="291"/>
    </row>
    <row r="21" spans="2:13" ht="16.5">
      <c r="B21" s="291" t="s">
        <v>0</v>
      </c>
      <c r="C21" s="291" t="s">
        <v>884</v>
      </c>
      <c r="D21" s="291" t="s">
        <v>1</v>
      </c>
      <c r="E21" s="291" t="s">
        <v>11</v>
      </c>
      <c r="F21" s="291" t="s">
        <v>157</v>
      </c>
      <c r="G21" s="295" t="s">
        <v>147</v>
      </c>
      <c r="H21" s="295" t="s">
        <v>147</v>
      </c>
      <c r="I21" s="295" t="s">
        <v>812</v>
      </c>
      <c r="J21" s="295" t="s">
        <v>812</v>
      </c>
      <c r="K21" s="291"/>
      <c r="L21" s="291"/>
      <c r="M21" s="291"/>
    </row>
    <row r="22" spans="2:13" ht="16.5">
      <c r="B22" s="291" t="s">
        <v>0</v>
      </c>
      <c r="C22" s="291" t="s">
        <v>884</v>
      </c>
      <c r="D22" s="291" t="s">
        <v>1</v>
      </c>
      <c r="E22" s="291" t="s">
        <v>10</v>
      </c>
      <c r="F22" s="291" t="s">
        <v>157</v>
      </c>
      <c r="G22" s="295" t="s">
        <v>147</v>
      </c>
      <c r="H22" s="295" t="s">
        <v>147</v>
      </c>
      <c r="I22" s="295" t="s">
        <v>812</v>
      </c>
      <c r="J22" s="295" t="s">
        <v>812</v>
      </c>
      <c r="K22" s="291"/>
      <c r="L22" s="291"/>
      <c r="M22" s="291"/>
    </row>
    <row r="23" spans="2:13" ht="16.5">
      <c r="B23" s="291" t="s">
        <v>0</v>
      </c>
      <c r="C23" s="291" t="s">
        <v>884</v>
      </c>
      <c r="D23" s="291" t="s">
        <v>1</v>
      </c>
      <c r="E23" s="291" t="s">
        <v>616</v>
      </c>
      <c r="F23" s="291" t="s">
        <v>236</v>
      </c>
      <c r="G23" s="295" t="s">
        <v>236</v>
      </c>
      <c r="H23" s="295" t="s">
        <v>202</v>
      </c>
      <c r="I23" s="295" t="s">
        <v>812</v>
      </c>
      <c r="J23" s="295" t="s">
        <v>812</v>
      </c>
      <c r="K23" s="291"/>
      <c r="L23" s="291"/>
      <c r="M23" s="291"/>
    </row>
    <row r="24" spans="2:13" ht="16.5">
      <c r="B24" s="291" t="s">
        <v>0</v>
      </c>
      <c r="C24" s="291" t="s">
        <v>884</v>
      </c>
      <c r="D24" s="291" t="s">
        <v>1</v>
      </c>
      <c r="E24" s="291" t="s">
        <v>98</v>
      </c>
      <c r="F24" s="291" t="s">
        <v>179</v>
      </c>
      <c r="G24" s="295" t="s">
        <v>147</v>
      </c>
      <c r="H24" s="295" t="s">
        <v>147</v>
      </c>
      <c r="I24" s="295" t="s">
        <v>812</v>
      </c>
      <c r="J24" s="295" t="s">
        <v>812</v>
      </c>
      <c r="K24" s="291"/>
      <c r="L24" s="291"/>
      <c r="M24" s="291"/>
    </row>
    <row r="25" spans="2:13" ht="16.5">
      <c r="B25" s="291" t="s">
        <v>0</v>
      </c>
      <c r="C25" s="291" t="s">
        <v>884</v>
      </c>
      <c r="D25" s="291" t="s">
        <v>1</v>
      </c>
      <c r="E25" s="291" t="s">
        <v>99</v>
      </c>
      <c r="F25" s="291" t="s">
        <v>179</v>
      </c>
      <c r="G25" s="295" t="s">
        <v>147</v>
      </c>
      <c r="H25" s="295" t="s">
        <v>147</v>
      </c>
      <c r="I25" s="295" t="s">
        <v>812</v>
      </c>
      <c r="J25" s="295" t="s">
        <v>812</v>
      </c>
      <c r="K25" s="291"/>
      <c r="L25" s="291"/>
      <c r="M25" s="291"/>
    </row>
    <row r="26" spans="2:13" ht="16.5">
      <c r="B26" s="291" t="s">
        <v>0</v>
      </c>
      <c r="C26" s="291" t="s">
        <v>884</v>
      </c>
      <c r="D26" s="291" t="s">
        <v>1</v>
      </c>
      <c r="E26" s="291" t="s">
        <v>100</v>
      </c>
      <c r="F26" s="291" t="s">
        <v>179</v>
      </c>
      <c r="G26" s="295" t="s">
        <v>147</v>
      </c>
      <c r="H26" s="295" t="s">
        <v>147</v>
      </c>
      <c r="I26" s="295" t="s">
        <v>812</v>
      </c>
      <c r="J26" s="295" t="s">
        <v>812</v>
      </c>
      <c r="K26" s="291"/>
      <c r="L26" s="291"/>
      <c r="M26" s="291"/>
    </row>
    <row r="27" spans="2:13" ht="16.5">
      <c r="B27" s="291" t="s">
        <v>0</v>
      </c>
      <c r="C27" s="291" t="s">
        <v>884</v>
      </c>
      <c r="D27" s="291" t="s">
        <v>1</v>
      </c>
      <c r="E27" s="291" t="s">
        <v>101</v>
      </c>
      <c r="F27" s="291" t="s">
        <v>179</v>
      </c>
      <c r="G27" s="295" t="s">
        <v>147</v>
      </c>
      <c r="H27" s="295" t="s">
        <v>147</v>
      </c>
      <c r="I27" s="295" t="s">
        <v>812</v>
      </c>
      <c r="J27" s="295" t="s">
        <v>812</v>
      </c>
      <c r="K27" s="291"/>
      <c r="L27" s="291"/>
      <c r="M27" s="291"/>
    </row>
    <row r="28" spans="2:13" ht="16.5">
      <c r="B28" s="291" t="s">
        <v>0</v>
      </c>
      <c r="C28" s="291" t="s">
        <v>884</v>
      </c>
      <c r="D28" s="291" t="s">
        <v>1</v>
      </c>
      <c r="E28" s="291" t="s">
        <v>102</v>
      </c>
      <c r="F28" s="291" t="s">
        <v>179</v>
      </c>
      <c r="G28" s="295" t="s">
        <v>147</v>
      </c>
      <c r="H28" s="295" t="s">
        <v>202</v>
      </c>
      <c r="I28" s="295" t="s">
        <v>812</v>
      </c>
      <c r="J28" s="295" t="s">
        <v>812</v>
      </c>
      <c r="K28" s="291"/>
      <c r="L28" s="291"/>
      <c r="M28" s="291"/>
    </row>
    <row r="29" spans="2:13" ht="16.5">
      <c r="B29" s="291" t="s">
        <v>0</v>
      </c>
      <c r="C29" s="291" t="s">
        <v>884</v>
      </c>
      <c r="D29" s="291" t="s">
        <v>1</v>
      </c>
      <c r="E29" s="291" t="s">
        <v>103</v>
      </c>
      <c r="F29" s="291" t="s">
        <v>179</v>
      </c>
      <c r="G29" s="295" t="s">
        <v>147</v>
      </c>
      <c r="H29" s="295" t="s">
        <v>147</v>
      </c>
      <c r="I29" s="295" t="s">
        <v>812</v>
      </c>
      <c r="J29" s="295" t="s">
        <v>812</v>
      </c>
      <c r="K29" s="291"/>
      <c r="L29" s="291"/>
      <c r="M29" s="291"/>
    </row>
    <row r="30" spans="2:13" ht="16.5">
      <c r="B30" s="291" t="s">
        <v>0</v>
      </c>
      <c r="C30" s="291" t="s">
        <v>884</v>
      </c>
      <c r="D30" s="291" t="s">
        <v>1</v>
      </c>
      <c r="E30" s="291" t="s">
        <v>105</v>
      </c>
      <c r="F30" s="291" t="s">
        <v>179</v>
      </c>
      <c r="G30" s="295" t="s">
        <v>147</v>
      </c>
      <c r="H30" s="295" t="s">
        <v>147</v>
      </c>
      <c r="I30" s="295" t="s">
        <v>812</v>
      </c>
      <c r="J30" s="295" t="s">
        <v>812</v>
      </c>
      <c r="K30" s="291"/>
      <c r="L30" s="291"/>
      <c r="M30" s="291"/>
    </row>
    <row r="31" spans="2:13" ht="16.5">
      <c r="B31" s="291" t="s">
        <v>0</v>
      </c>
      <c r="C31" s="291" t="s">
        <v>884</v>
      </c>
      <c r="D31" s="291" t="s">
        <v>1</v>
      </c>
      <c r="E31" s="291" t="s">
        <v>104</v>
      </c>
      <c r="F31" s="291" t="s">
        <v>179</v>
      </c>
      <c r="G31" s="295" t="s">
        <v>147</v>
      </c>
      <c r="H31" s="295" t="s">
        <v>147</v>
      </c>
      <c r="I31" s="295" t="s">
        <v>891</v>
      </c>
      <c r="J31" s="295" t="s">
        <v>812</v>
      </c>
      <c r="K31" s="291"/>
      <c r="L31" s="291"/>
      <c r="M31" s="291"/>
    </row>
    <row r="32" spans="2:13" ht="16.5">
      <c r="B32" s="291" t="s">
        <v>0</v>
      </c>
      <c r="C32" s="291" t="s">
        <v>884</v>
      </c>
      <c r="D32" s="291" t="s">
        <v>1</v>
      </c>
      <c r="E32" s="291" t="s">
        <v>106</v>
      </c>
      <c r="F32" s="291" t="s">
        <v>157</v>
      </c>
      <c r="G32" s="295" t="s">
        <v>147</v>
      </c>
      <c r="H32" s="295" t="s">
        <v>147</v>
      </c>
      <c r="I32" s="295" t="s">
        <v>812</v>
      </c>
      <c r="J32" s="295" t="s">
        <v>812</v>
      </c>
      <c r="K32" s="291"/>
      <c r="L32" s="291"/>
      <c r="M32" s="291"/>
    </row>
    <row r="33" spans="2:13" ht="16.5">
      <c r="B33" s="291" t="s">
        <v>0</v>
      </c>
      <c r="C33" s="291" t="s">
        <v>884</v>
      </c>
      <c r="D33" s="291" t="s">
        <v>1</v>
      </c>
      <c r="E33" s="291" t="s">
        <v>107</v>
      </c>
      <c r="F33" s="291" t="s">
        <v>157</v>
      </c>
      <c r="G33" s="295" t="s">
        <v>147</v>
      </c>
      <c r="H33" s="295" t="s">
        <v>147</v>
      </c>
      <c r="I33" s="295" t="s">
        <v>891</v>
      </c>
      <c r="J33" s="295" t="s">
        <v>812</v>
      </c>
      <c r="K33" s="291"/>
      <c r="L33" s="291"/>
      <c r="M33" s="291"/>
    </row>
    <row r="34" spans="2:13" ht="16.5">
      <c r="B34" s="291" t="s">
        <v>0</v>
      </c>
      <c r="C34" s="291" t="s">
        <v>884</v>
      </c>
      <c r="D34" s="291" t="s">
        <v>899</v>
      </c>
      <c r="E34" s="291" t="s">
        <v>897</v>
      </c>
      <c r="F34" s="291" t="s">
        <v>157</v>
      </c>
      <c r="G34" s="295" t="s">
        <v>147</v>
      </c>
      <c r="H34" s="295" t="s">
        <v>147</v>
      </c>
      <c r="I34" s="295" t="s">
        <v>812</v>
      </c>
      <c r="J34" s="295" t="s">
        <v>812</v>
      </c>
      <c r="K34" s="291"/>
      <c r="L34" s="291"/>
      <c r="M34" s="291"/>
    </row>
    <row r="35" spans="2:13" ht="16.5">
      <c r="B35" s="291" t="s">
        <v>0</v>
      </c>
      <c r="C35" s="291" t="s">
        <v>884</v>
      </c>
      <c r="D35" s="291" t="s">
        <v>899</v>
      </c>
      <c r="E35" s="291" t="s">
        <v>898</v>
      </c>
      <c r="F35" s="291" t="s">
        <v>157</v>
      </c>
      <c r="G35" s="295" t="s">
        <v>147</v>
      </c>
      <c r="H35" s="295" t="s">
        <v>147</v>
      </c>
      <c r="I35" s="295" t="s">
        <v>812</v>
      </c>
      <c r="J35" s="295" t="s">
        <v>812</v>
      </c>
      <c r="K35" s="291"/>
      <c r="L35" s="291"/>
      <c r="M35" s="291"/>
    </row>
    <row r="36" spans="2:13" ht="16.5" hidden="1">
      <c r="B36" s="291" t="s">
        <v>0</v>
      </c>
      <c r="C36" s="291" t="s">
        <v>831</v>
      </c>
      <c r="D36" s="291" t="s">
        <v>17</v>
      </c>
      <c r="E36" s="291" t="s">
        <v>18</v>
      </c>
      <c r="F36" s="291" t="s">
        <v>146</v>
      </c>
      <c r="G36" s="295" t="s">
        <v>147</v>
      </c>
      <c r="H36" s="295" t="s">
        <v>147</v>
      </c>
      <c r="I36" s="295" t="s">
        <v>236</v>
      </c>
      <c r="J36" s="295" t="s">
        <v>812</v>
      </c>
      <c r="K36" s="291"/>
      <c r="L36" s="291"/>
      <c r="M36" s="291"/>
    </row>
    <row r="37" spans="2:13" ht="16.5" hidden="1">
      <c r="B37" s="291" t="s">
        <v>0</v>
      </c>
      <c r="C37" s="291" t="s">
        <v>831</v>
      </c>
      <c r="D37" s="291" t="s">
        <v>17</v>
      </c>
      <c r="E37" s="291" t="s">
        <v>19</v>
      </c>
      <c r="F37" s="291" t="s">
        <v>157</v>
      </c>
      <c r="G37" s="295" t="s">
        <v>147</v>
      </c>
      <c r="H37" s="295" t="s">
        <v>147</v>
      </c>
      <c r="I37" s="295" t="s">
        <v>891</v>
      </c>
      <c r="J37" s="295" t="s">
        <v>812</v>
      </c>
      <c r="K37" s="291"/>
      <c r="L37" s="291"/>
      <c r="M37" s="291"/>
    </row>
    <row r="38" spans="2:13" ht="16.5" hidden="1">
      <c r="B38" s="291" t="s">
        <v>0</v>
      </c>
      <c r="C38" s="291" t="s">
        <v>831</v>
      </c>
      <c r="D38" s="291" t="s">
        <v>17</v>
      </c>
      <c r="E38" s="291" t="s">
        <v>20</v>
      </c>
      <c r="F38" s="291" t="s">
        <v>157</v>
      </c>
      <c r="G38" s="295" t="s">
        <v>147</v>
      </c>
      <c r="H38" s="295" t="s">
        <v>147</v>
      </c>
      <c r="I38" s="295" t="s">
        <v>147</v>
      </c>
      <c r="J38" s="295" t="s">
        <v>812</v>
      </c>
      <c r="K38" s="291"/>
      <c r="L38" s="291"/>
      <c r="M38" s="291"/>
    </row>
    <row r="39" spans="2:13" ht="16.5" hidden="1">
      <c r="B39" s="291" t="s">
        <v>0</v>
      </c>
      <c r="C39" s="291" t="s">
        <v>831</v>
      </c>
      <c r="D39" s="291" t="s">
        <v>17</v>
      </c>
      <c r="E39" s="291" t="s">
        <v>21</v>
      </c>
      <c r="F39" s="291" t="s">
        <v>146</v>
      </c>
      <c r="G39" s="295" t="s">
        <v>147</v>
      </c>
      <c r="H39" s="295" t="s">
        <v>147</v>
      </c>
      <c r="I39" s="295" t="s">
        <v>147</v>
      </c>
      <c r="J39" s="295" t="s">
        <v>812</v>
      </c>
      <c r="K39" s="291"/>
      <c r="L39" s="291"/>
      <c r="M39" s="291"/>
    </row>
    <row r="40" spans="2:13" ht="16.5" hidden="1">
      <c r="B40" s="291" t="s">
        <v>0</v>
      </c>
      <c r="C40" s="291" t="s">
        <v>831</v>
      </c>
      <c r="D40" s="291" t="s">
        <v>17</v>
      </c>
      <c r="E40" s="291" t="s">
        <v>22</v>
      </c>
      <c r="F40" s="291" t="s">
        <v>179</v>
      </c>
      <c r="G40" s="295" t="s">
        <v>147</v>
      </c>
      <c r="H40" s="295" t="s">
        <v>147</v>
      </c>
      <c r="I40" s="295" t="s">
        <v>147</v>
      </c>
      <c r="J40" s="295" t="s">
        <v>812</v>
      </c>
      <c r="K40" s="291"/>
      <c r="L40" s="291"/>
      <c r="M40" s="291"/>
    </row>
    <row r="41" spans="2:13" ht="16.5" hidden="1">
      <c r="B41" s="291" t="s">
        <v>0</v>
      </c>
      <c r="C41" s="291" t="s">
        <v>831</v>
      </c>
      <c r="D41" s="291" t="s">
        <v>17</v>
      </c>
      <c r="E41" s="291" t="s">
        <v>23</v>
      </c>
      <c r="F41" s="291" t="s">
        <v>179</v>
      </c>
      <c r="G41" s="295" t="s">
        <v>147</v>
      </c>
      <c r="H41" s="295" t="s">
        <v>147</v>
      </c>
      <c r="I41" s="295" t="s">
        <v>891</v>
      </c>
      <c r="J41" s="295" t="s">
        <v>812</v>
      </c>
      <c r="K41" s="291"/>
      <c r="L41" s="291"/>
      <c r="M41" s="291"/>
    </row>
    <row r="42" spans="2:13" ht="16.5" hidden="1">
      <c r="B42" s="291" t="s">
        <v>0</v>
      </c>
      <c r="C42" s="291" t="s">
        <v>831</v>
      </c>
      <c r="D42" s="291" t="s">
        <v>17</v>
      </c>
      <c r="E42" s="291" t="s">
        <v>24</v>
      </c>
      <c r="F42" s="291" t="s">
        <v>157</v>
      </c>
      <c r="G42" s="295" t="s">
        <v>147</v>
      </c>
      <c r="H42" s="295" t="s">
        <v>147</v>
      </c>
      <c r="I42" s="295" t="s">
        <v>147</v>
      </c>
      <c r="J42" s="295" t="s">
        <v>812</v>
      </c>
      <c r="K42" s="291"/>
      <c r="L42" s="291"/>
      <c r="M42" s="291"/>
    </row>
    <row r="43" spans="2:13" ht="16.5" hidden="1">
      <c r="B43" s="291" t="s">
        <v>0</v>
      </c>
      <c r="C43" s="291" t="s">
        <v>831</v>
      </c>
      <c r="D43" s="291" t="s">
        <v>17</v>
      </c>
      <c r="E43" s="291" t="s">
        <v>25</v>
      </c>
      <c r="F43" s="291" t="s">
        <v>179</v>
      </c>
      <c r="G43" s="295" t="s">
        <v>147</v>
      </c>
      <c r="H43" s="295" t="s">
        <v>202</v>
      </c>
      <c r="I43" s="295" t="s">
        <v>894</v>
      </c>
      <c r="J43" s="295" t="s">
        <v>894</v>
      </c>
      <c r="K43" s="291"/>
      <c r="L43" s="291"/>
      <c r="M43" s="291"/>
    </row>
    <row r="44" spans="2:13" ht="16.5" hidden="1">
      <c r="B44" s="291" t="s">
        <v>0</v>
      </c>
      <c r="C44" s="291" t="s">
        <v>831</v>
      </c>
      <c r="D44" s="291" t="s">
        <v>17</v>
      </c>
      <c r="E44" s="291" t="s">
        <v>26</v>
      </c>
      <c r="F44" s="291" t="s">
        <v>179</v>
      </c>
      <c r="G44" s="295" t="s">
        <v>147</v>
      </c>
      <c r="H44" s="295" t="s">
        <v>202</v>
      </c>
      <c r="I44" s="295" t="s">
        <v>894</v>
      </c>
      <c r="J44" s="295" t="s">
        <v>894</v>
      </c>
      <c r="K44" s="291"/>
      <c r="L44" s="291"/>
      <c r="M44" s="291"/>
    </row>
    <row r="45" spans="2:13" ht="16.5" hidden="1">
      <c r="B45" s="291" t="s">
        <v>0</v>
      </c>
      <c r="C45" s="291" t="s">
        <v>831</v>
      </c>
      <c r="D45" s="291" t="s">
        <v>17</v>
      </c>
      <c r="E45" s="291" t="s">
        <v>27</v>
      </c>
      <c r="F45" s="291" t="s">
        <v>219</v>
      </c>
      <c r="G45" s="295" t="s">
        <v>147</v>
      </c>
      <c r="H45" s="295" t="s">
        <v>202</v>
      </c>
      <c r="I45" s="295" t="s">
        <v>894</v>
      </c>
      <c r="J45" s="295" t="s">
        <v>894</v>
      </c>
      <c r="K45" s="291"/>
      <c r="L45" s="291"/>
      <c r="M45" s="291"/>
    </row>
    <row r="46" spans="2:13" ht="16.5" hidden="1">
      <c r="B46" s="291" t="s">
        <v>0</v>
      </c>
      <c r="C46" s="291" t="s">
        <v>831</v>
      </c>
      <c r="D46" s="291" t="s">
        <v>17</v>
      </c>
      <c r="E46" s="291" t="s">
        <v>28</v>
      </c>
      <c r="F46" s="291" t="s">
        <v>146</v>
      </c>
      <c r="G46" s="295" t="s">
        <v>147</v>
      </c>
      <c r="H46" s="295" t="s">
        <v>147</v>
      </c>
      <c r="I46" s="295" t="s">
        <v>147</v>
      </c>
      <c r="J46" s="295" t="s">
        <v>812</v>
      </c>
      <c r="K46" s="291"/>
      <c r="L46" s="291"/>
      <c r="M46" s="291"/>
    </row>
    <row r="47" spans="2:13" ht="16.5" hidden="1">
      <c r="B47" s="291" t="s">
        <v>0</v>
      </c>
      <c r="C47" s="291" t="s">
        <v>831</v>
      </c>
      <c r="D47" s="291" t="s">
        <v>17</v>
      </c>
      <c r="E47" s="291" t="s">
        <v>29</v>
      </c>
      <c r="F47" s="291" t="s">
        <v>146</v>
      </c>
      <c r="G47" s="295" t="s">
        <v>147</v>
      </c>
      <c r="H47" s="295" t="s">
        <v>202</v>
      </c>
      <c r="I47" s="295" t="s">
        <v>894</v>
      </c>
      <c r="J47" s="295" t="s">
        <v>894</v>
      </c>
      <c r="K47" s="291"/>
      <c r="L47" s="291"/>
      <c r="M47" s="291"/>
    </row>
    <row r="48" spans="2:13" ht="16.5" hidden="1">
      <c r="B48" s="291" t="s">
        <v>0</v>
      </c>
      <c r="C48" s="291" t="s">
        <v>831</v>
      </c>
      <c r="D48" s="291" t="s">
        <v>17</v>
      </c>
      <c r="E48" s="291" t="s">
        <v>30</v>
      </c>
      <c r="F48" s="291" t="s">
        <v>236</v>
      </c>
      <c r="G48" s="295" t="s">
        <v>202</v>
      </c>
      <c r="H48" s="295" t="s">
        <v>202</v>
      </c>
      <c r="I48" s="295" t="s">
        <v>894</v>
      </c>
      <c r="J48" s="295" t="s">
        <v>894</v>
      </c>
      <c r="K48" s="291"/>
      <c r="L48" s="291"/>
      <c r="M48" s="291"/>
    </row>
    <row r="49" spans="2:13" ht="16.5" hidden="1">
      <c r="B49" s="291" t="s">
        <v>0</v>
      </c>
      <c r="C49" s="291" t="s">
        <v>831</v>
      </c>
      <c r="D49" s="291" t="s">
        <v>17</v>
      </c>
      <c r="E49" s="291" t="s">
        <v>31</v>
      </c>
      <c r="F49" s="291" t="s">
        <v>157</v>
      </c>
      <c r="G49" s="295" t="s">
        <v>147</v>
      </c>
      <c r="H49" s="295" t="s">
        <v>147</v>
      </c>
      <c r="I49" s="295" t="s">
        <v>147</v>
      </c>
      <c r="J49" s="295" t="s">
        <v>812</v>
      </c>
      <c r="K49" s="291"/>
      <c r="L49" s="291"/>
      <c r="M49" s="291"/>
    </row>
    <row r="50" spans="2:13" ht="16.5" hidden="1">
      <c r="B50" s="291" t="s">
        <v>0</v>
      </c>
      <c r="C50" s="291" t="s">
        <v>831</v>
      </c>
      <c r="D50" s="291" t="s">
        <v>17</v>
      </c>
      <c r="E50" s="291" t="s">
        <v>32</v>
      </c>
      <c r="F50" s="291" t="s">
        <v>146</v>
      </c>
      <c r="G50" s="295" t="s">
        <v>147</v>
      </c>
      <c r="H50" s="295" t="s">
        <v>147</v>
      </c>
      <c r="I50" s="295" t="s">
        <v>147</v>
      </c>
      <c r="J50" s="295" t="s">
        <v>812</v>
      </c>
      <c r="K50" s="291"/>
      <c r="L50" s="291"/>
      <c r="M50" s="291"/>
    </row>
    <row r="51" spans="2:13" ht="16.5" hidden="1">
      <c r="B51" s="291" t="s">
        <v>0</v>
      </c>
      <c r="C51" s="291" t="s">
        <v>831</v>
      </c>
      <c r="D51" s="291" t="s">
        <v>17</v>
      </c>
      <c r="E51" s="291" t="s">
        <v>33</v>
      </c>
      <c r="F51" s="291" t="s">
        <v>146</v>
      </c>
      <c r="G51" s="295" t="s">
        <v>147</v>
      </c>
      <c r="H51" s="295" t="s">
        <v>147</v>
      </c>
      <c r="I51" s="295" t="s">
        <v>147</v>
      </c>
      <c r="J51" s="295" t="s">
        <v>812</v>
      </c>
      <c r="K51" s="291"/>
      <c r="L51" s="291"/>
      <c r="M51" s="291"/>
    </row>
    <row r="52" spans="2:13" ht="16.5" hidden="1">
      <c r="B52" s="291" t="s">
        <v>0</v>
      </c>
      <c r="C52" s="291" t="s">
        <v>831</v>
      </c>
      <c r="D52" s="291" t="s">
        <v>17</v>
      </c>
      <c r="E52" s="291" t="s">
        <v>34</v>
      </c>
      <c r="F52" s="291" t="s">
        <v>179</v>
      </c>
      <c r="G52" s="295" t="s">
        <v>147</v>
      </c>
      <c r="H52" s="295" t="s">
        <v>147</v>
      </c>
      <c r="I52" s="295" t="s">
        <v>147</v>
      </c>
      <c r="J52" s="295" t="s">
        <v>812</v>
      </c>
      <c r="K52" s="291"/>
      <c r="L52" s="291"/>
      <c r="M52" s="291"/>
    </row>
    <row r="53" spans="2:13" ht="16.5" hidden="1">
      <c r="B53" s="291" t="s">
        <v>0</v>
      </c>
      <c r="C53" s="291" t="s">
        <v>831</v>
      </c>
      <c r="D53" s="291" t="s">
        <v>17</v>
      </c>
      <c r="E53" s="291" t="s">
        <v>35</v>
      </c>
      <c r="F53" s="291" t="s">
        <v>146</v>
      </c>
      <c r="G53" s="295" t="s">
        <v>147</v>
      </c>
      <c r="H53" s="295" t="s">
        <v>147</v>
      </c>
      <c r="I53" s="295" t="s">
        <v>147</v>
      </c>
      <c r="J53" s="295" t="s">
        <v>812</v>
      </c>
      <c r="K53" s="291"/>
      <c r="L53" s="291"/>
      <c r="M53" s="291"/>
    </row>
    <row r="54" spans="2:13" ht="16.5" hidden="1">
      <c r="B54" s="291" t="s">
        <v>0</v>
      </c>
      <c r="C54" s="291" t="s">
        <v>831</v>
      </c>
      <c r="D54" s="291" t="s">
        <v>17</v>
      </c>
      <c r="E54" s="291" t="s">
        <v>36</v>
      </c>
      <c r="F54" s="291" t="s">
        <v>146</v>
      </c>
      <c r="G54" s="295" t="s">
        <v>147</v>
      </c>
      <c r="H54" s="295" t="s">
        <v>147</v>
      </c>
      <c r="I54" s="295" t="s">
        <v>147</v>
      </c>
      <c r="J54" s="295" t="s">
        <v>812</v>
      </c>
      <c r="K54" s="291"/>
      <c r="L54" s="291"/>
      <c r="M54" s="291"/>
    </row>
    <row r="55" spans="2:13" ht="16.5" hidden="1">
      <c r="B55" s="291" t="s">
        <v>0</v>
      </c>
      <c r="C55" s="291" t="s">
        <v>831</v>
      </c>
      <c r="D55" s="291" t="s">
        <v>17</v>
      </c>
      <c r="E55" s="291" t="s">
        <v>37</v>
      </c>
      <c r="F55" s="291" t="s">
        <v>157</v>
      </c>
      <c r="G55" s="295" t="s">
        <v>147</v>
      </c>
      <c r="H55" s="295" t="s">
        <v>147</v>
      </c>
      <c r="I55" s="295" t="s">
        <v>147</v>
      </c>
      <c r="J55" s="295" t="s">
        <v>812</v>
      </c>
      <c r="K55" s="291"/>
      <c r="L55" s="291"/>
      <c r="M55" s="291"/>
    </row>
    <row r="56" spans="2:13" ht="16.5" hidden="1">
      <c r="B56" s="291" t="s">
        <v>0</v>
      </c>
      <c r="C56" s="291" t="s">
        <v>831</v>
      </c>
      <c r="D56" s="291" t="s">
        <v>17</v>
      </c>
      <c r="E56" s="291" t="s">
        <v>38</v>
      </c>
      <c r="F56" s="291" t="s">
        <v>179</v>
      </c>
      <c r="G56" s="295" t="s">
        <v>147</v>
      </c>
      <c r="H56" s="295" t="s">
        <v>202</v>
      </c>
      <c r="I56" s="295" t="s">
        <v>894</v>
      </c>
      <c r="J56" s="295" t="s">
        <v>894</v>
      </c>
      <c r="K56" s="291"/>
      <c r="L56" s="291"/>
      <c r="M56" s="291"/>
    </row>
    <row r="57" spans="2:13" ht="16.5" hidden="1">
      <c r="B57" s="291" t="s">
        <v>0</v>
      </c>
      <c r="C57" s="291" t="s">
        <v>831</v>
      </c>
      <c r="D57" s="291" t="s">
        <v>17</v>
      </c>
      <c r="E57" s="291" t="s">
        <v>39</v>
      </c>
      <c r="F57" s="291" t="s">
        <v>146</v>
      </c>
      <c r="G57" s="295" t="s">
        <v>147</v>
      </c>
      <c r="H57" s="295" t="s">
        <v>147</v>
      </c>
      <c r="I57" s="295" t="s">
        <v>147</v>
      </c>
      <c r="J57" s="295" t="s">
        <v>812</v>
      </c>
      <c r="K57" s="291"/>
      <c r="L57" s="291"/>
      <c r="M57" s="291"/>
    </row>
    <row r="58" spans="2:13" ht="16.5" hidden="1">
      <c r="B58" s="291" t="s">
        <v>0</v>
      </c>
      <c r="C58" s="291" t="s">
        <v>831</v>
      </c>
      <c r="D58" s="291" t="s">
        <v>17</v>
      </c>
      <c r="E58" s="291" t="s">
        <v>40</v>
      </c>
      <c r="F58" s="291" t="s">
        <v>146</v>
      </c>
      <c r="G58" s="295" t="s">
        <v>147</v>
      </c>
      <c r="H58" s="295" t="s">
        <v>147</v>
      </c>
      <c r="I58" s="295" t="s">
        <v>236</v>
      </c>
      <c r="J58" s="295" t="s">
        <v>812</v>
      </c>
      <c r="K58" s="291"/>
      <c r="L58" s="291"/>
      <c r="M58" s="291"/>
    </row>
    <row r="59" spans="2:13" ht="16.5" hidden="1">
      <c r="B59" s="291" t="s">
        <v>0</v>
      </c>
      <c r="C59" s="291" t="s">
        <v>831</v>
      </c>
      <c r="D59" s="291" t="s">
        <v>17</v>
      </c>
      <c r="E59" s="291" t="s">
        <v>41</v>
      </c>
      <c r="F59" s="291" t="s">
        <v>157</v>
      </c>
      <c r="G59" s="295" t="s">
        <v>147</v>
      </c>
      <c r="H59" s="295" t="s">
        <v>147</v>
      </c>
      <c r="I59" s="295" t="s">
        <v>147</v>
      </c>
      <c r="J59" s="295" t="s">
        <v>812</v>
      </c>
      <c r="K59" s="291"/>
      <c r="L59" s="291"/>
      <c r="M59" s="291"/>
    </row>
    <row r="60" spans="2:13" ht="16.5" hidden="1">
      <c r="B60" s="291" t="s">
        <v>0</v>
      </c>
      <c r="C60" s="291" t="s">
        <v>831</v>
      </c>
      <c r="D60" s="291" t="s">
        <v>17</v>
      </c>
      <c r="E60" s="291" t="s">
        <v>42</v>
      </c>
      <c r="F60" s="291" t="s">
        <v>157</v>
      </c>
      <c r="G60" s="295" t="s">
        <v>147</v>
      </c>
      <c r="H60" s="295" t="s">
        <v>147</v>
      </c>
      <c r="I60" s="295" t="s">
        <v>147</v>
      </c>
      <c r="J60" s="295" t="s">
        <v>812</v>
      </c>
      <c r="K60" s="291"/>
      <c r="L60" s="291"/>
      <c r="M60" s="291"/>
    </row>
    <row r="61" spans="2:13" ht="16.5" hidden="1">
      <c r="B61" s="291" t="s">
        <v>0</v>
      </c>
      <c r="C61" s="291" t="s">
        <v>831</v>
      </c>
      <c r="D61" s="291" t="s">
        <v>17</v>
      </c>
      <c r="E61" s="291" t="s">
        <v>43</v>
      </c>
      <c r="F61" s="291" t="s">
        <v>146</v>
      </c>
      <c r="G61" s="295" t="s">
        <v>147</v>
      </c>
      <c r="H61" s="295" t="s">
        <v>147</v>
      </c>
      <c r="I61" s="295" t="s">
        <v>236</v>
      </c>
      <c r="J61" s="295" t="s">
        <v>812</v>
      </c>
      <c r="K61" s="291"/>
      <c r="L61" s="291"/>
      <c r="M61" s="291"/>
    </row>
    <row r="62" spans="2:13" ht="16.5" hidden="1">
      <c r="B62" s="291" t="s">
        <v>0</v>
      </c>
      <c r="C62" s="291" t="s">
        <v>831</v>
      </c>
      <c r="D62" s="291" t="s">
        <v>17</v>
      </c>
      <c r="E62" s="291" t="s">
        <v>44</v>
      </c>
      <c r="F62" s="291" t="s">
        <v>146</v>
      </c>
      <c r="G62" s="295" t="s">
        <v>147</v>
      </c>
      <c r="H62" s="295" t="s">
        <v>147</v>
      </c>
      <c r="I62" s="295" t="s">
        <v>236</v>
      </c>
      <c r="J62" s="295" t="s">
        <v>812</v>
      </c>
      <c r="K62" s="291"/>
      <c r="L62" s="291"/>
      <c r="M62" s="291"/>
    </row>
    <row r="63" spans="2:13" ht="16.5" hidden="1">
      <c r="B63" s="291" t="s">
        <v>0</v>
      </c>
      <c r="C63" s="291" t="s">
        <v>831</v>
      </c>
      <c r="D63" s="291" t="s">
        <v>17</v>
      </c>
      <c r="E63" s="291" t="s">
        <v>45</v>
      </c>
      <c r="F63" s="291" t="s">
        <v>146</v>
      </c>
      <c r="G63" s="295" t="s">
        <v>147</v>
      </c>
      <c r="H63" s="295" t="s">
        <v>147</v>
      </c>
      <c r="I63" s="295" t="s">
        <v>236</v>
      </c>
      <c r="J63" s="295" t="s">
        <v>812</v>
      </c>
      <c r="K63" s="291"/>
      <c r="L63" s="291"/>
      <c r="M63" s="291"/>
    </row>
    <row r="64" spans="2:13" ht="16.5" hidden="1">
      <c r="B64" s="291" t="s">
        <v>0</v>
      </c>
      <c r="C64" s="291" t="s">
        <v>831</v>
      </c>
      <c r="D64" s="291" t="s">
        <v>17</v>
      </c>
      <c r="E64" s="291" t="s">
        <v>830</v>
      </c>
      <c r="F64" s="291" t="s">
        <v>146</v>
      </c>
      <c r="G64" s="295" t="s">
        <v>147</v>
      </c>
      <c r="H64" s="295" t="s">
        <v>147</v>
      </c>
      <c r="I64" s="295" t="s">
        <v>236</v>
      </c>
      <c r="J64" s="295" t="s">
        <v>812</v>
      </c>
      <c r="K64" s="291"/>
      <c r="L64" s="291"/>
      <c r="M64" s="291"/>
    </row>
    <row r="65" spans="2:13" ht="16.5" hidden="1">
      <c r="B65" s="291" t="s">
        <v>0</v>
      </c>
      <c r="C65" s="291" t="s">
        <v>831</v>
      </c>
      <c r="D65" s="291" t="s">
        <v>17</v>
      </c>
      <c r="E65" s="291" t="s">
        <v>46</v>
      </c>
      <c r="F65" s="291" t="s">
        <v>146</v>
      </c>
      <c r="G65" s="295" t="s">
        <v>147</v>
      </c>
      <c r="H65" s="295" t="s">
        <v>147</v>
      </c>
      <c r="I65" s="295" t="s">
        <v>236</v>
      </c>
      <c r="J65" s="295" t="s">
        <v>812</v>
      </c>
      <c r="K65" s="291"/>
      <c r="L65" s="291"/>
      <c r="M65" s="291"/>
    </row>
    <row r="66" spans="2:13" ht="16.5" hidden="1">
      <c r="B66" s="291" t="s">
        <v>0</v>
      </c>
      <c r="C66" s="291" t="s">
        <v>831</v>
      </c>
      <c r="D66" s="291" t="s">
        <v>17</v>
      </c>
      <c r="E66" s="291" t="s">
        <v>47</v>
      </c>
      <c r="F66" s="291" t="s">
        <v>146</v>
      </c>
      <c r="G66" s="295" t="s">
        <v>147</v>
      </c>
      <c r="H66" s="295" t="s">
        <v>147</v>
      </c>
      <c r="I66" s="295" t="s">
        <v>236</v>
      </c>
      <c r="J66" s="295" t="s">
        <v>812</v>
      </c>
      <c r="K66" s="291"/>
      <c r="L66" s="291"/>
      <c r="M66" s="291"/>
    </row>
    <row r="67" spans="2:13" ht="16.5" hidden="1">
      <c r="B67" s="291" t="s">
        <v>0</v>
      </c>
      <c r="C67" s="291" t="s">
        <v>831</v>
      </c>
      <c r="D67" s="291" t="s">
        <v>17</v>
      </c>
      <c r="E67" s="291" t="s">
        <v>48</v>
      </c>
      <c r="F67" s="291" t="s">
        <v>146</v>
      </c>
      <c r="G67" s="295" t="s">
        <v>147</v>
      </c>
      <c r="H67" s="295" t="s">
        <v>147</v>
      </c>
      <c r="I67" s="295" t="s">
        <v>236</v>
      </c>
      <c r="J67" s="295" t="s">
        <v>812</v>
      </c>
      <c r="K67" s="291"/>
      <c r="L67" s="291"/>
      <c r="M67" s="291"/>
    </row>
    <row r="68" spans="2:13" ht="16.5" hidden="1">
      <c r="B68" s="291" t="s">
        <v>0</v>
      </c>
      <c r="C68" s="291" t="s">
        <v>831</v>
      </c>
      <c r="D68" s="291" t="s">
        <v>17</v>
      </c>
      <c r="E68" s="291" t="s">
        <v>49</v>
      </c>
      <c r="F68" s="291" t="s">
        <v>146</v>
      </c>
      <c r="G68" s="295" t="s">
        <v>147</v>
      </c>
      <c r="H68" s="295" t="s">
        <v>147</v>
      </c>
      <c r="I68" s="295" t="s">
        <v>236</v>
      </c>
      <c r="J68" s="295" t="s">
        <v>812</v>
      </c>
      <c r="K68" s="291"/>
      <c r="L68" s="291"/>
      <c r="M68" s="291"/>
    </row>
    <row r="69" spans="2:13" ht="16.5" hidden="1">
      <c r="B69" s="291" t="s">
        <v>0</v>
      </c>
      <c r="C69" s="291" t="s">
        <v>831</v>
      </c>
      <c r="D69" s="291" t="s">
        <v>17</v>
      </c>
      <c r="E69" s="291" t="s">
        <v>50</v>
      </c>
      <c r="F69" s="291" t="s">
        <v>146</v>
      </c>
      <c r="G69" s="295" t="s">
        <v>147</v>
      </c>
      <c r="H69" s="295" t="s">
        <v>147</v>
      </c>
      <c r="I69" s="295" t="s">
        <v>236</v>
      </c>
      <c r="J69" s="295" t="s">
        <v>812</v>
      </c>
      <c r="K69" s="291"/>
      <c r="L69" s="291"/>
      <c r="M69" s="291"/>
    </row>
    <row r="70" spans="2:13" ht="16.5" hidden="1">
      <c r="B70" s="291" t="s">
        <v>0</v>
      </c>
      <c r="C70" s="291" t="s">
        <v>831</v>
      </c>
      <c r="D70" s="291" t="s">
        <v>17</v>
      </c>
      <c r="E70" s="291" t="s">
        <v>51</v>
      </c>
      <c r="F70" s="291" t="s">
        <v>146</v>
      </c>
      <c r="G70" s="295" t="s">
        <v>147</v>
      </c>
      <c r="H70" s="295" t="s">
        <v>147</v>
      </c>
      <c r="I70" s="295" t="s">
        <v>147</v>
      </c>
      <c r="J70" s="295" t="s">
        <v>812</v>
      </c>
      <c r="K70" s="291"/>
      <c r="L70" s="291"/>
      <c r="M70" s="291"/>
    </row>
    <row r="71" spans="2:13" ht="16.5" hidden="1">
      <c r="B71" s="291" t="s">
        <v>0</v>
      </c>
      <c r="C71" s="291" t="s">
        <v>831</v>
      </c>
      <c r="D71" s="291" t="s">
        <v>17</v>
      </c>
      <c r="E71" s="291" t="s">
        <v>52</v>
      </c>
      <c r="F71" s="291" t="s">
        <v>146</v>
      </c>
      <c r="G71" s="295" t="s">
        <v>147</v>
      </c>
      <c r="H71" s="295" t="s">
        <v>147</v>
      </c>
      <c r="I71" s="295" t="s">
        <v>147</v>
      </c>
      <c r="J71" s="295" t="s">
        <v>812</v>
      </c>
      <c r="K71" s="291"/>
      <c r="L71" s="291"/>
      <c r="M71" s="291"/>
    </row>
    <row r="72" spans="2:13" ht="16.5" hidden="1">
      <c r="B72" s="291" t="s">
        <v>0</v>
      </c>
      <c r="C72" s="291" t="s">
        <v>831</v>
      </c>
      <c r="D72" s="291" t="s">
        <v>17</v>
      </c>
      <c r="E72" s="291" t="s">
        <v>53</v>
      </c>
      <c r="F72" s="291" t="s">
        <v>146</v>
      </c>
      <c r="G72" s="295" t="s">
        <v>147</v>
      </c>
      <c r="H72" s="295" t="s">
        <v>147</v>
      </c>
      <c r="I72" s="295" t="s">
        <v>147</v>
      </c>
      <c r="J72" s="295" t="s">
        <v>812</v>
      </c>
      <c r="K72" s="291"/>
      <c r="L72" s="291"/>
      <c r="M72" s="291"/>
    </row>
    <row r="73" spans="2:13" ht="16.5" hidden="1">
      <c r="B73" s="291" t="s">
        <v>0</v>
      </c>
      <c r="C73" s="291" t="s">
        <v>831</v>
      </c>
      <c r="D73" s="291" t="s">
        <v>17</v>
      </c>
      <c r="E73" s="291" t="s">
        <v>54</v>
      </c>
      <c r="F73" s="291" t="s">
        <v>146</v>
      </c>
      <c r="G73" s="295" t="s">
        <v>147</v>
      </c>
      <c r="H73" s="295" t="s">
        <v>147</v>
      </c>
      <c r="I73" s="295" t="s">
        <v>147</v>
      </c>
      <c r="J73" s="295" t="s">
        <v>812</v>
      </c>
      <c r="K73" s="291"/>
      <c r="L73" s="291"/>
      <c r="M73" s="291"/>
    </row>
    <row r="74" spans="2:13" ht="16.5" hidden="1">
      <c r="B74" s="291" t="s">
        <v>0</v>
      </c>
      <c r="C74" s="291" t="s">
        <v>831</v>
      </c>
      <c r="D74" s="291" t="s">
        <v>17</v>
      </c>
      <c r="E74" s="291" t="s">
        <v>55</v>
      </c>
      <c r="F74" s="291" t="s">
        <v>146</v>
      </c>
      <c r="G74" s="295" t="s">
        <v>147</v>
      </c>
      <c r="H74" s="295" t="s">
        <v>147</v>
      </c>
      <c r="I74" s="295" t="s">
        <v>147</v>
      </c>
      <c r="J74" s="295" t="s">
        <v>812</v>
      </c>
      <c r="K74" s="291"/>
      <c r="L74" s="291"/>
      <c r="M74" s="291"/>
    </row>
    <row r="75" spans="2:13" ht="16.5" hidden="1">
      <c r="B75" s="291" t="s">
        <v>0</v>
      </c>
      <c r="C75" s="291" t="s">
        <v>831</v>
      </c>
      <c r="D75" s="291" t="s">
        <v>17</v>
      </c>
      <c r="E75" s="291" t="s">
        <v>56</v>
      </c>
      <c r="F75" s="291" t="s">
        <v>236</v>
      </c>
      <c r="G75" s="295" t="s">
        <v>202</v>
      </c>
      <c r="H75" s="295" t="s">
        <v>202</v>
      </c>
      <c r="I75" s="295" t="s">
        <v>894</v>
      </c>
      <c r="J75" s="295" t="s">
        <v>894</v>
      </c>
      <c r="K75" s="291"/>
      <c r="L75" s="291"/>
      <c r="M75" s="291"/>
    </row>
    <row r="76" spans="2:13" ht="16.5" hidden="1">
      <c r="B76" s="291" t="s">
        <v>0</v>
      </c>
      <c r="C76" s="291" t="s">
        <v>831</v>
      </c>
      <c r="D76" s="291" t="s">
        <v>17</v>
      </c>
      <c r="E76" s="291" t="s">
        <v>57</v>
      </c>
      <c r="F76" s="291" t="s">
        <v>179</v>
      </c>
      <c r="G76" s="295" t="s">
        <v>147</v>
      </c>
      <c r="H76" s="295" t="s">
        <v>147</v>
      </c>
      <c r="I76" s="295" t="s">
        <v>147</v>
      </c>
      <c r="J76" s="295" t="s">
        <v>812</v>
      </c>
      <c r="K76" s="291"/>
      <c r="L76" s="291"/>
      <c r="M76" s="291"/>
    </row>
    <row r="77" spans="2:13" ht="16.5" hidden="1">
      <c r="B77" s="291" t="s">
        <v>0</v>
      </c>
      <c r="C77" s="291" t="s">
        <v>831</v>
      </c>
      <c r="D77" s="291" t="s">
        <v>17</v>
      </c>
      <c r="E77" s="291" t="s">
        <v>58</v>
      </c>
      <c r="F77" s="291" t="s">
        <v>179</v>
      </c>
      <c r="G77" s="295" t="s">
        <v>147</v>
      </c>
      <c r="H77" s="295" t="s">
        <v>147</v>
      </c>
      <c r="I77" s="295" t="s">
        <v>236</v>
      </c>
      <c r="J77" s="295" t="s">
        <v>812</v>
      </c>
      <c r="K77" s="291"/>
      <c r="L77" s="291"/>
      <c r="M77" s="291"/>
    </row>
    <row r="78" spans="2:13" ht="16.5" hidden="1">
      <c r="B78" s="291" t="s">
        <v>0</v>
      </c>
      <c r="C78" s="291" t="s">
        <v>831</v>
      </c>
      <c r="D78" s="291" t="s">
        <v>17</v>
      </c>
      <c r="E78" s="291" t="s">
        <v>59</v>
      </c>
      <c r="F78" s="291" t="s">
        <v>236</v>
      </c>
      <c r="G78" s="295" t="s">
        <v>202</v>
      </c>
      <c r="H78" s="295" t="s">
        <v>202</v>
      </c>
      <c r="I78" s="295" t="s">
        <v>894</v>
      </c>
      <c r="J78" s="295" t="s">
        <v>894</v>
      </c>
      <c r="K78" s="291"/>
      <c r="L78" s="291"/>
      <c r="M78" s="291"/>
    </row>
    <row r="79" spans="2:13" ht="16.5" hidden="1">
      <c r="B79" s="291" t="s">
        <v>0</v>
      </c>
      <c r="C79" s="291" t="s">
        <v>831</v>
      </c>
      <c r="D79" s="291" t="s">
        <v>17</v>
      </c>
      <c r="E79" s="291" t="s">
        <v>60</v>
      </c>
      <c r="F79" s="291" t="s">
        <v>236</v>
      </c>
      <c r="G79" s="295" t="s">
        <v>202</v>
      </c>
      <c r="H79" s="295" t="s">
        <v>202</v>
      </c>
      <c r="I79" s="295" t="s">
        <v>894</v>
      </c>
      <c r="J79" s="295" t="s">
        <v>894</v>
      </c>
      <c r="K79" s="291"/>
      <c r="L79" s="291"/>
      <c r="M79" s="291"/>
    </row>
    <row r="80" spans="2:13" ht="16.5" hidden="1">
      <c r="B80" s="291" t="s">
        <v>0</v>
      </c>
      <c r="C80" s="291" t="s">
        <v>831</v>
      </c>
      <c r="D80" s="291" t="s">
        <v>17</v>
      </c>
      <c r="E80" s="291" t="s">
        <v>61</v>
      </c>
      <c r="F80" s="291" t="s">
        <v>236</v>
      </c>
      <c r="G80" s="295" t="s">
        <v>202</v>
      </c>
      <c r="H80" s="295" t="s">
        <v>202</v>
      </c>
      <c r="I80" s="295" t="s">
        <v>894</v>
      </c>
      <c r="J80" s="295" t="s">
        <v>894</v>
      </c>
      <c r="K80" s="291"/>
      <c r="L80" s="291"/>
      <c r="M80" s="291"/>
    </row>
    <row r="81" spans="2:13" ht="16.5" hidden="1">
      <c r="B81" s="291" t="s">
        <v>0</v>
      </c>
      <c r="C81" s="291" t="s">
        <v>831</v>
      </c>
      <c r="D81" s="291" t="s">
        <v>17</v>
      </c>
      <c r="E81" s="291" t="s">
        <v>62</v>
      </c>
      <c r="F81" s="291" t="s">
        <v>146</v>
      </c>
      <c r="G81" s="295" t="s">
        <v>147</v>
      </c>
      <c r="H81" s="295" t="s">
        <v>147</v>
      </c>
      <c r="I81" s="295" t="s">
        <v>147</v>
      </c>
      <c r="J81" s="295" t="s">
        <v>812</v>
      </c>
      <c r="K81" s="291"/>
      <c r="L81" s="291"/>
      <c r="M81" s="291"/>
    </row>
    <row r="82" spans="2:13" ht="16.5" hidden="1">
      <c r="B82" s="291" t="s">
        <v>0</v>
      </c>
      <c r="C82" s="291" t="s">
        <v>831</v>
      </c>
      <c r="D82" s="291" t="s">
        <v>17</v>
      </c>
      <c r="E82" s="291" t="s">
        <v>63</v>
      </c>
      <c r="F82" s="291" t="s">
        <v>146</v>
      </c>
      <c r="G82" s="295" t="s">
        <v>147</v>
      </c>
      <c r="H82" s="295" t="s">
        <v>147</v>
      </c>
      <c r="I82" s="295" t="s">
        <v>147</v>
      </c>
      <c r="J82" s="295" t="s">
        <v>812</v>
      </c>
      <c r="K82" s="291"/>
      <c r="L82" s="291"/>
      <c r="M82" s="291"/>
    </row>
    <row r="83" spans="2:13" ht="16.5" hidden="1">
      <c r="B83" s="291" t="s">
        <v>0</v>
      </c>
      <c r="C83" s="291" t="s">
        <v>831</v>
      </c>
      <c r="D83" s="291" t="s">
        <v>17</v>
      </c>
      <c r="E83" s="291" t="s">
        <v>64</v>
      </c>
      <c r="F83" s="291" t="s">
        <v>146</v>
      </c>
      <c r="G83" s="295" t="s">
        <v>147</v>
      </c>
      <c r="H83" s="295" t="s">
        <v>147</v>
      </c>
      <c r="I83" s="295" t="s">
        <v>147</v>
      </c>
      <c r="J83" s="295" t="s">
        <v>812</v>
      </c>
      <c r="K83" s="291"/>
      <c r="L83" s="291"/>
      <c r="M83" s="291"/>
    </row>
    <row r="84" spans="2:13" ht="16.5" hidden="1">
      <c r="B84" s="291" t="s">
        <v>0</v>
      </c>
      <c r="C84" s="291" t="s">
        <v>831</v>
      </c>
      <c r="D84" s="291" t="s">
        <v>17</v>
      </c>
      <c r="E84" s="291" t="s">
        <v>65</v>
      </c>
      <c r="F84" s="291" t="s">
        <v>146</v>
      </c>
      <c r="G84" s="295" t="s">
        <v>147</v>
      </c>
      <c r="H84" s="295" t="s">
        <v>147</v>
      </c>
      <c r="I84" s="295" t="s">
        <v>147</v>
      </c>
      <c r="J84" s="295" t="s">
        <v>812</v>
      </c>
      <c r="K84" s="291"/>
      <c r="L84" s="291"/>
      <c r="M84" s="291"/>
    </row>
    <row r="85" spans="2:13" ht="16.5" hidden="1">
      <c r="B85" s="291" t="s">
        <v>0</v>
      </c>
      <c r="C85" s="291" t="s">
        <v>831</v>
      </c>
      <c r="D85" s="291" t="s">
        <v>17</v>
      </c>
      <c r="E85" s="291" t="s">
        <v>66</v>
      </c>
      <c r="F85" s="291" t="s">
        <v>146</v>
      </c>
      <c r="G85" s="295" t="s">
        <v>147</v>
      </c>
      <c r="H85" s="295" t="s">
        <v>147</v>
      </c>
      <c r="I85" s="295" t="s">
        <v>147</v>
      </c>
      <c r="J85" s="295" t="s">
        <v>812</v>
      </c>
      <c r="K85" s="291"/>
      <c r="L85" s="291"/>
      <c r="M85" s="291"/>
    </row>
    <row r="86" spans="2:13" ht="16.5" hidden="1">
      <c r="B86" s="291" t="s">
        <v>0</v>
      </c>
      <c r="C86" s="291" t="s">
        <v>831</v>
      </c>
      <c r="D86" s="291" t="s">
        <v>17</v>
      </c>
      <c r="E86" s="291" t="s">
        <v>67</v>
      </c>
      <c r="F86" s="291" t="s">
        <v>146</v>
      </c>
      <c r="G86" s="295" t="s">
        <v>147</v>
      </c>
      <c r="H86" s="295" t="s">
        <v>147</v>
      </c>
      <c r="I86" s="295" t="s">
        <v>147</v>
      </c>
      <c r="J86" s="295" t="s">
        <v>812</v>
      </c>
      <c r="K86" s="291"/>
      <c r="L86" s="291"/>
      <c r="M86" s="291"/>
    </row>
    <row r="87" spans="2:13" ht="16.5" hidden="1">
      <c r="B87" s="291" t="s">
        <v>0</v>
      </c>
      <c r="C87" s="291" t="s">
        <v>831</v>
      </c>
      <c r="D87" s="291" t="s">
        <v>17</v>
      </c>
      <c r="E87" s="291" t="s">
        <v>68</v>
      </c>
      <c r="F87" s="291" t="s">
        <v>179</v>
      </c>
      <c r="G87" s="295" t="s">
        <v>147</v>
      </c>
      <c r="H87" s="295" t="s">
        <v>147</v>
      </c>
      <c r="I87" s="295" t="s">
        <v>147</v>
      </c>
      <c r="J87" s="295" t="s">
        <v>812</v>
      </c>
      <c r="K87" s="291"/>
      <c r="L87" s="291"/>
      <c r="M87" s="291"/>
    </row>
    <row r="88" spans="2:13" ht="16.5" hidden="1">
      <c r="B88" s="291" t="s">
        <v>0</v>
      </c>
      <c r="C88" s="291" t="s">
        <v>831</v>
      </c>
      <c r="D88" s="291" t="s">
        <v>17</v>
      </c>
      <c r="E88" s="291" t="s">
        <v>69</v>
      </c>
      <c r="F88" s="291" t="s">
        <v>179</v>
      </c>
      <c r="G88" s="295" t="s">
        <v>147</v>
      </c>
      <c r="H88" s="295" t="s">
        <v>147</v>
      </c>
      <c r="I88" s="295" t="s">
        <v>236</v>
      </c>
      <c r="J88" s="295" t="s">
        <v>812</v>
      </c>
      <c r="K88" s="291"/>
      <c r="L88" s="291"/>
      <c r="M88" s="291"/>
    </row>
    <row r="89" spans="2:13" ht="16.5" hidden="1">
      <c r="B89" s="291" t="s">
        <v>0</v>
      </c>
      <c r="C89" s="291" t="s">
        <v>831</v>
      </c>
      <c r="D89" s="291" t="s">
        <v>17</v>
      </c>
      <c r="E89" s="291" t="s">
        <v>70</v>
      </c>
      <c r="F89" s="291" t="s">
        <v>146</v>
      </c>
      <c r="G89" s="295" t="s">
        <v>147</v>
      </c>
      <c r="H89" s="295" t="s">
        <v>147</v>
      </c>
      <c r="I89" s="295" t="s">
        <v>147</v>
      </c>
      <c r="J89" s="295" t="s">
        <v>812</v>
      </c>
      <c r="K89" s="291"/>
      <c r="L89" s="291"/>
      <c r="M89" s="291"/>
    </row>
    <row r="90" spans="2:13" ht="16.5" hidden="1">
      <c r="B90" s="291" t="s">
        <v>0</v>
      </c>
      <c r="C90" s="291" t="s">
        <v>831</v>
      </c>
      <c r="D90" s="291" t="s">
        <v>17</v>
      </c>
      <c r="E90" s="291" t="s">
        <v>71</v>
      </c>
      <c r="F90" s="291" t="s">
        <v>179</v>
      </c>
      <c r="G90" s="295" t="s">
        <v>147</v>
      </c>
      <c r="H90" s="295" t="s">
        <v>202</v>
      </c>
      <c r="I90" s="295" t="s">
        <v>894</v>
      </c>
      <c r="J90" s="295" t="s">
        <v>894</v>
      </c>
      <c r="K90" s="291"/>
      <c r="L90" s="291"/>
      <c r="M90" s="291"/>
    </row>
    <row r="91" spans="2:13" ht="16.5" hidden="1">
      <c r="B91" s="291" t="s">
        <v>0</v>
      </c>
      <c r="C91" s="291" t="s">
        <v>831</v>
      </c>
      <c r="D91" s="291" t="s">
        <v>17</v>
      </c>
      <c r="E91" s="291" t="s">
        <v>72</v>
      </c>
      <c r="F91" s="291" t="s">
        <v>179</v>
      </c>
      <c r="G91" s="295" t="s">
        <v>147</v>
      </c>
      <c r="H91" s="295" t="s">
        <v>147</v>
      </c>
      <c r="I91" s="295" t="s">
        <v>147</v>
      </c>
      <c r="J91" s="295" t="s">
        <v>812</v>
      </c>
      <c r="K91" s="291"/>
      <c r="L91" s="291"/>
      <c r="M91" s="291"/>
    </row>
    <row r="92" spans="2:13" ht="16.5" hidden="1">
      <c r="B92" s="291" t="s">
        <v>0</v>
      </c>
      <c r="C92" s="291" t="s">
        <v>831</v>
      </c>
      <c r="D92" s="291" t="s">
        <v>17</v>
      </c>
      <c r="E92" s="291" t="s">
        <v>73</v>
      </c>
      <c r="F92" s="291" t="s">
        <v>146</v>
      </c>
      <c r="G92" s="295" t="s">
        <v>147</v>
      </c>
      <c r="H92" s="295" t="s">
        <v>147</v>
      </c>
      <c r="I92" s="295" t="s">
        <v>147</v>
      </c>
      <c r="J92" s="295" t="s">
        <v>812</v>
      </c>
      <c r="K92" s="291"/>
      <c r="L92" s="291"/>
      <c r="M92" s="291"/>
    </row>
    <row r="93" spans="2:13" ht="16.5" hidden="1">
      <c r="B93" s="291" t="s">
        <v>0</v>
      </c>
      <c r="C93" s="291" t="s">
        <v>831</v>
      </c>
      <c r="D93" s="291" t="s">
        <v>17</v>
      </c>
      <c r="E93" s="291" t="s">
        <v>74</v>
      </c>
      <c r="F93" s="291" t="s">
        <v>146</v>
      </c>
      <c r="G93" s="295" t="s">
        <v>147</v>
      </c>
      <c r="H93" s="295" t="s">
        <v>147</v>
      </c>
      <c r="I93" s="295" t="s">
        <v>147</v>
      </c>
      <c r="J93" s="295" t="s">
        <v>812</v>
      </c>
      <c r="K93" s="291"/>
      <c r="L93" s="291"/>
      <c r="M93" s="291"/>
    </row>
    <row r="94" spans="2:13" ht="16.5" hidden="1">
      <c r="B94" s="291" t="s">
        <v>0</v>
      </c>
      <c r="C94" s="291" t="s">
        <v>831</v>
      </c>
      <c r="D94" s="291" t="s">
        <v>17</v>
      </c>
      <c r="E94" s="291" t="s">
        <v>75</v>
      </c>
      <c r="F94" s="291" t="s">
        <v>146</v>
      </c>
      <c r="G94" s="295" t="s">
        <v>147</v>
      </c>
      <c r="H94" s="295" t="s">
        <v>147</v>
      </c>
      <c r="I94" s="295" t="s">
        <v>147</v>
      </c>
      <c r="J94" s="295" t="s">
        <v>812</v>
      </c>
      <c r="K94" s="291"/>
      <c r="L94" s="291"/>
      <c r="M94" s="291"/>
    </row>
    <row r="95" spans="2:13" ht="16.5" hidden="1">
      <c r="B95" s="291" t="s">
        <v>0</v>
      </c>
      <c r="C95" s="291" t="s">
        <v>831</v>
      </c>
      <c r="D95" s="291" t="s">
        <v>17</v>
      </c>
      <c r="E95" s="291" t="s">
        <v>76</v>
      </c>
      <c r="F95" s="291" t="s">
        <v>146</v>
      </c>
      <c r="G95" s="295" t="s">
        <v>147</v>
      </c>
      <c r="H95" s="295" t="s">
        <v>147</v>
      </c>
      <c r="I95" s="295" t="s">
        <v>147</v>
      </c>
      <c r="J95" s="295" t="s">
        <v>812</v>
      </c>
      <c r="K95" s="291"/>
      <c r="L95" s="291"/>
      <c r="M95" s="291"/>
    </row>
    <row r="96" spans="2:13" ht="16.5" hidden="1">
      <c r="B96" s="291" t="s">
        <v>0</v>
      </c>
      <c r="C96" s="291" t="s">
        <v>831</v>
      </c>
      <c r="D96" s="291" t="s">
        <v>17</v>
      </c>
      <c r="E96" s="291" t="s">
        <v>77</v>
      </c>
      <c r="F96" s="291" t="s">
        <v>146</v>
      </c>
      <c r="G96" s="295" t="s">
        <v>147</v>
      </c>
      <c r="H96" s="295" t="s">
        <v>147</v>
      </c>
      <c r="I96" s="295" t="s">
        <v>147</v>
      </c>
      <c r="J96" s="295" t="s">
        <v>812</v>
      </c>
      <c r="K96" s="291"/>
      <c r="L96" s="291"/>
      <c r="M96" s="291"/>
    </row>
    <row r="97" spans="2:13" ht="16.5" hidden="1">
      <c r="B97" s="291" t="s">
        <v>0</v>
      </c>
      <c r="C97" s="291" t="s">
        <v>831</v>
      </c>
      <c r="D97" s="291" t="s">
        <v>17</v>
      </c>
      <c r="E97" s="291" t="s">
        <v>78</v>
      </c>
      <c r="F97" s="291" t="s">
        <v>146</v>
      </c>
      <c r="G97" s="295" t="s">
        <v>147</v>
      </c>
      <c r="H97" s="295" t="s">
        <v>147</v>
      </c>
      <c r="I97" s="295" t="s">
        <v>147</v>
      </c>
      <c r="J97" s="295" t="s">
        <v>812</v>
      </c>
      <c r="K97" s="291"/>
      <c r="L97" s="291"/>
      <c r="M97" s="291"/>
    </row>
    <row r="98" spans="2:13" ht="16.5" hidden="1">
      <c r="B98" s="291" t="s">
        <v>0</v>
      </c>
      <c r="C98" s="291" t="s">
        <v>831</v>
      </c>
      <c r="D98" s="291" t="s">
        <v>17</v>
      </c>
      <c r="E98" s="291" t="s">
        <v>79</v>
      </c>
      <c r="F98" s="291" t="s">
        <v>146</v>
      </c>
      <c r="G98" s="295" t="s">
        <v>147</v>
      </c>
      <c r="H98" s="295" t="s">
        <v>147</v>
      </c>
      <c r="I98" s="295" t="s">
        <v>147</v>
      </c>
      <c r="J98" s="295" t="s">
        <v>812</v>
      </c>
      <c r="K98" s="291"/>
      <c r="L98" s="291"/>
      <c r="M98" s="291"/>
    </row>
    <row r="99" spans="2:13" ht="16.5" hidden="1">
      <c r="B99" s="291" t="s">
        <v>0</v>
      </c>
      <c r="C99" s="291" t="s">
        <v>831</v>
      </c>
      <c r="D99" s="291" t="s">
        <v>17</v>
      </c>
      <c r="E99" s="291" t="s">
        <v>80</v>
      </c>
      <c r="F99" s="291" t="s">
        <v>146</v>
      </c>
      <c r="G99" s="295" t="s">
        <v>147</v>
      </c>
      <c r="H99" s="295" t="s">
        <v>147</v>
      </c>
      <c r="I99" s="295" t="s">
        <v>147</v>
      </c>
      <c r="J99" s="295" t="s">
        <v>812</v>
      </c>
      <c r="K99" s="291"/>
      <c r="L99" s="291"/>
      <c r="M99" s="291"/>
    </row>
    <row r="100" spans="2:13" ht="16.5" hidden="1">
      <c r="B100" s="291" t="s">
        <v>0</v>
      </c>
      <c r="C100" s="291" t="s">
        <v>831</v>
      </c>
      <c r="D100" s="291" t="s">
        <v>17</v>
      </c>
      <c r="E100" s="291" t="s">
        <v>81</v>
      </c>
      <c r="F100" s="291" t="s">
        <v>146</v>
      </c>
      <c r="G100" s="295" t="s">
        <v>147</v>
      </c>
      <c r="H100" s="295" t="s">
        <v>147</v>
      </c>
      <c r="I100" s="295" t="s">
        <v>147</v>
      </c>
      <c r="J100" s="295" t="s">
        <v>812</v>
      </c>
      <c r="K100" s="291"/>
      <c r="L100" s="291"/>
      <c r="M100" s="291"/>
    </row>
    <row r="101" spans="2:13" ht="16.5" hidden="1">
      <c r="B101" s="291" t="s">
        <v>0</v>
      </c>
      <c r="C101" s="291" t="s">
        <v>831</v>
      </c>
      <c r="D101" s="291" t="s">
        <v>17</v>
      </c>
      <c r="E101" s="291" t="s">
        <v>82</v>
      </c>
      <c r="F101" s="291" t="s">
        <v>146</v>
      </c>
      <c r="G101" s="295" t="s">
        <v>147</v>
      </c>
      <c r="H101" s="295" t="s">
        <v>147</v>
      </c>
      <c r="I101" s="295" t="s">
        <v>147</v>
      </c>
      <c r="J101" s="295" t="s">
        <v>812</v>
      </c>
      <c r="K101" s="291"/>
      <c r="L101" s="291"/>
      <c r="M101" s="291"/>
    </row>
    <row r="102" spans="2:13" ht="16.5" hidden="1">
      <c r="B102" s="291" t="s">
        <v>0</v>
      </c>
      <c r="C102" s="291" t="s">
        <v>831</v>
      </c>
      <c r="D102" s="291" t="s">
        <v>17</v>
      </c>
      <c r="E102" s="291" t="s">
        <v>83</v>
      </c>
      <c r="F102" s="291" t="s">
        <v>179</v>
      </c>
      <c r="G102" s="295" t="s">
        <v>147</v>
      </c>
      <c r="H102" s="295" t="s">
        <v>147</v>
      </c>
      <c r="I102" s="295" t="s">
        <v>891</v>
      </c>
      <c r="J102" s="295" t="s">
        <v>812</v>
      </c>
      <c r="K102" s="291"/>
      <c r="L102" s="291"/>
      <c r="M102" s="291"/>
    </row>
    <row r="103" spans="2:13" ht="16.5" hidden="1">
      <c r="B103" s="291" t="s">
        <v>0</v>
      </c>
      <c r="C103" s="291" t="s">
        <v>831</v>
      </c>
      <c r="D103" s="291" t="s">
        <v>17</v>
      </c>
      <c r="E103" s="291" t="s">
        <v>84</v>
      </c>
      <c r="F103" s="291" t="s">
        <v>179</v>
      </c>
      <c r="G103" s="295" t="s">
        <v>147</v>
      </c>
      <c r="H103" s="295" t="s">
        <v>147</v>
      </c>
      <c r="I103" s="295" t="s">
        <v>236</v>
      </c>
      <c r="J103" s="295" t="s">
        <v>812</v>
      </c>
      <c r="K103" s="291"/>
      <c r="L103" s="291"/>
      <c r="M103" s="291"/>
    </row>
    <row r="104" spans="2:13" ht="16.5" hidden="1">
      <c r="B104" s="291" t="s">
        <v>0</v>
      </c>
      <c r="C104" s="291" t="s">
        <v>831</v>
      </c>
      <c r="D104" s="291" t="s">
        <v>17</v>
      </c>
      <c r="E104" s="291" t="s">
        <v>85</v>
      </c>
      <c r="F104" s="291" t="s">
        <v>146</v>
      </c>
      <c r="G104" s="295" t="s">
        <v>147</v>
      </c>
      <c r="H104" s="295" t="s">
        <v>147</v>
      </c>
      <c r="I104" s="295" t="s">
        <v>891</v>
      </c>
      <c r="J104" s="295" t="s">
        <v>812</v>
      </c>
      <c r="K104" s="291"/>
      <c r="L104" s="291"/>
      <c r="M104" s="291"/>
    </row>
    <row r="105" spans="2:13" ht="16.5" hidden="1">
      <c r="B105" s="291" t="s">
        <v>0</v>
      </c>
      <c r="C105" s="291" t="s">
        <v>831</v>
      </c>
      <c r="D105" s="291" t="s">
        <v>17</v>
      </c>
      <c r="E105" s="291" t="s">
        <v>86</v>
      </c>
      <c r="F105" s="291" t="s">
        <v>146</v>
      </c>
      <c r="G105" s="295" t="s">
        <v>147</v>
      </c>
      <c r="H105" s="295" t="s">
        <v>147</v>
      </c>
      <c r="I105" s="295" t="s">
        <v>147</v>
      </c>
      <c r="J105" s="295" t="s">
        <v>812</v>
      </c>
      <c r="K105" s="291"/>
      <c r="L105" s="291"/>
      <c r="M105" s="291"/>
    </row>
    <row r="106" spans="2:13" ht="16.5" hidden="1">
      <c r="B106" s="291" t="s">
        <v>0</v>
      </c>
      <c r="C106" s="291" t="s">
        <v>831</v>
      </c>
      <c r="D106" s="291" t="s">
        <v>17</v>
      </c>
      <c r="E106" s="291" t="s">
        <v>87</v>
      </c>
      <c r="F106" s="291" t="s">
        <v>146</v>
      </c>
      <c r="G106" s="295" t="s">
        <v>147</v>
      </c>
      <c r="H106" s="295" t="s">
        <v>147</v>
      </c>
      <c r="I106" s="295" t="s">
        <v>147</v>
      </c>
      <c r="J106" s="295" t="s">
        <v>812</v>
      </c>
      <c r="K106" s="291"/>
      <c r="L106" s="291"/>
      <c r="M106" s="291"/>
    </row>
    <row r="107" spans="2:13" ht="16.5" hidden="1">
      <c r="B107" s="291" t="s">
        <v>0</v>
      </c>
      <c r="C107" s="291" t="s">
        <v>831</v>
      </c>
      <c r="D107" s="291" t="s">
        <v>17</v>
      </c>
      <c r="E107" s="291" t="s">
        <v>88</v>
      </c>
      <c r="F107" s="291" t="s">
        <v>146</v>
      </c>
      <c r="G107" s="295" t="s">
        <v>147</v>
      </c>
      <c r="H107" s="295" t="s">
        <v>147</v>
      </c>
      <c r="I107" s="295" t="s">
        <v>236</v>
      </c>
      <c r="J107" s="295" t="s">
        <v>812</v>
      </c>
      <c r="K107" s="291"/>
      <c r="L107" s="291"/>
      <c r="M107" s="291"/>
    </row>
    <row r="108" spans="2:13" ht="16.5" hidden="1">
      <c r="B108" s="291" t="s">
        <v>0</v>
      </c>
      <c r="C108" s="291" t="s">
        <v>831</v>
      </c>
      <c r="D108" s="291" t="s">
        <v>17</v>
      </c>
      <c r="E108" s="291" t="s">
        <v>89</v>
      </c>
      <c r="F108" s="291" t="s">
        <v>146</v>
      </c>
      <c r="G108" s="295" t="s">
        <v>147</v>
      </c>
      <c r="H108" s="295" t="s">
        <v>147</v>
      </c>
      <c r="I108" s="295" t="s">
        <v>236</v>
      </c>
      <c r="J108" s="295" t="s">
        <v>812</v>
      </c>
      <c r="K108" s="291"/>
      <c r="L108" s="291"/>
      <c r="M108" s="291"/>
    </row>
    <row r="109" spans="2:13" ht="16.5" hidden="1">
      <c r="B109" s="291" t="s">
        <v>0</v>
      </c>
      <c r="C109" s="291" t="s">
        <v>831</v>
      </c>
      <c r="D109" s="291" t="s">
        <v>17</v>
      </c>
      <c r="E109" s="291" t="s">
        <v>90</v>
      </c>
      <c r="F109" s="291" t="s">
        <v>146</v>
      </c>
      <c r="G109" s="295" t="s">
        <v>147</v>
      </c>
      <c r="H109" s="295" t="s">
        <v>147</v>
      </c>
      <c r="I109" s="295" t="s">
        <v>236</v>
      </c>
      <c r="J109" s="295" t="s">
        <v>812</v>
      </c>
      <c r="K109" s="291"/>
      <c r="L109" s="291"/>
      <c r="M109" s="291"/>
    </row>
    <row r="110" spans="2:13" ht="16.5" hidden="1">
      <c r="B110" s="291" t="s">
        <v>0</v>
      </c>
      <c r="C110" s="291" t="s">
        <v>831</v>
      </c>
      <c r="D110" s="291" t="s">
        <v>17</v>
      </c>
      <c r="E110" s="291" t="s">
        <v>91</v>
      </c>
      <c r="F110" s="291" t="s">
        <v>146</v>
      </c>
      <c r="G110" s="295" t="s">
        <v>147</v>
      </c>
      <c r="H110" s="295" t="s">
        <v>147</v>
      </c>
      <c r="I110" s="295" t="s">
        <v>236</v>
      </c>
      <c r="J110" s="295" t="s">
        <v>812</v>
      </c>
      <c r="K110" s="291"/>
      <c r="L110" s="291"/>
      <c r="M110" s="291"/>
    </row>
    <row r="111" spans="2:13" ht="16.5" hidden="1">
      <c r="B111" s="291" t="s">
        <v>0</v>
      </c>
      <c r="C111" s="291" t="s">
        <v>831</v>
      </c>
      <c r="D111" s="291" t="s">
        <v>17</v>
      </c>
      <c r="E111" s="291" t="s">
        <v>92</v>
      </c>
      <c r="F111" s="291" t="s">
        <v>157</v>
      </c>
      <c r="G111" s="295" t="s">
        <v>147</v>
      </c>
      <c r="H111" s="295" t="s">
        <v>147</v>
      </c>
      <c r="I111" s="295" t="s">
        <v>236</v>
      </c>
      <c r="J111" s="295" t="s">
        <v>812</v>
      </c>
      <c r="K111" s="291"/>
      <c r="L111" s="291"/>
      <c r="M111" s="291"/>
    </row>
    <row r="112" spans="2:13" ht="16.5" hidden="1">
      <c r="B112" s="291" t="s">
        <v>0</v>
      </c>
      <c r="C112" s="291" t="s">
        <v>831</v>
      </c>
      <c r="D112" s="291" t="s">
        <v>17</v>
      </c>
      <c r="E112" s="291" t="s">
        <v>93</v>
      </c>
      <c r="F112" s="291" t="s">
        <v>157</v>
      </c>
      <c r="G112" s="295" t="s">
        <v>147</v>
      </c>
      <c r="H112" s="295" t="s">
        <v>147</v>
      </c>
      <c r="I112" s="295" t="s">
        <v>891</v>
      </c>
      <c r="J112" s="295" t="s">
        <v>812</v>
      </c>
      <c r="K112" s="291"/>
      <c r="L112" s="291"/>
      <c r="M112" s="291"/>
    </row>
    <row r="113" spans="2:13" ht="16.5" hidden="1">
      <c r="B113" s="291" t="s">
        <v>0</v>
      </c>
      <c r="C113" s="291" t="s">
        <v>831</v>
      </c>
      <c r="D113" s="291" t="s">
        <v>17</v>
      </c>
      <c r="E113" s="291" t="s">
        <v>94</v>
      </c>
      <c r="F113" s="291" t="s">
        <v>146</v>
      </c>
      <c r="G113" s="295" t="s">
        <v>147</v>
      </c>
      <c r="H113" s="295" t="s">
        <v>147</v>
      </c>
      <c r="I113" s="295" t="s">
        <v>236</v>
      </c>
      <c r="J113" s="295" t="s">
        <v>812</v>
      </c>
      <c r="K113" s="291"/>
      <c r="L113" s="291"/>
      <c r="M113" s="291"/>
    </row>
    <row r="114" spans="2:13" ht="16.5" hidden="1">
      <c r="B114" s="291" t="s">
        <v>0</v>
      </c>
      <c r="C114" s="291" t="s">
        <v>831</v>
      </c>
      <c r="D114" s="291" t="s">
        <v>17</v>
      </c>
      <c r="E114" s="291" t="s">
        <v>95</v>
      </c>
      <c r="F114" s="291" t="s">
        <v>146</v>
      </c>
      <c r="G114" s="295" t="s">
        <v>147</v>
      </c>
      <c r="H114" s="295" t="s">
        <v>147</v>
      </c>
      <c r="I114" s="295" t="s">
        <v>236</v>
      </c>
      <c r="J114" s="295" t="s">
        <v>812</v>
      </c>
      <c r="K114" s="291"/>
      <c r="L114" s="291"/>
      <c r="M114" s="291"/>
    </row>
    <row r="115" spans="2:13" ht="16.5" hidden="1">
      <c r="B115" s="291" t="s">
        <v>0</v>
      </c>
      <c r="C115" s="291" t="s">
        <v>831</v>
      </c>
      <c r="D115" s="291" t="s">
        <v>17</v>
      </c>
      <c r="E115" s="291" t="s">
        <v>96</v>
      </c>
      <c r="F115" s="291" t="s">
        <v>146</v>
      </c>
      <c r="G115" s="295" t="s">
        <v>147</v>
      </c>
      <c r="H115" s="295" t="s">
        <v>147</v>
      </c>
      <c r="I115" s="295" t="s">
        <v>236</v>
      </c>
      <c r="J115" s="295" t="s">
        <v>812</v>
      </c>
      <c r="K115" s="291"/>
      <c r="L115" s="291"/>
      <c r="M115" s="291"/>
    </row>
    <row r="116" spans="2:13" ht="16.5" hidden="1">
      <c r="B116" s="291" t="s">
        <v>0</v>
      </c>
      <c r="C116" s="291" t="s">
        <v>831</v>
      </c>
      <c r="D116" s="291" t="s">
        <v>17</v>
      </c>
      <c r="E116" s="291" t="s">
        <v>97</v>
      </c>
      <c r="F116" s="291" t="s">
        <v>146</v>
      </c>
      <c r="G116" s="295" t="s">
        <v>147</v>
      </c>
      <c r="H116" s="295" t="s">
        <v>147</v>
      </c>
      <c r="I116" s="295" t="s">
        <v>147</v>
      </c>
      <c r="J116" s="295" t="s">
        <v>812</v>
      </c>
      <c r="K116" s="291"/>
      <c r="L116" s="291"/>
      <c r="M116" s="291"/>
    </row>
    <row r="117" spans="2:13" ht="16.5" hidden="1">
      <c r="B117" s="291" t="s">
        <v>832</v>
      </c>
      <c r="C117" s="291" t="s">
        <v>884</v>
      </c>
      <c r="D117" s="291" t="s">
        <v>837</v>
      </c>
      <c r="E117" s="291" t="s">
        <v>833</v>
      </c>
      <c r="F117" s="291" t="s">
        <v>157</v>
      </c>
      <c r="G117" s="295" t="s">
        <v>147</v>
      </c>
      <c r="H117" s="295" t="s">
        <v>147</v>
      </c>
      <c r="I117" s="295" t="s">
        <v>812</v>
      </c>
      <c r="J117" s="295" t="s">
        <v>812</v>
      </c>
      <c r="K117" s="291"/>
      <c r="L117" s="291"/>
      <c r="M117" s="291"/>
    </row>
    <row r="118" spans="2:13" ht="16.5" hidden="1">
      <c r="B118" s="291" t="s">
        <v>832</v>
      </c>
      <c r="C118" s="291" t="s">
        <v>884</v>
      </c>
      <c r="D118" s="291" t="s">
        <v>837</v>
      </c>
      <c r="E118" s="291" t="s">
        <v>834</v>
      </c>
      <c r="F118" s="291" t="s">
        <v>157</v>
      </c>
      <c r="G118" s="295" t="s">
        <v>147</v>
      </c>
      <c r="H118" s="295" t="s">
        <v>147</v>
      </c>
      <c r="I118" s="295" t="s">
        <v>812</v>
      </c>
      <c r="J118" s="295" t="s">
        <v>812</v>
      </c>
      <c r="K118" s="291"/>
      <c r="L118" s="291"/>
      <c r="M118" s="291"/>
    </row>
    <row r="119" spans="2:13" ht="16.5" hidden="1">
      <c r="B119" s="291" t="s">
        <v>832</v>
      </c>
      <c r="C119" s="291" t="s">
        <v>884</v>
      </c>
      <c r="D119" s="291" t="s">
        <v>657</v>
      </c>
      <c r="E119" s="291" t="s">
        <v>835</v>
      </c>
      <c r="F119" s="291" t="s">
        <v>179</v>
      </c>
      <c r="G119" s="295" t="s">
        <v>147</v>
      </c>
      <c r="H119" s="295" t="s">
        <v>202</v>
      </c>
      <c r="I119" s="295" t="s">
        <v>812</v>
      </c>
      <c r="J119" s="295" t="s">
        <v>812</v>
      </c>
      <c r="K119" s="291"/>
      <c r="L119" s="291"/>
      <c r="M119" s="291"/>
    </row>
    <row r="120" spans="2:13" ht="16.5" hidden="1">
      <c r="B120" s="291" t="s">
        <v>832</v>
      </c>
      <c r="C120" s="291" t="s">
        <v>884</v>
      </c>
      <c r="D120" s="291" t="s">
        <v>657</v>
      </c>
      <c r="E120" s="291" t="s">
        <v>836</v>
      </c>
      <c r="F120" s="291" t="s">
        <v>236</v>
      </c>
      <c r="G120" s="295" t="s">
        <v>202</v>
      </c>
      <c r="H120" s="295" t="s">
        <v>202</v>
      </c>
      <c r="I120" s="295" t="s">
        <v>812</v>
      </c>
      <c r="J120" s="295" t="s">
        <v>812</v>
      </c>
      <c r="K120" s="291"/>
      <c r="L120" s="291"/>
      <c r="M120" s="291"/>
    </row>
    <row r="121" spans="2:13" ht="16.5" hidden="1">
      <c r="B121" s="291" t="s">
        <v>832</v>
      </c>
      <c r="C121" s="291" t="s">
        <v>831</v>
      </c>
      <c r="D121" s="291" t="s">
        <v>852</v>
      </c>
      <c r="E121" s="291" t="s">
        <v>18</v>
      </c>
      <c r="F121" s="291" t="s">
        <v>146</v>
      </c>
      <c r="G121" s="295" t="s">
        <v>147</v>
      </c>
      <c r="H121" s="295" t="s">
        <v>147</v>
      </c>
      <c r="I121" s="295" t="s">
        <v>812</v>
      </c>
      <c r="J121" s="295" t="s">
        <v>812</v>
      </c>
      <c r="K121" s="291"/>
      <c r="L121" s="291"/>
      <c r="M121" s="291"/>
    </row>
    <row r="122" spans="2:13" ht="16.5" hidden="1">
      <c r="B122" s="291" t="s">
        <v>832</v>
      </c>
      <c r="C122" s="291" t="s">
        <v>831</v>
      </c>
      <c r="D122" s="291" t="s">
        <v>852</v>
      </c>
      <c r="E122" s="291" t="s">
        <v>838</v>
      </c>
      <c r="F122" s="291" t="s">
        <v>157</v>
      </c>
      <c r="G122" s="295" t="s">
        <v>147</v>
      </c>
      <c r="H122" s="295" t="s">
        <v>147</v>
      </c>
      <c r="I122" s="295" t="s">
        <v>812</v>
      </c>
      <c r="J122" s="295" t="s">
        <v>812</v>
      </c>
      <c r="K122" s="291"/>
      <c r="L122" s="291"/>
      <c r="M122" s="291"/>
    </row>
    <row r="123" spans="2:13" ht="16.5" hidden="1">
      <c r="B123" s="291" t="s">
        <v>832</v>
      </c>
      <c r="C123" s="291" t="s">
        <v>831</v>
      </c>
      <c r="D123" s="291" t="s">
        <v>852</v>
      </c>
      <c r="E123" s="291" t="s">
        <v>839</v>
      </c>
      <c r="F123" s="291" t="s">
        <v>146</v>
      </c>
      <c r="G123" s="295" t="s">
        <v>147</v>
      </c>
      <c r="H123" s="295" t="s">
        <v>147</v>
      </c>
      <c r="I123" s="295" t="s">
        <v>812</v>
      </c>
      <c r="J123" s="295" t="s">
        <v>812</v>
      </c>
      <c r="K123" s="291"/>
      <c r="L123" s="291"/>
      <c r="M123" s="291"/>
    </row>
    <row r="124" spans="2:13" ht="16.5" hidden="1">
      <c r="B124" s="291" t="s">
        <v>832</v>
      </c>
      <c r="C124" s="291" t="s">
        <v>831</v>
      </c>
      <c r="D124" s="291" t="s">
        <v>852</v>
      </c>
      <c r="E124" s="291" t="s">
        <v>840</v>
      </c>
      <c r="F124" s="291" t="s">
        <v>146</v>
      </c>
      <c r="G124" s="295" t="s">
        <v>147</v>
      </c>
      <c r="H124" s="295" t="s">
        <v>147</v>
      </c>
      <c r="I124" s="295" t="s">
        <v>812</v>
      </c>
      <c r="J124" s="295" t="s">
        <v>812</v>
      </c>
      <c r="K124" s="291"/>
      <c r="L124" s="291"/>
      <c r="M124" s="291"/>
    </row>
    <row r="125" spans="2:13" ht="16.5" hidden="1">
      <c r="B125" s="291" t="s">
        <v>832</v>
      </c>
      <c r="C125" s="291" t="s">
        <v>831</v>
      </c>
      <c r="D125" s="291" t="s">
        <v>852</v>
      </c>
      <c r="E125" s="291" t="s">
        <v>841</v>
      </c>
      <c r="F125" s="291" t="s">
        <v>146</v>
      </c>
      <c r="G125" s="295" t="s">
        <v>147</v>
      </c>
      <c r="H125" s="295" t="s">
        <v>147</v>
      </c>
      <c r="I125" s="295" t="s">
        <v>812</v>
      </c>
      <c r="J125" s="295" t="s">
        <v>812</v>
      </c>
      <c r="K125" s="291"/>
      <c r="L125" s="291"/>
      <c r="M125" s="291"/>
    </row>
    <row r="126" spans="2:13" ht="16.5" hidden="1">
      <c r="B126" s="291" t="s">
        <v>832</v>
      </c>
      <c r="C126" s="291" t="s">
        <v>831</v>
      </c>
      <c r="D126" s="291" t="s">
        <v>852</v>
      </c>
      <c r="E126" s="291" t="s">
        <v>842</v>
      </c>
      <c r="F126" s="291" t="s">
        <v>157</v>
      </c>
      <c r="G126" s="295" t="s">
        <v>147</v>
      </c>
      <c r="H126" s="295" t="s">
        <v>147</v>
      </c>
      <c r="I126" s="295" t="s">
        <v>812</v>
      </c>
      <c r="J126" s="295" t="s">
        <v>812</v>
      </c>
      <c r="K126" s="291"/>
      <c r="L126" s="291"/>
      <c r="M126" s="291"/>
    </row>
    <row r="127" spans="2:13" ht="16.5" hidden="1">
      <c r="B127" s="291" t="s">
        <v>832</v>
      </c>
      <c r="C127" s="291" t="s">
        <v>831</v>
      </c>
      <c r="D127" s="291" t="s">
        <v>852</v>
      </c>
      <c r="E127" s="291" t="s">
        <v>843</v>
      </c>
      <c r="F127" s="291" t="s">
        <v>179</v>
      </c>
      <c r="G127" s="295" t="s">
        <v>147</v>
      </c>
      <c r="H127" s="295" t="s">
        <v>202</v>
      </c>
      <c r="I127" s="295" t="s">
        <v>894</v>
      </c>
      <c r="J127" s="295" t="s">
        <v>894</v>
      </c>
      <c r="K127" s="291"/>
      <c r="L127" s="291"/>
      <c r="M127" s="291"/>
    </row>
    <row r="128" spans="2:13" ht="16.5" hidden="1">
      <c r="B128" s="291" t="s">
        <v>832</v>
      </c>
      <c r="C128" s="291" t="s">
        <v>831</v>
      </c>
      <c r="D128" s="291" t="s">
        <v>852</v>
      </c>
      <c r="E128" s="291" t="s">
        <v>844</v>
      </c>
      <c r="F128" s="291" t="s">
        <v>146</v>
      </c>
      <c r="G128" s="295" t="s">
        <v>147</v>
      </c>
      <c r="H128" s="295" t="s">
        <v>147</v>
      </c>
      <c r="I128" s="295" t="s">
        <v>812</v>
      </c>
      <c r="J128" s="295" t="s">
        <v>812</v>
      </c>
      <c r="K128" s="291"/>
      <c r="L128" s="291"/>
      <c r="M128" s="291"/>
    </row>
    <row r="129" spans="2:13" ht="16.5" hidden="1">
      <c r="B129" s="291" t="s">
        <v>832</v>
      </c>
      <c r="C129" s="291" t="s">
        <v>831</v>
      </c>
      <c r="D129" s="291" t="s">
        <v>852</v>
      </c>
      <c r="E129" s="291" t="s">
        <v>845</v>
      </c>
      <c r="F129" s="291" t="s">
        <v>146</v>
      </c>
      <c r="G129" s="295" t="s">
        <v>147</v>
      </c>
      <c r="H129" s="295" t="s">
        <v>147</v>
      </c>
      <c r="I129" s="295" t="s">
        <v>812</v>
      </c>
      <c r="J129" s="295" t="s">
        <v>812</v>
      </c>
      <c r="K129" s="291"/>
      <c r="L129" s="291"/>
      <c r="M129" s="291"/>
    </row>
    <row r="130" spans="2:13" ht="16.5" hidden="1">
      <c r="B130" s="291" t="s">
        <v>832</v>
      </c>
      <c r="C130" s="291" t="s">
        <v>831</v>
      </c>
      <c r="D130" s="291" t="s">
        <v>852</v>
      </c>
      <c r="E130" s="291" t="s">
        <v>846</v>
      </c>
      <c r="F130" s="291" t="s">
        <v>236</v>
      </c>
      <c r="G130" s="295" t="s">
        <v>202</v>
      </c>
      <c r="H130" s="295" t="s">
        <v>202</v>
      </c>
      <c r="I130" s="295" t="s">
        <v>894</v>
      </c>
      <c r="J130" s="295" t="s">
        <v>894</v>
      </c>
      <c r="K130" s="291"/>
      <c r="L130" s="291"/>
      <c r="M130" s="291"/>
    </row>
    <row r="131" spans="2:13" ht="16.5" hidden="1">
      <c r="B131" s="291" t="s">
        <v>832</v>
      </c>
      <c r="C131" s="291" t="s">
        <v>831</v>
      </c>
      <c r="D131" s="291" t="s">
        <v>852</v>
      </c>
      <c r="E131" s="291" t="s">
        <v>847</v>
      </c>
      <c r="F131" s="291" t="s">
        <v>146</v>
      </c>
      <c r="G131" s="295" t="s">
        <v>147</v>
      </c>
      <c r="H131" s="295" t="s">
        <v>147</v>
      </c>
      <c r="I131" s="295" t="s">
        <v>812</v>
      </c>
      <c r="J131" s="295" t="s">
        <v>812</v>
      </c>
      <c r="K131" s="291"/>
      <c r="L131" s="291"/>
      <c r="M131" s="291"/>
    </row>
    <row r="132" spans="2:13" ht="16.5" hidden="1">
      <c r="B132" s="291" t="s">
        <v>832</v>
      </c>
      <c r="C132" s="291" t="s">
        <v>831</v>
      </c>
      <c r="D132" s="291" t="s">
        <v>852</v>
      </c>
      <c r="E132" s="291" t="s">
        <v>848</v>
      </c>
      <c r="F132" s="291" t="s">
        <v>146</v>
      </c>
      <c r="G132" s="295" t="s">
        <v>147</v>
      </c>
      <c r="H132" s="295" t="s">
        <v>147</v>
      </c>
      <c r="I132" s="295" t="s">
        <v>812</v>
      </c>
      <c r="J132" s="295" t="s">
        <v>812</v>
      </c>
      <c r="K132" s="291"/>
      <c r="L132" s="291"/>
      <c r="M132" s="291"/>
    </row>
    <row r="133" spans="2:13" ht="16.5" hidden="1">
      <c r="B133" s="291" t="s">
        <v>832</v>
      </c>
      <c r="C133" s="291" t="s">
        <v>831</v>
      </c>
      <c r="D133" s="291" t="s">
        <v>852</v>
      </c>
      <c r="E133" s="291" t="s">
        <v>849</v>
      </c>
      <c r="F133" s="291" t="s">
        <v>146</v>
      </c>
      <c r="G133" s="295" t="s">
        <v>147</v>
      </c>
      <c r="H133" s="295" t="s">
        <v>147</v>
      </c>
      <c r="I133" s="295" t="s">
        <v>812</v>
      </c>
      <c r="J133" s="295" t="s">
        <v>812</v>
      </c>
      <c r="K133" s="291"/>
      <c r="L133" s="291"/>
      <c r="M133" s="291"/>
    </row>
    <row r="134" spans="2:13" ht="16.5" hidden="1">
      <c r="B134" s="291" t="s">
        <v>832</v>
      </c>
      <c r="C134" s="291" t="s">
        <v>831</v>
      </c>
      <c r="D134" s="291" t="s">
        <v>852</v>
      </c>
      <c r="E134" s="291" t="s">
        <v>850</v>
      </c>
      <c r="F134" s="291" t="s">
        <v>146</v>
      </c>
      <c r="G134" s="295" t="s">
        <v>147</v>
      </c>
      <c r="H134" s="295" t="s">
        <v>147</v>
      </c>
      <c r="I134" s="295" t="s">
        <v>812</v>
      </c>
      <c r="J134" s="295" t="s">
        <v>812</v>
      </c>
      <c r="K134" s="291"/>
      <c r="L134" s="291"/>
      <c r="M134" s="291"/>
    </row>
    <row r="135" spans="2:13" ht="16.5" hidden="1">
      <c r="B135" s="291" t="s">
        <v>832</v>
      </c>
      <c r="C135" s="291" t="s">
        <v>831</v>
      </c>
      <c r="D135" s="291" t="s">
        <v>852</v>
      </c>
      <c r="E135" s="291" t="s">
        <v>851</v>
      </c>
      <c r="F135" s="291" t="s">
        <v>146</v>
      </c>
      <c r="G135" s="295" t="s">
        <v>147</v>
      </c>
      <c r="H135" s="295" t="s">
        <v>147</v>
      </c>
      <c r="I135" s="295" t="s">
        <v>812</v>
      </c>
      <c r="J135" s="295" t="s">
        <v>812</v>
      </c>
      <c r="K135" s="291"/>
      <c r="L135" s="291"/>
      <c r="M135" s="291"/>
    </row>
    <row r="136" spans="2:13" ht="16.5" hidden="1">
      <c r="B136" s="291" t="s">
        <v>853</v>
      </c>
      <c r="C136" s="291" t="s">
        <v>884</v>
      </c>
      <c r="D136" s="291" t="s">
        <v>776</v>
      </c>
      <c r="E136" s="291" t="s">
        <v>854</v>
      </c>
      <c r="F136" s="291" t="s">
        <v>179</v>
      </c>
      <c r="G136" s="295" t="s">
        <v>147</v>
      </c>
      <c r="H136" s="295" t="s">
        <v>202</v>
      </c>
      <c r="I136" s="295" t="s">
        <v>812</v>
      </c>
      <c r="J136" s="295" t="s">
        <v>812</v>
      </c>
      <c r="K136" s="291"/>
      <c r="L136" s="291"/>
      <c r="M136" s="291"/>
    </row>
    <row r="137" spans="2:13" ht="16.5" hidden="1">
      <c r="B137" s="291" t="s">
        <v>853</v>
      </c>
      <c r="C137" s="291" t="s">
        <v>884</v>
      </c>
      <c r="D137" s="291" t="s">
        <v>776</v>
      </c>
      <c r="E137" s="291" t="s">
        <v>855</v>
      </c>
      <c r="F137" s="291" t="s">
        <v>157</v>
      </c>
      <c r="G137" s="295" t="s">
        <v>147</v>
      </c>
      <c r="H137" s="295" t="s">
        <v>147</v>
      </c>
      <c r="I137" s="295" t="s">
        <v>812</v>
      </c>
      <c r="J137" s="295" t="s">
        <v>812</v>
      </c>
      <c r="K137" s="291"/>
      <c r="L137" s="291"/>
      <c r="M137" s="291"/>
    </row>
    <row r="138" spans="2:13" ht="16.5" hidden="1">
      <c r="B138" s="291" t="s">
        <v>853</v>
      </c>
      <c r="C138" s="291" t="s">
        <v>884</v>
      </c>
      <c r="D138" s="291" t="s">
        <v>776</v>
      </c>
      <c r="E138" s="291" t="s">
        <v>856</v>
      </c>
      <c r="F138" s="291" t="s">
        <v>157</v>
      </c>
      <c r="G138" s="295" t="s">
        <v>147</v>
      </c>
      <c r="H138" s="295" t="s">
        <v>147</v>
      </c>
      <c r="I138" s="295" t="s">
        <v>812</v>
      </c>
      <c r="J138" s="295" t="s">
        <v>812</v>
      </c>
      <c r="K138" s="291"/>
      <c r="L138" s="291"/>
      <c r="M138" s="291"/>
    </row>
    <row r="139" spans="2:13" ht="16.5" hidden="1">
      <c r="B139" s="291" t="s">
        <v>853</v>
      </c>
      <c r="C139" s="291" t="s">
        <v>884</v>
      </c>
      <c r="D139" s="291" t="s">
        <v>776</v>
      </c>
      <c r="E139" s="291" t="s">
        <v>804</v>
      </c>
      <c r="F139" s="291" t="s">
        <v>157</v>
      </c>
      <c r="G139" s="295" t="s">
        <v>147</v>
      </c>
      <c r="H139" s="295" t="s">
        <v>147</v>
      </c>
      <c r="I139" s="295" t="s">
        <v>812</v>
      </c>
      <c r="J139" s="295" t="s">
        <v>812</v>
      </c>
      <c r="K139" s="291"/>
      <c r="L139" s="291"/>
      <c r="M139" s="291"/>
    </row>
    <row r="140" spans="2:13" ht="16.5" hidden="1">
      <c r="B140" s="291" t="s">
        <v>853</v>
      </c>
      <c r="C140" s="291" t="s">
        <v>884</v>
      </c>
      <c r="D140" s="291" t="s">
        <v>657</v>
      </c>
      <c r="E140" s="291" t="s">
        <v>857</v>
      </c>
      <c r="F140" s="291" t="s">
        <v>157</v>
      </c>
      <c r="G140" s="295" t="s">
        <v>147</v>
      </c>
      <c r="H140" s="295" t="s">
        <v>147</v>
      </c>
      <c r="I140" s="295" t="s">
        <v>812</v>
      </c>
      <c r="J140" s="295" t="s">
        <v>812</v>
      </c>
      <c r="K140" s="291"/>
      <c r="L140" s="291"/>
      <c r="M140" s="291"/>
    </row>
    <row r="141" spans="2:13" ht="16.5" hidden="1">
      <c r="B141" s="291" t="s">
        <v>853</v>
      </c>
      <c r="C141" s="291" t="s">
        <v>884</v>
      </c>
      <c r="D141" s="291" t="s">
        <v>1</v>
      </c>
      <c r="E141" s="291" t="s">
        <v>858</v>
      </c>
      <c r="F141" s="291" t="s">
        <v>812</v>
      </c>
      <c r="G141" s="295" t="s">
        <v>202</v>
      </c>
      <c r="H141" s="295" t="s">
        <v>202</v>
      </c>
      <c r="I141" s="295" t="s">
        <v>812</v>
      </c>
      <c r="J141" s="295" t="s">
        <v>812</v>
      </c>
      <c r="K141" s="291"/>
      <c r="L141" s="291"/>
      <c r="M141" s="291"/>
    </row>
    <row r="142" spans="2:13" ht="16.5" hidden="1">
      <c r="B142" s="291" t="s">
        <v>853</v>
      </c>
      <c r="C142" s="291" t="s">
        <v>884</v>
      </c>
      <c r="D142" s="291" t="s">
        <v>776</v>
      </c>
      <c r="E142" s="291" t="s">
        <v>822</v>
      </c>
      <c r="F142" s="291" t="s">
        <v>236</v>
      </c>
      <c r="G142" s="295" t="s">
        <v>202</v>
      </c>
      <c r="H142" s="295" t="s">
        <v>202</v>
      </c>
      <c r="I142" s="295" t="s">
        <v>812</v>
      </c>
      <c r="J142" s="295" t="s">
        <v>812</v>
      </c>
      <c r="K142" s="291"/>
      <c r="L142" s="291"/>
      <c r="M142" s="291"/>
    </row>
    <row r="143" spans="2:13" ht="16.5" hidden="1">
      <c r="B143" s="291" t="s">
        <v>853</v>
      </c>
      <c r="C143" s="291" t="s">
        <v>884</v>
      </c>
      <c r="D143" s="291" t="s">
        <v>2</v>
      </c>
      <c r="E143" s="291" t="s">
        <v>8</v>
      </c>
      <c r="F143" s="291" t="s">
        <v>157</v>
      </c>
      <c r="G143" s="295" t="s">
        <v>147</v>
      </c>
      <c r="H143" s="295" t="s">
        <v>147</v>
      </c>
      <c r="I143" s="295" t="s">
        <v>812</v>
      </c>
      <c r="J143" s="295" t="s">
        <v>812</v>
      </c>
      <c r="K143" s="291"/>
      <c r="L143" s="291"/>
      <c r="M143" s="291"/>
    </row>
    <row r="144" spans="2:13" ht="16.5" hidden="1">
      <c r="B144" s="291" t="s">
        <v>853</v>
      </c>
      <c r="C144" s="291" t="s">
        <v>884</v>
      </c>
      <c r="D144" s="291" t="s">
        <v>2</v>
      </c>
      <c r="E144" s="291" t="s">
        <v>9</v>
      </c>
      <c r="F144" s="291" t="s">
        <v>157</v>
      </c>
      <c r="G144" s="295" t="s">
        <v>147</v>
      </c>
      <c r="H144" s="295" t="s">
        <v>147</v>
      </c>
      <c r="I144" s="295" t="s">
        <v>812</v>
      </c>
      <c r="J144" s="295" t="s">
        <v>812</v>
      </c>
      <c r="K144" s="291"/>
      <c r="L144" s="291"/>
      <c r="M144" s="291"/>
    </row>
    <row r="145" spans="1:14" ht="16.5" hidden="1">
      <c r="B145" s="291" t="s">
        <v>853</v>
      </c>
      <c r="C145" s="291" t="s">
        <v>884</v>
      </c>
      <c r="D145" s="291" t="s">
        <v>2</v>
      </c>
      <c r="E145" s="291" t="s">
        <v>16</v>
      </c>
      <c r="F145" s="291" t="s">
        <v>157</v>
      </c>
      <c r="G145" s="295" t="s">
        <v>147</v>
      </c>
      <c r="H145" s="295" t="s">
        <v>147</v>
      </c>
      <c r="I145" s="295" t="s">
        <v>812</v>
      </c>
      <c r="J145" s="295" t="s">
        <v>812</v>
      </c>
      <c r="K145" s="291"/>
      <c r="L145" s="291"/>
      <c r="M145" s="291"/>
    </row>
    <row r="146" spans="1:14" ht="16.5" hidden="1">
      <c r="B146" s="291" t="s">
        <v>853</v>
      </c>
      <c r="C146" s="291" t="s">
        <v>884</v>
      </c>
      <c r="D146" s="291" t="s">
        <v>859</v>
      </c>
      <c r="E146" s="291" t="s">
        <v>834</v>
      </c>
      <c r="F146" s="291" t="s">
        <v>157</v>
      </c>
      <c r="G146" s="295" t="s">
        <v>147</v>
      </c>
      <c r="H146" s="295" t="s">
        <v>147</v>
      </c>
      <c r="I146" s="295" t="s">
        <v>812</v>
      </c>
      <c r="J146" s="295" t="s">
        <v>812</v>
      </c>
      <c r="K146" s="291"/>
      <c r="L146" s="291"/>
      <c r="M146" s="291"/>
    </row>
    <row r="147" spans="1:14" ht="16.5" hidden="1">
      <c r="B147" s="291" t="s">
        <v>853</v>
      </c>
      <c r="C147" s="291" t="s">
        <v>831</v>
      </c>
      <c r="D147" s="291" t="s">
        <v>870</v>
      </c>
      <c r="E147" s="291" t="s">
        <v>18</v>
      </c>
      <c r="F147" s="291" t="s">
        <v>146</v>
      </c>
      <c r="G147" s="295" t="s">
        <v>147</v>
      </c>
      <c r="H147" s="295" t="s">
        <v>147</v>
      </c>
      <c r="I147" s="295" t="s">
        <v>812</v>
      </c>
      <c r="J147" s="295" t="s">
        <v>812</v>
      </c>
      <c r="K147" s="291"/>
      <c r="L147" s="291"/>
      <c r="M147" s="291"/>
    </row>
    <row r="148" spans="1:14" ht="16.5" hidden="1">
      <c r="B148" s="291" t="s">
        <v>853</v>
      </c>
      <c r="C148" s="291" t="s">
        <v>831</v>
      </c>
      <c r="D148" s="291" t="s">
        <v>870</v>
      </c>
      <c r="E148" s="291" t="s">
        <v>860</v>
      </c>
      <c r="F148" s="291" t="s">
        <v>146</v>
      </c>
      <c r="G148" s="295" t="s">
        <v>147</v>
      </c>
      <c r="H148" s="295" t="s">
        <v>147</v>
      </c>
      <c r="I148" s="295" t="s">
        <v>812</v>
      </c>
      <c r="J148" s="295" t="s">
        <v>812</v>
      </c>
      <c r="K148" s="291"/>
      <c r="L148" s="291"/>
      <c r="M148" s="291"/>
    </row>
    <row r="149" spans="1:14" ht="16.5" hidden="1">
      <c r="B149" s="291" t="s">
        <v>853</v>
      </c>
      <c r="C149" s="291" t="s">
        <v>831</v>
      </c>
      <c r="D149" s="291" t="s">
        <v>870</v>
      </c>
      <c r="E149" s="291" t="s">
        <v>861</v>
      </c>
      <c r="F149" s="291" t="s">
        <v>146</v>
      </c>
      <c r="G149" s="295" t="s">
        <v>147</v>
      </c>
      <c r="H149" s="295" t="s">
        <v>147</v>
      </c>
      <c r="I149" s="295" t="s">
        <v>812</v>
      </c>
      <c r="J149" s="295" t="s">
        <v>812</v>
      </c>
      <c r="K149" s="291"/>
      <c r="L149" s="291"/>
      <c r="M149" s="291"/>
    </row>
    <row r="150" spans="1:14" ht="16.5" hidden="1">
      <c r="B150" s="291" t="s">
        <v>853</v>
      </c>
      <c r="C150" s="291" t="s">
        <v>831</v>
      </c>
      <c r="D150" s="291" t="s">
        <v>870</v>
      </c>
      <c r="E150" s="291" t="s">
        <v>862</v>
      </c>
      <c r="F150" s="291" t="s">
        <v>179</v>
      </c>
      <c r="G150" s="295" t="s">
        <v>147</v>
      </c>
      <c r="H150" s="295" t="s">
        <v>202</v>
      </c>
      <c r="I150" s="295" t="s">
        <v>894</v>
      </c>
      <c r="J150" s="295" t="s">
        <v>894</v>
      </c>
      <c r="K150" s="291"/>
      <c r="L150" s="291"/>
      <c r="M150" s="291"/>
    </row>
    <row r="151" spans="1:14" ht="16.5" hidden="1">
      <c r="B151" s="291" t="s">
        <v>853</v>
      </c>
      <c r="C151" s="291" t="s">
        <v>831</v>
      </c>
      <c r="D151" s="291" t="s">
        <v>870</v>
      </c>
      <c r="E151" s="291" t="s">
        <v>863</v>
      </c>
      <c r="F151" s="291" t="s">
        <v>157</v>
      </c>
      <c r="G151" s="295" t="s">
        <v>147</v>
      </c>
      <c r="H151" s="295" t="s">
        <v>202</v>
      </c>
      <c r="I151" s="295" t="s">
        <v>894</v>
      </c>
      <c r="J151" s="295" t="s">
        <v>894</v>
      </c>
      <c r="K151" s="291"/>
      <c r="L151" s="291"/>
      <c r="M151" s="291"/>
    </row>
    <row r="152" spans="1:14" ht="16.5" hidden="1">
      <c r="B152" s="291" t="s">
        <v>853</v>
      </c>
      <c r="C152" s="291" t="s">
        <v>831</v>
      </c>
      <c r="D152" s="291" t="s">
        <v>870</v>
      </c>
      <c r="E152" s="291" t="s">
        <v>864</v>
      </c>
      <c r="F152" s="291" t="s">
        <v>157</v>
      </c>
      <c r="G152" s="295" t="s">
        <v>147</v>
      </c>
      <c r="H152" s="295" t="s">
        <v>202</v>
      </c>
      <c r="I152" s="295" t="s">
        <v>894</v>
      </c>
      <c r="J152" s="295" t="s">
        <v>894</v>
      </c>
      <c r="K152" s="291"/>
      <c r="L152" s="291"/>
      <c r="M152" s="291"/>
    </row>
    <row r="153" spans="1:14" ht="16.5" hidden="1">
      <c r="B153" s="291" t="s">
        <v>853</v>
      </c>
      <c r="C153" s="291" t="s">
        <v>831</v>
      </c>
      <c r="D153" s="291" t="s">
        <v>870</v>
      </c>
      <c r="E153" s="291" t="s">
        <v>865</v>
      </c>
      <c r="F153" s="291" t="s">
        <v>146</v>
      </c>
      <c r="G153" s="295" t="s">
        <v>147</v>
      </c>
      <c r="H153" s="295" t="s">
        <v>202</v>
      </c>
      <c r="I153" s="295" t="s">
        <v>894</v>
      </c>
      <c r="J153" s="295" t="s">
        <v>894</v>
      </c>
      <c r="K153" s="291"/>
      <c r="L153" s="291"/>
      <c r="M153" s="291"/>
    </row>
    <row r="154" spans="1:14" ht="16.5" hidden="1">
      <c r="B154" s="291" t="s">
        <v>853</v>
      </c>
      <c r="C154" s="291" t="s">
        <v>831</v>
      </c>
      <c r="D154" s="291" t="s">
        <v>870</v>
      </c>
      <c r="E154" s="291" t="s">
        <v>866</v>
      </c>
      <c r="F154" s="291" t="s">
        <v>157</v>
      </c>
      <c r="G154" s="295" t="s">
        <v>147</v>
      </c>
      <c r="H154" s="295" t="s">
        <v>202</v>
      </c>
      <c r="I154" s="295" t="s">
        <v>894</v>
      </c>
      <c r="J154" s="295" t="s">
        <v>894</v>
      </c>
      <c r="K154" s="291"/>
      <c r="L154" s="291"/>
      <c r="M154" s="291"/>
    </row>
    <row r="155" spans="1:14" ht="16.5" hidden="1">
      <c r="B155" s="291" t="s">
        <v>853</v>
      </c>
      <c r="C155" s="291" t="s">
        <v>831</v>
      </c>
      <c r="D155" s="291" t="s">
        <v>870</v>
      </c>
      <c r="E155" s="291" t="s">
        <v>867</v>
      </c>
      <c r="F155" s="291" t="s">
        <v>812</v>
      </c>
      <c r="G155" s="295" t="s">
        <v>202</v>
      </c>
      <c r="H155" s="295" t="s">
        <v>202</v>
      </c>
      <c r="I155" s="295" t="s">
        <v>894</v>
      </c>
      <c r="J155" s="295" t="s">
        <v>894</v>
      </c>
      <c r="K155" s="291"/>
      <c r="L155" s="291"/>
      <c r="M155" s="291"/>
    </row>
    <row r="156" spans="1:14" ht="16.5" hidden="1">
      <c r="B156" s="291" t="s">
        <v>853</v>
      </c>
      <c r="C156" s="291" t="s">
        <v>831</v>
      </c>
      <c r="D156" s="291" t="s">
        <v>870</v>
      </c>
      <c r="E156" s="291" t="s">
        <v>868</v>
      </c>
      <c r="F156" s="291" t="s">
        <v>236</v>
      </c>
      <c r="G156" s="295" t="s">
        <v>202</v>
      </c>
      <c r="H156" s="295" t="s">
        <v>202</v>
      </c>
      <c r="I156" s="295" t="s">
        <v>894</v>
      </c>
      <c r="J156" s="295" t="s">
        <v>894</v>
      </c>
      <c r="K156" s="291"/>
      <c r="L156" s="291"/>
      <c r="M156" s="291"/>
    </row>
    <row r="157" spans="1:14" ht="16.5" hidden="1">
      <c r="B157" s="291" t="s">
        <v>853</v>
      </c>
      <c r="C157" s="291" t="s">
        <v>831</v>
      </c>
      <c r="D157" s="291" t="s">
        <v>870</v>
      </c>
      <c r="E157" s="291" t="s">
        <v>869</v>
      </c>
      <c r="F157" s="291" t="s">
        <v>146</v>
      </c>
      <c r="G157" s="295" t="s">
        <v>147</v>
      </c>
      <c r="H157" s="295" t="s">
        <v>202</v>
      </c>
      <c r="I157" s="295" t="s">
        <v>894</v>
      </c>
      <c r="J157" s="295" t="s">
        <v>894</v>
      </c>
      <c r="K157" s="291"/>
      <c r="L157" s="291"/>
      <c r="M157" s="291"/>
      <c r="N157"/>
    </row>
    <row r="158" spans="1:14" s="290" customFormat="1" ht="16.5" hidden="1">
      <c r="A158"/>
      <c r="B158" s="292"/>
      <c r="C158" s="292" t="s">
        <v>871</v>
      </c>
      <c r="D158" s="292"/>
      <c r="E158" s="292"/>
      <c r="F158" s="292"/>
      <c r="G158" s="296"/>
      <c r="H158" s="296"/>
      <c r="I158" s="296"/>
      <c r="J158" s="296"/>
      <c r="K158" s="292"/>
      <c r="L158" s="292"/>
      <c r="M158" s="292"/>
      <c r="N158"/>
    </row>
    <row r="159" spans="1:14"/>
  </sheetData>
  <autoFilter ref="B7:M158" xr:uid="{00000000-0001-0000-0000-000000000000}">
    <filterColumn colId="0">
      <filters>
        <filter val="B02.00"/>
      </filters>
    </filterColumn>
    <filterColumn colId="1">
      <filters>
        <filter val="Loan Tape"/>
      </filters>
    </filterColumn>
  </autoFilter>
  <conditionalFormatting sqref="G8:J158">
    <cfRule type="cellIs" dxfId="3" priority="1" operator="equal">
      <formula>"Não Concluído"</formula>
    </cfRule>
    <cfRule type="cellIs" dxfId="2" priority="2" operator="equal">
      <formula>"Por iniciar"</formula>
    </cfRule>
    <cfRule type="cellIs" dxfId="1" priority="3" operator="equal">
      <formula>"Em curso"</formula>
    </cfRule>
    <cfRule type="cellIs" dxfId="0" priority="4" operator="equal">
      <formula>"Concluído"</formula>
    </cfRule>
  </conditionalFormatting>
  <dataValidations count="1">
    <dataValidation type="list" allowBlank="1" showInputMessage="1" showErrorMessage="1" sqref="I8:J159 F8:H1048576" xr:uid="{E1177E11-089B-4540-AEE4-04ECB504E887}">
      <formula1>#REF!</formula1>
    </dataValidation>
  </dataValidation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FF3D6-7CFF-4352-A73A-E1CB1E93E2A2}">
  <sheetPr>
    <tabColor rgb="FFFF0000"/>
  </sheetPr>
  <dimension ref="A1"/>
  <sheetViews>
    <sheetView showGridLines="0" showRowColHeaders="0" workbookViewId="0"/>
  </sheetViews>
  <sheetFormatPr defaultRowHeight="1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306EA-6B29-4104-A9D2-E19B991BA4CC}">
  <dimension ref="A1:U101"/>
  <sheetViews>
    <sheetView zoomScale="70" zoomScaleNormal="70" workbookViewId="0">
      <pane xSplit="5" ySplit="4" topLeftCell="H5" activePane="bottomRight" state="frozen"/>
      <selection pane="topRight"/>
      <selection pane="bottomLeft"/>
      <selection pane="bottomRight" sqref="A1:S1"/>
    </sheetView>
  </sheetViews>
  <sheetFormatPr defaultColWidth="9.140625" defaultRowHeight="12.75" customHeight="1"/>
  <cols>
    <col min="1" max="1" width="12.7109375" style="7" customWidth="1"/>
    <col min="2" max="2" width="4.85546875" style="7" bestFit="1" customWidth="1"/>
    <col min="3" max="3" width="7.5703125" style="7" customWidth="1"/>
    <col min="4" max="4" width="8.5703125" style="7" customWidth="1"/>
    <col min="5" max="5" width="76.85546875" style="7" customWidth="1"/>
    <col min="6" max="6" width="10.42578125" style="10" customWidth="1"/>
    <col min="7" max="7" width="10" style="10" customWidth="1"/>
    <col min="8" max="8" width="2.28515625" style="7" customWidth="1"/>
    <col min="9" max="9" width="6.140625" style="9" customWidth="1"/>
    <col min="10" max="10" width="15.5703125" style="9" customWidth="1"/>
    <col min="11" max="12" width="16.7109375" style="9" customWidth="1"/>
    <col min="13" max="13" width="52" style="103" customWidth="1"/>
    <col min="14" max="14" width="23.85546875" style="103" customWidth="1"/>
    <col min="15" max="15" width="45.28515625" style="103" customWidth="1"/>
    <col min="16" max="16" width="27.28515625" style="103" customWidth="1"/>
    <col min="17" max="18" width="14.7109375" style="107" customWidth="1"/>
    <col min="19" max="19" width="13.28515625" style="103" customWidth="1"/>
    <col min="20" max="20" width="0" style="7" hidden="1" customWidth="1"/>
    <col min="21" max="16384" width="9.140625" style="7"/>
  </cols>
  <sheetData>
    <row r="1" spans="1:21" ht="20.25" customHeight="1" thickBot="1">
      <c r="A1" s="391" t="s">
        <v>117</v>
      </c>
      <c r="B1" s="392"/>
      <c r="C1" s="392"/>
      <c r="D1" s="392"/>
      <c r="E1" s="392"/>
      <c r="F1" s="393"/>
      <c r="G1" s="393"/>
      <c r="H1" s="392"/>
      <c r="I1" s="392"/>
      <c r="J1" s="392"/>
      <c r="K1" s="392"/>
      <c r="L1" s="392"/>
      <c r="M1" s="392"/>
      <c r="N1" s="392"/>
      <c r="O1" s="392"/>
      <c r="P1" s="392"/>
      <c r="Q1" s="392"/>
      <c r="R1" s="392"/>
      <c r="S1" s="392"/>
    </row>
    <row r="2" spans="1:21" ht="21" customHeight="1" thickBot="1">
      <c r="A2" s="394" t="s">
        <v>118</v>
      </c>
      <c r="B2" s="395"/>
      <c r="C2" s="395"/>
      <c r="D2" s="395"/>
      <c r="E2" s="395"/>
      <c r="F2" s="396"/>
      <c r="G2" s="397"/>
      <c r="H2" s="8"/>
      <c r="I2" s="398" t="s">
        <v>119</v>
      </c>
      <c r="J2" s="399"/>
      <c r="K2" s="399"/>
      <c r="L2" s="399"/>
      <c r="M2" s="399"/>
      <c r="N2" s="399"/>
      <c r="O2" s="399"/>
      <c r="P2" s="400"/>
      <c r="Q2" s="9"/>
      <c r="R2" s="9"/>
      <c r="S2" s="10"/>
    </row>
    <row r="3" spans="1:21" ht="20.25" customHeight="1" thickBot="1">
      <c r="A3" s="11"/>
      <c r="B3" s="12"/>
      <c r="C3" s="12"/>
      <c r="D3" s="12"/>
      <c r="E3" s="12"/>
      <c r="F3" s="13"/>
      <c r="G3" s="14"/>
      <c r="H3" s="8"/>
      <c r="I3" s="401" t="s">
        <v>120</v>
      </c>
      <c r="J3" s="402"/>
      <c r="K3" s="402"/>
      <c r="L3" s="402"/>
      <c r="M3" s="403"/>
      <c r="N3" s="404" t="s">
        <v>121</v>
      </c>
      <c r="O3" s="405"/>
      <c r="P3" s="406" t="s">
        <v>122</v>
      </c>
      <c r="Q3" s="15"/>
      <c r="R3" s="15"/>
      <c r="S3" s="16"/>
    </row>
    <row r="4" spans="1:21" ht="62.25" customHeight="1" thickBot="1">
      <c r="A4" s="17" t="s">
        <v>123</v>
      </c>
      <c r="B4" s="18" t="s">
        <v>124</v>
      </c>
      <c r="C4" s="18" t="s">
        <v>125</v>
      </c>
      <c r="D4" s="18" t="s">
        <v>126</v>
      </c>
      <c r="E4" s="18" t="s">
        <v>127</v>
      </c>
      <c r="F4" s="19" t="s">
        <v>128</v>
      </c>
      <c r="G4" s="20" t="s">
        <v>129</v>
      </c>
      <c r="H4" s="8"/>
      <c r="I4" s="21" t="s">
        <v>130</v>
      </c>
      <c r="J4" s="22" t="s">
        <v>131</v>
      </c>
      <c r="K4" s="112" t="s">
        <v>132</v>
      </c>
      <c r="L4" s="112" t="s">
        <v>133</v>
      </c>
      <c r="M4" s="113" t="s">
        <v>134</v>
      </c>
      <c r="N4" s="23" t="s">
        <v>131</v>
      </c>
      <c r="O4" s="24" t="s">
        <v>134</v>
      </c>
      <c r="P4" s="407"/>
      <c r="Q4" s="25" t="s">
        <v>135</v>
      </c>
      <c r="R4" s="26" t="s">
        <v>136</v>
      </c>
      <c r="S4" s="27"/>
    </row>
    <row r="5" spans="1:21" ht="99">
      <c r="A5" s="28" t="s">
        <v>137</v>
      </c>
      <c r="B5" s="29" t="s">
        <v>138</v>
      </c>
      <c r="C5" s="30" t="s">
        <v>139</v>
      </c>
      <c r="D5" s="30" t="s">
        <v>140</v>
      </c>
      <c r="E5" s="31" t="s">
        <v>141</v>
      </c>
      <c r="F5" s="32"/>
      <c r="G5" s="33"/>
      <c r="H5" s="10"/>
      <c r="I5" s="34" t="s">
        <v>142</v>
      </c>
      <c r="J5" s="35"/>
      <c r="K5" s="35"/>
      <c r="L5" s="35"/>
      <c r="M5" s="114"/>
      <c r="N5" s="115" t="s">
        <v>143</v>
      </c>
      <c r="O5" s="116" t="s">
        <v>144</v>
      </c>
      <c r="P5" s="117" t="s">
        <v>145</v>
      </c>
      <c r="Q5" s="37" t="s">
        <v>146</v>
      </c>
      <c r="R5" s="38" t="s">
        <v>147</v>
      </c>
      <c r="S5" s="39" t="s">
        <v>147</v>
      </c>
      <c r="T5" s="7" t="str">
        <f t="shared" ref="T5:T26" si="0">IF(SEARCH(B5,N5,4),"ok","nok")</f>
        <v>ok</v>
      </c>
    </row>
    <row r="6" spans="1:21" ht="70.5" customHeight="1">
      <c r="A6" s="40" t="s">
        <v>148</v>
      </c>
      <c r="B6" s="41" t="s">
        <v>149</v>
      </c>
      <c r="C6" s="42" t="s">
        <v>150</v>
      </c>
      <c r="D6" s="42" t="s">
        <v>151</v>
      </c>
      <c r="E6" s="43" t="s">
        <v>152</v>
      </c>
      <c r="F6" s="44"/>
      <c r="G6" s="45"/>
      <c r="H6" s="10"/>
      <c r="I6" s="46" t="s">
        <v>142</v>
      </c>
      <c r="J6" s="47" t="s">
        <v>153</v>
      </c>
      <c r="K6" s="47"/>
      <c r="L6" s="47" t="str" cm="1">
        <f t="array" ref="L6">_xlfn.SWITCH(C6,"Numeric","999999999999999","String","Not applicable","Date","0001-01-01")</f>
        <v>Not applicable</v>
      </c>
      <c r="M6" s="118"/>
      <c r="N6" s="119" t="s">
        <v>154</v>
      </c>
      <c r="O6" s="118" t="s">
        <v>155</v>
      </c>
      <c r="P6" s="120" t="s">
        <v>156</v>
      </c>
      <c r="Q6" s="37" t="s">
        <v>157</v>
      </c>
      <c r="R6" s="38" t="s">
        <v>147</v>
      </c>
      <c r="S6" s="39" t="s">
        <v>147</v>
      </c>
      <c r="T6" s="7" t="str">
        <f t="shared" si="0"/>
        <v>ok</v>
      </c>
    </row>
    <row r="7" spans="1:21" ht="162.75" customHeight="1">
      <c r="A7" s="40" t="s">
        <v>158</v>
      </c>
      <c r="B7" s="41" t="s">
        <v>159</v>
      </c>
      <c r="C7" s="42" t="s">
        <v>150</v>
      </c>
      <c r="D7" s="42" t="s">
        <v>151</v>
      </c>
      <c r="E7" s="43" t="s">
        <v>160</v>
      </c>
      <c r="F7" s="44"/>
      <c r="G7" s="45"/>
      <c r="H7" s="10"/>
      <c r="I7" s="46" t="s">
        <v>142</v>
      </c>
      <c r="J7" s="47" t="s">
        <v>161</v>
      </c>
      <c r="K7" s="47"/>
      <c r="L7" s="47" t="str" cm="1">
        <f t="array" ref="L7">_xlfn.SWITCH(C7,"Numeric","999999999999999","String","Not applicable","Date","0001-01-01")</f>
        <v>Not applicable</v>
      </c>
      <c r="M7" s="51"/>
      <c r="N7" s="46" t="s">
        <v>162</v>
      </c>
      <c r="O7" s="118" t="s">
        <v>161</v>
      </c>
      <c r="P7" s="120" t="s">
        <v>156</v>
      </c>
      <c r="Q7" s="37" t="s">
        <v>157</v>
      </c>
      <c r="R7" s="38" t="s">
        <v>147</v>
      </c>
      <c r="S7" s="39" t="s">
        <v>147</v>
      </c>
      <c r="T7" s="7" t="str">
        <f t="shared" si="0"/>
        <v>ok</v>
      </c>
    </row>
    <row r="8" spans="1:21" ht="168" customHeight="1">
      <c r="A8" s="40" t="s">
        <v>163</v>
      </c>
      <c r="B8" s="52" t="s">
        <v>164</v>
      </c>
      <c r="C8" s="42" t="s">
        <v>150</v>
      </c>
      <c r="D8" s="42" t="s">
        <v>165</v>
      </c>
      <c r="E8" s="43" t="s">
        <v>166</v>
      </c>
      <c r="F8" s="44"/>
      <c r="G8" s="45"/>
      <c r="H8" s="10"/>
      <c r="I8" s="46" t="s">
        <v>142</v>
      </c>
      <c r="J8" s="47"/>
      <c r="K8" s="47"/>
      <c r="L8" s="47"/>
      <c r="M8" s="53"/>
      <c r="N8" s="46" t="s">
        <v>167</v>
      </c>
      <c r="O8" s="121" t="s">
        <v>168</v>
      </c>
      <c r="P8" s="54" t="s">
        <v>169</v>
      </c>
      <c r="Q8" s="37" t="s">
        <v>146</v>
      </c>
      <c r="R8" s="38" t="s">
        <v>147</v>
      </c>
      <c r="S8" s="39" t="s">
        <v>147</v>
      </c>
      <c r="T8" s="7" t="str">
        <f t="shared" si="0"/>
        <v>ok</v>
      </c>
    </row>
    <row r="9" spans="1:21" ht="190.5" customHeight="1">
      <c r="A9" s="40" t="s">
        <v>170</v>
      </c>
      <c r="B9" s="41">
        <v>50</v>
      </c>
      <c r="C9" s="55" t="s">
        <v>139</v>
      </c>
      <c r="D9" s="55" t="s">
        <v>171</v>
      </c>
      <c r="E9" s="43" t="s">
        <v>172</v>
      </c>
      <c r="F9" s="56" t="s">
        <v>173</v>
      </c>
      <c r="G9" s="45"/>
      <c r="H9" s="10"/>
      <c r="I9" s="46" t="s">
        <v>174</v>
      </c>
      <c r="J9" s="47" t="s">
        <v>175</v>
      </c>
      <c r="K9" s="47"/>
      <c r="L9" s="47" t="str" cm="1">
        <f t="array" ref="L9">_xlfn.SWITCH(C9,"Numeric","999999999999999","String","Not applicable","Date","0001-01-01")</f>
        <v>999999999999999</v>
      </c>
      <c r="M9" s="51" t="s">
        <v>176</v>
      </c>
      <c r="N9" s="46" t="s">
        <v>177</v>
      </c>
      <c r="O9" s="51" t="s">
        <v>175</v>
      </c>
      <c r="P9" s="54" t="s">
        <v>178</v>
      </c>
      <c r="Q9" s="37" t="s">
        <v>179</v>
      </c>
      <c r="R9" s="38" t="s">
        <v>147</v>
      </c>
      <c r="S9" s="39" t="s">
        <v>180</v>
      </c>
      <c r="T9" s="7" t="str">
        <f t="shared" si="0"/>
        <v>ok</v>
      </c>
      <c r="U9" s="10"/>
    </row>
    <row r="10" spans="1:21" ht="96.75" customHeight="1">
      <c r="A10" s="40" t="s">
        <v>181</v>
      </c>
      <c r="B10" s="41" t="s">
        <v>182</v>
      </c>
      <c r="C10" s="55" t="s">
        <v>139</v>
      </c>
      <c r="D10" s="55" t="s">
        <v>171</v>
      </c>
      <c r="E10" s="43" t="s">
        <v>183</v>
      </c>
      <c r="F10" s="56" t="s">
        <v>173</v>
      </c>
      <c r="G10" s="45"/>
      <c r="H10" s="10"/>
      <c r="I10" s="46" t="s">
        <v>174</v>
      </c>
      <c r="J10" s="47" t="s">
        <v>184</v>
      </c>
      <c r="K10" s="47"/>
      <c r="L10" s="47" t="str" cm="1">
        <f t="array" ref="L10">_xlfn.SWITCH(C10,"Numeric","999999999999999","String","Not applicable","Date","0001-01-01")</f>
        <v>999999999999999</v>
      </c>
      <c r="M10" s="121" t="s">
        <v>185</v>
      </c>
      <c r="N10" s="46" t="s">
        <v>186</v>
      </c>
      <c r="O10" s="51" t="s">
        <v>184</v>
      </c>
      <c r="P10" s="54" t="s">
        <v>178</v>
      </c>
      <c r="Q10" s="37" t="s">
        <v>179</v>
      </c>
      <c r="R10" s="38" t="s">
        <v>147</v>
      </c>
      <c r="S10" s="39" t="s">
        <v>180</v>
      </c>
      <c r="T10" s="7" t="str">
        <f t="shared" si="0"/>
        <v>ok</v>
      </c>
      <c r="U10" s="10"/>
    </row>
    <row r="11" spans="1:21" ht="94.5" customHeight="1">
      <c r="A11" s="40" t="s">
        <v>187</v>
      </c>
      <c r="B11" s="57" t="s">
        <v>188</v>
      </c>
      <c r="C11" s="42" t="s">
        <v>150</v>
      </c>
      <c r="D11" s="42" t="s">
        <v>189</v>
      </c>
      <c r="E11" s="43" t="s">
        <v>190</v>
      </c>
      <c r="F11" s="56" t="s">
        <v>191</v>
      </c>
      <c r="G11" s="45"/>
      <c r="H11" s="10"/>
      <c r="I11" s="46" t="s">
        <v>142</v>
      </c>
      <c r="J11" s="47" t="s">
        <v>192</v>
      </c>
      <c r="K11" s="47"/>
      <c r="L11" s="47" t="s">
        <v>193</v>
      </c>
      <c r="M11" s="121"/>
      <c r="N11" s="46" t="s">
        <v>194</v>
      </c>
      <c r="O11" s="118" t="s">
        <v>192</v>
      </c>
      <c r="P11" s="120" t="s">
        <v>156</v>
      </c>
      <c r="Q11" s="37" t="s">
        <v>157</v>
      </c>
      <c r="R11" s="38" t="s">
        <v>147</v>
      </c>
      <c r="S11" s="39" t="s">
        <v>147</v>
      </c>
      <c r="T11" s="7" t="str">
        <f t="shared" si="0"/>
        <v>ok</v>
      </c>
    </row>
    <row r="12" spans="1:21" ht="155.25" customHeight="1">
      <c r="A12" s="40" t="s">
        <v>195</v>
      </c>
      <c r="B12" s="41">
        <v>80</v>
      </c>
      <c r="C12" s="55" t="s">
        <v>139</v>
      </c>
      <c r="D12" s="55" t="s">
        <v>171</v>
      </c>
      <c r="E12" s="43" t="s">
        <v>196</v>
      </c>
      <c r="F12" s="56"/>
      <c r="G12" s="45"/>
      <c r="H12" s="10"/>
      <c r="I12" s="46" t="s">
        <v>174</v>
      </c>
      <c r="J12" s="47" t="s">
        <v>197</v>
      </c>
      <c r="K12" s="47"/>
      <c r="L12" s="47" t="str" cm="1">
        <f t="array" ref="L12">_xlfn.SWITCH(C12,"Numeric","999999999999999","String","Not applicable","Date","0001-01-01")</f>
        <v>999999999999999</v>
      </c>
      <c r="M12" s="122" t="s">
        <v>198</v>
      </c>
      <c r="N12" s="46" t="s">
        <v>199</v>
      </c>
      <c r="O12" s="121" t="s">
        <v>200</v>
      </c>
      <c r="P12" s="54" t="s">
        <v>201</v>
      </c>
      <c r="Q12" s="37" t="s">
        <v>179</v>
      </c>
      <c r="R12" s="38" t="s">
        <v>202</v>
      </c>
      <c r="S12" s="39" t="s">
        <v>180</v>
      </c>
      <c r="T12" s="40" t="str">
        <f t="shared" si="0"/>
        <v>ok</v>
      </c>
    </row>
    <row r="13" spans="1:21" ht="83.25" customHeight="1">
      <c r="A13" s="40" t="s">
        <v>203</v>
      </c>
      <c r="B13" s="41" t="s">
        <v>204</v>
      </c>
      <c r="C13" s="55" t="s">
        <v>139</v>
      </c>
      <c r="D13" s="55" t="s">
        <v>171</v>
      </c>
      <c r="E13" s="43" t="s">
        <v>205</v>
      </c>
      <c r="F13" s="56" t="s">
        <v>173</v>
      </c>
      <c r="G13" s="45"/>
      <c r="H13" s="10"/>
      <c r="I13" s="46" t="s">
        <v>174</v>
      </c>
      <c r="J13" s="47" t="s">
        <v>206</v>
      </c>
      <c r="K13" s="47"/>
      <c r="L13" s="47" t="str" cm="1">
        <f t="array" ref="L13">_xlfn.SWITCH(C13,"Numeric","999999999999999","String","Not applicable","Date","0001-01-01")</f>
        <v>999999999999999</v>
      </c>
      <c r="M13" s="58" t="s">
        <v>207</v>
      </c>
      <c r="N13" s="59" t="s">
        <v>208</v>
      </c>
      <c r="O13" s="58" t="s">
        <v>209</v>
      </c>
      <c r="P13" s="60" t="s">
        <v>210</v>
      </c>
      <c r="Q13" s="37" t="s">
        <v>179</v>
      </c>
      <c r="R13" s="38" t="s">
        <v>202</v>
      </c>
      <c r="S13" s="39" t="s">
        <v>180</v>
      </c>
      <c r="T13" s="7" t="str">
        <f t="shared" si="0"/>
        <v>ok</v>
      </c>
    </row>
    <row r="14" spans="1:21" ht="135.75" customHeight="1">
      <c r="A14" s="40" t="s">
        <v>211</v>
      </c>
      <c r="B14" s="41">
        <v>100</v>
      </c>
      <c r="C14" s="55" t="s">
        <v>139</v>
      </c>
      <c r="D14" s="55" t="s">
        <v>171</v>
      </c>
      <c r="E14" s="43" t="s">
        <v>212</v>
      </c>
      <c r="F14" s="56" t="s">
        <v>173</v>
      </c>
      <c r="G14" s="45" t="s">
        <v>213</v>
      </c>
      <c r="H14" s="10"/>
      <c r="I14" s="46" t="s">
        <v>174</v>
      </c>
      <c r="J14" s="61" t="s">
        <v>214</v>
      </c>
      <c r="K14" s="61"/>
      <c r="L14" s="47" t="str" cm="1">
        <f t="array" ref="L14">_xlfn.SWITCH(C14,"Numeric","999999999999999","String","Not applicable","Date","0001-01-01")</f>
        <v>999999999999999</v>
      </c>
      <c r="M14" s="58" t="s">
        <v>215</v>
      </c>
      <c r="N14" s="59" t="s">
        <v>216</v>
      </c>
      <c r="O14" s="58" t="s">
        <v>217</v>
      </c>
      <c r="P14" s="60" t="s">
        <v>218</v>
      </c>
      <c r="Q14" s="37" t="s">
        <v>219</v>
      </c>
      <c r="R14" s="38" t="s">
        <v>202</v>
      </c>
      <c r="S14" s="39" t="s">
        <v>180</v>
      </c>
      <c r="T14" s="40" t="str">
        <f t="shared" si="0"/>
        <v>ok</v>
      </c>
      <c r="U14" s="39"/>
    </row>
    <row r="15" spans="1:21" ht="141" customHeight="1">
      <c r="A15" s="40" t="s">
        <v>220</v>
      </c>
      <c r="B15" s="41">
        <v>110</v>
      </c>
      <c r="C15" s="55" t="s">
        <v>139</v>
      </c>
      <c r="D15" s="55" t="s">
        <v>171</v>
      </c>
      <c r="E15" s="43" t="s">
        <v>221</v>
      </c>
      <c r="F15" s="56" t="s">
        <v>173</v>
      </c>
      <c r="G15" s="45" t="s">
        <v>213</v>
      </c>
      <c r="H15" s="10"/>
      <c r="I15" s="46" t="s">
        <v>142</v>
      </c>
      <c r="J15" s="47"/>
      <c r="K15" s="47"/>
      <c r="L15" s="47"/>
      <c r="M15" s="58"/>
      <c r="N15" s="59" t="s">
        <v>222</v>
      </c>
      <c r="O15" s="58" t="s">
        <v>223</v>
      </c>
      <c r="P15" s="60" t="s">
        <v>224</v>
      </c>
      <c r="Q15" s="37" t="s">
        <v>146</v>
      </c>
      <c r="R15" s="38" t="s">
        <v>147</v>
      </c>
      <c r="S15" s="39" t="s">
        <v>180</v>
      </c>
      <c r="T15" s="40" t="str">
        <f t="shared" si="0"/>
        <v>ok</v>
      </c>
    </row>
    <row r="16" spans="1:21" s="63" customFormat="1" ht="165" customHeight="1">
      <c r="A16" s="40" t="s">
        <v>225</v>
      </c>
      <c r="B16" s="41" t="s">
        <v>226</v>
      </c>
      <c r="C16" s="55" t="s">
        <v>139</v>
      </c>
      <c r="D16" s="55" t="s">
        <v>171</v>
      </c>
      <c r="E16" s="43" t="s">
        <v>227</v>
      </c>
      <c r="F16" s="44" t="s">
        <v>173</v>
      </c>
      <c r="G16" s="45"/>
      <c r="H16" s="10"/>
      <c r="I16" s="46" t="s">
        <v>142</v>
      </c>
      <c r="J16" s="47"/>
      <c r="K16" s="47"/>
      <c r="L16" s="47"/>
      <c r="M16" s="51"/>
      <c r="N16" s="59" t="s">
        <v>228</v>
      </c>
      <c r="O16" s="51" t="s">
        <v>229</v>
      </c>
      <c r="P16" s="54" t="s">
        <v>230</v>
      </c>
      <c r="Q16" s="37" t="s">
        <v>146</v>
      </c>
      <c r="R16" s="38" t="s">
        <v>202</v>
      </c>
      <c r="S16" s="62" t="s">
        <v>180</v>
      </c>
      <c r="T16" s="7" t="str">
        <f t="shared" si="0"/>
        <v>ok</v>
      </c>
    </row>
    <row r="17" spans="1:21" ht="127.5" customHeight="1">
      <c r="A17" s="123" t="s">
        <v>617</v>
      </c>
      <c r="B17" s="41" t="s">
        <v>231</v>
      </c>
      <c r="C17" s="55" t="s">
        <v>139</v>
      </c>
      <c r="D17" s="55" t="s">
        <v>171</v>
      </c>
      <c r="E17" s="43" t="s">
        <v>232</v>
      </c>
      <c r="F17" s="44"/>
      <c r="G17" s="45"/>
      <c r="H17" s="10"/>
      <c r="I17" s="46" t="s">
        <v>142</v>
      </c>
      <c r="J17" s="47"/>
      <c r="K17" s="47"/>
      <c r="L17" s="47"/>
      <c r="M17" s="51"/>
      <c r="N17" s="59" t="s">
        <v>233</v>
      </c>
      <c r="O17" s="51" t="s">
        <v>234</v>
      </c>
      <c r="P17" s="54" t="s">
        <v>235</v>
      </c>
      <c r="Q17" s="37" t="s">
        <v>236</v>
      </c>
      <c r="R17" s="38" t="s">
        <v>202</v>
      </c>
      <c r="S17" s="39" t="s">
        <v>180</v>
      </c>
      <c r="T17" s="7" t="str">
        <f t="shared" si="0"/>
        <v>ok</v>
      </c>
      <c r="U17" s="10"/>
    </row>
    <row r="18" spans="1:21" ht="192" customHeight="1">
      <c r="A18" s="40" t="s">
        <v>237</v>
      </c>
      <c r="B18" s="41" t="s">
        <v>238</v>
      </c>
      <c r="C18" s="42" t="s">
        <v>150</v>
      </c>
      <c r="D18" s="42" t="s">
        <v>239</v>
      </c>
      <c r="E18" s="43" t="s">
        <v>240</v>
      </c>
      <c r="F18" s="44"/>
      <c r="G18" s="45"/>
      <c r="H18" s="10"/>
      <c r="I18" s="46" t="s">
        <v>142</v>
      </c>
      <c r="J18" s="47" t="s">
        <v>241</v>
      </c>
      <c r="K18" s="47"/>
      <c r="L18" s="47" t="str" cm="1">
        <f t="array" ref="L18">_xlfn.SWITCH(C18,"Numeric","999999999999999","String","Not applicable","Date","0001-01-01")</f>
        <v>Not applicable</v>
      </c>
      <c r="M18" s="51" t="s">
        <v>242</v>
      </c>
      <c r="N18" s="59" t="s">
        <v>243</v>
      </c>
      <c r="O18" s="51" t="s">
        <v>241</v>
      </c>
      <c r="P18" s="124" t="s">
        <v>244</v>
      </c>
      <c r="Q18" s="37" t="s">
        <v>157</v>
      </c>
      <c r="R18" s="38" t="s">
        <v>147</v>
      </c>
      <c r="S18" s="39" t="s">
        <v>147</v>
      </c>
      <c r="T18" s="7" t="str">
        <f t="shared" si="0"/>
        <v>ok</v>
      </c>
    </row>
    <row r="19" spans="1:21" ht="69" customHeight="1">
      <c r="A19" s="40" t="s">
        <v>245</v>
      </c>
      <c r="B19" s="41" t="s">
        <v>246</v>
      </c>
      <c r="C19" s="42" t="s">
        <v>150</v>
      </c>
      <c r="D19" s="42" t="s">
        <v>151</v>
      </c>
      <c r="E19" s="43" t="s">
        <v>247</v>
      </c>
      <c r="F19" s="44"/>
      <c r="G19" s="45"/>
      <c r="H19" s="10"/>
      <c r="I19" s="46" t="s">
        <v>142</v>
      </c>
      <c r="J19" s="47"/>
      <c r="K19" s="47"/>
      <c r="L19" s="47"/>
      <c r="M19" s="51"/>
      <c r="N19" s="59" t="s">
        <v>248</v>
      </c>
      <c r="O19" s="121" t="s">
        <v>249</v>
      </c>
      <c r="P19" s="124" t="s">
        <v>250</v>
      </c>
      <c r="Q19" s="37" t="s">
        <v>146</v>
      </c>
      <c r="R19" s="38" t="s">
        <v>147</v>
      </c>
      <c r="S19" s="39" t="s">
        <v>147</v>
      </c>
      <c r="T19" s="7" t="str">
        <f t="shared" si="0"/>
        <v>ok</v>
      </c>
    </row>
    <row r="20" spans="1:21" ht="66.75" customHeight="1">
      <c r="A20" s="40" t="s">
        <v>251</v>
      </c>
      <c r="B20" s="41" t="s">
        <v>252</v>
      </c>
      <c r="C20" s="42" t="s">
        <v>150</v>
      </c>
      <c r="D20" s="42" t="s">
        <v>253</v>
      </c>
      <c r="E20" s="43" t="s">
        <v>254</v>
      </c>
      <c r="F20" s="44"/>
      <c r="G20" s="45"/>
      <c r="H20" s="10"/>
      <c r="I20" s="46" t="s">
        <v>142</v>
      </c>
      <c r="J20" s="47"/>
      <c r="K20" s="47"/>
      <c r="L20" s="47"/>
      <c r="M20" s="51"/>
      <c r="N20" s="46" t="s">
        <v>255</v>
      </c>
      <c r="O20" s="121" t="s">
        <v>249</v>
      </c>
      <c r="P20" s="124" t="s">
        <v>618</v>
      </c>
      <c r="Q20" s="37" t="s">
        <v>146</v>
      </c>
      <c r="R20" s="38" t="s">
        <v>147</v>
      </c>
      <c r="S20" s="39" t="s">
        <v>147</v>
      </c>
      <c r="T20" s="7" t="str">
        <f t="shared" si="0"/>
        <v>ok</v>
      </c>
    </row>
    <row r="21" spans="1:21" ht="115.5" customHeight="1">
      <c r="A21" s="40" t="s">
        <v>256</v>
      </c>
      <c r="B21" s="41" t="s">
        <v>257</v>
      </c>
      <c r="C21" s="55" t="s">
        <v>139</v>
      </c>
      <c r="D21" s="42" t="s">
        <v>140</v>
      </c>
      <c r="E21" s="43" t="s">
        <v>258</v>
      </c>
      <c r="F21" s="44"/>
      <c r="G21" s="45"/>
      <c r="H21" s="10"/>
      <c r="I21" s="46" t="s">
        <v>174</v>
      </c>
      <c r="J21" s="47" t="s">
        <v>259</v>
      </c>
      <c r="K21" s="47"/>
      <c r="L21" s="47" t="str" cm="1">
        <f t="array" ref="L21">_xlfn.SWITCH(C21,"Numeric","999999999999999","String","Not applicable","Date","0001-01-01")</f>
        <v>999999999999999</v>
      </c>
      <c r="M21" s="51" t="s">
        <v>260</v>
      </c>
      <c r="N21" s="46" t="s">
        <v>261</v>
      </c>
      <c r="O21" s="51" t="s">
        <v>259</v>
      </c>
      <c r="P21" s="54" t="s">
        <v>262</v>
      </c>
      <c r="Q21" s="37" t="s">
        <v>179</v>
      </c>
      <c r="R21" s="38" t="s">
        <v>147</v>
      </c>
      <c r="S21" s="39" t="s">
        <v>147</v>
      </c>
      <c r="T21" s="7" t="str">
        <f t="shared" si="0"/>
        <v>ok</v>
      </c>
    </row>
    <row r="22" spans="1:21" ht="162" customHeight="1">
      <c r="A22" s="40" t="s">
        <v>263</v>
      </c>
      <c r="B22" s="41" t="s">
        <v>264</v>
      </c>
      <c r="C22" s="55" t="s">
        <v>139</v>
      </c>
      <c r="D22" s="55" t="s">
        <v>171</v>
      </c>
      <c r="E22" s="43" t="s">
        <v>265</v>
      </c>
      <c r="F22" s="56" t="s">
        <v>173</v>
      </c>
      <c r="G22" s="45"/>
      <c r="H22" s="10"/>
      <c r="I22" s="46" t="s">
        <v>142</v>
      </c>
      <c r="J22" s="47"/>
      <c r="K22" s="47"/>
      <c r="L22" s="47"/>
      <c r="M22" s="51"/>
      <c r="N22" s="46" t="s">
        <v>266</v>
      </c>
      <c r="O22" s="51" t="s">
        <v>267</v>
      </c>
      <c r="P22" s="54" t="s">
        <v>268</v>
      </c>
      <c r="Q22" s="37" t="s">
        <v>146</v>
      </c>
      <c r="R22" s="38" t="s">
        <v>147</v>
      </c>
      <c r="S22" s="39" t="s">
        <v>147</v>
      </c>
      <c r="T22" s="7" t="str">
        <f t="shared" si="0"/>
        <v>ok</v>
      </c>
    </row>
    <row r="23" spans="1:21" ht="163.5" customHeight="1">
      <c r="A23" s="40" t="s">
        <v>269</v>
      </c>
      <c r="B23" s="41">
        <v>162</v>
      </c>
      <c r="C23" s="42" t="s">
        <v>150</v>
      </c>
      <c r="D23" s="42" t="s">
        <v>270</v>
      </c>
      <c r="E23" s="43" t="s">
        <v>271</v>
      </c>
      <c r="F23" s="44"/>
      <c r="G23" s="45"/>
      <c r="H23" s="10"/>
      <c r="I23" s="46" t="s">
        <v>142</v>
      </c>
      <c r="J23" s="47" t="s">
        <v>259</v>
      </c>
      <c r="K23" s="47"/>
      <c r="L23" s="47" t="str" cm="1">
        <f t="array" ref="L23">_xlfn.SWITCH(C23,"Numeric","999999999999999","String","Not applicable","Date","0001-01-01")</f>
        <v>Not applicable</v>
      </c>
      <c r="M23" s="51"/>
      <c r="N23" s="46" t="s">
        <v>272</v>
      </c>
      <c r="O23" s="51" t="s">
        <v>259</v>
      </c>
      <c r="P23" s="54" t="s">
        <v>273</v>
      </c>
      <c r="Q23" s="37" t="s">
        <v>146</v>
      </c>
      <c r="R23" s="38" t="s">
        <v>147</v>
      </c>
      <c r="S23" s="39" t="s">
        <v>147</v>
      </c>
      <c r="T23" s="7" t="str">
        <f t="shared" si="0"/>
        <v>ok</v>
      </c>
    </row>
    <row r="24" spans="1:21" ht="99.75" customHeight="1">
      <c r="A24" s="40" t="s">
        <v>274</v>
      </c>
      <c r="B24" s="41" t="s">
        <v>275</v>
      </c>
      <c r="C24" s="55" t="s">
        <v>276</v>
      </c>
      <c r="D24" s="55" t="s">
        <v>277</v>
      </c>
      <c r="E24" s="43" t="s">
        <v>278</v>
      </c>
      <c r="F24" s="44"/>
      <c r="G24" s="45"/>
      <c r="H24" s="10"/>
      <c r="I24" s="46" t="s">
        <v>142</v>
      </c>
      <c r="J24" s="47" t="s">
        <v>279</v>
      </c>
      <c r="K24" s="47"/>
      <c r="L24" s="47" t="str" cm="1">
        <f t="array" ref="L24">_xlfn.SWITCH(C24,"Numeric","999999999999999","String","Not applicable","Date","0001-01-01")</f>
        <v>0001-01-01</v>
      </c>
      <c r="M24" s="51" t="s">
        <v>280</v>
      </c>
      <c r="N24" s="46" t="s">
        <v>281</v>
      </c>
      <c r="O24" s="51" t="s">
        <v>279</v>
      </c>
      <c r="P24" s="54" t="s">
        <v>282</v>
      </c>
      <c r="Q24" s="37" t="s">
        <v>157</v>
      </c>
      <c r="R24" s="38" t="s">
        <v>147</v>
      </c>
      <c r="S24" s="39" t="s">
        <v>147</v>
      </c>
      <c r="T24" s="7" t="str">
        <f t="shared" si="0"/>
        <v>ok</v>
      </c>
    </row>
    <row r="25" spans="1:21" ht="180" customHeight="1">
      <c r="A25" s="40" t="s">
        <v>283</v>
      </c>
      <c r="B25" s="57" t="s">
        <v>284</v>
      </c>
      <c r="C25" s="55" t="s">
        <v>276</v>
      </c>
      <c r="D25" s="55" t="s">
        <v>277</v>
      </c>
      <c r="E25" s="43" t="s">
        <v>285</v>
      </c>
      <c r="F25" s="56" t="s">
        <v>286</v>
      </c>
      <c r="G25" s="64" t="s">
        <v>213</v>
      </c>
      <c r="H25" s="10"/>
      <c r="I25" s="46" t="s">
        <v>174</v>
      </c>
      <c r="J25" s="47" t="s">
        <v>287</v>
      </c>
      <c r="K25" s="47"/>
      <c r="L25" s="47" t="str" cm="1">
        <f t="array" ref="L25">_xlfn.SWITCH(C25,"Numeric","999999999999999","String","Not applicable","Date","0001-01-01")</f>
        <v>0001-01-01</v>
      </c>
      <c r="M25" s="51" t="s">
        <v>288</v>
      </c>
      <c r="N25" s="46" t="s">
        <v>289</v>
      </c>
      <c r="O25" s="51" t="s">
        <v>287</v>
      </c>
      <c r="P25" s="54" t="s">
        <v>290</v>
      </c>
      <c r="Q25" s="37" t="s">
        <v>179</v>
      </c>
      <c r="R25" s="38" t="s">
        <v>202</v>
      </c>
      <c r="S25" s="39" t="s">
        <v>147</v>
      </c>
      <c r="T25" s="7" t="str">
        <f t="shared" si="0"/>
        <v>ok</v>
      </c>
    </row>
    <row r="26" spans="1:21" ht="121.5" customHeight="1">
      <c r="A26" s="40" t="s">
        <v>291</v>
      </c>
      <c r="B26" s="41" t="s">
        <v>292</v>
      </c>
      <c r="C26" s="55" t="s">
        <v>276</v>
      </c>
      <c r="D26" s="55" t="s">
        <v>277</v>
      </c>
      <c r="E26" s="43" t="s">
        <v>293</v>
      </c>
      <c r="F26" s="56" t="s">
        <v>294</v>
      </c>
      <c r="G26" s="45"/>
      <c r="H26" s="10"/>
      <c r="I26" s="46" t="s">
        <v>142</v>
      </c>
      <c r="J26" s="47"/>
      <c r="K26" s="47"/>
      <c r="L26" s="47"/>
      <c r="M26" s="51"/>
      <c r="N26" s="46" t="s">
        <v>295</v>
      </c>
      <c r="O26" s="51" t="s">
        <v>296</v>
      </c>
      <c r="P26" s="54" t="s">
        <v>297</v>
      </c>
      <c r="Q26" s="37" t="s">
        <v>146</v>
      </c>
      <c r="R26" s="38" t="s">
        <v>147</v>
      </c>
      <c r="S26" s="39" t="s">
        <v>147</v>
      </c>
      <c r="T26" s="7" t="str">
        <f t="shared" si="0"/>
        <v>ok</v>
      </c>
      <c r="U26" s="39"/>
    </row>
    <row r="27" spans="1:21" ht="147" customHeight="1">
      <c r="A27" s="40" t="s">
        <v>298</v>
      </c>
      <c r="B27" s="57" t="s">
        <v>299</v>
      </c>
      <c r="C27" s="55" t="s">
        <v>276</v>
      </c>
      <c r="D27" s="55" t="s">
        <v>277</v>
      </c>
      <c r="E27" s="43" t="s">
        <v>300</v>
      </c>
      <c r="F27" s="56" t="s">
        <v>286</v>
      </c>
      <c r="G27" s="45"/>
      <c r="H27" s="10"/>
      <c r="I27" s="46" t="s">
        <v>142</v>
      </c>
      <c r="J27" s="47"/>
      <c r="K27" s="47"/>
      <c r="L27" s="47"/>
      <c r="M27" s="51"/>
      <c r="N27" s="46" t="s">
        <v>301</v>
      </c>
      <c r="O27" s="51" t="s">
        <v>302</v>
      </c>
      <c r="P27" s="54" t="s">
        <v>303</v>
      </c>
      <c r="Q27" s="37" t="s">
        <v>146</v>
      </c>
      <c r="R27" s="38" t="s">
        <v>147</v>
      </c>
      <c r="S27" s="39" t="s">
        <v>147</v>
      </c>
      <c r="T27" s="39" t="s">
        <v>304</v>
      </c>
      <c r="U27" s="39"/>
    </row>
    <row r="28" spans="1:21" ht="131.25" customHeight="1">
      <c r="A28" s="40" t="s">
        <v>305</v>
      </c>
      <c r="B28" s="57" t="s">
        <v>306</v>
      </c>
      <c r="C28" s="55" t="s">
        <v>276</v>
      </c>
      <c r="D28" s="55" t="s">
        <v>277</v>
      </c>
      <c r="E28" s="43" t="s">
        <v>307</v>
      </c>
      <c r="F28" s="56" t="s">
        <v>286</v>
      </c>
      <c r="G28" s="45"/>
      <c r="H28" s="10"/>
      <c r="I28" s="46" t="s">
        <v>142</v>
      </c>
      <c r="J28" s="47" t="s">
        <v>296</v>
      </c>
      <c r="K28" s="47"/>
      <c r="L28" s="47" t="str" cm="1">
        <f t="array" ref="L28">_xlfn.SWITCH(C28,"Numeric","999999999999999","String","Not applicable","Date","0001-01-01")</f>
        <v>0001-01-01</v>
      </c>
      <c r="M28" s="121" t="s">
        <v>308</v>
      </c>
      <c r="N28" s="46" t="s">
        <v>309</v>
      </c>
      <c r="O28" s="118" t="s">
        <v>296</v>
      </c>
      <c r="P28" s="54" t="s">
        <v>310</v>
      </c>
      <c r="Q28" s="37" t="s">
        <v>157</v>
      </c>
      <c r="R28" s="38" t="s">
        <v>147</v>
      </c>
      <c r="S28" s="39" t="s">
        <v>147</v>
      </c>
      <c r="T28" s="7" t="str">
        <f t="shared" ref="T28:T85" si="1">IF(SEARCH(B28,N28,4),"ok","nok")</f>
        <v>ok</v>
      </c>
    </row>
    <row r="29" spans="1:21" ht="88.5" customHeight="1">
      <c r="A29" s="40" t="s">
        <v>311</v>
      </c>
      <c r="B29" s="41" t="s">
        <v>312</v>
      </c>
      <c r="C29" s="42" t="s">
        <v>150</v>
      </c>
      <c r="D29" s="55" t="s">
        <v>313</v>
      </c>
      <c r="E29" s="43" t="s">
        <v>314</v>
      </c>
      <c r="F29" s="56" t="s">
        <v>315</v>
      </c>
      <c r="G29" s="45"/>
      <c r="H29" s="10"/>
      <c r="I29" s="46" t="s">
        <v>142</v>
      </c>
      <c r="J29" s="47" t="s">
        <v>316</v>
      </c>
      <c r="K29" s="47"/>
      <c r="L29" s="47" t="s">
        <v>317</v>
      </c>
      <c r="M29" s="51"/>
      <c r="N29" s="46" t="s">
        <v>318</v>
      </c>
      <c r="O29" s="51" t="s">
        <v>316</v>
      </c>
      <c r="P29" s="54" t="s">
        <v>282</v>
      </c>
      <c r="Q29" s="37" t="s">
        <v>157</v>
      </c>
      <c r="R29" s="38" t="s">
        <v>147</v>
      </c>
      <c r="S29" s="39" t="s">
        <v>147</v>
      </c>
      <c r="T29" s="7" t="str">
        <f t="shared" si="1"/>
        <v>ok</v>
      </c>
    </row>
    <row r="30" spans="1:21" ht="177.75" customHeight="1">
      <c r="A30" s="40" t="s">
        <v>319</v>
      </c>
      <c r="B30" s="57" t="s">
        <v>320</v>
      </c>
      <c r="C30" s="42" t="s">
        <v>150</v>
      </c>
      <c r="D30" s="42" t="s">
        <v>239</v>
      </c>
      <c r="E30" s="43" t="s">
        <v>321</v>
      </c>
      <c r="F30" s="56" t="s">
        <v>322</v>
      </c>
      <c r="G30" s="45"/>
      <c r="H30" s="10"/>
      <c r="I30" s="46" t="s">
        <v>142</v>
      </c>
      <c r="J30" s="47"/>
      <c r="K30" s="47"/>
      <c r="L30" s="47"/>
      <c r="M30" s="51"/>
      <c r="N30" s="46" t="s">
        <v>323</v>
      </c>
      <c r="O30" s="51" t="s">
        <v>324</v>
      </c>
      <c r="P30" s="54" t="s">
        <v>325</v>
      </c>
      <c r="Q30" s="37" t="s">
        <v>146</v>
      </c>
      <c r="R30" s="38" t="s">
        <v>147</v>
      </c>
      <c r="S30" s="39" t="s">
        <v>147</v>
      </c>
      <c r="T30" s="7" t="str">
        <f t="shared" si="1"/>
        <v>ok</v>
      </c>
    </row>
    <row r="31" spans="1:21" ht="119.25" customHeight="1">
      <c r="A31" s="40" t="s">
        <v>326</v>
      </c>
      <c r="B31" s="57" t="s">
        <v>327</v>
      </c>
      <c r="C31" s="42" t="s">
        <v>150</v>
      </c>
      <c r="D31" s="42" t="s">
        <v>239</v>
      </c>
      <c r="E31" s="43" t="s">
        <v>328</v>
      </c>
      <c r="F31" s="65"/>
      <c r="G31" s="66"/>
      <c r="H31" s="10"/>
      <c r="I31" s="46" t="s">
        <v>142</v>
      </c>
      <c r="J31" s="47"/>
      <c r="K31" s="47"/>
      <c r="L31" s="47"/>
      <c r="M31" s="51"/>
      <c r="N31" s="46" t="s">
        <v>329</v>
      </c>
      <c r="O31" s="51" t="s">
        <v>330</v>
      </c>
      <c r="P31" s="54" t="s">
        <v>325</v>
      </c>
      <c r="Q31" s="37" t="s">
        <v>146</v>
      </c>
      <c r="R31" s="38" t="s">
        <v>147</v>
      </c>
      <c r="S31" s="39" t="s">
        <v>147</v>
      </c>
      <c r="T31" s="7" t="str">
        <f t="shared" si="1"/>
        <v>ok</v>
      </c>
    </row>
    <row r="32" spans="1:21" ht="276" customHeight="1">
      <c r="A32" s="40" t="s">
        <v>331</v>
      </c>
      <c r="B32" s="41" t="s">
        <v>332</v>
      </c>
      <c r="C32" s="42" t="s">
        <v>150</v>
      </c>
      <c r="D32" s="42" t="s">
        <v>239</v>
      </c>
      <c r="E32" s="67" t="s">
        <v>333</v>
      </c>
      <c r="F32" s="68" t="s">
        <v>334</v>
      </c>
      <c r="G32" s="69" t="s">
        <v>334</v>
      </c>
      <c r="H32" s="70"/>
      <c r="I32" s="46" t="s">
        <v>142</v>
      </c>
      <c r="J32" s="47"/>
      <c r="K32" s="47"/>
      <c r="L32" s="47"/>
      <c r="M32" s="51"/>
      <c r="N32" s="46" t="s">
        <v>335</v>
      </c>
      <c r="O32" s="125" t="s">
        <v>336</v>
      </c>
      <c r="P32" s="124" t="s">
        <v>619</v>
      </c>
      <c r="Q32" s="37" t="s">
        <v>146</v>
      </c>
      <c r="R32" s="38" t="s">
        <v>147</v>
      </c>
      <c r="S32" s="39" t="s">
        <v>147</v>
      </c>
      <c r="T32" s="7" t="str">
        <f t="shared" si="1"/>
        <v>ok</v>
      </c>
    </row>
    <row r="33" spans="1:21" ht="78.75" customHeight="1">
      <c r="A33" s="40" t="s">
        <v>337</v>
      </c>
      <c r="B33" s="41" t="s">
        <v>338</v>
      </c>
      <c r="C33" s="55" t="s">
        <v>139</v>
      </c>
      <c r="D33" s="55" t="s">
        <v>171</v>
      </c>
      <c r="E33" s="67" t="s">
        <v>339</v>
      </c>
      <c r="F33" s="68" t="s">
        <v>334</v>
      </c>
      <c r="G33" s="69" t="s">
        <v>334</v>
      </c>
      <c r="H33" s="70"/>
      <c r="I33" s="46" t="s">
        <v>142</v>
      </c>
      <c r="J33" s="47"/>
      <c r="K33" s="47"/>
      <c r="L33" s="47"/>
      <c r="M33" s="51"/>
      <c r="N33" s="46" t="s">
        <v>340</v>
      </c>
      <c r="O33" s="121" t="s">
        <v>341</v>
      </c>
      <c r="P33" s="124" t="s">
        <v>618</v>
      </c>
      <c r="Q33" s="37" t="s">
        <v>146</v>
      </c>
      <c r="R33" s="38" t="s">
        <v>147</v>
      </c>
      <c r="S33" s="39" t="s">
        <v>147</v>
      </c>
      <c r="T33" s="7" t="str">
        <f t="shared" si="1"/>
        <v>ok</v>
      </c>
    </row>
    <row r="34" spans="1:21" ht="104.25" customHeight="1">
      <c r="A34" s="40" t="s">
        <v>342</v>
      </c>
      <c r="B34" s="41" t="s">
        <v>343</v>
      </c>
      <c r="C34" s="55" t="s">
        <v>139</v>
      </c>
      <c r="D34" s="55" t="s">
        <v>171</v>
      </c>
      <c r="E34" s="67" t="s">
        <v>344</v>
      </c>
      <c r="F34" s="68" t="s">
        <v>334</v>
      </c>
      <c r="G34" s="69" t="s">
        <v>334</v>
      </c>
      <c r="H34" s="70"/>
      <c r="I34" s="46" t="s">
        <v>142</v>
      </c>
      <c r="J34" s="47"/>
      <c r="K34" s="47"/>
      <c r="L34" s="47"/>
      <c r="M34" s="51"/>
      <c r="N34" s="46" t="s">
        <v>345</v>
      </c>
      <c r="O34" s="51" t="s">
        <v>267</v>
      </c>
      <c r="P34" s="124" t="s">
        <v>618</v>
      </c>
      <c r="Q34" s="37" t="s">
        <v>146</v>
      </c>
      <c r="R34" s="38" t="s">
        <v>147</v>
      </c>
      <c r="S34" s="39" t="s">
        <v>147</v>
      </c>
      <c r="T34" s="7" t="str">
        <f t="shared" si="1"/>
        <v>ok</v>
      </c>
    </row>
    <row r="35" spans="1:21" ht="67.5" customHeight="1">
      <c r="A35" s="40" t="s">
        <v>346</v>
      </c>
      <c r="B35" s="41" t="s">
        <v>347</v>
      </c>
      <c r="C35" s="42" t="s">
        <v>150</v>
      </c>
      <c r="D35" s="42" t="s">
        <v>253</v>
      </c>
      <c r="E35" s="67" t="s">
        <v>348</v>
      </c>
      <c r="F35" s="68" t="s">
        <v>334</v>
      </c>
      <c r="G35" s="69" t="s">
        <v>334</v>
      </c>
      <c r="H35" s="70"/>
      <c r="I35" s="46" t="s">
        <v>142</v>
      </c>
      <c r="J35" s="47"/>
      <c r="K35" s="47"/>
      <c r="L35" s="47"/>
      <c r="M35" s="51"/>
      <c r="N35" s="46" t="s">
        <v>349</v>
      </c>
      <c r="O35" s="71" t="s">
        <v>350</v>
      </c>
      <c r="P35" s="54" t="s">
        <v>351</v>
      </c>
      <c r="Q35" s="37" t="s">
        <v>146</v>
      </c>
      <c r="R35" s="38" t="s">
        <v>147</v>
      </c>
      <c r="S35" s="39" t="s">
        <v>147</v>
      </c>
      <c r="T35" s="7" t="str">
        <f t="shared" si="1"/>
        <v>ok</v>
      </c>
    </row>
    <row r="36" spans="1:21" ht="67.5" customHeight="1">
      <c r="A36" s="40" t="s">
        <v>352</v>
      </c>
      <c r="B36" s="41" t="s">
        <v>353</v>
      </c>
      <c r="C36" s="42" t="s">
        <v>150</v>
      </c>
      <c r="D36" s="42" t="s">
        <v>253</v>
      </c>
      <c r="E36" s="67" t="s">
        <v>354</v>
      </c>
      <c r="F36" s="68" t="s">
        <v>334</v>
      </c>
      <c r="G36" s="69" t="s">
        <v>334</v>
      </c>
      <c r="H36" s="70"/>
      <c r="I36" s="46" t="s">
        <v>142</v>
      </c>
      <c r="J36" s="47"/>
      <c r="K36" s="47"/>
      <c r="L36" s="47"/>
      <c r="M36" s="51"/>
      <c r="N36" s="46" t="s">
        <v>355</v>
      </c>
      <c r="O36" s="71" t="s">
        <v>350</v>
      </c>
      <c r="P36" s="54" t="s">
        <v>351</v>
      </c>
      <c r="Q36" s="37" t="s">
        <v>146</v>
      </c>
      <c r="R36" s="38" t="s">
        <v>147</v>
      </c>
      <c r="S36" s="39" t="s">
        <v>147</v>
      </c>
      <c r="T36" s="7" t="str">
        <f t="shared" si="1"/>
        <v>ok</v>
      </c>
    </row>
    <row r="37" spans="1:21" ht="113.25" customHeight="1">
      <c r="A37" s="40" t="s">
        <v>356</v>
      </c>
      <c r="B37" s="41" t="s">
        <v>357</v>
      </c>
      <c r="C37" s="55" t="s">
        <v>139</v>
      </c>
      <c r="D37" s="55" t="s">
        <v>171</v>
      </c>
      <c r="E37" s="67" t="s">
        <v>358</v>
      </c>
      <c r="F37" s="68" t="s">
        <v>334</v>
      </c>
      <c r="G37" s="69" t="s">
        <v>334</v>
      </c>
      <c r="H37" s="70"/>
      <c r="I37" s="46" t="s">
        <v>142</v>
      </c>
      <c r="J37" s="47"/>
      <c r="K37" s="47"/>
      <c r="L37" s="47"/>
      <c r="M37" s="121"/>
      <c r="N37" s="126" t="s">
        <v>359</v>
      </c>
      <c r="O37" s="48" t="s">
        <v>267</v>
      </c>
      <c r="P37" s="54" t="s">
        <v>360</v>
      </c>
      <c r="Q37" s="37" t="s">
        <v>146</v>
      </c>
      <c r="R37" s="38" t="s">
        <v>147</v>
      </c>
      <c r="S37" s="39" t="s">
        <v>147</v>
      </c>
      <c r="T37" s="7" t="str">
        <f t="shared" si="1"/>
        <v>ok</v>
      </c>
    </row>
    <row r="38" spans="1:21" ht="93" customHeight="1">
      <c r="A38" s="40" t="s">
        <v>361</v>
      </c>
      <c r="B38" s="41" t="s">
        <v>362</v>
      </c>
      <c r="C38" s="42" t="s">
        <v>150</v>
      </c>
      <c r="D38" s="42" t="s">
        <v>239</v>
      </c>
      <c r="E38" s="67" t="s">
        <v>363</v>
      </c>
      <c r="F38" s="68" t="s">
        <v>334</v>
      </c>
      <c r="G38" s="69" t="s">
        <v>334</v>
      </c>
      <c r="H38" s="70"/>
      <c r="I38" s="46" t="s">
        <v>142</v>
      </c>
      <c r="J38" s="47"/>
      <c r="K38" s="47"/>
      <c r="L38" s="47"/>
      <c r="M38" s="51"/>
      <c r="N38" s="46" t="s">
        <v>364</v>
      </c>
      <c r="O38" s="125" t="s">
        <v>365</v>
      </c>
      <c r="P38" s="124" t="s">
        <v>620</v>
      </c>
      <c r="Q38" s="37" t="s">
        <v>146</v>
      </c>
      <c r="R38" s="38" t="s">
        <v>147</v>
      </c>
      <c r="S38" s="39" t="s">
        <v>147</v>
      </c>
      <c r="T38" s="7" t="str">
        <f t="shared" si="1"/>
        <v>ok</v>
      </c>
    </row>
    <row r="39" spans="1:21" ht="147" customHeight="1">
      <c r="A39" s="40" t="s">
        <v>366</v>
      </c>
      <c r="B39" s="41" t="s">
        <v>367</v>
      </c>
      <c r="C39" s="55" t="s">
        <v>139</v>
      </c>
      <c r="D39" s="55" t="s">
        <v>171</v>
      </c>
      <c r="E39" s="67" t="s">
        <v>368</v>
      </c>
      <c r="F39" s="68" t="s">
        <v>334</v>
      </c>
      <c r="G39" s="69" t="s">
        <v>334</v>
      </c>
      <c r="H39" s="70"/>
      <c r="I39" s="46" t="s">
        <v>142</v>
      </c>
      <c r="J39" s="47"/>
      <c r="K39" s="47"/>
      <c r="L39" s="47"/>
      <c r="M39" s="48"/>
      <c r="N39" s="49" t="s">
        <v>369</v>
      </c>
      <c r="O39" s="51" t="s">
        <v>267</v>
      </c>
      <c r="P39" s="124" t="s">
        <v>618</v>
      </c>
      <c r="Q39" s="37" t="s">
        <v>146</v>
      </c>
      <c r="R39" s="38" t="s">
        <v>147</v>
      </c>
      <c r="S39" s="39" t="s">
        <v>147</v>
      </c>
      <c r="T39" s="7" t="str">
        <f t="shared" si="1"/>
        <v>ok</v>
      </c>
    </row>
    <row r="40" spans="1:21" ht="70.5" customHeight="1">
      <c r="A40" s="40" t="s">
        <v>370</v>
      </c>
      <c r="B40" s="41" t="s">
        <v>371</v>
      </c>
      <c r="C40" s="55" t="s">
        <v>139</v>
      </c>
      <c r="D40" s="55" t="s">
        <v>171</v>
      </c>
      <c r="E40" s="67" t="s">
        <v>372</v>
      </c>
      <c r="F40" s="68" t="s">
        <v>334</v>
      </c>
      <c r="G40" s="72" t="s">
        <v>213</v>
      </c>
      <c r="H40" s="70"/>
      <c r="I40" s="46" t="s">
        <v>142</v>
      </c>
      <c r="J40" s="47"/>
      <c r="K40" s="47"/>
      <c r="L40" s="47"/>
      <c r="M40" s="48"/>
      <c r="N40" s="49" t="s">
        <v>373</v>
      </c>
      <c r="O40" s="51" t="s">
        <v>267</v>
      </c>
      <c r="P40" s="124" t="s">
        <v>618</v>
      </c>
      <c r="Q40" s="37" t="s">
        <v>146</v>
      </c>
      <c r="R40" s="38" t="s">
        <v>147</v>
      </c>
      <c r="S40" s="39" t="s">
        <v>147</v>
      </c>
      <c r="T40" s="7" t="str">
        <f t="shared" si="1"/>
        <v>ok</v>
      </c>
    </row>
    <row r="41" spans="1:21" ht="85.5" customHeight="1">
      <c r="A41" s="40" t="s">
        <v>374</v>
      </c>
      <c r="B41" s="41" t="s">
        <v>375</v>
      </c>
      <c r="C41" s="42" t="s">
        <v>150</v>
      </c>
      <c r="D41" s="42" t="s">
        <v>151</v>
      </c>
      <c r="E41" s="67" t="s">
        <v>376</v>
      </c>
      <c r="F41" s="68" t="s">
        <v>334</v>
      </c>
      <c r="G41" s="69" t="s">
        <v>334</v>
      </c>
      <c r="H41" s="70"/>
      <c r="I41" s="46" t="s">
        <v>142</v>
      </c>
      <c r="J41" s="47"/>
      <c r="K41" s="47"/>
      <c r="L41" s="47"/>
      <c r="M41" s="51"/>
      <c r="N41" s="46" t="s">
        <v>377</v>
      </c>
      <c r="O41" s="121" t="s">
        <v>249</v>
      </c>
      <c r="P41" s="124" t="s">
        <v>618</v>
      </c>
      <c r="Q41" s="37" t="s">
        <v>146</v>
      </c>
      <c r="R41" s="38" t="s">
        <v>147</v>
      </c>
      <c r="S41" s="39" t="s">
        <v>147</v>
      </c>
      <c r="T41" s="7" t="str">
        <f t="shared" si="1"/>
        <v>ok</v>
      </c>
    </row>
    <row r="42" spans="1:21" ht="117.75" customHeight="1">
      <c r="A42" s="40" t="s">
        <v>378</v>
      </c>
      <c r="B42" s="41" t="s">
        <v>379</v>
      </c>
      <c r="C42" s="42" t="s">
        <v>150</v>
      </c>
      <c r="D42" s="42" t="s">
        <v>239</v>
      </c>
      <c r="E42" s="67" t="s">
        <v>380</v>
      </c>
      <c r="F42" s="73" t="s">
        <v>322</v>
      </c>
      <c r="G42" s="74" t="s">
        <v>213</v>
      </c>
      <c r="H42" s="70"/>
      <c r="I42" s="46" t="s">
        <v>142</v>
      </c>
      <c r="J42" s="47"/>
      <c r="K42" s="47"/>
      <c r="L42" s="47"/>
      <c r="M42" s="51"/>
      <c r="N42" s="46" t="s">
        <v>381</v>
      </c>
      <c r="O42" s="121" t="s">
        <v>249</v>
      </c>
      <c r="P42" s="124" t="s">
        <v>618</v>
      </c>
      <c r="Q42" s="37" t="s">
        <v>146</v>
      </c>
      <c r="R42" s="38" t="s">
        <v>147</v>
      </c>
      <c r="S42" s="39" t="s">
        <v>147</v>
      </c>
      <c r="T42" s="7" t="str">
        <f t="shared" si="1"/>
        <v>ok</v>
      </c>
    </row>
    <row r="43" spans="1:21" ht="55.5" customHeight="1">
      <c r="A43" s="40" t="s">
        <v>382</v>
      </c>
      <c r="B43" s="41" t="s">
        <v>383</v>
      </c>
      <c r="C43" s="42" t="s">
        <v>150</v>
      </c>
      <c r="D43" s="42" t="s">
        <v>151</v>
      </c>
      <c r="E43" s="67" t="s">
        <v>384</v>
      </c>
      <c r="F43" s="68" t="s">
        <v>334</v>
      </c>
      <c r="G43" s="69" t="s">
        <v>334</v>
      </c>
      <c r="H43" s="70"/>
      <c r="I43" s="46" t="s">
        <v>142</v>
      </c>
      <c r="J43" s="47"/>
      <c r="K43" s="47"/>
      <c r="L43" s="47"/>
      <c r="M43" s="51"/>
      <c r="N43" s="46" t="s">
        <v>385</v>
      </c>
      <c r="O43" s="121" t="s">
        <v>249</v>
      </c>
      <c r="P43" s="124" t="s">
        <v>618</v>
      </c>
      <c r="Q43" s="37" t="s">
        <v>146</v>
      </c>
      <c r="R43" s="38" t="s">
        <v>147</v>
      </c>
      <c r="S43" s="39" t="s">
        <v>147</v>
      </c>
      <c r="T43" s="7" t="str">
        <f t="shared" si="1"/>
        <v>ok</v>
      </c>
    </row>
    <row r="44" spans="1:21" ht="244.5" customHeight="1">
      <c r="A44" s="40" t="s">
        <v>386</v>
      </c>
      <c r="B44" s="41" t="s">
        <v>387</v>
      </c>
      <c r="C44" s="42" t="s">
        <v>150</v>
      </c>
      <c r="D44" s="42" t="s">
        <v>239</v>
      </c>
      <c r="E44" s="67" t="s">
        <v>388</v>
      </c>
      <c r="F44" s="68" t="s">
        <v>334</v>
      </c>
      <c r="G44" s="69" t="s">
        <v>334</v>
      </c>
      <c r="H44" s="70"/>
      <c r="I44" s="46" t="s">
        <v>174</v>
      </c>
      <c r="J44" s="47" t="s">
        <v>389</v>
      </c>
      <c r="K44" s="47"/>
      <c r="L44" s="47" t="str" cm="1">
        <f t="array" ref="L44">_xlfn.SWITCH(C44,"Numeric","999999999999999","String","Not applicable","Date","0001-01-01")</f>
        <v>Not applicable</v>
      </c>
      <c r="M44" s="51" t="s">
        <v>390</v>
      </c>
      <c r="N44" s="46" t="s">
        <v>391</v>
      </c>
      <c r="O44" s="51" t="s">
        <v>389</v>
      </c>
      <c r="P44" s="54" t="s">
        <v>621</v>
      </c>
      <c r="Q44" s="37" t="s">
        <v>236</v>
      </c>
      <c r="R44" s="38" t="s">
        <v>202</v>
      </c>
      <c r="S44" s="39" t="s">
        <v>236</v>
      </c>
      <c r="T44" s="7" t="str">
        <f t="shared" si="1"/>
        <v>ok</v>
      </c>
    </row>
    <row r="45" spans="1:21" ht="129.75" customHeight="1">
      <c r="A45" s="75" t="s">
        <v>392</v>
      </c>
      <c r="B45" s="41">
        <v>370</v>
      </c>
      <c r="C45" s="55" t="s">
        <v>139</v>
      </c>
      <c r="D45" s="55" t="s">
        <v>171</v>
      </c>
      <c r="E45" s="67" t="s">
        <v>393</v>
      </c>
      <c r="F45" s="68" t="s">
        <v>334</v>
      </c>
      <c r="G45" s="69" t="s">
        <v>334</v>
      </c>
      <c r="H45" s="70"/>
      <c r="I45" s="46" t="s">
        <v>174</v>
      </c>
      <c r="J45" s="47" t="s">
        <v>394</v>
      </c>
      <c r="K45" s="47"/>
      <c r="L45" s="47" t="str" cm="1">
        <f t="array" ref="L45">_xlfn.SWITCH(C45,"Numeric","999999999999999","String","Not applicable","Date","0001-01-01")</f>
        <v>999999999999999</v>
      </c>
      <c r="M45" s="51" t="s">
        <v>395</v>
      </c>
      <c r="N45" s="46" t="s">
        <v>396</v>
      </c>
      <c r="O45" s="51" t="s">
        <v>394</v>
      </c>
      <c r="P45" s="54" t="s">
        <v>397</v>
      </c>
      <c r="Q45" s="37" t="s">
        <v>179</v>
      </c>
      <c r="R45" s="38" t="s">
        <v>147</v>
      </c>
      <c r="S45" s="39" t="s">
        <v>180</v>
      </c>
      <c r="T45" s="7" t="str">
        <f t="shared" si="1"/>
        <v>ok</v>
      </c>
    </row>
    <row r="46" spans="1:21" ht="117.75" customHeight="1">
      <c r="A46" s="75" t="s">
        <v>398</v>
      </c>
      <c r="B46" s="41" t="s">
        <v>399</v>
      </c>
      <c r="C46" s="55" t="s">
        <v>139</v>
      </c>
      <c r="D46" s="55" t="s">
        <v>171</v>
      </c>
      <c r="E46" s="67" t="s">
        <v>400</v>
      </c>
      <c r="F46" s="68" t="s">
        <v>334</v>
      </c>
      <c r="G46" s="69" t="s">
        <v>334</v>
      </c>
      <c r="H46" s="70"/>
      <c r="I46" s="46" t="s">
        <v>174</v>
      </c>
      <c r="J46" s="47" t="s">
        <v>401</v>
      </c>
      <c r="K46" s="47"/>
      <c r="L46" s="47" t="str" cm="1">
        <f t="array" ref="L46">_xlfn.SWITCH(C46,"Numeric","999999999999999","String","Not applicable","Date","0001-01-01")</f>
        <v>999999999999999</v>
      </c>
      <c r="M46" s="51" t="s">
        <v>402</v>
      </c>
      <c r="N46" s="46" t="s">
        <v>403</v>
      </c>
      <c r="O46" s="51" t="s">
        <v>401</v>
      </c>
      <c r="P46" s="54" t="s">
        <v>404</v>
      </c>
      <c r="Q46" s="37" t="s">
        <v>179</v>
      </c>
      <c r="R46" s="38" t="s">
        <v>147</v>
      </c>
      <c r="S46" s="39" t="s">
        <v>180</v>
      </c>
      <c r="T46" s="7" t="str">
        <f t="shared" si="1"/>
        <v>ok</v>
      </c>
    </row>
    <row r="47" spans="1:21" ht="153" customHeight="1">
      <c r="A47" s="75" t="s">
        <v>405</v>
      </c>
      <c r="B47" s="41">
        <v>390</v>
      </c>
      <c r="C47" s="55" t="s">
        <v>139</v>
      </c>
      <c r="D47" s="55" t="s">
        <v>140</v>
      </c>
      <c r="E47" s="67" t="s">
        <v>406</v>
      </c>
      <c r="F47" s="68" t="s">
        <v>334</v>
      </c>
      <c r="G47" s="69" t="s">
        <v>334</v>
      </c>
      <c r="H47" s="70"/>
      <c r="I47" s="46" t="s">
        <v>142</v>
      </c>
      <c r="J47" s="47"/>
      <c r="K47" s="47"/>
      <c r="L47" s="47"/>
      <c r="M47" s="51"/>
      <c r="N47" s="46" t="s">
        <v>407</v>
      </c>
      <c r="O47" s="51" t="s">
        <v>408</v>
      </c>
      <c r="P47" s="54" t="s">
        <v>409</v>
      </c>
      <c r="Q47" s="37" t="s">
        <v>236</v>
      </c>
      <c r="R47" s="38" t="s">
        <v>202</v>
      </c>
      <c r="S47" s="39" t="s">
        <v>236</v>
      </c>
      <c r="T47" s="7" t="str">
        <f t="shared" si="1"/>
        <v>ok</v>
      </c>
      <c r="U47" s="10" t="s">
        <v>410</v>
      </c>
    </row>
    <row r="48" spans="1:21" ht="135" customHeight="1">
      <c r="A48" s="75" t="s">
        <v>411</v>
      </c>
      <c r="B48" s="41" t="s">
        <v>412</v>
      </c>
      <c r="C48" s="55" t="s">
        <v>139</v>
      </c>
      <c r="D48" s="55" t="s">
        <v>140</v>
      </c>
      <c r="E48" s="67" t="s">
        <v>413</v>
      </c>
      <c r="F48" s="68" t="s">
        <v>334</v>
      </c>
      <c r="G48" s="69" t="s">
        <v>334</v>
      </c>
      <c r="H48" s="70"/>
      <c r="I48" s="46" t="s">
        <v>142</v>
      </c>
      <c r="J48" s="47"/>
      <c r="K48" s="47"/>
      <c r="L48" s="47"/>
      <c r="M48" s="51"/>
      <c r="N48" s="46" t="s">
        <v>414</v>
      </c>
      <c r="O48" s="51" t="s">
        <v>415</v>
      </c>
      <c r="P48" s="54" t="s">
        <v>416</v>
      </c>
      <c r="Q48" s="37" t="s">
        <v>236</v>
      </c>
      <c r="R48" s="38" t="s">
        <v>202</v>
      </c>
      <c r="S48" s="39" t="s">
        <v>236</v>
      </c>
      <c r="T48" s="7" t="str">
        <f t="shared" si="1"/>
        <v>ok</v>
      </c>
      <c r="U48" s="10" t="s">
        <v>410</v>
      </c>
    </row>
    <row r="49" spans="1:21" ht="205.5" customHeight="1">
      <c r="A49" s="75" t="s">
        <v>417</v>
      </c>
      <c r="B49" s="41" t="s">
        <v>418</v>
      </c>
      <c r="C49" s="55" t="s">
        <v>139</v>
      </c>
      <c r="D49" s="55" t="s">
        <v>419</v>
      </c>
      <c r="E49" s="67" t="s">
        <v>420</v>
      </c>
      <c r="F49" s="68" t="s">
        <v>334</v>
      </c>
      <c r="G49" s="69" t="s">
        <v>334</v>
      </c>
      <c r="H49" s="70"/>
      <c r="I49" s="46" t="s">
        <v>142</v>
      </c>
      <c r="J49" s="47"/>
      <c r="K49" s="47"/>
      <c r="L49" s="47"/>
      <c r="M49" s="51"/>
      <c r="N49" s="46" t="s">
        <v>421</v>
      </c>
      <c r="O49" s="51" t="s">
        <v>422</v>
      </c>
      <c r="P49" s="54" t="s">
        <v>280</v>
      </c>
      <c r="Q49" s="37" t="s">
        <v>236</v>
      </c>
      <c r="R49" s="38" t="s">
        <v>202</v>
      </c>
      <c r="S49" s="39" t="s">
        <v>180</v>
      </c>
      <c r="T49" s="7" t="str">
        <f t="shared" si="1"/>
        <v>ok</v>
      </c>
      <c r="U49" s="10" t="s">
        <v>410</v>
      </c>
    </row>
    <row r="50" spans="1:21" ht="153.75" customHeight="1">
      <c r="A50" s="75" t="s">
        <v>423</v>
      </c>
      <c r="B50" s="41" t="s">
        <v>424</v>
      </c>
      <c r="C50" s="55" t="s">
        <v>139</v>
      </c>
      <c r="D50" s="55" t="s">
        <v>419</v>
      </c>
      <c r="E50" s="67" t="s">
        <v>425</v>
      </c>
      <c r="F50" s="68" t="s">
        <v>334</v>
      </c>
      <c r="G50" s="69" t="s">
        <v>334</v>
      </c>
      <c r="H50" s="70"/>
      <c r="I50" s="46" t="s">
        <v>142</v>
      </c>
      <c r="J50" s="47"/>
      <c r="K50" s="47"/>
      <c r="L50" s="47"/>
      <c r="M50" s="51"/>
      <c r="N50" s="46" t="s">
        <v>426</v>
      </c>
      <c r="O50" s="51" t="s">
        <v>427</v>
      </c>
      <c r="P50" s="54" t="s">
        <v>428</v>
      </c>
      <c r="Q50" s="37" t="s">
        <v>146</v>
      </c>
      <c r="R50" s="38" t="s">
        <v>147</v>
      </c>
      <c r="S50" s="39" t="s">
        <v>147</v>
      </c>
      <c r="T50" s="7" t="str">
        <f t="shared" si="1"/>
        <v>ok</v>
      </c>
      <c r="U50" s="10"/>
    </row>
    <row r="51" spans="1:21" ht="87" customHeight="1">
      <c r="A51" s="75" t="s">
        <v>429</v>
      </c>
      <c r="B51" s="41" t="s">
        <v>430</v>
      </c>
      <c r="C51" s="55" t="s">
        <v>139</v>
      </c>
      <c r="D51" s="55" t="s">
        <v>419</v>
      </c>
      <c r="E51" s="67" t="s">
        <v>431</v>
      </c>
      <c r="F51" s="68" t="s">
        <v>334</v>
      </c>
      <c r="G51" s="69" t="s">
        <v>334</v>
      </c>
      <c r="H51" s="70"/>
      <c r="I51" s="46" t="s">
        <v>142</v>
      </c>
      <c r="J51" s="47"/>
      <c r="K51" s="47"/>
      <c r="L51" s="47"/>
      <c r="M51" s="51"/>
      <c r="N51" s="46" t="s">
        <v>432</v>
      </c>
      <c r="O51" s="51" t="s">
        <v>267</v>
      </c>
      <c r="P51" s="54" t="s">
        <v>433</v>
      </c>
      <c r="Q51" s="37" t="s">
        <v>146</v>
      </c>
      <c r="R51" s="38" t="s">
        <v>147</v>
      </c>
      <c r="S51" s="39" t="s">
        <v>147</v>
      </c>
      <c r="T51" s="7" t="str">
        <f t="shared" si="1"/>
        <v>ok</v>
      </c>
      <c r="U51" s="10"/>
    </row>
    <row r="52" spans="1:21" ht="165" customHeight="1">
      <c r="A52" s="75" t="s">
        <v>434</v>
      </c>
      <c r="B52" s="41" t="s">
        <v>435</v>
      </c>
      <c r="C52" s="55" t="s">
        <v>139</v>
      </c>
      <c r="D52" s="55" t="s">
        <v>171</v>
      </c>
      <c r="E52" s="67" t="s">
        <v>436</v>
      </c>
      <c r="F52" s="76" t="s">
        <v>173</v>
      </c>
      <c r="G52" s="69" t="s">
        <v>334</v>
      </c>
      <c r="H52" s="70"/>
      <c r="I52" s="46" t="s">
        <v>142</v>
      </c>
      <c r="J52" s="47"/>
      <c r="K52" s="47"/>
      <c r="L52" s="47"/>
      <c r="M52" s="51"/>
      <c r="N52" s="46" t="s">
        <v>437</v>
      </c>
      <c r="O52" s="51" t="s">
        <v>267</v>
      </c>
      <c r="P52" s="54" t="s">
        <v>438</v>
      </c>
      <c r="Q52" s="37" t="s">
        <v>146</v>
      </c>
      <c r="R52" s="38" t="s">
        <v>147</v>
      </c>
      <c r="S52" s="39" t="s">
        <v>147</v>
      </c>
      <c r="T52" s="7" t="str">
        <f t="shared" si="1"/>
        <v>ok</v>
      </c>
    </row>
    <row r="53" spans="1:21" ht="114.75" customHeight="1">
      <c r="A53" s="75" t="s">
        <v>439</v>
      </c>
      <c r="B53" s="41" t="s">
        <v>440</v>
      </c>
      <c r="C53" s="55" t="s">
        <v>139</v>
      </c>
      <c r="D53" s="55" t="s">
        <v>171</v>
      </c>
      <c r="E53" s="67" t="s">
        <v>441</v>
      </c>
      <c r="F53" s="76" t="s">
        <v>173</v>
      </c>
      <c r="G53" s="69" t="s">
        <v>334</v>
      </c>
      <c r="H53" s="70"/>
      <c r="I53" s="46" t="s">
        <v>142</v>
      </c>
      <c r="J53" s="47"/>
      <c r="K53" s="47"/>
      <c r="L53" s="47"/>
      <c r="M53" s="51"/>
      <c r="N53" s="46" t="s">
        <v>442</v>
      </c>
      <c r="O53" s="51" t="s">
        <v>267</v>
      </c>
      <c r="P53" s="54" t="s">
        <v>438</v>
      </c>
      <c r="Q53" s="37" t="s">
        <v>146</v>
      </c>
      <c r="R53" s="38" t="s">
        <v>147</v>
      </c>
      <c r="S53" s="39" t="s">
        <v>147</v>
      </c>
      <c r="T53" s="7" t="str">
        <f t="shared" si="1"/>
        <v>ok</v>
      </c>
    </row>
    <row r="54" spans="1:21" ht="165" customHeight="1">
      <c r="A54" s="75" t="s">
        <v>443</v>
      </c>
      <c r="B54" s="41" t="s">
        <v>444</v>
      </c>
      <c r="C54" s="42" t="s">
        <v>150</v>
      </c>
      <c r="D54" s="42" t="s">
        <v>239</v>
      </c>
      <c r="E54" s="67" t="s">
        <v>445</v>
      </c>
      <c r="F54" s="76" t="s">
        <v>322</v>
      </c>
      <c r="G54" s="69" t="s">
        <v>334</v>
      </c>
      <c r="H54" s="70"/>
      <c r="I54" s="46" t="s">
        <v>142</v>
      </c>
      <c r="J54" s="47"/>
      <c r="K54" s="47"/>
      <c r="L54" s="47"/>
      <c r="M54" s="51"/>
      <c r="N54" s="46" t="s">
        <v>446</v>
      </c>
      <c r="O54" s="121" t="s">
        <v>249</v>
      </c>
      <c r="P54" s="54" t="s">
        <v>447</v>
      </c>
      <c r="Q54" s="37" t="s">
        <v>146</v>
      </c>
      <c r="R54" s="38" t="s">
        <v>147</v>
      </c>
      <c r="S54" s="39" t="s">
        <v>147</v>
      </c>
      <c r="T54" s="7" t="str">
        <f t="shared" si="1"/>
        <v>ok</v>
      </c>
    </row>
    <row r="55" spans="1:21" ht="195.75" customHeight="1">
      <c r="A55" s="40" t="s">
        <v>448</v>
      </c>
      <c r="B55" s="41" t="s">
        <v>449</v>
      </c>
      <c r="C55" s="55" t="s">
        <v>139</v>
      </c>
      <c r="D55" s="55" t="s">
        <v>450</v>
      </c>
      <c r="E55" s="67" t="s">
        <v>451</v>
      </c>
      <c r="F55" s="77" t="s">
        <v>452</v>
      </c>
      <c r="G55" s="78" t="s">
        <v>334</v>
      </c>
      <c r="H55" s="70"/>
      <c r="I55" s="46" t="s">
        <v>142</v>
      </c>
      <c r="J55" s="47"/>
      <c r="K55" s="47"/>
      <c r="L55" s="79"/>
      <c r="M55" s="51"/>
      <c r="N55" s="46" t="s">
        <v>453</v>
      </c>
      <c r="O55" s="51" t="s">
        <v>454</v>
      </c>
      <c r="P55" s="54" t="s">
        <v>455</v>
      </c>
      <c r="Q55" s="37" t="s">
        <v>146</v>
      </c>
      <c r="R55" s="38" t="s">
        <v>147</v>
      </c>
      <c r="S55" s="39" t="s">
        <v>147</v>
      </c>
      <c r="T55" s="7" t="str">
        <f t="shared" si="1"/>
        <v>ok</v>
      </c>
    </row>
    <row r="56" spans="1:21" ht="291.75" customHeight="1">
      <c r="A56" s="40" t="s">
        <v>456</v>
      </c>
      <c r="B56" s="41" t="s">
        <v>457</v>
      </c>
      <c r="C56" s="42" t="s">
        <v>150</v>
      </c>
      <c r="D56" s="42" t="s">
        <v>270</v>
      </c>
      <c r="E56" s="67" t="s">
        <v>458</v>
      </c>
      <c r="F56" s="80" t="s">
        <v>334</v>
      </c>
      <c r="G56" s="78" t="s">
        <v>334</v>
      </c>
      <c r="H56" s="70"/>
      <c r="I56" s="46" t="s">
        <v>174</v>
      </c>
      <c r="J56" s="47" t="s">
        <v>459</v>
      </c>
      <c r="K56" s="47"/>
      <c r="L56" s="47" t="str" cm="1">
        <f t="array" ref="L56">_xlfn.SWITCH(C56,"Numeric","999999999999999","String","Not applicable","Date","0001-01-01")</f>
        <v>Not applicable</v>
      </c>
      <c r="M56" s="51" t="s">
        <v>460</v>
      </c>
      <c r="N56" s="46" t="s">
        <v>461</v>
      </c>
      <c r="O56" s="51" t="s">
        <v>459</v>
      </c>
      <c r="P56" s="54" t="s">
        <v>462</v>
      </c>
      <c r="Q56" s="37" t="s">
        <v>179</v>
      </c>
      <c r="R56" s="38" t="s">
        <v>147</v>
      </c>
      <c r="S56" s="39" t="s">
        <v>147</v>
      </c>
      <c r="T56" s="7" t="str">
        <f t="shared" si="1"/>
        <v>ok</v>
      </c>
    </row>
    <row r="57" spans="1:21" ht="101.25" customHeight="1">
      <c r="A57" s="40" t="s">
        <v>463</v>
      </c>
      <c r="B57" s="41" t="s">
        <v>464</v>
      </c>
      <c r="C57" s="42" t="s">
        <v>150</v>
      </c>
      <c r="D57" s="42" t="s">
        <v>151</v>
      </c>
      <c r="E57" s="67" t="s">
        <v>465</v>
      </c>
      <c r="F57" s="80" t="s">
        <v>334</v>
      </c>
      <c r="G57" s="78" t="s">
        <v>334</v>
      </c>
      <c r="H57" s="70"/>
      <c r="I57" s="46" t="s">
        <v>174</v>
      </c>
      <c r="J57" s="47" t="s">
        <v>466</v>
      </c>
      <c r="K57" s="47"/>
      <c r="L57" s="47" t="str" cm="1">
        <f t="array" ref="L57">_xlfn.SWITCH(C57,"Numeric","999999999999999","String","Not applicable","Date","0001-01-01")</f>
        <v>Not applicable</v>
      </c>
      <c r="M57" s="121" t="s">
        <v>467</v>
      </c>
      <c r="N57" s="46" t="s">
        <v>468</v>
      </c>
      <c r="O57" s="51" t="s">
        <v>466</v>
      </c>
      <c r="P57" s="54" t="s">
        <v>462</v>
      </c>
      <c r="Q57" s="37" t="s">
        <v>179</v>
      </c>
      <c r="R57" s="38" t="s">
        <v>147</v>
      </c>
      <c r="S57" s="39" t="s">
        <v>147</v>
      </c>
      <c r="T57" s="7" t="str">
        <f t="shared" si="1"/>
        <v>ok</v>
      </c>
    </row>
    <row r="58" spans="1:21" ht="77.25" customHeight="1">
      <c r="A58" s="40" t="s">
        <v>469</v>
      </c>
      <c r="B58" s="41" t="s">
        <v>470</v>
      </c>
      <c r="C58" s="42" t="s">
        <v>150</v>
      </c>
      <c r="D58" s="42" t="s">
        <v>151</v>
      </c>
      <c r="E58" s="67" t="s">
        <v>471</v>
      </c>
      <c r="F58" s="80" t="s">
        <v>334</v>
      </c>
      <c r="G58" s="78" t="s">
        <v>334</v>
      </c>
      <c r="H58" s="70"/>
      <c r="I58" s="46" t="s">
        <v>142</v>
      </c>
      <c r="J58" s="47"/>
      <c r="K58" s="47"/>
      <c r="L58" s="47"/>
      <c r="M58" s="51"/>
      <c r="N58" s="46" t="s">
        <v>472</v>
      </c>
      <c r="O58" s="121" t="s">
        <v>249</v>
      </c>
      <c r="P58" s="54" t="s">
        <v>473</v>
      </c>
      <c r="Q58" s="37" t="s">
        <v>146</v>
      </c>
      <c r="R58" s="38" t="s">
        <v>147</v>
      </c>
      <c r="S58" s="39" t="s">
        <v>147</v>
      </c>
      <c r="T58" s="7" t="str">
        <f t="shared" si="1"/>
        <v>ok</v>
      </c>
    </row>
    <row r="59" spans="1:21" ht="168.75" customHeight="1">
      <c r="A59" s="40" t="s">
        <v>474</v>
      </c>
      <c r="B59" s="41" t="s">
        <v>475</v>
      </c>
      <c r="C59" s="42" t="s">
        <v>150</v>
      </c>
      <c r="D59" s="42" t="s">
        <v>151</v>
      </c>
      <c r="E59" s="67" t="s">
        <v>476</v>
      </c>
      <c r="F59" s="77" t="s">
        <v>322</v>
      </c>
      <c r="G59" s="78" t="s">
        <v>334</v>
      </c>
      <c r="H59" s="70"/>
      <c r="I59" s="46" t="s">
        <v>174</v>
      </c>
      <c r="J59" s="47" t="s">
        <v>477</v>
      </c>
      <c r="K59" s="47"/>
      <c r="L59" s="47" t="str" cm="1">
        <f t="array" ref="L59">_xlfn.SWITCH(C59,"Numeric","999999999999999","String","Not applicable","Date","0001-01-01")</f>
        <v>Not applicable</v>
      </c>
      <c r="M59" s="51" t="s">
        <v>478</v>
      </c>
      <c r="N59" s="46" t="s">
        <v>479</v>
      </c>
      <c r="O59" s="51" t="s">
        <v>477</v>
      </c>
      <c r="P59" s="54" t="s">
        <v>462</v>
      </c>
      <c r="Q59" s="37" t="s">
        <v>179</v>
      </c>
      <c r="R59" s="38" t="s">
        <v>202</v>
      </c>
      <c r="S59" s="39" t="s">
        <v>147</v>
      </c>
      <c r="T59" s="7" t="str">
        <f t="shared" si="1"/>
        <v>ok</v>
      </c>
    </row>
    <row r="60" spans="1:21" ht="143.25" customHeight="1">
      <c r="A60" s="40" t="s">
        <v>480</v>
      </c>
      <c r="B60" s="81" t="s">
        <v>481</v>
      </c>
      <c r="C60" s="82" t="s">
        <v>150</v>
      </c>
      <c r="D60" s="82" t="s">
        <v>151</v>
      </c>
      <c r="E60" s="83" t="s">
        <v>482</v>
      </c>
      <c r="F60" s="84" t="s">
        <v>322</v>
      </c>
      <c r="G60" s="78" t="s">
        <v>334</v>
      </c>
      <c r="H60" s="70"/>
      <c r="I60" s="46" t="s">
        <v>174</v>
      </c>
      <c r="J60" s="47" t="s">
        <v>483</v>
      </c>
      <c r="K60" s="47"/>
      <c r="L60" s="47" t="str" cm="1">
        <f t="array" ref="L60">_xlfn.SWITCH(C60,"Numeric","999999999999999","String","Not applicable","Date","0001-01-01")</f>
        <v>Not applicable</v>
      </c>
      <c r="M60" s="51" t="s">
        <v>484</v>
      </c>
      <c r="N60" s="46" t="s">
        <v>485</v>
      </c>
      <c r="O60" s="51" t="s">
        <v>483</v>
      </c>
      <c r="P60" s="54" t="s">
        <v>462</v>
      </c>
      <c r="Q60" s="37" t="s">
        <v>179</v>
      </c>
      <c r="R60" s="38" t="s">
        <v>147</v>
      </c>
      <c r="S60" s="39" t="s">
        <v>147</v>
      </c>
      <c r="T60" s="7" t="str">
        <f t="shared" si="1"/>
        <v>ok</v>
      </c>
    </row>
    <row r="61" spans="1:21" ht="227.25" customHeight="1">
      <c r="A61" s="85" t="s">
        <v>486</v>
      </c>
      <c r="B61" s="41" t="s">
        <v>487</v>
      </c>
      <c r="C61" s="42" t="s">
        <v>150</v>
      </c>
      <c r="D61" s="42" t="s">
        <v>151</v>
      </c>
      <c r="E61" s="43" t="s">
        <v>488</v>
      </c>
      <c r="F61" s="77" t="s">
        <v>322</v>
      </c>
      <c r="G61" s="86" t="s">
        <v>334</v>
      </c>
      <c r="H61" s="70"/>
      <c r="I61" s="46" t="s">
        <v>142</v>
      </c>
      <c r="J61" s="47"/>
      <c r="K61" s="47"/>
      <c r="L61" s="47"/>
      <c r="M61" s="51"/>
      <c r="N61" s="46" t="s">
        <v>489</v>
      </c>
      <c r="O61" s="121" t="s">
        <v>249</v>
      </c>
      <c r="P61" s="54" t="s">
        <v>490</v>
      </c>
      <c r="Q61" s="37" t="s">
        <v>146</v>
      </c>
      <c r="R61" s="38" t="s">
        <v>147</v>
      </c>
      <c r="S61" s="39" t="s">
        <v>147</v>
      </c>
      <c r="T61" s="7" t="str">
        <f t="shared" si="1"/>
        <v>ok</v>
      </c>
    </row>
    <row r="62" spans="1:21" ht="102.75" customHeight="1">
      <c r="A62" s="40" t="s">
        <v>491</v>
      </c>
      <c r="B62" s="29" t="s">
        <v>492</v>
      </c>
      <c r="C62" s="30" t="s">
        <v>150</v>
      </c>
      <c r="D62" s="30" t="s">
        <v>151</v>
      </c>
      <c r="E62" s="87" t="s">
        <v>493</v>
      </c>
      <c r="F62" s="88" t="s">
        <v>322</v>
      </c>
      <c r="G62" s="78" t="s">
        <v>334</v>
      </c>
      <c r="H62" s="70"/>
      <c r="I62" s="46" t="s">
        <v>142</v>
      </c>
      <c r="J62" s="47"/>
      <c r="K62" s="47"/>
      <c r="L62" s="47"/>
      <c r="M62" s="51"/>
      <c r="N62" s="46" t="s">
        <v>494</v>
      </c>
      <c r="O62" s="121" t="s">
        <v>249</v>
      </c>
      <c r="P62" s="54" t="s">
        <v>490</v>
      </c>
      <c r="Q62" s="37" t="s">
        <v>146</v>
      </c>
      <c r="R62" s="38" t="s">
        <v>147</v>
      </c>
      <c r="S62" s="39" t="s">
        <v>147</v>
      </c>
      <c r="T62" s="7" t="str">
        <f t="shared" si="1"/>
        <v>ok</v>
      </c>
    </row>
    <row r="63" spans="1:21" ht="105.75" customHeight="1">
      <c r="A63" s="40" t="s">
        <v>495</v>
      </c>
      <c r="B63" s="41" t="s">
        <v>496</v>
      </c>
      <c r="C63" s="42" t="s">
        <v>150</v>
      </c>
      <c r="D63" s="42" t="s">
        <v>151</v>
      </c>
      <c r="E63" s="67" t="s">
        <v>497</v>
      </c>
      <c r="F63" s="77" t="s">
        <v>322</v>
      </c>
      <c r="G63" s="78" t="s">
        <v>334</v>
      </c>
      <c r="H63" s="70"/>
      <c r="I63" s="46" t="s">
        <v>142</v>
      </c>
      <c r="J63" s="47" t="s">
        <v>459</v>
      </c>
      <c r="K63" s="47"/>
      <c r="L63" s="47" t="str" cm="1">
        <f t="array" ref="L63">_xlfn.SWITCH(C63,"Numeric","999999999999999","String","Not applicable","Date","0001-01-01")</f>
        <v>Not applicable</v>
      </c>
      <c r="M63" s="51"/>
      <c r="N63" s="46" t="s">
        <v>498</v>
      </c>
      <c r="O63" s="51" t="s">
        <v>459</v>
      </c>
      <c r="P63" s="54" t="s">
        <v>499</v>
      </c>
      <c r="Q63" s="37" t="s">
        <v>146</v>
      </c>
      <c r="R63" s="38" t="s">
        <v>147</v>
      </c>
      <c r="S63" s="39" t="s">
        <v>147</v>
      </c>
      <c r="T63" s="7" t="str">
        <f t="shared" si="1"/>
        <v>ok</v>
      </c>
    </row>
    <row r="64" spans="1:21" ht="135" customHeight="1">
      <c r="A64" s="40" t="s">
        <v>500</v>
      </c>
      <c r="B64" s="41" t="s">
        <v>501</v>
      </c>
      <c r="C64" s="42" t="s">
        <v>150</v>
      </c>
      <c r="D64" s="42" t="s">
        <v>151</v>
      </c>
      <c r="E64" s="67" t="s">
        <v>502</v>
      </c>
      <c r="F64" s="77" t="s">
        <v>322</v>
      </c>
      <c r="G64" s="78" t="s">
        <v>334</v>
      </c>
      <c r="H64" s="70"/>
      <c r="I64" s="46" t="s">
        <v>142</v>
      </c>
      <c r="J64" s="47" t="s">
        <v>466</v>
      </c>
      <c r="K64" s="47"/>
      <c r="L64" s="47" t="str" cm="1">
        <f t="array" ref="L64">_xlfn.SWITCH(C64,"Numeric","999999999999999","String","Not applicable","Date","0001-01-01")</f>
        <v>Not applicable</v>
      </c>
      <c r="M64" s="51"/>
      <c r="N64" s="46" t="s">
        <v>503</v>
      </c>
      <c r="O64" s="51" t="s">
        <v>466</v>
      </c>
      <c r="P64" s="54" t="s">
        <v>504</v>
      </c>
      <c r="Q64" s="37" t="s">
        <v>146</v>
      </c>
      <c r="R64" s="38" t="s">
        <v>147</v>
      </c>
      <c r="S64" s="39" t="s">
        <v>147</v>
      </c>
      <c r="T64" s="7" t="str">
        <f t="shared" si="1"/>
        <v>ok</v>
      </c>
    </row>
    <row r="65" spans="1:21" ht="145.5" customHeight="1">
      <c r="A65" s="40" t="s">
        <v>505</v>
      </c>
      <c r="B65" s="41" t="s">
        <v>506</v>
      </c>
      <c r="C65" s="42" t="s">
        <v>150</v>
      </c>
      <c r="D65" s="42" t="s">
        <v>151</v>
      </c>
      <c r="E65" s="67" t="s">
        <v>507</v>
      </c>
      <c r="F65" s="76" t="s">
        <v>322</v>
      </c>
      <c r="G65" s="69" t="s">
        <v>334</v>
      </c>
      <c r="H65" s="70"/>
      <c r="I65" s="46" t="s">
        <v>142</v>
      </c>
      <c r="J65" s="47" t="s">
        <v>459</v>
      </c>
      <c r="K65" s="47"/>
      <c r="L65" s="47" t="str" cm="1">
        <f t="array" ref="L65">_xlfn.SWITCH(C65,"Numeric","999999999999999","String","Not applicable","Date","0001-01-01")</f>
        <v>Not applicable</v>
      </c>
      <c r="M65" s="51" t="s">
        <v>280</v>
      </c>
      <c r="N65" s="46" t="s">
        <v>508</v>
      </c>
      <c r="O65" s="51" t="s">
        <v>459</v>
      </c>
      <c r="P65" s="54" t="s">
        <v>509</v>
      </c>
      <c r="Q65" s="37" t="s">
        <v>146</v>
      </c>
      <c r="R65" s="38" t="s">
        <v>147</v>
      </c>
      <c r="S65" s="39" t="s">
        <v>147</v>
      </c>
      <c r="T65" s="7" t="str">
        <f t="shared" si="1"/>
        <v>ok</v>
      </c>
    </row>
    <row r="66" spans="1:21" ht="83.25" customHeight="1">
      <c r="A66" s="40" t="s">
        <v>510</v>
      </c>
      <c r="B66" s="41" t="s">
        <v>511</v>
      </c>
      <c r="C66" s="42" t="s">
        <v>150</v>
      </c>
      <c r="D66" s="42" t="s">
        <v>151</v>
      </c>
      <c r="E66" s="67" t="s">
        <v>512</v>
      </c>
      <c r="F66" s="76" t="s">
        <v>322</v>
      </c>
      <c r="G66" s="69" t="s">
        <v>334</v>
      </c>
      <c r="H66" s="70"/>
      <c r="I66" s="46" t="s">
        <v>142</v>
      </c>
      <c r="J66" s="47" t="s">
        <v>466</v>
      </c>
      <c r="K66" s="47"/>
      <c r="L66" s="47" t="str" cm="1">
        <f t="array" ref="L66">_xlfn.SWITCH(C66,"Numeric","999999999999999","String","Not applicable","Date","0001-01-01")</f>
        <v>Not applicable</v>
      </c>
      <c r="M66" s="51"/>
      <c r="N66" s="46" t="s">
        <v>513</v>
      </c>
      <c r="O66" s="51" t="s">
        <v>466</v>
      </c>
      <c r="P66" s="54" t="s">
        <v>514</v>
      </c>
      <c r="Q66" s="37" t="s">
        <v>146</v>
      </c>
      <c r="R66" s="38" t="s">
        <v>147</v>
      </c>
      <c r="S66" s="39" t="s">
        <v>147</v>
      </c>
      <c r="T66" s="7" t="str">
        <f t="shared" si="1"/>
        <v>ok</v>
      </c>
    </row>
    <row r="67" spans="1:21" ht="130.5" customHeight="1">
      <c r="A67" s="40" t="s">
        <v>515</v>
      </c>
      <c r="B67" s="41" t="s">
        <v>516</v>
      </c>
      <c r="C67" s="42" t="s">
        <v>150</v>
      </c>
      <c r="D67" s="42" t="s">
        <v>151</v>
      </c>
      <c r="E67" s="67" t="s">
        <v>517</v>
      </c>
      <c r="F67" s="76" t="s">
        <v>322</v>
      </c>
      <c r="G67" s="69" t="s">
        <v>334</v>
      </c>
      <c r="H67" s="70"/>
      <c r="I67" s="46" t="s">
        <v>142</v>
      </c>
      <c r="J67" s="47"/>
      <c r="K67" s="47"/>
      <c r="L67" s="47"/>
      <c r="M67" s="51"/>
      <c r="N67" s="46" t="s">
        <v>518</v>
      </c>
      <c r="O67" s="121" t="s">
        <v>249</v>
      </c>
      <c r="P67" s="54" t="s">
        <v>519</v>
      </c>
      <c r="Q67" s="37" t="s">
        <v>146</v>
      </c>
      <c r="R67" s="38" t="s">
        <v>147</v>
      </c>
      <c r="S67" s="39" t="s">
        <v>147</v>
      </c>
      <c r="T67" s="7" t="str">
        <f t="shared" si="1"/>
        <v>ok</v>
      </c>
    </row>
    <row r="68" spans="1:21" ht="85.5" customHeight="1">
      <c r="A68" s="40" t="s">
        <v>520</v>
      </c>
      <c r="B68" s="41" t="s">
        <v>521</v>
      </c>
      <c r="C68" s="42" t="s">
        <v>150</v>
      </c>
      <c r="D68" s="42" t="s">
        <v>151</v>
      </c>
      <c r="E68" s="67" t="s">
        <v>522</v>
      </c>
      <c r="F68" s="76" t="s">
        <v>322</v>
      </c>
      <c r="G68" s="69" t="s">
        <v>334</v>
      </c>
      <c r="H68" s="70"/>
      <c r="I68" s="46" t="s">
        <v>142</v>
      </c>
      <c r="J68" s="47"/>
      <c r="K68" s="47"/>
      <c r="L68" s="47"/>
      <c r="M68" s="51"/>
      <c r="N68" s="46" t="s">
        <v>523</v>
      </c>
      <c r="O68" s="121" t="s">
        <v>249</v>
      </c>
      <c r="P68" s="54" t="s">
        <v>519</v>
      </c>
      <c r="Q68" s="37" t="s">
        <v>146</v>
      </c>
      <c r="R68" s="38" t="s">
        <v>147</v>
      </c>
      <c r="S68" s="39" t="s">
        <v>147</v>
      </c>
      <c r="T68" s="7" t="str">
        <f t="shared" si="1"/>
        <v>ok</v>
      </c>
    </row>
    <row r="69" spans="1:21" ht="114" customHeight="1">
      <c r="A69" s="40" t="s">
        <v>524</v>
      </c>
      <c r="B69" s="41" t="s">
        <v>525</v>
      </c>
      <c r="C69" s="42" t="s">
        <v>150</v>
      </c>
      <c r="D69" s="42" t="s">
        <v>151</v>
      </c>
      <c r="E69" s="67" t="s">
        <v>526</v>
      </c>
      <c r="F69" s="76" t="s">
        <v>322</v>
      </c>
      <c r="G69" s="69" t="s">
        <v>334</v>
      </c>
      <c r="H69" s="70"/>
      <c r="I69" s="46" t="s">
        <v>142</v>
      </c>
      <c r="J69" s="47"/>
      <c r="K69" s="47"/>
      <c r="L69" s="47"/>
      <c r="M69" s="51"/>
      <c r="N69" s="46" t="s">
        <v>527</v>
      </c>
      <c r="O69" s="121" t="s">
        <v>249</v>
      </c>
      <c r="P69" s="54" t="s">
        <v>519</v>
      </c>
      <c r="Q69" s="37" t="s">
        <v>146</v>
      </c>
      <c r="R69" s="38" t="s">
        <v>147</v>
      </c>
      <c r="S69" s="39" t="s">
        <v>147</v>
      </c>
      <c r="T69" s="7" t="str">
        <f t="shared" si="1"/>
        <v>ok</v>
      </c>
    </row>
    <row r="70" spans="1:21" ht="90.75" customHeight="1">
      <c r="A70" s="40" t="s">
        <v>528</v>
      </c>
      <c r="B70" s="41" t="s">
        <v>529</v>
      </c>
      <c r="C70" s="42" t="s">
        <v>150</v>
      </c>
      <c r="D70" s="42" t="s">
        <v>151</v>
      </c>
      <c r="E70" s="67" t="s">
        <v>530</v>
      </c>
      <c r="F70" s="76" t="s">
        <v>322</v>
      </c>
      <c r="G70" s="69" t="s">
        <v>334</v>
      </c>
      <c r="H70" s="70"/>
      <c r="I70" s="46" t="s">
        <v>142</v>
      </c>
      <c r="J70" s="47"/>
      <c r="K70" s="47"/>
      <c r="L70" s="47"/>
      <c r="M70" s="51"/>
      <c r="N70" s="46" t="s">
        <v>531</v>
      </c>
      <c r="O70" s="121" t="s">
        <v>249</v>
      </c>
      <c r="P70" s="54" t="s">
        <v>519</v>
      </c>
      <c r="Q70" s="37" t="s">
        <v>146</v>
      </c>
      <c r="R70" s="38" t="s">
        <v>147</v>
      </c>
      <c r="S70" s="39" t="s">
        <v>147</v>
      </c>
      <c r="T70" s="7" t="str">
        <f t="shared" si="1"/>
        <v>ok</v>
      </c>
    </row>
    <row r="71" spans="1:21" ht="241.5" customHeight="1">
      <c r="A71" s="40" t="s">
        <v>532</v>
      </c>
      <c r="B71" s="41" t="s">
        <v>533</v>
      </c>
      <c r="C71" s="42" t="s">
        <v>150</v>
      </c>
      <c r="D71" s="42" t="s">
        <v>239</v>
      </c>
      <c r="E71" s="67" t="s">
        <v>534</v>
      </c>
      <c r="F71" s="77" t="s">
        <v>322</v>
      </c>
      <c r="G71" s="78" t="s">
        <v>334</v>
      </c>
      <c r="H71" s="70"/>
      <c r="I71" s="46" t="s">
        <v>174</v>
      </c>
      <c r="J71" s="47" t="s">
        <v>535</v>
      </c>
      <c r="K71" s="47"/>
      <c r="L71" s="47" t="str" cm="1">
        <f t="array" ref="L71">_xlfn.SWITCH(C71,"Numeric","999999999999999","String","Not applicable","Date","0001-01-01")</f>
        <v>Not applicable</v>
      </c>
      <c r="M71" s="51" t="s">
        <v>536</v>
      </c>
      <c r="N71" s="46" t="s">
        <v>537</v>
      </c>
      <c r="O71" s="51" t="s">
        <v>535</v>
      </c>
      <c r="P71" s="54" t="s">
        <v>538</v>
      </c>
      <c r="Q71" s="37" t="s">
        <v>179</v>
      </c>
      <c r="R71" s="38" t="s">
        <v>147</v>
      </c>
      <c r="S71" s="39" t="s">
        <v>147</v>
      </c>
      <c r="T71" s="7" t="str">
        <f t="shared" si="1"/>
        <v>ok</v>
      </c>
    </row>
    <row r="72" spans="1:21" ht="88.5" customHeight="1">
      <c r="A72" s="40" t="s">
        <v>539</v>
      </c>
      <c r="B72" s="41" t="s">
        <v>540</v>
      </c>
      <c r="C72" s="55" t="s">
        <v>139</v>
      </c>
      <c r="D72" s="55" t="s">
        <v>171</v>
      </c>
      <c r="E72" s="67" t="s">
        <v>541</v>
      </c>
      <c r="F72" s="77" t="s">
        <v>173</v>
      </c>
      <c r="G72" s="78" t="s">
        <v>334</v>
      </c>
      <c r="H72" s="70"/>
      <c r="I72" s="46" t="s">
        <v>174</v>
      </c>
      <c r="J72" s="47" t="s">
        <v>542</v>
      </c>
      <c r="K72" s="47"/>
      <c r="L72" s="47" t="str" cm="1">
        <f t="array" ref="L72">_xlfn.SWITCH(C72,"Numeric","999999999999999","String","Not applicable","Date","0001-01-01")</f>
        <v>999999999999999</v>
      </c>
      <c r="M72" s="51" t="s">
        <v>543</v>
      </c>
      <c r="N72" s="46" t="s">
        <v>544</v>
      </c>
      <c r="O72" s="51" t="s">
        <v>542</v>
      </c>
      <c r="P72" s="54" t="s">
        <v>538</v>
      </c>
      <c r="Q72" s="37" t="s">
        <v>179</v>
      </c>
      <c r="R72" s="38" t="s">
        <v>147</v>
      </c>
      <c r="S72" s="39" t="s">
        <v>147</v>
      </c>
      <c r="T72" s="7" t="str">
        <f t="shared" si="1"/>
        <v>ok</v>
      </c>
    </row>
    <row r="73" spans="1:21" ht="409.5">
      <c r="A73" s="40" t="s">
        <v>545</v>
      </c>
      <c r="B73" s="41" t="s">
        <v>546</v>
      </c>
      <c r="C73" s="42" t="s">
        <v>150</v>
      </c>
      <c r="D73" s="42" t="s">
        <v>239</v>
      </c>
      <c r="E73" s="67" t="s">
        <v>547</v>
      </c>
      <c r="F73" s="77" t="s">
        <v>322</v>
      </c>
      <c r="G73" s="78" t="s">
        <v>334</v>
      </c>
      <c r="H73" s="70"/>
      <c r="I73" s="46" t="s">
        <v>142</v>
      </c>
      <c r="J73" s="47" t="s">
        <v>535</v>
      </c>
      <c r="K73" s="47"/>
      <c r="L73" s="47" t="str" cm="1">
        <f t="array" ref="L73">_xlfn.SWITCH(C73,"Numeric","999999999999999","String","Not applicable","Date","0001-01-01")</f>
        <v>Not applicable</v>
      </c>
      <c r="M73" s="51"/>
      <c r="N73" s="46" t="s">
        <v>548</v>
      </c>
      <c r="O73" s="51" t="s">
        <v>535</v>
      </c>
      <c r="P73" s="54" t="s">
        <v>549</v>
      </c>
      <c r="Q73" s="37" t="s">
        <v>146</v>
      </c>
      <c r="R73" s="38" t="s">
        <v>147</v>
      </c>
      <c r="S73" s="39" t="s">
        <v>147</v>
      </c>
      <c r="T73" s="7" t="str">
        <f t="shared" si="1"/>
        <v>ok</v>
      </c>
      <c r="U73" s="39"/>
    </row>
    <row r="74" spans="1:21" ht="106.5" customHeight="1">
      <c r="A74" s="40" t="s">
        <v>550</v>
      </c>
      <c r="B74" s="41" t="s">
        <v>551</v>
      </c>
      <c r="C74" s="55" t="s">
        <v>139</v>
      </c>
      <c r="D74" s="55" t="s">
        <v>171</v>
      </c>
      <c r="E74" s="67" t="s">
        <v>552</v>
      </c>
      <c r="F74" s="76" t="s">
        <v>173</v>
      </c>
      <c r="G74" s="69" t="s">
        <v>334</v>
      </c>
      <c r="H74" s="70"/>
      <c r="I74" s="46" t="s">
        <v>142</v>
      </c>
      <c r="J74" s="47" t="s">
        <v>542</v>
      </c>
      <c r="K74" s="47"/>
      <c r="L74" s="47" t="str" cm="1">
        <f t="array" ref="L74">_xlfn.SWITCH(C74,"Numeric","999999999999999","String","Not applicable","Date","0001-01-01")</f>
        <v>999999999999999</v>
      </c>
      <c r="M74" s="51"/>
      <c r="N74" s="46" t="s">
        <v>553</v>
      </c>
      <c r="O74" s="51" t="s">
        <v>542</v>
      </c>
      <c r="P74" s="54" t="s">
        <v>554</v>
      </c>
      <c r="Q74" s="37" t="s">
        <v>146</v>
      </c>
      <c r="R74" s="38" t="s">
        <v>147</v>
      </c>
      <c r="S74" s="39" t="s">
        <v>147</v>
      </c>
      <c r="T74" s="7" t="str">
        <f t="shared" si="1"/>
        <v>ok</v>
      </c>
      <c r="U74" s="39"/>
    </row>
    <row r="75" spans="1:21" ht="74.25" customHeight="1">
      <c r="A75" s="75" t="s">
        <v>555</v>
      </c>
      <c r="B75" s="41" t="s">
        <v>556</v>
      </c>
      <c r="C75" s="55" t="s">
        <v>139</v>
      </c>
      <c r="D75" s="55" t="s">
        <v>171</v>
      </c>
      <c r="E75" s="67" t="s">
        <v>557</v>
      </c>
      <c r="F75" s="68" t="s">
        <v>334</v>
      </c>
      <c r="G75" s="69" t="s">
        <v>334</v>
      </c>
      <c r="H75" s="70"/>
      <c r="I75" s="46" t="s">
        <v>142</v>
      </c>
      <c r="J75" s="47"/>
      <c r="K75" s="47"/>
      <c r="L75" s="47"/>
      <c r="M75" s="51"/>
      <c r="N75" s="46" t="s">
        <v>558</v>
      </c>
      <c r="O75" s="51" t="s">
        <v>223</v>
      </c>
      <c r="P75" s="54" t="s">
        <v>559</v>
      </c>
      <c r="Q75" s="37" t="s">
        <v>146</v>
      </c>
      <c r="R75" s="38" t="s">
        <v>147</v>
      </c>
      <c r="S75" s="39" t="s">
        <v>147</v>
      </c>
      <c r="T75" s="7" t="str">
        <f t="shared" si="1"/>
        <v>ok</v>
      </c>
    </row>
    <row r="76" spans="1:21" ht="60" customHeight="1">
      <c r="A76" s="75" t="s">
        <v>560</v>
      </c>
      <c r="B76" s="41" t="s">
        <v>561</v>
      </c>
      <c r="C76" s="42" t="s">
        <v>150</v>
      </c>
      <c r="D76" s="42" t="s">
        <v>151</v>
      </c>
      <c r="E76" s="67" t="s">
        <v>562</v>
      </c>
      <c r="F76" s="76" t="s">
        <v>322</v>
      </c>
      <c r="G76" s="69" t="s">
        <v>334</v>
      </c>
      <c r="H76" s="70"/>
      <c r="I76" s="46" t="s">
        <v>142</v>
      </c>
      <c r="J76" s="47"/>
      <c r="K76" s="47"/>
      <c r="L76" s="47"/>
      <c r="M76" s="51"/>
      <c r="N76" s="46" t="s">
        <v>563</v>
      </c>
      <c r="O76" s="121" t="s">
        <v>249</v>
      </c>
      <c r="P76" s="54" t="s">
        <v>564</v>
      </c>
      <c r="Q76" s="37" t="s">
        <v>146</v>
      </c>
      <c r="R76" s="38" t="s">
        <v>147</v>
      </c>
      <c r="S76" s="39" t="s">
        <v>147</v>
      </c>
      <c r="T76" s="7" t="str">
        <f t="shared" si="1"/>
        <v>ok</v>
      </c>
    </row>
    <row r="77" spans="1:21" ht="63" customHeight="1">
      <c r="A77" s="75" t="s">
        <v>565</v>
      </c>
      <c r="B77" s="41" t="s">
        <v>566</v>
      </c>
      <c r="C77" s="42" t="s">
        <v>150</v>
      </c>
      <c r="D77" s="42" t="s">
        <v>151</v>
      </c>
      <c r="E77" s="67" t="s">
        <v>567</v>
      </c>
      <c r="F77" s="76" t="s">
        <v>322</v>
      </c>
      <c r="G77" s="69" t="s">
        <v>334</v>
      </c>
      <c r="H77" s="70"/>
      <c r="I77" s="46" t="s">
        <v>142</v>
      </c>
      <c r="J77" s="47"/>
      <c r="K77" s="47"/>
      <c r="L77" s="47"/>
      <c r="M77" s="51"/>
      <c r="N77" s="46" t="s">
        <v>568</v>
      </c>
      <c r="O77" s="121" t="s">
        <v>249</v>
      </c>
      <c r="P77" s="54" t="s">
        <v>564</v>
      </c>
      <c r="Q77" s="37" t="s">
        <v>146</v>
      </c>
      <c r="R77" s="38" t="s">
        <v>147</v>
      </c>
      <c r="S77" s="39" t="s">
        <v>147</v>
      </c>
      <c r="T77" s="7" t="str">
        <f t="shared" si="1"/>
        <v>ok</v>
      </c>
    </row>
    <row r="78" spans="1:21" ht="219.75" customHeight="1">
      <c r="A78" s="75" t="s">
        <v>569</v>
      </c>
      <c r="B78" s="41" t="s">
        <v>570</v>
      </c>
      <c r="C78" s="42" t="s">
        <v>150</v>
      </c>
      <c r="D78" s="42" t="s">
        <v>239</v>
      </c>
      <c r="E78" s="67" t="s">
        <v>571</v>
      </c>
      <c r="F78" s="76" t="s">
        <v>322</v>
      </c>
      <c r="G78" s="69" t="s">
        <v>334</v>
      </c>
      <c r="H78" s="70"/>
      <c r="I78" s="46" t="s">
        <v>142</v>
      </c>
      <c r="J78" s="47"/>
      <c r="K78" s="47"/>
      <c r="L78" s="47"/>
      <c r="M78" s="51"/>
      <c r="N78" s="46" t="s">
        <v>572</v>
      </c>
      <c r="O78" s="51" t="s">
        <v>249</v>
      </c>
      <c r="P78" s="54" t="s">
        <v>564</v>
      </c>
      <c r="Q78" s="37" t="s">
        <v>146</v>
      </c>
      <c r="R78" s="38" t="s">
        <v>147</v>
      </c>
      <c r="S78" s="39" t="s">
        <v>147</v>
      </c>
      <c r="T78" s="7" t="str">
        <f t="shared" si="1"/>
        <v>ok</v>
      </c>
    </row>
    <row r="79" spans="1:21" ht="65.25" customHeight="1">
      <c r="A79" s="40" t="s">
        <v>573</v>
      </c>
      <c r="B79" s="41" t="s">
        <v>574</v>
      </c>
      <c r="C79" s="42" t="s">
        <v>150</v>
      </c>
      <c r="D79" s="42" t="s">
        <v>253</v>
      </c>
      <c r="E79" s="67" t="s">
        <v>575</v>
      </c>
      <c r="F79" s="76" t="s">
        <v>322</v>
      </c>
      <c r="G79" s="69" t="s">
        <v>334</v>
      </c>
      <c r="H79" s="70"/>
      <c r="I79" s="46" t="s">
        <v>142</v>
      </c>
      <c r="J79" s="47"/>
      <c r="K79" s="47"/>
      <c r="L79" s="47"/>
      <c r="M79" s="51"/>
      <c r="N79" s="46" t="s">
        <v>576</v>
      </c>
      <c r="O79" s="51" t="s">
        <v>350</v>
      </c>
      <c r="P79" s="54" t="s">
        <v>577</v>
      </c>
      <c r="Q79" s="37" t="s">
        <v>146</v>
      </c>
      <c r="R79" s="38" t="s">
        <v>147</v>
      </c>
      <c r="S79" s="39" t="s">
        <v>147</v>
      </c>
      <c r="T79" s="7" t="str">
        <f t="shared" si="1"/>
        <v>ok</v>
      </c>
    </row>
    <row r="80" spans="1:21" ht="90.75" customHeight="1">
      <c r="A80" s="89" t="s">
        <v>578</v>
      </c>
      <c r="B80" s="41" t="s">
        <v>579</v>
      </c>
      <c r="C80" s="55" t="s">
        <v>139</v>
      </c>
      <c r="D80" s="55" t="s">
        <v>171</v>
      </c>
      <c r="E80" s="67" t="s">
        <v>580</v>
      </c>
      <c r="F80" s="68" t="s">
        <v>334</v>
      </c>
      <c r="G80" s="69" t="s">
        <v>334</v>
      </c>
      <c r="H80" s="70"/>
      <c r="I80" s="46" t="s">
        <v>142</v>
      </c>
      <c r="J80" s="47" t="s">
        <v>581</v>
      </c>
      <c r="K80" s="47"/>
      <c r="L80" s="47" t="str" cm="1">
        <f t="array" ref="L80">_xlfn.SWITCH(C80,"Numeric","999999999999999","String","Not applicable","Date","0001-01-01")</f>
        <v>999999999999999</v>
      </c>
      <c r="M80" s="58"/>
      <c r="N80" s="46" t="s">
        <v>582</v>
      </c>
      <c r="O80" s="58" t="s">
        <v>583</v>
      </c>
      <c r="P80" s="60" t="s">
        <v>438</v>
      </c>
      <c r="Q80" s="37" t="s">
        <v>157</v>
      </c>
      <c r="R80" s="38" t="s">
        <v>147</v>
      </c>
      <c r="S80" s="39" t="s">
        <v>180</v>
      </c>
      <c r="T80" s="7" t="str">
        <f t="shared" si="1"/>
        <v>ok</v>
      </c>
    </row>
    <row r="81" spans="1:20" ht="166.5" customHeight="1">
      <c r="A81" s="89" t="s">
        <v>584</v>
      </c>
      <c r="B81" s="41" t="s">
        <v>585</v>
      </c>
      <c r="C81" s="42" t="s">
        <v>150</v>
      </c>
      <c r="D81" s="42" t="s">
        <v>239</v>
      </c>
      <c r="E81" s="67" t="s">
        <v>586</v>
      </c>
      <c r="F81" s="68" t="s">
        <v>334</v>
      </c>
      <c r="G81" s="69" t="s">
        <v>334</v>
      </c>
      <c r="H81" s="70"/>
      <c r="I81" s="46" t="s">
        <v>142</v>
      </c>
      <c r="J81" s="47" t="s">
        <v>587</v>
      </c>
      <c r="K81" s="47"/>
      <c r="L81" s="47" t="str" cm="1">
        <f t="array" ref="L81">_xlfn.SWITCH(C81,"Numeric","999999999999999","String","Not applicable","Date","0001-01-01")</f>
        <v>Not applicable</v>
      </c>
      <c r="M81" s="51" t="s">
        <v>588</v>
      </c>
      <c r="N81" s="46" t="s">
        <v>589</v>
      </c>
      <c r="O81" s="51" t="s">
        <v>587</v>
      </c>
      <c r="P81" s="54" t="s">
        <v>590</v>
      </c>
      <c r="Q81" s="37" t="s">
        <v>157</v>
      </c>
      <c r="R81" s="38" t="s">
        <v>147</v>
      </c>
      <c r="S81" s="39" t="s">
        <v>147</v>
      </c>
      <c r="T81" s="7" t="str">
        <f t="shared" si="1"/>
        <v>ok</v>
      </c>
    </row>
    <row r="82" spans="1:20" ht="243.75" customHeight="1">
      <c r="A82" s="89" t="s">
        <v>591</v>
      </c>
      <c r="B82" s="41" t="s">
        <v>592</v>
      </c>
      <c r="C82" s="55" t="s">
        <v>139</v>
      </c>
      <c r="D82" s="55" t="s">
        <v>171</v>
      </c>
      <c r="E82" s="67" t="s">
        <v>593</v>
      </c>
      <c r="F82" s="68" t="s">
        <v>334</v>
      </c>
      <c r="G82" s="69" t="s">
        <v>334</v>
      </c>
      <c r="H82" s="70"/>
      <c r="I82" s="46" t="s">
        <v>142</v>
      </c>
      <c r="J82" s="47"/>
      <c r="K82" s="47"/>
      <c r="L82" s="47"/>
      <c r="M82" s="58"/>
      <c r="N82" s="46" t="s">
        <v>594</v>
      </c>
      <c r="O82" s="58" t="s">
        <v>267</v>
      </c>
      <c r="P82" s="60" t="s">
        <v>595</v>
      </c>
      <c r="Q82" s="37" t="s">
        <v>146</v>
      </c>
      <c r="R82" s="38" t="s">
        <v>147</v>
      </c>
      <c r="S82" s="39" t="s">
        <v>147</v>
      </c>
      <c r="T82" s="7" t="str">
        <f t="shared" si="1"/>
        <v>ok</v>
      </c>
    </row>
    <row r="83" spans="1:20" ht="94.5" customHeight="1">
      <c r="A83" s="89" t="s">
        <v>596</v>
      </c>
      <c r="B83" s="41" t="s">
        <v>597</v>
      </c>
      <c r="C83" s="42" t="s">
        <v>150</v>
      </c>
      <c r="D83" s="42" t="s">
        <v>151</v>
      </c>
      <c r="E83" s="67" t="s">
        <v>598</v>
      </c>
      <c r="F83" s="68" t="s">
        <v>334</v>
      </c>
      <c r="G83" s="69" t="s">
        <v>334</v>
      </c>
      <c r="H83" s="70"/>
      <c r="I83" s="46" t="s">
        <v>142</v>
      </c>
      <c r="J83" s="47"/>
      <c r="K83" s="47"/>
      <c r="L83" s="47"/>
      <c r="M83" s="51"/>
      <c r="N83" s="46" t="s">
        <v>599</v>
      </c>
      <c r="O83" s="121" t="s">
        <v>249</v>
      </c>
      <c r="P83" s="54" t="s">
        <v>600</v>
      </c>
      <c r="Q83" s="37" t="s">
        <v>146</v>
      </c>
      <c r="R83" s="38" t="s">
        <v>147</v>
      </c>
      <c r="S83" s="39" t="s">
        <v>147</v>
      </c>
      <c r="T83" s="7" t="str">
        <f t="shared" si="1"/>
        <v>ok</v>
      </c>
    </row>
    <row r="84" spans="1:20" ht="126.75" customHeight="1">
      <c r="A84" s="89" t="s">
        <v>601</v>
      </c>
      <c r="B84" s="41" t="s">
        <v>602</v>
      </c>
      <c r="C84" s="42" t="s">
        <v>150</v>
      </c>
      <c r="D84" s="42" t="s">
        <v>253</v>
      </c>
      <c r="E84" s="67" t="s">
        <v>603</v>
      </c>
      <c r="F84" s="68" t="s">
        <v>334</v>
      </c>
      <c r="G84" s="69" t="s">
        <v>334</v>
      </c>
      <c r="H84" s="70"/>
      <c r="I84" s="46" t="s">
        <v>142</v>
      </c>
      <c r="J84" s="47"/>
      <c r="K84" s="47"/>
      <c r="L84" s="47"/>
      <c r="M84" s="51"/>
      <c r="N84" s="46" t="s">
        <v>604</v>
      </c>
      <c r="O84" s="51" t="s">
        <v>350</v>
      </c>
      <c r="P84" s="54" t="s">
        <v>605</v>
      </c>
      <c r="Q84" s="37" t="s">
        <v>146</v>
      </c>
      <c r="R84" s="38" t="s">
        <v>147</v>
      </c>
      <c r="S84" s="39" t="s">
        <v>147</v>
      </c>
      <c r="T84" s="7" t="str">
        <f t="shared" si="1"/>
        <v>ok</v>
      </c>
    </row>
    <row r="85" spans="1:20" ht="84.75" customHeight="1" thickBot="1">
      <c r="A85" s="90" t="s">
        <v>606</v>
      </c>
      <c r="B85" s="91" t="s">
        <v>607</v>
      </c>
      <c r="C85" s="92" t="s">
        <v>150</v>
      </c>
      <c r="D85" s="92" t="s">
        <v>253</v>
      </c>
      <c r="E85" s="93" t="s">
        <v>608</v>
      </c>
      <c r="F85" s="94" t="s">
        <v>334</v>
      </c>
      <c r="G85" s="95" t="s">
        <v>334</v>
      </c>
      <c r="H85" s="70"/>
      <c r="I85" s="96" t="s">
        <v>142</v>
      </c>
      <c r="J85" s="97"/>
      <c r="K85" s="97"/>
      <c r="L85" s="97"/>
      <c r="M85" s="98"/>
      <c r="N85" s="96" t="s">
        <v>609</v>
      </c>
      <c r="O85" s="98" t="s">
        <v>610</v>
      </c>
      <c r="P85" s="99" t="s">
        <v>611</v>
      </c>
      <c r="Q85" s="37" t="s">
        <v>146</v>
      </c>
      <c r="R85" s="38" t="s">
        <v>147</v>
      </c>
      <c r="S85" s="39" t="s">
        <v>147</v>
      </c>
      <c r="T85" s="7" t="str">
        <f t="shared" si="1"/>
        <v>ok</v>
      </c>
    </row>
    <row r="86" spans="1:20" s="100" customFormat="1" ht="16.5">
      <c r="F86" s="101"/>
      <c r="G86" s="101"/>
      <c r="I86" s="102">
        <f>COUNTIF(I5:I85,"Não")</f>
        <v>65</v>
      </c>
      <c r="J86" s="103"/>
      <c r="K86" s="103"/>
      <c r="L86" s="103"/>
      <c r="M86" s="104"/>
      <c r="N86" s="104"/>
      <c r="O86" s="104"/>
      <c r="P86" s="104"/>
      <c r="Q86" s="105"/>
      <c r="R86" s="105"/>
      <c r="S86" s="104"/>
    </row>
    <row r="87" spans="1:20" s="100" customFormat="1" ht="16.5">
      <c r="F87" s="101"/>
      <c r="G87" s="101"/>
      <c r="I87" s="106"/>
      <c r="J87" s="106"/>
      <c r="K87" s="106"/>
      <c r="L87" s="106"/>
      <c r="M87" s="104"/>
      <c r="N87" s="104"/>
      <c r="O87" s="104"/>
      <c r="P87" s="104"/>
      <c r="Q87" s="105"/>
      <c r="R87" s="105"/>
      <c r="S87" s="104"/>
    </row>
    <row r="88" spans="1:20" s="100" customFormat="1" ht="16.5">
      <c r="F88" s="101"/>
      <c r="G88" s="101"/>
      <c r="I88" s="106"/>
      <c r="J88" s="106"/>
      <c r="K88" s="106"/>
      <c r="L88" s="106"/>
      <c r="M88" s="104"/>
      <c r="N88" s="104"/>
      <c r="O88" s="104"/>
      <c r="P88" s="104"/>
      <c r="Q88" s="105"/>
      <c r="R88" s="105"/>
      <c r="S88" s="104"/>
    </row>
    <row r="89" spans="1:20" s="100" customFormat="1" ht="16.5">
      <c r="F89" s="101"/>
      <c r="G89" s="101"/>
      <c r="I89" s="106"/>
      <c r="J89" s="106"/>
      <c r="K89" s="106"/>
      <c r="L89" s="106"/>
      <c r="M89" s="104"/>
      <c r="N89" s="104"/>
      <c r="O89" s="104"/>
      <c r="P89" s="104"/>
      <c r="Q89" s="105"/>
      <c r="R89" s="105"/>
      <c r="S89" s="104"/>
    </row>
    <row r="90" spans="1:20" s="100" customFormat="1" ht="16.5">
      <c r="F90" s="101"/>
      <c r="G90" s="101"/>
      <c r="I90" s="106"/>
      <c r="J90" s="106"/>
      <c r="K90" s="106"/>
      <c r="L90" s="106"/>
      <c r="M90" s="104"/>
      <c r="N90" s="104"/>
      <c r="O90" s="104"/>
      <c r="P90" s="104"/>
      <c r="Q90" s="105"/>
      <c r="R90" s="105"/>
      <c r="S90" s="104"/>
    </row>
    <row r="91" spans="1:20" s="100" customFormat="1" ht="16.5">
      <c r="F91" s="101"/>
      <c r="G91" s="101"/>
      <c r="I91" s="106"/>
      <c r="J91" s="106"/>
      <c r="K91" s="106"/>
      <c r="L91" s="106"/>
      <c r="M91" s="104"/>
      <c r="N91" s="104"/>
      <c r="O91" s="104"/>
      <c r="P91" s="104"/>
      <c r="Q91" s="105"/>
      <c r="R91" s="105"/>
      <c r="S91" s="104"/>
    </row>
    <row r="92" spans="1:20" s="100" customFormat="1" ht="16.5">
      <c r="F92" s="101"/>
      <c r="G92" s="101"/>
      <c r="I92" s="106"/>
      <c r="J92" s="106"/>
      <c r="K92" s="106"/>
      <c r="L92" s="106"/>
      <c r="M92" s="104"/>
      <c r="N92" s="104"/>
      <c r="O92" s="104"/>
      <c r="P92" s="104"/>
      <c r="Q92" s="105"/>
      <c r="R92" s="105"/>
      <c r="S92" s="104"/>
    </row>
    <row r="93" spans="1:20" s="100" customFormat="1" ht="16.5">
      <c r="F93" s="101"/>
      <c r="G93" s="101"/>
      <c r="I93" s="106"/>
      <c r="J93" s="106"/>
      <c r="K93" s="106"/>
      <c r="L93" s="106"/>
      <c r="M93" s="104"/>
      <c r="N93" s="104"/>
      <c r="O93" s="104"/>
      <c r="P93" s="104"/>
      <c r="Q93" s="105"/>
      <c r="R93" s="105"/>
      <c r="S93" s="104"/>
    </row>
    <row r="94" spans="1:20" s="100" customFormat="1" ht="16.5">
      <c r="F94" s="101"/>
      <c r="G94" s="101"/>
      <c r="I94" s="106"/>
      <c r="J94" s="106"/>
      <c r="K94" s="106"/>
      <c r="L94" s="106"/>
      <c r="M94" s="104"/>
      <c r="N94" s="104"/>
      <c r="O94" s="104"/>
      <c r="P94" s="104"/>
      <c r="Q94" s="105"/>
      <c r="R94" s="105"/>
      <c r="S94" s="104"/>
    </row>
    <row r="95" spans="1:20" s="100" customFormat="1" ht="16.5">
      <c r="F95" s="101"/>
      <c r="G95" s="101"/>
      <c r="I95" s="106"/>
      <c r="J95" s="106"/>
      <c r="K95" s="106"/>
      <c r="L95" s="106"/>
      <c r="M95" s="104"/>
      <c r="N95" s="104"/>
      <c r="O95" s="104"/>
      <c r="P95" s="104"/>
      <c r="Q95" s="105"/>
      <c r="R95" s="105"/>
      <c r="S95" s="104"/>
    </row>
    <row r="96" spans="1:20" s="100" customFormat="1" ht="16.5">
      <c r="F96" s="101"/>
      <c r="G96" s="101"/>
      <c r="I96" s="106"/>
      <c r="J96" s="106"/>
      <c r="K96" s="106"/>
      <c r="L96" s="106"/>
      <c r="M96" s="104"/>
      <c r="N96" s="104"/>
      <c r="O96" s="104"/>
      <c r="P96" s="104"/>
      <c r="Q96" s="105"/>
      <c r="R96" s="105"/>
      <c r="S96" s="104"/>
    </row>
    <row r="97" spans="6:19" s="100" customFormat="1" ht="16.5">
      <c r="F97" s="101"/>
      <c r="G97" s="101"/>
      <c r="I97" s="106"/>
      <c r="J97" s="106"/>
      <c r="K97" s="106"/>
      <c r="L97" s="106"/>
      <c r="M97" s="104"/>
      <c r="N97" s="104"/>
      <c r="O97" s="104"/>
      <c r="P97" s="104"/>
      <c r="Q97" s="105"/>
      <c r="R97" s="105"/>
      <c r="S97" s="104"/>
    </row>
    <row r="98" spans="6:19" s="100" customFormat="1" ht="16.5">
      <c r="F98" s="101"/>
      <c r="G98" s="101"/>
      <c r="I98" s="106"/>
      <c r="J98" s="106"/>
      <c r="K98" s="106"/>
      <c r="L98" s="106"/>
      <c r="M98" s="104"/>
      <c r="N98" s="104"/>
      <c r="O98" s="104"/>
      <c r="P98" s="104"/>
      <c r="Q98" s="105"/>
      <c r="R98" s="105"/>
      <c r="S98" s="104"/>
    </row>
    <row r="99" spans="6:19" s="100" customFormat="1" ht="16.5">
      <c r="F99" s="101"/>
      <c r="G99" s="101"/>
      <c r="I99" s="106"/>
      <c r="J99" s="106"/>
      <c r="K99" s="106"/>
      <c r="L99" s="106"/>
      <c r="M99" s="104"/>
      <c r="N99" s="104"/>
      <c r="O99" s="104"/>
      <c r="P99" s="104"/>
      <c r="Q99" s="105"/>
      <c r="R99" s="105"/>
      <c r="S99" s="104"/>
    </row>
    <row r="100" spans="6:19" s="100" customFormat="1" ht="16.5">
      <c r="F100" s="101"/>
      <c r="G100" s="101"/>
      <c r="I100" s="106"/>
      <c r="J100" s="106"/>
      <c r="K100" s="106"/>
      <c r="L100" s="106"/>
      <c r="M100" s="104"/>
      <c r="N100" s="104"/>
      <c r="O100" s="104"/>
      <c r="P100" s="104"/>
      <c r="Q100" s="105"/>
      <c r="R100" s="105"/>
      <c r="S100" s="104"/>
    </row>
    <row r="101" spans="6:19" s="100" customFormat="1" ht="16.5">
      <c r="F101" s="101"/>
      <c r="G101" s="101"/>
      <c r="I101" s="106"/>
      <c r="J101" s="106"/>
      <c r="K101" s="106"/>
      <c r="L101" s="106"/>
      <c r="M101" s="104"/>
      <c r="N101" s="104"/>
      <c r="O101" s="104"/>
      <c r="P101" s="104"/>
      <c r="Q101" s="105"/>
      <c r="R101" s="105"/>
      <c r="S101" s="104"/>
    </row>
  </sheetData>
  <mergeCells count="6">
    <mergeCell ref="A1:S1"/>
    <mergeCell ref="A2:G2"/>
    <mergeCell ref="I2:P2"/>
    <mergeCell ref="I3:M3"/>
    <mergeCell ref="N3:O3"/>
    <mergeCell ref="P3:P4"/>
  </mergeCells>
  <dataValidations count="1">
    <dataValidation allowBlank="1" showInputMessage="1" showErrorMessage="1" sqref="J87:L1048576 J5:K43 L5:L85 O10" xr:uid="{5D24A205-82F1-4A13-A071-4D508685B5D4}"/>
  </dataValidation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83106-8B51-44FD-97F7-4FD4532A93CC}">
  <dimension ref="A1:AI20"/>
  <sheetViews>
    <sheetView workbookViewId="0">
      <pane xSplit="5" ySplit="4" topLeftCell="L5" activePane="bottomRight" state="frozen"/>
      <selection pane="topRight"/>
      <selection pane="bottomLeft"/>
      <selection pane="bottomRight" sqref="A1:Q1"/>
    </sheetView>
  </sheetViews>
  <sheetFormatPr defaultColWidth="9.140625" defaultRowHeight="12.75" customHeight="1"/>
  <cols>
    <col min="1" max="1" width="14.7109375" style="132" customWidth="1"/>
    <col min="2" max="2" width="5" style="132" customWidth="1"/>
    <col min="3" max="3" width="6.85546875" style="132" customWidth="1"/>
    <col min="4" max="4" width="9.140625" style="132" customWidth="1"/>
    <col min="5" max="5" width="54.28515625" style="132" customWidth="1"/>
    <col min="6" max="6" width="14.28515625" style="132" customWidth="1"/>
    <col min="7" max="7" width="13.5703125" style="132" customWidth="1"/>
    <col min="8" max="8" width="2.85546875" style="132" customWidth="1"/>
    <col min="9" max="9" width="7.140625" style="223" customWidth="1"/>
    <col min="10" max="11" width="15.140625" style="223" customWidth="1"/>
    <col min="12" max="12" width="16.5703125" style="223" customWidth="1"/>
    <col min="13" max="13" width="35.140625" style="132" customWidth="1"/>
    <col min="14" max="14" width="24.85546875" style="132" customWidth="1"/>
    <col min="15" max="15" width="40.28515625" style="132" customWidth="1"/>
    <col min="16" max="16" width="32.7109375" style="222" customWidth="1"/>
    <col min="17" max="18" width="17" style="130" customWidth="1"/>
    <col min="19" max="19" width="15.5703125" style="132" hidden="1" customWidth="1"/>
    <col min="20" max="20" width="14.28515625" style="132" hidden="1" customWidth="1"/>
    <col min="21" max="21" width="12.5703125" style="132" hidden="1" customWidth="1"/>
    <col min="22" max="22" width="15.140625" style="132" hidden="1" customWidth="1"/>
    <col min="23" max="23" width="15.85546875" style="132" hidden="1" customWidth="1"/>
    <col min="24" max="24" width="7.85546875" style="132" hidden="1" customWidth="1"/>
    <col min="25" max="25" width="6.7109375" style="132" hidden="1" customWidth="1"/>
    <col min="26" max="26" width="10.5703125" style="132" hidden="1" customWidth="1"/>
    <col min="27" max="33" width="9.140625" style="132" hidden="1" customWidth="1"/>
    <col min="34" max="34" width="14.140625" style="131" customWidth="1"/>
    <col min="35" max="16384" width="9.140625" style="132"/>
  </cols>
  <sheetData>
    <row r="1" spans="1:35" s="128" customFormat="1" ht="21" customHeight="1" thickBot="1">
      <c r="A1" s="408" t="s">
        <v>622</v>
      </c>
      <c r="B1" s="408"/>
      <c r="C1" s="408"/>
      <c r="D1" s="408"/>
      <c r="E1" s="408"/>
      <c r="F1" s="408"/>
      <c r="G1" s="408"/>
      <c r="H1" s="408"/>
      <c r="I1" s="408"/>
      <c r="J1" s="408"/>
      <c r="K1" s="408"/>
      <c r="L1" s="408"/>
      <c r="M1" s="408"/>
      <c r="N1" s="408"/>
      <c r="O1" s="408"/>
      <c r="P1" s="408"/>
      <c r="Q1" s="408"/>
      <c r="R1" s="127"/>
      <c r="AH1" s="129"/>
    </row>
    <row r="2" spans="1:35" ht="17.25" customHeight="1" thickBot="1">
      <c r="A2" s="409" t="s">
        <v>118</v>
      </c>
      <c r="B2" s="410"/>
      <c r="C2" s="410"/>
      <c r="D2" s="410"/>
      <c r="E2" s="410"/>
      <c r="F2" s="410"/>
      <c r="G2" s="411"/>
      <c r="H2" s="8"/>
      <c r="I2" s="415" t="s">
        <v>623</v>
      </c>
      <c r="J2" s="416"/>
      <c r="K2" s="416"/>
      <c r="L2" s="416"/>
      <c r="M2" s="416"/>
      <c r="N2" s="416"/>
      <c r="O2" s="416"/>
      <c r="P2" s="417"/>
      <c r="S2" s="418" t="s">
        <v>624</v>
      </c>
      <c r="T2" s="419"/>
      <c r="U2" s="419"/>
      <c r="V2" s="419"/>
      <c r="W2" s="419"/>
      <c r="X2" s="419"/>
      <c r="Y2" s="419"/>
      <c r="Z2" s="419"/>
      <c r="AA2" s="419"/>
      <c r="AB2" s="419"/>
      <c r="AC2" s="419"/>
      <c r="AD2" s="419"/>
      <c r="AE2" s="419"/>
      <c r="AF2" s="419"/>
      <c r="AG2" s="420"/>
    </row>
    <row r="3" spans="1:35" ht="17.25" customHeight="1" thickBot="1">
      <c r="A3" s="412"/>
      <c r="B3" s="413"/>
      <c r="C3" s="413"/>
      <c r="D3" s="413"/>
      <c r="E3" s="413"/>
      <c r="F3" s="413"/>
      <c r="G3" s="414"/>
      <c r="H3" s="8"/>
      <c r="I3" s="421" t="s">
        <v>120</v>
      </c>
      <c r="J3" s="422"/>
      <c r="K3" s="422"/>
      <c r="L3" s="422"/>
      <c r="M3" s="423"/>
      <c r="N3" s="424" t="s">
        <v>121</v>
      </c>
      <c r="O3" s="425"/>
      <c r="P3" s="426" t="s">
        <v>122</v>
      </c>
      <c r="S3" s="133"/>
      <c r="T3" s="133"/>
      <c r="U3" s="133"/>
      <c r="V3" s="134"/>
      <c r="W3" s="134"/>
      <c r="X3" s="134"/>
      <c r="Y3" s="134"/>
      <c r="Z3" s="134"/>
      <c r="AA3" s="134"/>
      <c r="AB3" s="134"/>
      <c r="AC3" s="134"/>
      <c r="AD3" s="134"/>
      <c r="AE3" s="134"/>
      <c r="AF3" s="134"/>
      <c r="AG3" s="135"/>
    </row>
    <row r="4" spans="1:35" ht="78.75" customHeight="1" thickBot="1">
      <c r="A4" s="17" t="s">
        <v>123</v>
      </c>
      <c r="B4" s="18" t="s">
        <v>124</v>
      </c>
      <c r="C4" s="18" t="s">
        <v>125</v>
      </c>
      <c r="D4" s="18" t="s">
        <v>126</v>
      </c>
      <c r="E4" s="18" t="s">
        <v>127</v>
      </c>
      <c r="F4" s="136" t="s">
        <v>128</v>
      </c>
      <c r="G4" s="137" t="s">
        <v>129</v>
      </c>
      <c r="H4" s="138"/>
      <c r="I4" s="21" t="s">
        <v>130</v>
      </c>
      <c r="J4" s="139" t="s">
        <v>131</v>
      </c>
      <c r="K4" s="139" t="s">
        <v>132</v>
      </c>
      <c r="L4" s="139" t="s">
        <v>133</v>
      </c>
      <c r="M4" s="140" t="s">
        <v>134</v>
      </c>
      <c r="N4" s="141" t="s">
        <v>131</v>
      </c>
      <c r="O4" s="24" t="s">
        <v>134</v>
      </c>
      <c r="P4" s="407"/>
      <c r="Q4" s="25" t="s">
        <v>135</v>
      </c>
      <c r="R4" s="26" t="s">
        <v>136</v>
      </c>
      <c r="S4" s="142" t="s">
        <v>625</v>
      </c>
      <c r="T4" s="142" t="s">
        <v>626</v>
      </c>
      <c r="U4" s="142" t="s">
        <v>627</v>
      </c>
      <c r="V4" s="143" t="s">
        <v>628</v>
      </c>
      <c r="W4" s="143" t="s">
        <v>629</v>
      </c>
      <c r="X4" s="143" t="s">
        <v>630</v>
      </c>
      <c r="Y4" s="143" t="s">
        <v>631</v>
      </c>
      <c r="Z4" s="143" t="s">
        <v>632</v>
      </c>
      <c r="AA4" s="143" t="s">
        <v>633</v>
      </c>
      <c r="AB4" s="143" t="s">
        <v>634</v>
      </c>
      <c r="AC4" s="143" t="s">
        <v>635</v>
      </c>
      <c r="AD4" s="143" t="s">
        <v>636</v>
      </c>
      <c r="AE4" s="143" t="s">
        <v>637</v>
      </c>
      <c r="AF4" s="143" t="s">
        <v>638</v>
      </c>
      <c r="AG4" s="144" t="s">
        <v>639</v>
      </c>
      <c r="AH4" s="131" t="s">
        <v>640</v>
      </c>
    </row>
    <row r="5" spans="1:35" ht="112.5" customHeight="1">
      <c r="A5" s="28" t="s">
        <v>137</v>
      </c>
      <c r="B5" s="145" t="s">
        <v>138</v>
      </c>
      <c r="C5" s="146" t="s">
        <v>139</v>
      </c>
      <c r="D5" s="146" t="s">
        <v>140</v>
      </c>
      <c r="E5" s="147" t="s">
        <v>141</v>
      </c>
      <c r="F5" s="148"/>
      <c r="G5" s="149"/>
      <c r="H5" s="150"/>
      <c r="I5" s="151" t="s">
        <v>142</v>
      </c>
      <c r="J5" s="152"/>
      <c r="K5" s="152"/>
      <c r="L5" s="153"/>
      <c r="M5" s="154"/>
      <c r="N5" s="155" t="s">
        <v>641</v>
      </c>
      <c r="O5" s="156" t="s">
        <v>642</v>
      </c>
      <c r="P5" s="157" t="s">
        <v>643</v>
      </c>
      <c r="Q5" s="37" t="s">
        <v>146</v>
      </c>
      <c r="R5" s="38" t="s">
        <v>147</v>
      </c>
      <c r="S5" s="158"/>
      <c r="T5" s="158"/>
      <c r="U5" s="158"/>
      <c r="V5" s="159"/>
      <c r="W5" s="160"/>
      <c r="X5" s="159" t="s">
        <v>644</v>
      </c>
      <c r="Y5" s="161" t="s">
        <v>138</v>
      </c>
      <c r="Z5" s="159" t="s">
        <v>645</v>
      </c>
      <c r="AA5" s="162"/>
      <c r="AB5" s="162"/>
      <c r="AC5" s="163" t="s">
        <v>646</v>
      </c>
      <c r="AD5" s="163"/>
      <c r="AE5" s="159" t="s">
        <v>647</v>
      </c>
      <c r="AF5" s="164"/>
      <c r="AG5" s="165" t="s">
        <v>644</v>
      </c>
      <c r="AH5" s="166" t="s">
        <v>648</v>
      </c>
    </row>
    <row r="6" spans="1:35" ht="128.25" customHeight="1">
      <c r="A6" s="40" t="s">
        <v>649</v>
      </c>
      <c r="B6" s="52" t="s">
        <v>149</v>
      </c>
      <c r="C6" s="167" t="s">
        <v>150</v>
      </c>
      <c r="D6" s="167" t="s">
        <v>151</v>
      </c>
      <c r="E6" s="168" t="s">
        <v>650</v>
      </c>
      <c r="F6" s="169"/>
      <c r="G6" s="170"/>
      <c r="H6" s="150"/>
      <c r="I6" s="171" t="s">
        <v>142</v>
      </c>
      <c r="J6" s="172" t="s">
        <v>651</v>
      </c>
      <c r="K6" s="172"/>
      <c r="L6" s="173" t="str" cm="1">
        <f t="array" ref="L6">_xlfn.SWITCH(C6,"Numeric","999999999999999","String","Not applicable","Date","0001-01-01")</f>
        <v>Not applicable</v>
      </c>
      <c r="M6" s="174"/>
      <c r="N6" s="175" t="s">
        <v>652</v>
      </c>
      <c r="O6" s="48" t="s">
        <v>653</v>
      </c>
      <c r="P6" s="157" t="s">
        <v>654</v>
      </c>
      <c r="Q6" s="37" t="s">
        <v>157</v>
      </c>
      <c r="R6" s="38" t="s">
        <v>147</v>
      </c>
      <c r="S6" s="176" t="s">
        <v>655</v>
      </c>
      <c r="T6" s="176" t="s">
        <v>656</v>
      </c>
      <c r="U6" s="176" t="s">
        <v>647</v>
      </c>
      <c r="V6" s="177" t="s">
        <v>657</v>
      </c>
      <c r="W6" s="161" t="s">
        <v>658</v>
      </c>
      <c r="X6" s="159" t="s">
        <v>659</v>
      </c>
      <c r="Y6" s="178" t="s">
        <v>149</v>
      </c>
      <c r="Z6" s="159" t="s">
        <v>660</v>
      </c>
      <c r="AA6" s="162"/>
      <c r="AB6" s="162"/>
      <c r="AC6" s="163" t="s">
        <v>646</v>
      </c>
      <c r="AD6" s="163"/>
      <c r="AE6" s="159" t="s">
        <v>647</v>
      </c>
      <c r="AF6" s="164"/>
      <c r="AG6" s="165" t="s">
        <v>644</v>
      </c>
      <c r="AH6" s="166" t="s">
        <v>648</v>
      </c>
    </row>
    <row r="7" spans="1:35" ht="231.75" customHeight="1">
      <c r="A7" s="40" t="s">
        <v>311</v>
      </c>
      <c r="B7" s="52" t="s">
        <v>159</v>
      </c>
      <c r="C7" s="167" t="s">
        <v>150</v>
      </c>
      <c r="D7" s="55" t="s">
        <v>313</v>
      </c>
      <c r="E7" s="168" t="s">
        <v>661</v>
      </c>
      <c r="F7" s="169"/>
      <c r="G7" s="170"/>
      <c r="H7" s="150"/>
      <c r="I7" s="171" t="s">
        <v>142</v>
      </c>
      <c r="J7" s="172"/>
      <c r="K7" s="172"/>
      <c r="L7" s="173"/>
      <c r="M7" s="174"/>
      <c r="N7" s="175" t="s">
        <v>662</v>
      </c>
      <c r="O7" s="48" t="s">
        <v>663</v>
      </c>
      <c r="P7" s="157" t="s">
        <v>664</v>
      </c>
      <c r="Q7" s="37" t="s">
        <v>146</v>
      </c>
      <c r="R7" s="38" t="s">
        <v>147</v>
      </c>
      <c r="S7" s="176" t="s">
        <v>655</v>
      </c>
      <c r="T7" s="176" t="s">
        <v>656</v>
      </c>
      <c r="U7" s="176" t="s">
        <v>647</v>
      </c>
      <c r="V7" s="159" t="s">
        <v>655</v>
      </c>
      <c r="W7" s="179" t="s">
        <v>665</v>
      </c>
      <c r="X7" s="159" t="s">
        <v>666</v>
      </c>
      <c r="Y7" s="178" t="s">
        <v>159</v>
      </c>
      <c r="Z7" s="159" t="s">
        <v>660</v>
      </c>
      <c r="AA7" s="162"/>
      <c r="AB7" s="162"/>
      <c r="AC7" s="163" t="s">
        <v>646</v>
      </c>
      <c r="AD7" s="163"/>
      <c r="AE7" s="159" t="s">
        <v>647</v>
      </c>
      <c r="AF7" s="164"/>
      <c r="AG7" s="165" t="s">
        <v>644</v>
      </c>
      <c r="AH7" s="166" t="s">
        <v>648</v>
      </c>
      <c r="AI7" s="39"/>
    </row>
    <row r="8" spans="1:35" ht="88.5" customHeight="1">
      <c r="A8" s="40" t="s">
        <v>667</v>
      </c>
      <c r="B8" s="52" t="s">
        <v>164</v>
      </c>
      <c r="C8" s="167" t="s">
        <v>150</v>
      </c>
      <c r="D8" s="42" t="s">
        <v>253</v>
      </c>
      <c r="E8" s="168" t="s">
        <v>668</v>
      </c>
      <c r="F8" s="169"/>
      <c r="G8" s="170"/>
      <c r="H8" s="150"/>
      <c r="I8" s="171" t="s">
        <v>142</v>
      </c>
      <c r="J8" s="172"/>
      <c r="K8" s="172"/>
      <c r="L8" s="173"/>
      <c r="M8" s="174"/>
      <c r="N8" s="175" t="s">
        <v>669</v>
      </c>
      <c r="O8" s="48" t="s">
        <v>350</v>
      </c>
      <c r="P8" s="157" t="s">
        <v>670</v>
      </c>
      <c r="Q8" s="37" t="s">
        <v>146</v>
      </c>
      <c r="R8" s="38" t="s">
        <v>147</v>
      </c>
      <c r="S8" s="176" t="s">
        <v>655</v>
      </c>
      <c r="T8" s="176" t="s">
        <v>656</v>
      </c>
      <c r="U8" s="176" t="s">
        <v>647</v>
      </c>
      <c r="V8" s="177" t="s">
        <v>657</v>
      </c>
      <c r="W8" s="180" t="s">
        <v>671</v>
      </c>
      <c r="X8" s="159" t="s">
        <v>672</v>
      </c>
      <c r="Y8" s="178" t="s">
        <v>164</v>
      </c>
      <c r="Z8" s="159" t="s">
        <v>660</v>
      </c>
      <c r="AA8" s="162"/>
      <c r="AB8" s="162"/>
      <c r="AC8" s="163" t="s">
        <v>646</v>
      </c>
      <c r="AD8" s="163"/>
      <c r="AE8" s="159" t="s">
        <v>647</v>
      </c>
      <c r="AF8" s="164"/>
      <c r="AG8" s="165" t="s">
        <v>644</v>
      </c>
      <c r="AH8" s="166" t="s">
        <v>648</v>
      </c>
    </row>
    <row r="9" spans="1:35" ht="151.5" customHeight="1">
      <c r="A9" s="40" t="s">
        <v>673</v>
      </c>
      <c r="B9" s="52" t="s">
        <v>674</v>
      </c>
      <c r="C9" s="167" t="s">
        <v>150</v>
      </c>
      <c r="D9" s="167" t="s">
        <v>675</v>
      </c>
      <c r="E9" s="168" t="s">
        <v>676</v>
      </c>
      <c r="F9" s="169"/>
      <c r="G9" s="170"/>
      <c r="H9" s="150"/>
      <c r="I9" s="171" t="s">
        <v>142</v>
      </c>
      <c r="J9" s="172"/>
      <c r="K9" s="172"/>
      <c r="L9" s="173"/>
      <c r="M9" s="181"/>
      <c r="N9" s="182" t="s">
        <v>677</v>
      </c>
      <c r="O9" s="48" t="s">
        <v>678</v>
      </c>
      <c r="P9" s="157" t="s">
        <v>679</v>
      </c>
      <c r="Q9" s="37" t="s">
        <v>146</v>
      </c>
      <c r="R9" s="38" t="s">
        <v>147</v>
      </c>
      <c r="S9" s="176" t="s">
        <v>655</v>
      </c>
      <c r="T9" s="176" t="s">
        <v>656</v>
      </c>
      <c r="U9" s="176" t="s">
        <v>647</v>
      </c>
      <c r="V9" s="177" t="s">
        <v>657</v>
      </c>
      <c r="W9" s="160" t="s">
        <v>680</v>
      </c>
      <c r="X9" s="159" t="s">
        <v>681</v>
      </c>
      <c r="Y9" s="178" t="s">
        <v>674</v>
      </c>
      <c r="Z9" s="159" t="s">
        <v>660</v>
      </c>
      <c r="AA9" s="162"/>
      <c r="AB9" s="162"/>
      <c r="AC9" s="163" t="s">
        <v>646</v>
      </c>
      <c r="AD9" s="163"/>
      <c r="AE9" s="159" t="s">
        <v>647</v>
      </c>
      <c r="AF9" s="164"/>
      <c r="AG9" s="165" t="s">
        <v>644</v>
      </c>
      <c r="AH9" s="166" t="s">
        <v>648</v>
      </c>
    </row>
    <row r="10" spans="1:35" ht="150.75" customHeight="1">
      <c r="A10" s="40" t="s">
        <v>682</v>
      </c>
      <c r="B10" s="52" t="s">
        <v>182</v>
      </c>
      <c r="C10" s="167" t="s">
        <v>139</v>
      </c>
      <c r="D10" s="183" t="s">
        <v>171</v>
      </c>
      <c r="E10" s="168" t="s">
        <v>683</v>
      </c>
      <c r="F10" s="169"/>
      <c r="G10" s="170"/>
      <c r="H10" s="150"/>
      <c r="I10" s="171" t="s">
        <v>142</v>
      </c>
      <c r="J10" s="172" t="s">
        <v>684</v>
      </c>
      <c r="K10" s="172"/>
      <c r="L10" s="173" t="str" cm="1">
        <f t="array" ref="L10">_xlfn.SWITCH(C10,"Numeric","999999999999999","String","Not applicable","Date","0001-01-01")</f>
        <v>999999999999999</v>
      </c>
      <c r="M10" s="184"/>
      <c r="N10" s="185" t="s">
        <v>685</v>
      </c>
      <c r="O10" s="48" t="s">
        <v>684</v>
      </c>
      <c r="P10" s="157" t="s">
        <v>686</v>
      </c>
      <c r="Q10" s="37" t="s">
        <v>157</v>
      </c>
      <c r="R10" s="38" t="s">
        <v>147</v>
      </c>
      <c r="S10" s="176" t="s">
        <v>655</v>
      </c>
      <c r="T10" s="176" t="s">
        <v>656</v>
      </c>
      <c r="U10" s="176" t="s">
        <v>647</v>
      </c>
      <c r="V10" s="177" t="s">
        <v>657</v>
      </c>
      <c r="W10" s="186" t="s">
        <v>687</v>
      </c>
      <c r="X10" s="159" t="s">
        <v>688</v>
      </c>
      <c r="Y10" s="178" t="s">
        <v>182</v>
      </c>
      <c r="Z10" s="159" t="s">
        <v>689</v>
      </c>
      <c r="AA10" s="162"/>
      <c r="AB10" s="162"/>
      <c r="AC10" s="163" t="s">
        <v>646</v>
      </c>
      <c r="AD10" s="163"/>
      <c r="AE10" s="159" t="s">
        <v>647</v>
      </c>
      <c r="AF10" s="164"/>
      <c r="AG10" s="165" t="s">
        <v>644</v>
      </c>
      <c r="AH10" s="166" t="s">
        <v>648</v>
      </c>
    </row>
    <row r="11" spans="1:35" ht="181.5" customHeight="1">
      <c r="A11" s="40" t="s">
        <v>690</v>
      </c>
      <c r="B11" s="52" t="s">
        <v>188</v>
      </c>
      <c r="C11" s="167" t="s">
        <v>150</v>
      </c>
      <c r="D11" s="167" t="s">
        <v>675</v>
      </c>
      <c r="E11" s="168" t="s">
        <v>691</v>
      </c>
      <c r="F11" s="169"/>
      <c r="G11" s="170"/>
      <c r="H11" s="150"/>
      <c r="I11" s="171" t="s">
        <v>174</v>
      </c>
      <c r="J11" s="172" t="s">
        <v>692</v>
      </c>
      <c r="K11" s="172"/>
      <c r="L11" s="173" t="str" cm="1">
        <f t="array" ref="L11">_xlfn.SWITCH(C11,"Numeric","999999999999999","String","Not applicable","Date","0001-01-01")</f>
        <v>Not applicable</v>
      </c>
      <c r="M11" s="187" t="s">
        <v>693</v>
      </c>
      <c r="N11" s="188" t="s">
        <v>694</v>
      </c>
      <c r="O11" s="189" t="s">
        <v>695</v>
      </c>
      <c r="P11" s="157" t="s">
        <v>696</v>
      </c>
      <c r="Q11" s="37" t="s">
        <v>179</v>
      </c>
      <c r="R11" s="38" t="s">
        <v>202</v>
      </c>
      <c r="S11" s="176" t="s">
        <v>655</v>
      </c>
      <c r="T11" s="176" t="s">
        <v>656</v>
      </c>
      <c r="U11" s="176" t="s">
        <v>647</v>
      </c>
      <c r="V11" s="177" t="s">
        <v>657</v>
      </c>
      <c r="W11" s="190" t="s">
        <v>697</v>
      </c>
      <c r="X11" s="159" t="s">
        <v>698</v>
      </c>
      <c r="Y11" s="178" t="s">
        <v>188</v>
      </c>
      <c r="Z11" s="159" t="s">
        <v>660</v>
      </c>
      <c r="AA11" s="162"/>
      <c r="AB11" s="162"/>
      <c r="AC11" s="163" t="s">
        <v>646</v>
      </c>
      <c r="AD11" s="163"/>
      <c r="AE11" s="159" t="s">
        <v>647</v>
      </c>
      <c r="AF11" s="164"/>
      <c r="AG11" s="165" t="s">
        <v>644</v>
      </c>
      <c r="AH11" s="166" t="s">
        <v>648</v>
      </c>
    </row>
    <row r="12" spans="1:35" ht="133.5" customHeight="1">
      <c r="A12" s="40" t="s">
        <v>699</v>
      </c>
      <c r="B12" s="52" t="s">
        <v>700</v>
      </c>
      <c r="C12" s="167" t="s">
        <v>139</v>
      </c>
      <c r="D12" s="183" t="s">
        <v>171</v>
      </c>
      <c r="E12" s="168" t="s">
        <v>701</v>
      </c>
      <c r="F12" s="169"/>
      <c r="G12" s="170"/>
      <c r="H12" s="150"/>
      <c r="I12" s="171" t="s">
        <v>142</v>
      </c>
      <c r="J12" s="172"/>
      <c r="K12" s="172"/>
      <c r="L12" s="173"/>
      <c r="M12" s="181"/>
      <c r="N12" s="191" t="s">
        <v>702</v>
      </c>
      <c r="O12" s="121" t="s">
        <v>703</v>
      </c>
      <c r="P12" s="192" t="s">
        <v>704</v>
      </c>
      <c r="Q12" s="37" t="s">
        <v>146</v>
      </c>
      <c r="R12" s="38" t="s">
        <v>147</v>
      </c>
      <c r="S12" s="176" t="s">
        <v>655</v>
      </c>
      <c r="T12" s="176" t="s">
        <v>656</v>
      </c>
      <c r="U12" s="176" t="s">
        <v>647</v>
      </c>
      <c r="V12" s="177" t="s">
        <v>657</v>
      </c>
      <c r="W12" s="190" t="s">
        <v>705</v>
      </c>
      <c r="X12" s="159" t="s">
        <v>706</v>
      </c>
      <c r="Y12" s="178" t="s">
        <v>700</v>
      </c>
      <c r="Z12" s="159" t="s">
        <v>689</v>
      </c>
      <c r="AA12" s="162"/>
      <c r="AB12" s="162"/>
      <c r="AC12" s="163" t="s">
        <v>646</v>
      </c>
      <c r="AD12" s="163"/>
      <c r="AE12" s="159" t="s">
        <v>647</v>
      </c>
      <c r="AF12" s="164"/>
      <c r="AG12" s="165" t="s">
        <v>644</v>
      </c>
      <c r="AH12" s="166" t="s">
        <v>707</v>
      </c>
    </row>
    <row r="13" spans="1:35" ht="249" customHeight="1">
      <c r="A13" s="40" t="s">
        <v>708</v>
      </c>
      <c r="B13" s="52" t="s">
        <v>204</v>
      </c>
      <c r="C13" s="167" t="s">
        <v>150</v>
      </c>
      <c r="D13" s="183" t="s">
        <v>270</v>
      </c>
      <c r="E13" s="168" t="s">
        <v>709</v>
      </c>
      <c r="F13" s="169"/>
      <c r="G13" s="170"/>
      <c r="H13" s="150"/>
      <c r="I13" s="171" t="s">
        <v>142</v>
      </c>
      <c r="J13" s="172"/>
      <c r="K13" s="172"/>
      <c r="L13" s="173"/>
      <c r="M13" s="184" t="s">
        <v>710</v>
      </c>
      <c r="N13" s="182" t="s">
        <v>711</v>
      </c>
      <c r="O13" s="36" t="s">
        <v>712</v>
      </c>
      <c r="P13" s="193" t="s">
        <v>713</v>
      </c>
      <c r="Q13" s="37" t="s">
        <v>146</v>
      </c>
      <c r="R13" s="38" t="s">
        <v>147</v>
      </c>
      <c r="S13" s="176" t="s">
        <v>655</v>
      </c>
      <c r="T13" s="176" t="s">
        <v>656</v>
      </c>
      <c r="U13" s="176" t="s">
        <v>647</v>
      </c>
      <c r="V13" s="177" t="s">
        <v>657</v>
      </c>
      <c r="W13" s="190" t="s">
        <v>714</v>
      </c>
      <c r="X13" s="159" t="s">
        <v>715</v>
      </c>
      <c r="Y13" s="178" t="s">
        <v>204</v>
      </c>
      <c r="Z13" s="159" t="s">
        <v>660</v>
      </c>
      <c r="AA13" s="162"/>
      <c r="AB13" s="162"/>
      <c r="AC13" s="163" t="s">
        <v>646</v>
      </c>
      <c r="AD13" s="163"/>
      <c r="AE13" s="159" t="s">
        <v>647</v>
      </c>
      <c r="AF13" s="164"/>
      <c r="AG13" s="165" t="s">
        <v>644</v>
      </c>
      <c r="AH13" s="166" t="s">
        <v>648</v>
      </c>
      <c r="AI13" s="39"/>
    </row>
    <row r="14" spans="1:35" ht="114" customHeight="1">
      <c r="A14" s="40" t="s">
        <v>716</v>
      </c>
      <c r="B14" s="52" t="s">
        <v>717</v>
      </c>
      <c r="C14" s="183" t="s">
        <v>276</v>
      </c>
      <c r="D14" s="183" t="s">
        <v>277</v>
      </c>
      <c r="E14" s="168" t="s">
        <v>718</v>
      </c>
      <c r="F14" s="169"/>
      <c r="G14" s="170"/>
      <c r="H14" s="150"/>
      <c r="I14" s="171" t="s">
        <v>142</v>
      </c>
      <c r="J14" s="172" t="s">
        <v>719</v>
      </c>
      <c r="K14" s="172"/>
      <c r="L14" s="173" t="str" cm="1">
        <f t="array" ref="L14">_xlfn.SWITCH(C14,"Numeric","999999999999999","String","Not applicable","Date","0001-01-01")</f>
        <v>0001-01-01</v>
      </c>
      <c r="M14" s="181"/>
      <c r="N14" s="182" t="s">
        <v>720</v>
      </c>
      <c r="O14" s="48" t="s">
        <v>719</v>
      </c>
      <c r="P14" s="192" t="s">
        <v>721</v>
      </c>
      <c r="Q14" s="37" t="s">
        <v>236</v>
      </c>
      <c r="R14" s="38" t="s">
        <v>202</v>
      </c>
      <c r="S14" s="176" t="s">
        <v>655</v>
      </c>
      <c r="T14" s="176" t="s">
        <v>656</v>
      </c>
      <c r="U14" s="176" t="s">
        <v>647</v>
      </c>
      <c r="V14" s="177" t="s">
        <v>657</v>
      </c>
      <c r="W14" s="186" t="s">
        <v>722</v>
      </c>
      <c r="X14" s="159" t="s">
        <v>723</v>
      </c>
      <c r="Y14" s="178" t="s">
        <v>717</v>
      </c>
      <c r="Z14" s="159" t="s">
        <v>660</v>
      </c>
      <c r="AA14" s="162"/>
      <c r="AB14" s="162"/>
      <c r="AC14" s="163" t="s">
        <v>646</v>
      </c>
      <c r="AD14" s="163"/>
      <c r="AE14" s="159" t="s">
        <v>647</v>
      </c>
      <c r="AF14" s="164"/>
      <c r="AG14" s="165" t="s">
        <v>644</v>
      </c>
      <c r="AH14" s="166" t="s">
        <v>648</v>
      </c>
    </row>
    <row r="15" spans="1:35" ht="144.75" customHeight="1">
      <c r="A15" s="40" t="s">
        <v>724</v>
      </c>
      <c r="B15" s="52" t="s">
        <v>725</v>
      </c>
      <c r="C15" s="167" t="s">
        <v>150</v>
      </c>
      <c r="D15" s="167" t="s">
        <v>151</v>
      </c>
      <c r="E15" s="168" t="s">
        <v>726</v>
      </c>
      <c r="F15" s="169"/>
      <c r="G15" s="170"/>
      <c r="H15" s="150"/>
      <c r="I15" s="171" t="s">
        <v>142</v>
      </c>
      <c r="J15" s="172"/>
      <c r="K15" s="172"/>
      <c r="L15" s="173"/>
      <c r="M15" s="181"/>
      <c r="N15" s="182" t="s">
        <v>727</v>
      </c>
      <c r="O15" s="48" t="s">
        <v>249</v>
      </c>
      <c r="P15" s="194" t="s">
        <v>728</v>
      </c>
      <c r="Q15" s="37" t="s">
        <v>146</v>
      </c>
      <c r="R15" s="38" t="s">
        <v>147</v>
      </c>
      <c r="S15" s="176" t="s">
        <v>655</v>
      </c>
      <c r="T15" s="176" t="s">
        <v>656</v>
      </c>
      <c r="U15" s="176" t="s">
        <v>647</v>
      </c>
      <c r="V15" s="177" t="s">
        <v>657</v>
      </c>
      <c r="W15" s="190" t="s">
        <v>729</v>
      </c>
      <c r="X15" s="159" t="s">
        <v>730</v>
      </c>
      <c r="Y15" s="178" t="s">
        <v>725</v>
      </c>
      <c r="Z15" s="159" t="s">
        <v>660</v>
      </c>
      <c r="AA15" s="162"/>
      <c r="AB15" s="162"/>
      <c r="AC15" s="163" t="s">
        <v>646</v>
      </c>
      <c r="AD15" s="163"/>
      <c r="AE15" s="159" t="s">
        <v>647</v>
      </c>
      <c r="AF15" s="164"/>
      <c r="AG15" s="165" t="s">
        <v>644</v>
      </c>
      <c r="AH15" s="166" t="s">
        <v>731</v>
      </c>
    </row>
    <row r="16" spans="1:35" ht="156" customHeight="1">
      <c r="A16" s="40" t="s">
        <v>732</v>
      </c>
      <c r="B16" s="52" t="s">
        <v>226</v>
      </c>
      <c r="C16" s="167" t="s">
        <v>150</v>
      </c>
      <c r="D16" s="167" t="s">
        <v>151</v>
      </c>
      <c r="E16" s="168" t="s">
        <v>733</v>
      </c>
      <c r="F16" s="169"/>
      <c r="G16" s="170"/>
      <c r="H16" s="150"/>
      <c r="I16" s="171" t="s">
        <v>142</v>
      </c>
      <c r="J16" s="172"/>
      <c r="K16" s="172"/>
      <c r="L16" s="173"/>
      <c r="M16" s="181"/>
      <c r="N16" s="182" t="s">
        <v>734</v>
      </c>
      <c r="O16" s="121" t="s">
        <v>249</v>
      </c>
      <c r="P16" s="192" t="s">
        <v>735</v>
      </c>
      <c r="Q16" s="37" t="s">
        <v>146</v>
      </c>
      <c r="R16" s="38" t="s">
        <v>147</v>
      </c>
      <c r="S16" s="176" t="s">
        <v>655</v>
      </c>
      <c r="T16" s="176" t="s">
        <v>656</v>
      </c>
      <c r="U16" s="176" t="s">
        <v>647</v>
      </c>
      <c r="V16" s="195" t="s">
        <v>657</v>
      </c>
      <c r="W16" s="190" t="s">
        <v>736</v>
      </c>
      <c r="X16" s="159" t="s">
        <v>730</v>
      </c>
      <c r="Y16" s="178" t="s">
        <v>226</v>
      </c>
      <c r="Z16" s="159" t="s">
        <v>660</v>
      </c>
      <c r="AA16" s="162"/>
      <c r="AB16" s="162"/>
      <c r="AC16" s="163" t="s">
        <v>646</v>
      </c>
      <c r="AD16" s="163"/>
      <c r="AE16" s="159" t="s">
        <v>647</v>
      </c>
      <c r="AF16" s="164"/>
      <c r="AG16" s="165" t="s">
        <v>644</v>
      </c>
      <c r="AH16" s="166" t="s">
        <v>707</v>
      </c>
    </row>
    <row r="17" spans="1:34" ht="217.5" customHeight="1">
      <c r="A17" s="75" t="s">
        <v>737</v>
      </c>
      <c r="B17" s="196" t="s">
        <v>231</v>
      </c>
      <c r="C17" s="167" t="s">
        <v>150</v>
      </c>
      <c r="D17" s="167" t="s">
        <v>675</v>
      </c>
      <c r="E17" s="168" t="s">
        <v>738</v>
      </c>
      <c r="F17" s="169"/>
      <c r="G17" s="170"/>
      <c r="H17" s="150"/>
      <c r="I17" s="171" t="s">
        <v>142</v>
      </c>
      <c r="J17" s="172"/>
      <c r="K17" s="172"/>
      <c r="L17" s="173"/>
      <c r="M17" s="181"/>
      <c r="N17" s="182" t="s">
        <v>739</v>
      </c>
      <c r="O17" s="48" t="s">
        <v>249</v>
      </c>
      <c r="P17" s="157" t="s">
        <v>740</v>
      </c>
      <c r="Q17" s="37" t="s">
        <v>146</v>
      </c>
      <c r="R17" s="38" t="s">
        <v>147</v>
      </c>
      <c r="S17" s="176" t="s">
        <v>655</v>
      </c>
      <c r="T17" s="176" t="s">
        <v>656</v>
      </c>
      <c r="U17" s="176" t="s">
        <v>647</v>
      </c>
      <c r="V17" s="197" t="s">
        <v>657</v>
      </c>
      <c r="W17" s="198" t="s">
        <v>741</v>
      </c>
      <c r="X17" s="159" t="s">
        <v>730</v>
      </c>
      <c r="Y17" s="199" t="s">
        <v>231</v>
      </c>
      <c r="Z17" s="159" t="s">
        <v>660</v>
      </c>
      <c r="AA17" s="162"/>
      <c r="AB17" s="162"/>
      <c r="AC17" s="164" t="s">
        <v>646</v>
      </c>
      <c r="AD17" s="164"/>
      <c r="AE17" s="159" t="s">
        <v>647</v>
      </c>
      <c r="AF17" s="164"/>
      <c r="AG17" s="165" t="s">
        <v>644</v>
      </c>
      <c r="AH17" s="166" t="s">
        <v>707</v>
      </c>
    </row>
    <row r="18" spans="1:34" ht="192.75" customHeight="1">
      <c r="A18" s="40" t="s">
        <v>742</v>
      </c>
      <c r="B18" s="52" t="s">
        <v>238</v>
      </c>
      <c r="C18" s="183" t="s">
        <v>276</v>
      </c>
      <c r="D18" s="183" t="s">
        <v>277</v>
      </c>
      <c r="E18" s="168" t="s">
        <v>743</v>
      </c>
      <c r="F18" s="169"/>
      <c r="G18" s="170"/>
      <c r="H18" s="150"/>
      <c r="I18" s="171" t="s">
        <v>142</v>
      </c>
      <c r="J18" s="172"/>
      <c r="K18" s="172"/>
      <c r="L18" s="173"/>
      <c r="M18" s="181"/>
      <c r="N18" s="182" t="s">
        <v>744</v>
      </c>
      <c r="O18" s="48" t="s">
        <v>745</v>
      </c>
      <c r="P18" s="194" t="s">
        <v>746</v>
      </c>
      <c r="Q18" s="37" t="s">
        <v>146</v>
      </c>
      <c r="R18" s="38" t="s">
        <v>147</v>
      </c>
      <c r="S18" s="176" t="s">
        <v>655</v>
      </c>
      <c r="T18" s="176" t="s">
        <v>656</v>
      </c>
      <c r="U18" s="176" t="s">
        <v>647</v>
      </c>
      <c r="V18" s="177" t="s">
        <v>657</v>
      </c>
      <c r="W18" s="190" t="s">
        <v>747</v>
      </c>
      <c r="X18" s="159" t="s">
        <v>730</v>
      </c>
      <c r="Y18" s="178" t="s">
        <v>238</v>
      </c>
      <c r="Z18" s="159" t="s">
        <v>660</v>
      </c>
      <c r="AA18" s="162"/>
      <c r="AB18" s="162"/>
      <c r="AC18" s="163" t="s">
        <v>646</v>
      </c>
      <c r="AD18" s="163"/>
      <c r="AE18" s="159" t="s">
        <v>647</v>
      </c>
      <c r="AF18" s="164"/>
      <c r="AG18" s="165" t="s">
        <v>644</v>
      </c>
      <c r="AH18" s="166" t="s">
        <v>707</v>
      </c>
    </row>
    <row r="19" spans="1:34" ht="280.5" customHeight="1" thickBot="1">
      <c r="A19" s="200" t="s">
        <v>748</v>
      </c>
      <c r="B19" s="201" t="s">
        <v>252</v>
      </c>
      <c r="C19" s="202" t="s">
        <v>150</v>
      </c>
      <c r="D19" s="202" t="s">
        <v>675</v>
      </c>
      <c r="E19" s="203" t="s">
        <v>749</v>
      </c>
      <c r="F19" s="204"/>
      <c r="G19" s="205"/>
      <c r="H19" s="150"/>
      <c r="I19" s="206" t="s">
        <v>142</v>
      </c>
      <c r="J19" s="207"/>
      <c r="K19" s="207"/>
      <c r="L19" s="208"/>
      <c r="M19" s="209"/>
      <c r="N19" s="210" t="s">
        <v>750</v>
      </c>
      <c r="O19" s="211" t="s">
        <v>249</v>
      </c>
      <c r="P19" s="212" t="s">
        <v>751</v>
      </c>
      <c r="Q19" s="37" t="s">
        <v>146</v>
      </c>
      <c r="R19" s="38" t="s">
        <v>147</v>
      </c>
      <c r="S19" s="176" t="s">
        <v>655</v>
      </c>
      <c r="T19" s="176" t="s">
        <v>656</v>
      </c>
      <c r="U19" s="176" t="s">
        <v>647</v>
      </c>
      <c r="V19" s="213" t="s">
        <v>657</v>
      </c>
      <c r="W19" s="214" t="s">
        <v>752</v>
      </c>
      <c r="X19" s="215" t="s">
        <v>730</v>
      </c>
      <c r="Y19" s="216" t="s">
        <v>252</v>
      </c>
      <c r="Z19" s="215" t="s">
        <v>660</v>
      </c>
      <c r="AA19" s="217"/>
      <c r="AB19" s="217"/>
      <c r="AC19" s="218" t="s">
        <v>646</v>
      </c>
      <c r="AD19" s="218"/>
      <c r="AE19" s="215" t="s">
        <v>647</v>
      </c>
      <c r="AF19" s="219"/>
      <c r="AG19" s="220" t="s">
        <v>644</v>
      </c>
      <c r="AH19" s="166" t="s">
        <v>707</v>
      </c>
    </row>
    <row r="20" spans="1:34" ht="16.5">
      <c r="I20" s="221"/>
      <c r="J20" s="221"/>
      <c r="K20" s="221"/>
      <c r="L20" s="221"/>
    </row>
  </sheetData>
  <mergeCells count="7">
    <mergeCell ref="A1:Q1"/>
    <mergeCell ref="A2:G3"/>
    <mergeCell ref="I2:P2"/>
    <mergeCell ref="S2:AG2"/>
    <mergeCell ref="I3:M3"/>
    <mergeCell ref="N3:O3"/>
    <mergeCell ref="P3:P4"/>
  </mergeCells>
  <dataValidations count="1">
    <dataValidation allowBlank="1" showInputMessage="1" showErrorMessage="1" sqref="J5:L19" xr:uid="{4C5EE33D-89C7-4C6D-BE70-CD868D23A2A3}"/>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20622-DB5E-41A7-998E-CFD4C377CC7C}">
  <dimension ref="A1:AH15"/>
  <sheetViews>
    <sheetView zoomScale="80" zoomScaleNormal="80" workbookViewId="0">
      <pane xSplit="5" ySplit="4" topLeftCell="G5" activePane="bottomRight" state="frozen"/>
      <selection pane="topRight"/>
      <selection pane="bottomLeft"/>
      <selection pane="bottomRight" sqref="A1:Q1"/>
    </sheetView>
  </sheetViews>
  <sheetFormatPr defaultColWidth="9.140625" defaultRowHeight="39.75" customHeight="1"/>
  <cols>
    <col min="1" max="1" width="11.85546875" style="132" customWidth="1"/>
    <col min="2" max="2" width="4.85546875" style="132" customWidth="1"/>
    <col min="3" max="3" width="7.28515625" style="132" customWidth="1"/>
    <col min="4" max="4" width="8.140625" style="132" customWidth="1"/>
    <col min="5" max="5" width="73.42578125" style="132" customWidth="1"/>
    <col min="6" max="6" width="14.140625" style="132" customWidth="1"/>
    <col min="7" max="7" width="14.5703125" style="132" customWidth="1"/>
    <col min="8" max="8" width="1.140625" style="150" customWidth="1"/>
    <col min="9" max="9" width="6.140625" style="221" customWidth="1"/>
    <col min="10" max="10" width="14.42578125" style="221" customWidth="1"/>
    <col min="11" max="11" width="12.140625" style="221" customWidth="1"/>
    <col min="12" max="12" width="13.42578125" style="221" customWidth="1"/>
    <col min="13" max="13" width="32.85546875" style="132" customWidth="1"/>
    <col min="14" max="14" width="18.7109375" style="132" customWidth="1"/>
    <col min="15" max="15" width="55.42578125" style="132" customWidth="1"/>
    <col min="16" max="16" width="31.42578125" style="132" customWidth="1"/>
    <col min="17" max="18" width="15.28515625" style="130" customWidth="1"/>
    <col min="19" max="19" width="16" style="132" hidden="1" customWidth="1"/>
    <col min="20" max="21" width="14.28515625" style="132" hidden="1" customWidth="1"/>
    <col min="22" max="22" width="15.5703125" style="132" hidden="1" customWidth="1"/>
    <col min="23" max="23" width="26.5703125" style="132" hidden="1" customWidth="1"/>
    <col min="24" max="24" width="7.7109375" style="132" hidden="1" customWidth="1"/>
    <col min="25" max="25" width="7.42578125" style="132" hidden="1" customWidth="1"/>
    <col min="26" max="26" width="11.28515625" style="132" hidden="1" customWidth="1"/>
    <col min="27" max="27" width="8.28515625" style="132" hidden="1" customWidth="1"/>
    <col min="28" max="28" width="6.7109375" style="132" hidden="1" customWidth="1"/>
    <col min="29" max="29" width="6.28515625" style="132" hidden="1" customWidth="1"/>
    <col min="30" max="30" width="8.42578125" style="132" hidden="1" customWidth="1"/>
    <col min="31" max="31" width="9.140625" style="132" hidden="1" customWidth="1"/>
    <col min="32" max="32" width="7.28515625" style="132" hidden="1" customWidth="1"/>
    <col min="33" max="33" width="8.85546875" style="132" hidden="1" customWidth="1"/>
    <col min="34" max="34" width="13" style="150" hidden="1" customWidth="1"/>
    <col min="35" max="16384" width="9.140625" style="132"/>
  </cols>
  <sheetData>
    <row r="1" spans="1:34" s="128" customFormat="1" ht="19.5" customHeight="1" thickBot="1">
      <c r="A1" s="427" t="s">
        <v>753</v>
      </c>
      <c r="B1" s="427"/>
      <c r="C1" s="427"/>
      <c r="D1" s="427"/>
      <c r="E1" s="427"/>
      <c r="F1" s="427"/>
      <c r="G1" s="427"/>
      <c r="H1" s="427"/>
      <c r="I1" s="427"/>
      <c r="J1" s="427"/>
      <c r="K1" s="427"/>
      <c r="L1" s="427"/>
      <c r="M1" s="427"/>
      <c r="N1" s="427"/>
      <c r="O1" s="427"/>
      <c r="P1" s="427"/>
      <c r="Q1" s="427"/>
      <c r="R1" s="127"/>
      <c r="AH1" s="224"/>
    </row>
    <row r="2" spans="1:34" ht="22.5" customHeight="1" thickBot="1">
      <c r="A2" s="428" t="s">
        <v>118</v>
      </c>
      <c r="B2" s="396"/>
      <c r="C2" s="396"/>
      <c r="D2" s="396"/>
      <c r="E2" s="396"/>
      <c r="F2" s="396"/>
      <c r="G2" s="397"/>
      <c r="H2" s="225"/>
      <c r="I2" s="429" t="s">
        <v>623</v>
      </c>
      <c r="J2" s="430"/>
      <c r="K2" s="430"/>
      <c r="L2" s="430"/>
      <c r="M2" s="430"/>
      <c r="N2" s="430"/>
      <c r="O2" s="430"/>
      <c r="P2" s="431"/>
      <c r="Q2" s="226"/>
      <c r="R2" s="226"/>
      <c r="S2" s="432" t="s">
        <v>624</v>
      </c>
      <c r="T2" s="432"/>
      <c r="U2" s="432"/>
      <c r="V2" s="433"/>
      <c r="W2" s="433"/>
      <c r="X2" s="433"/>
      <c r="Y2" s="433"/>
      <c r="Z2" s="433"/>
      <c r="AA2" s="433"/>
      <c r="AB2" s="433"/>
      <c r="AC2" s="433"/>
      <c r="AD2" s="433"/>
      <c r="AE2" s="433"/>
      <c r="AF2" s="433"/>
      <c r="AG2" s="434"/>
    </row>
    <row r="3" spans="1:34" ht="22.5" customHeight="1" thickBot="1">
      <c r="A3" s="227"/>
      <c r="B3" s="13"/>
      <c r="C3" s="13"/>
      <c r="D3" s="13"/>
      <c r="E3" s="13"/>
      <c r="F3" s="13"/>
      <c r="G3" s="14"/>
      <c r="H3" s="225"/>
      <c r="I3" s="435" t="s">
        <v>120</v>
      </c>
      <c r="J3" s="436"/>
      <c r="K3" s="437"/>
      <c r="L3" s="437"/>
      <c r="M3" s="425"/>
      <c r="N3" s="424" t="s">
        <v>121</v>
      </c>
      <c r="O3" s="437"/>
      <c r="P3" s="438" t="s">
        <v>122</v>
      </c>
      <c r="Q3" s="226"/>
      <c r="R3" s="226"/>
      <c r="S3" s="228"/>
      <c r="T3" s="228"/>
      <c r="U3" s="228"/>
      <c r="V3" s="229"/>
      <c r="W3" s="229"/>
      <c r="X3" s="229"/>
      <c r="Y3" s="229"/>
      <c r="Z3" s="229"/>
      <c r="AA3" s="229"/>
      <c r="AB3" s="229"/>
      <c r="AC3" s="229"/>
      <c r="AD3" s="229"/>
      <c r="AE3" s="229"/>
      <c r="AF3" s="229"/>
      <c r="AG3" s="230"/>
    </row>
    <row r="4" spans="1:34" ht="50.25" customHeight="1" thickBot="1">
      <c r="A4" s="231" t="s">
        <v>123</v>
      </c>
      <c r="B4" s="232" t="s">
        <v>124</v>
      </c>
      <c r="C4" s="232" t="s">
        <v>125</v>
      </c>
      <c r="D4" s="232" t="s">
        <v>126</v>
      </c>
      <c r="E4" s="232" t="s">
        <v>127</v>
      </c>
      <c r="F4" s="233" t="s">
        <v>128</v>
      </c>
      <c r="G4" s="234" t="s">
        <v>129</v>
      </c>
      <c r="H4" s="138"/>
      <c r="I4" s="21" t="s">
        <v>130</v>
      </c>
      <c r="J4" s="139" t="s">
        <v>131</v>
      </c>
      <c r="K4" s="139" t="s">
        <v>132</v>
      </c>
      <c r="L4" s="139" t="s">
        <v>133</v>
      </c>
      <c r="M4" s="140" t="s">
        <v>134</v>
      </c>
      <c r="N4" s="141" t="s">
        <v>131</v>
      </c>
      <c r="O4" s="24" t="s">
        <v>134</v>
      </c>
      <c r="P4" s="439"/>
      <c r="Q4" s="25" t="s">
        <v>135</v>
      </c>
      <c r="R4" s="26" t="s">
        <v>136</v>
      </c>
      <c r="S4" s="142" t="s">
        <v>625</v>
      </c>
      <c r="T4" s="142" t="s">
        <v>626</v>
      </c>
      <c r="U4" s="142" t="s">
        <v>627</v>
      </c>
      <c r="V4" s="143" t="s">
        <v>628</v>
      </c>
      <c r="W4" s="143" t="s">
        <v>629</v>
      </c>
      <c r="X4" s="143" t="s">
        <v>630</v>
      </c>
      <c r="Y4" s="143" t="s">
        <v>631</v>
      </c>
      <c r="Z4" s="143" t="s">
        <v>632</v>
      </c>
      <c r="AA4" s="143" t="s">
        <v>633</v>
      </c>
      <c r="AB4" s="143" t="s">
        <v>634</v>
      </c>
      <c r="AC4" s="143" t="s">
        <v>635</v>
      </c>
      <c r="AD4" s="143" t="s">
        <v>636</v>
      </c>
      <c r="AE4" s="143" t="s">
        <v>637</v>
      </c>
      <c r="AF4" s="143" t="s">
        <v>638</v>
      </c>
      <c r="AG4" s="144" t="s">
        <v>639</v>
      </c>
      <c r="AH4" s="235" t="s">
        <v>754</v>
      </c>
    </row>
    <row r="5" spans="1:34" ht="102" customHeight="1">
      <c r="A5" s="40" t="s">
        <v>137</v>
      </c>
      <c r="B5" s="52" t="s">
        <v>138</v>
      </c>
      <c r="C5" s="167" t="s">
        <v>139</v>
      </c>
      <c r="D5" s="42" t="s">
        <v>140</v>
      </c>
      <c r="E5" s="236" t="s">
        <v>755</v>
      </c>
      <c r="F5" s="237"/>
      <c r="G5" s="238"/>
      <c r="I5" s="239" t="s">
        <v>142</v>
      </c>
      <c r="J5" s="35"/>
      <c r="K5" s="35"/>
      <c r="L5" s="35"/>
      <c r="M5" s="240"/>
      <c r="N5" s="241" t="s">
        <v>756</v>
      </c>
      <c r="O5" s="116" t="s">
        <v>757</v>
      </c>
      <c r="P5" s="54" t="s">
        <v>758</v>
      </c>
      <c r="Q5" s="37" t="s">
        <v>146</v>
      </c>
      <c r="R5" s="242" t="s">
        <v>147</v>
      </c>
      <c r="S5" s="176"/>
      <c r="T5" s="158"/>
      <c r="U5" s="158"/>
      <c r="V5" s="164"/>
      <c r="W5" s="159"/>
      <c r="X5" s="159" t="s">
        <v>644</v>
      </c>
      <c r="Y5" s="159" t="s">
        <v>138</v>
      </c>
      <c r="Z5" s="159" t="s">
        <v>645</v>
      </c>
      <c r="AA5" s="162"/>
      <c r="AB5" s="162"/>
      <c r="AC5" s="159" t="s">
        <v>646</v>
      </c>
      <c r="AD5" s="159"/>
      <c r="AE5" s="159" t="s">
        <v>759</v>
      </c>
      <c r="AF5" s="162"/>
      <c r="AG5" s="243" t="s">
        <v>644</v>
      </c>
      <c r="AH5" s="244" t="s">
        <v>760</v>
      </c>
    </row>
    <row r="6" spans="1:34" ht="159.75" customHeight="1">
      <c r="A6" s="40" t="s">
        <v>761</v>
      </c>
      <c r="B6" s="52" t="s">
        <v>762</v>
      </c>
      <c r="C6" s="167" t="s">
        <v>150</v>
      </c>
      <c r="D6" s="42" t="s">
        <v>239</v>
      </c>
      <c r="E6" s="245" t="s">
        <v>763</v>
      </c>
      <c r="F6" s="237"/>
      <c r="G6" s="238"/>
      <c r="I6" s="246" t="s">
        <v>142</v>
      </c>
      <c r="J6" s="47"/>
      <c r="K6" s="47"/>
      <c r="L6" s="47"/>
      <c r="M6" s="247"/>
      <c r="N6" s="248" t="s">
        <v>764</v>
      </c>
      <c r="O6" s="58" t="s">
        <v>765</v>
      </c>
      <c r="P6" s="54" t="s">
        <v>758</v>
      </c>
      <c r="Q6" s="37" t="s">
        <v>146</v>
      </c>
      <c r="R6" s="242" t="s">
        <v>147</v>
      </c>
      <c r="S6" s="176"/>
      <c r="T6" s="176"/>
      <c r="U6" s="249"/>
      <c r="V6" s="164" t="s">
        <v>1</v>
      </c>
      <c r="W6" s="250" t="s">
        <v>656</v>
      </c>
      <c r="X6" s="159" t="s">
        <v>659</v>
      </c>
      <c r="Y6" s="159" t="s">
        <v>762</v>
      </c>
      <c r="Z6" s="159" t="s">
        <v>660</v>
      </c>
      <c r="AA6" s="162"/>
      <c r="AB6" s="162"/>
      <c r="AC6" s="159" t="s">
        <v>646</v>
      </c>
      <c r="AD6" s="159"/>
      <c r="AE6" s="159" t="s">
        <v>759</v>
      </c>
      <c r="AF6" s="162"/>
      <c r="AG6" s="243" t="s">
        <v>644</v>
      </c>
      <c r="AH6" s="244" t="s">
        <v>760</v>
      </c>
    </row>
    <row r="7" spans="1:34" ht="274.5" customHeight="1">
      <c r="A7" s="251" t="s">
        <v>158</v>
      </c>
      <c r="B7" s="252" t="s">
        <v>149</v>
      </c>
      <c r="C7" s="253" t="s">
        <v>150</v>
      </c>
      <c r="D7" s="254" t="s">
        <v>151</v>
      </c>
      <c r="E7" s="255" t="s">
        <v>766</v>
      </c>
      <c r="F7" s="256"/>
      <c r="G7" s="257"/>
      <c r="H7" s="224"/>
      <c r="I7" s="246" t="s">
        <v>142</v>
      </c>
      <c r="J7" s="47"/>
      <c r="K7" s="47"/>
      <c r="L7" s="47"/>
      <c r="M7" s="247"/>
      <c r="N7" s="248" t="s">
        <v>767</v>
      </c>
      <c r="O7" s="58" t="s">
        <v>768</v>
      </c>
      <c r="P7" s="54" t="s">
        <v>758</v>
      </c>
      <c r="Q7" s="37" t="s">
        <v>146</v>
      </c>
      <c r="R7" s="242" t="s">
        <v>147</v>
      </c>
      <c r="S7" s="258" t="s">
        <v>655</v>
      </c>
      <c r="T7" s="258" t="s">
        <v>656</v>
      </c>
      <c r="U7" s="258" t="s">
        <v>769</v>
      </c>
      <c r="V7" s="259" t="s">
        <v>655</v>
      </c>
      <c r="W7" s="260" t="s">
        <v>4</v>
      </c>
      <c r="X7" s="259" t="s">
        <v>666</v>
      </c>
      <c r="Y7" s="259" t="s">
        <v>149</v>
      </c>
      <c r="Z7" s="259" t="s">
        <v>660</v>
      </c>
      <c r="AA7" s="261"/>
      <c r="AB7" s="261"/>
      <c r="AC7" s="259" t="s">
        <v>646</v>
      </c>
      <c r="AD7" s="259"/>
      <c r="AE7" s="259" t="s">
        <v>759</v>
      </c>
      <c r="AF7" s="261"/>
      <c r="AG7" s="262" t="s">
        <v>644</v>
      </c>
      <c r="AH7" s="263" t="s">
        <v>760</v>
      </c>
    </row>
    <row r="8" spans="1:34" ht="125.25" customHeight="1">
      <c r="A8" s="40" t="s">
        <v>770</v>
      </c>
      <c r="B8" s="41" t="s">
        <v>159</v>
      </c>
      <c r="C8" s="167" t="s">
        <v>150</v>
      </c>
      <c r="D8" s="42" t="s">
        <v>239</v>
      </c>
      <c r="E8" s="245" t="s">
        <v>771</v>
      </c>
      <c r="F8" s="237"/>
      <c r="G8" s="238"/>
      <c r="I8" s="246" t="s">
        <v>174</v>
      </c>
      <c r="J8" s="47" t="s">
        <v>772</v>
      </c>
      <c r="K8" s="47"/>
      <c r="L8" s="47" t="str" cm="1">
        <f t="array" ref="L8">_xlfn.SWITCH(C8,"Numeric","999999999999999","String","Not applicable","Date","0001-01-01")</f>
        <v>Not applicable</v>
      </c>
      <c r="M8" s="174" t="s">
        <v>773</v>
      </c>
      <c r="N8" s="264" t="s">
        <v>774</v>
      </c>
      <c r="O8" s="121" t="s">
        <v>772</v>
      </c>
      <c r="P8" s="124" t="s">
        <v>775</v>
      </c>
      <c r="Q8" s="265" t="s">
        <v>179</v>
      </c>
      <c r="R8" s="242" t="s">
        <v>202</v>
      </c>
      <c r="S8" s="176"/>
      <c r="T8" s="176"/>
      <c r="U8" s="249"/>
      <c r="V8" s="266" t="s">
        <v>776</v>
      </c>
      <c r="W8" s="267" t="s">
        <v>777</v>
      </c>
      <c r="X8" s="159" t="s">
        <v>672</v>
      </c>
      <c r="Y8" s="159" t="s">
        <v>159</v>
      </c>
      <c r="Z8" s="159" t="s">
        <v>660</v>
      </c>
      <c r="AA8" s="162"/>
      <c r="AB8" s="162"/>
      <c r="AC8" s="159" t="s">
        <v>646</v>
      </c>
      <c r="AD8" s="159"/>
      <c r="AE8" s="159" t="s">
        <v>759</v>
      </c>
      <c r="AF8" s="162"/>
      <c r="AG8" s="243" t="s">
        <v>644</v>
      </c>
      <c r="AH8" s="244" t="s">
        <v>760</v>
      </c>
    </row>
    <row r="9" spans="1:34" ht="102" customHeight="1">
      <c r="A9" s="40" t="s">
        <v>778</v>
      </c>
      <c r="B9" s="41" t="s">
        <v>164</v>
      </c>
      <c r="C9" s="167" t="s">
        <v>150</v>
      </c>
      <c r="D9" s="42" t="s">
        <v>151</v>
      </c>
      <c r="E9" s="245" t="s">
        <v>779</v>
      </c>
      <c r="F9" s="56" t="s">
        <v>322</v>
      </c>
      <c r="G9" s="238"/>
      <c r="I9" s="246" t="s">
        <v>142</v>
      </c>
      <c r="J9" s="47" t="s">
        <v>780</v>
      </c>
      <c r="K9" s="47"/>
      <c r="L9" s="47" t="str" cm="1">
        <f t="array" ref="L9">_xlfn.SWITCH(C9,"Numeric","999999999999999","String","Not applicable","Date","0001-01-01")</f>
        <v>Not applicable</v>
      </c>
      <c r="M9" s="268"/>
      <c r="N9" s="264" t="s">
        <v>781</v>
      </c>
      <c r="O9" s="121" t="s">
        <v>782</v>
      </c>
      <c r="P9" s="124" t="s">
        <v>783</v>
      </c>
      <c r="Q9" s="37" t="s">
        <v>157</v>
      </c>
      <c r="R9" s="242" t="s">
        <v>202</v>
      </c>
      <c r="S9" s="176"/>
      <c r="T9" s="176"/>
      <c r="U9" s="249"/>
      <c r="V9" s="266" t="s">
        <v>776</v>
      </c>
      <c r="W9" s="269" t="s">
        <v>784</v>
      </c>
      <c r="X9" s="159" t="s">
        <v>681</v>
      </c>
      <c r="Y9" s="159" t="s">
        <v>164</v>
      </c>
      <c r="Z9" s="159" t="s">
        <v>660</v>
      </c>
      <c r="AA9" s="162"/>
      <c r="AB9" s="162"/>
      <c r="AC9" s="159" t="s">
        <v>646</v>
      </c>
      <c r="AD9" s="159"/>
      <c r="AE9" s="159" t="s">
        <v>759</v>
      </c>
      <c r="AF9" s="162"/>
      <c r="AG9" s="243" t="s">
        <v>644</v>
      </c>
      <c r="AH9" s="244" t="s">
        <v>760</v>
      </c>
    </row>
    <row r="10" spans="1:34" ht="175.5" customHeight="1">
      <c r="A10" s="40" t="s">
        <v>785</v>
      </c>
      <c r="B10" s="41" t="s">
        <v>674</v>
      </c>
      <c r="C10" s="167" t="s">
        <v>150</v>
      </c>
      <c r="D10" s="42" t="s">
        <v>151</v>
      </c>
      <c r="E10" s="245" t="s">
        <v>786</v>
      </c>
      <c r="F10" s="56" t="s">
        <v>322</v>
      </c>
      <c r="G10" s="238"/>
      <c r="I10" s="246" t="s">
        <v>142</v>
      </c>
      <c r="J10" s="47" t="s">
        <v>787</v>
      </c>
      <c r="K10" s="47"/>
      <c r="L10" s="47" t="str" cm="1">
        <f t="array" ref="L10">_xlfn.SWITCH(C10,"Numeric","999999999999999","String","Not applicable","Date","0001-01-01")</f>
        <v>Not applicable</v>
      </c>
      <c r="M10" s="268"/>
      <c r="N10" s="264" t="s">
        <v>788</v>
      </c>
      <c r="O10" s="122" t="s">
        <v>789</v>
      </c>
      <c r="P10" s="124" t="s">
        <v>790</v>
      </c>
      <c r="Q10" s="37" t="s">
        <v>157</v>
      </c>
      <c r="R10" s="242" t="s">
        <v>202</v>
      </c>
      <c r="S10" s="176"/>
      <c r="T10" s="176"/>
      <c r="U10" s="249"/>
      <c r="V10" s="266" t="s">
        <v>776</v>
      </c>
      <c r="W10" s="161" t="s">
        <v>791</v>
      </c>
      <c r="X10" s="159" t="s">
        <v>688</v>
      </c>
      <c r="Y10" s="159" t="s">
        <v>674</v>
      </c>
      <c r="Z10" s="159" t="s">
        <v>660</v>
      </c>
      <c r="AA10" s="162"/>
      <c r="AB10" s="162"/>
      <c r="AC10" s="159" t="s">
        <v>646</v>
      </c>
      <c r="AD10" s="159"/>
      <c r="AE10" s="159" t="s">
        <v>759</v>
      </c>
      <c r="AF10" s="162"/>
      <c r="AG10" s="243" t="s">
        <v>644</v>
      </c>
      <c r="AH10" s="244" t="s">
        <v>760</v>
      </c>
    </row>
    <row r="11" spans="1:34" ht="112.5" customHeight="1">
      <c r="A11" s="40" t="s">
        <v>792</v>
      </c>
      <c r="B11" s="41" t="s">
        <v>182</v>
      </c>
      <c r="C11" s="167" t="s">
        <v>150</v>
      </c>
      <c r="D11" s="270" t="s">
        <v>165</v>
      </c>
      <c r="E11" s="245" t="s">
        <v>793</v>
      </c>
      <c r="F11" s="56" t="s">
        <v>322</v>
      </c>
      <c r="G11" s="238"/>
      <c r="I11" s="246" t="s">
        <v>142</v>
      </c>
      <c r="J11" s="47" t="s">
        <v>794</v>
      </c>
      <c r="K11" s="47"/>
      <c r="L11" s="47" t="str" cm="1">
        <f t="array" ref="L11">_xlfn.SWITCH(C11,"Numeric","999999999999999","String","Not applicable","Date","0001-01-01")</f>
        <v>Not applicable</v>
      </c>
      <c r="M11" s="268" t="s">
        <v>280</v>
      </c>
      <c r="N11" s="264" t="s">
        <v>795</v>
      </c>
      <c r="O11" s="122" t="s">
        <v>796</v>
      </c>
      <c r="P11" s="124" t="s">
        <v>797</v>
      </c>
      <c r="Q11" s="37" t="s">
        <v>146</v>
      </c>
      <c r="R11" s="242" t="s">
        <v>202</v>
      </c>
      <c r="S11" s="176"/>
      <c r="T11" s="176"/>
      <c r="U11" s="249"/>
      <c r="V11" s="266" t="s">
        <v>776</v>
      </c>
      <c r="W11" s="269" t="s">
        <v>798</v>
      </c>
      <c r="X11" s="159" t="s">
        <v>698</v>
      </c>
      <c r="Y11" s="159" t="s">
        <v>182</v>
      </c>
      <c r="Z11" s="159" t="s">
        <v>660</v>
      </c>
      <c r="AA11" s="162"/>
      <c r="AB11" s="162"/>
      <c r="AC11" s="159" t="s">
        <v>646</v>
      </c>
      <c r="AD11" s="159"/>
      <c r="AE11" s="159" t="s">
        <v>759</v>
      </c>
      <c r="AF11" s="162"/>
      <c r="AG11" s="243" t="s">
        <v>644</v>
      </c>
      <c r="AH11" s="244" t="s">
        <v>760</v>
      </c>
    </row>
    <row r="12" spans="1:34" ht="127.5" customHeight="1">
      <c r="A12" s="40" t="s">
        <v>799</v>
      </c>
      <c r="B12" s="41" t="s">
        <v>188</v>
      </c>
      <c r="C12" s="167" t="s">
        <v>150</v>
      </c>
      <c r="D12" s="42" t="s">
        <v>151</v>
      </c>
      <c r="E12" s="245" t="s">
        <v>800</v>
      </c>
      <c r="F12" s="56" t="s">
        <v>322</v>
      </c>
      <c r="G12" s="238"/>
      <c r="I12" s="246" t="s">
        <v>142</v>
      </c>
      <c r="J12" s="47" t="s">
        <v>801</v>
      </c>
      <c r="K12" s="47"/>
      <c r="L12" s="47"/>
      <c r="M12" s="174" t="s">
        <v>280</v>
      </c>
      <c r="N12" s="175" t="s">
        <v>802</v>
      </c>
      <c r="O12" s="122" t="s">
        <v>803</v>
      </c>
      <c r="P12" s="50" t="s">
        <v>797</v>
      </c>
      <c r="Q12" s="265" t="s">
        <v>157</v>
      </c>
      <c r="R12" s="242" t="s">
        <v>202</v>
      </c>
      <c r="S12" s="176"/>
      <c r="T12" s="176"/>
      <c r="U12" s="249"/>
      <c r="V12" s="266" t="s">
        <v>776</v>
      </c>
      <c r="W12" s="269" t="s">
        <v>804</v>
      </c>
      <c r="X12" s="159" t="s">
        <v>706</v>
      </c>
      <c r="Y12" s="159" t="s">
        <v>188</v>
      </c>
      <c r="Z12" s="159" t="s">
        <v>660</v>
      </c>
      <c r="AA12" s="162"/>
      <c r="AB12" s="162"/>
      <c r="AC12" s="159" t="s">
        <v>646</v>
      </c>
      <c r="AD12" s="159"/>
      <c r="AE12" s="159" t="s">
        <v>759</v>
      </c>
      <c r="AF12" s="162"/>
      <c r="AG12" s="243" t="s">
        <v>644</v>
      </c>
      <c r="AH12" s="244" t="s">
        <v>760</v>
      </c>
    </row>
    <row r="13" spans="1:34" ht="191.25" customHeight="1">
      <c r="A13" s="40" t="s">
        <v>805</v>
      </c>
      <c r="B13" s="41" t="s">
        <v>700</v>
      </c>
      <c r="C13" s="167" t="s">
        <v>150</v>
      </c>
      <c r="D13" s="42" t="s">
        <v>239</v>
      </c>
      <c r="E13" s="245" t="s">
        <v>806</v>
      </c>
      <c r="F13" s="56" t="s">
        <v>322</v>
      </c>
      <c r="G13" s="238"/>
      <c r="I13" s="246" t="s">
        <v>174</v>
      </c>
      <c r="J13" s="47" t="s">
        <v>807</v>
      </c>
      <c r="K13" s="47"/>
      <c r="L13" s="47" t="str" cm="1">
        <f t="array" ref="L13">_xlfn.SWITCH(C13,"Numeric","999999999999999","String","Not applicable","Date","0001-01-01")</f>
        <v>Not applicable</v>
      </c>
      <c r="M13" s="247" t="s">
        <v>808</v>
      </c>
      <c r="N13" s="175" t="s">
        <v>809</v>
      </c>
      <c r="O13" s="48" t="s">
        <v>810</v>
      </c>
      <c r="P13" s="50" t="s">
        <v>811</v>
      </c>
      <c r="Q13" s="265" t="s">
        <v>812</v>
      </c>
      <c r="R13" s="242" t="s">
        <v>202</v>
      </c>
      <c r="S13" s="176"/>
      <c r="T13" s="176"/>
      <c r="U13" s="249"/>
      <c r="V13" s="159" t="s">
        <v>655</v>
      </c>
      <c r="W13" s="271" t="s">
        <v>813</v>
      </c>
      <c r="X13" s="159" t="s">
        <v>715</v>
      </c>
      <c r="Y13" s="159" t="s">
        <v>700</v>
      </c>
      <c r="Z13" s="159" t="s">
        <v>660</v>
      </c>
      <c r="AA13" s="162"/>
      <c r="AB13" s="162"/>
      <c r="AC13" s="159" t="s">
        <v>646</v>
      </c>
      <c r="AD13" s="159"/>
      <c r="AE13" s="159" t="s">
        <v>759</v>
      </c>
      <c r="AF13" s="162"/>
      <c r="AG13" s="243" t="s">
        <v>644</v>
      </c>
      <c r="AH13" s="244" t="s">
        <v>760</v>
      </c>
    </row>
    <row r="14" spans="1:34" ht="110.25" customHeight="1">
      <c r="A14" s="40" t="s">
        <v>814</v>
      </c>
      <c r="B14" s="41" t="s">
        <v>204</v>
      </c>
      <c r="C14" s="167" t="s">
        <v>150</v>
      </c>
      <c r="D14" s="42" t="s">
        <v>815</v>
      </c>
      <c r="E14" s="245" t="s">
        <v>816</v>
      </c>
      <c r="F14" s="56" t="s">
        <v>817</v>
      </c>
      <c r="G14" s="238"/>
      <c r="I14" s="246" t="s">
        <v>142</v>
      </c>
      <c r="J14" s="47" t="s">
        <v>818</v>
      </c>
      <c r="K14" s="47"/>
      <c r="L14" s="47">
        <v>99</v>
      </c>
      <c r="M14" s="268"/>
      <c r="N14" s="264" t="s">
        <v>819</v>
      </c>
      <c r="O14" s="121" t="s">
        <v>820</v>
      </c>
      <c r="P14" s="124" t="s">
        <v>821</v>
      </c>
      <c r="Q14" s="265" t="s">
        <v>236</v>
      </c>
      <c r="R14" s="242" t="s">
        <v>202</v>
      </c>
      <c r="S14" s="176"/>
      <c r="T14" s="176"/>
      <c r="U14" s="249"/>
      <c r="V14" s="266" t="s">
        <v>776</v>
      </c>
      <c r="W14" s="266" t="s">
        <v>822</v>
      </c>
      <c r="X14" s="159" t="s">
        <v>723</v>
      </c>
      <c r="Y14" s="159" t="s">
        <v>204</v>
      </c>
      <c r="Z14" s="159" t="s">
        <v>660</v>
      </c>
      <c r="AA14" s="162"/>
      <c r="AB14" s="162"/>
      <c r="AC14" s="159" t="s">
        <v>646</v>
      </c>
      <c r="AD14" s="159"/>
      <c r="AE14" s="159" t="s">
        <v>759</v>
      </c>
      <c r="AF14" s="162"/>
      <c r="AG14" s="243" t="s">
        <v>644</v>
      </c>
      <c r="AH14" s="244" t="s">
        <v>760</v>
      </c>
    </row>
    <row r="15" spans="1:34" ht="240" customHeight="1">
      <c r="A15" s="251" t="s">
        <v>823</v>
      </c>
      <c r="B15" s="272" t="s">
        <v>717</v>
      </c>
      <c r="C15" s="273" t="s">
        <v>139</v>
      </c>
      <c r="D15" s="274" t="s">
        <v>171</v>
      </c>
      <c r="E15" s="255" t="s">
        <v>824</v>
      </c>
      <c r="F15" s="275"/>
      <c r="G15" s="276"/>
      <c r="H15" s="277"/>
      <c r="I15" s="246" t="s">
        <v>142</v>
      </c>
      <c r="J15" s="47" t="s">
        <v>825</v>
      </c>
      <c r="K15" s="278"/>
      <c r="L15" s="278"/>
      <c r="M15" s="247"/>
      <c r="N15" s="279" t="s">
        <v>826</v>
      </c>
      <c r="O15" s="280" t="s">
        <v>827</v>
      </c>
      <c r="P15" s="281" t="s">
        <v>828</v>
      </c>
      <c r="Q15" s="37" t="s">
        <v>146</v>
      </c>
      <c r="R15" s="242" t="s">
        <v>202</v>
      </c>
      <c r="S15" s="282" t="s">
        <v>655</v>
      </c>
      <c r="T15" s="282" t="s">
        <v>656</v>
      </c>
      <c r="U15" s="282" t="s">
        <v>769</v>
      </c>
      <c r="V15" s="283" t="s">
        <v>2</v>
      </c>
      <c r="W15" s="284" t="s">
        <v>829</v>
      </c>
      <c r="X15" s="285" t="s">
        <v>730</v>
      </c>
      <c r="Y15" s="285" t="s">
        <v>717</v>
      </c>
      <c r="Z15" s="285" t="s">
        <v>689</v>
      </c>
      <c r="AA15" s="286"/>
      <c r="AB15" s="286"/>
      <c r="AC15" s="285" t="s">
        <v>646</v>
      </c>
      <c r="AD15" s="285"/>
      <c r="AE15" s="285" t="s">
        <v>759</v>
      </c>
      <c r="AF15" s="286"/>
      <c r="AG15" s="287" t="s">
        <v>644</v>
      </c>
      <c r="AH15" s="288" t="s">
        <v>812</v>
      </c>
    </row>
  </sheetData>
  <mergeCells count="7">
    <mergeCell ref="A1:Q1"/>
    <mergeCell ref="A2:G2"/>
    <mergeCell ref="I2:P2"/>
    <mergeCell ref="S2:AG2"/>
    <mergeCell ref="I3:M3"/>
    <mergeCell ref="N3:O3"/>
    <mergeCell ref="P3:P4"/>
  </mergeCells>
  <dataValidations count="1">
    <dataValidation allowBlank="1" showInputMessage="1" showErrorMessage="1" sqref="J5:L15" xr:uid="{D050EF9F-CBCB-433B-B856-05463F5F2F68}"/>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51051659CE89468EBDA2519EAB1C2D" ma:contentTypeVersion="3" ma:contentTypeDescription="Criar um novo documento." ma:contentTypeScope="" ma:versionID="738d30ba8cfdfff76e4918fb31cdd826">
  <xsd:schema xmlns:xsd="http://www.w3.org/2001/XMLSchema" xmlns:xs="http://www.w3.org/2001/XMLSchema" xmlns:p="http://schemas.microsoft.com/office/2006/metadata/properties" xmlns:ns2="4fb83d86-dfc0-458d-abeb-e3887179c5dc" targetNamespace="http://schemas.microsoft.com/office/2006/metadata/properties" ma:root="true" ma:fieldsID="78c6ac00b88353c2650dbc2a6d88071f" ns2:_="">
    <xsd:import namespace="4fb83d86-dfc0-458d-abeb-e3887179c5d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fb83d86-dfc0-458d-abeb-e3887179c5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2D02A1C-FF36-4D32-B661-BB8DD9ED4DD1}"/>
</file>

<file path=customXml/itemProps2.xml><?xml version="1.0" encoding="utf-8"?>
<ds:datastoreItem xmlns:ds="http://schemas.openxmlformats.org/officeDocument/2006/customXml" ds:itemID="{C04B84BE-1876-42F9-B0A0-765836CC5AAD}">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9F972E2D-CB3D-4406-8841-1BD1C20980DA}">
  <ds:schemaRefs>
    <ds:schemaRef ds:uri="http://schemas.microsoft.com/DataMashup"/>
  </ds:schemaRefs>
</ds:datastoreItem>
</file>

<file path=customXml/itemProps4.xml><?xml version="1.0" encoding="utf-8"?>
<ds:datastoreItem xmlns:ds="http://schemas.openxmlformats.org/officeDocument/2006/customXml" ds:itemID="{9BBD36F6-DEAC-41CE-9274-E7C895D8BBF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1. Status Resumo</vt:lpstr>
      <vt:lpstr>2. Status Detalhe Campos</vt:lpstr>
      <vt:lpstr>Detalhe Especificação -&gt;</vt:lpstr>
      <vt:lpstr>B02.00</vt:lpstr>
      <vt:lpstr>B05.00</vt:lpstr>
      <vt:lpstr>B90.00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Diogo Alexandre Escaleira</dc:creator>
  <cp:lastModifiedBy>Hélder Filipe Felicidade Fernandes</cp:lastModifiedBy>
  <dcterms:created xsi:type="dcterms:W3CDTF">2015-06-05T18:17:20Z</dcterms:created>
  <dcterms:modified xsi:type="dcterms:W3CDTF">2025-11-03T12:15:00Z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0x0101001951051659CE89468EBDA2519EAB1C2D</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SIP_Label_41b88ec2-a72b-4523-9e84-0458a1764731_Enabled">
    <vt:lpwstr>true</vt:lpwstr>
  </property>
  <property fmtid="{D5CDD505-2E9C-101B-9397-08002B2CF9AE}" pid="6" name="MSIP_Label_41b88ec2-a72b-4523-9e84-0458a1764731_SetDate">
    <vt:lpwstr>2025-10-24T14:06:35Z</vt:lpwstr>
  </property>
  <property fmtid="{D5CDD505-2E9C-101B-9397-08002B2CF9AE}" pid="7" name="MSIP_Label_41b88ec2-a72b-4523-9e84-0458a1764731_Method">
    <vt:lpwstr>Privileged</vt:lpwstr>
  </property>
  <property fmtid="{D5CDD505-2E9C-101B-9397-08002B2CF9AE}" pid="8" name="MSIP_Label_41b88ec2-a72b-4523-9e84-0458a1764731_Name">
    <vt:lpwstr>Public O365</vt:lpwstr>
  </property>
  <property fmtid="{D5CDD505-2E9C-101B-9397-08002B2CF9AE}" pid="9" name="MSIP_Label_41b88ec2-a72b-4523-9e84-0458a1764731_SiteId">
    <vt:lpwstr>35595a02-4d6d-44ac-99e1-f9ab4cd872db</vt:lpwstr>
  </property>
  <property fmtid="{D5CDD505-2E9C-101B-9397-08002B2CF9AE}" pid="10" name="MSIP_Label_41b88ec2-a72b-4523-9e84-0458a1764731_ActionId">
    <vt:lpwstr>8f885284-9866-4989-96ac-e2dfe4994af0</vt:lpwstr>
  </property>
  <property fmtid="{D5CDD505-2E9C-101B-9397-08002B2CF9AE}" pid="11" name="MSIP_Label_41b88ec2-a72b-4523-9e84-0458a1764731_ContentBits">
    <vt:lpwstr>0</vt:lpwstr>
  </property>
  <property fmtid="{D5CDD505-2E9C-101B-9397-08002B2CF9AE}" pid="12" name="MSIP_Label_41b88ec2-a72b-4523-9e84-0458a1764731_Tag">
    <vt:lpwstr>10, 0, 1, 1</vt:lpwstr>
  </property>
</Properties>
</file>