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santandernet.sharepoint.com/sites/BSTestesBail-In/Shared Documents/Geral/00. Gestão/01. PdS/"/>
    </mc:Choice>
  </mc:AlternateContent>
  <xr:revisionPtr revIDLastSave="645" documentId="8_{9CF62CA8-32F8-4493-B677-634B5EDFF088}" xr6:coauthVersionLast="47" xr6:coauthVersionMax="47" xr10:uidLastSave="{FBE93800-F9E5-4C2F-989C-C39E4768B40C}"/>
  <bookViews>
    <workbookView minimized="1" xWindow="29940" yWindow="1140" windowWidth="21600" windowHeight="11175" tabRatio="914" xr2:uid="{00000000-000D-0000-FFFF-FFFF00000000}"/>
  </bookViews>
  <sheets>
    <sheet name="1. Status Resumo" sheetId="2" r:id="rId1"/>
    <sheet name="2. Status Detalhe Campos" sheetId="1" r:id="rId2"/>
    <sheet name="Aux" sheetId="4" state="hidden" r:id="rId3"/>
    <sheet name="Detalhe Especificação --&gt;" sheetId="11" r:id="rId4"/>
    <sheet name="B02.00" sheetId="23" r:id="rId5"/>
    <sheet name="B05.00" sheetId="24" r:id="rId6"/>
    <sheet name="B90.00" sheetId="27" r:id="rId7"/>
    <sheet name="Inputs --&gt;" sheetId="21" r:id="rId8"/>
    <sheet name="Testes" sheetId="22" r:id="rId9"/>
    <sheet name="Controlos" sheetId="19" r:id="rId10"/>
  </sheets>
  <definedNames>
    <definedName name="_xlnm._FilterDatabase" localSheetId="1" hidden="1">'2. Status Detalhe Campos'!$A$7:$AI$350</definedName>
    <definedName name="_xlnm._FilterDatabase" localSheetId="4" hidden="1">'B02.00'!$A$4:$U$85</definedName>
    <definedName name="_xlnm._FilterDatabase" localSheetId="5" hidden="1">'B05.00'!$A$4:$AI$19</definedName>
    <definedName name="_xlnm._FilterDatabase" localSheetId="6" hidden="1">'B90.00'!$A$4:$AI$4</definedName>
    <definedName name="_xlnm._FilterDatabase" localSheetId="9" hidden="1">Controlos!$B$1:$N$191</definedName>
    <definedName name="_xlnm._FilterDatabase" localSheetId="8" hidden="1">Testes!$A$1:$Z$154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1" i="2" l="1"/>
  <c r="E160" i="2"/>
  <c r="E159" i="2"/>
  <c r="E158" i="2"/>
  <c r="E162" i="2"/>
  <c r="J150" i="2"/>
  <c r="N191" i="19"/>
  <c r="N190" i="19"/>
  <c r="N189" i="19"/>
  <c r="N188" i="19"/>
  <c r="N187" i="19"/>
  <c r="N186" i="19"/>
  <c r="N185" i="19"/>
  <c r="N184" i="19"/>
  <c r="N183" i="19"/>
  <c r="N182" i="19"/>
  <c r="N181" i="19"/>
  <c r="N180" i="19"/>
  <c r="N179" i="19"/>
  <c r="N178" i="19"/>
  <c r="N177" i="19"/>
  <c r="N176" i="19"/>
  <c r="N175" i="19"/>
  <c r="N174" i="19"/>
  <c r="N173" i="19"/>
  <c r="N172" i="19"/>
  <c r="N171" i="19"/>
  <c r="N170" i="19"/>
  <c r="N169" i="19"/>
  <c r="N168" i="19"/>
  <c r="N167" i="19"/>
  <c r="N166" i="19"/>
  <c r="N165" i="19"/>
  <c r="N164" i="19"/>
  <c r="N163" i="19"/>
  <c r="N162" i="19"/>
  <c r="N161" i="19"/>
  <c r="N160" i="19"/>
  <c r="N159" i="19"/>
  <c r="N158" i="19"/>
  <c r="N157" i="19"/>
  <c r="N156" i="19"/>
  <c r="N155" i="19"/>
  <c r="N154" i="19"/>
  <c r="N153" i="19"/>
  <c r="N152" i="19"/>
  <c r="N151" i="19"/>
  <c r="N150" i="19"/>
  <c r="N149" i="19"/>
  <c r="N148" i="19"/>
  <c r="N147" i="19"/>
  <c r="N146" i="19"/>
  <c r="N145" i="19"/>
  <c r="N144" i="19"/>
  <c r="N143" i="19"/>
  <c r="N142" i="19"/>
  <c r="N141" i="19"/>
  <c r="N140" i="19"/>
  <c r="N139" i="19"/>
  <c r="N138" i="19"/>
  <c r="N137" i="19"/>
  <c r="N136" i="19"/>
  <c r="N135" i="19"/>
  <c r="N134" i="19"/>
  <c r="N133" i="19"/>
  <c r="N132" i="19"/>
  <c r="N131" i="19"/>
  <c r="N130" i="19"/>
  <c r="N129" i="19"/>
  <c r="N128" i="19"/>
  <c r="N127" i="19"/>
  <c r="N126" i="19"/>
  <c r="N125" i="19"/>
  <c r="N124" i="19"/>
  <c r="N123" i="19"/>
  <c r="N122" i="19"/>
  <c r="N121" i="19"/>
  <c r="N120" i="19"/>
  <c r="N119" i="19"/>
  <c r="N118" i="19"/>
  <c r="N117" i="19"/>
  <c r="N116" i="19"/>
  <c r="N115" i="19"/>
  <c r="N114" i="19"/>
  <c r="N113" i="19"/>
  <c r="N112" i="19"/>
  <c r="N111" i="19"/>
  <c r="N110" i="19"/>
  <c r="N109" i="19"/>
  <c r="N108" i="19"/>
  <c r="N107" i="19"/>
  <c r="N106" i="19"/>
  <c r="N105" i="19"/>
  <c r="N104" i="19"/>
  <c r="N103" i="19"/>
  <c r="N102" i="19"/>
  <c r="N101" i="19"/>
  <c r="N100" i="19"/>
  <c r="N99" i="19"/>
  <c r="N98" i="19"/>
  <c r="N97" i="19"/>
  <c r="N96" i="19"/>
  <c r="N95" i="19"/>
  <c r="N94" i="19"/>
  <c r="N93" i="19"/>
  <c r="N92" i="19"/>
  <c r="N91" i="19"/>
  <c r="N90" i="19"/>
  <c r="N89" i="19"/>
  <c r="N88" i="19"/>
  <c r="N87" i="19"/>
  <c r="N86" i="19"/>
  <c r="N85" i="19"/>
  <c r="N84" i="19"/>
  <c r="N83" i="19"/>
  <c r="N82" i="19"/>
  <c r="N81" i="19"/>
  <c r="N80" i="19"/>
  <c r="N79" i="19"/>
  <c r="N78" i="19"/>
  <c r="N77" i="19"/>
  <c r="N76" i="19"/>
  <c r="N75" i="19"/>
  <c r="N74" i="19"/>
  <c r="N73" i="19"/>
  <c r="N72" i="19"/>
  <c r="N71" i="19"/>
  <c r="N70" i="19"/>
  <c r="N69" i="19"/>
  <c r="N68" i="19"/>
  <c r="N67" i="19"/>
  <c r="N66" i="19"/>
  <c r="N65" i="19"/>
  <c r="N64" i="19"/>
  <c r="N63" i="19"/>
  <c r="N62" i="19"/>
  <c r="N61" i="19"/>
  <c r="N60" i="19"/>
  <c r="N59" i="19"/>
  <c r="N58" i="19"/>
  <c r="N57" i="19"/>
  <c r="N56" i="19"/>
  <c r="N55" i="19"/>
  <c r="N54" i="19"/>
  <c r="N53" i="19"/>
  <c r="N52" i="19"/>
  <c r="N51" i="19"/>
  <c r="N50" i="19"/>
  <c r="N49" i="19"/>
  <c r="N48" i="19"/>
  <c r="N47" i="19"/>
  <c r="N46" i="19"/>
  <c r="N45" i="19"/>
  <c r="N44" i="19"/>
  <c r="N43" i="19"/>
  <c r="N42" i="19"/>
  <c r="N41" i="19"/>
  <c r="N40" i="19"/>
  <c r="N39" i="19"/>
  <c r="N38" i="19"/>
  <c r="N37" i="19"/>
  <c r="N36" i="19"/>
  <c r="N35" i="19"/>
  <c r="N34" i="19"/>
  <c r="N33" i="19"/>
  <c r="N32" i="19"/>
  <c r="N31" i="19"/>
  <c r="N30" i="19"/>
  <c r="N29" i="19"/>
  <c r="N28" i="19"/>
  <c r="N27" i="19"/>
  <c r="N26" i="19"/>
  <c r="N25" i="19"/>
  <c r="N24" i="19"/>
  <c r="N23" i="19"/>
  <c r="N22" i="19"/>
  <c r="N21" i="19"/>
  <c r="N20" i="19"/>
  <c r="N19" i="19"/>
  <c r="N18" i="19"/>
  <c r="N17" i="19"/>
  <c r="N16" i="19"/>
  <c r="N15" i="19"/>
  <c r="N14" i="19"/>
  <c r="N13" i="19"/>
  <c r="N12" i="19"/>
  <c r="N11" i="19"/>
  <c r="N10" i="19"/>
  <c r="N9" i="19"/>
  <c r="N8" i="19"/>
  <c r="N7" i="19"/>
  <c r="N6" i="19"/>
  <c r="N5" i="19"/>
  <c r="N4" i="19"/>
  <c r="N3" i="19"/>
  <c r="N2" i="19"/>
  <c r="E157" i="2" l="1"/>
  <c r="I350" i="1"/>
  <c r="N350" i="1" s="1"/>
  <c r="I349" i="1"/>
  <c r="N349" i="1" s="1"/>
  <c r="I348" i="1"/>
  <c r="N348" i="1" s="1"/>
  <c r="I347" i="1"/>
  <c r="N347" i="1" s="1"/>
  <c r="I346" i="1"/>
  <c r="N346" i="1" s="1"/>
  <c r="I345" i="1"/>
  <c r="N345" i="1" s="1"/>
  <c r="I344" i="1"/>
  <c r="N344" i="1" s="1"/>
  <c r="I343" i="1"/>
  <c r="N343" i="1" s="1"/>
  <c r="I342" i="1"/>
  <c r="N342" i="1" s="1"/>
  <c r="I341" i="1"/>
  <c r="N341" i="1" s="1"/>
  <c r="I340" i="1"/>
  <c r="N340" i="1" s="1"/>
  <c r="I339" i="1"/>
  <c r="N339" i="1" s="1"/>
  <c r="I338" i="1"/>
  <c r="N338" i="1" s="1"/>
  <c r="I337" i="1"/>
  <c r="N337" i="1" s="1"/>
  <c r="I336" i="1"/>
  <c r="N336" i="1" s="1"/>
  <c r="I324" i="1"/>
  <c r="N324" i="1" s="1"/>
  <c r="I323" i="1"/>
  <c r="N323" i="1" s="1"/>
  <c r="I322" i="1"/>
  <c r="N322" i="1" s="1"/>
  <c r="I321" i="1"/>
  <c r="N321" i="1" s="1"/>
  <c r="I320" i="1"/>
  <c r="N320" i="1" s="1"/>
  <c r="I319" i="1"/>
  <c r="N319" i="1" s="1"/>
  <c r="I318" i="1"/>
  <c r="N318" i="1" s="1"/>
  <c r="I317" i="1"/>
  <c r="N317" i="1" s="1"/>
  <c r="I316" i="1"/>
  <c r="N316" i="1" s="1"/>
  <c r="I315" i="1"/>
  <c r="N315" i="1" s="1"/>
  <c r="I314" i="1"/>
  <c r="N314" i="1" s="1"/>
  <c r="I313" i="1"/>
  <c r="N313" i="1" s="1"/>
  <c r="I312" i="1"/>
  <c r="N312" i="1" s="1"/>
  <c r="I311" i="1"/>
  <c r="N311" i="1" s="1"/>
  <c r="I310" i="1"/>
  <c r="N310" i="1" s="1"/>
  <c r="I309" i="1"/>
  <c r="N309" i="1" s="1"/>
  <c r="I308" i="1"/>
  <c r="N308" i="1" s="1"/>
  <c r="I307" i="1"/>
  <c r="N307" i="1" s="1"/>
  <c r="I306" i="1"/>
  <c r="N306" i="1" s="1"/>
  <c r="I290" i="1"/>
  <c r="N290" i="1" s="1"/>
  <c r="I289" i="1"/>
  <c r="N289" i="1" s="1"/>
  <c r="I288" i="1"/>
  <c r="N288" i="1" s="1"/>
  <c r="I287" i="1"/>
  <c r="N287" i="1" s="1"/>
  <c r="I286" i="1"/>
  <c r="N286" i="1" s="1"/>
  <c r="I285" i="1"/>
  <c r="N285" i="1" s="1"/>
  <c r="I284" i="1"/>
  <c r="N284" i="1" s="1"/>
  <c r="I283" i="1"/>
  <c r="N283" i="1" s="1"/>
  <c r="I282" i="1"/>
  <c r="N282" i="1" s="1"/>
  <c r="I281" i="1"/>
  <c r="N281" i="1" s="1"/>
  <c r="I280" i="1"/>
  <c r="N280" i="1" s="1"/>
  <c r="I279" i="1"/>
  <c r="N279" i="1" s="1"/>
  <c r="I278" i="1"/>
  <c r="N278" i="1" s="1"/>
  <c r="I277" i="1"/>
  <c r="N277" i="1" s="1"/>
  <c r="I276" i="1"/>
  <c r="N276" i="1" s="1"/>
  <c r="I275" i="1"/>
  <c r="N275" i="1" s="1"/>
  <c r="I274" i="1"/>
  <c r="N274" i="1" s="1"/>
  <c r="I273" i="1"/>
  <c r="N273" i="1" s="1"/>
  <c r="I272" i="1"/>
  <c r="N272" i="1" s="1"/>
  <c r="I271" i="1"/>
  <c r="N271" i="1" s="1"/>
  <c r="I270" i="1"/>
  <c r="N270" i="1" s="1"/>
  <c r="I269" i="1"/>
  <c r="N269" i="1" s="1"/>
  <c r="I268" i="1"/>
  <c r="N268" i="1" s="1"/>
  <c r="I267" i="1"/>
  <c r="N267" i="1" s="1"/>
  <c r="I266" i="1"/>
  <c r="N266" i="1" s="1"/>
  <c r="I265" i="1"/>
  <c r="N265" i="1" s="1"/>
  <c r="I264" i="1"/>
  <c r="N264" i="1" s="1"/>
  <c r="I263" i="1"/>
  <c r="N263" i="1" s="1"/>
  <c r="I262" i="1"/>
  <c r="N262" i="1" s="1"/>
  <c r="I261" i="1"/>
  <c r="N261" i="1" s="1"/>
  <c r="I260" i="1"/>
  <c r="N260" i="1" s="1"/>
  <c r="I259" i="1"/>
  <c r="N259" i="1" s="1"/>
  <c r="I258" i="1"/>
  <c r="N258" i="1" s="1"/>
  <c r="I257" i="1"/>
  <c r="N257" i="1" s="1"/>
  <c r="I256" i="1"/>
  <c r="N256" i="1" s="1"/>
  <c r="I255" i="1"/>
  <c r="N255" i="1" s="1"/>
  <c r="I254" i="1"/>
  <c r="N254" i="1" s="1"/>
  <c r="I253" i="1"/>
  <c r="N253" i="1" s="1"/>
  <c r="I252" i="1"/>
  <c r="N252" i="1" s="1"/>
  <c r="I251" i="1"/>
  <c r="N251" i="1" s="1"/>
  <c r="I250" i="1"/>
  <c r="N250" i="1" s="1"/>
  <c r="I249" i="1"/>
  <c r="N249" i="1" s="1"/>
  <c r="I248" i="1"/>
  <c r="N248" i="1" s="1"/>
  <c r="I247" i="1"/>
  <c r="N247" i="1" s="1"/>
  <c r="I246" i="1"/>
  <c r="N246" i="1" s="1"/>
  <c r="I245" i="1"/>
  <c r="N245" i="1" s="1"/>
  <c r="I244" i="1"/>
  <c r="N244" i="1" s="1"/>
  <c r="I243" i="1"/>
  <c r="N243" i="1" s="1"/>
  <c r="I242" i="1"/>
  <c r="N242" i="1" s="1"/>
  <c r="I241" i="1"/>
  <c r="N241" i="1" s="1"/>
  <c r="I240" i="1"/>
  <c r="N240" i="1" s="1"/>
  <c r="I239" i="1"/>
  <c r="N239" i="1" s="1"/>
  <c r="I238" i="1"/>
  <c r="N238" i="1" s="1"/>
  <c r="I237" i="1"/>
  <c r="N237" i="1" s="1"/>
  <c r="I236" i="1"/>
  <c r="N236" i="1" s="1"/>
  <c r="I235" i="1"/>
  <c r="N235" i="1" s="1"/>
  <c r="I234" i="1"/>
  <c r="N234" i="1" s="1"/>
  <c r="I233" i="1"/>
  <c r="N233" i="1" s="1"/>
  <c r="I232" i="1"/>
  <c r="N232" i="1" s="1"/>
  <c r="I231" i="1"/>
  <c r="N231" i="1" s="1"/>
  <c r="I230" i="1"/>
  <c r="N230" i="1" s="1"/>
  <c r="I229" i="1"/>
  <c r="N229" i="1" s="1"/>
  <c r="I228" i="1"/>
  <c r="N228" i="1" s="1"/>
  <c r="I227" i="1"/>
  <c r="N227" i="1" s="1"/>
  <c r="I226" i="1"/>
  <c r="N226" i="1" s="1"/>
  <c r="I225" i="1"/>
  <c r="N225" i="1" s="1"/>
  <c r="I224" i="1"/>
  <c r="N224" i="1" s="1"/>
  <c r="I223" i="1"/>
  <c r="N223" i="1" s="1"/>
  <c r="I222" i="1"/>
  <c r="N222" i="1" s="1"/>
  <c r="I221" i="1"/>
  <c r="N221" i="1" s="1"/>
  <c r="I220" i="1"/>
  <c r="N220" i="1" s="1"/>
  <c r="I219" i="1"/>
  <c r="N219" i="1" s="1"/>
  <c r="I218" i="1"/>
  <c r="N218" i="1" s="1"/>
  <c r="I217" i="1"/>
  <c r="N217" i="1" s="1"/>
  <c r="I216" i="1"/>
  <c r="N216" i="1" s="1"/>
  <c r="I215" i="1"/>
  <c r="N215" i="1" s="1"/>
  <c r="I214" i="1"/>
  <c r="N214" i="1" s="1"/>
  <c r="I213" i="1"/>
  <c r="N213" i="1" s="1"/>
  <c r="I212" i="1"/>
  <c r="N212" i="1" s="1"/>
  <c r="I211" i="1"/>
  <c r="N211" i="1" s="1"/>
  <c r="I210" i="1"/>
  <c r="N210" i="1" s="1"/>
  <c r="I209" i="1"/>
  <c r="N209" i="1" s="1"/>
  <c r="I208" i="1"/>
  <c r="N208" i="1" s="1"/>
  <c r="I207" i="1"/>
  <c r="N207" i="1" s="1"/>
  <c r="I206" i="1"/>
  <c r="N206" i="1" s="1"/>
  <c r="I205" i="1"/>
  <c r="N205" i="1" s="1"/>
  <c r="I204" i="1"/>
  <c r="N204" i="1" s="1"/>
  <c r="I203" i="1"/>
  <c r="N203" i="1" s="1"/>
  <c r="I202" i="1"/>
  <c r="N202" i="1" s="1"/>
  <c r="I201" i="1"/>
  <c r="N201" i="1" s="1"/>
  <c r="I200" i="1"/>
  <c r="N200" i="1" s="1"/>
  <c r="I199" i="1"/>
  <c r="N199" i="1" s="1"/>
  <c r="I198" i="1"/>
  <c r="N198" i="1" s="1"/>
  <c r="I197" i="1"/>
  <c r="N197" i="1" s="1"/>
  <c r="I196" i="1"/>
  <c r="N196" i="1" s="1"/>
  <c r="I195" i="1"/>
  <c r="N195" i="1" s="1"/>
  <c r="I194" i="1"/>
  <c r="N194" i="1" s="1"/>
  <c r="I193" i="1"/>
  <c r="N193" i="1" s="1"/>
  <c r="I192" i="1"/>
  <c r="N192" i="1" s="1"/>
  <c r="I191" i="1"/>
  <c r="N191" i="1" s="1"/>
  <c r="I190" i="1"/>
  <c r="N190" i="1" s="1"/>
  <c r="I189" i="1"/>
  <c r="N189" i="1" s="1"/>
  <c r="I188" i="1"/>
  <c r="N188" i="1" s="1"/>
  <c r="I187" i="1"/>
  <c r="N187" i="1" s="1"/>
  <c r="I186" i="1"/>
  <c r="N186" i="1" s="1"/>
  <c r="I185" i="1"/>
  <c r="N185" i="1" s="1"/>
  <c r="I184" i="1"/>
  <c r="N184" i="1" s="1"/>
  <c r="I183" i="1"/>
  <c r="N183" i="1" s="1"/>
  <c r="I182" i="1"/>
  <c r="N182" i="1" s="1"/>
  <c r="I181" i="1"/>
  <c r="N181" i="1" s="1"/>
  <c r="I180" i="1"/>
  <c r="N180" i="1" s="1"/>
  <c r="I179" i="1"/>
  <c r="N179" i="1" s="1"/>
  <c r="I178" i="1"/>
  <c r="N178" i="1" s="1"/>
  <c r="I177" i="1"/>
  <c r="N177" i="1" s="1"/>
  <c r="I176" i="1"/>
  <c r="N176" i="1" s="1"/>
  <c r="I175" i="1"/>
  <c r="N175" i="1" s="1"/>
  <c r="I174" i="1"/>
  <c r="N174" i="1" s="1"/>
  <c r="I173" i="1"/>
  <c r="N173" i="1" s="1"/>
  <c r="I172" i="1"/>
  <c r="N172" i="1" s="1"/>
  <c r="I171" i="1"/>
  <c r="N171" i="1" s="1"/>
  <c r="I170" i="1"/>
  <c r="N170" i="1" s="1"/>
  <c r="I169" i="1"/>
  <c r="N169" i="1" s="1"/>
  <c r="I168" i="1"/>
  <c r="N168" i="1" s="1"/>
  <c r="I167" i="1"/>
  <c r="N167" i="1" s="1"/>
  <c r="I166" i="1"/>
  <c r="N166" i="1" s="1"/>
  <c r="I165" i="1"/>
  <c r="N165" i="1" s="1"/>
  <c r="I164" i="1"/>
  <c r="N164" i="1" s="1"/>
  <c r="I163" i="1"/>
  <c r="N163" i="1" s="1"/>
  <c r="I162" i="1"/>
  <c r="N162" i="1" s="1"/>
  <c r="I161" i="1"/>
  <c r="N161" i="1" s="1"/>
  <c r="I160" i="1"/>
  <c r="N160" i="1" s="1"/>
  <c r="I159" i="1"/>
  <c r="N159" i="1" s="1"/>
  <c r="I158" i="1"/>
  <c r="N158" i="1" s="1"/>
  <c r="I157" i="1"/>
  <c r="N157" i="1" s="1"/>
  <c r="I156" i="1"/>
  <c r="N156" i="1" s="1"/>
  <c r="I155" i="1"/>
  <c r="N155" i="1" s="1"/>
  <c r="I154" i="1"/>
  <c r="N154" i="1" s="1"/>
  <c r="I153" i="1"/>
  <c r="N153" i="1" s="1"/>
  <c r="I152" i="1"/>
  <c r="N152" i="1" s="1"/>
  <c r="I151" i="1"/>
  <c r="N151" i="1" s="1"/>
  <c r="I150" i="1"/>
  <c r="N150" i="1" s="1"/>
  <c r="I149" i="1"/>
  <c r="N149" i="1" s="1"/>
  <c r="I148" i="1"/>
  <c r="N148" i="1" s="1"/>
  <c r="I147" i="1"/>
  <c r="N147" i="1" s="1"/>
  <c r="I146" i="1"/>
  <c r="N146" i="1" s="1"/>
  <c r="I145" i="1"/>
  <c r="N145" i="1" s="1"/>
  <c r="I144" i="1"/>
  <c r="N144" i="1" s="1"/>
  <c r="I143" i="1"/>
  <c r="N143" i="1" s="1"/>
  <c r="I142" i="1"/>
  <c r="N142" i="1" s="1"/>
  <c r="I141" i="1"/>
  <c r="N141" i="1" s="1"/>
  <c r="I140" i="1"/>
  <c r="N140" i="1" s="1"/>
  <c r="I139" i="1"/>
  <c r="N139" i="1" s="1"/>
  <c r="I138" i="1"/>
  <c r="N138" i="1" s="1"/>
  <c r="I137" i="1"/>
  <c r="N137" i="1" s="1"/>
  <c r="I136" i="1"/>
  <c r="N136" i="1" s="1"/>
  <c r="I135" i="1"/>
  <c r="N135" i="1" s="1"/>
  <c r="K151" i="2" l="1"/>
  <c r="K150" i="2"/>
  <c r="K149" i="2"/>
  <c r="K147" i="2"/>
  <c r="K146" i="2"/>
  <c r="K138" i="2"/>
  <c r="J151" i="2"/>
  <c r="J149" i="2"/>
  <c r="J146" i="2"/>
  <c r="J147" i="2"/>
  <c r="J138" i="2"/>
  <c r="I151" i="2"/>
  <c r="I150" i="2"/>
  <c r="I149" i="2"/>
  <c r="I147" i="2"/>
  <c r="I146" i="2"/>
  <c r="I138" i="2"/>
  <c r="H150" i="2"/>
  <c r="H149" i="2"/>
  <c r="H147" i="2"/>
  <c r="H151" i="2"/>
  <c r="H146" i="2"/>
  <c r="H138" i="2"/>
  <c r="F135" i="2"/>
  <c r="F151" i="2"/>
  <c r="F150" i="2"/>
  <c r="F149" i="2"/>
  <c r="F147" i="2"/>
  <c r="F146" i="2"/>
  <c r="F138" i="2"/>
  <c r="K143" i="2"/>
  <c r="K142" i="2"/>
  <c r="K141" i="2"/>
  <c r="K139" i="2"/>
  <c r="J143" i="2"/>
  <c r="J142" i="2"/>
  <c r="J141" i="2"/>
  <c r="J139" i="2"/>
  <c r="J130" i="2"/>
  <c r="I143" i="2"/>
  <c r="I142" i="2"/>
  <c r="I141" i="2"/>
  <c r="I139" i="2"/>
  <c r="I137" i="2" s="1"/>
  <c r="I130" i="2"/>
  <c r="H143" i="2"/>
  <c r="H142" i="2"/>
  <c r="H141" i="2"/>
  <c r="H139" i="2"/>
  <c r="H130" i="2"/>
  <c r="F143" i="2"/>
  <c r="F142" i="2"/>
  <c r="F141" i="2"/>
  <c r="F139" i="2"/>
  <c r="F130" i="2"/>
  <c r="H135" i="2"/>
  <c r="H134" i="2"/>
  <c r="H133" i="2"/>
  <c r="H131" i="2"/>
  <c r="J135" i="2"/>
  <c r="K135" i="2"/>
  <c r="K134" i="2"/>
  <c r="K133" i="2"/>
  <c r="K131" i="2"/>
  <c r="K130" i="2"/>
  <c r="J134" i="2"/>
  <c r="J133" i="2"/>
  <c r="J131" i="2"/>
  <c r="I134" i="2"/>
  <c r="I133" i="2"/>
  <c r="I135" i="2"/>
  <c r="I131" i="2"/>
  <c r="K148" i="2"/>
  <c r="I148" i="2"/>
  <c r="K145" i="2"/>
  <c r="J145" i="2"/>
  <c r="I145" i="2"/>
  <c r="F134" i="2"/>
  <c r="F133" i="2"/>
  <c r="F131" i="2"/>
  <c r="J137" i="2" l="1"/>
  <c r="J140" i="2"/>
  <c r="G150" i="2"/>
  <c r="K137" i="2"/>
  <c r="K140" i="2"/>
  <c r="G149" i="2"/>
  <c r="G151" i="2"/>
  <c r="G147" i="2"/>
  <c r="G134" i="2"/>
  <c r="H145" i="2"/>
  <c r="G131" i="2"/>
  <c r="G133" i="2"/>
  <c r="J148" i="2"/>
  <c r="G141" i="2"/>
  <c r="H148" i="2"/>
  <c r="I140" i="2"/>
  <c r="G142" i="2"/>
  <c r="G143" i="2"/>
  <c r="G139" i="2"/>
  <c r="G135" i="2"/>
  <c r="F148" i="2"/>
  <c r="F145" i="2"/>
  <c r="G146" i="2"/>
  <c r="G138" i="2"/>
  <c r="G130" i="2"/>
  <c r="H140" i="2"/>
  <c r="H137" i="2"/>
  <c r="F140" i="2"/>
  <c r="F137" i="2"/>
  <c r="K132" i="2"/>
  <c r="J132" i="2"/>
  <c r="G145" i="2" l="1"/>
  <c r="G148" i="2"/>
  <c r="G140" i="2"/>
  <c r="G137" i="2"/>
  <c r="K113" i="2" l="1"/>
  <c r="E113" i="2"/>
  <c r="K88" i="2"/>
  <c r="E88" i="2"/>
  <c r="E86" i="2"/>
  <c r="A53" i="1" l="1"/>
  <c r="A48" i="1"/>
  <c r="A44" i="1"/>
  <c r="A41" i="1"/>
  <c r="A11" i="1" l="1"/>
  <c r="A10" i="1"/>
  <c r="A9" i="1"/>
  <c r="A8" i="1"/>
  <c r="H346" i="1"/>
  <c r="H345" i="1"/>
  <c r="H344" i="1"/>
  <c r="H343" i="1"/>
  <c r="H342" i="1"/>
  <c r="H341" i="1"/>
  <c r="H340" i="1"/>
  <c r="H339" i="1"/>
  <c r="H338" i="1"/>
  <c r="H337" i="1"/>
  <c r="H336" i="1"/>
  <c r="H350" i="1"/>
  <c r="H349" i="1"/>
  <c r="H348" i="1"/>
  <c r="H347" i="1"/>
  <c r="A346" i="1"/>
  <c r="A345" i="1"/>
  <c r="A344" i="1"/>
  <c r="A343" i="1"/>
  <c r="A342" i="1"/>
  <c r="A341" i="1"/>
  <c r="A340" i="1"/>
  <c r="A339" i="1"/>
  <c r="A338" i="1"/>
  <c r="A337" i="1"/>
  <c r="A336" i="1"/>
  <c r="A350" i="1"/>
  <c r="A349" i="1"/>
  <c r="A348" i="1"/>
  <c r="A347" i="1"/>
  <c r="A25" i="1"/>
  <c r="A26" i="1"/>
  <c r="A27" i="1"/>
  <c r="A28" i="1"/>
  <c r="A16" i="1"/>
  <c r="A49" i="1"/>
  <c r="A50" i="1"/>
  <c r="A13" i="1"/>
  <c r="A46" i="1"/>
  <c r="A33" i="1"/>
  <c r="A31" i="1"/>
  <c r="A20" i="1"/>
  <c r="A22" i="1"/>
  <c r="A21" i="1"/>
  <c r="A24" i="1"/>
  <c r="A32" i="1"/>
  <c r="A14" i="1"/>
  <c r="A15" i="1"/>
  <c r="A18" i="1"/>
  <c r="A19" i="1"/>
  <c r="A29" i="1"/>
  <c r="A30" i="1"/>
  <c r="A23" i="1"/>
  <c r="A34" i="1"/>
  <c r="A17" i="1"/>
  <c r="A12"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51" i="1"/>
  <c r="A52" i="1"/>
  <c r="A43" i="1"/>
  <c r="A42" i="1"/>
  <c r="A291" i="1"/>
  <c r="A292" i="1"/>
  <c r="A293" i="1"/>
  <c r="A294" i="1"/>
  <c r="A295" i="1"/>
  <c r="A296" i="1"/>
  <c r="A297" i="1"/>
  <c r="A298" i="1"/>
  <c r="A299" i="1"/>
  <c r="A300" i="1"/>
  <c r="A301" i="1"/>
  <c r="A302" i="1"/>
  <c r="A303" i="1"/>
  <c r="A304" i="1"/>
  <c r="A305" i="1"/>
  <c r="A35" i="1"/>
  <c r="A39" i="1"/>
  <c r="A40" i="1"/>
  <c r="A38" i="1"/>
  <c r="A45" i="1"/>
  <c r="A36" i="1"/>
  <c r="A37" i="1"/>
  <c r="A47" i="1"/>
  <c r="A325" i="1"/>
  <c r="A326" i="1"/>
  <c r="A327" i="1"/>
  <c r="A328" i="1"/>
  <c r="A329" i="1"/>
  <c r="A330" i="1"/>
  <c r="A331" i="1"/>
  <c r="A332" i="1"/>
  <c r="A333" i="1"/>
  <c r="A334" i="1"/>
  <c r="A335" i="1"/>
  <c r="A216" i="1"/>
  <c r="A217" i="1"/>
  <c r="A218" i="1"/>
  <c r="A219" i="1"/>
  <c r="A220" i="1"/>
  <c r="A246" i="1"/>
  <c r="A221" i="1"/>
  <c r="A222" i="1"/>
  <c r="A247" i="1"/>
  <c r="A223" i="1"/>
  <c r="A248" i="1"/>
  <c r="A224" i="1"/>
  <c r="A225" i="1"/>
  <c r="A226" i="1"/>
  <c r="A227" i="1"/>
  <c r="A228" i="1"/>
  <c r="A229" i="1"/>
  <c r="A249" i="1"/>
  <c r="A250" i="1"/>
  <c r="A230" i="1"/>
  <c r="A231" i="1"/>
  <c r="A232" i="1"/>
  <c r="A251" i="1"/>
  <c r="A233" i="1"/>
  <c r="A234" i="1"/>
  <c r="A235" i="1"/>
  <c r="A236" i="1"/>
  <c r="A237" i="1"/>
  <c r="A238" i="1"/>
  <c r="A239" i="1"/>
  <c r="A240" i="1"/>
  <c r="A252" i="1"/>
  <c r="A241" i="1"/>
  <c r="A242" i="1"/>
  <c r="A243" i="1"/>
  <c r="A253" i="1"/>
  <c r="A254" i="1"/>
  <c r="A244" i="1"/>
  <c r="A245" i="1"/>
  <c r="A256" i="1"/>
  <c r="A255" i="1"/>
  <c r="A288" i="1"/>
  <c r="A257" i="1"/>
  <c r="A289" i="1"/>
  <c r="A290"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320" i="1"/>
  <c r="A321" i="1"/>
  <c r="A322" i="1"/>
  <c r="A323" i="1"/>
  <c r="A324" i="1"/>
  <c r="A306" i="1"/>
  <c r="A307" i="1"/>
  <c r="A308" i="1"/>
  <c r="A309" i="1"/>
  <c r="A310" i="1"/>
  <c r="A311" i="1"/>
  <c r="A312" i="1"/>
  <c r="A313" i="1"/>
  <c r="A314" i="1"/>
  <c r="A315" i="1"/>
  <c r="A316" i="1"/>
  <c r="A317" i="1"/>
  <c r="A318" i="1"/>
  <c r="A319" i="1"/>
  <c r="H319" i="1"/>
  <c r="H318" i="1"/>
  <c r="H317" i="1"/>
  <c r="H316" i="1"/>
  <c r="H315" i="1"/>
  <c r="H314" i="1"/>
  <c r="H313" i="1"/>
  <c r="H312" i="1"/>
  <c r="H311" i="1"/>
  <c r="H310" i="1"/>
  <c r="H309" i="1"/>
  <c r="H308" i="1"/>
  <c r="H307" i="1"/>
  <c r="H306" i="1"/>
  <c r="H324" i="1"/>
  <c r="H323" i="1"/>
  <c r="H322" i="1"/>
  <c r="H321" i="1"/>
  <c r="H320"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90" i="1"/>
  <c r="H289" i="1"/>
  <c r="H257" i="1"/>
  <c r="H288" i="1"/>
  <c r="H255" i="1"/>
  <c r="H256" i="1"/>
  <c r="H245" i="1"/>
  <c r="H244" i="1"/>
  <c r="H254" i="1"/>
  <c r="H253" i="1"/>
  <c r="H243" i="1"/>
  <c r="H242" i="1"/>
  <c r="H241" i="1"/>
  <c r="H252" i="1"/>
  <c r="H240" i="1"/>
  <c r="H239" i="1"/>
  <c r="H238" i="1"/>
  <c r="H237" i="1"/>
  <c r="H236" i="1"/>
  <c r="H235" i="1"/>
  <c r="H234" i="1"/>
  <c r="H233" i="1"/>
  <c r="H251" i="1"/>
  <c r="H232" i="1"/>
  <c r="H231" i="1"/>
  <c r="H230" i="1"/>
  <c r="H250" i="1"/>
  <c r="H249" i="1"/>
  <c r="H229" i="1"/>
  <c r="H228" i="1"/>
  <c r="H227" i="1"/>
  <c r="H226" i="1"/>
  <c r="H225" i="1"/>
  <c r="H224" i="1"/>
  <c r="H248" i="1"/>
  <c r="H223" i="1"/>
  <c r="H247" i="1"/>
  <c r="H222" i="1"/>
  <c r="H221" i="1"/>
  <c r="H246" i="1"/>
  <c r="H220" i="1"/>
  <c r="H219" i="1"/>
  <c r="H218" i="1"/>
  <c r="H217" i="1"/>
  <c r="H216" i="1"/>
  <c r="A2"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L11" i="27" a="1"/>
  <c r="L11" i="27" s="1"/>
  <c r="L10" i="27" a="1"/>
  <c r="L10" i="27" s="1"/>
  <c r="L9" i="27" a="1"/>
  <c r="L9" i="27" s="1"/>
  <c r="L8" i="27" a="1"/>
  <c r="L8" i="27" s="1"/>
  <c r="I41" i="1" l="1"/>
  <c r="N41" i="1" s="1"/>
  <c r="I328" i="1"/>
  <c r="N328" i="1" s="1"/>
  <c r="I38" i="1"/>
  <c r="N38" i="1" s="1"/>
  <c r="I301" i="1"/>
  <c r="N301" i="1" s="1"/>
  <c r="I293" i="1"/>
  <c r="N293" i="1" s="1"/>
  <c r="I133" i="1"/>
  <c r="N133" i="1" s="1"/>
  <c r="I125" i="1"/>
  <c r="N125" i="1" s="1"/>
  <c r="I117" i="1"/>
  <c r="N117" i="1" s="1"/>
  <c r="I109" i="1"/>
  <c r="N109" i="1" s="1"/>
  <c r="I101" i="1"/>
  <c r="N101" i="1" s="1"/>
  <c r="I93" i="1"/>
  <c r="N93" i="1" s="1"/>
  <c r="I85" i="1"/>
  <c r="N85" i="1" s="1"/>
  <c r="I77" i="1"/>
  <c r="N77" i="1" s="1"/>
  <c r="I69" i="1"/>
  <c r="N69" i="1" s="1"/>
  <c r="I61" i="1"/>
  <c r="N61" i="1" s="1"/>
  <c r="I12" i="1"/>
  <c r="N12" i="1" s="1"/>
  <c r="I15" i="1"/>
  <c r="N15" i="1" s="1"/>
  <c r="I33" i="1"/>
  <c r="N33" i="1" s="1"/>
  <c r="I26" i="1"/>
  <c r="N26" i="1" s="1"/>
  <c r="I8" i="1"/>
  <c r="N8" i="1" s="1"/>
  <c r="I335" i="1"/>
  <c r="N335" i="1" s="1"/>
  <c r="I327" i="1"/>
  <c r="N327" i="1" s="1"/>
  <c r="I40" i="1"/>
  <c r="N40" i="1" s="1"/>
  <c r="I300" i="1"/>
  <c r="N300" i="1" s="1"/>
  <c r="I292" i="1"/>
  <c r="N292" i="1" s="1"/>
  <c r="I132" i="1"/>
  <c r="N132" i="1" s="1"/>
  <c r="I124" i="1"/>
  <c r="N124" i="1" s="1"/>
  <c r="I116" i="1"/>
  <c r="N116" i="1" s="1"/>
  <c r="I108" i="1"/>
  <c r="N108" i="1" s="1"/>
  <c r="I100" i="1"/>
  <c r="N100" i="1" s="1"/>
  <c r="I92" i="1"/>
  <c r="N92" i="1" s="1"/>
  <c r="I84" i="1"/>
  <c r="N84" i="1" s="1"/>
  <c r="I76" i="1"/>
  <c r="N76" i="1" s="1"/>
  <c r="I68" i="1"/>
  <c r="N68" i="1" s="1"/>
  <c r="I60" i="1"/>
  <c r="N60" i="1" s="1"/>
  <c r="I17" i="1"/>
  <c r="N17" i="1" s="1"/>
  <c r="I14" i="1"/>
  <c r="N14" i="1" s="1"/>
  <c r="I46" i="1"/>
  <c r="N46" i="1" s="1"/>
  <c r="I25" i="1"/>
  <c r="N25" i="1" s="1"/>
  <c r="I9" i="1"/>
  <c r="N9" i="1" s="1"/>
  <c r="I334" i="1"/>
  <c r="N334" i="1" s="1"/>
  <c r="I326" i="1"/>
  <c r="N326" i="1" s="1"/>
  <c r="I39" i="1"/>
  <c r="N39" i="1" s="1"/>
  <c r="I299" i="1"/>
  <c r="N299" i="1" s="1"/>
  <c r="I291" i="1"/>
  <c r="N291" i="1" s="1"/>
  <c r="I131" i="1"/>
  <c r="N131" i="1" s="1"/>
  <c r="I123" i="1"/>
  <c r="N123" i="1" s="1"/>
  <c r="I115" i="1"/>
  <c r="N115" i="1" s="1"/>
  <c r="I107" i="1"/>
  <c r="N107" i="1" s="1"/>
  <c r="I99" i="1"/>
  <c r="N99" i="1" s="1"/>
  <c r="I91" i="1"/>
  <c r="N91" i="1" s="1"/>
  <c r="I83" i="1"/>
  <c r="N83" i="1" s="1"/>
  <c r="I75" i="1"/>
  <c r="N75" i="1" s="1"/>
  <c r="I67" i="1"/>
  <c r="N67" i="1" s="1"/>
  <c r="I59" i="1"/>
  <c r="N59" i="1" s="1"/>
  <c r="I34" i="1"/>
  <c r="N34" i="1" s="1"/>
  <c r="I32" i="1"/>
  <c r="N32" i="1" s="1"/>
  <c r="I13" i="1"/>
  <c r="N13" i="1" s="1"/>
  <c r="I10" i="1"/>
  <c r="N10" i="1" s="1"/>
  <c r="I333" i="1"/>
  <c r="N333" i="1" s="1"/>
  <c r="I325" i="1"/>
  <c r="N325" i="1" s="1"/>
  <c r="I35" i="1"/>
  <c r="N35" i="1" s="1"/>
  <c r="I298" i="1"/>
  <c r="N298" i="1" s="1"/>
  <c r="I42" i="1"/>
  <c r="N42" i="1" s="1"/>
  <c r="I130" i="1"/>
  <c r="N130" i="1" s="1"/>
  <c r="I122" i="1"/>
  <c r="N122" i="1" s="1"/>
  <c r="I114" i="1"/>
  <c r="N114" i="1" s="1"/>
  <c r="I106" i="1"/>
  <c r="N106" i="1" s="1"/>
  <c r="I98" i="1"/>
  <c r="N98" i="1" s="1"/>
  <c r="I90" i="1"/>
  <c r="N90" i="1" s="1"/>
  <c r="I82" i="1"/>
  <c r="N82" i="1" s="1"/>
  <c r="I74" i="1"/>
  <c r="N74" i="1" s="1"/>
  <c r="I66" i="1"/>
  <c r="N66" i="1" s="1"/>
  <c r="I58" i="1"/>
  <c r="N58" i="1" s="1"/>
  <c r="I23" i="1"/>
  <c r="N23" i="1" s="1"/>
  <c r="I24" i="1"/>
  <c r="N24" i="1" s="1"/>
  <c r="I50" i="1"/>
  <c r="N50" i="1" s="1"/>
  <c r="I11" i="1"/>
  <c r="N11" i="1" s="1"/>
  <c r="I332" i="1"/>
  <c r="N332" i="1" s="1"/>
  <c r="I47" i="1"/>
  <c r="N47" i="1" s="1"/>
  <c r="I305" i="1"/>
  <c r="N305" i="1" s="1"/>
  <c r="I297" i="1"/>
  <c r="N297" i="1" s="1"/>
  <c r="I43" i="1"/>
  <c r="N43" i="1" s="1"/>
  <c r="I129" i="1"/>
  <c r="N129" i="1" s="1"/>
  <c r="I121" i="1"/>
  <c r="N121" i="1" s="1"/>
  <c r="I113" i="1"/>
  <c r="N113" i="1" s="1"/>
  <c r="I105" i="1"/>
  <c r="N105" i="1" s="1"/>
  <c r="I97" i="1"/>
  <c r="N97" i="1" s="1"/>
  <c r="I89" i="1"/>
  <c r="N89" i="1" s="1"/>
  <c r="I81" i="1"/>
  <c r="N81" i="1" s="1"/>
  <c r="I73" i="1"/>
  <c r="N73" i="1" s="1"/>
  <c r="I65" i="1"/>
  <c r="N65" i="1" s="1"/>
  <c r="I57" i="1"/>
  <c r="N57" i="1" s="1"/>
  <c r="I30" i="1"/>
  <c r="N30" i="1" s="1"/>
  <c r="I21" i="1"/>
  <c r="N21" i="1" s="1"/>
  <c r="I49" i="1"/>
  <c r="N49" i="1" s="1"/>
  <c r="I53" i="1"/>
  <c r="N53" i="1" s="1"/>
  <c r="I331" i="1"/>
  <c r="N331" i="1" s="1"/>
  <c r="I37" i="1"/>
  <c r="N37" i="1" s="1"/>
  <c r="I304" i="1"/>
  <c r="N304" i="1" s="1"/>
  <c r="I296" i="1"/>
  <c r="N296" i="1" s="1"/>
  <c r="I52" i="1"/>
  <c r="N52" i="1" s="1"/>
  <c r="I128" i="1"/>
  <c r="N128" i="1" s="1"/>
  <c r="I120" i="1"/>
  <c r="N120" i="1" s="1"/>
  <c r="I112" i="1"/>
  <c r="N112" i="1" s="1"/>
  <c r="I104" i="1"/>
  <c r="N104" i="1" s="1"/>
  <c r="I96" i="1"/>
  <c r="N96" i="1" s="1"/>
  <c r="I88" i="1"/>
  <c r="N88" i="1" s="1"/>
  <c r="I80" i="1"/>
  <c r="N80" i="1" s="1"/>
  <c r="I72" i="1"/>
  <c r="N72" i="1" s="1"/>
  <c r="I64" i="1"/>
  <c r="N64" i="1" s="1"/>
  <c r="I56" i="1"/>
  <c r="N56" i="1" s="1"/>
  <c r="I29" i="1"/>
  <c r="N29" i="1" s="1"/>
  <c r="I22" i="1"/>
  <c r="N22" i="1" s="1"/>
  <c r="I16" i="1"/>
  <c r="N16" i="1" s="1"/>
  <c r="I48" i="1"/>
  <c r="N48" i="1" s="1"/>
  <c r="I330" i="1"/>
  <c r="N330" i="1" s="1"/>
  <c r="I36" i="1"/>
  <c r="N36" i="1" s="1"/>
  <c r="I303" i="1"/>
  <c r="N303" i="1" s="1"/>
  <c r="I295" i="1"/>
  <c r="N295" i="1" s="1"/>
  <c r="I51" i="1"/>
  <c r="N51" i="1" s="1"/>
  <c r="I127" i="1"/>
  <c r="N127" i="1" s="1"/>
  <c r="I119" i="1"/>
  <c r="N119" i="1" s="1"/>
  <c r="I111" i="1"/>
  <c r="N111" i="1" s="1"/>
  <c r="I103" i="1"/>
  <c r="N103" i="1" s="1"/>
  <c r="I95" i="1"/>
  <c r="N95" i="1" s="1"/>
  <c r="I87" i="1"/>
  <c r="N87" i="1" s="1"/>
  <c r="I79" i="1"/>
  <c r="N79" i="1" s="1"/>
  <c r="I71" i="1"/>
  <c r="N71" i="1" s="1"/>
  <c r="I63" i="1"/>
  <c r="N63" i="1" s="1"/>
  <c r="I55" i="1"/>
  <c r="N55" i="1" s="1"/>
  <c r="I19" i="1"/>
  <c r="N19" i="1" s="1"/>
  <c r="I20" i="1"/>
  <c r="N20" i="1" s="1"/>
  <c r="I28" i="1"/>
  <c r="N28" i="1" s="1"/>
  <c r="I44" i="1"/>
  <c r="N44" i="1" s="1"/>
  <c r="I329" i="1"/>
  <c r="N329" i="1" s="1"/>
  <c r="I45" i="1"/>
  <c r="N45" i="1" s="1"/>
  <c r="I302" i="1"/>
  <c r="N302" i="1" s="1"/>
  <c r="I294" i="1"/>
  <c r="N294" i="1" s="1"/>
  <c r="I134" i="1"/>
  <c r="N134" i="1" s="1"/>
  <c r="I126" i="1"/>
  <c r="N126" i="1" s="1"/>
  <c r="I118" i="1"/>
  <c r="N118" i="1" s="1"/>
  <c r="I110" i="1"/>
  <c r="N110" i="1" s="1"/>
  <c r="I102" i="1"/>
  <c r="N102" i="1" s="1"/>
  <c r="I94" i="1"/>
  <c r="N94" i="1" s="1"/>
  <c r="I86" i="1"/>
  <c r="N86" i="1" s="1"/>
  <c r="I78" i="1"/>
  <c r="N78" i="1" s="1"/>
  <c r="I70" i="1"/>
  <c r="N70" i="1" s="1"/>
  <c r="I62" i="1"/>
  <c r="N62" i="1" s="1"/>
  <c r="I54" i="1"/>
  <c r="N54" i="1" s="1"/>
  <c r="I18" i="1"/>
  <c r="N18" i="1" s="1"/>
  <c r="I31" i="1"/>
  <c r="N31" i="1" s="1"/>
  <c r="I27" i="1"/>
  <c r="N27" i="1" s="1"/>
  <c r="I33" i="2"/>
  <c r="J33" i="2"/>
  <c r="H33" i="2"/>
  <c r="F33" i="2"/>
  <c r="I32" i="2"/>
  <c r="H32" i="2"/>
  <c r="G32" i="2"/>
  <c r="J32" i="2"/>
  <c r="I34" i="2"/>
  <c r="H34" i="2"/>
  <c r="G34" i="2"/>
  <c r="J34" i="2"/>
  <c r="G33" i="2"/>
  <c r="F32" i="2"/>
  <c r="F34" i="2"/>
  <c r="H44" i="1"/>
  <c r="H53" i="1"/>
  <c r="H48" i="1"/>
  <c r="H41" i="1"/>
  <c r="H9" i="1"/>
  <c r="H10" i="1"/>
  <c r="H11" i="1"/>
  <c r="H8" i="1"/>
  <c r="H25" i="1"/>
  <c r="H120" i="1"/>
  <c r="H88" i="1"/>
  <c r="H94" i="1"/>
  <c r="H23" i="1"/>
  <c r="H96" i="1"/>
  <c r="H296" i="1"/>
  <c r="H126" i="1"/>
  <c r="H72" i="1"/>
  <c r="H128" i="1"/>
  <c r="H50" i="1"/>
  <c r="H29" i="1"/>
  <c r="H294" i="1"/>
  <c r="H67" i="1"/>
  <c r="H56" i="1"/>
  <c r="H104" i="1"/>
  <c r="H304" i="1"/>
  <c r="H334" i="1"/>
  <c r="H80" i="1"/>
  <c r="H52" i="1"/>
  <c r="H131" i="1"/>
  <c r="H115" i="1"/>
  <c r="H62" i="1"/>
  <c r="H110" i="1"/>
  <c r="H37" i="1"/>
  <c r="H12" i="1"/>
  <c r="H64" i="1"/>
  <c r="H112" i="1"/>
  <c r="H328" i="1"/>
  <c r="H45" i="1"/>
  <c r="H78" i="1"/>
  <c r="H69" i="1"/>
  <c r="H85" i="1"/>
  <c r="H101" i="1"/>
  <c r="H117" i="1"/>
  <c r="H133" i="1"/>
  <c r="H301" i="1"/>
  <c r="H325" i="1"/>
  <c r="H33" i="1"/>
  <c r="H54" i="1"/>
  <c r="H70" i="1"/>
  <c r="H86" i="1"/>
  <c r="H102" i="1"/>
  <c r="H118" i="1"/>
  <c r="H134" i="1"/>
  <c r="H302" i="1"/>
  <c r="H326" i="1"/>
  <c r="H24" i="1"/>
  <c r="H59" i="1"/>
  <c r="H75" i="1"/>
  <c r="H91" i="1"/>
  <c r="H107" i="1"/>
  <c r="H123" i="1"/>
  <c r="H291" i="1"/>
  <c r="H39" i="1"/>
  <c r="H331" i="1"/>
  <c r="H22" i="1"/>
  <c r="H15" i="1"/>
  <c r="H61" i="1"/>
  <c r="H77" i="1"/>
  <c r="H93" i="1"/>
  <c r="H109" i="1"/>
  <c r="H125" i="1"/>
  <c r="H293" i="1"/>
  <c r="H38" i="1"/>
  <c r="H333" i="1"/>
  <c r="H26" i="1"/>
  <c r="H16" i="1"/>
  <c r="H83" i="1"/>
  <c r="H99" i="1"/>
  <c r="H299" i="1"/>
  <c r="H47" i="1"/>
  <c r="H49" i="1"/>
  <c r="H21" i="1"/>
  <c r="H30" i="1"/>
  <c r="H55" i="1"/>
  <c r="H63" i="1"/>
  <c r="H71" i="1"/>
  <c r="H79" i="1"/>
  <c r="H87" i="1"/>
  <c r="H95" i="1"/>
  <c r="H103" i="1"/>
  <c r="H111" i="1"/>
  <c r="H119" i="1"/>
  <c r="H127" i="1"/>
  <c r="H51" i="1"/>
  <c r="H295" i="1"/>
  <c r="H303" i="1"/>
  <c r="H36" i="1"/>
  <c r="H327" i="1"/>
  <c r="H335" i="1"/>
  <c r="H13" i="1"/>
  <c r="H32" i="1"/>
  <c r="H34" i="1"/>
  <c r="H57" i="1"/>
  <c r="H65" i="1"/>
  <c r="H73" i="1"/>
  <c r="H81" i="1"/>
  <c r="H89" i="1"/>
  <c r="H97" i="1"/>
  <c r="H105" i="1"/>
  <c r="H113" i="1"/>
  <c r="H121" i="1"/>
  <c r="H129" i="1"/>
  <c r="H43" i="1"/>
  <c r="H297" i="1"/>
  <c r="H305" i="1"/>
  <c r="H329" i="1"/>
  <c r="H46" i="1"/>
  <c r="H14" i="1"/>
  <c r="H17" i="1"/>
  <c r="H58" i="1"/>
  <c r="H66" i="1"/>
  <c r="H74" i="1"/>
  <c r="H82" i="1"/>
  <c r="H90" i="1"/>
  <c r="H98" i="1"/>
  <c r="H106" i="1"/>
  <c r="H114" i="1"/>
  <c r="H122" i="1"/>
  <c r="H130" i="1"/>
  <c r="H42" i="1"/>
  <c r="H298" i="1"/>
  <c r="H35" i="1"/>
  <c r="H330" i="1"/>
  <c r="H27" i="1"/>
  <c r="H31" i="1"/>
  <c r="H18" i="1"/>
  <c r="H60" i="1"/>
  <c r="H68" i="1"/>
  <c r="H76" i="1"/>
  <c r="H84" i="1"/>
  <c r="H92" i="1"/>
  <c r="H100" i="1"/>
  <c r="H108" i="1"/>
  <c r="H116" i="1"/>
  <c r="H124" i="1"/>
  <c r="H132" i="1"/>
  <c r="H292" i="1"/>
  <c r="H300" i="1"/>
  <c r="H40" i="1"/>
  <c r="H332" i="1"/>
  <c r="H28" i="1"/>
  <c r="H20" i="1"/>
  <c r="H19" i="1"/>
  <c r="F113" i="2" l="1"/>
  <c r="F88" i="2"/>
  <c r="L113" i="2"/>
  <c r="L88" i="2"/>
  <c r="L14" i="24" a="1"/>
  <c r="L14" i="24" s="1"/>
  <c r="L11" i="24" a="1"/>
  <c r="L11" i="24" s="1"/>
  <c r="L10" i="24" a="1"/>
  <c r="L10" i="24" s="1"/>
  <c r="L6" i="24" a="1"/>
  <c r="L6" i="24" s="1"/>
  <c r="I86" i="23"/>
  <c r="T85" i="23"/>
  <c r="T84" i="23"/>
  <c r="T83" i="23"/>
  <c r="T82" i="23"/>
  <c r="T81" i="23"/>
  <c r="L81" i="23" a="1"/>
  <c r="L81" i="23" s="1"/>
  <c r="T80" i="23"/>
  <c r="L80" i="23" a="1"/>
  <c r="L80" i="23" s="1"/>
  <c r="T79" i="23"/>
  <c r="T78" i="23"/>
  <c r="T77" i="23"/>
  <c r="T76" i="23"/>
  <c r="T75" i="23"/>
  <c r="T74" i="23"/>
  <c r="L74" i="23" a="1"/>
  <c r="L74" i="23" s="1"/>
  <c r="T73" i="23"/>
  <c r="L73" i="23" a="1"/>
  <c r="L73" i="23" s="1"/>
  <c r="T72" i="23"/>
  <c r="L72" i="23" a="1"/>
  <c r="L72" i="23" s="1"/>
  <c r="T71" i="23"/>
  <c r="L71" i="23" a="1"/>
  <c r="L71" i="23" s="1"/>
  <c r="T70" i="23"/>
  <c r="T69" i="23"/>
  <c r="T68" i="23"/>
  <c r="T67" i="23"/>
  <c r="T66" i="23"/>
  <c r="L66" i="23" a="1"/>
  <c r="L66" i="23" s="1"/>
  <c r="T65" i="23"/>
  <c r="L65" i="23" a="1"/>
  <c r="L65" i="23" s="1"/>
  <c r="T64" i="23"/>
  <c r="L64" i="23" a="1"/>
  <c r="L64" i="23" s="1"/>
  <c r="T63" i="23"/>
  <c r="L63" i="23" a="1"/>
  <c r="L63" i="23" s="1"/>
  <c r="T62" i="23"/>
  <c r="T61" i="23"/>
  <c r="T60" i="23"/>
  <c r="L60" i="23" a="1"/>
  <c r="L60" i="23" s="1"/>
  <c r="T59" i="23"/>
  <c r="L59" i="23" a="1"/>
  <c r="L59" i="23" s="1"/>
  <c r="T58" i="23"/>
  <c r="T57" i="23"/>
  <c r="L57" i="23" a="1"/>
  <c r="L57" i="23" s="1"/>
  <c r="T56" i="23"/>
  <c r="L56" i="23" a="1"/>
  <c r="L56" i="23" s="1"/>
  <c r="T55" i="23"/>
  <c r="T54" i="23"/>
  <c r="T53" i="23"/>
  <c r="T52" i="23"/>
  <c r="T51" i="23"/>
  <c r="T50" i="23"/>
  <c r="T49" i="23"/>
  <c r="T48" i="23"/>
  <c r="T47" i="23"/>
  <c r="T46" i="23"/>
  <c r="L46" i="23" a="1"/>
  <c r="L46" i="23" s="1"/>
  <c r="T45" i="23"/>
  <c r="L45" i="23" a="1"/>
  <c r="L45" i="23" s="1"/>
  <c r="T44" i="23"/>
  <c r="L44" i="23" a="1"/>
  <c r="L44" i="23" s="1"/>
  <c r="T43" i="23"/>
  <c r="T42" i="23"/>
  <c r="T41" i="23"/>
  <c r="T40" i="23"/>
  <c r="T39" i="23"/>
  <c r="T38" i="23"/>
  <c r="T37" i="23"/>
  <c r="T36" i="23"/>
  <c r="T35" i="23"/>
  <c r="T34" i="23"/>
  <c r="T33" i="23"/>
  <c r="T32" i="23"/>
  <c r="T31" i="23"/>
  <c r="T30" i="23"/>
  <c r="T29" i="23"/>
  <c r="T28" i="23"/>
  <c r="L28" i="23" a="1"/>
  <c r="L28" i="23" s="1"/>
  <c r="T26" i="23"/>
  <c r="T25" i="23"/>
  <c r="L25" i="23" a="1"/>
  <c r="L25" i="23" s="1"/>
  <c r="T24" i="23"/>
  <c r="L24" i="23" a="1"/>
  <c r="L24" i="23" s="1"/>
  <c r="T23" i="23"/>
  <c r="L23" i="23" a="1"/>
  <c r="L23" i="23" s="1"/>
  <c r="T22" i="23"/>
  <c r="T21" i="23"/>
  <c r="L21" i="23" a="1"/>
  <c r="L21" i="23" s="1"/>
  <c r="T20" i="23"/>
  <c r="T19" i="23"/>
  <c r="T18" i="23"/>
  <c r="L18" i="23" a="1"/>
  <c r="L18" i="23" s="1"/>
  <c r="T17" i="23"/>
  <c r="T16" i="23"/>
  <c r="T15" i="23"/>
  <c r="T14" i="23"/>
  <c r="L14" i="23" a="1"/>
  <c r="L14" i="23" s="1"/>
  <c r="T13" i="23"/>
  <c r="L13" i="23" a="1"/>
  <c r="L13" i="23" s="1"/>
  <c r="T12" i="23"/>
  <c r="L12" i="23" a="1"/>
  <c r="L12" i="23" s="1"/>
  <c r="T11" i="23"/>
  <c r="T10" i="23"/>
  <c r="L10" i="23" a="1"/>
  <c r="L10" i="23" s="1"/>
  <c r="T9" i="23"/>
  <c r="L9" i="23" a="1"/>
  <c r="L9" i="23" s="1"/>
  <c r="T8" i="23"/>
  <c r="T7" i="23"/>
  <c r="L7" i="23" a="1"/>
  <c r="L7" i="23" s="1"/>
  <c r="T6" i="23"/>
  <c r="L6" i="23" a="1"/>
  <c r="L6" i="23" s="1"/>
  <c r="T5" i="23"/>
  <c r="J25" i="2" l="1"/>
  <c r="I25" i="2"/>
  <c r="H25" i="2"/>
  <c r="G25" i="2"/>
  <c r="F25" i="2"/>
  <c r="J24" i="2"/>
  <c r="I24" i="2"/>
  <c r="H24" i="2"/>
  <c r="G24" i="2"/>
  <c r="F24" i="2"/>
  <c r="J16" i="2"/>
  <c r="I16" i="2"/>
  <c r="H16" i="2"/>
  <c r="G16" i="2"/>
  <c r="F16" i="2"/>
  <c r="F129" i="2"/>
  <c r="F132" i="2"/>
  <c r="I132" i="2"/>
  <c r="K129" i="2"/>
  <c r="J129" i="2"/>
  <c r="I129" i="2"/>
  <c r="F152" i="2" l="1"/>
  <c r="J152" i="2"/>
  <c r="F160" i="2" s="1"/>
  <c r="H160" i="2" s="1"/>
  <c r="K152" i="2"/>
  <c r="F161" i="2" s="1"/>
  <c r="H161" i="2" s="1"/>
  <c r="I152" i="2"/>
  <c r="F159" i="2" s="1"/>
  <c r="H159" i="2" s="1"/>
  <c r="H132" i="2"/>
  <c r="G132" i="2" s="1"/>
  <c r="H129" i="2"/>
  <c r="G129" i="2" s="1"/>
  <c r="F144" i="2"/>
  <c r="G144" i="2" s="1"/>
  <c r="F136" i="2"/>
  <c r="G136" i="2" s="1"/>
  <c r="G159" i="2" l="1"/>
  <c r="G161" i="2"/>
  <c r="G160" i="2"/>
  <c r="G152" i="2"/>
  <c r="F157" i="2" s="1"/>
  <c r="J144" i="2"/>
  <c r="I144" i="2"/>
  <c r="H144" i="2"/>
  <c r="K144" i="2"/>
  <c r="K136" i="2"/>
  <c r="J136" i="2"/>
  <c r="I136" i="2"/>
  <c r="H136" i="2"/>
  <c r="H152" i="2"/>
  <c r="F158" i="2" s="1"/>
  <c r="H158" i="2" s="1"/>
  <c r="F128" i="2"/>
  <c r="G128" i="2" s="1"/>
  <c r="H157" i="2" l="1"/>
  <c r="F162" i="2"/>
  <c r="G157" i="2"/>
  <c r="G158" i="2"/>
  <c r="K128" i="2"/>
  <c r="J128" i="2"/>
  <c r="I128" i="2"/>
  <c r="H128" i="2"/>
  <c r="G162" i="2" l="1"/>
  <c r="F35" i="2"/>
  <c r="G35" i="2"/>
  <c r="H35" i="2"/>
  <c r="I35" i="2"/>
  <c r="J35" i="2"/>
  <c r="K32" i="2"/>
  <c r="K33" i="2"/>
  <c r="K34" i="2"/>
  <c r="K35" i="2" l="1"/>
  <c r="E62" i="2" l="1"/>
  <c r="F62" i="2"/>
  <c r="H62" i="2" s="1"/>
  <c r="K62" i="2"/>
  <c r="L62" i="2"/>
  <c r="N62" i="2" s="1"/>
  <c r="M62" i="2" l="1"/>
  <c r="G62" i="2"/>
  <c r="L115" i="2"/>
  <c r="N115" i="2" s="1"/>
  <c r="L114" i="2"/>
  <c r="N114" i="2" s="1"/>
  <c r="N113" i="2"/>
  <c r="L112" i="2"/>
  <c r="N112" i="2" s="1"/>
  <c r="L111" i="2"/>
  <c r="N111" i="2" s="1"/>
  <c r="K115" i="2"/>
  <c r="K114" i="2"/>
  <c r="K112" i="2"/>
  <c r="K111" i="2"/>
  <c r="F115" i="2"/>
  <c r="H115" i="2" s="1"/>
  <c r="F114" i="2"/>
  <c r="H114" i="2" s="1"/>
  <c r="H113" i="2"/>
  <c r="F112" i="2"/>
  <c r="H112" i="2" s="1"/>
  <c r="F111" i="2"/>
  <c r="H111" i="2" s="1"/>
  <c r="E115" i="2"/>
  <c r="E114" i="2"/>
  <c r="E112" i="2"/>
  <c r="E111" i="2"/>
  <c r="L90" i="2"/>
  <c r="N90" i="2" s="1"/>
  <c r="L89" i="2"/>
  <c r="N89" i="2" s="1"/>
  <c r="N88" i="2"/>
  <c r="L87" i="2"/>
  <c r="N87" i="2" s="1"/>
  <c r="L86" i="2"/>
  <c r="N86" i="2" s="1"/>
  <c r="K90" i="2"/>
  <c r="K89" i="2"/>
  <c r="K87" i="2"/>
  <c r="K86" i="2"/>
  <c r="F90" i="2"/>
  <c r="H90" i="2" s="1"/>
  <c r="F89" i="2"/>
  <c r="H89" i="2" s="1"/>
  <c r="H88" i="2"/>
  <c r="F87" i="2"/>
  <c r="H87" i="2" s="1"/>
  <c r="F86" i="2"/>
  <c r="H86" i="2" s="1"/>
  <c r="E90" i="2"/>
  <c r="E89" i="2"/>
  <c r="E87" i="2"/>
  <c r="F60" i="2"/>
  <c r="H60" i="2" s="1"/>
  <c r="L64" i="2"/>
  <c r="N64" i="2" s="1"/>
  <c r="L63" i="2"/>
  <c r="N63" i="2" s="1"/>
  <c r="L61" i="2"/>
  <c r="N61" i="2" s="1"/>
  <c r="L60" i="2"/>
  <c r="N60" i="2" s="1"/>
  <c r="K64" i="2"/>
  <c r="K63" i="2"/>
  <c r="K61" i="2"/>
  <c r="K60" i="2"/>
  <c r="F64" i="2"/>
  <c r="H64" i="2" s="1"/>
  <c r="F63" i="2"/>
  <c r="H63" i="2" s="1"/>
  <c r="F61" i="2"/>
  <c r="H61" i="2" s="1"/>
  <c r="E64" i="2"/>
  <c r="E63" i="2"/>
  <c r="E61" i="2"/>
  <c r="E60" i="2"/>
  <c r="J21" i="2"/>
  <c r="I21" i="2"/>
  <c r="H21" i="2"/>
  <c r="G21" i="2"/>
  <c r="F21" i="2"/>
  <c r="J20" i="2"/>
  <c r="I20" i="2"/>
  <c r="H20" i="2"/>
  <c r="G20" i="2"/>
  <c r="F20" i="2"/>
  <c r="J17" i="2"/>
  <c r="I17" i="2"/>
  <c r="H17" i="2"/>
  <c r="G17" i="2"/>
  <c r="F17" i="2"/>
  <c r="G112" i="2" l="1"/>
  <c r="G87" i="2"/>
  <c r="M87" i="2"/>
  <c r="M89" i="2"/>
  <c r="M60" i="2"/>
  <c r="M90" i="2"/>
  <c r="G113" i="2"/>
  <c r="M111" i="2"/>
  <c r="M61" i="2"/>
  <c r="G114" i="2"/>
  <c r="M112" i="2"/>
  <c r="M63" i="2"/>
  <c r="G86" i="2"/>
  <c r="G115" i="2"/>
  <c r="M113" i="2"/>
  <c r="M64" i="2"/>
  <c r="M114" i="2"/>
  <c r="G88" i="2"/>
  <c r="M86" i="2"/>
  <c r="M115" i="2"/>
  <c r="G89" i="2"/>
  <c r="G90" i="2"/>
  <c r="M88" i="2"/>
  <c r="G111" i="2"/>
  <c r="G63" i="2"/>
  <c r="G61" i="2"/>
  <c r="G60" i="2"/>
  <c r="G64" i="2"/>
  <c r="J18" i="2"/>
  <c r="K16" i="2"/>
  <c r="K17" i="2"/>
  <c r="L116" i="2"/>
  <c r="K116" i="2"/>
  <c r="F116" i="2"/>
  <c r="L91" i="2"/>
  <c r="K91" i="2"/>
  <c r="F91" i="2"/>
  <c r="E116" i="2"/>
  <c r="E91" i="2"/>
  <c r="J26" i="2"/>
  <c r="K25" i="2"/>
  <c r="J22" i="2"/>
  <c r="K21" i="2"/>
  <c r="K24" i="2"/>
  <c r="K20" i="2"/>
  <c r="L65" i="2"/>
  <c r="K65" i="2"/>
  <c r="F65" i="2"/>
  <c r="E65" i="2"/>
  <c r="F18" i="2"/>
  <c r="I18" i="2"/>
  <c r="H18" i="2"/>
  <c r="G18" i="2"/>
  <c r="I26" i="2"/>
  <c r="I22" i="2"/>
  <c r="G26" i="2"/>
  <c r="F26" i="2"/>
  <c r="H22" i="2"/>
  <c r="G22" i="2"/>
  <c r="F22" i="2"/>
  <c r="H26" i="2"/>
  <c r="M65" i="2" l="1"/>
  <c r="G65" i="2"/>
  <c r="K26" i="2"/>
  <c r="K18" i="2"/>
  <c r="K22" i="2"/>
  <c r="M116" i="2"/>
  <c r="G116" i="2"/>
  <c r="M91" i="2"/>
  <c r="G9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<sst xmlns="http://schemas.openxmlformats.org/spreadsheetml/2006/main" count="8010" uniqueCount="1438">
  <si>
    <t>B02.00</t>
  </si>
  <si>
    <t>lt002_instrument</t>
  </si>
  <si>
    <t>lt005_instr_ent</t>
  </si>
  <si>
    <t>instrmnt_id</t>
  </si>
  <si>
    <t>isin</t>
  </si>
  <si>
    <t>orgnl_amnt_eur</t>
  </si>
  <si>
    <t>orgnl_amnt_fx</t>
  </si>
  <si>
    <t>crrncy_dnmntn</t>
  </si>
  <si>
    <t>otstndng_prncpl_amnt</t>
  </si>
  <si>
    <t>prtn_amnt_rprtng_entty</t>
  </si>
  <si>
    <t>governing_law</t>
  </si>
  <si>
    <t>dt_lgl_fnl_mtrty</t>
  </si>
  <si>
    <t>dt_incptn</t>
  </si>
  <si>
    <t>rank_insolv</t>
  </si>
  <si>
    <t>typ_instrmnt</t>
  </si>
  <si>
    <t>accrd_intrst_instrmnt</t>
  </si>
  <si>
    <t>out_b0200_main_liabilities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</si>
  <si>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</si>
  <si>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</si>
  <si>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</si>
  <si>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</si>
  <si>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</si>
  <si>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</si>
  <si>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</si>
  <si>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</si>
  <si>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</si>
  <si>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</si>
  <si>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</si>
  <si>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</si>
  <si>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</si>
  <si>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</si>
  <si>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</si>
  <si>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</si>
  <si>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</si>
  <si>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</si>
  <si>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</si>
  <si>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</si>
  <si>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</si>
  <si>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</si>
  <si>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</si>
  <si>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</si>
  <si>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</si>
  <si>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</si>
  <si>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</si>
  <si>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</si>
  <si>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</si>
  <si>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</si>
  <si>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</si>
  <si>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</si>
  <si>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</si>
  <si>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</si>
  <si>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</si>
  <si>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</si>
  <si>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</si>
  <si>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</si>
  <si>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</si>
  <si>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</si>
  <si>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</si>
  <si>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</si>
  <si>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</si>
  <si>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</si>
  <si>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</si>
  <si>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</si>
  <si>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</si>
  <si>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</si>
  <si>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</si>
  <si>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</si>
  <si>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</si>
  <si>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</si>
  <si>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</si>
  <si>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</si>
  <si>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</si>
  <si>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</si>
  <si>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</si>
  <si>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</si>
  <si>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</si>
  <si>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</si>
  <si>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</si>
  <si>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</si>
  <si>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</si>
  <si>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</si>
  <si>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</si>
  <si>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</si>
  <si>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</si>
  <si>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</si>
  <si>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</si>
  <si>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</si>
  <si>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</si>
  <si>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</si>
  <si>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</si>
  <si>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</si>
  <si>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</si>
  <si>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</si>
  <si>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</si>
  <si>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</si>
  <si>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amnt_scrty_eur</t>
  </si>
  <si>
    <t>amnt_scrty_fx</t>
  </si>
  <si>
    <t>csd</t>
  </si>
  <si>
    <t>csd_lei</t>
  </si>
  <si>
    <t>pyng_agnt</t>
  </si>
  <si>
    <t>pyng_agnt_lei</t>
  </si>
  <si>
    <t>typ_own_fnds_indvdl_lvl</t>
  </si>
  <si>
    <t>elgbl_amnt_own_fnds_indvdl_lvl</t>
  </si>
  <si>
    <t>crryng_amnt_instrmnt</t>
  </si>
  <si>
    <t>accntng_clssfctn</t>
  </si>
  <si>
    <t>Stream</t>
  </si>
  <si>
    <t>Sub-stream</t>
  </si>
  <si>
    <t>Data entrega IT 
(real)</t>
  </si>
  <si>
    <t xml:space="preserve">Data 
conclusão </t>
  </si>
  <si>
    <t>Observações</t>
  </si>
  <si>
    <r>
      <rPr>
        <b/>
        <i/>
        <sz val="11"/>
        <color theme="0"/>
        <rFont val="Santander Text"/>
        <family val="2"/>
      </rPr>
      <t>Status</t>
    </r>
    <r>
      <rPr>
        <b/>
        <sz val="11"/>
        <color theme="0"/>
        <rFont val="Santander Text"/>
        <family val="2"/>
      </rPr>
      <t xml:space="preserve"> Atual</t>
    </r>
  </si>
  <si>
    <r>
      <rPr>
        <b/>
        <i/>
        <sz val="11"/>
        <color theme="0"/>
        <rFont val="Santander Text"/>
        <family val="2"/>
      </rPr>
      <t>Status</t>
    </r>
    <r>
      <rPr>
        <b/>
        <sz val="11"/>
        <color theme="0"/>
        <rFont val="Santander Text"/>
        <family val="2"/>
      </rPr>
      <t xml:space="preserve"> Anterior</t>
    </r>
  </si>
  <si>
    <r>
      <rPr>
        <b/>
        <i/>
        <sz val="11"/>
        <color theme="0"/>
        <rFont val="Santander Text"/>
        <family val="2"/>
      </rPr>
      <t>Status</t>
    </r>
    <r>
      <rPr>
        <b/>
        <sz val="11"/>
        <color theme="0"/>
        <rFont val="Santander Text"/>
        <family val="2"/>
      </rPr>
      <t xml:space="preserve"> Especificação</t>
    </r>
  </si>
  <si>
    <t>Data field</t>
  </si>
  <si>
    <t>B02.00 - Main Liabilities: the tab includes the data points requested at resolution entity (point of entry) level for the implementation of the bail-in tool, or at non resolution entity level (up to the Senior Non-Preferred layer)11 for monitoring and implementing the loss transfer and recapitalisation mechanisms. Generally, the data points in this tab are requested at individual level12. However, some specific data points may be requested at consolidated level on an adhoc basis by the IRT</t>
  </si>
  <si>
    <t>SRB Instructions</t>
  </si>
  <si>
    <t>Especificação IT</t>
  </si>
  <si>
    <t>Fase 1 - Granular (Loan Tape)</t>
  </si>
  <si>
    <t>Fase 2 - Agregada (Não Loan Tape)</t>
  </si>
  <si>
    <t>Comentários/Histórico EF</t>
  </si>
  <si>
    <t>Data Point</t>
  </si>
  <si>
    <t>ID</t>
  </si>
  <si>
    <t>Data type</t>
  </si>
  <si>
    <t>Constrain</t>
  </si>
  <si>
    <t>Description</t>
  </si>
  <si>
    <t>Treatment of "Not applicable" 
(if cell is grey out, input is not expected)</t>
  </si>
  <si>
    <t>Treatment of "Not available" 
(if cell is grey out, input is not expected)</t>
  </si>
  <si>
    <t>Novo campo?</t>
  </si>
  <si>
    <t>Nome campo</t>
  </si>
  <si>
    <t>Missing Value (LT804)</t>
  </si>
  <si>
    <t>Not Applicable Value (LT804)</t>
  </si>
  <si>
    <t>Regra campo</t>
  </si>
  <si>
    <t>Estado Especificação</t>
  </si>
  <si>
    <t>Estado Desenvolvimento</t>
  </si>
  <si>
    <t>Row number</t>
  </si>
  <si>
    <t>0010</t>
  </si>
  <si>
    <t>Numeric</t>
  </si>
  <si>
    <t>Integer</t>
  </si>
  <si>
    <t>The unique number / primary key to identify the row items (the number must be an integer).</t>
  </si>
  <si>
    <t>Não</t>
  </si>
  <si>
    <t>out_b0200_main_liabilities.0010_row_nmbr</t>
  </si>
  <si>
    <t>Sequenciador a implementar na tabela de output out_b0200_main_liabilities
Nota: A cada execução não deverão ser gerados Row numbers diferentes pelo que provisoriamente deverá ser feito um order by instrmnt_id</t>
  </si>
  <si>
    <t xml:space="preserve">Reunião 2025-06-16 Luís Capitão-Mor, Pedro Mendes, Luísa Sousa
</t>
  </si>
  <si>
    <t>Campo não LT (apenas tabela Output)</t>
  </si>
  <si>
    <t>Concluído</t>
  </si>
  <si>
    <t>Unique internal identification number</t>
  </si>
  <si>
    <t>0020</t>
  </si>
  <si>
    <t>String</t>
  </si>
  <si>
    <t>Free text</t>
  </si>
  <si>
    <t>The unique internal identifier of the instrument/liability. For deposits reported on an aggregate level, please indicate:
▪ ‘NCNP’ for the aggregated not covered not preferential deposits (field c0280 = TRUE); and
▪ ‘NCBP’ for the aggregated not covered but preferential deposits (field c0290 = TRUE).</t>
  </si>
  <si>
    <t>lt002_instrument.instrmnt_id</t>
  </si>
  <si>
    <t>out_b0200_main_liabilities.0020_uniq_id</t>
  </si>
  <si>
    <t xml:space="preserve">lt002_instrument.instrmnt_id </t>
  </si>
  <si>
    <t>Reunião 2025-06-16 Luís Capitão-Mor, Pedro Mendes, Luísa Sousa</t>
  </si>
  <si>
    <t>Campo já existente no LT</t>
  </si>
  <si>
    <t>Unique identification number (known to the counterparty)</t>
  </si>
  <si>
    <t>0030</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</si>
  <si>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For deposits reported on an aggregate level, please indicate:
▪ ‘NCNP’ for the aggregated not covered not preferential deposits (field c0280 = TRUE); and
▪ ‘NCBP’ for the aggregated not covered but preferential deposits (field c0290 = TRUE).</t>
  </si>
  <si>
    <t>lt002_instrument.isin</t>
  </si>
  <si>
    <t>out_b0200_main_liabilities.0030_uniq_id_knwn_cntrprty</t>
  </si>
  <si>
    <t>Type of the unique identifier (known to the counterparty)</t>
  </si>
  <si>
    <t>0040</t>
  </si>
  <si>
    <t>Free text, but fixed values for specific items</t>
  </si>
  <si>
    <t>Free text, to indicate what type of identifier has been used in data point c0020, e.g. if the identifier is an ISIN, please input ‘ISIN’; if the identifier is an account number, please input ‘Account number’; if the identifier is a contract number, please input ‘Contract number’. For deposits reported on an aggregate level, please indicate ‘Aggregated’.</t>
  </si>
  <si>
    <t>out_b0200_main_liabilities.0040_typ_uniq_id_knwn_cntrprty</t>
  </si>
  <si>
    <t xml:space="preserve">Valor fixo 'ISIN'
</t>
  </si>
  <si>
    <t xml:space="preserve">Reunião 2025-06-16 Luís Capitão-Mor, Pedro Mendes, Luísa Sousa:
Neste caso não faz sentido criar o campo no Loan Tape quando ele já existe, portanto será criado apenas na tabela output out_b0200_main_liabilities. Caso contrário haveria um princípio de colisão, pois estar-se-ia a repetir conceitos de campos.
</t>
  </si>
  <si>
    <t>Original amount issued in EUR</t>
  </si>
  <si>
    <t>2 decimals</t>
  </si>
  <si>
    <t>The EUR (counter)value of the total issue size of the instrument, irrespective of the effective issuance dates, i.e. the total nominal amount / face value of a specific liability. For shares, it should reflect the face value / carrying amount of the shares. If a nominal value does not exist, this field is not applicable. This data point is not applicable for cash accounts / saving accounts and deposits reported in aggregated form (Submission A). If a value is reported in a foreign currency (c0060), the amount must additionally be converted into euros and reported in the corresponding EUR field (c0050), using the euro reference exchange rate published by the ECB on the date for which the information is reported40. In the case of foreign currencies for which no euro reference exchange rate is available, a customary market reference rate must be used. If such other customary reference exchange rates are used, a uniform source must be used wherever possible.</t>
  </si>
  <si>
    <t>Input 999999999999999</t>
  </si>
  <si>
    <t>Sim</t>
  </si>
  <si>
    <t>lt002_instrument.orgnl_amnt_eur</t>
  </si>
  <si>
    <t>Se flag_inst_titulos = '1': 
Obter campo nom_tot_inic da ct610_titulos. Adicionalmente, efetuar conversão via tabela cambios, seguindo a lógica definida nos restantes processos, dado que o campo nom_tot_inic está expresso na moeda original (campo cmoeda). 
Exemplo de query que utiliza a tabela cambios para converter moeda original em moeda eur (quando é eur a tcmbme é 1 pelo que o valor é igual):
SELECT DISTINCT concat(cempresa,cbalcao, cnumecta, zdeposit), 
(ct610.nom_tot_inic / cambios.tcmbme) AS orgnl_amnt_eur
FROM
  (SELECT cempresa,cbalcao, cnumecta, zdeposit, nom_tot_inic, cmoeda
   FROM cd_captools.ct610_titulos
   WHERE ref_date='${ref_date}' and
   concat(cempresa,cbalcao, cnumecta, zdeposit) IN ( '31641600000000000PTSTOGOM0003000',
                          '31641600005800007PTBSRDOM0037000',
                          '31641600005800007PTSTOCOM0007000',
                          '31641600005800007PTCPP0AM0007000',
                          '31641600000000000PTSTOEOM0021000',
                          '31641600000000000PTSTOHOM0002000',
                          '31641600000000000PTBSREOM0028000',
                          '31641600000000000PTSTOFOM0004000')) ct610
LEFT JOIN
  (SELECT cmoeda,
          tcmbme
   FROM cd_captools.cambios
   WHERE data_date_part = '${ref_date}'
     AND dcambio = '${ref_date}'
     AND zseqcamb = 99
     AND ctbcamb = 'F'
     AND cmarca = 'BT') cambios ON cambios.cmoeda = ct610.cmoeda;
Se flag_inst_titulos = '0':
Not applicable.
O respetivo valor default de Not applicable deverá ser parametrizado na lt804_conf_dflt.</t>
  </si>
  <si>
    <t>out_b0200_main_liabilities.0050_orgnl_amnt_eur</t>
  </si>
  <si>
    <t>Reunião 2025-08-04 Luís Capitão-Mor, Pedro Mendes, Luísa Sousa</t>
  </si>
  <si>
    <t>Campo novo no LT</t>
  </si>
  <si>
    <t>Original amount issued in foreign currency</t>
  </si>
  <si>
    <t>0060</t>
  </si>
  <si>
    <t>Same as c0050 above, but in the foreign currency (where relevant). Please also report the EUR-converted amount in the corresponding EUR field (c0050). This data point is not applicable for cash accounts / savings accounts and deposits reported in aggregated form (Submission A).</t>
  </si>
  <si>
    <t>lt002_instrument.orgnl_amnt_fx</t>
  </si>
  <si>
    <t>Se flag_inst_titulos = '1' e se campo cmoeda da ct610_titulos = '978' (eur):
Not applicable.
O respetivo valor default de Not applicable deverá ser parametrizado na lt804_conf_dflt.
Se flag_inst_titulos = '1' e se campo cmoeda da ct610_titulos &lt;&gt; '978' (eur):
Obter campo nom_tot_inic da ct610_titulos
Se flag_inst_titulos = '0':
Not applicable.
O respetivo valor default de Not applicable deverá ser parametrizado na lt804_conf_dflt.</t>
  </si>
  <si>
    <t>out_b0200_main_liabilities.0060_orgnl_amnt_fx</t>
  </si>
  <si>
    <r>
      <t>Contract currency</t>
    </r>
    <r>
      <rPr>
        <sz val="10"/>
        <color rgb="FFFF0000"/>
        <rFont val="Calibri"/>
        <family val="2"/>
      </rPr>
      <t xml:space="preserve"> </t>
    </r>
  </si>
  <si>
    <t>0070</t>
  </si>
  <si>
    <t>3-letters ISO 4217</t>
  </si>
  <si>
    <t>The currency in which the instrument/liability is issued. The currency must be reported with its 3-letter ISO 4217 code. For deposits reported on an aggregate level, please indicate ‘XXX’.</t>
  </si>
  <si>
    <t>Input "XXX"</t>
  </si>
  <si>
    <t>lt002_instrument.crrncy_dnmntn</t>
  </si>
  <si>
    <t>XXX</t>
  </si>
  <si>
    <t>out_b0200_main_liabilities.0070_cntrct_crrncy</t>
  </si>
  <si>
    <t>Outstanding principal amount</t>
  </si>
  <si>
    <t>The EUR (counter)value of the outstanding principal amount of the instrument/liability.
The difference between the original amount issued and the outstanding principal amount may be due to partial buybacks of the instrument, amortising instruments, etc. The portion of eligible liabilities subscribed by intragroup entities and excluded under Article 27(3)(h) SRMR must be included in the outstanding principal amount. Only claims against other parties must be reported (i.e. excluding the portion held by the entity itself, which must be reported in field c0090).
For zero coupon bonds issued at discount (i.e. c0240 = ZCB issued at discount) the final redemption amount should be reported.</t>
  </si>
  <si>
    <t>lt005_instr_ent.otstndng_prncpl_amnt</t>
  </si>
  <si>
    <t xml:space="preserve">Se flag_inst_titulos = '1': 
Passo 1: Verificar para cada "entty_id" (de um determinado "instrmnt_id") da lt005_instr_ent se o mesmo consta no vetor "zcliente_investidor" da ct610_titulos (desse "instrmnt_id"). Se constar, identificar em que posição consta e em seguida obter do vetor "nom_tot_ini_investe" da ct610_titulos o montante que consta nessa posição;
Passo 2: Verificar se a soma dos vários "nom_tot_ini_investe" é igual ao "nom_tot_inic", da ct610_titulos
-&gt; Se for igual: Não é necessária ação adicional
-&gt; Se for diferente: Somar essa diferença no "entty_id" 0000000000
Passo 3: Dado que o "outstanding principal amount" que se pretende é o atual e não o inicial, então terá de se multiplicar os vários "nom_tot_ini_investe" pelo rácio "nom_tot_atual"/"nom_tot_inic", da ct610_titulos.
Nota: O Universo do MBDT terá sempre este rácio=1 e portanto o valor inicial será igual ao valor atual, contudo, se existissem titularizações (onde se aplica o conceito de pool factor), o valor inicial seria diferente do valor atual (porque o "pool_factor" seria diferente de 1).
Passo 4: Converter o montante obtido para eur pela tabela de cambios (ver query de conversão já definida no campo Original amount issued in EUR (0050))
Se flag_inst_titulos = '0':
Not applicable. 
O respetivo valor default de Not applicable deverá ser parametrizado na lt804_conf_dflt.
Na sheet "Aux Campos Montante" consta um exemplo com a aplicação desta lógica.
</t>
  </si>
  <si>
    <t>out_b0200_main_liabilities.0080_otstndng_prncpl_amnt</t>
  </si>
  <si>
    <t>Soma "otstndng_prncpl_amnt"  -  Soma "portion_amnt_rprtng_entty", por cada instrmnt_id da lt005_instr_ent
Na sheet "Aux Campos Montante" consta um exemplo com a aplicação desta lógica.</t>
  </si>
  <si>
    <t xml:space="preserve">Reunião 2025-10-09 Luís Capitão-Mor, Pedro Mendes
Reunião 2025-09-22 e 2025-09-18 Luís Capitão-Mor, Pedro Mendes:
Segundo Luís Capitão-Mor não se pode utilizar o campo OTSTNDNG_NMNL_AMNT_INSTRMNT da lt002_instrument dado que esse campo é contabilístico (a pedido do guia do BCE) e o SRB não pede contabilístico. 
Adicionalmente, interpretou-se da definição dada pelo SRB que se pretende retirar as recompras do BST e deve-se incluir o que está no Santander S.A (ou seja não deve se retirar o que está no Santander S.A.). 
Exemplo 1: Emissão de 1000M eur em que: 
100M eur estão recomprados pelo BST 
900M eur estão no mercado (e destes 900M eur, 500M eur estão no Santander S.A.)
Ou seja, neste exemplo o Outstanding principal amount deverá ser 900M eur.
Exemplo 2: Emissão 1000M eur a 95% (abaixo do par), portanto 950M eur.
Na contabilidade na data inicial consta Outstanding principal amount=950M eur mas na ct610_titulos constam 1000M eur. Ou seja, o valor contabilístico nem sempre é igual ao não contabilístico. 
</t>
  </si>
  <si>
    <t>Não Concluído</t>
  </si>
  <si>
    <t xml:space="preserve">Portion of instrument or liability held by the reporting entity </t>
  </si>
  <si>
    <t>0090</t>
  </si>
  <si>
    <t>The EUR amount related to the portion of the liability held by the reporting entity itself. The amount can either be defined as the principal amount plus accrued interest and fees and charges, or as the relevant portion of fair value held by the reporting entity itself, in the event that field c0250 applies. This data point is only relevant for securities.</t>
  </si>
  <si>
    <t>lt005_instr_ent.prtn_amnt_rprtng_entty</t>
  </si>
  <si>
    <t>Se flag_inst_titulos = '1': 
Verificar para cada "entty_id" (de um determinado "instrmnt_id") da lt005_instr_ent se o mesmo corresponde ao "zcliente_emitente" da ct610_titulos (desse "instrmnt_id").
Se não corresponder: Reportar 0
Se corresponder: Verificar se esse "entty_id" consta no vetor "zcliente_investidor" da ct610_titulos.
Se constar: 
Passo 1: Identificar em que posição consta no vetor "zcliente_investidor" e em seguida obter do vetor "nom_tot_ini_investe" da ct610_titulos o montante que consta nessa posição;
Passo 2: Dado que o "Portion of instrument or liability held by the reporting entity" que se pretende é o atual e não o inicial, então terá de se multiplicar  o montante obtido no passo anterior pelo rácio "nom_tot_atual"/"nom_tot_inic", da ct610_titulos; 
Passo 3: Converter para eur pela tabela de cambios (ver query de conversão já definida no campo Original amount issued in EUR (0050)).
Se não constar: 
Reportar 0
Se flag_inst_titulos = '0':
Not applicable.
O respetivo valor default de Not applicable deverá ser parametrizado na lt804_conf_dflt.
Na sheet "Aux Campos Montante" consta um exemplo com a aplicação desta lógica.</t>
  </si>
  <si>
    <t>out_b0200_main_liabilities.0090_prtn_amnt_rprtng_entty</t>
  </si>
  <si>
    <t>Soma "prtn_amnt_rprtng_entty", por cada instrmnt_id da lt005_instr_ent
Na sheet "Aux Campos Montante" consta um exemplo com a aplicação desta lógica.</t>
  </si>
  <si>
    <t>Reunião 2025-10-09 Luís Capitão-Mor, Pedro Mendes
Reunião 2025-09-22 e 2025-09-18 Luís Capitão-Mor, Pedro Mendes</t>
  </si>
  <si>
    <t xml:space="preserve">Accrued interest </t>
  </si>
  <si>
    <t>The EUR (counter)value of the outstanding accrued interest on the instrument. In jurisdictions where accrued interests do not rank pari passu to the principal liability amount, the relevant NRAs have the option to request the reporting of interest accruals on separate line items (41). Only claims against third parties must be reported (i.e. excluding the proportion held by the entity itself, which must be reported in field c0090). In case the field is not applicable (e.g. shares, zero coupon bonds issued at discount), please refer to the specific instructions in the Technical Annex.
(41) - In such cases, please refer to the specific reporting example in Annex II, paragraph 3.7.</t>
  </si>
  <si>
    <t>Leave blank</t>
  </si>
  <si>
    <t>lt002_instrument.accrd_intrst_instrmnt (campo já existente a alterar)
 lt005_instr_ent.accrd_intrst_instrmnt (campo novo a criar)</t>
  </si>
  <si>
    <t xml:space="preserve">lt002_instrument.accrd_intrst_instrmnt (campo já existente a alterar):
O campo accrd_intrst_instrmnt (da lt002_instrument) está atualmente a sair com valor 0 para estes registos de Títulos Passivos (o que não é suposto dado que existem registos que deveriam ter valor).
O campo accrd_intrst_instrmnt (da lt002_instrument) alimenta-se do campo juros_corridos (da lt001_univ_oper) e é calculado atualmente da seguinte forma (segundo "Especificação - BCE Loan Tape_20250915 LF + ESTR"): 
NVL ( SUM(-1*juros_corridos) ,0 )
O campo juros_corridos (da lt001_univ_oper) será calculado da seguinte forma (segundo re-especificação solicitada por Gonçalo Filipe, email 5 de agosto de 2025 12:58):
SUM(MSALDO_FINAL)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Constata-se portanto que o campo juros_corridos (da lt001_univ_oper) não contempla atualmente o Passivo (razão pela qual o campo sai com valor 0), pelo que deverá ser adicionada a condição do "OR" abaixo:
SUM(MSALDO_FINAL)
WHERE 												
(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												
OR												
(												
COD_PLANO = 'BST_IND'												
AND COMPOSICAO_VALOR = 'juros/encargos a pagar'												
AND TIPO_CONTA = 'P' 												
AND CARTEIRA_CONTABILISTICA IN ('passivos financeiros ao custo amortizado')												
) 	
- Luís Capitão-Mor, Luísa Sousa, Gonçalo Filipe e Dora Roxo não identificaram impacto nesta alteração.	
lt005_instr_ent.accrd_intrst_instrmnt (campo novo a criar):	
'Se flag_inst_titulos = '1': 
Efetuar exatamente a mesma especificação da lt002_instrument.accrd_intrst_instrmnt mas obtendo o valor por cada "entty_id" (na lt001_univ_oper).
Ex:
Para o contrato 'A' (cempresa, cbalcao,  cnumecta, zdeposit) temos 3 linhas com a seguinte distribuição de juros_corridos na lt001_univ_oper:
cempresa+cbalcao+cnumecta+zdeposit= 'A' | zcliente='1' | juros_corridos = 10 
cempresa+cbalcao+cnumecta+zdeposit= 'A' | zcliente='2' | juros_corridos = 20
cempresa+cbalcao+cnumecta+zdeposit= 'A' | zcliente='3' | juros_corridos = 30
Atualmente o campo accrd_intrst_instrmnt da lt002_instrument calcula simplesmente a soma dos vários montantes de juros_corridos por contrato, ou seja, na  lt002_instrument é apresentado uma única linha:
instrmnt_id= 'A' | accrd_intrst_instrmnt = 60
O que se pretende no novo campo accrd_intrst_instrmnt a criar na lt005_instr_ent:
instrmnt_id= 'A' | entty_id=1 | accrd_intrst_instrmnt = 10
instrmnt_id= 'A' | entty_id=2 | accrd_intrst_instrmnt = 20
instrmnt_id= 'A' | entty_id=3 | accrd_intrst_instrmnt = 30
Se flag_inst_titulos = '0':
Not applicable.
O respetivo valor default de Not applicable deverá ser parametrizado na lt804_conf_dflt.		</t>
  </si>
  <si>
    <t>out_b0200_main_liabilities.0100_accrd_intrst_instrmnt</t>
  </si>
  <si>
    <t>(-1)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t>
  </si>
  <si>
    <t>Reunião 2025-10-09 Luís Capitão-Mor, Pedro Mendes
Reunião 2025-09-16 Luís Capitão-Mor, Pedro Mendes, Luísa Sousa</t>
  </si>
  <si>
    <t>Campo já existente no LT - Nova Especificação</t>
  </si>
  <si>
    <t>Applicable fees and charges</t>
  </si>
  <si>
    <t>Total EUR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the accrued interest or a separate liability. Fees and charges do not include agios or fees in conjunction with the listing of an instrument. Only claims against third parties must be reported (i.e. excluding the proportion held by the entity itself, which must be reported in field c0090). In case the field is not applicable (e.g. shares), please refer to the specific instructions in the Technical Annex.</t>
  </si>
  <si>
    <t>out_b0200_main_liabilities.0110_applcbl_fees_charges</t>
  </si>
  <si>
    <t>Valor fixo 0</t>
  </si>
  <si>
    <t xml:space="preserve">Reunião 2025-09-22 Luís Capitão-Mor, Pedro Mendes, Luísa Sousa
Solução 1:
Dado que o BST não tem comissões que ainda não tenham sido pagas/liquidadas (not yet settled) neste Universo de Títulos, reportar neste campo valor fixo 0 na tabela final (out_b0200_main_liabilities). 
Segundo Pedro Mendes, nem sequer existem comissões iniciais neste Universo de Títulos dado que é tudo feito internamente ou com o Banco Santander S.A..
Solução 2:
Trazer as comissões periodificadas da Contabilidade, contudo, essas comissões periodificadas podem ter sido pagas ou não, pelo que não é exatamente o que o SRB pede, dado que o SRB refere que quer as não pagas. 
Esta solução implicaria criar um campo novo no Loan Tape e trazer um conceito que não é o que o SRB solicita. Adicionalmente o resultado deste campo seria um conjunto vazio para este Universo de Títulos.
Solução 3:
Criar um campo novo na ct610_titulos. Contudo, este campo seria dinâmico pelo que também não seria uma boa solução.
Dadas as soluções apresentadas, optou-se pela solução 1.
OLD:
Reunião 31/10/2024 Luís Capitão-Mor, Pedro Mendes: 
Segundo Luís Capitão-Mor, Pedro Mendes, este campo aplica-se aos custos periodificados do banco (ainda não pagos, que estão pendentes de pagar) nas emissões que o Banco faz de covered bonds, seniores,... (estão no Passivo do Banco), tem de se pagar aos Advogados, etc. Naturalmente, este campo não se aplica a Depósitos.
Ações solicitadas por Luís Capitão-Mor:
- Agendar reunião com Rafael Pessoa/Carlos Fernandes para ver onde constam estes custos na fr802 (devem ter uma conta contabilistica), levando para a reunião 2 exemplos de covered bonds:
   1) Identificar esses 2 exemplos para uma data mais recente;
   2) Verificar na ct001 quais as contas PCSB (uma conta 50%) e IFRS associadas;
   3) Verificar se para essas contas consta na composicao_valor ou noutro campo da fr802 a indicação de comissão ou despesa
   4) Verificar se esta comissão ficou ou não incluida no gross carrying amount (provavelmente foi incluido).
   5) Verificar na fr004 se já existe lá este conceito de comissão (só seria para adicionar na fr004 caso fosse um conceito que faça sentido para a contabilidade)
   6) Tabela de conceitos ct872 (tem os conceitos com base em campos da fr802): criar nesta tabela o conceito caso ele não exista. </t>
  </si>
  <si>
    <t xml:space="preserve">Outstanding amount </t>
  </si>
  <si>
    <t>0120</t>
  </si>
  <si>
    <t>Total EUR value of the outstanding amount of the instrument/deposit held by the counterparty, calculated as the sum of the amounts reported in data points c0080, c0100 and c0110 (where applicable). The amount is in fact the aggregate of the outstanding principal amount plus, if applicable, interest accrued up to the reference date, and fees and charges, irrespective of whether and to what extent the relevant principal, interest or fee-and-charge liability was already due as at the reference date and whether it is required to be recognised as a liability item in the relevant entity’s balance sheet drawn up in accordance with the applicable accounting principles. In jurisdictions where accrued interest may not rank pari passu to the liability amount, the relevant NRA may request the reporting of interest accruals on separate line items.</t>
  </si>
  <si>
    <t>out_b0200_main_liabilities.0120_otstndng_amnt</t>
  </si>
  <si>
    <t xml:space="preserve">Soma dos 3 campos acima (0080, 0100 e 0110 ): 
Outstanding principal amount + Accrued interest + Applicable fees and charges
</t>
  </si>
  <si>
    <t xml:space="preserve">Reunião 2025-10-09 Luís Capitão-Mor, Pedro Mendes
Reunião 2025-09-22 Luís Capitão-Mor, Pedro Mendes, Luísa Sousa:
Tem de se ter presente que neste campo vamos somar o "Outstanding principal amount" (que não é contabilístico, vem da ct610_titulos) com o "Accrued interest" (que é contabilístico) e com o "Applicable fees and charges" (que é contabilístico). Ou seja, 2 campos vão-se buscar à Contabilidade mas 1 campo não se vai buscar à Contabilidade, o que não é totalmente coerente.
Contudo, não se vê tema dado que o SRB não refere que este campo tem de "bater" com a Contabilidade.
</t>
  </si>
  <si>
    <t>0130</t>
  </si>
  <si>
    <t xml:space="preserve">Total EUR value of the amount eligible for write-down / conversion. Pursuant to Article 48(1) BRRD, resolution authorities shall exercise the write-down and conversion powers in accordance with the cascade set out in letters (a) to (e) of Article 48(1) BRRD. Article 48(2) BRRD further provides that "when applying the write down or conversion powers, resolution authorities shall allocate the losses [...] by reducing the principal amount of, or outstanding amount payable in respect of, those shares or other instruments of ownership and bail-inable liabilities to the same extent pro rata to their value (42) […]".
The portion of eligible liabilities subscribed by intragroup entities and excluded under Article 27(3)(h) SRMR must not be reported as part of the relevant amount for bail-in / WDC.
When determining the relevant amount for bail-in, entities shall take into account national laws that transpose the BRRD. If those provisions do not provide complete and clear guidance for determining the relevant amount for bail-in, careful consideration should in general be given to how the item in question is dealt with under 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
In jurisdictions where accrued interest may not rank pari passu to the liability amount, the relevant NRA may request the reporting of interest accruals on separate line items. Own holdings (identified in field c0090) should be deducted.
(42) - For the definition of ‘value’, please refer to EBA Q&amp;A 2017_3629 (https://www.eba.europa.eu/single-rule-book-qa/-
/qna/view/publicId/2017_3629).
</t>
  </si>
  <si>
    <t>out_b0200_main_liabilities.0130_rlvnt_amnt_wdc</t>
  </si>
  <si>
    <t>Reportar Outstanding amount (0120)</t>
  </si>
  <si>
    <t>Em curso</t>
  </si>
  <si>
    <t>Nature of the liability</t>
  </si>
  <si>
    <t>0140</t>
  </si>
  <si>
    <t>Drop-down</t>
  </si>
  <si>
    <t>The corresponding category of the instrument/liability. Value to be chosen from the following drop-down list:
• Registered Bond
• Bearer Bond
• Borrower Note Loan
• Certificate of Deposit / Commercial paper
• Title of ownership44
• Cash account/saving account45
• Term deposit46
• Loan
• Bill of exchange
• Other
For deposits reported on an aggregated level (Submission A), please indicate ‘Other’.</t>
  </si>
  <si>
    <t>lt002_instrument.typ_instrmnt</t>
  </si>
  <si>
    <t>Necessário criar novas parametrizações nas tabelas lt829_regras_conversao e lt830_conversoes, podendo as mesmas ser consultadas neste documento nas sheets:
LT829 - filtrando por campo_conceito = 'TYP_INSTRMNT' e regra_conversao = '2';
LT830 - filtrando por segmento = 'ESTR' e campo_conceito = 'TYP_INSTRMNT'.</t>
  </si>
  <si>
    <t>out_b0200_main_liabilities.0140_ntr_lblty</t>
  </si>
  <si>
    <t>Parametrizações da lt829_regras_conversao e da lt830_conversoes validadas com Luísa Sousa em 2025-08-13. 
Adicionalmente, acrescentou-se na lt831_param_conceitos uma nova linha com instrmnt_fncr='titulos de divida emitidos' a mapear para o valor_destino='1005' dado que estes registos estavam a ser preenchidos com typ_instrmnt= '2020' (ou seja, 'Other').
Reunião 2025-07-25 Luís Capitão-Mor, Luísa Sousa</t>
  </si>
  <si>
    <t>Nature of the liability (if other)</t>
  </si>
  <si>
    <t>0141</t>
  </si>
  <si>
    <t>Free text. If ‘Other’ is selected in field c0140, include a meaningful description of the nature of the liability.</t>
  </si>
  <si>
    <t>out_b0200_main_liabilities.0141_ntr_lblty_othr</t>
  </si>
  <si>
    <t>Valor fixo 'Not applicable'</t>
  </si>
  <si>
    <t xml:space="preserve">Reunião 2025-07-25 Luís Capitão-Mor, Luísa Sousa:
</t>
  </si>
  <si>
    <t>Structurally subordinated</t>
  </si>
  <si>
    <t>0150</t>
  </si>
  <si>
    <t>TRUE / FALSE boolean</t>
  </si>
  <si>
    <t>Indicate whether the instrument is considered structurally subordinated (i.e. groups with a HoldCo/OpCo structure). The value to be reported is a TRUE/FALSE Boolean.</t>
  </si>
  <si>
    <t>out_b0200_main_liabilities.0150_flg_strctrlly_sbrdntd</t>
  </si>
  <si>
    <t xml:space="preserve">Insolvency ranking </t>
  </si>
  <si>
    <t>0160</t>
  </si>
  <si>
    <t>The corresponding insolvency ranking of the instrument. Numeric value (e.g. integer of 1 or more).</t>
  </si>
  <si>
    <t>lt002_instrument.rank_insolv</t>
  </si>
  <si>
    <t xml:space="preserve">Se flag_inst_titulos = '1': 
Obter rank_insolv da ct610_titulos;
Se flag_inst_titulos = '0': 
Não preencher 
</t>
  </si>
  <si>
    <t>out_b0200_main_liabilities.0160_rank_insolv</t>
  </si>
  <si>
    <t>Reunião 2025-06-20 Luís Capitão-Mor, Pedro Mendes, Luísa Sousa</t>
  </si>
  <si>
    <t>Contractual subordination</t>
  </si>
  <si>
    <t>0161</t>
  </si>
  <si>
    <t>Numeric sequence to indicate whether an instrument/liability is subordinated within the same insolvency rank as a result of its own contractual terms. The inclusion of these contractual terms should duly consider paragraph 141 of the EBA report on the monitoring of Additional Tier 1 (AT1) instruments of European Union (EU) institutions47, as well as any country-specific provision in this regard.
The value of the field must be indicated using the corresponding insolvency ranking to which the instrument pertains and the numeric sequence of its contractual subordination, separated by a dot (e.g. two instruments in insolvency rank 2 subordinated to each other will have this field set to 2.01 and 2.02). Please refer to the specific reporting example (Annex II, paragraph 3.6).</t>
  </si>
  <si>
    <t>out_b0200_main_liabilities.0161_cntrctl_sbrdntn</t>
  </si>
  <si>
    <t>Valor fixo 999999999999999</t>
  </si>
  <si>
    <t>Reunião 2025-07-31 Luís Capitão-Mor, Pedro Mendes:
Segundo Pedro Mendes, este campo é not applicable porque na nossa operativa as emissões têm sempre o mesmo grau de subordinação dentro do mesmo ranking. Ou seja, por exemplo no caso do ranking 4 não teremos 4.01, 4.02, 4.03 dado que é tudo ranking 4.</t>
  </si>
  <si>
    <t>Bail-in cascade</t>
  </si>
  <si>
    <t>Fixed values</t>
  </si>
  <si>
    <t>(Alpha)numeric sequence to indicate the order of write-down and conversion pursuant to Article 48 BRRD. If the priority order of this cascade differs from the one stemming from the insolvency ranking reported in field c0160, please refer to the relevant Country Annex or to the specific instructions provided by the relevant NRA/IRT. When allowed under the applicable national law, institutions must reflect in this sequence the order provided by the applicable contractual subordination. Please refer to the specific reporting example (Annex II, paragraph 3.6).
The bail-in cascade assigned to secured liabilities shall always be the one applicable to the (potentially) unsecured part of the liability based on the current internal valuation of the collateral by the bank.</t>
  </si>
  <si>
    <t>out_b0200_main_liabilities.0162_bail_in_cascade</t>
  </si>
  <si>
    <t>Reunião 2025-07-30 Luís Capitão-Mor, Pedro Mendes, Luísa Sousa:
No caso de Portugal o bail-in cascade é igual ao ranking de insolvência.</t>
  </si>
  <si>
    <t>Date of issuance</t>
  </si>
  <si>
    <t>0170</t>
  </si>
  <si>
    <t>Date</t>
  </si>
  <si>
    <t>yyyy-mm-dd</t>
  </si>
  <si>
    <t>Date of the original issuance of the liability. Format required: yyyy-mm-dd. This field is not applicable for liabilities of the type ‘Cash account/saving account’ (c0140) and deposits reported in aggregated form (Submission A).
For securities issued as part of a tap issue, i.e. an issuance of additional securities under an ISIN that already exists, there should only be one row including all securities under that ISIN. The date of issuance should be the issuance date of the first issue under that ISIN.</t>
  </si>
  <si>
    <t>lt002_instrument.dt_incptn</t>
  </si>
  <si>
    <t xml:space="preserve">
</t>
  </si>
  <si>
    <t>out_b0200_main_liabilities.0170_dt_incptn</t>
  </si>
  <si>
    <t>Reunião 2025-06-23 Luís Capitão-Mor, Pedro Mendes, Luísa Sousa</t>
  </si>
  <si>
    <t xml:space="preserve">Date of the next interest payment </t>
  </si>
  <si>
    <t>0180</t>
  </si>
  <si>
    <t>The payment date from which the income distribution is made available for payment by the reporting entity. Format required: yyyy-mm-dd. If not applicable (e.g. shares), the bank should report ‘0001-01-01’. This field is not applicable for deposits reported in aggregated form (Submission A).</t>
  </si>
  <si>
    <t>Input "0001-01-01"</t>
  </si>
  <si>
    <t xml:space="preserve">lt002_instrument.dt_nxt_intrst_pymnt </t>
  </si>
  <si>
    <t>‣ Para o universo aplicável, obter campos "dt_prox_liq_juros_act" e "dt_prox_liq_juros_pas" da cd_alm.al029_cnt_core_m. Para cada contrato, mapear com o campo que estiver preenchido. Ou seja, se num determinado contrato estiver preenchido o "dt_prox_liq_juros_act" então mapear este campo, se estiver preenchido o "dt_prox_liq_juros_pas" então mapear este campo (se nenhum dos 2 campos estiver preenchido então é um "MISS")
‣ Para o universo não aplicável (dt_nxt_intrst_pymnt ='1111-11-11' -&gt; valor de Not Applicable para data), necessário criar nova parametrização na tabela lt831_param_conceitos, podendo a mesma ser consultada neste documento na sheet 'LT831' filtrando por tabela_conceito = 'LT002_INSTRUMENT' e campo_conceito = 'DT_NXT_INTRST_PYMNT'. 
Nota: Deverá seguir-se a mesma lógica de obtenção de campos de ALM que atualmente existe no Loan Tape</t>
  </si>
  <si>
    <t>out_b0200_main_liabilities.0180_dt_nxt_intrst_pymnt</t>
  </si>
  <si>
    <t xml:space="preserve">Reunião 2025-08-08 Luís Capitão-Mor, Pedro Mendes, Luísa Sousa:
Segundo Luís Capitão-Mor, o universo Not Applicable deste campo é o mesmo do campo PYMNT_FRQNCY. 
O PYMNT_FRQNCY tem definidos os typ_instrumnt not applicable na lt803_codigos_lt (procurar na lt803_codigos_lt por campo_lt= 'PYMNT_FRQNCY_NA'). Dado que este campo é um campo novo então deverá efetuar-se essa parametrização mas na lt831_param_conceitos (e não na lt803_codigos_lt).
Reunião 2025-08-06 Luís Capitão-Mor, Pedro Mendes, Luísa Sousa
Reunião 2025-06-23 Luís Capitão-Mor, Pedro Mendes, Luísa Sousa
</t>
  </si>
  <si>
    <t>Date of the next (partial) redemption payment</t>
  </si>
  <si>
    <t>0190</t>
  </si>
  <si>
    <t>The payment date or the date on which the (partial) redemption payment is due for payment (e.g. cases in which a portion of the liabilities is reimbursed before the final legal maturity). If not applicable, please report the final legal maturity (c0210).
This field is not applicable for liabilities of the type ‘Cash account/saving account’ (c0140) and for deposits reported in aggregated form (Submission A).</t>
  </si>
  <si>
    <t>Input the final legal maturity of the liability (c0210)</t>
  </si>
  <si>
    <t>out_b0200_main_liabilities.0190_dt_nxt_rdmptn_pymnt</t>
  </si>
  <si>
    <t>lt002_instrument.dt_lgl_fnl_mtrty</t>
  </si>
  <si>
    <t xml:space="preserve">Reunião 2025-09-16 Luís Capitão-Mor, Pedro Mendes:
O conceito de date of the next redemption payment é aplicável aos Títulos, no limite, pode ser a data de maturidade. 
Identificaram-se 2 Soluções possíveis:
Solução 1: Criar um campo novo no Loan Tape (caso não exista):
‣ Para o universo aplicável, obter campos "dt_prox_amort_capital_act" e "dt_prox_amort_capital_pas" da cd_alm.al029_cnt_core_m. Para cada contrato, mapear com o campo que estiver preenchido. Ou seja, se num determinado contrato estiver preenchido o "dt_prox_amort_capital_act" então mapear este campo, se estiver preenchido o "dt_prox_amort_capital_pas" então mapear este campo (se nenhum dos 2 campos estiver preenchido então é um "MISS")
‣ Para o universo não aplicável, necessário criar nova parametrização na tabela lt831_param_conceitos
Solução 2: Não criar o campo no Loan Tape, e na tabela de output final (out_b0200_main_liabilities) apontar este campo para o campo lt002_instrument.dt_lgl_fnl_mtrty, dado que nos registos deste Universo de Títulos este campo corresponde sempre à data de maturidade e não se prevê que esta situação se altere no futuro.
Dado que a Solução 1 é mais dispendiosa (apesar de ser mais resiliente), nesta fase optou-se pela Solução 2. 
Adicionalmente, confirmou-se que não existe valor nos campos "dt_prox_amort_capital_act" e "dt_prox_amort_capital_pas" na cd_alm.al029_cnt_core_m para os registos deste Universo de Títulos.
Query: 
select distinct concat(cempresa,cbalcao,cnumecta,zdeposit) as contrato,
trim(dt_prox_amort_capital_act) , 
trim(dt_prox_amort_capital_pas)
from cd_alm.al029_cnt_core_m
 where ref_date = '2025-06-30' and 
concat(cempresa,cbalcao,cnumecta,zdeposit) in
(
'31641600000000000PTSTOGOM0003000',
'31641600005800007PTBSRDOM0037000',
'31641600005800007PTSTOCOM0007000',
'31641600005800007PTCPP0AM0007000',
'31641600000000000PTSTOEOM0021000', 
'31641600000000000PTSTOHOM0002000', 
'31641600000000000PTBSREOM0028000', 
'31641600000000000PTSTOFOM0004000')
order by 1;
</t>
  </si>
  <si>
    <t xml:space="preserve">Earliest redemption date </t>
  </si>
  <si>
    <t>0200</t>
  </si>
  <si>
    <t>If an option exists for holders of the instrument to request early reimbursement, or conditions for early reimbursement are contractually provided, the earliest occurrence date should be reported. Format required: yyyy-mm-dd.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</si>
  <si>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out_b0200_main_liabilities.0200_dt_erlst_rdmptn</t>
  </si>
  <si>
    <t xml:space="preserve">Valor fixo ‘0001-01-01’.
</t>
  </si>
  <si>
    <t xml:space="preserve">Reunião 2025-09-10 Luís Capitão-Mor, Pedro Mendes, Luísa Sousa:
Segundo Pedro Mendes, este campo é na visão do Investidor. Ou seja, para o âmbito em questão é não aplicável, só o Banco tem a opção de terminar a emissão mais cedo em datas pré-definidas. Portanto, decidiu-se que este campo será reportado com o valor fixo ‘0001-01-01’ (Not applicable). </t>
  </si>
  <si>
    <t>Campo a visitar na próxima reunião</t>
  </si>
  <si>
    <t>Legal maturity</t>
  </si>
  <si>
    <t>0210</t>
  </si>
  <si>
    <t>Date of the legal, final maturity of the instrument or liability (including term deposits). Format required: yyyy-mm-dd. For perpetual instruments, the bank should report ‘2099-01-31’. If not applicable, the bank should report ‘0001-01-01’.
This field is not applicable for liabilities of the type ‘Cash account/saving account’ (c0140) and for deposits reported in aggregated form (Submission A).</t>
  </si>
  <si>
    <t>‣ Necessário criar novas parametrizaçôes nas tabelas lt829_regras_conversao e lt830_conversoes, podendo as mesmas ser consultadas neste documento nas sheets:
     LT829 - filtrando por campo_conceito = 'DT_LGL_FNL_MTRTY' e regra_conversao = '1';
     LT830 - filtrando por segmento = 'ESTR' e campo_conceito = 'DT_LGL_FNL_MTRTY'.</t>
  </si>
  <si>
    <t>out_b0200_main_liabilities.0210_dt_lgl_fnl_mtrty</t>
  </si>
  <si>
    <t>Reunião 2025-08-06 Luís Capitão-Mor, Pedro Mendes, Luísa Sousa
Reunião 2025-06-23 Luís Capitão-Mor, Pedro Mendes, Luísa Sousa
Nota: Mariana Romão comentou que não é necessário colocar na parametrização da lt829 a linha de quando é not in  ('9999-12-31',  '1111-11-11') a mapear para o dt_lgl_fnl_mtrty, dado que o código já está a fazer isso, ou seja, o código aplica as parametrizações que estão na lt029 e o que não estiver traz o que vem no campo (neste caso o dt_lgl_fnl_mtrty).</t>
  </si>
  <si>
    <t>Governing law</t>
  </si>
  <si>
    <t>0220</t>
  </si>
  <si>
    <t>ISO 3166-1 alpha 2 / ISO 3166-2</t>
  </si>
  <si>
    <t>The ISO 3166-1 alpha-2 code of the country whose law governs the instrument (please use the ISO 3166-2 code when the law of an administrative subdivision is relevant, e.g. ‘US-NY’). If the contract is governed by the law of more than one country, the country whose law has the highest relevance for the recognition of write-down and conversion powers must be reported. For deposits reported on an aggregate level, please indicate ‘XX’.</t>
  </si>
  <si>
    <t>Input "XX"</t>
  </si>
  <si>
    <t>lt002_instrument.governing_law</t>
  </si>
  <si>
    <t>XX</t>
  </si>
  <si>
    <t>out_b0200_main_liabilities.0220_governing_law</t>
  </si>
  <si>
    <t>Bail-in recognition clause</t>
  </si>
  <si>
    <t>0230</t>
  </si>
  <si>
    <t>Indicate one of the following:
• Yes, supported by Legal Opinion = the liability includes a bail-in recognition clause in line with Article 55 BRRD that is supported by a legal opinion;
• Yes, not supported by Legal Opinion = the liability includes a bail-in recognition clause in line with Article 55 BRRD that is currently not supported by a legal opinion;
• No = the liability does not include a bail-in recognition clause;
• Not applicable = the bail-in clause is not applicable (e.g. the governing law is not that of a third country, or a recognition clause is not requested as the third-country jurisdiction recognises the powers of the resolution authority).
• Aggregated = deposits reported on an aggregated level.</t>
  </si>
  <si>
    <t>Input "Not applicable"</t>
  </si>
  <si>
    <t>out_b0200_main_liabilities.0230_bail_in_rcgntn_cls</t>
  </si>
  <si>
    <t>Valor fixo 'Yes, supported by Legal Opinion'</t>
  </si>
  <si>
    <t>Reunião 2025-07-30 Luís Capitão-Mor, Pedro Mendes, Luísa Sousa</t>
  </si>
  <si>
    <t>Zero-Coupon</t>
  </si>
  <si>
    <t>0240</t>
  </si>
  <si>
    <t>Indicate whether the instrument/liability is:
• ZCB issued at discount = liabilities issued at discount where the principal / face value of 100% will be repaid at maturity;
• ZCB not issued at discount = liabilities issued at a face value of 100%, where there is one payment at maturity that consists of the face value and the accrued interest;
• No ZCB = the liability is not a zero coupon bond;
• Aggregated = deposits reported on an aggregated level.</t>
  </si>
  <si>
    <t>out_b0200_main_liabilities.0240_zero_coupon</t>
  </si>
  <si>
    <t>Valor fixo 'No ZCB'</t>
  </si>
  <si>
    <t>Structured product</t>
  </si>
  <si>
    <t>0250</t>
  </si>
  <si>
    <t>Indicate whether the instrument/liability is to be considered structured or contains specific non-standard terms, using one of the following values:
• Non-structured/Vanilla;
• Structured;
• Other non-standard terms = “Non-standardised terms” refers to terms and conditions that may influence, among others, the nature and maturity of the contract. Examples of such non-standardised terms are material-adverse-change clauses, termination options with rising interest rates etc;
• Only structured coupon = “Only structured coupon” refers to structured product where the derivative component only affects the coupon payment, namely is fully capital guaranteed with no possibility to reimburse at maturity an amount (excluding the coupon) that differs from the nominal amount. In addition, it is applicable only in case the accrued interest can be computed;
• Aggregated = deposits reported on an aggregated level.
A structured instrument is defined as a debt obligation with an embedded derivative component and whose returns are determined by an underlying, e.g. an underlying security or index (public or special index, e.g. based on shares or bonds, fixed-income investments or loan, foreign exchange, commodities, etc.). Structured debt instruments do not cover debt instruments with an underlying only call or put options, i.e. the value of the instrument is not determined by an embedded derivative.</t>
  </si>
  <si>
    <t> </t>
  </si>
  <si>
    <t>out_b0200_main_liabilities.0250_strctrd_prdct</t>
  </si>
  <si>
    <t>Valor fixo 'Non-structured/Vanilla'</t>
  </si>
  <si>
    <t>Guaranteed minimum repayment amount of the structured product</t>
  </si>
  <si>
    <t>0260</t>
  </si>
  <si>
    <t>Guaranteed minimum principal amount, which is not dependent on contingent liabilities. Relevant only for structured liabilities. Only claims against other parties are to be reported (i.e. excluding the portion held by the entity itself, which must be reported in field c0090).</t>
  </si>
  <si>
    <t>out_b0200_main_liabilities.0260_grntd_min_amnt_strctrd_prdct</t>
  </si>
  <si>
    <t xml:space="preserve">
Valor fixo 999999999999999
</t>
  </si>
  <si>
    <t>Fair value of the structured product</t>
  </si>
  <si>
    <t>0270</t>
  </si>
  <si>
    <t>Total EUR amount of the fair value of the structured product to estimate the outstanding amount due in resolution (including fees, if applicable). Relevant only for structured liabilities.
The impact of the relevant entity’s own credit-risk component shall not be included when determining the value.
Only claims against other parties are to be reported (i.e. excluding the portion held by the entity itself, which must be reported in field c0090).</t>
  </si>
  <si>
    <t>out_b0200_main_liabilities.0270_fv_amnt_strctrd_prdct</t>
  </si>
  <si>
    <t>Not covered and not preferential deposit</t>
  </si>
  <si>
    <t>0280</t>
  </si>
  <si>
    <t>Identification if the deposit does not qualify for exclusion from bail-in or preferential treatment in accordance with Article 27(3)(a) SRMR or Article 108 BRRD. The value to be reported is a TRUE/FALSE Boolean, where ‘TRUE’ identifies an NCNP deposit and ‘FALSE’ identifies otherwise. This field should be reported only for deposits (48).
(48) - Deposits are deposits according to Directive 2014/49/EU and its national transpositions.</t>
  </si>
  <si>
    <t>out_b0200_main_liabilities.0280_flg_ncnp_dpsts</t>
  </si>
  <si>
    <t>Valor fixo 'FALSE'</t>
  </si>
  <si>
    <t>Reunião 2025-09-23 Pedro Mendes:
Segundo Pedro Mendes, este campo deverá assumir valor fixo 'FALSE'.
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</si>
  <si>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Not covered but preferential deposit</t>
  </si>
  <si>
    <t>0290</t>
  </si>
  <si>
    <t>Identification if the deposit does not qualify for exclusion from bail-in (Article 27(3)(a) SRMR), yet to which preferential treatment is provided by Article 108 BRRD. The value to be reported is a TRUE/FALSE Boolean, where ‘TRUE’ identifies an NCBP deposit and ‘FALSE’ identifies otherwise. This field should be reported only for deposits (49).
(49) - Deposits are those defined as such by Directive 2014/49/EU and its national transpositions</t>
  </si>
  <si>
    <t>out_b0200_main_liabilities.0290_flg_ncbp_dpsts</t>
  </si>
  <si>
    <t>Covered portion of eligible deposits</t>
  </si>
  <si>
    <t>0300</t>
  </si>
  <si>
    <t xml:space="preserve">Total EUR amount of the covered portion of eligible deposits as per Article 27(3)a SRMR. As the amount of covered deposits is calculated per depositor (50), in the case of depositors with multiple accounts, this amount shall in principle be calculated pro rata for the different accounts reported at a granular level (on an account by account basis), unless specific provisions resulting from the transposition of Directive 2014/49/EU into national law are applicable (51). This field should be reported only for deposits (52). Fully covered deposits must not be reported.
(50) - Article 6 of Directive 2014/49/EU.
(51) - Please refer to the specific reporting example in Annex II, paragraph 3.9.
(52) -  Deposits are those defined as such by Directive 2014/49/EU and its national transpositions.
</t>
  </si>
  <si>
    <t>out_b0200_main_liabilities.0300_amnt_cvrd_elgbl_dpsts</t>
  </si>
  <si>
    <t>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</si>
  <si>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Secured/Unsecured</t>
  </si>
  <si>
    <t>0310</t>
  </si>
  <si>
    <t xml:space="preserve">Indicate whether the instrument is subject to collateral agreements or not, from a predefined list:
• Secured;
• Unsecured.
When reporting secured liabilities, please refer to the related reporting example in the Technical Annex. </t>
  </si>
  <si>
    <t xml:space="preserve">out_b0200_main_liabilities.0310_flg_clltrl_agrmnts </t>
  </si>
  <si>
    <t>Valor fixo 'Unsecured'</t>
  </si>
  <si>
    <r>
      <t>Amount of pledge</t>
    </r>
    <r>
      <rPr>
        <sz val="10"/>
        <color theme="1"/>
        <rFont val="Calibri"/>
        <family val="2"/>
        <scheme val="minor"/>
      </rPr>
      <t>,</t>
    </r>
    <r>
      <rPr>
        <b/>
        <sz val="10"/>
        <rFont val="Calibri"/>
        <family val="2"/>
        <scheme val="minor"/>
      </rPr>
      <t xml:space="preserve"> </t>
    </r>
    <r>
      <rPr>
        <sz val="10"/>
        <rFont val="Calibri"/>
        <family val="2"/>
        <scheme val="minor"/>
      </rPr>
      <t>lien or collateral</t>
    </r>
  </si>
  <si>
    <t>0320</t>
  </si>
  <si>
    <t>Total EUR amount (market value) of the pledge, lien or collateral if the liability is secured, based on the current internal valuation. For unsecured liabilities, this field is not applicable. If the entity retains a portion of the secured liability (i.e. own holdings), the collateral value should only refer to the portion of the liability against other parties and not held by the reporting entity.(53)
This amount determines the secured portion of each secured liability(54).
For collateral pools securing multiple row items, the overall coverage ratio should be determined and applied pro rata to all row items covered by this pool.
For subordinated collaterals, the outstanding amount of the senior secured liability must be deducted.
(53)=(54)=Please refer to the dedicated reporting example in Annex II, paragraph 3.5.</t>
  </si>
  <si>
    <t>out_b0200_main_liabilities.0320_amnt_clltrl</t>
  </si>
  <si>
    <t>Amount of the uncollateralized part</t>
  </si>
  <si>
    <t>0330</t>
  </si>
  <si>
    <t>The positive difference between the outstanding amount (or fair value, when applicable) of the secured liability (or the liability for which collateral has been pledged) as reported in field c0120 (or c0270, when applicable) and the market value of the pledge, lien or collateral (c0320). For collateral pools securing multiple row items, the overall coverage ratio should be determined and applied pro rata to all row items covered by this pool.</t>
  </si>
  <si>
    <t>out_b0200_main_liabilities.0330_amnt_unclltrlzd</t>
  </si>
  <si>
    <t>Internal identification number of the pledge, lien or collateral/collateral pool</t>
  </si>
  <si>
    <t>0340</t>
  </si>
  <si>
    <t>Indicate the internal identifier of the pledge, lien or collateral / collateral pool (where applicable). In the event of several relevant IDs, all IDs should be reported and separated by a vertical bar.</t>
  </si>
  <si>
    <t>out_b0200_main_liabilities.0340_id_clltrl</t>
  </si>
  <si>
    <t>Type of the collateral</t>
  </si>
  <si>
    <t>0350</t>
  </si>
  <si>
    <t>Identify the type of collateral used for the collateralisation:
• Real estate;
• Ships;
• Aircraft;
• Financial;
• Other;
• Not applicable</t>
  </si>
  <si>
    <t>out_b0200_main_liabilities.0350_typ_clltrl</t>
  </si>
  <si>
    <t>Type of the collateral (if other)</t>
  </si>
  <si>
    <t>0351</t>
  </si>
  <si>
    <t>Specify the type of collateral if ‘Other’ is selected in field c0350.</t>
  </si>
  <si>
    <t>out_b0200_main_liabilities.0351_typ_clltrl_othr</t>
  </si>
  <si>
    <t>Trading method</t>
  </si>
  <si>
    <t>0360</t>
  </si>
  <si>
    <t>Indicate whether the security is traded (55), either in nominal form or in units (56), as specified in the corresponding final issuance documentation, by selecting one of the following:
• Nominal;
• Unit;
• Not applicable.
Please refer to the reporting example in Annex II, paragraph 3.8.
(55) -  In this context, ‘traded’ means all securities for which there is a CSD of issuance, as indicated in data point c0460 (Central securities depository).
(56) - As a general indication, please refer to the definitions provided in the International Securities Operational Market Practice Book published by Euroclear Bank and Clearstream Banking, in particular Annex 9 (‘Units and Nominal recommendation’).
Data points c0360 to c0521 might be relevant only in cases of externally issued liabilities or for intragroup liabilities issued in CSDs/iCSDs.</t>
  </si>
  <si>
    <t>lt002_instrument.trdng_mthd</t>
  </si>
  <si>
    <t xml:space="preserve">Necessário criar nova parametrização na tabela lt831_param_conceitos podendo a mesma ser consultada neste documento na sheet 'LT831' filtrando por tabela_conceito = 'LT002_INSTRUMENT' e campo_conceito = 'TRDNG_MTHD'. 
A parametrização irá basear-se nos campos 'TIPO_TITULO' (proveniente da ct610_titulos), 'FLAG_INST_TITULOS' (proveniente da lt001_univ_oper) e 'PRDCT' (proveniente da lt002_instrument).
</t>
  </si>
  <si>
    <t>out_b0200_main_liabilities.0360_trdng_mthd</t>
  </si>
  <si>
    <t>Denomination / Nominal value per security in EUR</t>
  </si>
  <si>
    <t>The smallest amount of the security that can be transferred, in EUR currency (if the original currency is not EUR, please also report the EUR-converted amount in this field).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</si>
  <si>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lt002_instrument.amnt_scrty_eur</t>
  </si>
  <si>
    <t>Se flag_inst_titulos = '1': 
Obter campo nom_unit_atual da ct610_titulos. Adicionalmente, efetuar conversão via tabela cambios (ver query de conversão já definida no campo Original amount issued in EUR (0050))
Se flag_inst_titulos = '0':
Not applicable.
O respetivo valor default de Not applicable deverá ser parametrizado na lt804_conf_dflt.</t>
  </si>
  <si>
    <t>out_b0200_main_liabilities.0370_amnt_scrty_eur</t>
  </si>
  <si>
    <t>Reunião 2025-09-22 Luís Capitão-Mor, Pedro Mendes, Luísa Sousa:
Interpreta-se que o SRB solicita o valor nominal de cada título</t>
  </si>
  <si>
    <t>Denomination / Nominal value per security in original currency</t>
  </si>
  <si>
    <t>0380</t>
  </si>
  <si>
    <t>The smallest amount of the security that can be transferred, in the original currency.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</si>
  <si>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lt002_instrument.amnt_scrty_fx</t>
  </si>
  <si>
    <t>Se flag_inst_titulos = '1': 
Obter campo nom_unit_atual da ct610_titulos.
Se flag_inst_titulos = '0':
Not applicable.
O respetivo valor default de Not applicable deverá ser parametrizado na lt804_conf_dflt.</t>
  </si>
  <si>
    <t>out_b0200_main_liabilities.0380_amnt_scrty_fx</t>
  </si>
  <si>
    <t>Reunião 2025-09-22 Luís Capitão-Mor, Pedro Mendes, Luísa Sousa:
Campo igual ao "Denomination / Nominal value per security in EUR" (0370) mas sem efetuar a conversão para Eur (dado que o SRB solicita o montante na moeda original)</t>
  </si>
  <si>
    <t>Number of securities outstanding not held by the reporting entity</t>
  </si>
  <si>
    <t>Number of outstanding securities issued per ISIN (or other code), not held by the reporting entity itself.
Data points c0360 to c0521 might be relevant only in cases of externally issued liabilities or for intragroup liabilities issued in CSDs/iCSDs.</t>
  </si>
  <si>
    <t>out_b0200_main_liabilities.0390_nmbr_scrts_not_rprtng_entty</t>
  </si>
  <si>
    <t>Number of securities outstanding held by the reporting entity</t>
  </si>
  <si>
    <t>0391</t>
  </si>
  <si>
    <t>Number of outstanding securities issued per ISIN (or other code), held by the reporting entity itself. This field must be reported consistently with data point c0090.
Data points c0360 to c0521 might be relevant only in cases of externally issued liabilities or for intragroup liabilities issued in CSDs/iCSDs.</t>
  </si>
  <si>
    <t>out_b0200_main_liabilities.0391_nmbr_scrts_rprtng_entty</t>
  </si>
  <si>
    <t>Accrued interest per security</t>
  </si>
  <si>
    <t>0400</t>
  </si>
  <si>
    <t>4 decimals</t>
  </si>
  <si>
    <t>Total EUR amount of the accrued interest per security issued per ISIN (or other code). In jurisdictions where accrued interests do not rank pari passu to the principal liability amount, the relevant NRAs may request reporting of interest accruals as on separate line items.
Data points c0360 to c0521 might be relevant only in cases of externally issued liabilities or for intragroup liabilities issued in CSDs/iCSDs.</t>
  </si>
  <si>
    <t>out_b0200_main_liabilities.0400_accrd_intrst_scrty</t>
  </si>
  <si>
    <t>Fees and charges per security</t>
  </si>
  <si>
    <t>0410</t>
  </si>
  <si>
    <t>Total EUR amount of the fees and charges per security issued per ISIN (or other code). Applicable fees and charges (e.g. contractual fees for late payments) linked to the instrument, if the fee or charge is payable and due but not yet settled with the counterparty as of the request date, to the extent that the fee or charge is not covered within the outstanding principal amount, the accrued interest or a separate liability. Fees and charges do not include agios or fees in conjunction with the listing of a security.
Data points c0360 to c0521 might be relevant only in cases of externally issued liabilities or for intragroup liabilities issued in CSDs/iCSDs.</t>
  </si>
  <si>
    <t>out_b0200_main_liabilities.0410_fees_charges_scrty</t>
  </si>
  <si>
    <t xml:space="preserve">Valor fixo 0
</t>
  </si>
  <si>
    <t>Reunião 2025-09-24 Luís Capitão-Mor, Pedro Mendes:
Tendo em conta que no campo "Applicable fees and charges" (0110) se vai reportar valor fixo 0, e que este campo trata do mesmo conceito (apresenta a mesma definição) mas por título (per security), então também se deve reportar valor fixo 0.</t>
  </si>
  <si>
    <t>Fair value per security</t>
  </si>
  <si>
    <t>0420</t>
  </si>
  <si>
    <t>Total EUR amount of the fair value (as reported in field c0270) per security issued per ISIN (or other code).
Data points c0360 to c0521 might be relevant only in cases of externally issued liabilities or for intragroup liabilities issued in CSDs/iCSDs.</t>
  </si>
  <si>
    <t>out_b0200_main_liabilities.0420_fv_amnt_scrty</t>
  </si>
  <si>
    <t>Reunião 2025-09-24 Luís Capitão-Mor, Pedro Mendes:
Tendo em conta que no campo "Fair value of the structured product" (0270) se vai reportar valor fixo 999999999999999, e que este campo trata do mesmo conceito (apresenta a mesma definição) mas por título (per security), então também se deve reportar valor fixo 999999999999999.</t>
  </si>
  <si>
    <t>Principal amount of the global note in EUR</t>
  </si>
  <si>
    <t>0430</t>
  </si>
  <si>
    <t>The outstanding aggregate principal amount of the global note per ISIN or other code, in EUR (including own holdings when applicable). If the value is reported in a foreign currency in field c0431, the amount must be converted into EUR and reported in this field using the EUR reference exchange rate. For foreign currencies for which no EUR reference exchange rate is available, a customary market reference rate must be used. If such other customary reference exchange rates are used, a uniform source must be used wherever possible. This field is not applicable if the trading method selected in field c0360 is ‘Unit’.
Data points c0360 to c0521 might be relevant only in cases of externally issued liabilities or for intragroup liabilities issued in CSDs/iCSDs.</t>
  </si>
  <si>
    <t>out_b0200_main_liabilities.0430_prncpl_amnt_glbl_nt_eur</t>
  </si>
  <si>
    <t>Reunião 2025-08-13 Luís Capitão-Mor, Pedro Mendes, Luísa Sousa</t>
  </si>
  <si>
    <t>Principal amount of the global note in original currency</t>
  </si>
  <si>
    <t>0431</t>
  </si>
  <si>
    <t>The outstanding aggregate principal amount of the global note per ISIN or other code in the original currency (including own holdings when applicable). Please also report the EUR-converted amount in the corresponding EUR field (c0430). This field is not applicable if trading method selected in field c0360 is ‘Unit’.
Data points c0360 to c0521 might be relevant only in cases of externally issued liabilities or for intragroup liabilities issued in CSDs/iCSDs.</t>
  </si>
  <si>
    <t>out_b0200_main_liabilities.0431_prncpl_amnt_glbl_nt_fx</t>
  </si>
  <si>
    <t>Nature of the global note</t>
  </si>
  <si>
    <t>0440</t>
  </si>
  <si>
    <t>Indicate whether the liability is a Classical Global Note (CGN) or a New Global Note (NGN):
• CGN = a form of global certificate that requires physical annotation on the attached schedule to reflect changes in the issue outstanding amount;
• NGN = a form of global certificate that refers to the records of the ICSDs to determine the issue outstanding amount.
• Not applicable = if it is not applicable (the liability has not been issued in an ICSD, or has another nature).
Data points c0360 to c0521 might be relevant only in cases of externally issued liabilities or for intragroup liabilities issued in CSDs/iCSDs.</t>
  </si>
  <si>
    <t>out_b0200_main_liabilities.0440_ntr_glbl_nt</t>
  </si>
  <si>
    <t>Reunião 2025-07-31 Luís Capitão-Mor, Pedro Mendes:
Não aplicável ao universo de títulos em causa, contudo, aplica-se a outros títulos.</t>
  </si>
  <si>
    <t>Current pool factor</t>
  </si>
  <si>
    <t>0450</t>
  </si>
  <si>
    <t>Values between 0 and 1, with 9 decimals</t>
  </si>
  <si>
    <t>If applicable, the factor used to calculate the value of the outstanding principal of the financial instrument applicable until the next redemption (factor) date, or after the redemption (factor) date. Can also be defined as: ratio of outstanding principal to original face value. Please refer to the SRB publication ‘Reflecting bail-in in the books of the International Central Securities Depositories (ICSDs) (57).
(57) - https://www.srb.europa.eu/system/files/media/document/bail-in_in_books_of_icsds_enn_final_web.pdf (Annex III, letter G)
Data points c0360 to c0521 might be relevant only in cases of externally issued liabilities or for intragroup liabilities issued in CSDs/iCSDs.</t>
  </si>
  <si>
    <t>Input -9999.999999999</t>
  </si>
  <si>
    <t>out_b0200_main_liabilities.0450_crrnt_pool_fctr</t>
  </si>
  <si>
    <t>Valor Fixo -9999.999999999</t>
  </si>
  <si>
    <t xml:space="preserve">Reunião 2025-07-24 Luís Capitão-Mor, Flávia Pinho, Luísa Sousa:
Por definição, o conceito de Pool Factor aplica-se apenas a titularizações (instrumentos financeiros que têm fundos) e não se aplica aos restantes Produtos. Portanto, sabendo que o universo deste report não contempla Titularizações, então não será criado o campo no Loan Tape e será criado apenas na tabela de output out_b0200_main_liabilities com o valor de not applicable.
</t>
  </si>
  <si>
    <t xml:space="preserve">Central securities depository </t>
  </si>
  <si>
    <t>0460</t>
  </si>
  <si>
    <t xml:space="preserve">Indicate the CSD of issue for the security. When applicable, please use the values from the predefined list provided below. In the event of multiple entries, please separate them with a vertical bar and indicate the CSD of issue as the first entry on the list. For securities deposited by international central securities depositories (ICSDs), both CSDs must be reported.
• ATHEX CSD_EL
• BOGS_EL
• CBF_DE
• CBL_LU
• CDCP SR_SK
• CDCP_CZ
• Central Depository &amp; Clearing Company_HR
• Central Depository of Securities Prague_CZ
• Central Depository_BG
• Cyprus CDCR_CY
• Depozitarul Central_RO
• DTC_US
• Euroclear Bank_BE
• Euroclear Belgium_BE
• Euroclear Finland_FI
• Euroclear France_FR
• Euroclear Netherlands_NL
• Euroclear Sweden_SE
• Euroclear UK &amp; Ireland_UK
• Government Securities Depository (GSD)_BG
• Iberclear_ES
• INTERBOLSA_PT
• KDD_SI
• KDPW_PL
• KELER_HU
• LUX CSD_LU
• Malta Stock Exchange CSD_MT
• Euronext Securities Milan_IT
• Nasdaq CSD_EE
• Nasdaq CSD_LT
• Nasdaq CSD_LV
• NBB SSS_BE
• nCDCP_SK
• OeKB CSD_AT
• SAFIR_RO
• SIX SIS_CH
• SKARBNET4_PL
• SKD_CZ
• VP Securities_DK
• VPS_NO
• Other
• Not applicable
Data points c0360 to c0521 might be relevant only in cases of externally issued liabilities or for intragroup liabilities issued in CSDs/iCSDs.
</t>
  </si>
  <si>
    <t>lt002_instrument.csd</t>
  </si>
  <si>
    <t>Se flag_inst_titulos = '1': 
Obter campo central_valores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
Necessário criar novas parametrizaçôes nas tabelas lt829_regras_conversao e lt830_conversoes, podendo as mesmas ser consultadas neste documento nas sheets:
LT829 - filtrando por campo_conceito = 'CSD' e regra_conversao = '1';
LT830 - filtrando por segmento = 'ESTR' e campo_conceito = 'CSD'.</t>
  </si>
  <si>
    <t>out_b0200_main_liabilities.0460_csd</t>
  </si>
  <si>
    <t>Reunião 2025-07-30 Luís Capitão-Mor, Pedro Mendes, Luísa Sousa
Reunião 2025-07-28 Luís Capitão-Mor, Pedro Mendes
Reunião 2025-07-17 Luís Capitão-Mor, Flávia Pinho, Luísa Sousa</t>
  </si>
  <si>
    <t>Central securities depository (LEI)</t>
  </si>
  <si>
    <t>0461</t>
  </si>
  <si>
    <t>When applicable, please indicate the LEI (or another ID) of the CSD. In case of multiple entries, please separate them with a vertical bar and indicate the CSD of issue as the first entry on the list</t>
  </si>
  <si>
    <t>lt002_instrument.csd_lei</t>
  </si>
  <si>
    <t>Se flag_inst_titulos = '1': 
Obter campo central_valores da ct610_titulos.
Se flag_inst_titulos = '0': 
Not applicable.
O respetivo valor default de Not applicable deverá ser parametrizado na lt804_conf_dflt.</t>
  </si>
  <si>
    <t>out_b0200_main_liabilities.0461_csd_lei</t>
  </si>
  <si>
    <t>Central securities depository name (if other)</t>
  </si>
  <si>
    <t>0462</t>
  </si>
  <si>
    <t>Indicate the name of the central securities depository if ‘Other’ is selected in field c0460.
Data points c0360 to c0521 might be relevant only in cases of externally issued liabilities or for intragroup liabilities issued in CSDs/iCSDs.</t>
  </si>
  <si>
    <t>out_b0200_main_liabilities.0462_csd_othr</t>
  </si>
  <si>
    <t>Reunião 2025-07-17 Luís Capitão-Mor, Flávia Pinho, Luísa Sousa
Reunião 2025-07-17 Luís Capitão-Mor, Flávia Pinho, Luísa Sousa</t>
  </si>
  <si>
    <t>(Mandated) paying agent</t>
  </si>
  <si>
    <t>0470</t>
  </si>
  <si>
    <t>Indicate the name of the paying agent, i.e. the entity (or part of an entity) that is processing the cash payments related to the liability’s lifecycle events (e.g. dividend, coupon or redemption) to the holders of that liability. For stocks, a paying agent distributes dividends to stockholders. For bonds, it distributes coupon payments and reimbursements of principal to bondholders. For deposits reported on an aggregated level, input ‘Not applicable’.
Data points c0360 to c0521 might be relevant only in cases of externally issued liabilities or for intragroup liabilities issued in CSDs/iCSDs.</t>
  </si>
  <si>
    <t>lt002_instrument.pyng_agnt</t>
  </si>
  <si>
    <t>Se flag_inst_titulos = '1': 
Obter campo agente_pagador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t>
  </si>
  <si>
    <t>out_b0200_main_liabilities.0470_pyng_agnt</t>
  </si>
  <si>
    <t>(Mandated) paying agent (LEI)</t>
  </si>
  <si>
    <t>0471</t>
  </si>
  <si>
    <t>When applicable, please indicate the LEI (or another ID) of the paying agent. For deposits reported on an aggregated level, input ‘Not applicable’.
Data points c0360 to c0521 might be relevant only in cases of externally issued liabilities or for intragroup liabilities issued in CSDs/iCSDs.</t>
  </si>
  <si>
    <t>lt002_instrument.pyng_agnt_lei</t>
  </si>
  <si>
    <t xml:space="preserve">Se flag_inst_titulos = '1': 
Obter agente_pagador da ct610_titulos.
Se flag_inst_titulos = '0':
Not applicable.
O respetivo valor default de Not applicable deverá ser parametrizado na lt804_conf_dflt.
</t>
  </si>
  <si>
    <t>out_b0200_main_liabilities.0471_pyng_agnt_lei</t>
  </si>
  <si>
    <t>Trading venue</t>
  </si>
  <si>
    <t>0480</t>
  </si>
  <si>
    <t>A trading venue is either a regulated market (a stock exchange), a multilateral trading facility (MTF, i.e. a multilateral trading system operated by an investment firm or market operator) or an organised trading facility (OTF, i.e. a multilateral system that is not a regulated market or an MTF).
Indicate the name of the trading venue where the liability is admitted to trading. This also includes MTFs and OTFs, where known. In the event of multiple entries, please separate each with a vertical bar. Regulated trading venues must be reported in this field, while unregulated trading venues can be reported on a best-effort basis. When the security is not listed on a trading venue, the attribute ‘Not listed’ must be entered. In case of private placements, the attribute ‘Private placement’ must be entered. For deposits reported on an aggregated level, input ‘Not applicable’. 
Data points c0360 to c0521 might be relevant only in cases of externally issued liabilities or for intragroup liabilities issued in CSDs/iCSDs.</t>
  </si>
  <si>
    <t>out_b0200_main_liabilities.0480_trdng_vn</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</si>
  <si>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</si>
  <si>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r>
      <t>Trading venue</t>
    </r>
    <r>
      <rPr>
        <sz val="10"/>
        <rFont val="Calibri"/>
        <family val="2"/>
        <scheme val="minor"/>
      </rPr>
      <t xml:space="preserve"> (LEI)</t>
    </r>
  </si>
  <si>
    <t>0481</t>
  </si>
  <si>
    <t>When applicable, please indicate the LEI (or another ID) of the trading venue where the liability is admitted to trading. In the event of multiple entries, please separate each with a vertical bar. For deposits reported on an aggregated level, input ‘Not applicable’.
Data points c0360 to c0521 might be relevant only in cases of externally issued liabilities or for intragroup liabilities issued in CSDs/iCSDs.</t>
  </si>
  <si>
    <t>out_b0200_main_liabilities.0481_trdng_vn_lei</t>
  </si>
  <si>
    <t>Registrar for information about creditors/holders</t>
  </si>
  <si>
    <t>0490</t>
  </si>
  <si>
    <t>Indicate the name of the registrar (responsible for holding the records of these liabilities’ owners). The registrar or register holder is usually the issuer itself, a CSD or another entity. For deposits reported on an aggregated level, input ‘Not applicable’.
Data points c0360 to c0521 might be relevant only in cases of externally issued liabilities or for intragroup liabilities issued in CSDs/iCSDs.</t>
  </si>
  <si>
    <t xml:space="preserve">out_b0200_main_liabilities.0490_rgstrr </t>
  </si>
  <si>
    <t>Reunião 2025-07-30 Luís Capitão-Mor, Pedro Mendes, Luísa Sousa
Reunião 2025-07-28 Luís Capitão-Mor, Pedro Mendes:
Decidiu-se apontar para o campo csd que será criado na lt002_instrument. 
Reunião 2025-07-17 Luís Capitão-Mor, Flávia Pinho, Luísa Sousa
old:
Se flag_inst_titulos = '1': 
Obter campo agente_pagador da ct610_titulos (que contém o código lei) e cruzá-lo com o campo clei da ct003_univ_cli, de forma a obter o campo gcliente da ct003_univ_cli. 
O cruzamento não poderá resultar em mais do que 1 gnome, como tal, trazer o gcliente com maior zcliente.
Caso o cruzamento resulte em mais do que 1 gcliente, terá de se trazer apenas 1 gcliente. Para tal, selecionar o zcliente maior: max(zcliente).
Se flag_inst_titulos = '0':
?
Aguarda-se resposta ao email enviado a Flávia Pinho (21/07/2025 11:03)</t>
  </si>
  <si>
    <t>Registrar for information about creditors/holders (LEI)</t>
  </si>
  <si>
    <t>0491</t>
  </si>
  <si>
    <t xml:space="preserve">When applicable, please indicate the LEI (or another ID) of the registrar. For deposits reported on an aggregated level, input ‘Not applicable’.
Data points c0360 to c0521 might be relevant only in cases of externally issued liabilities or for intragroup liabilities issued in CSDs/iCSDs.
</t>
  </si>
  <si>
    <t>out_b0200_main_liabilities.0491_rgstrr_lei</t>
  </si>
  <si>
    <t>Reunião 2025-07-30 Luís Capitão-Mor, Pedro Mendes, Luísa Sousa
Reunião 2025-07-28 Luís Capitão-Mor, Pedro Mendes:
Decidiu-se apontar para o campo csd_lei que será criado na lt002_instrument. 
Reunião 2025-07-17 Luís Capitão-Mor, Flávia Pinho, Luísa Sousa</t>
  </si>
  <si>
    <t>National Numbering Agency</t>
  </si>
  <si>
    <t>0500</t>
  </si>
  <si>
    <t xml:space="preserve">Indicate the name of the organisation responsible for issuing International Securities Identification Numbers (ISINs) as described by ISO 6166, and the Classification of Financial Instruments code as described by ISO 10962. The role of NNA is typically assigned to the national stock exchange, CSD, central bank or financial regulator. When applicable, for securities deposited by the international central securities depositories (ICSDs), both CSDs shall be reported. For deposits reported on an aggregated level, input ‘Not applicable’.
Data points c0360 to c0521 might be relevant only in cases of externally issued liabilities or for intragroup liabilities issued in CSDs/iCSDs.
</t>
  </si>
  <si>
    <t>out_b0200_main_liabilities.0500_nna</t>
  </si>
  <si>
    <t>Reunião 2025-07-30 Luís Capitão-Mor, Pedro Mendes, Luísa Sousa
Reunião 2025-07-28 Luís Capitão-Mor, Pedro Mendes:
Decidiu-se apontar para o campo csd que será criado na lt002_instrument. 
Reunião 2025-07-17 Luís Capitão-Mor, Flávia Pinho, Luísa Sousa</t>
  </si>
  <si>
    <t>National Numbering Agency (LEI)</t>
  </si>
  <si>
    <t>0501</t>
  </si>
  <si>
    <t xml:space="preserve">When applicable, please indicate the LEI code (or another ID) of the national numbering agency. For deposits reported on an aggregated level, input ‘Not applicable’.
Data points c0360 to c0521 might be relevant only in cases of externally issued liabilities or for intragroup liabilities issued in CSDs/iCSDs.
</t>
  </si>
  <si>
    <t>out_b0200_main_liabilities.0501_nna_lei</t>
  </si>
  <si>
    <t>Reunião 2025-07-30 Luís Capitão-Mor, Pedro Mendes, Luísa Sousa
Reunião 2025-07-28 Luís Capitão-Mor, Pedro Mendes:
Decidiu-se apontar para o campo CSD já existente. 
Reunião 2025-07-17 Luís Capitão-Mor, Flávia Pinho, Luísa Sousa</t>
  </si>
  <si>
    <t>Common Depository</t>
  </si>
  <si>
    <t>0510</t>
  </si>
  <si>
    <t xml:space="preserve">Indicate the name of the common depository, when applicable (i.e. if issued in one of the ICSDs and in CGN form). A common depository is an entity appointed by the ICSDs (Euroclear Bank and Clearstream Banking Luxembourg) to provide safekeeping and asset servicing for securities in Classical Global Note form. For deposits reported on an aggregated level, input ‘Not applicable’.
Data points c0360 to c0521 might be relevant only in cases of externally issued liabilities or for intragroup liabilities issued in CSDs/iCSDs.
</t>
  </si>
  <si>
    <t>out_b0200_main_liabilities.0510_cmmn_dpstry</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</si>
  <si>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</si>
  <si>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Depository (LEI)</t>
  </si>
  <si>
    <t>0511</t>
  </si>
  <si>
    <t xml:space="preserve">When applicable, please indicate the LEI code (or another ID) of the common depository. For deposits reported on an aggregated level, input ‘Not applicable’.
Data points c0360 to c0521 might be relevant only in cases of externally issued liabilities or for intragroup liabilities issued in CSDs/iCSDs.
</t>
  </si>
  <si>
    <t>out_b0200_main_liabilities.0511_cmmn_dpstry_lei</t>
  </si>
  <si>
    <t>Common Service Provider</t>
  </si>
  <si>
    <t>0520</t>
  </si>
  <si>
    <t xml:space="preserve">Indicate the name of the common service provider, when applicable (i.e. if issued in one of the ICSDs and in NGN form). A common service provider is an entity appointed by the ICSDs to provide asset servicing for New Global Notes. For deposits reported on an aggregated level, input ‘Not applicable’.
Data points c0360 to c0521 might be relevant only in cases of externally issued liabilities or for intragroup liabilities issued in CSDs/iCSDs.
</t>
  </si>
  <si>
    <t>out_b0200_main_liabilities.0520_cmmn_srvc_prvdr</t>
  </si>
  <si>
    <t>Common Service Provider (LEI)</t>
  </si>
  <si>
    <t>0521</t>
  </si>
  <si>
    <t xml:space="preserve">When applicable, please indicate the LEI code (or another ID) of the common service provider. For deposits reported on an aggregated level, input ‘Not applicable’.
Data points c0360 to c0521 might be relevant only in cases of externally issued liabilities or for intragroup liabilities issued in CSDs/iCSDs.
</t>
  </si>
  <si>
    <t>out_b0200_main_liabilities.0521_cmmn_srvc_prvdr_lei</t>
  </si>
  <si>
    <t>Type of own funds at individual level</t>
  </si>
  <si>
    <t>0530</t>
  </si>
  <si>
    <t>Indicate the type of own funds, as classified at individual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t>
  </si>
  <si>
    <t>lt002_instrument.typ_own_fnds_indvdl_lvl</t>
  </si>
  <si>
    <t>Se flag_inst_titulos = '1':
Obter eleg_fund_prop da ct610_titulos.
Se flag_inst_titulos = '0': 
Not applicable.
O respetivo valor default de Not applicable deverá ser parametrizado na lt804_conf_dflt.</t>
  </si>
  <si>
    <t>out_b0200_main_liabilities.0530_typ_own_fnds_ind_lvl</t>
  </si>
  <si>
    <t>Reunião 2025-07-30 Luís Capitão-Mor, Pedro Mendes, Luísa Sousa
Reunião 2025-07-24 Luís Capitão-Mor, Flávia Pinho, Luísa Sousa</t>
  </si>
  <si>
    <t>Eligible amount for own funds at individual level</t>
  </si>
  <si>
    <t>0540</t>
  </si>
  <si>
    <t>The actual amount in EUR of the instrument qualifying as own funds at individual level.</t>
  </si>
  <si>
    <t>lt002_instrument.elgbl_amnt_own_fnds_indvdl_lvl</t>
  </si>
  <si>
    <t xml:space="preserve">Se flag_inst_titulos = '1': 
Obter mon_fund_prop da ct610_titulos.
Se flag_inst_titulos = '0': 
Not applicable.
O respetivo valor default de Not applicable deverá ser parametrizado na lt804_conf_dflt. </t>
  </si>
  <si>
    <t>out_b0200_main_liabilities.0540_elgbl_amnt_own_fnds_ind_lvl</t>
  </si>
  <si>
    <t>Type of own funds at consolidated level</t>
  </si>
  <si>
    <t>0550</t>
  </si>
  <si>
    <t>Indicate the type of own funds, as classified at consolidated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</si>
  <si>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out_b0200_main_liabilities.0550_typ_own_fnds_cnsldtd_lvl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</si>
  <si>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próprios são os mesmos". Adicionalmente, Pedro Mendes comentou que confirmou com Espanha este entendimento.
Reunião 2025-07-30 Luís Capitão-Mor, Pedro Mendes, Luísa Sousa
Reunião 2025-07-24 Luís Capitão-Mor, Flávia Pinho, Luísa Sousa</t>
  </si>
  <si>
    <t>Eligible amount for own funds at consolidated level</t>
  </si>
  <si>
    <t>0560</t>
  </si>
  <si>
    <t>The actual amount in EUR of the instrument qualifying as own funds at consolidated level.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</si>
  <si>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out_b0200_main_liabilities.0560_elgbl_amnt_own_fnds_cnsldtd_lvl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</si>
  <si>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proprios são os mesmos". Adicionalmente, Pedro Mendes comentou que confirmou com Espanha este entendimento.
Reunião 2025-07-30 Luís Capitão-Mor, Pedro Mendes, Luísa Sousa
Reunião 2025-07-24 Luís Capitão-Mor, Flávia Pinho, Luísa Sousa</t>
  </si>
  <si>
    <t>Amount of the security interest provided</t>
  </si>
  <si>
    <t>0570</t>
  </si>
  <si>
    <t>EUR amount of the security interest provided by a third party.</t>
  </si>
  <si>
    <t>out_b0200_main_liabilities.0570_amnt_scrty_intrst_prvdd</t>
  </si>
  <si>
    <t xml:space="preserve">Reunião 2025-08-08 Luís Capitão-Mor, Pedro Mendes, Luísa Sousa:
Dado que no caso do BST não existe uma third party, tomou-se a decisão de mapear o valor 0.
</t>
  </si>
  <si>
    <t>Security interest provider (Name)</t>
  </si>
  <si>
    <t>0580</t>
  </si>
  <si>
    <t>Name of the entity providing the security interest. For deposits reported on an aggregated level, input ‘Not applicable’.</t>
  </si>
  <si>
    <t>out_b0200_main_liabilities.0580_scrty_intrst_prvdr</t>
  </si>
  <si>
    <t xml:space="preserve">Reunião 2025-08-08 Luís Capitão-Mor, Pedro Mendes, Luísa Sousa:
Dado que no caso do BST não existe uma third party, tomou-se a decisão de mapear 'Not applicable'.
</t>
  </si>
  <si>
    <t>Security interest provider (LEI)</t>
  </si>
  <si>
    <t>0581</t>
  </si>
  <si>
    <t>LEI code of the entity providing the security interest. For deposits reported on an aggregated level, input ‘Not applicable’.</t>
  </si>
  <si>
    <t>out_b0200_main_liabilities.0581_scrty_intrst_prvdr_lei</t>
  </si>
  <si>
    <t xml:space="preserve">Type of security interest provided by a third party </t>
  </si>
  <si>
    <t>0590</t>
  </si>
  <si>
    <t>Interest linked to guarantees and sureties. Please select the entry from the following drop-down list:
• Lien
• Guarantee
• Surety
• Guarantee obligation
• Other
• Not applicable
In the list of options, "Guarantee obligation" refers to a special type of guarantee agreement that used to be extended to publicly owned banks by their owners where the owners would guarantee liabilities of the respective bank. An example would be the former "Gewährträgerhaftung" applicable to German Landesbanken. For deposits reported on an aggregated level, input ‘Aggregated’.</t>
  </si>
  <si>
    <t>out_b0200_main_liabilities.0590_typ_scrty_intrst_prvdd</t>
  </si>
  <si>
    <t>Collateral for an asset position</t>
  </si>
  <si>
    <t>0600</t>
  </si>
  <si>
    <t>Indicate whether the liability is used as collateral for an asset position. The value to be reported is a TRUE/FALSE Boolean (where ‘TRUE’ = used as collateral, and ‘FALSE’ = not used as collateral). For deposits reported on an aggregate level, this data point is not applicable.</t>
  </si>
  <si>
    <t>out_b0200_main_liabilities.0600_flg_clltrl_asst_pstn</t>
  </si>
  <si>
    <t>Reunião 2025-08-13 Luís Capitão-Mor, Pedro Mendes, Luísa Sousa:
Dado que este universo de títulos contém risco, então dificilmente  serão usados como Colateral. 
Como tal, tomou-se a decisão de mapear 'FALSE'.</t>
  </si>
  <si>
    <t>Carrying amount IFRS</t>
  </si>
  <si>
    <t>0610</t>
  </si>
  <si>
    <t>To the extent relevant for the bank, the carrying amount under IFRS (58).
(58) -  When precise values are not available, estimates can be used to fill this data point.</t>
  </si>
  <si>
    <t>lt002_instrument.crryng_amnt_instrmnt</t>
  </si>
  <si>
    <t>out_b0200_main_liabilities.0610_crryng_amnt_ifrs</t>
  </si>
  <si>
    <t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t>
  </si>
  <si>
    <t>Balance sheet item according to IFRS</t>
  </si>
  <si>
    <t>0620</t>
  </si>
  <si>
    <t>One of the following items to be selected as attribute in accordance with the classification in FINREP (according to Annex IV of Regulation (EU) 2015/534 of the ECB):
• 010 Financial liabilities held for trading;
• 070 Financial liabilities at fair value through profit or loss;
• 110 Financial liabilities at amortized cost;
• 280 Other liabilities;
• 300 Total equity.
For deposits reported on an aggregated level, please indicate the most prevalent balance sheet item category.</t>
  </si>
  <si>
    <t>lt002_instrument.
accntng_clssfctn</t>
  </si>
  <si>
    <t>Necessário criar novas parametrizaçôes nas tabelas lt829_regras_conversao e lt830_conversoes, podendo as mesmas ser consultadas neste documento nas sheets:
LT829 - filtrando por campo_conceito = 'ACCNTNG_CLSSFCTN' e regra_conversao = '3';
LT830 - filtrando por segmento = 'ESTR' e campo_conceito = 'ACCNTNG_CLSSFCTN'.</t>
  </si>
  <si>
    <t>out_b0200_main_liabilities.0620_blnc_sht_ifrs</t>
  </si>
  <si>
    <t>Reunião 2025-08-06 Luísa Sousa
Em 2025-08-11 Luísa Sousa adicionou na tabela lt803_codigos_lt novas parametrizações, que podem ser consultadas na sheet LT803 - filtrando por campo_lt = 'ACCNTNG_CLSSFCTN';
Parametrizações da lt803_codigos_lt/lt829_regras_conversao/lt830_conversoes confirmadas com Luísa Sousa.
Reunião 2025-07-31 Luís Capitão-Mor, Pedro Mendes</t>
  </si>
  <si>
    <t>Carrying amount national GAAP</t>
  </si>
  <si>
    <t>0630</t>
  </si>
  <si>
    <t>Carrying amount under national GAAP (where applicable) (59).
(59) -  When precise values are not available, estimates can be used to fill this data point.</t>
  </si>
  <si>
    <t>out_b0200_main_liabilities.0630_crrying_amnt_ngaap</t>
  </si>
  <si>
    <t>Reunião 2025-08-13 Luís Capitão-Mor, Pedro Mendes, Luísa Sousa:
O BST usa IFRS, não usa national GAAP, como tal, este campo é Not Applicable.</t>
  </si>
  <si>
    <t>Balance sheet item at Resolution entity level according to national GAAP</t>
  </si>
  <si>
    <t>0640</t>
  </si>
  <si>
    <t>Classification in accordance with national GAAP (where applicable). For deposits reported on an aggregated level, please indicate the most prevalent balance sheet item category.</t>
  </si>
  <si>
    <t>out_b0200_main_liabilities.0640_blnc_sht_ngaap</t>
  </si>
  <si>
    <t>Reunião 2025-07-31 Luís Capitão-Mor, Pedro Mendes:
Segundo Pedro Mendes este campo é not applicable por duas razões:
- Porque o BST é uma non-resolution entity; 
- Porque no caso de Portugal, usa-se o IFRS e não o national GAAP.</t>
  </si>
  <si>
    <t>Instrument/liability is issued to or bought by an existing shareholder that is not part of the same resolution group</t>
  </si>
  <si>
    <t>5000</t>
  </si>
  <si>
    <t>Flag to identify whether a liability is issued to or bought by an existing shareholder that is not part of the same resolution group according to Article 12g(2)(a)(i) SRMR. The value to be reported is a TRUE/FALSE Boolean.</t>
  </si>
  <si>
    <t>out_b0200_main_liabilities.5000_flg_shrhldr_not_rsltn_grp</t>
  </si>
  <si>
    <t>Reunião 2025-07-31 Luís Capitão-Mor, Pedro Mendes:
Campo com o valor fixo 'False'. Não existe previsão de que a futuro existam alterações na estrutura dos grupos de resolução, como tal, assumiu-se este valor como fixo.</t>
  </si>
  <si>
    <t>Instrument/liability meets the requirements of Art. 21(7a) SRMR</t>
  </si>
  <si>
    <t>5010</t>
  </si>
  <si>
    <t>Flag to identify whether a liability fulfils the criteria laid down in Article 21(7a) SRMR (conditions referred to in point Article 12g(2)(a) SRMR, except the condition relating to the remaining maturity of liabilities as set out in Article 72c(1) CRR). The value to be reported is a TRUE/FALSE Boolean. This data point is especially relevant if the scope of collection is expanded, as mentioned in the first paragraph of this annex.</t>
  </si>
  <si>
    <t>out_b0200_main_liabilities.5010_flg_art21_7a_srmr</t>
  </si>
  <si>
    <t>Valor fixo 'TRUE'</t>
  </si>
  <si>
    <t xml:space="preserve">Reunião 2025-07-31 Luís Capitão-Mor, Pedro Mendes:
Segundo Pedro Mendes este campo terá valor fixo 'True', pois para o universo em causa do bail-in (títulos) todos os registos contam para MREL. </t>
  </si>
  <si>
    <t>Field Status</t>
  </si>
  <si>
    <t xml:space="preserve">Field Status </t>
  </si>
  <si>
    <t>Campo via Holístico</t>
  </si>
  <si>
    <t>Campo não LT 
(apenas tabela Output)</t>
  </si>
  <si>
    <r>
      <rPr>
        <b/>
        <i/>
        <sz val="11"/>
        <color theme="0"/>
        <rFont val="Santander Text"/>
        <family val="2"/>
      </rPr>
      <t>Status</t>
    </r>
    <r>
      <rPr>
        <b/>
        <sz val="11"/>
        <color theme="0"/>
        <rFont val="Santander Text"/>
        <family val="2"/>
      </rPr>
      <t xml:space="preserve"> Desenvolvimento</t>
    </r>
  </si>
  <si>
    <t>Status Especificação/Desenvolvimento</t>
  </si>
  <si>
    <t>Loan Tape/Output Table</t>
  </si>
  <si>
    <t>trdng_mthd</t>
  </si>
  <si>
    <r>
      <rPr>
        <sz val="10"/>
        <color rgb="FF000000"/>
        <rFont val="Calibri"/>
        <family val="2"/>
      </rPr>
      <t>Relevant amount for</t>
    </r>
    <r>
      <rPr>
        <strike/>
        <sz val="10"/>
        <color rgb="FF000000"/>
        <rFont val="Calibri"/>
        <family val="2"/>
      </rPr>
      <t xml:space="preserve"> Bail-in</t>
    </r>
    <r>
      <rPr>
        <sz val="10"/>
        <color rgb="FF000000"/>
        <rFont val="Calibri"/>
        <family val="2"/>
      </rPr>
      <t>/WDC</t>
    </r>
  </si>
  <si>
    <r>
      <rPr>
        <sz val="10"/>
        <color rgb="FF000000"/>
        <rFont val="Santander Text"/>
        <family val="2"/>
      </rPr>
      <t xml:space="preserve">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</si>
  <si>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'Non-structured/Vanilla'.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</si>
  <si>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'Unsecured'.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</si>
  <si>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t>B05.00 - Guarantees provided to the Non-Resolution Entity: this tab includes the relevant data points on guarantees for monitoring and implementing the loss transfer and recapitalisation mechanisms at non-resolution entity level;</t>
  </si>
  <si>
    <t xml:space="preserve">Especificação IT		</t>
  </si>
  <si>
    <t>lt833_agreg_campos</t>
  </si>
  <si>
    <t>tabela_condicao</t>
  </si>
  <si>
    <t>campo_condicao</t>
  </si>
  <si>
    <t>valor_condicao</t>
  </si>
  <si>
    <t>tabela_origem</t>
  </si>
  <si>
    <t>campo_origem</t>
  </si>
  <si>
    <t>campo_destino</t>
  </si>
  <si>
    <t>campo_exp</t>
  </si>
  <si>
    <t>acao</t>
  </si>
  <si>
    <t>ckutulmo</t>
  </si>
  <si>
    <t xml:space="preserve">htimest </t>
  </si>
  <si>
    <t xml:space="preserve">ambito </t>
  </si>
  <si>
    <t>segmento</t>
  </si>
  <si>
    <t>segmento_agregado</t>
  </si>
  <si>
    <t>ref_date</t>
  </si>
  <si>
    <t>cod_visao</t>
  </si>
  <si>
    <t>Tipo de Garantia</t>
  </si>
  <si>
    <t>out_b0500_guarantees.0010_row_nmbr</t>
  </si>
  <si>
    <t>Sequenciador a implementar na tabela de output out_b0500_guarantees
Nota: A cada execução não deverão ser gerados Row numbers diferentes pelo que provisoriamente deverá ser feito um order by 0020_uniq_id_guarantee</t>
  </si>
  <si>
    <t>Reunião 2025-06-02 Luís Capitão-Mor, Pedro Mendes, Luísa Sousa</t>
  </si>
  <si>
    <t>1</t>
  </si>
  <si>
    <t>SEQUENCIA</t>
  </si>
  <si>
    <t>SRB</t>
  </si>
  <si>
    <t>B0500</t>
  </si>
  <si>
    <t>Geral</t>
  </si>
  <si>
    <t>Unique (internal) identifier of the guarantee provided to the Non-Resolution Entity</t>
  </si>
  <si>
    <t>Internal identifier of the guarantee and of the financial support arrangement, if applicable.</t>
  </si>
  <si>
    <t>lt006_instr_prot.instrmnt_id.instrmnt_id 
lt006_instr_prot.prtctn_id</t>
  </si>
  <si>
    <t>out_b0500_guarantees.0020_uniq_id_guarantee</t>
  </si>
  <si>
    <t>concat(lt006_instr_prot.instrmnt_id, lt006_instr_prot.prtctn_id)</t>
  </si>
  <si>
    <t xml:space="preserve">Reunião 2025-10-13 Luís Capitão-Mor, Pedro Mendes, Luísa Sousa:
concat(lt006_instr_prot.instrmnt_id, lt006_instr_prot.prtctn_id)
Reunião 2025-06-02 Luís Capitão-Mor, Pedro Mendes, Luísa Sousa:
lt004_protection.prtctn_id </t>
  </si>
  <si>
    <t xml:space="preserve"> lt002_instrument</t>
  </si>
  <si>
    <t>ind_univ</t>
  </si>
  <si>
    <t>lt004_protection</t>
  </si>
  <si>
    <t>prtctn_id</t>
  </si>
  <si>
    <t>2</t>
  </si>
  <si>
    <t>AGRUPAR</t>
  </si>
  <si>
    <t>The ISO 3166-1 alpha-2 code of the country whose law governs the instrument (please use the ISO 3166-2 code when the law of an administrative subdivision is relevant, e.g. ‘US-NY’). If the contract is governed by the law of more than one country, indicate the country whose law has the highest relevance for the recognition of write-down and conversion powers.</t>
  </si>
  <si>
    <t>out_b0500_guarantees.0030_governing_law</t>
  </si>
  <si>
    <t>Valor fixo 'PT'</t>
  </si>
  <si>
    <t>Reunião 2025-09-08 Luís Capitão-Mor, Pedro Mendes:
No âmbito do campo Governing law da sheet B05.00, verificou-se que os registos deste Universo têm maioritarimente Governing law= 'PT', contudo, existe pelo menos 1 registo, "ELECGAS (TEJO II) 557MM 04/03/08 CLOII" cujo Governing law é 'GB'. Para este registo, consta "English Law" no documento LMA Trade Confirmation Risk Participation (Email recebido 26/06/2025 18:40 de Luís Capitão-Mor com os vários documentos). 
Será portanto, necessário efectuar um desenvolvimento estrutural que permita alterar o valor reportado em cada campo de cada uma das quatro tabelas de output (out_b0100_aggregate_view, out_b0200_main_liabilities, out_b0500_guarantees, out_b9000_counterparties). Este novo desenvolvimento deverá consistir num processo igual ao holístico já existente no Loan Tape. 
Exemplo:  
O campo acima (Governing law) terá o valor fixo ‘PT’ para todos os registos da sheet B05.00. Com este novo desenvolvimento, o Utilizador terá a possibilidade de alterar o valor do registo acima ("ELECGAS (TEJO II) 557MM 04/03/08 CLOII") de 'PT' para 'GB'.
Email Pedro Mendes 17/06/2025 08:53:
Neste campo pretende-se a governing law ao nível da garantia (recebida).</t>
  </si>
  <si>
    <t>governing_law
Campo já existente na lt002_instrument (e não na lt004_protection)</t>
  </si>
  <si>
    <t>3</t>
  </si>
  <si>
    <t>Guarantee fulfils the requirements pursuant to Art. 12g (3) SRMR</t>
  </si>
  <si>
    <t>Indicate whether the guarantee fulfils the requirements pursuant to Article 12g(3) SRMR. The value to be reported is a TRUE/FALSE Boolean. ‘TRUE’ should be selected only if the SRB has officially recognised that all necessary requirements have been fulfilled.</t>
  </si>
  <si>
    <t>out_b0500_guarantees.0040_flg_art12g_3_srmr</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</si>
  <si>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'FALSE'. 
Email Pedro Mendes 17/06/2025 08:53:
O BST não tem e não está previsto que venha a ter este tipo de garantias.</t>
  </si>
  <si>
    <t>flg_art12g3_srmr
Campo novo</t>
  </si>
  <si>
    <t>4</t>
  </si>
  <si>
    <t>Type of guarantee</t>
  </si>
  <si>
    <t>0050</t>
  </si>
  <si>
    <t>Drop down</t>
  </si>
  <si>
    <t>Indicate the type of guarantee using one of the values from the Liability Data Report, namely:
• Issuance = for guarantees on specific instruments/liabilities that have been issued;
• Counterparty = for guarantees granted to a specific counterparty of the institution;
• Unlimited = for general guarantees not limited to a fixed amount;
• Other types of guarantee than issuance guarantees, counterparty guarantees and unlimited guarantees.</t>
  </si>
  <si>
    <t>out_b0500_guarantees.0050_typ_guarantee</t>
  </si>
  <si>
    <t>Valor fixo 'Counterparty'</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</si>
  <si>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'Counterparty'. 
‣ Comentários Luís Capitão-Mor:
- O BST não tem nada a garantir uma emissão específíca (portanto não há "Issuance");
- O BST não tem "Unlimited".</t>
  </si>
  <si>
    <t>Existem dois campos na lt004_protection: typ_prtctn e typ_prtctn_intrnl. Usar o typ_prtctn ou será um campo novo?</t>
  </si>
  <si>
    <t>5</t>
  </si>
  <si>
    <t xml:space="preserve">Maximum amount of the guarantee </t>
  </si>
  <si>
    <t>The EUR (counter)value of the maximum amount (if any) covered by the guarantee / financial support arrangement.</t>
  </si>
  <si>
    <t>lt006_instr_prot.prtctn_allctd_vl</t>
  </si>
  <si>
    <t>out_b0500_guarantees.0060_max_amnt_guarantee</t>
  </si>
  <si>
    <t>Reunião 2025-09-10 Luís Capitão-Mor, Pedro Mendes, Luísa Sousa:
lt006_instr_prot.prtctn_allctd_vl
Reunião 2025-06-04 Luís Capitão-Mor, Pedro Mendes, Luísa Sousa:
lt004_protection.prtctn_vl
Comentários Luís Capitão-Mor:
Se tivermos o Banco Santander S.A. a garantir 4 responsabilidades diferentes ao BST:
Garantia 1: 1.000.000 eur
Garantia 2: 2.000.000 eur
Garantia 3: 3.000.000 eur
Garantia 4: 4.000.000 eur
Na lt004_protection temos um zcliente único, e portanto, um prtctn_id único dado que no caso das garantias pessoais o protection_id contém o zcliente, logo o prtctn_vl conterá a soma das 4 garantias, ou seja, 10.000.000 eur.
Na lt006_instr_prot temos 4 linhas com os 4 prtctn_allctd_vl (1.000.000 eur,  2.000.000 eur, 3.000.000 eur, 4.000.000 eur).
Neste caso, queremos reportar 10.000.000 eur que corresponde ao campo prtctn_vl da lt004_protection. A alternativa seria "vetorizar" este campo (1.000.000 | 2.000.000 | 3.000.000 | 4.000.000), mas depois não ficaria com valores somáveis.</t>
  </si>
  <si>
    <t>max_amnt_prtctn
Campo novo
nota: já existe o ma</t>
  </si>
  <si>
    <t>6</t>
  </si>
  <si>
    <t>SOMAR</t>
  </si>
  <si>
    <t>Guarantee is secured</t>
  </si>
  <si>
    <t>Indicate whether the guarantee is:
• Secured;
• Unsecured.</t>
  </si>
  <si>
    <t xml:space="preserve"> lt004_protection.flg_scrd</t>
  </si>
  <si>
    <t xml:space="preserve">Passo 1: Usar tradutor chaves finrep para converter chave finrep para chave  ICs, dado que a gt018_rateio_aval está em chave ICs.
Passo 2: Com a chave ICs obtida no Passo 1, aceder à gt018_rateio_aval e obter campo tipologia.
Passo 3 Converter campo tipologia obtido no Passo 2 em 'Secured' ou 'Unsecured'. Para tal, será necessário criar nova parametrização na tabela lt831_param_conceitos, podendo a mesma ser consultada neste documento na sheet 'LT831' filtrando por tabela_conceito = 'LT004_PROTECTION' e campo_conceito = 'FLG_SCRD'. </t>
  </si>
  <si>
    <t>out_b0500_guarantees.0070_flg_scrd</t>
  </si>
  <si>
    <t>lt004_protection.flg_scrd</t>
  </si>
  <si>
    <t>Reunião 2025-06-06 Luís Capitão-Mor, Pedro Mendes, Luísa Sousa
Comentário Pedro Mendes: 
- Secured (quando a garantia é real) e Unsecured (quando a garantia não é real). Portanto, como as garantias pessoais não são reais, então são Unsecured.
Comentário Luís Capitão-Mor: 
- Este campo terá de estar sempre preenchido ('Secured' ou 'Unsecured'), não é expectável existirem MISS ou N/A;</t>
  </si>
  <si>
    <t>flg_scrd_prtctn
Campo novo</t>
  </si>
  <si>
    <t>7</t>
  </si>
  <si>
    <t>Current value of the collateral</t>
  </si>
  <si>
    <t>0080</t>
  </si>
  <si>
    <t>If collateralised (field c0070 = ‘Secured’), indicate the amount of collateral provided, net of valuation adjustments and haircuts.</t>
  </si>
  <si>
    <t>out_b0500_guarantees.0080_amnt_clltrl</t>
  </si>
  <si>
    <t xml:space="preserve">Valor fixo 999999999999999 (valor default N/A para numérico definido pelo SRB)
</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</si>
  <si>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Comentário Luís Capitão-Mor: 
Existe o campo de haircuts no Loan Tape (HRCT_MV), contudo, o mesmo é referente a IFRS9 (segundo o guia do Loan Tape Estrutural da Corporação). Portanto, como o SRB não refere nada relativamente a IFRS9 então não vamos considerar haircuts.
old:
Se typ_scrd (campo ID 0070) = 'Secured'  reportar lt004_protection.prtctn_vl
Se typ_scrd (campo ID 0070) = 'Unsecured' reportar 999999999999999 (valor default N/A para numérico definido pelo SRB)
Nota: terá de ser sempre um campo novo pois o campo prtctn_vl já foi solicitado noutro campo deste report.
</t>
  </si>
  <si>
    <t>crrnt_value_prtctn
Campo novo (se bem que existe o prtctn_vl)</t>
  </si>
  <si>
    <t>8</t>
  </si>
  <si>
    <t>Collateral</t>
  </si>
  <si>
    <t>Guarantee trigger</t>
  </si>
  <si>
    <t>Provide the type(s) of event(s) triggering the activation of the guarantee / financial support, i.e. the event(s) enabling the right for the counterparty to execute the guarantee, choosing from:
• Default;
• Solvency-related;
• Liquidity-related;
• Other than default, solvency-related or liquidity-related.
In case of multiple entries, please separate them with a vertical bar.</t>
  </si>
  <si>
    <t xml:space="preserve">
</t>
  </si>
  <si>
    <t>out_b0500_guarantees.0090_guarantee_trggr</t>
  </si>
  <si>
    <t xml:space="preserve">Valor fixo 'Default'
</t>
  </si>
  <si>
    <t xml:space="preserve">Reunião 2025-09-08 Luís Capitão-Mor, Pedro Mendes:
- Sugere-se reportar valor fixo 'Default' para este campo. No entanto, se a futuro se identificar a necessidade de se alterar este valor para algum registo, deverá recorrer-se ao novo desenvolvimento estrutural anteriormente mencionado no campo Governing law e no documento funcional MBDT Estrutura v1.0, que permitirá alterar de 'Default' para um dos seguintes valores possíveis (code-list SRB): 'Solvency-related', 'Liquidity-related', 'Other than default, solvency-related or liquidity-related'
- Identificaram-se as seguintes referências a Default/Insolvency no documento LMA Trade Confirmation Risk Participation (exemplo Auto-Estradas XXI):
 -"2.1 Notice of Default
(a) If any amont which falls due from an Obligor at any time during the relevant Risk Period and which is referred to in Clause 2.2 (Included Amounts) is not received and applied by the Grantor in full when due, the Grantor may notify the Participant accordingly."
 -"15.  Termination
(c) If an Insolvency Event occurs in respect of the Grantor, the Participant may at any time after the occurrence of that Insolvency Event deliver a termination notice to the Grantor and the Risk Participation shall be terminated on and with effect from the date specified in such termination notice."
</t>
  </si>
  <si>
    <t>trigger_prtctn
Campo novo</t>
  </si>
  <si>
    <t>9</t>
  </si>
  <si>
    <t>Legal maturity date of the collateral</t>
  </si>
  <si>
    <t>0100</t>
  </si>
  <si>
    <t>Date of the legal, final maturity of the collateral.</t>
  </si>
  <si>
    <t xml:space="preserve">lt004_protection.dt_mtrty_prtctn </t>
  </si>
  <si>
    <t>out_b0500_guarantees.0100_dt_mtrty_clltrl</t>
  </si>
  <si>
    <t>dt_mtrty_prtctn
Campo já existente na lt004_protection</t>
  </si>
  <si>
    <t>10</t>
  </si>
  <si>
    <t>Identifier of the securities used as a collateral for the guarantee</t>
  </si>
  <si>
    <t>0110</t>
  </si>
  <si>
    <t>Identification number of the securities used as collateral for the guarantee. In the event of multiple entries, please separate them with a vertical bar.</t>
  </si>
  <si>
    <t>out_b0500_guarantees.0110_scrts_clltrl_id</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</si>
  <si>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Como o ISIN não consta na lt004_protection, e dado que no descritivo do campo não referem explicitamente que querem o ISIN (dado que falam apenas em "Identification number") então optou-se por mapear com o prtctn_id que é também composto pelo ISIN.
old:
Se lt004_protection.typ_prtctn ='12' (Securities) reportar lt004_protection.prtctn_id 
Se lt004_protection.typ_prtctn &lt;&gt;'12' reportar 'Not applicable' 
</t>
  </si>
  <si>
    <t>id_security_clltrl
Campo novo</t>
  </si>
  <si>
    <t>11</t>
  </si>
  <si>
    <t>Securities</t>
  </si>
  <si>
    <t>Type of collateralization</t>
  </si>
  <si>
    <t>Specify the type of collateral as defined in Article 12g(3)(f) SRMR and Article 197 CRR.</t>
  </si>
  <si>
    <t>out_b0500_guarantees.0120_typ_clltrlztn</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</si>
  <si>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Nota: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t>
  </si>
  <si>
    <t>typ_collateral_12g3_srmr
Campo novo</t>
  </si>
  <si>
    <t>Indicate the type of value, choosing from the list below.
• Notional amount
• Fair value
• Market value
• Long-term sustainable value
• Other protection value</t>
  </si>
  <si>
    <t>out_b0500_guarantees.0130_typ_prtctn_vl</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</si>
  <si>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 Atualmente existe uma regra de conversão na lt829_regras_conversao que converte o código que sai no ambito 'PM' ('1', '2,' '3',...) nos respetivos descritivos que são solicitados no ambito 'SRB_VALUATION'  ('Fair value', 'Long-term sustainable value', 'Market value',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typ_prtctn_vl;
Se typ_scrd (campo ID 0070) = 'Unsecured' reportar 'Not applicable' (valor default N/A para string definido pelo SRB)
‣ Necessário criar novas parametrizações nas tabelas lt829_regras_conversao e lt830_conversoes, podendo as mesmas ser consultadas neste documento nas sheets:
     LT829 - filtrando por campo_conceito = 'TYP_PRTCTN_VL_MBDT' e regra_conversao = '1';
     LT830 - filtrando por segmento = 'ESTR' e campo_conceito = 'TYP_PRTCTN_VL_MBDT'.</t>
  </si>
  <si>
    <t>typ_prtctn_value
Campo já existente na lt004_protection</t>
  </si>
  <si>
    <t>Date of the valuation of the security</t>
  </si>
  <si>
    <t>The date on which the collateral was most recently estimated or valued before the reporting reference date.</t>
  </si>
  <si>
    <t>out_b0500_guarantees.0140_dt_vltn_scrty</t>
  </si>
  <si>
    <t xml:space="preserve">Valor fixo '0001-01-01' </t>
  </si>
  <si>
    <t>dt_prtctn_vl
Campo já existente na lt004_protection</t>
  </si>
  <si>
    <t>Protection valuation approach</t>
  </si>
  <si>
    <t>The type of collateral assessment to determine the value, choosing from the the list below.
• Mark-to-market valuation
• Counterparty estimation
• Creditor valuation
• Third party valuation</t>
  </si>
  <si>
    <t>out_b0500_guarantees.0150_prtctn_vltn_apprch</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</si>
  <si>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2025-06-11 Luís Capitão-Mor
- Nos ambitos 'PM' e 'SRB_VALUATION' este campo (prtctn_vltn_apprch ) tem também o valor '4' que corresponde a 'Other type of valuation'. Contudo, o SRB não deu esse valor como opção, mas por indicação de Luís Capitão-Mor vai considerar-se na mesma este valor dado que provavelmente tratou-se de um erro do SRB.
- Atualmente existe uma regra de conversão na lt829_regras_conversao que converte o código que sai no ambito 'PM' ('1', '2,' '3',...) nos respetivos descritivos que são solicitados no ambito 'SRB_VALUATION'  ('Counterparty estimation', 'Creditor valuation', 'Mark-to-market valuation',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prtctn_vltn_apprch;
 Se typ_scrd (campo ID 0070) = 'Unsecured' reportar 'Not applicable' (valor default N/A para string definido pelo SRB).
‣ Necessário criar novas parametrizaçôes nas tabelas lt829_regras_conversao e lt830_conversoes, podendo as mesmas ser consultadas neste documento nas sheets:
   LT829 - filtrando por campo_conceito = 'PRTCTN_VLTN_APPRCH_MBDT' e regra_conversao = '1';
   LT830 - filtrando por segmento = 'ESTR' e campo_conceito = 'PRTCTN_VLTN_APPRCH_MBDT'.</t>
  </si>
  <si>
    <t>PRTCTN_VLTN_APPRCH
Campo já existente na lt004_protection</t>
  </si>
  <si>
    <t>B90.00 - Counterparties: this tab includes data points related to counterparties of liabilities reported in B02.00, B03.00 and B04.00</t>
  </si>
  <si>
    <t>Estado preenchimento</t>
  </si>
  <si>
    <t>The unique number / primary key to identify the row items (the number must be an integer)._x000D_</t>
  </si>
  <si>
    <t>out_b9000_counterparties.0010_row_nmbr</t>
  </si>
  <si>
    <t>Sequenciador a implementar na tabela de output out_b9000_counterparties. 
Nota: A cada execução não deverão ser gerados Row numbers diferentes pelo que deverá ser feito um order by 0011_tab_origin, 0020_uniq_id_knwn_cntrprty.</t>
  </si>
  <si>
    <t>Reunião 2025-10-15 Luís Capitão-Mor, Pedro Mendes</t>
  </si>
  <si>
    <t>B9000</t>
  </si>
  <si>
    <t>Concluido</t>
  </si>
  <si>
    <t>Tab of origin</t>
  </si>
  <si>
    <t>0011</t>
  </si>
  <si>
    <t>Indicate, from the list of values, in which tab the liability to which the counterparty refers to is reported:
▪ B0200
▪ B0300
▪ B0400
▪ B0500</t>
  </si>
  <si>
    <t>out_b9000_counterparties.0011_tab_origin</t>
  </si>
  <si>
    <t>- Se registo do universo B0200: Reportar 'B0200'
 - Se registo do universo B0500: Reportar 'B0500'
Nota:
O processo que alimenta a tabela out_b9000_counterparties, será composto por duas sub-queries:
- Uma com universo B0200, em que se colocará valor fixo 'B0200' para todos os registos desta sub-query;
- Uma com universo B0500, em que se colocará valor fixo 'B0500' para todos os registos desta sub-query.</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</si>
  <si>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Reporting entities must ensure that for the instruments / liabilities reported in B02.00, B03.00, B04.00 and B05.00, a correspondence is guaranteed between this field and the identifiers reported in:
▪ B02.00 - c0030 (Unique identification number (known to the counterparty));
▪ B03.00 - c0010 (Unique identification number of the netting set known to the counterparty);
▪ B04.00 - c0010 (Unique identification number of the netting set known to the counterparty);
▪ B05.00 - c0020 (Unique (internal) identifier of the guarantee provided to the Non-Resolution Entity).</t>
  </si>
  <si>
    <t>out_b9000_counterparties.0020_uniq_id_knwn_cntrprty</t>
  </si>
  <si>
    <t>- Se registo do universo B0200: Reportar out_b0200_main_liabilities.0030_uniq_id_knwn_cntrprty
 - Se registo do universo B0500: Reportar out_b0500_guarantees.0020_uniq_id_guarantee
Nota:
O processo que alimenta a tabela out_b9000_counterparties, será composto por duas sub-queries:
- Uma com universo B0200, em que se reportará out_b0200_main_liabilities.0030_uniq_id_knwn_cntrprty para os registos desta sub-query;
- Uma com universo B0500, em que se reportará out_b0500_guarantees.0020_uniq_id_guarantee  para os registos desta sub-query.</t>
  </si>
  <si>
    <t>B0200</t>
  </si>
  <si>
    <t>Counterparty within the resolution group</t>
  </si>
  <si>
    <t>Indicate whether the counterparty of the (portion of) instrument/liability is:
• ‘Intragroup and intra-resolution group’ = to be used for counterparties that are both intragroup and part of the same resolution group (64);
• ‘Intragroup but not intra-resolution group’ = to be used for counterparties that are intragroup but not part of the same resolution group;
• ‘No’ = to be used for counterparties which are external to the group.
(64) - Resolution Group within the meaning of Article 2(1)(83b) BRRD</t>
  </si>
  <si>
    <t>lt003_entity.cntrprty_rsltn_grp</t>
  </si>
  <si>
    <t xml:space="preserve">O novo campo 'cntrprty_rsltn_grp' a criar na lt003_entity será populado a partir da parametrização a criar para este campo na tabela lt831_param_conceitos, podendo a mesma ser consultada neste documento na sheet 'LT831' filtrando por tabela_conceito = 'LT003_ENTITY' e campo_conceito = 'CNTRPRTY_RSLTN_GRP'.  Esta parametrização irá basear-se em 2 campos: 
Campo 1 - 'flg_intrgrp' (para a classificação 'Intragroup'):
Apesar do report MBDT ser para o Perímetro Individual Local (que não tem intragrupos por definição), neste campo do MBDT o conceito de "Intragroup" é na óptica do perímetro Santander IFRS.
Para tal, deverá criar-se um campo nativo 'flg_intrgrp' para poder ser utilizado na lt831_param_conceitos. A lógica de preenchimento do campo deverá ser:
flg_intrgrp=  '1' no caso dos seguintes zclientes:
select zcliente
from
(SELECT * FROM cd_captools.clientes_intragrupo WHERE data_date_part = '${date}') intragrupo 
INNER JOIN	
(SELECT *  FROM cd_captools.perimetro	WHERE data_date_part = '${date}' AND espanha_ifrs IN ('x', 'B')) perimetro 
ON intragrupo.consoles = perimetro.cod_espana
flg_intrgrp=  '0' no caso de outros zclientes 
Nota: Este campo 'flg_intrgrp' não deverá ser criado na lt003_entity dado que não se identificou necessidade de utilização futura
Campo 2 - 'flg_intr_rsltn_grp' (para a classificação 'Intra-resolution group’):
Deverá parametrizar-se um campo intermédio 'flg_intr_rsltn_grp' na lt831_param_conceitos, podendo o mesmo ser consultado neste documento na sheet 'LT831' filtrando por campo_conceito = 'FLG_INTR_RSLTN_GRP'. 
Nota: Não se justifica definir este campo para todos os zclientes dos 7 Grupos de Resolução, optou-se por definir apenas para os zclientes do Grupo de Resolução do BST. </t>
  </si>
  <si>
    <t>out_b9000_counterparties.0030_cntrprty_rsltn_grp</t>
  </si>
  <si>
    <t>Reunião 2025-10-24 Luís Capitão-Mor, Pedro Mendes
Reunião 2025-10-15 Luís Capitão-Mor, Pedro Mendes
Segundo email da Corporação (email Pedro Mendes 2025-05-14), no caso do zcliente = '0000000000', reportar valor fixo 'No'.</t>
  </si>
  <si>
    <t>lt003_entity</t>
  </si>
  <si>
    <t>cntrprty_resol_group</t>
  </si>
  <si>
    <t>Counterparty name</t>
  </si>
  <si>
    <t>When available, indicate the name of the counterparty/investor/creditor. When deemed relevant to ensure compliance with GDPR requirements, in case of natural persons the name of the counterparty shall be anonymised by the reporting entity. For deposits reported on an aggregate level, please indicate ‘Aggregated’.</t>
  </si>
  <si>
    <t>lt003_entity.entty_nm</t>
  </si>
  <si>
    <t>out_b9000_counterparties.0040_cntrprty_nm</t>
  </si>
  <si>
    <t>Se lt003_entity.entty_id &lt;&gt; '0000000000' or lt003_entity.prsn_typ  &lt;&gt; 'N': Reportar lt003_entity.entty_nm
Caso Contrário: Reportar 'Not applicable'.</t>
  </si>
  <si>
    <t>Reunião 2025-10-16 Luís Capitão-Mor, Pedro Mendes:
É referido pelo SRB que no caso de Natural Persons deve-se mascarar o nome do Cliente, como tal optou-se por colocar 'Not applicable' nestes Clientes (bem como no zcliente '0000000000').
Segundo email da Corporação (email Pedro Mendes 2025-05-14), no caso do zcliente = '0000000000', reportar valor fixo 'Not applicable'.</t>
  </si>
  <si>
    <t xml:space="preserve">entty_nm
</t>
  </si>
  <si>
    <t>Counterparty identifier (preferably LEI)</t>
  </si>
  <si>
    <t>Please report the creditor’s LEI code (when available), issued by the Global Legal Entity Identifier Foundation and recommended by the FSB (65). In the absence of an LEI, for banks, the ECB Monetary Financial Institutions identifier (MFI ID) used in RIAD should be reported. For the deposits reported on an aggregate level, this data point is not applicable. When deemed relevant to ensure compliance with GDPR requirements, in case of natural persons the identifier of the counterparty shall be anonymised by the reporting entity. For deposits reported on an aggregate level, please indicate ‘Aggregated’.
(65) - See also ESRB/2020/12 Recommendation B. When using the LEI as an identified counterparty, please ensure that the same LEI for the same counterparty is consistently used throughout the template</t>
  </si>
  <si>
    <t>lt003_entity.lei 
lt003_entity.entty_id</t>
  </si>
  <si>
    <t>out_b9000_counterparties.0050_cntrprty_lei</t>
  </si>
  <si>
    <t>- Se trim(lt003_entity.lei) &lt;&gt; '' ou trim(lt003_entity.lei) &lt;&gt; 'N/A', (lei preenchido): lt003_entity.lei 
 - Se trim(lt003_entity.lei)    = '' ou trim(lt003_entity.lei)   = 'N/A', (lei não preenchido): lt003_entity.entty_id
 - Se lt003_entity.entty_id = '0000000000': 'Not applicable'.
Nota: 
Atualmente quando o campo clei da ct003_univ_cli está com '#' é colocado 'N/A' no campo lei da lt003_entity.
Deverá constar na lt804_conf_dflt: 
campo not_applic_val='N/A', quando campo_lt='LEI', tabela_lt='LT003_ENTITY', ambito='SRB_MBDT' e segmento='ESTR'.</t>
  </si>
  <si>
    <t>Reunião 2025-10-16 Luís Capitão-Mor, Pedro Mendes:
No campo abaixo "Type of counterparty identifier" é referido "if other identifiers are reported, please provide a short description", como tal, depreende-se que quando não existe LEI nem MFI IF pode-se reportar outro identificador. 
Dado que não se tem o MFI ID, então optou-se por colocar o entty_id quando não se tem o código LEI.
Segundo email da Corporação (email Pedro Mendes 2025-05-14), no caso do zcliente = '0000000000', reportar valor fixo 'Not applicable'.</t>
  </si>
  <si>
    <t>lei
se não tiver preenchido entty_id</t>
  </si>
  <si>
    <t>Type of counterparty identifier</t>
  </si>
  <si>
    <t>Free text, to indicate what type of identifier has been used in data point c0050. E.g. if the identifier is an LEI, please input ‘LEI’; if the identifier is an MFI, please input ‘MFI’; if other identifiers are reported, please provide a short description. For deposits reported on an aggregate level, please indicate ‘Aggregated’</t>
  </si>
  <si>
    <t>lt003_entity.lei
lt003_entity.entty_id</t>
  </si>
  <si>
    <t>out_b9000_counterparties.0060_typ_cntrprty_id</t>
  </si>
  <si>
    <t>- Se trim(lt003_entity.lei) &lt;&gt; '' ou trim(lt003_entity.lei) &lt;&gt; 'N/A', (lei preenchido): 'LEI'
 - Se trim(lt003_entity.lei)    = '' ou trim(lt003_entity.lei)   = 'N/A', (lei não preenchido): 'Internal identifier' 
 - Se lt003_entity.entty_id = '0000000000': 'Not applicable'.</t>
  </si>
  <si>
    <t>Reunião 2025-10-16 Luís Capitão-Mor, Pedro Mendes
Segundo email da Corporação (email Pedro Mendes 2025-05-14), no caso do zcliente = '0000000000', reportar valor fixo 'Not applicable'.</t>
  </si>
  <si>
    <t>typ_instrmnt_id_knwn_cntrprty
lei ou o intern ident</t>
  </si>
  <si>
    <t>Internal identifier of the counterparty</t>
  </si>
  <si>
    <t>The unique internal identifier of the counterparty. For deposits reported on an aggregate level, please indicate ‘Aggregated’.</t>
  </si>
  <si>
    <t>lt003_entity.entty_id
lt004_protection.prtctn_prvdr_id</t>
  </si>
  <si>
    <t>out_b9000_counterparties.0070_cntrprty_id</t>
  </si>
  <si>
    <t>- Se registo do universo B0200: Reportar lt003_entity.entty_id
 - Se registo do universo B0500: Reportar lt004_protection.prtctn_prvdr_id
Se lt003_entity.entty_id = '0000000000': 'Not applicable'.
Nota:
O processo que alimenta a tabela out_b9000_counterparties, será composto por duas sub-queries:
- Uma com universo B0200, em que se reportará lt003_entity.entty_id para os registos desta sub-query;
- Uma com universo B0500, em que se reportará lt004_protection.prtctn_prvdr_id para os registos desta sub-query.</t>
  </si>
  <si>
    <t>entty_id</t>
  </si>
  <si>
    <t>Counterparty type</t>
  </si>
  <si>
    <t>Indicate the type of counterparty, as per the categories listed below:
• Households;
• Micro &amp; SME;
• Corporates;
• Institutions;
• Other financial corporations;
• Insurance firms &amp; pension funds;
• Government, central banks &amp; supranationals;
• Non identified, listed on an exchange platform;
• Non identified, not listed on an exchange platform.</t>
  </si>
  <si>
    <t>out_b9000_counterparties.0080_cntrprty_typ</t>
  </si>
  <si>
    <t>Por iniciar</t>
  </si>
  <si>
    <t xml:space="preserve">Criar novo campo e criar a respetiva parametrização na lt831 com os seguintes atributos:
- intrnl_smg
- sme_fnrp18
-institutional_sector
• Insurance firms &amp; pension funds deveriam ser ordem 1
. sme_fnrp18= Y then Micro &amp; SME ordem 2:  ;
ntrnl_smg: outras empresas nao financeiras ordem 3
ntrnl_smg=particulares ordem 4
ntrnl_smg=instituicoes de credito
 ordem 5
outras empresas nao financeiras
ordem 6
setor publico
 e bancos centrais
 ordem 7
o que falta ordem 8
</t>
  </si>
  <si>
    <t>Country of the counterparty</t>
  </si>
  <si>
    <t xml:space="preserve">ISO 3166-1 </t>
  </si>
  <si>
    <t>Indicate the ISO 3166-1 alpha-2 code of the home state of the counterparty. If unavailable, it may be replaced by the tax residence of the counterparty. If the liability is held by an international/supranational organisation, such as the European Union or the European Central Bank, please enter ‘XX’. For deposits reported on an aggregate level, please indicate ‘XX’.</t>
  </si>
  <si>
    <t>Input "99"</t>
  </si>
  <si>
    <t>lt003_entity.cntry</t>
  </si>
  <si>
    <t>out_b9000_counterparties.0090_cntry_cntrprty</t>
  </si>
  <si>
    <t xml:space="preserve">Reunião 2025-10-16 Luís Capitão-Mor, Pedro Mendes
Segundo email da Corporação (email Pedro Mendes 2025-05-14), no caso do zcliente = '0000000000', reportar valor fixo '99'. </t>
  </si>
  <si>
    <t>cntry</t>
  </si>
  <si>
    <t>For counterparties holding liabilities reported in tab B02.00, please indicate the amount held as portion of the amount reported in field c0130 of tab B02.00 (Relevant amount for Bail-in/WDC). 
For counterparties holding liabilities reported in tab B03.00, please indicate the amount held as portion of the amount reported in field c0110 of tab B03.00 (Estimated early termination amount). 
For counterparties holding liabilities reported in tab B04.00, please indicate the amount held as portion of the amount reported in field c0080 of tab B04.00 (Estimated early termination amount). 
For counterparties of guarantees reported in tab B05.00, please indicate the amount held as portion of the amount reported in field c0060 of tab B05.00 (Maximum amount of the guarantee).</t>
  </si>
  <si>
    <t xml:space="preserve">lt005_instr_ent.otstndng_prncpl_amnt
lt005_instr_ent.prtn_amnt_rprtng_entty
lt005_instr_ent.accrd_intrst_instrmnt
lt006_instr_prot.prtctn_allctd_vl
</t>
  </si>
  <si>
    <t>out_b9000_counterparties.0100_rlvnt_amnt_wdc</t>
  </si>
  <si>
    <t>- Se registo do universo B0200: 
Reportar o seguinte cálculo: lt005_instr_ent.otstndng_prncpl_amnt - lt005_instr_ent.prtn_amnt_rprtng_entty + lt005_instr_ent.accrd_intrst_instrmnt
- Se registo do universo B0500: 
Reportar lt006_instr_prot.prtctn_allctd_vl</t>
  </si>
  <si>
    <t>Reunião 2025-10-28 Luís Capitão-Mor, Pedro Mendes, Luísa Sousa</t>
  </si>
  <si>
    <t>grss_crryng_amnt_instrmnt</t>
  </si>
  <si>
    <r>
      <rPr>
        <sz val="11"/>
        <color theme="1"/>
        <rFont val="Calibri"/>
        <family val="2"/>
        <scheme val="minor"/>
      </rPr>
      <t xml:space="preserve">Tabela </t>
    </r>
    <r>
      <rPr>
        <i/>
        <sz val="11"/>
        <color theme="1"/>
        <rFont val="Calibri"/>
        <family val="2"/>
        <scheme val="minor"/>
      </rPr>
      <t>Output</t>
    </r>
  </si>
  <si>
    <t>B05.00</t>
  </si>
  <si>
    <t>prtctn_allctd_vl</t>
  </si>
  <si>
    <t>flg_scrd</t>
  </si>
  <si>
    <t>lt006_instr_prot</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</si>
  <si>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</si>
  <si>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</si>
  <si>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</si>
  <si>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</si>
  <si>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</si>
  <si>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</si>
  <si>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</si>
  <si>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</si>
  <si>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</si>
  <si>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</si>
  <si>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</si>
  <si>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</si>
  <si>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</si>
  <si>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</si>
  <si>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out_b0500_guarantees</t>
  </si>
  <si>
    <t>B90.00</t>
  </si>
  <si>
    <t>cntrprty_rsltn_grp</t>
  </si>
  <si>
    <t>entty_nm</t>
  </si>
  <si>
    <t>lei</t>
  </si>
  <si>
    <t>prtctn_prvdr_id</t>
  </si>
  <si>
    <t>cntrprty_typ</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</si>
  <si>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</si>
  <si>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</si>
  <si>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</si>
  <si>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</si>
  <si>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</si>
  <si>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</si>
  <si>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</si>
  <si>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</si>
  <si>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</si>
  <si>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</si>
  <si>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out_b9000_counterparties</t>
  </si>
  <si>
    <r>
      <t xml:space="preserve">Status </t>
    </r>
    <r>
      <rPr>
        <b/>
        <sz val="11"/>
        <color theme="1"/>
        <rFont val="Calibri"/>
        <family val="2"/>
        <scheme val="minor"/>
      </rPr>
      <t>Testes</t>
    </r>
  </si>
  <si>
    <t xml:space="preserve">Não Concluído </t>
  </si>
  <si>
    <t>A. Novos Campos</t>
  </si>
  <si>
    <t>B1. Re-especificação de campos de Sindicados</t>
  </si>
  <si>
    <t>B2. Re-especificação de outros campos</t>
  </si>
  <si>
    <t>C. Campos em testes ou c/ incidências</t>
  </si>
  <si>
    <t>D. Campos com NOK controlos Corporativos</t>
  </si>
  <si>
    <t xml:space="preserve">E. Campos com outras possíveis alterações - Dependente de decisões OSI </t>
  </si>
  <si>
    <t>F1. Fora âmbito | Campos concluídos - Sem necessidade de espec.</t>
  </si>
  <si>
    <t>F2. Fora âmbito | Campos em testes ou c/ incidências (LT - PM)</t>
  </si>
  <si>
    <t>F3. Fora âmbito | Fonte manual LF</t>
  </si>
  <si>
    <t>F4. Fora âmbito | Re-especificação de campos complexos - Dem. Fin. CIB</t>
  </si>
  <si>
    <t>Resumo de Testes</t>
  </si>
  <si>
    <t>Semana Atual</t>
  </si>
  <si>
    <t>Loan Tape</t>
  </si>
  <si>
    <t>Total</t>
  </si>
  <si>
    <t>Streams</t>
  </si>
  <si>
    <r>
      <rPr>
        <sz val="11"/>
        <color theme="1"/>
        <rFont val="Santander Text"/>
        <family val="2"/>
      </rPr>
      <t xml:space="preserve">Tabela </t>
    </r>
    <r>
      <rPr>
        <i/>
        <sz val="11"/>
        <color theme="1"/>
        <rFont val="Santander Text"/>
        <family val="2"/>
      </rPr>
      <t>Output</t>
    </r>
  </si>
  <si>
    <t xml:space="preserve">Concluídos </t>
  </si>
  <si>
    <t>Highlights</t>
  </si>
  <si>
    <t>Com Incidências.</t>
  </si>
  <si>
    <t>Com Incidências</t>
  </si>
  <si>
    <t>∆</t>
  </si>
  <si>
    <r>
      <rPr>
        <b/>
        <i/>
        <sz val="11"/>
        <color theme="1"/>
        <rFont val="Santander Text"/>
        <family val="2"/>
      </rPr>
      <t>Status</t>
    </r>
    <r>
      <rPr>
        <b/>
        <sz val="11"/>
        <color theme="1"/>
        <rFont val="Santander Text"/>
        <family val="2"/>
      </rPr>
      <t xml:space="preserve"> (campos)</t>
    </r>
  </si>
  <si>
    <t>Pendente de desenvolv.</t>
  </si>
  <si>
    <t>Tabela Output</t>
  </si>
  <si>
    <t>Tipo de Controlo</t>
  </si>
  <si>
    <t>Nível I</t>
  </si>
  <si>
    <t>Nível II</t>
  </si>
  <si>
    <t xml:space="preserve">#Controlos Totais </t>
  </si>
  <si>
    <t>#Controlos OK</t>
  </si>
  <si>
    <t>#Controlos NOK</t>
  </si>
  <si>
    <t>Formatos</t>
  </si>
  <si>
    <t>High Severity</t>
  </si>
  <si>
    <t>Warning</t>
  </si>
  <si>
    <t>Reunião 2025-09-24 Luís Capitão-Mor, Pedro Mendes:
Segundo Pedro Mendes, neste campo deve reportar-se o mesmo que é reportado no Outstanding amount (0120). 
O Outstanding amount (0120) é a Soma de 3 campos: Outstanding principal amount (0080) + Accrued interest (0100) + Applicable fees and charges (0110).
Não se deve reportar o Outstanding principal amount (0040) dado que não contém juros, e segundo Pedro Mendes em caso de resolução os juros devem ser considerados (apesar de na definição não ser referido pelo SRB que se pretende juros), como tal, deve apontar-se para o Outstanding amount (0120), que contém juros. O Outstanding amount (0120) também contém Applicable fees and charges (0110), mas esse campo conterá valor fixo 0.</t>
  </si>
  <si>
    <t>Reunião 2025-10-30/2025-10-28 Luís Capitão-Mor, Pedro Mendes, Luísa Sousa
Reunião 2025-10-22 Luís Capitão-Mor, Pedro Mendes, Carlos Daniel:
Tipicamente o que é renda fixa (ex: Obrigações) é em Valor Nominal e o que é renda variável (ex: Ações) é em Unidades/Quantidade.
Nota: O Papel Comercial (produto  113) também deverá ser considerado 'Nominal'</t>
  </si>
  <si>
    <t xml:space="preserve">Number of securities outstanding not held by the reporting entity= 0080 / 0370
0080 -&gt; Outstanding principal amount 
0370 -&gt; Denomination / Nominal value per security in EUR 
</t>
  </si>
  <si>
    <t>Number of securities outstanding held by the reporting entity= 0090 / 0370
0090 -&gt; Portion of instrument or liability held by the reporting entity 
0370 -&gt; Denomination / Nominal value per security in EUR</t>
  </si>
  <si>
    <t>Reunião 2025-10-30 Luís Capitão-Mor, Pedro Mendes, Luísa Sousa:
Dividir Portion of instrument or liability held by the reporting entity (0090) pelo Denomination / Nominal value per security in EUR (0370)</t>
  </si>
  <si>
    <t>Accrued interest per security= 0100 / 0390
0100 -&gt; Accrued interest 
0390 -&gt; Number of securities outstanding not held by the reporting entity</t>
  </si>
  <si>
    <t>Not applicable</t>
  </si>
  <si>
    <t>Não aplicável</t>
  </si>
  <si>
    <t>#Controlos por justificar</t>
  </si>
  <si>
    <t>#Controlos justificados</t>
  </si>
  <si>
    <r>
      <rPr>
        <sz val="10"/>
        <color theme="1"/>
        <rFont val="Calibri"/>
        <family val="2"/>
      </rPr>
      <t>Type of protection value</t>
    </r>
    <r>
      <rPr>
        <sz val="10"/>
        <color theme="1"/>
        <rFont val="Cambria"/>
        <family val="1"/>
      </rPr>
      <t xml:space="preserve"> </t>
    </r>
  </si>
  <si>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2025-06-06 Luís Capitão-Mor, Pedro Mendes, Luísa Sousa
O data point refere "Date of the valuation of the security", contudo, como na description refere "...which the collateral...", decidiu-se que vamos interpretar este campo com base em colateral (e não em security).
old:
Se typ_scrd (campo ID 0070) = 'Secured' reportar dt_prtctn_vl;
Se typ_scrd (campo ID 0070) = 'Unsecured' reportar '0001-01-01' (valor default N/A para data definido pelo SRB)
Aguarda-se resposta ao Email enviado a Pedro Mendes 2025-06-16 16:15:
Pedro Mendes deverá questionar Corporação relativamente à regra de Not applicable referida acima. Contudo, segundo o SRB este campo não prevê Not applicable (coluna F).</t>
  </si>
  <si>
    <t>lt003_entity.cntrprty_typ</t>
  </si>
  <si>
    <t>lt003_entity.cntry
Se lt003_entity.entty_id = '0000000000', reportar '99'.</t>
  </si>
  <si>
    <r>
      <rPr>
        <sz val="10"/>
        <color rgb="FF000000"/>
        <rFont val="Calibri"/>
        <family val="2"/>
      </rPr>
      <t xml:space="preserve">Relevant amount for </t>
    </r>
    <r>
      <rPr>
        <strike/>
        <sz val="10"/>
        <color rgb="FF000000"/>
        <rFont val="Calibri"/>
        <family val="2"/>
      </rPr>
      <t>Bail-in</t>
    </r>
    <r>
      <rPr>
        <sz val="10"/>
        <color rgb="FF000000"/>
        <rFont val="Calibri"/>
        <family val="2"/>
      </rPr>
      <t>/WDC</t>
    </r>
  </si>
  <si>
    <t>Controlos</t>
  </si>
  <si>
    <t>0260_grntd_min_amnt_strctrd_prdct</t>
  </si>
  <si>
    <t>Controlo</t>
  </si>
  <si>
    <t>Issues</t>
  </si>
  <si>
    <t>Tipo</t>
  </si>
  <si>
    <t>Field</t>
  </si>
  <si>
    <t>lvl1</t>
  </si>
  <si>
    <t>0310_flg_clltrl_agrmnts</t>
  </si>
  <si>
    <t>lvl2</t>
  </si>
  <si>
    <t>frmt</t>
  </si>
  <si>
    <t>-</t>
  </si>
  <si>
    <t>0490_rgstrr</t>
  </si>
  <si>
    <t>Com incidências</t>
  </si>
  <si>
    <t>x</t>
  </si>
  <si>
    <t>Rever</t>
  </si>
  <si>
    <t>Tabela</t>
  </si>
  <si>
    <t>Campo</t>
  </si>
  <si>
    <t>Testes Corridos (#)</t>
  </si>
  <si>
    <t>Data de Referência</t>
  </si>
  <si>
    <t>% de Missings</t>
  </si>
  <si>
    <t>% de N/A</t>
  </si>
  <si>
    <t>Comentário</t>
  </si>
  <si>
    <t>0200_DT_ERLST_RDMPTN</t>
  </si>
  <si>
    <t>NULL</t>
  </si>
  <si>
    <t>Necessita de ajuste?
(2025-10-31 vs 2025-11-14)</t>
  </si>
  <si>
    <t>NÃO</t>
  </si>
  <si>
    <t>SIM</t>
  </si>
  <si>
    <t>Reunião 2025-10-30 Luís Capitão-Mor, Pedro Mendes, Luísa Sousa:
Dividir Outstanding principal amount (0080) pelo Denomination / Nominal value per security in EUR (0370) 
Reunião 2025-08-04 Luís Capitão-Mor, Pedro Mendes, Luísa Sousa:
Segundo Pedro Mendes, aqui pede-se a quantidade.
Segundo Luís Capitão-Mor, verificar se nos campos acima de montante existe algum que só tenha o nominal atual excluindo as recompras próprias, mas com tudo o resto.
Exemplo: 
Emissão inicial de uma Titularização de 1000 Milhões de Eur
Atualmente, temos 900 Milhões de Eur (devido ao pool factor de 0,9).
Desses 900 Milhões de Eur:
- 50 Milhões de Eur foram recomprados pelo próprio BST 
- 100 Milhões de Eur estão no Banco Santander SA
- 750 Milhões de Eur estão no Mercado
Ou seja, tem de se identificar se nos campos existentes se existe algum que tenha os 850 Milhões de Eur.
O cálculo do campo "Number of securities outstanding not held by the reporting entity" deverá ser feito dividindo esse campo acima pelo valor nominal...</t>
  </si>
  <si>
    <t>Reunião 2025-10-30 Luís Capitão-Mor, Pedro Mendes, Luísa Sousa:
A contabilidade não tem juros corridos sobre o que está recomprado. Por exemplo, no caso de uma Emissão de 1000 Milhões eur, em que 100 Milhões eur estão recomprados pelo BST e 900 Milhões eur estão no Mercado, os juros corridos que estão registados na Contabilidade são apenas sobre os 900 Milhões eur, os 100 Milhões eur não têm juros corridos. No limite, se dos 1000 Milhões eur emitidos estivessem 1000 Milhões eur recomprados, não haveria juros corridos. Carlos Fernandes confirmou este entendimento (email Carlos Fernandes 05/11/2025 11:28)
Portanto, a fórmula deste campo deverá ser o Accrued interest a dividir pela quantidade excluindo as recompras, ou seja, neste exemplo a quantidade deverá ser sobre os 900 Milhões eur e não sobre os 1000 Milhões eur. Em suma, a fórmula deverá ser:
Accrued interest (0100) / Number of securities outstanding not held by the reporting entity (0390) 
old:
Reunião 2025-09-22 Luís Capitão-Mor, Pedro Mendes, Luísa Sousa:
1) Ver se na bloomberg (ou algum site que a Financeira usa) constam estes títulos e ver o accrued interest que lá está. Ou com a Cláudia no Asset Control.
-&gt; Segundo Pedro Mendes, na Financeira o que existe atualmente é apenas o excel da Contabilidade com as Emissões.
-&gt; Segundo Cláudia Correia, "não existe. O Asset Control só tem preços puros de mercado"</t>
  </si>
  <si>
    <t>Dado que inclui Juros</t>
  </si>
  <si>
    <t>Reunião 2025-11-04 Luís Capitão-Mor:
O SRB está a solicitar a data de vencimento do Colateral e não a data de vencimento da Garantia (referem "collateral" e não "guarantee").
Colateral (ex: uma casa, um título, ...) tipicamente é Real, não se fala de Colateral para se referir a uma Garantia Pessoal, as Garantias Pessoais não são Reais. 
No caso do BST só existem atualmente Garantias Pessoais recebidas de clientes intragrupo Santander (não existem Garantias Reais, onde se aplica o conceito de Colateral), portanto, no caso das Garantias Pessoais é esperado reportar '0001-01-01' (Not applicable). 
Sendo assim, deve apontar-se para o campo lt004_protection.dt_mtrty_prtctn, que atualmente já sai a '0001-01-01' (Not applicable) no caso das Garantias Pessoais (a pedido da Corporação no âmbito do LT Estrutural) e se no futuro entrarem Garantias Reais (ex: um bem imóvel) o campo vem naturalmente preenchido. 
Outra hipótese seria preencher este campo com valor fixo '0001-01-01' (Not applicable) diretamente na tabela final (out_b0500_guarantees), contudo, não ficaria preparado para a situação futura de entrarem Garantias Reais pelo que não se optou por esta hipótese.
OLD:
Reunião 2025-10-09 Luís Capitão-Mor, Pedro Mendes:
-Caminho 1: Contactar Equipa do LT da Corporação e perguntar se o campo DT_MTRTY_PRTCTN poderia passar a ser preenchido para Garantias Pessoais. Atualmente está a ser preenchido com 1111-11-11 (N/A) para Garantias Pessoais, conforme solicitado no Guia da Corporação: "This field does not apply for personal guarantees, please report “1111-11-11".  -&gt; Segundo Luísa Sousa 2025-11-04, "a resposta da corporação é que não, não faz sentido colocar data"
-Caminho 2 (Se caminho 1 não for possível): Colocar este campo igual à data de vencimento da responsabilidade (ou seja a data de maturidade que consta na lt002) -&gt; vamos assumir que é igual
Reunião 2025-06-11 Luís Capitão-Mor, Pedro Mendes:
Vamos considerar a data de maturidade da garantia (dt_mtrty_prtctn) apesar da descrição referir a data do colateral (estas 2 datas podem ser distintas).
Ex:
Empréstimo a 5 anos que tem como colateral (penhor) um DP que vence a 3 anos. Nesse caso, a data de maturidade do colateral não é 5 anos mas sim os 3 anos.</t>
  </si>
  <si>
    <t xml:space="preserve">Necessário criar nova parametrização na tabela lt831_param_conceitos podendo a mesma ser consultada neste documento na sheet 'LT831' filtrando por tabela_conceito = 'LT003_ENTITY' e campo_conceito = 'CNTRPRTY_TYP'. 
A parametrização irá basear-se nos campos INTRNL_SGMNT (proveniente da lt003_entity), INSTITUTIONAL_SECTOR (proveniente da lt003_entity) e ENTRPRS_SZ_LE (proveniente da lt003_entity).
</t>
  </si>
  <si>
    <t>Reunião 2025-10-31 Luís Capitão-Mor, Pedro Mendes, Luísa Sousa:
Definida a parametrização a constar na lt831_param_conceitos. Em princípio, ficará tudo mapeado, portanto, não se adicionou à parametrização o valor "Non identified, listed on an exchange platform". No limite, se houver algum registo que não fique mapeado, entrará no valor "Non identified, not listed on an exchange platform" (última linha da parametrização).
Com esta parametrização, garante-se também o requisito de reportar o valor "Non identified, not listed on an exchange platform" no caso do do zcliente = '0000000000' (última linha da parametrização).
Segundo email da Corporação (email Pedro Mendes 2025-05-14), no caso do zcliente = '0000000000', reportar valor fixo "Non identified, not listed on an exchange platform".</t>
  </si>
  <si>
    <t>Número de Registos ID2&amp;9 (#)</t>
  </si>
  <si>
    <t>Status
Tecnologia</t>
  </si>
  <si>
    <t>Status
Testes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</si>
  <si>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</si>
  <si>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</si>
  <si>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</si>
  <si>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</si>
  <si>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</si>
  <si>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</si>
  <si>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</si>
  <si>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</si>
  <si>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</si>
  <si>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</si>
  <si>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</si>
  <si>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</si>
  <si>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</si>
  <si>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</si>
  <si>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</si>
  <si>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</si>
  <si>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</si>
  <si>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</si>
  <si>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</si>
  <si>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</si>
  <si>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</si>
  <si>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</si>
  <si>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</si>
  <si>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</si>
  <si>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</si>
  <si>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</si>
  <si>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</si>
  <si>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</si>
  <si>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</si>
  <si>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</si>
  <si>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</si>
  <si>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</si>
  <si>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</si>
  <si>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</si>
  <si>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</si>
  <si>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</si>
  <si>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</si>
  <si>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</si>
  <si>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</si>
  <si>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</si>
  <si>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</si>
  <si>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</si>
  <si>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</si>
  <si>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</si>
  <si>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</si>
  <si>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</si>
  <si>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</si>
  <si>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</si>
  <si>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</si>
  <si>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</si>
  <si>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</si>
  <si>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</si>
  <si>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</si>
  <si>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</si>
  <si>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</si>
  <si>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</si>
  <si>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</si>
  <si>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</si>
  <si>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</si>
  <si>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</si>
  <si>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</si>
  <si>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</si>
  <si>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</si>
  <si>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</si>
  <si>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</si>
  <si>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</si>
  <si>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</si>
  <si>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</si>
  <si>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</si>
  <si>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</si>
  <si>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</si>
  <si>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</si>
  <si>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</si>
  <si>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</si>
  <si>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</si>
  <si>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</si>
  <si>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</si>
  <si>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</si>
  <si>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</si>
  <si>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</si>
  <si>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</si>
  <si>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</si>
  <si>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</si>
  <si>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</si>
  <si>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</si>
  <si>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</si>
  <si>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</si>
  <si>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</si>
  <si>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</si>
  <si>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</si>
  <si>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</si>
  <si>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</si>
  <si>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</si>
  <si>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</si>
  <si>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</si>
  <si>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</si>
  <si>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</si>
  <si>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</si>
  <si>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</si>
  <si>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</si>
  <si>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</si>
  <si>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</si>
  <si>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</si>
  <si>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LT001</t>
  </si>
  <si>
    <t>FLAG_GAR_INTRG_SAN</t>
  </si>
  <si>
    <t>FLAG_INST_CAP</t>
  </si>
  <si>
    <t>FLAG_INST_DIV</t>
  </si>
  <si>
    <t>FLAG_INST_TITULOS</t>
  </si>
  <si>
    <t>LT002</t>
  </si>
  <si>
    <t>ACCNTNG_CLSSFCTN</t>
  </si>
  <si>
    <t>ACCRD_INTRST_INSTRMNT</t>
  </si>
  <si>
    <t>AMNT_SCRTY_EUR</t>
  </si>
  <si>
    <t>AMNT_SCRTY_FX</t>
  </si>
  <si>
    <t>CRRNCY_DNMNTN</t>
  </si>
  <si>
    <t>CRRYNG_AMNT_INSTRMNT</t>
  </si>
  <si>
    <t>CSD</t>
  </si>
  <si>
    <t>CSD_LEI</t>
  </si>
  <si>
    <t>DT_INCPTN</t>
  </si>
  <si>
    <t>DT_LGL_FNL_MTRTY</t>
  </si>
  <si>
    <t>DT_NXT_INTRST_PYMNT</t>
  </si>
  <si>
    <t>ELGBL_AMNT_OWN_FNDS_INDVDL_LVL</t>
  </si>
  <si>
    <t>GOVERNING_LAW</t>
  </si>
  <si>
    <t>INSTRMNT_ID</t>
  </si>
  <si>
    <t>ISIN</t>
  </si>
  <si>
    <t>ORGNL_AMNT_EUR</t>
  </si>
  <si>
    <t>ORGNL_AMNT_FX</t>
  </si>
  <si>
    <t>PYNG_AGNT</t>
  </si>
  <si>
    <t>PYNG_AGNT_LEI</t>
  </si>
  <si>
    <t>RANK_INSOLV</t>
  </si>
  <si>
    <t>TRDNG_MTHD</t>
  </si>
  <si>
    <t>TYP_INSTRMNT</t>
  </si>
  <si>
    <t>TYP_OWN_FNDS_INDVDL_LVL</t>
  </si>
  <si>
    <t>LT003</t>
  </si>
  <si>
    <t>CNTRPRTY_RSLTN_GRP</t>
  </si>
  <si>
    <t>CNTRPRTY_TYP</t>
  </si>
  <si>
    <t>CNTRY</t>
  </si>
  <si>
    <t>ENTTY_ID</t>
  </si>
  <si>
    <t>ENTTY_NM</t>
  </si>
  <si>
    <t>LEI</t>
  </si>
  <si>
    <t>PRSN_TYP</t>
  </si>
  <si>
    <t>LT004</t>
  </si>
  <si>
    <t>DT_MTRTY_PRTCTN</t>
  </si>
  <si>
    <t>FLG_SCRD</t>
  </si>
  <si>
    <t>PRTCTN_ID</t>
  </si>
  <si>
    <t>PRTCTN_PRVDR_ID</t>
  </si>
  <si>
    <t>LT005</t>
  </si>
  <si>
    <t>OTSTNDNG_PRNCPL_AMNT</t>
  </si>
  <si>
    <t>PRTN_AMNT_RPRTNG_ENTTY</t>
  </si>
  <si>
    <t>LT006</t>
  </si>
  <si>
    <t>PRTCTN_ALLCTD_VL</t>
  </si>
  <si>
    <t>2025-10-31</t>
  </si>
  <si>
    <t>Sem aplicabilidade</t>
  </si>
  <si>
    <t>CHAVE</t>
  </si>
  <si>
    <t>Table</t>
  </si>
  <si>
    <t>b0500_lvl2_h_0030_governing_law</t>
  </si>
  <si>
    <t>b05.00</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</si>
  <si>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</si>
  <si>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</si>
  <si>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</si>
  <si>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</si>
  <si>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</si>
  <si>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</si>
  <si>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</si>
  <si>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</si>
  <si>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</si>
  <si>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</si>
  <si>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</si>
  <si>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</si>
  <si>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</si>
  <si>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</si>
  <si>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</si>
  <si>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</si>
  <si>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</si>
  <si>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b0500_frmt_0150_prtctn_vltn_apprch</t>
  </si>
  <si>
    <t>b0200_lvl1_h_0010_row_nmbr</t>
  </si>
  <si>
    <t>b02.00</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</si>
  <si>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</si>
  <si>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</si>
  <si>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</si>
  <si>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</si>
  <si>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</si>
  <si>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</si>
  <si>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</si>
  <si>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</si>
  <si>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</si>
  <si>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</si>
  <si>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</si>
  <si>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</si>
  <si>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</si>
  <si>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</si>
  <si>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</si>
  <si>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</si>
  <si>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</si>
  <si>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</si>
  <si>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</si>
  <si>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</si>
  <si>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</si>
  <si>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</si>
  <si>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</si>
  <si>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</si>
  <si>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</si>
  <si>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</si>
  <si>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</si>
  <si>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</si>
  <si>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</si>
  <si>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</si>
  <si>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</si>
  <si>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</si>
  <si>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</si>
  <si>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</si>
  <si>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</si>
  <si>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</si>
  <si>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</si>
  <si>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</si>
  <si>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b0200_lvl2_h_0070_cntrct_crrncy</t>
  </si>
  <si>
    <t>b0200_lvl2_h_0030_uniq_id_knwn_cntrprty</t>
  </si>
  <si>
    <t>b0200_lvl2_w_0080_otstndng_prncpl_amnt</t>
  </si>
  <si>
    <t>b0200_lvl2_h_0090_prtn_amnt_rprtng_entty</t>
  </si>
  <si>
    <t>b0200_lvl2_w_0100_accrd_intrst_instrmnt</t>
  </si>
  <si>
    <t>b0200_lvl2_w_0110_applcbl_fees_charges</t>
  </si>
  <si>
    <t>b0200_lvl2_h_0140_ntr_lblty</t>
  </si>
  <si>
    <t>b0200_lvl2_h_0160_rank_insolv</t>
  </si>
  <si>
    <t>b0200_lvl2_h_0220_governing_law</t>
  </si>
  <si>
    <t>b0200_lvl2_h_0230_bail_in_rcgntn_cls</t>
  </si>
  <si>
    <t>b0200_lvl2_h_0250_strctrd_prdct</t>
  </si>
  <si>
    <t>b0200_lvl2_h_0310_flg_clltrl_agrmnts</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</si>
  <si>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</si>
  <si>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</si>
  <si>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</si>
  <si>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</si>
  <si>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</si>
  <si>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</si>
  <si>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</si>
  <si>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</si>
  <si>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</si>
  <si>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</si>
  <si>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</si>
  <si>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</si>
  <si>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</si>
  <si>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</si>
  <si>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</si>
  <si>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</si>
  <si>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</si>
  <si>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</si>
  <si>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</si>
  <si>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</si>
  <si>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</si>
  <si>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</si>
  <si>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</si>
  <si>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b0200_frmt_0150_flg_strctrlly_sbrdntd</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</si>
  <si>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</si>
  <si>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</si>
  <si>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</si>
  <si>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</si>
  <si>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</si>
  <si>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</si>
  <si>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</si>
  <si>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</si>
  <si>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</si>
  <si>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</si>
  <si>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</si>
  <si>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</si>
  <si>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</si>
  <si>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</si>
  <si>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</si>
  <si>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</si>
  <si>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</si>
  <si>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</si>
  <si>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</si>
  <si>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</si>
  <si>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</si>
  <si>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</si>
  <si>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</si>
  <si>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</si>
  <si>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</si>
  <si>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</si>
  <si>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</si>
  <si>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</si>
  <si>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</si>
  <si>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</si>
  <si>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</si>
  <si>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</si>
  <si>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</si>
  <si>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</si>
  <si>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</si>
  <si>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</si>
  <si>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</si>
  <si>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</si>
  <si>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</si>
  <si>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</si>
  <si>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</si>
  <si>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</si>
  <si>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</si>
  <si>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</si>
  <si>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</si>
  <si>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</si>
  <si>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</si>
  <si>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</si>
  <si>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</si>
  <si>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</si>
  <si>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</si>
  <si>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</si>
  <si>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</si>
  <si>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</si>
  <si>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</si>
  <si>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</si>
  <si>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</si>
  <si>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</si>
  <si>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</si>
  <si>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</si>
  <si>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</si>
  <si>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</si>
  <si>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</si>
  <si>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b0200_frmt_5000_flg_shrhldr_not_rsltn_grp</t>
  </si>
  <si>
    <t>b0200_frmt_5010_flg_art21_7a_srmr</t>
  </si>
  <si>
    <t>b9000_lvl1_h_0030_cntrprty_rsltn_grp</t>
  </si>
  <si>
    <t>b90.00</t>
  </si>
  <si>
    <t>b9000_lvl2_h_0030_cntrprty_rsltn_grp</t>
  </si>
  <si>
    <t>b9000_lvl2_h_0080_cntrprty_typ</t>
  </si>
  <si>
    <t>b9000_lvl2_h_0090_cntry_cntrprty</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</si>
  <si>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</si>
  <si>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</si>
  <si>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</si>
  <si>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</si>
  <si>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</si>
  <si>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</si>
  <si>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</si>
  <si>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</si>
  <si>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</si>
  <si>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</si>
  <si>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</si>
  <si>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dt_nxt_intrst_pymnt</t>
  </si>
  <si>
    <t>lt001_univ_oper</t>
  </si>
  <si>
    <t>Número de Registos ID1 (#)</t>
  </si>
  <si>
    <t>ID Exec 1</t>
  </si>
  <si>
    <t>1 Erros de Coerência (#)</t>
  </si>
  <si>
    <t>ID Exec 2</t>
  </si>
  <si>
    <t>2 Erros de Valores Admitidos (#)</t>
  </si>
  <si>
    <t>ID Exec 3</t>
  </si>
  <si>
    <t>3 Erros de Caract Especiais (#)</t>
  </si>
  <si>
    <t>ID Exec 4</t>
  </si>
  <si>
    <t>4 Registos com Missing (#)</t>
  </si>
  <si>
    <t>ID Exec 5</t>
  </si>
  <si>
    <t>5 Registos com N/A (#)</t>
  </si>
  <si>
    <t>6 Valor Mínimo</t>
  </si>
  <si>
    <t>7 Valor Máximo</t>
  </si>
  <si>
    <t>8 Controlos Regulamentares (#)</t>
  </si>
  <si>
    <t>9 Controlos de Formatos (#)</t>
  </si>
  <si>
    <t>2025-11-21 10:53:04.259811000</t>
  </si>
  <si>
    <t>31641600000000000PTBSREOM0028000</t>
  </si>
  <si>
    <t>31641600005800007PTSTOCOM0007000</t>
  </si>
  <si>
    <t>PTBSRDOM0037</t>
  </si>
  <si>
    <t>PTSTOHOM0002</t>
  </si>
  <si>
    <t>7599000.00</t>
  </si>
  <si>
    <t>1391779674.00</t>
  </si>
  <si>
    <t>999999999999999.00</t>
  </si>
  <si>
    <t>EUR</t>
  </si>
  <si>
    <t>0.00</t>
  </si>
  <si>
    <t xml:space="preserve">20/11 Campo da LT que alimenta este também está com problemas </t>
  </si>
  <si>
    <t>Title of ownership</t>
  </si>
  <si>
    <t xml:space="preserve">20/11 Campo typ_instrmnt (LT) que alimenta este também está com problemas </t>
  </si>
  <si>
    <t>1992-01-05</t>
  </si>
  <si>
    <t>2025-05-29</t>
  </si>
  <si>
    <t>2026-10-06</t>
  </si>
  <si>
    <t>2069-01-14</t>
  </si>
  <si>
    <t xml:space="preserve">20/11 Campo dt_lgl_fnl_mtrty (LT002) que alimenta este também está com problemas </t>
  </si>
  <si>
    <t>PT</t>
  </si>
  <si>
    <t>Yes, supported by Legal Opinion</t>
  </si>
  <si>
    <t>No ZCB</t>
  </si>
  <si>
    <t>Non-structured/Vanilla</t>
  </si>
  <si>
    <t>FALSE</t>
  </si>
  <si>
    <t>1.00</t>
  </si>
  <si>
    <t>100000.00</t>
  </si>
  <si>
    <t>0.0000</t>
  </si>
  <si>
    <t>999999999999999.0000</t>
  </si>
  <si>
    <t>-9999.999999999</t>
  </si>
  <si>
    <t>INTERBOLSA_PT</t>
  </si>
  <si>
    <t>529900LG70TCAGWCXT47</t>
  </si>
  <si>
    <t>BANCO SANTANDER TOTTA S.A.</t>
  </si>
  <si>
    <t>549300URJH9VSI58CS32</t>
  </si>
  <si>
    <t>CET1</t>
  </si>
  <si>
    <t xml:space="preserve">20/11 Campo typ_own_funds_indvdl_lvl  (LT002) que alimenta este também está com problemas </t>
  </si>
  <si>
    <t>1256723284.00</t>
  </si>
  <si>
    <t>7639597.40</t>
  </si>
  <si>
    <t>1372632707.59</t>
  </si>
  <si>
    <t>110 Financial liabilities at amortized cost</t>
  </si>
  <si>
    <t>300 Total equity</t>
  </si>
  <si>
    <t>TRUE</t>
  </si>
  <si>
    <t>2025-11-21 08:02:29.632832000</t>
  </si>
  <si>
    <t>4730</t>
  </si>
  <si>
    <t>31000000000000000962304890482490P_0000_00000000000_000006511000505</t>
  </si>
  <si>
    <t>89000020240000766V0050000C2745I3P_0000_00000000000_000003461004226</t>
  </si>
  <si>
    <t>Counterparty</t>
  </si>
  <si>
    <t>1348.25</t>
  </si>
  <si>
    <t>25251428.85</t>
  </si>
  <si>
    <t>Default</t>
  </si>
  <si>
    <t>0000003686</t>
  </si>
  <si>
    <t>0</t>
  </si>
  <si>
    <t>20/11 - Campo com 6 casas decimais na simulação.</t>
  </si>
  <si>
    <t>-1372632707.59</t>
  </si>
  <si>
    <t>40366166.42</t>
  </si>
  <si>
    <t>2025-10-13</t>
  </si>
  <si>
    <t>31000000000000000962304890482490</t>
  </si>
  <si>
    <t>89000020240000766V0050000C2745I3</t>
  </si>
  <si>
    <t>BR</t>
  </si>
  <si>
    <t>0000000000</t>
  </si>
  <si>
    <t>8046309205</t>
  </si>
  <si>
    <t>AUTO-ESTRADAS XXI-SUBCONCESSIONARIA TRANSMONTANA SA</t>
  </si>
  <si>
    <t>VENTOS DO SEIXO AMARELO ENERGIAS RENOVAVEIS S A</t>
  </si>
  <si>
    <t>213800KJCGV5D6QLZH29</t>
  </si>
  <si>
    <t>dt_mtrty_prtctn</t>
  </si>
  <si>
    <t xml:space="preserve">21/11 - Falta a parametrização </t>
  </si>
  <si>
    <t>prsn_typ</t>
  </si>
  <si>
    <t>Resumo de Controlos</t>
  </si>
  <si>
    <t>h</t>
  </si>
  <si>
    <t>f</t>
  </si>
  <si>
    <t>w</t>
  </si>
  <si>
    <t>Justificação</t>
  </si>
  <si>
    <t>#Controlos Em Curso</t>
  </si>
  <si>
    <t>b0200_lvl2_h_0120_otstndng_amnt_1</t>
  </si>
  <si>
    <t>b0200_lvl2_h_0120_otstndng_amnt_2</t>
  </si>
  <si>
    <t>b0200_lvl2_h_0130_rlvnt_amnt_wdc_1</t>
  </si>
  <si>
    <t>b0200_lvl2_h_0130_rlvnt_amnt_wdc_2</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</si>
  <si>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</si>
  <si>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</si>
  <si>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</si>
  <si>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</si>
  <si>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</si>
  <si>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</si>
  <si>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</si>
  <si>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</si>
  <si>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b0200_lvl2_h_0330_amnt_unclltrlzd_1</t>
  </si>
  <si>
    <t>b0200_lvl2_h_0330_amnt_unclltrlzd_2</t>
  </si>
  <si>
    <t>b0200_lvl2_h_0350_typ_clltrl_1</t>
  </si>
  <si>
    <t>b0200_lvl2_h_0350_typ_clltrl_2</t>
  </si>
  <si>
    <t>IT coloca valor fixo de '1111-11-11', em vez de '0001-01-01'.</t>
  </si>
  <si>
    <t>Status IT</t>
  </si>
  <si>
    <t>0310_FLG_CLLTRL_AGRMNTS</t>
  </si>
  <si>
    <t>20/11 Campo dt_lgl_fnl_mtrty (LT002) que alimenta este também está com problemas 
28/11 Alterar na tabela origem ct610</t>
  </si>
  <si>
    <t>Status Controlo</t>
  </si>
  <si>
    <t>Valor fixo 'Not applicable' no campo Nature of the liability (if other), uma vez que todos os registos são considerados no campo Nature of the liability como "Title of ownership" ou "Registered Bond", não existinto "other".</t>
  </si>
  <si>
    <t>Valor fixo 'Not applicable' de acordo com o Anexo III - considerado não aplicável para non-resolution entities.</t>
  </si>
  <si>
    <t>Valor fixo 'Not applicable' no campo Balance sheet item at Resolution entity level according to national GAAP, uma vez que o BST é uma non-resolution entity e no caso de Portugal, usa-se o IFRS e não o national GAAP.</t>
  </si>
  <si>
    <t>Valor fixo 'Not applicable' no campo Type of protection value, uma vez que para o BST só existem garantias pessoais recebidas de clientes intragrupo Santander,ou seja, não existem garantias reais, onde se aplica o conceito de colateral.</t>
  </si>
  <si>
    <t>Valor 'Not applicable' justificados</t>
  </si>
  <si>
    <t xml:space="preserve">Valor '99' de não aplicável no campo Country of the counterparty, segundo email da Corporação (email Pedro Mendes 2025-05-14), no caso do zcliente = '0000000000', reportar valor fixo '99'. </t>
  </si>
  <si>
    <t>1385452938.00</t>
  </si>
  <si>
    <t>Nominal</t>
  </si>
  <si>
    <t>Unit</t>
  </si>
  <si>
    <t>BANCO SANTANDER BRASIL S.A.</t>
  </si>
  <si>
    <t>SANTANDER CONSUMER FINANCE S A - SUCURSAL EM PORTUGAL</t>
  </si>
  <si>
    <t>549300D1H731B30TSI43</t>
  </si>
  <si>
    <t>Institutions</t>
  </si>
  <si>
    <t>Non identified, not listed on an exchange platform</t>
  </si>
  <si>
    <t>2 registos com ',' justificados</t>
  </si>
  <si>
    <t>99</t>
  </si>
  <si>
    <t>27/11 Missing de acordo com a especificação funcional</t>
  </si>
  <si>
    <t>Corporates</t>
  </si>
  <si>
    <t>2 registos com caracteres especiais justificados</t>
  </si>
  <si>
    <t>P_0000_00000000000_000000000003686</t>
  </si>
  <si>
    <t>P_0000_00000000000_000008000363614</t>
  </si>
  <si>
    <t>8000363614</t>
  </si>
  <si>
    <t>1762761.00</t>
  </si>
  <si>
    <t>1383690177.00</t>
  </si>
  <si>
    <t>2 em curso - dependem do B99.00</t>
  </si>
  <si>
    <t>OK</t>
  </si>
  <si>
    <t>NOK - Justificados</t>
  </si>
  <si>
    <t>NOK - Por justificar</t>
  </si>
  <si>
    <t>#Controlos Por Iniciar (Pendente IT)</t>
  </si>
  <si>
    <r>
      <rPr>
        <b/>
        <i/>
        <sz val="11"/>
        <color theme="1"/>
        <rFont val="Santander Text"/>
        <family val="2"/>
      </rPr>
      <t>Status</t>
    </r>
    <r>
      <rPr>
        <b/>
        <sz val="11"/>
        <color theme="1"/>
        <rFont val="Santander Text"/>
        <family val="2"/>
      </rPr>
      <t xml:space="preserve"> (Controlos)</t>
    </r>
  </si>
  <si>
    <t>Por iniciar (Pendente IT)</t>
  </si>
  <si>
    <t>2099-01-31</t>
  </si>
  <si>
    <t>0001-01-01</t>
  </si>
  <si>
    <t>No</t>
  </si>
  <si>
    <t>Valor fixo 'Not applicable' no campo Central securities depository name (if other), uma vez que todos os registos são considerados no campo Central securities depository name como "INTERBOLSA_PT", não existinto "other".</t>
  </si>
  <si>
    <t>STATUS T-1</t>
  </si>
  <si>
    <t>JUSTIFICAÇÃO T-1</t>
  </si>
  <si>
    <r>
      <rPr>
        <b/>
        <i/>
        <sz val="11"/>
        <color theme="1"/>
        <rFont val="Santander Text"/>
        <family val="2"/>
      </rPr>
      <t>Status</t>
    </r>
    <r>
      <rPr>
        <b/>
        <sz val="11"/>
        <color theme="1"/>
        <rFont val="Santander Text"/>
        <family val="2"/>
      </rPr>
      <t xml:space="preserve"> dos Controlos</t>
    </r>
  </si>
  <si>
    <t>3 em curso - dependem do B99.00</t>
  </si>
  <si>
    <t>2025-11-30</t>
  </si>
  <si>
    <t>2025-12-17 16:25:25.949278000</t>
  </si>
  <si>
    <t>17/11 - Presença de 1 duplicado na tabela</t>
  </si>
  <si>
    <t>6326736.00</t>
  </si>
  <si>
    <t>Registered Bond</t>
  </si>
  <si>
    <t>2025-12-17 18:33:00.704735000</t>
  </si>
  <si>
    <t>2025-12-17 16:46:29.321364000</t>
  </si>
  <si>
    <t>17/12 Caracteres especiais admitidos no campo (,)</t>
  </si>
  <si>
    <t>17/12 Caracteres especiais admitidos no campo (/)</t>
  </si>
  <si>
    <t>6326736</t>
  </si>
  <si>
    <t>17/12 Caracteres especiais admitidos no campo (_)</t>
  </si>
  <si>
    <t>Intragroup and intra-resolution group</t>
  </si>
  <si>
    <t>17/12 - campo ok (caracteres especiais advém do preenchimento do campo (INTERBOLSA_PT)</t>
  </si>
  <si>
    <t>17/12: 2 operações com incidência</t>
  </si>
  <si>
    <t>17/12: Campo ok (registos a NULL expectáveis - alinhado com LCM na reunião de dia 12/12)</t>
  </si>
  <si>
    <t>17/12: ver com João Gonçalves o que se pode fazer</t>
  </si>
  <si>
    <t>17/12: Presença de caracteres especiais no campo protection_ID (_), mas são admitidos</t>
  </si>
  <si>
    <t>High Severity (H)/ Warning (W)</t>
  </si>
  <si>
    <t>Aux ID8 (=8) E ID9 (=9)</t>
  </si>
  <si>
    <r>
      <rPr>
        <b/>
        <sz val="12"/>
        <color theme="1"/>
        <rFont val="Calibri"/>
        <family val="2"/>
        <scheme val="minor"/>
      </rPr>
      <t>Resumo semana atual:</t>
    </r>
    <r>
      <rPr>
        <sz val="12"/>
        <color theme="1"/>
        <rFont val="Calibri"/>
        <family val="2"/>
        <scheme val="minor"/>
      </rPr>
      <t xml:space="preserve">
Foram testados 5 campos - 1 da tabela de </t>
    </r>
    <r>
      <rPr>
        <i/>
        <sz val="12"/>
        <color theme="1"/>
        <rFont val="Calibri"/>
        <family val="2"/>
        <scheme val="minor"/>
      </rPr>
      <t>loan tape</t>
    </r>
    <r>
      <rPr>
        <sz val="12"/>
        <color theme="1"/>
        <rFont val="Calibri"/>
        <family val="2"/>
        <scheme val="minor"/>
      </rPr>
      <t xml:space="preserve"> e 4 da tabela de</t>
    </r>
    <r>
      <rPr>
        <i/>
        <sz val="12"/>
        <color theme="1"/>
        <rFont val="Calibri"/>
        <family val="2"/>
        <scheme val="minor"/>
      </rPr>
      <t xml:space="preserve"> output</t>
    </r>
    <r>
      <rPr>
        <sz val="12"/>
        <color theme="1"/>
        <rFont val="Calibri"/>
        <family val="2"/>
        <scheme val="minor"/>
      </rPr>
      <t xml:space="preserve">;
</t>
    </r>
    <r>
      <rPr>
        <b/>
        <sz val="12"/>
        <color theme="1"/>
        <rFont val="Calibri"/>
        <family val="2"/>
        <scheme val="minor"/>
      </rPr>
      <t xml:space="preserve">Tabela de </t>
    </r>
    <r>
      <rPr>
        <b/>
        <i/>
        <sz val="12"/>
        <color theme="1"/>
        <rFont val="Calibri"/>
        <family val="2"/>
        <scheme val="minor"/>
      </rPr>
      <t>Loan Tape</t>
    </r>
    <r>
      <rPr>
        <b/>
        <sz val="12"/>
        <color theme="1"/>
        <rFont val="Calibri"/>
        <family val="2"/>
        <scheme val="minor"/>
      </rPr>
      <t xml:space="preserve"> (lt005_instr_ent):</t>
    </r>
    <r>
      <rPr>
        <sz val="12"/>
        <color theme="1"/>
        <rFont val="Calibri"/>
        <family val="2"/>
        <scheme val="minor"/>
      </rPr>
      <t xml:space="preserve"> 
- 1 campo com incidências (prtn_amnt_rprtng_entty).
</t>
    </r>
    <r>
      <rPr>
        <b/>
        <sz val="12"/>
        <color theme="1"/>
        <rFont val="Calibri"/>
        <family val="2"/>
        <scheme val="minor"/>
      </rPr>
      <t xml:space="preserve">Tabela de </t>
    </r>
    <r>
      <rPr>
        <b/>
        <i/>
        <sz val="12"/>
        <color theme="1"/>
        <rFont val="Calibri"/>
        <family val="2"/>
        <scheme val="minor"/>
      </rPr>
      <t>Output</t>
    </r>
    <r>
      <rPr>
        <b/>
        <sz val="12"/>
        <color theme="1"/>
        <rFont val="Calibri"/>
        <family val="2"/>
        <scheme val="minor"/>
      </rPr>
      <t xml:space="preserve"> (out_B0200_main_liabilities): </t>
    </r>
    <r>
      <rPr>
        <sz val="12"/>
        <color theme="1"/>
        <rFont val="Calibri"/>
        <family val="2"/>
        <scheme val="minor"/>
      </rPr>
      <t xml:space="preserve">
Foram testados 4 campos:
-2 campos com incidências (0120_otstndng_amnt, 0130_rlvnt_amnt_wdc)
-2 campos sem incidências (0090_prtn_amnt_rprtng_entty, 0391_nmbr_scrts_rprtng_entty)
Adicionalmente, foram re-testadas 3 incidências que foram corrigidas pela equipa de IT (1 da tabela de output e 2 da tabela de loan tape). 2 destas incidências ficaram corrigidas (ID009 - typ_instrmnt e ID010 - 0140_ntr_lblty) e 1 mantém-se em aberto (ID028- otstndng_prncpl_amnt)
</t>
    </r>
  </si>
  <si>
    <r>
      <t xml:space="preserve">Resumo semana atual:
</t>
    </r>
    <r>
      <rPr>
        <sz val="12"/>
        <color theme="1"/>
        <rFont val="Calibri"/>
        <family val="2"/>
        <scheme val="minor"/>
      </rPr>
      <t>Sem alterações face à semana anterior, uma vez que não foram disponibilizados novos campos para teste</t>
    </r>
    <r>
      <rPr>
        <b/>
        <sz val="12"/>
        <color theme="1"/>
        <rFont val="Calibri"/>
        <family val="2"/>
        <scheme val="minor"/>
      </rPr>
      <t>.</t>
    </r>
  </si>
  <si>
    <r>
      <t xml:space="preserve">Resumo semana atual:
</t>
    </r>
    <r>
      <rPr>
        <sz val="12"/>
        <color theme="1"/>
        <rFont val="Calibri"/>
        <family val="2"/>
        <scheme val="minor"/>
      </rPr>
      <t xml:space="preserve">
Foram testados 3 campos - 1 da tabela de </t>
    </r>
    <r>
      <rPr>
        <i/>
        <sz val="12"/>
        <color theme="1"/>
        <rFont val="Calibri"/>
        <family val="2"/>
        <scheme val="minor"/>
      </rPr>
      <t>loan tape</t>
    </r>
    <r>
      <rPr>
        <sz val="12"/>
        <color theme="1"/>
        <rFont val="Calibri"/>
        <family val="2"/>
        <scheme val="minor"/>
      </rPr>
      <t xml:space="preserve"> e 2 da tabela de </t>
    </r>
    <r>
      <rPr>
        <i/>
        <sz val="12"/>
        <color theme="1"/>
        <rFont val="Calibri"/>
        <family val="2"/>
        <scheme val="minor"/>
      </rPr>
      <t>output</t>
    </r>
    <r>
      <rPr>
        <sz val="12"/>
        <color theme="1"/>
        <rFont val="Calibri"/>
        <family val="2"/>
        <scheme val="minor"/>
      </rPr>
      <t xml:space="preserve">;
</t>
    </r>
    <r>
      <rPr>
        <b/>
        <sz val="12"/>
        <color theme="1"/>
        <rFont val="Calibri"/>
        <family val="2"/>
        <scheme val="minor"/>
      </rPr>
      <t xml:space="preserve">Tabelas de </t>
    </r>
    <r>
      <rPr>
        <b/>
        <i/>
        <sz val="12"/>
        <color theme="1"/>
        <rFont val="Calibri"/>
        <family val="2"/>
        <scheme val="minor"/>
      </rPr>
      <t>Loan Tape</t>
    </r>
    <r>
      <rPr>
        <b/>
        <sz val="12"/>
        <color theme="1"/>
        <rFont val="Calibri"/>
        <family val="2"/>
        <scheme val="minor"/>
      </rPr>
      <t xml:space="preserve"> (lt003_entity): </t>
    </r>
    <r>
      <rPr>
        <sz val="12"/>
        <color theme="1"/>
        <rFont val="Calibri"/>
        <family val="2"/>
        <scheme val="minor"/>
      </rPr>
      <t xml:space="preserve">
- 1 campos testado e com incidências (cntrprty_rsltn_grp).
</t>
    </r>
    <r>
      <rPr>
        <b/>
        <sz val="12"/>
        <color theme="1"/>
        <rFont val="Calibri"/>
        <family val="2"/>
        <scheme val="minor"/>
      </rPr>
      <t xml:space="preserve">Tabela de </t>
    </r>
    <r>
      <rPr>
        <b/>
        <i/>
        <sz val="12"/>
        <color theme="1"/>
        <rFont val="Calibri"/>
        <family val="2"/>
        <scheme val="minor"/>
      </rPr>
      <t>Output</t>
    </r>
    <r>
      <rPr>
        <b/>
        <sz val="12"/>
        <color theme="1"/>
        <rFont val="Calibri"/>
        <family val="2"/>
        <scheme val="minor"/>
      </rPr>
      <t xml:space="preserve"> (out_B9000_counterparties): 
</t>
    </r>
    <r>
      <rPr>
        <sz val="12"/>
        <color theme="1"/>
        <rFont val="Calibri"/>
        <family val="2"/>
        <scheme val="minor"/>
      </rPr>
      <t xml:space="preserve">- 2 campos testados, que se encontram com incidências (0030_cntrprty_rsltn_grp, 0100_rlvnt_amnt_wdc)
</t>
    </r>
    <r>
      <rPr>
        <b/>
        <sz val="12"/>
        <color theme="1"/>
        <rFont val="Calibri"/>
        <family val="2"/>
        <scheme val="minor"/>
      </rPr>
      <t xml:space="preserve">
</t>
    </r>
  </si>
  <si>
    <r>
      <t xml:space="preserve">Resumo semana atual:
Equipa de tecnologia disponibilizou um total de 8 campos, bem como a correção de 3 incidências.
1. Certificação B02.00: </t>
    </r>
    <r>
      <rPr>
        <sz val="12"/>
        <color theme="1"/>
        <rFont val="Calibri"/>
        <family val="2"/>
        <scheme val="minor"/>
      </rPr>
      <t xml:space="preserve">Foram testados 5 campos disponibilizados pela equipa de IT - 1 da tabela de </t>
    </r>
    <r>
      <rPr>
        <i/>
        <sz val="12"/>
        <color theme="1"/>
        <rFont val="Calibri"/>
        <family val="2"/>
        <scheme val="minor"/>
      </rPr>
      <t>loan tape</t>
    </r>
    <r>
      <rPr>
        <sz val="12"/>
        <color theme="1"/>
        <rFont val="Calibri"/>
        <family val="2"/>
        <scheme val="minor"/>
      </rPr>
      <t xml:space="preserve"> e 4 da tabela de </t>
    </r>
    <r>
      <rPr>
        <i/>
        <sz val="12"/>
        <color theme="1"/>
        <rFont val="Calibri"/>
        <family val="2"/>
        <scheme val="minor"/>
      </rPr>
      <t xml:space="preserve">output. 
</t>
    </r>
    <r>
      <rPr>
        <sz val="12"/>
        <color theme="1"/>
        <rFont val="Calibri"/>
        <family val="2"/>
        <scheme val="minor"/>
      </rPr>
      <t xml:space="preserve">
Adicionalmente, foram re-testadas 3 incidências que foram corrigidas pela equipa de IT (1 da tabela de </t>
    </r>
    <r>
      <rPr>
        <i/>
        <sz val="12"/>
        <color theme="1"/>
        <rFont val="Calibri"/>
        <family val="2"/>
        <scheme val="minor"/>
      </rPr>
      <t xml:space="preserve">output </t>
    </r>
    <r>
      <rPr>
        <sz val="12"/>
        <color theme="1"/>
        <rFont val="Calibri"/>
        <family val="2"/>
        <scheme val="minor"/>
      </rPr>
      <t xml:space="preserve">e 2 da tabela de </t>
    </r>
    <r>
      <rPr>
        <i/>
        <sz val="12"/>
        <color theme="1"/>
        <rFont val="Calibri"/>
        <family val="2"/>
        <scheme val="minor"/>
      </rPr>
      <t>loan tape</t>
    </r>
    <r>
      <rPr>
        <sz val="12"/>
        <color theme="1"/>
        <rFont val="Calibri"/>
        <family val="2"/>
        <scheme val="minor"/>
      </rPr>
      <t>), tendo 2 campos ficado ok e 1 deles manteve-se com incidências.</t>
    </r>
    <r>
      <rPr>
        <i/>
        <sz val="12"/>
        <color theme="1"/>
        <rFont val="Calibri"/>
        <family val="2"/>
        <scheme val="minor"/>
      </rPr>
      <t xml:space="preserve">
</t>
    </r>
    <r>
      <rPr>
        <b/>
        <sz val="12"/>
        <color theme="1"/>
        <rFont val="Calibri"/>
        <family val="2"/>
        <scheme val="minor"/>
      </rPr>
      <t>2. Certificação B05.00:</t>
    </r>
    <r>
      <rPr>
        <i/>
        <sz val="12"/>
        <color theme="1"/>
        <rFont val="Calibri"/>
        <family val="2"/>
        <scheme val="minor"/>
      </rPr>
      <t xml:space="preserve"> </t>
    </r>
    <r>
      <rPr>
        <sz val="12"/>
        <color theme="1"/>
        <rFont val="Calibri"/>
        <family val="2"/>
        <scheme val="minor"/>
      </rPr>
      <t>Não foram disponibilizados novos campos por IT na entrega de 16/12.</t>
    </r>
    <r>
      <rPr>
        <b/>
        <sz val="12"/>
        <color theme="1"/>
        <rFont val="Calibri"/>
        <family val="2"/>
        <scheme val="minor"/>
      </rPr>
      <t xml:space="preserve">
3. Certificação B90.00: </t>
    </r>
    <r>
      <rPr>
        <sz val="12"/>
        <color theme="1"/>
        <rFont val="Calibri"/>
        <family val="2"/>
        <scheme val="minor"/>
      </rPr>
      <t xml:space="preserve">Foram testados 3 campos disponibilizados pela equipa de IT  - 1 da tabela de </t>
    </r>
    <r>
      <rPr>
        <i/>
        <sz val="12"/>
        <color theme="1"/>
        <rFont val="Calibri"/>
        <family val="2"/>
        <scheme val="minor"/>
      </rPr>
      <t>loan tape</t>
    </r>
    <r>
      <rPr>
        <sz val="12"/>
        <color theme="1"/>
        <rFont val="Calibri"/>
        <family val="2"/>
        <scheme val="minor"/>
      </rPr>
      <t xml:space="preserve"> e 2 da tabela de </t>
    </r>
    <r>
      <rPr>
        <i/>
        <sz val="12"/>
        <color theme="1"/>
        <rFont val="Calibri"/>
        <family val="2"/>
        <scheme val="minor"/>
      </rPr>
      <t xml:space="preserve">output. </t>
    </r>
    <r>
      <rPr>
        <sz val="12"/>
        <color theme="1"/>
        <rFont val="Calibri"/>
        <family val="2"/>
        <scheme val="minor"/>
      </rPr>
      <t>Estes 3 campos mantêm-se com incidências.</t>
    </r>
    <r>
      <rPr>
        <b/>
        <sz val="12"/>
        <color theme="1"/>
        <rFont val="Calibri"/>
        <family val="2"/>
        <scheme val="minor"/>
      </rPr>
      <t xml:space="preserve">
4. Controlos: </t>
    </r>
    <r>
      <rPr>
        <sz val="12"/>
        <color theme="1"/>
        <rFont val="Calibri"/>
        <family val="2"/>
        <scheme val="minor"/>
      </rPr>
      <t xml:space="preserve">Foram efetuados 18 novos controlos, um deles com incidências.
</t>
    </r>
    <r>
      <rPr>
        <b/>
        <sz val="12"/>
        <color theme="1"/>
        <rFont val="Calibri"/>
        <family val="2"/>
        <scheme val="minor"/>
      </rPr>
      <t xml:space="preserve">
5. Partilha de incidências: </t>
    </r>
    <r>
      <rPr>
        <sz val="12"/>
        <color theme="1"/>
        <rFont val="Calibri"/>
        <family val="2"/>
        <scheme val="minor"/>
      </rPr>
      <t xml:space="preserve">será partilhado formalmente durante o dia de hoje um novo ficheiro de incidências.
</t>
    </r>
    <r>
      <rPr>
        <b/>
        <sz val="12"/>
        <color theme="1"/>
        <rFont val="Calibri"/>
        <family val="2"/>
        <scheme val="minor"/>
      </rPr>
      <t xml:space="preserve">
Próxima semana:
</t>
    </r>
    <r>
      <rPr>
        <sz val="12"/>
        <color theme="1"/>
        <rFont val="Calibri"/>
        <family val="2"/>
        <scheme val="minor"/>
      </rPr>
      <t>- Receção de 2 campos da equipa de IT (entrega a 22 de Dezembro);</t>
    </r>
    <r>
      <rPr>
        <b/>
        <sz val="12"/>
        <color theme="1"/>
        <rFont val="Calibri"/>
        <family val="2"/>
        <scheme val="minor"/>
      </rPr>
      <t xml:space="preserve">
</t>
    </r>
    <r>
      <rPr>
        <sz val="12"/>
        <color theme="1"/>
        <rFont val="Calibri"/>
        <family val="2"/>
        <scheme val="minor"/>
      </rPr>
      <t xml:space="preserve">- Continuação da certificação dos campos da tabela de </t>
    </r>
    <r>
      <rPr>
        <i/>
        <sz val="12"/>
        <color theme="1"/>
        <rFont val="Calibri"/>
        <family val="2"/>
        <scheme val="minor"/>
      </rPr>
      <t xml:space="preserve">output </t>
    </r>
    <r>
      <rPr>
        <sz val="12"/>
        <color theme="1"/>
        <rFont val="Calibri"/>
        <family val="2"/>
        <scheme val="minor"/>
      </rPr>
      <t>para a totalidade do universo;
- Continuação da preparação do ficheiro final de controlos em ODBC.</t>
    </r>
    <r>
      <rPr>
        <b/>
        <sz val="12"/>
        <color theme="1"/>
        <rFont val="Calibri"/>
        <family val="2"/>
        <scheme val="minor"/>
      </rPr>
      <t xml:space="preserve">
</t>
    </r>
  </si>
  <si>
    <r>
      <t xml:space="preserve">Resumo semana atual:
</t>
    </r>
    <r>
      <rPr>
        <sz val="12"/>
        <color theme="1"/>
        <rFont val="Calibri"/>
        <family val="2"/>
        <scheme val="minor"/>
      </rPr>
      <t xml:space="preserve">Dos </t>
    </r>
    <r>
      <rPr>
        <b/>
        <sz val="12"/>
        <color theme="1"/>
        <rFont val="Calibri"/>
        <family val="2"/>
        <scheme val="minor"/>
      </rPr>
      <t>18 controlos</t>
    </r>
    <r>
      <rPr>
        <sz val="12"/>
        <color theme="1"/>
        <rFont val="Calibri"/>
        <family val="2"/>
        <scheme val="minor"/>
      </rPr>
      <t xml:space="preserve"> efetuados aos campos disponibilizados durante a presente semana, apenas 1 deles se econtra com incidências.
</t>
    </r>
    <r>
      <rPr>
        <b/>
        <sz val="12"/>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</si>
</sst>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theme="1"/>
      <name val="Calibri"/>
      <family val="2"/>
      <scheme val="minor"/>
    </font>
    <font>
      <b/>
      <sz val="11"/>
      <color theme="0"/>
      <name val="Santander Text"/>
      <family val="2"/>
    </font>
    <font>
      <i/>
      <sz val="11"/>
      <color theme="1"/>
      <name val="Calibri"/>
      <family val="2"/>
      <scheme val="minor"/>
    </font>
    <font>
      <b/>
      <i/>
      <sz val="11"/>
      <color theme="0"/>
      <name val="Santander Text"/>
      <family val="2"/>
    </font>
    <font>
      <sz val="11"/>
      <color theme="1"/>
      <name val="Santander Text"/>
      <family val="2"/>
    </font>
    <font>
      <b/>
      <sz val="11"/>
      <color theme="1"/>
      <name val="Calibri"/>
      <family val="2"/>
      <scheme val="minor"/>
    </font>
    <font>
      <sz val="10"/>
      <color theme="1"/>
      <name val="Santander Text"/>
      <family val="2"/>
    </font>
    <font>
      <b/>
      <sz val="10"/>
      <color theme="1"/>
      <name val="Santander Text"/>
      <family val="2"/>
    </font>
    <font>
      <b/>
      <sz val="10"/>
      <color rgb="FF000000"/>
      <name val="Santander Text"/>
      <family val="2"/>
    </font>
    <font>
      <sz val="10"/>
      <color rgb="FF000000"/>
      <name val="Calibri"/>
      <family val="2"/>
    </font>
    <font>
      <sz val="10"/>
      <color theme="1"/>
      <name val="Calibri"/>
      <family val="2"/>
      <scheme val="minor"/>
    </font>
    <font>
      <sz val="10"/>
      <color rgb="FF000000"/>
      <name val="Santander Text"/>
      <family val="2"/>
    </font>
    <font>
      <sz val="10"/>
      <color rgb="FFFF0000"/>
      <name val="Santander Text"/>
      <family val="2"/>
    </font>
    <font>
      <sz val="10"/>
      <color rgb="FFFF0000"/>
      <name val="Calibri"/>
      <family val="2"/>
    </font>
    <font>
      <sz val="11"/>
      <color rgb="FF000000"/>
      <name val="Calibri"/>
      <family val="2"/>
    </font>
    <font>
      <b/>
      <sz val="10"/>
      <name val="Calibri"/>
      <family val="2"/>
      <scheme val="minor"/>
    </font>
    <font>
      <sz val="10"/>
      <name val="Calibri"/>
      <family val="2"/>
      <scheme val="minor"/>
    </font>
    <font>
      <sz val="10"/>
      <color theme="1"/>
      <name val="Calibri"/>
      <family val="2"/>
    </font>
    <font>
      <sz val="10"/>
      <name val="Calibri"/>
      <family val="2"/>
    </font>
    <font>
      <b/>
      <i/>
      <sz val="11"/>
      <color theme="1"/>
      <name val="Calibri"/>
      <family val="2"/>
      <scheme val="minor"/>
    </font>
    <font>
      <sz val="11"/>
      <color theme="1"/>
      <name val="Calibri"/>
      <family val="2"/>
      <scheme val="minor"/>
    </font>
    <font>
      <sz val="11"/>
      <color theme="1"/>
      <name val="Calibri"/>
      <family val="2"/>
    </font>
    <font>
      <strike/>
      <sz val="10"/>
      <color rgb="FF000000"/>
      <name val="Calibri"/>
      <family val="2"/>
    </font>
    <font>
      <i/>
      <sz val="10"/>
      <color rgb="FF000000"/>
      <name val="Santander Text"/>
      <family val="2"/>
    </font>
    <font>
      <b/>
      <sz val="10"/>
      <color theme="1"/>
      <name val="Calibri"/>
      <family val="2"/>
      <scheme val="minor"/>
    </font>
    <font>
      <sz val="10"/>
      <name val="Santander Text"/>
      <family val="2"/>
    </font>
    <font>
      <b/>
      <sz val="11"/>
      <color theme="0"/>
      <name val="Calibri"/>
      <family val="2"/>
      <scheme val="minor"/>
    </font>
    <font>
      <b/>
      <sz val="11"/>
      <color theme="1"/>
      <name val="Santander Text"/>
      <family val="2"/>
    </font>
    <font>
      <sz val="10"/>
      <color theme="0"/>
      <name val="Santander Text"/>
      <family val="2"/>
    </font>
    <font>
      <sz val="11"/>
      <color theme="0"/>
      <name val="Santander Text"/>
      <family val="2"/>
    </font>
    <font>
      <b/>
      <sz val="11.5"/>
      <color theme="0"/>
      <name val="Santander Text"/>
      <family val="2"/>
    </font>
    <font>
      <b/>
      <sz val="11.5"/>
      <color theme="1"/>
      <name val="Santander Text"/>
      <family val="2"/>
    </font>
    <font>
      <i/>
      <sz val="11"/>
      <color theme="1"/>
      <name val="Santander Text"/>
      <family val="2"/>
    </font>
    <font>
      <sz val="11.5"/>
      <color theme="1"/>
      <name val="Santander Text"/>
      <family val="2"/>
    </font>
    <font>
      <b/>
      <i/>
      <sz val="11.5"/>
      <color theme="0"/>
      <name val="Santander Text"/>
      <family val="2"/>
    </font>
    <font>
      <b/>
      <i/>
      <u/>
      <sz val="11"/>
      <color theme="1"/>
      <name val="Santander Text"/>
      <family val="2"/>
    </font>
    <font>
      <b/>
      <sz val="12"/>
      <color theme="1"/>
      <name val="Calibri"/>
      <family val="2"/>
      <scheme val="minor"/>
    </font>
    <font>
      <b/>
      <sz val="14"/>
      <color theme="0"/>
      <name val="Santander Text"/>
      <family val="2"/>
    </font>
    <font>
      <b/>
      <sz val="12"/>
      <color theme="1"/>
      <name val="Aptos Narrow"/>
      <family val="2"/>
    </font>
    <font>
      <b/>
      <i/>
      <sz val="11"/>
      <color theme="1"/>
      <name val="Santander Text"/>
      <family val="2"/>
    </font>
    <font>
      <sz val="12"/>
      <color theme="1"/>
      <name val="Calibri"/>
      <family val="2"/>
      <scheme val="minor"/>
    </font>
    <font>
      <i/>
      <sz val="12"/>
      <color theme="1"/>
      <name val="Calibri"/>
      <family val="2"/>
      <scheme val="minor"/>
    </font>
    <font>
      <sz val="11"/>
      <color theme="1"/>
      <name val="Santander Text"/>
      <family val="2"/>
    </font>
    <font>
      <b/>
      <sz val="11.5"/>
      <color theme="1"/>
      <name val="Santander Text"/>
      <family val="2"/>
    </font>
    <font>
      <sz val="10"/>
      <color theme="1"/>
      <name val="Cambria"/>
      <family val="1"/>
    </font>
    <font>
      <sz val="11"/>
      <color theme="1"/>
      <name val="Calibri"/>
      <family val="2"/>
      <scheme val="minor"/>
    </font>
    <font>
      <b/>
      <sz val="11"/>
      <color theme="0"/>
      <name val="Santander Text"/>
      <family val="2"/>
    </font>
    <font>
      <b/>
      <sz val="11.5"/>
      <color theme="0"/>
      <name val="Santander Text"/>
      <family val="2"/>
    </font>
    <font>
      <sz val="11"/>
      <color theme="1"/>
      <name val="Santander Text"/>
      <family val="2"/>
    </font>
    <font>
      <sz val="11"/>
      <color theme="0"/>
      <name val="Santander Text"/>
      <family val="2"/>
    </font>
    <font>
      <b/>
      <sz val="11.5"/>
      <color theme="1"/>
      <name val="Santander Text"/>
      <family val="2"/>
    </font>
    <font>
      <b/>
      <i/>
      <sz val="11"/>
      <color theme="1"/>
      <name val="Santander Text"/>
      <family val="2"/>
    </font>
    <font>
      <i/>
      <sz val="11"/>
      <color theme="1"/>
      <name val="Santander Text"/>
      <family val="2"/>
    </font>
    <font>
      <b/>
      <sz val="10"/>
      <color theme="0"/>
      <name val="Arial"/>
      <family val="2"/>
    </font>
    <font>
      <sz val="10"/>
      <color theme="1"/>
      <name val="Arial"/>
      <family val="2"/>
    </font>
    <font>
      <sz val="11.5"/>
      <name val="Santander Text"/>
      <family val="2"/>
    </font>
    <font>
      <sz val="10"/>
      <name val="Santander Text"/>
      <family val="2"/>
    </font>
    <font>
      <b/>
      <i/>
      <sz val="12"/>
      <color theme="1"/>
      <name val="Calibri"/>
      <family val="2"/>
      <scheme val="minor"/>
    </font>
    <font>
      <sz val="11"/>
      <color rgb="FF006100"/>
      <name val="Calibri"/>
      <family val="2"/>
      <scheme val="minor"/>
    </font>
    <font>
      <sz val="11"/>
      <color theme="0"/>
      <name val="Calibri"/>
      <family val="2"/>
      <scheme val="minor"/>
    </font>
    <font>
      <sz val="10"/>
      <name val="Arial"/>
      <family val="2"/>
    </font>
    <font>
      <b/>
      <sz val="10"/>
      <color rgb="FF006100"/>
      <name val="Calibri"/>
      <family val="2"/>
      <scheme val="minor"/>
    </font>
    <font>
      <sz val="11"/>
      <color theme="0" tint="-4.9989318521683403E-2"/>
      <name val="Calibri"/>
      <family val="2"/>
      <scheme val="minor"/>
    </font>
    <font>
      <b/>
      <sz val="10"/>
      <color theme="0"/>
      <name val="Santander Text"/>
      <family val="2"/>
    </font>
    <font>
      <b/>
      <sz val="11.5"/>
      <color theme="0" tint="-0.14999847407452621"/>
      <name val="Santander Text"/>
      <family val="2"/>
    </font>
  </fonts>
  <fills count="26">
    <fill>
      <patternFill patternType="none"/>
    </fill>
    <fill>
      <patternFill patternType="gray125"/>
    </fill>
    <fill>
      <patternFill patternType="solid">
        <fgColor rgb="FF8CC1CE"/>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EB0000"/>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BFBFBF"/>
        <bgColor rgb="FF000000"/>
      </patternFill>
    </fill>
    <fill>
      <patternFill patternType="solid">
        <fgColor theme="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C00000"/>
        <bgColor indexed="64"/>
      </patternFill>
    </fill>
    <fill>
      <patternFill patternType="solid">
        <fgColor rgb="FF750000"/>
        <bgColor indexed="64"/>
      </patternFill>
    </fill>
    <fill>
      <patternFill patternType="solid">
        <fgColor rgb="FFFFE084"/>
        <bgColor indexed="64"/>
      </patternFill>
    </fill>
    <fill>
      <patternFill patternType="solid">
        <fgColor rgb="FFC0E2C2"/>
        <bgColor indexed="64"/>
      </patternFill>
    </fill>
    <fill>
      <patternFill patternType="solid">
        <fgColor rgb="FF63E2E9"/>
        <bgColor indexed="64"/>
      </patternFill>
    </fill>
    <fill>
      <patternFill patternType="solid">
        <fgColor theme="0" tint="-0.499984740745262"/>
        <bgColor indexed="64"/>
      </patternFill>
    </fill>
    <fill>
      <patternFill patternType="solid">
        <fgColor rgb="FFFF5959"/>
        <bgColor indexed="64"/>
      </patternFill>
    </fill>
    <fill>
      <patternFill patternType="solid">
        <fgColor theme="1" tint="0.499984740745262"/>
        <bgColor indexed="64"/>
      </patternFill>
    </fill>
    <fill>
      <patternFill patternType="solid">
        <fgColor rgb="FFFFF2CC"/>
        <bgColor indexed="64"/>
      </patternFill>
    </fill>
    <fill>
      <patternFill patternType="solid">
        <fgColor rgb="FFC6EFCE"/>
      </patternFill>
    </fill>
    <fill>
      <patternFill patternType="solid">
        <fgColor theme="9" tint="0.79998168889431442"/>
        <bgColor indexed="64"/>
      </patternFill>
    </fill>
  </fills>
  <borders count="13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dotted">
        <color rgb="FF1AB2BB"/>
      </left>
      <right/>
      <top style="dotted">
        <color rgb="FF1AB2BB"/>
      </top>
      <bottom/>
      <diagonal/>
    </border>
    <border>
      <left/>
      <right/>
      <top style="dotted">
        <color rgb="FF1AB2BB"/>
      </top>
      <bottom/>
      <diagonal/>
    </border>
    <border>
      <left style="dotted">
        <color rgb="FF1AB2BB"/>
      </left>
      <right/>
      <top/>
      <bottom/>
      <diagonal/>
    </border>
    <border>
      <left style="dotted">
        <color rgb="FF1AB2BB"/>
      </left>
      <right/>
      <top style="thin">
        <color theme="0"/>
      </top>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style="dotted">
        <color rgb="FF1AB2BB"/>
      </top>
      <bottom/>
      <diagonal/>
    </border>
    <border>
      <left/>
      <right style="dotted">
        <color rgb="FF1AB2BB"/>
      </right>
      <top/>
      <bottom/>
      <diagonal/>
    </border>
    <border>
      <left/>
      <right style="dotted">
        <color rgb="FF1AB2BB"/>
      </right>
      <top/>
      <bottom style="dotted">
        <color rgb="FF1AB2BB"/>
      </bottom>
      <diagonal/>
    </border>
    <border>
      <left style="hair">
        <color theme="0" tint="-0.34998626667073579"/>
      </left>
      <right style="hair">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style="hair">
        <color auto="1"/>
      </top>
      <bottom/>
      <diagonal/>
    </border>
    <border>
      <left/>
      <right/>
      <top/>
      <bottom style="hair">
        <color auto="1"/>
      </bottom>
      <diagonal/>
    </border>
    <border>
      <left/>
      <right/>
      <top style="hair">
        <color auto="1"/>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hair">
        <color theme="0" tint="-0.34998626667073579"/>
      </bottom>
      <diagonal/>
    </border>
    <border>
      <left/>
      <right/>
      <top style="thin">
        <color theme="0" tint="-0.499984740745262"/>
      </top>
      <bottom style="hair">
        <color theme="0" tint="-0.34998626667073579"/>
      </bottom>
      <diagonal/>
    </border>
    <border>
      <left style="hair">
        <color theme="0" tint="-0.34998626667073579"/>
      </left>
      <right style="hair">
        <color theme="0" tint="-0.34998626667073579"/>
      </right>
      <top style="thin">
        <color theme="0" tint="-0.499984740745262"/>
      </top>
      <bottom style="hair">
        <color theme="0" tint="-0.34998626667073579"/>
      </bottom>
      <diagonal/>
    </border>
    <border>
      <left style="hair">
        <color theme="0" tint="-0.34998626667073579"/>
      </left>
      <right/>
      <top style="thin">
        <color theme="0" tint="-0.499984740745262"/>
      </top>
      <bottom style="hair">
        <color theme="0" tint="-0.34998626667073579"/>
      </bottom>
      <diagonal/>
    </border>
    <border>
      <left style="hair">
        <color theme="0" tint="-0.34998626667073579"/>
      </left>
      <right style="thin">
        <color theme="0" tint="-0.499984740745262"/>
      </right>
      <top style="thin">
        <color theme="0" tint="-0.499984740745262"/>
      </top>
      <bottom style="hair">
        <color theme="0" tint="-0.34998626667073579"/>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diagonal/>
    </border>
    <border>
      <left style="hair">
        <color theme="0" tint="-0.34998626667073579"/>
      </left>
      <right style="thin">
        <color theme="0" tint="-0.499984740745262"/>
      </right>
      <top/>
      <bottom style="thin">
        <color theme="0" tint="-0.499984740745262"/>
      </bottom>
      <diagonal/>
    </border>
    <border>
      <left style="thin">
        <color theme="0" tint="-0.499984740745262"/>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top style="hair">
        <color theme="0" tint="-0.34998626667073579"/>
      </top>
      <bottom/>
      <diagonal/>
    </border>
    <border>
      <left style="hair">
        <color theme="0" tint="-0.34998626667073579"/>
      </left>
      <right style="thin">
        <color theme="0" tint="-0.499984740745262"/>
      </right>
      <top style="hair">
        <color theme="0" tint="-0.34998626667073579"/>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thin">
        <color theme="0" tint="-0.499984740745262"/>
      </left>
      <right/>
      <top/>
      <bottom style="hair">
        <color theme="0" tint="-0.499984740745262"/>
      </bottom>
      <diagonal/>
    </border>
    <border>
      <left/>
      <right style="thin">
        <color theme="0" tint="-0.499984740745262"/>
      </right>
      <top/>
      <bottom style="hair">
        <color theme="0" tint="-0.499984740745262"/>
      </bottom>
      <diagonal/>
    </border>
    <border>
      <left/>
      <right style="thin">
        <color theme="0" tint="-0.499984740745262"/>
      </right>
      <top style="thin">
        <color theme="0" tint="-0.499984740745262"/>
      </top>
      <bottom style="hair">
        <color theme="0" tint="-0.34998626667073579"/>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hair">
        <color theme="0" tint="-0.34998626667073579"/>
      </bottom>
      <diagonal/>
    </border>
    <border>
      <left style="thin">
        <color theme="0"/>
      </left>
      <right style="thin">
        <color theme="0"/>
      </right>
      <top style="thin">
        <color theme="0"/>
      </top>
      <bottom style="thin">
        <color theme="0"/>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top style="thin">
        <color theme="0" tint="-0.499984740745262"/>
      </top>
      <bottom style="hair">
        <color theme="0" tint="-0.34998626667073579"/>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theme="0" tint="-0.499984740745262"/>
      </left>
      <right style="hair">
        <color theme="0" tint="-0.499984740745262"/>
      </right>
      <top style="thin">
        <color theme="0" tint="-0.499984740745262"/>
      </top>
      <bottom style="hair">
        <color theme="0" tint="-0.499984740745262"/>
      </bottom>
      <diagonal/>
    </border>
    <border>
      <left/>
      <right/>
      <top/>
      <bottom style="hair">
        <color theme="0" tint="-0.499984740745262"/>
      </bottom>
      <diagonal/>
    </border>
    <border>
      <left/>
      <right/>
      <top style="hair">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hair">
        <color theme="0" tint="-0.34998626667073579"/>
      </bottom>
      <diagonal/>
    </border>
    <border>
      <left/>
      <right style="hair">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style="hair">
        <color theme="0" tint="-0.499984740745262"/>
      </bottom>
      <diagonal/>
    </border>
    <border>
      <left/>
      <right style="hair">
        <color theme="0" tint="-0.499984740745262"/>
      </right>
      <top/>
      <bottom style="hair">
        <color theme="0" tint="-0.499984740745262"/>
      </bottom>
      <diagonal/>
    </border>
    <border>
      <left/>
      <right style="hair">
        <color theme="0" tint="-0.499984740745262"/>
      </right>
      <top style="thin">
        <color theme="0" tint="-0.499984740745262"/>
      </top>
      <bottom style="hair">
        <color theme="0" tint="-0.34998626667073579"/>
      </bottom>
      <diagonal/>
    </border>
    <border>
      <left style="thin">
        <color theme="0" tint="-0.499984740745262"/>
      </left>
      <right style="thin">
        <color theme="0" tint="-0.499984740745262"/>
      </right>
      <top/>
      <bottom style="hair">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right style="hair">
        <color theme="0" tint="-0.499984740745262"/>
      </right>
      <top style="thin">
        <color theme="0" tint="-0.499984740745262"/>
      </top>
      <bottom/>
      <diagonal/>
    </border>
  </borders>
  <cellStyleXfs count="5">
    <xf numFmtId="0" fontId="0" fillId="0" borderId="0"/>
    <xf numFmtId="0" fontId="6" fillId="0" borderId="0"/>
    <xf numFmtId="0" fontId="20" fillId="0" borderId="0"/>
    <xf numFmtId="9" fontId="20" fillId="0" borderId="0" applyFont="0" applyFill="0" applyBorder="0" applyAlignment="0" applyProtection="0"/>
    <xf numFmtId="0" fontId="58" fillId="24" borderId="0" applyNumberFormat="0" applyBorder="0" applyAlignment="0" applyProtection="0"/>
  </cellStyleXfs>
  <cellXfs count="568">
    <xf numFmtId="0" fontId="0" fillId="0" borderId="0" xfId="0"/>
    <xf numFmtId="0" fontId="4" fillId="3" borderId="0" xfId="0" applyFont="1" applyFill="1"/>
    <xf numFmtId="0" fontId="4" fillId="0" borderId="0" xfId="0" applyFont="1"/>
    <xf numFmtId="0" fontId="4" fillId="4" borderId="0" xfId="0" applyFont="1" applyFill="1"/>
    <xf numFmtId="0" fontId="3"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6" fillId="6" borderId="0" xfId="1" applyFill="1" applyAlignment="1">
      <alignment wrapText="1"/>
    </xf>
    <xf numFmtId="0" fontId="7" fillId="6" borderId="0" xfId="1" applyFont="1" applyFill="1" applyAlignment="1">
      <alignment horizontal="center" vertical="top" wrapText="1"/>
    </xf>
    <xf numFmtId="0" fontId="6" fillId="6" borderId="0" xfId="1" applyFill="1" applyAlignment="1">
      <alignment horizontal="center" vertical="center" wrapText="1"/>
    </xf>
    <xf numFmtId="0" fontId="6" fillId="6" borderId="0" xfId="1" applyFill="1" applyAlignment="1">
      <alignment vertical="center" wrapText="1"/>
    </xf>
    <xf numFmtId="0" fontId="7" fillId="7" borderId="9" xfId="1" applyFont="1" applyFill="1" applyBorder="1" applyAlignment="1">
      <alignment horizontal="center" vertical="top" wrapText="1"/>
    </xf>
    <xf numFmtId="0" fontId="7" fillId="7" borderId="10" xfId="1" applyFont="1" applyFill="1" applyBorder="1" applyAlignment="1">
      <alignment horizontal="center" vertical="top" wrapText="1"/>
    </xf>
    <xf numFmtId="0" fontId="7" fillId="7" borderId="10" xfId="1" applyFont="1" applyFill="1" applyBorder="1" applyAlignment="1">
      <alignment horizontal="center" vertical="center" wrapText="1"/>
    </xf>
    <xf numFmtId="0" fontId="7" fillId="7" borderId="11" xfId="1" applyFont="1" applyFill="1" applyBorder="1" applyAlignment="1">
      <alignment horizontal="center" vertical="center" wrapText="1"/>
    </xf>
    <xf numFmtId="0" fontId="6" fillId="6" borderId="0" xfId="1" applyFill="1" applyAlignment="1">
      <alignment horizontal="center" vertical="center"/>
    </xf>
    <xf numFmtId="0" fontId="7" fillId="7" borderId="16" xfId="1" applyFont="1" applyFill="1" applyBorder="1" applyAlignment="1">
      <alignment horizontal="center" vertical="center" wrapText="1"/>
    </xf>
    <xf numFmtId="0" fontId="7" fillId="7" borderId="17" xfId="1" applyFont="1" applyFill="1" applyBorder="1" applyAlignment="1">
      <alignment horizontal="center" vertical="center" wrapText="1"/>
    </xf>
    <xf numFmtId="0" fontId="7" fillId="7" borderId="17" xfId="1" applyFont="1" applyFill="1" applyBorder="1" applyAlignment="1">
      <alignment horizontal="center" vertical="top" wrapText="1"/>
    </xf>
    <xf numFmtId="0" fontId="7" fillId="7" borderId="18" xfId="1" applyFont="1" applyFill="1" applyBorder="1" applyAlignment="1">
      <alignment horizontal="center" vertical="top" wrapText="1"/>
    </xf>
    <xf numFmtId="0" fontId="7" fillId="8" borderId="19" xfId="1" applyFont="1" applyFill="1" applyBorder="1" applyAlignment="1">
      <alignment horizontal="center" vertical="center" wrapText="1"/>
    </xf>
    <xf numFmtId="0" fontId="7" fillId="8" borderId="20" xfId="1" applyFont="1" applyFill="1" applyBorder="1" applyAlignment="1">
      <alignment horizontal="center" vertical="center" wrapText="1"/>
    </xf>
    <xf numFmtId="0" fontId="7" fillId="8" borderId="21" xfId="1" applyFont="1" applyFill="1" applyBorder="1" applyAlignment="1">
      <alignment horizontal="center" vertical="center" wrapText="1"/>
    </xf>
    <xf numFmtId="0" fontId="7" fillId="8" borderId="22" xfId="1" applyFont="1" applyFill="1" applyBorder="1" applyAlignment="1">
      <alignment horizontal="center" vertical="center" wrapText="1"/>
    </xf>
    <xf numFmtId="0" fontId="7" fillId="8" borderId="24" xfId="1" applyFont="1" applyFill="1" applyBorder="1" applyAlignment="1">
      <alignment horizontal="center" vertical="center" wrapText="1"/>
    </xf>
    <xf numFmtId="0" fontId="7" fillId="8" borderId="25" xfId="1" applyFont="1" applyFill="1" applyBorder="1" applyAlignment="1">
      <alignment horizontal="center" vertical="center" wrapText="1"/>
    </xf>
    <xf numFmtId="0" fontId="9" fillId="7" borderId="9" xfId="1" applyFont="1" applyFill="1" applyBorder="1" applyAlignment="1">
      <alignment horizontal="center" vertical="center" wrapText="1"/>
    </xf>
    <xf numFmtId="0" fontId="9" fillId="7" borderId="10" xfId="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wrapText="1"/>
    </xf>
    <xf numFmtId="0" fontId="6" fillId="7" borderId="10" xfId="1" applyFill="1" applyBorder="1" applyAlignment="1">
      <alignment vertical="top" wrapText="1"/>
    </xf>
    <xf numFmtId="0" fontId="6" fillId="9" borderId="10" xfId="1" applyFill="1" applyBorder="1" applyAlignment="1">
      <alignment vertical="center" wrapText="1"/>
    </xf>
    <xf numFmtId="0" fontId="6" fillId="9" borderId="11" xfId="1" applyFill="1" applyBorder="1" applyAlignment="1">
      <alignment vertical="center" wrapText="1"/>
    </xf>
    <xf numFmtId="0" fontId="6" fillId="8" borderId="3" xfId="1" applyFill="1" applyBorder="1" applyAlignment="1">
      <alignment horizontal="left" vertical="top" wrapText="1"/>
    </xf>
    <xf numFmtId="0" fontId="6" fillId="8" borderId="4" xfId="1" applyFill="1" applyBorder="1" applyAlignment="1">
      <alignment horizontal="left" vertical="top" wrapText="1"/>
    </xf>
    <xf numFmtId="0" fontId="11" fillId="8" borderId="28" xfId="1" applyFont="1" applyFill="1" applyBorder="1" applyAlignment="1">
      <alignment horizontal="left" vertical="top" wrapText="1"/>
    </xf>
    <xf numFmtId="0" fontId="6" fillId="8" borderId="24" xfId="1" applyFill="1" applyBorder="1" applyAlignment="1">
      <alignment horizontal="center" vertical="top" wrapText="1"/>
    </xf>
    <xf numFmtId="0" fontId="6" fillId="8" borderId="25" xfId="1" applyFill="1" applyBorder="1" applyAlignment="1">
      <alignment horizontal="center" vertical="top" wrapText="1"/>
    </xf>
    <xf numFmtId="0" fontId="6" fillId="6" borderId="30" xfId="1" applyFill="1" applyBorder="1" applyAlignment="1">
      <alignment horizontal="center" vertical="center" wrapText="1"/>
    </xf>
    <xf numFmtId="0" fontId="9" fillId="7" borderId="31" xfId="1" applyFont="1" applyFill="1" applyBorder="1" applyAlignment="1">
      <alignment horizontal="center" vertical="center" wrapText="1"/>
    </xf>
    <xf numFmtId="0" fontId="9" fillId="7" borderId="25" xfId="1" applyFont="1" applyFill="1" applyBorder="1" applyAlignment="1">
      <alignment horizontal="center" vertical="center" wrapText="1"/>
    </xf>
    <xf numFmtId="16" fontId="10" fillId="7" borderId="25" xfId="1" quotePrefix="1" applyNumberFormat="1" applyFont="1" applyFill="1" applyBorder="1" applyAlignment="1">
      <alignment horizontal="center" vertical="center" wrapText="1"/>
    </xf>
    <xf numFmtId="0" fontId="6" fillId="7" borderId="25" xfId="1" applyFill="1" applyBorder="1" applyAlignment="1">
      <alignment vertical="top" wrapText="1"/>
    </xf>
    <xf numFmtId="0" fontId="6" fillId="9" borderId="25" xfId="1" applyFill="1" applyBorder="1" applyAlignment="1">
      <alignment vertical="center" wrapText="1"/>
    </xf>
    <xf numFmtId="0" fontId="6" fillId="9" borderId="32" xfId="1" applyFill="1" applyBorder="1" applyAlignment="1">
      <alignment vertical="center" wrapText="1"/>
    </xf>
    <xf numFmtId="0" fontId="6" fillId="8" borderId="31" xfId="1" applyFill="1" applyBorder="1" applyAlignment="1">
      <alignment horizontal="left" vertical="top" wrapText="1"/>
    </xf>
    <xf numFmtId="0" fontId="6" fillId="8" borderId="25" xfId="1" applyFill="1" applyBorder="1" applyAlignment="1">
      <alignment horizontal="left" vertical="top" wrapText="1"/>
    </xf>
    <xf numFmtId="0" fontId="11" fillId="8" borderId="33" xfId="1" applyFont="1" applyFill="1" applyBorder="1" applyAlignment="1">
      <alignment horizontal="left" vertical="top" wrapText="1"/>
    </xf>
    <xf numFmtId="0" fontId="11" fillId="8" borderId="31" xfId="1" applyFont="1" applyFill="1" applyBorder="1" applyAlignment="1">
      <alignment horizontal="left" vertical="top" wrapText="1"/>
    </xf>
    <xf numFmtId="0" fontId="11" fillId="8" borderId="34" xfId="1" applyFont="1" applyFill="1" applyBorder="1" applyAlignment="1">
      <alignment horizontal="left" vertical="top" wrapText="1"/>
    </xf>
    <xf numFmtId="0" fontId="6" fillId="8" borderId="33" xfId="1" applyFill="1" applyBorder="1" applyAlignment="1">
      <alignment horizontal="left" vertical="top" wrapText="1"/>
    </xf>
    <xf numFmtId="0" fontId="9" fillId="7" borderId="25" xfId="1" quotePrefix="1" applyFont="1" applyFill="1" applyBorder="1" applyAlignment="1">
      <alignment horizontal="center" vertical="center" wrapText="1"/>
    </xf>
    <xf numFmtId="0" fontId="12" fillId="8" borderId="33" xfId="1" applyFont="1" applyFill="1" applyBorder="1" applyAlignment="1">
      <alignment horizontal="left" vertical="top" wrapText="1"/>
    </xf>
    <xf numFmtId="0" fontId="6" fillId="8" borderId="34" xfId="1" applyFill="1" applyBorder="1" applyAlignment="1">
      <alignment horizontal="left" vertical="top" wrapText="1"/>
    </xf>
    <xf numFmtId="0" fontId="10" fillId="7" borderId="25" xfId="1" applyFont="1" applyFill="1" applyBorder="1" applyAlignment="1">
      <alignment horizontal="center" vertical="center" wrapText="1"/>
    </xf>
    <xf numFmtId="0" fontId="6" fillId="0" borderId="25" xfId="1" applyBorder="1" applyAlignment="1">
      <alignment vertical="center" wrapText="1"/>
    </xf>
    <xf numFmtId="49" fontId="9" fillId="7" borderId="25" xfId="1" applyNumberFormat="1" applyFont="1" applyFill="1" applyBorder="1" applyAlignment="1">
      <alignment horizontal="center" vertical="center" wrapText="1"/>
    </xf>
    <xf numFmtId="0" fontId="6" fillId="8" borderId="33" xfId="1" quotePrefix="1" applyFill="1" applyBorder="1" applyAlignment="1">
      <alignment horizontal="left" vertical="top" wrapText="1"/>
    </xf>
    <xf numFmtId="0" fontId="6" fillId="8" borderId="31" xfId="1" quotePrefix="1" applyFill="1" applyBorder="1" applyAlignment="1">
      <alignment horizontal="left" vertical="top" wrapText="1"/>
    </xf>
    <xf numFmtId="0" fontId="6" fillId="8" borderId="34" xfId="1" quotePrefix="1" applyFill="1" applyBorder="1" applyAlignment="1">
      <alignment horizontal="left" vertical="top" wrapText="1"/>
    </xf>
    <xf numFmtId="0" fontId="6" fillId="8" borderId="25" xfId="1" quotePrefix="1" applyFill="1" applyBorder="1" applyAlignment="1">
      <alignment horizontal="left" vertical="top" wrapText="1"/>
    </xf>
    <xf numFmtId="0" fontId="6" fillId="0" borderId="32" xfId="1" applyBorder="1" applyAlignment="1">
      <alignment vertical="center" wrapText="1"/>
    </xf>
    <xf numFmtId="0" fontId="6" fillId="9" borderId="35" xfId="1" applyFill="1" applyBorder="1" applyAlignment="1">
      <alignment vertical="center" wrapText="1"/>
    </xf>
    <xf numFmtId="0" fontId="6" fillId="9" borderId="36" xfId="1" applyFill="1" applyBorder="1" applyAlignment="1">
      <alignment vertical="center" wrapText="1"/>
    </xf>
    <xf numFmtId="0" fontId="6" fillId="7" borderId="33" xfId="1" applyFill="1" applyBorder="1" applyAlignment="1">
      <alignment vertical="top" wrapText="1"/>
    </xf>
    <xf numFmtId="0" fontId="14" fillId="11" borderId="25" xfId="1" applyFont="1" applyFill="1" applyBorder="1"/>
    <xf numFmtId="0" fontId="14" fillId="11" borderId="32" xfId="1" applyFont="1" applyFill="1" applyBorder="1"/>
    <xf numFmtId="0" fontId="14" fillId="6" borderId="0" xfId="1" applyFont="1" applyFill="1"/>
    <xf numFmtId="0" fontId="6" fillId="8" borderId="37" xfId="1" applyFill="1" applyBorder="1" applyAlignment="1">
      <alignment horizontal="left" vertical="top" wrapText="1"/>
    </xf>
    <xf numFmtId="0" fontId="14" fillId="0" borderId="32" xfId="1" applyFont="1" applyBorder="1"/>
    <xf numFmtId="0" fontId="14" fillId="0" borderId="25" xfId="1" applyFont="1" applyBorder="1" applyAlignment="1">
      <alignment wrapText="1"/>
    </xf>
    <xf numFmtId="0" fontId="14" fillId="0" borderId="32" xfId="1" applyFont="1" applyBorder="1" applyAlignment="1">
      <alignment wrapText="1"/>
    </xf>
    <xf numFmtId="0" fontId="17" fillId="7" borderId="31" xfId="1" applyFont="1" applyFill="1" applyBorder="1" applyAlignment="1">
      <alignment horizontal="center" vertical="center" wrapText="1"/>
    </xf>
    <xf numFmtId="0" fontId="14" fillId="0" borderId="25" xfId="1" applyFont="1" applyBorder="1"/>
    <xf numFmtId="0" fontId="14" fillId="0" borderId="25" xfId="1" applyFont="1" applyBorder="1" applyAlignment="1">
      <alignment vertical="center" wrapText="1"/>
    </xf>
    <xf numFmtId="0" fontId="14" fillId="11" borderId="32" xfId="1" applyFont="1" applyFill="1" applyBorder="1" applyAlignment="1">
      <alignment vertical="center" wrapText="1"/>
    </xf>
    <xf numFmtId="49" fontId="6" fillId="8" borderId="25" xfId="1" applyNumberFormat="1" applyFill="1" applyBorder="1" applyAlignment="1">
      <alignment horizontal="left" vertical="top" wrapText="1"/>
    </xf>
    <xf numFmtId="0" fontId="14" fillId="11" borderId="25" xfId="1" applyFont="1" applyFill="1" applyBorder="1" applyAlignment="1">
      <alignment vertical="center" wrapText="1"/>
    </xf>
    <xf numFmtId="0" fontId="9" fillId="7" borderId="35" xfId="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wrapText="1"/>
    </xf>
    <xf numFmtId="0" fontId="6" fillId="7" borderId="38" xfId="1" applyFill="1" applyBorder="1" applyAlignment="1">
      <alignment vertical="top" wrapText="1"/>
    </xf>
    <xf numFmtId="0" fontId="14" fillId="0" borderId="35" xfId="1" applyFont="1" applyBorder="1" applyAlignment="1">
      <alignment vertical="center" wrapText="1"/>
    </xf>
    <xf numFmtId="0" fontId="9" fillId="7" borderId="37" xfId="1" applyFont="1" applyFill="1" applyBorder="1" applyAlignment="1">
      <alignment horizontal="center" vertical="center" wrapText="1"/>
    </xf>
    <xf numFmtId="0" fontId="14" fillId="11" borderId="39" xfId="1" applyFont="1" applyFill="1" applyBorder="1" applyAlignment="1">
      <alignment vertical="center" wrapText="1"/>
    </xf>
    <xf numFmtId="0" fontId="6" fillId="7" borderId="28" xfId="1" applyFill="1" applyBorder="1" applyAlignment="1">
      <alignment vertical="top" wrapText="1"/>
    </xf>
    <xf numFmtId="0" fontId="14" fillId="0" borderId="10" xfId="1" applyFont="1" applyBorder="1" applyAlignment="1">
      <alignment vertical="center" wrapText="1"/>
    </xf>
    <xf numFmtId="0" fontId="18" fillId="7" borderId="31" xfId="1" applyFont="1" applyFill="1" applyBorder="1" applyAlignment="1">
      <alignment horizontal="center" vertical="center" wrapText="1"/>
    </xf>
    <xf numFmtId="0" fontId="10" fillId="7" borderId="16" xfId="1" applyFont="1" applyFill="1" applyBorder="1" applyAlignment="1">
      <alignment horizontal="center" vertical="top" wrapText="1"/>
    </xf>
    <xf numFmtId="0" fontId="9" fillId="7" borderId="17" xfId="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wrapText="1"/>
    </xf>
    <xf numFmtId="0" fontId="6" fillId="7" borderId="40" xfId="1" applyFill="1" applyBorder="1" applyAlignment="1">
      <alignment vertical="top" wrapText="1"/>
    </xf>
    <xf numFmtId="0" fontId="14" fillId="11" borderId="17" xfId="1" applyFont="1" applyFill="1" applyBorder="1"/>
    <xf numFmtId="0" fontId="14" fillId="11" borderId="18" xfId="1" applyFont="1" applyFill="1" applyBorder="1"/>
    <xf numFmtId="0" fontId="6" fillId="8" borderId="16" xfId="1" applyFill="1" applyBorder="1" applyAlignment="1">
      <alignment horizontal="left" vertical="top" wrapText="1"/>
    </xf>
    <xf numFmtId="0" fontId="6" fillId="8" borderId="17" xfId="1" applyFill="1" applyBorder="1" applyAlignment="1">
      <alignment horizontal="left" vertical="top" wrapText="1"/>
    </xf>
    <xf numFmtId="0" fontId="6" fillId="8" borderId="40" xfId="1" applyFill="1" applyBorder="1" applyAlignment="1">
      <alignment horizontal="left" vertical="top" wrapText="1"/>
    </xf>
    <xf numFmtId="0" fontId="6" fillId="8" borderId="41" xfId="1" applyFill="1" applyBorder="1" applyAlignment="1">
      <alignment horizontal="left" vertical="top" wrapText="1"/>
    </xf>
    <xf numFmtId="0" fontId="11" fillId="6" borderId="0" xfId="1" applyFont="1" applyFill="1" applyAlignment="1">
      <alignment wrapText="1"/>
    </xf>
    <xf numFmtId="0" fontId="11" fillId="6" borderId="0" xfId="1" applyFont="1" applyFill="1" applyAlignment="1">
      <alignment vertical="center" wrapText="1"/>
    </xf>
    <xf numFmtId="0" fontId="6" fillId="0" borderId="0" xfId="1" applyAlignment="1">
      <alignment horizontal="left" vertical="top"/>
    </xf>
    <xf numFmtId="0" fontId="6" fillId="6" borderId="0" xfId="1" applyFill="1" applyAlignment="1">
      <alignment horizontal="left" vertical="top" wrapText="1"/>
    </xf>
    <xf numFmtId="0" fontId="11" fillId="6" borderId="0" xfId="1" applyFont="1" applyFill="1" applyAlignment="1">
      <alignment horizontal="left" vertical="top" wrapText="1"/>
    </xf>
    <xf numFmtId="0" fontId="11" fillId="6" borderId="0" xfId="1" applyFont="1" applyFill="1" applyAlignment="1">
      <alignment horizontal="center" vertical="top" wrapText="1"/>
    </xf>
    <xf numFmtId="0" fontId="11" fillId="6" borderId="0" xfId="1" applyFont="1" applyFill="1" applyAlignment="1">
      <alignment horizontal="center" vertical="center" wrapText="1"/>
    </xf>
    <xf numFmtId="0" fontId="6" fillId="6" borderId="0" xfId="1" applyFill="1" applyAlignment="1">
      <alignment horizontal="center" vertical="top" wrapText="1"/>
    </xf>
    <xf numFmtId="0" fontId="0" fillId="0" borderId="42" xfId="0" applyBorder="1"/>
    <xf numFmtId="0" fontId="19" fillId="0" borderId="42" xfId="0" applyFont="1" applyBorder="1"/>
    <xf numFmtId="0" fontId="5" fillId="0" borderId="42" xfId="0" applyFont="1" applyBorder="1"/>
    <xf numFmtId="0" fontId="4" fillId="3" borderId="0" xfId="0" applyFont="1" applyFill="1" applyAlignment="1">
      <alignment vertical="center"/>
    </xf>
    <xf numFmtId="0" fontId="0" fillId="0" borderId="0" xfId="0" applyAlignment="1">
      <alignment vertical="center"/>
    </xf>
    <xf numFmtId="0" fontId="4" fillId="0" borderId="0" xfId="0" applyFont="1" applyAlignment="1">
      <alignment vertical="center"/>
    </xf>
    <xf numFmtId="0" fontId="4" fillId="4" borderId="0" xfId="0" applyFont="1" applyFill="1" applyAlignment="1">
      <alignment vertical="center"/>
    </xf>
    <xf numFmtId="0" fontId="22" fillId="7" borderId="31" xfId="1" applyFont="1" applyFill="1" applyBorder="1" applyAlignment="1">
      <alignment horizontal="center" vertical="center" wrapText="1"/>
    </xf>
    <xf numFmtId="0" fontId="6" fillId="0" borderId="0" xfId="1" applyAlignment="1">
      <alignment horizontal="center" vertical="top" wrapText="1"/>
    </xf>
    <xf numFmtId="0" fontId="6" fillId="0" borderId="0" xfId="1" applyAlignment="1">
      <alignment horizontal="left"/>
    </xf>
    <xf numFmtId="0" fontId="6" fillId="0" borderId="0" xfId="1" applyAlignment="1">
      <alignment horizontal="center" vertical="top"/>
    </xf>
    <xf numFmtId="0" fontId="6" fillId="0" borderId="0" xfId="1" applyAlignment="1">
      <alignment vertical="center"/>
    </xf>
    <xf numFmtId="0" fontId="6" fillId="0" borderId="0" xfId="1"/>
    <xf numFmtId="49" fontId="7" fillId="12" borderId="55" xfId="1" applyNumberFormat="1" applyFont="1" applyFill="1" applyBorder="1" applyAlignment="1">
      <alignment horizontal="center" vertical="center" wrapText="1"/>
    </xf>
    <xf numFmtId="49" fontId="7" fillId="12" borderId="10" xfId="1" applyNumberFormat="1" applyFont="1" applyFill="1" applyBorder="1" applyAlignment="1">
      <alignment horizontal="center" vertical="center" wrapText="1"/>
    </xf>
    <xf numFmtId="49" fontId="7" fillId="12" borderId="11" xfId="1" applyNumberFormat="1" applyFont="1" applyFill="1" applyBorder="1" applyAlignment="1">
      <alignment horizontal="center" vertical="center" wrapText="1"/>
    </xf>
    <xf numFmtId="0" fontId="7" fillId="7" borderId="17" xfId="1" applyFont="1" applyFill="1" applyBorder="1" applyAlignment="1">
      <alignment vertical="top" wrapText="1"/>
    </xf>
    <xf numFmtId="0" fontId="7" fillId="7" borderId="18" xfId="1" applyFont="1" applyFill="1" applyBorder="1" applyAlignment="1">
      <alignment vertical="top" wrapText="1"/>
    </xf>
    <xf numFmtId="0" fontId="7" fillId="6" borderId="0" xfId="1" applyFont="1" applyFill="1" applyAlignment="1">
      <alignment vertical="top" wrapText="1"/>
    </xf>
    <xf numFmtId="0" fontId="7" fillId="8" borderId="56" xfId="1" applyFont="1" applyFill="1" applyBorder="1" applyAlignment="1">
      <alignment horizontal="center" vertical="center" wrapText="1"/>
    </xf>
    <xf numFmtId="0" fontId="7" fillId="8" borderId="57" xfId="1" applyFont="1" applyFill="1" applyBorder="1" applyAlignment="1">
      <alignment horizontal="center" vertical="center" wrapText="1"/>
    </xf>
    <xf numFmtId="0" fontId="7" fillId="8" borderId="52" xfId="1" applyFont="1" applyFill="1" applyBorder="1" applyAlignment="1">
      <alignment horizontal="center" vertical="center" wrapText="1"/>
    </xf>
    <xf numFmtId="0" fontId="24" fillId="12" borderId="24" xfId="2" applyFont="1" applyFill="1" applyBorder="1" applyAlignment="1">
      <alignment horizontal="center" vertical="center" wrapText="1"/>
    </xf>
    <xf numFmtId="0" fontId="24" fillId="12" borderId="25" xfId="2" applyFont="1" applyFill="1" applyBorder="1" applyAlignment="1">
      <alignment horizontal="center" vertical="center" wrapText="1"/>
    </xf>
    <xf numFmtId="0" fontId="24" fillId="12" borderId="32" xfId="2" applyFont="1" applyFill="1" applyBorder="1" applyAlignment="1">
      <alignment horizontal="center" vertical="center" wrapText="1"/>
    </xf>
    <xf numFmtId="0" fontId="9" fillId="7" borderId="10" xfId="1" quotePrefix="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xf>
    <xf numFmtId="0" fontId="6" fillId="7" borderId="10" xfId="1" applyFill="1" applyBorder="1" applyAlignment="1">
      <alignment horizontal="left" vertical="center" wrapText="1"/>
    </xf>
    <xf numFmtId="0" fontId="6" fillId="13" borderId="10" xfId="1" applyFill="1" applyBorder="1"/>
    <xf numFmtId="0" fontId="6" fillId="13" borderId="11" xfId="1" applyFill="1" applyBorder="1"/>
    <xf numFmtId="0" fontId="6" fillId="6" borderId="0" xfId="1" applyFill="1"/>
    <xf numFmtId="0" fontId="6" fillId="8" borderId="3" xfId="1" applyFill="1" applyBorder="1" applyAlignment="1">
      <alignment horizontal="center" vertical="center"/>
    </xf>
    <xf numFmtId="0" fontId="6" fillId="8" borderId="4" xfId="1" applyFill="1" applyBorder="1" applyAlignment="1">
      <alignment vertical="top" wrapText="1"/>
    </xf>
    <xf numFmtId="0" fontId="6" fillId="8" borderId="4" xfId="1" applyFill="1" applyBorder="1" applyAlignment="1">
      <alignment horizontal="center" vertical="center" wrapText="1"/>
    </xf>
    <xf numFmtId="0" fontId="6" fillId="8" borderId="5" xfId="1" applyFill="1" applyBorder="1" applyAlignment="1">
      <alignment vertical="top" wrapText="1"/>
    </xf>
    <xf numFmtId="0" fontId="6" fillId="8" borderId="55" xfId="1" applyFill="1" applyBorder="1" applyAlignment="1">
      <alignment vertical="top" wrapText="1"/>
    </xf>
    <xf numFmtId="0" fontId="6" fillId="8" borderId="29" xfId="1" applyFill="1" applyBorder="1" applyAlignment="1">
      <alignment vertical="top" wrapText="1"/>
    </xf>
    <xf numFmtId="49" fontId="12" fillId="6" borderId="24" xfId="1" applyNumberFormat="1" applyFont="1" applyFill="1" applyBorder="1" applyAlignment="1">
      <alignment horizontal="center" vertical="center" wrapText="1"/>
    </xf>
    <xf numFmtId="49" fontId="6" fillId="0" borderId="25" xfId="1" applyNumberFormat="1" applyBorder="1" applyAlignment="1">
      <alignment horizontal="center" vertical="center" wrapText="1"/>
    </xf>
    <xf numFmtId="49" fontId="6" fillId="0" borderId="25" xfId="1" applyNumberFormat="1" applyBorder="1" applyAlignment="1">
      <alignment horizontal="center" vertical="top" wrapText="1"/>
    </xf>
    <xf numFmtId="49" fontId="6" fillId="6" borderId="25" xfId="1" applyNumberFormat="1" applyFill="1" applyBorder="1" applyAlignment="1">
      <alignment horizontal="center" vertical="top" wrapText="1"/>
    </xf>
    <xf numFmtId="49" fontId="11" fillId="6" borderId="25" xfId="1" applyNumberFormat="1" applyFont="1" applyFill="1" applyBorder="1" applyAlignment="1">
      <alignment horizontal="center" vertical="center" wrapText="1"/>
    </xf>
    <xf numFmtId="49" fontId="6" fillId="6" borderId="25" xfId="1" applyNumberFormat="1" applyFill="1" applyBorder="1" applyAlignment="1">
      <alignment horizontal="center" vertical="center" wrapText="1"/>
    </xf>
    <xf numFmtId="49" fontId="6" fillId="6" borderId="33" xfId="1" applyNumberFormat="1" applyFill="1" applyBorder="1" applyAlignment="1">
      <alignment horizontal="center" vertical="center" wrapText="1"/>
    </xf>
    <xf numFmtId="16" fontId="10" fillId="7" borderId="25" xfId="1" quotePrefix="1" applyNumberFormat="1" applyFont="1" applyFill="1" applyBorder="1" applyAlignment="1">
      <alignment horizontal="center" vertical="center"/>
    </xf>
    <xf numFmtId="0" fontId="6" fillId="7" borderId="25" xfId="1" applyFill="1" applyBorder="1" applyAlignment="1">
      <alignment vertical="center" wrapText="1"/>
    </xf>
    <xf numFmtId="0" fontId="6" fillId="13" borderId="25" xfId="1" applyFill="1" applyBorder="1"/>
    <xf numFmtId="0" fontId="6" fillId="13" borderId="32" xfId="1" applyFill="1" applyBorder="1"/>
    <xf numFmtId="0" fontId="6" fillId="8" borderId="31" xfId="1" applyFill="1" applyBorder="1" applyAlignment="1">
      <alignment horizontal="center" vertical="center"/>
    </xf>
    <xf numFmtId="0" fontId="6" fillId="8" borderId="25" xfId="1" applyFill="1" applyBorder="1" applyAlignment="1">
      <alignment vertical="top" wrapText="1"/>
    </xf>
    <xf numFmtId="0" fontId="6" fillId="8" borderId="25" xfId="1" applyFill="1" applyBorder="1" applyAlignment="1">
      <alignment horizontal="center" vertical="center" wrapText="1"/>
    </xf>
    <xf numFmtId="0" fontId="11" fillId="8" borderId="32" xfId="1" applyFont="1" applyFill="1" applyBorder="1" applyAlignment="1">
      <alignment horizontal="left" vertical="top" wrapText="1"/>
    </xf>
    <xf numFmtId="0" fontId="11" fillId="8" borderId="24" xfId="1" applyFont="1" applyFill="1" applyBorder="1" applyAlignment="1">
      <alignment horizontal="left" vertical="top" wrapText="1"/>
    </xf>
    <xf numFmtId="49" fontId="6" fillId="6" borderId="24" xfId="1" applyNumberFormat="1" applyFill="1" applyBorder="1" applyAlignment="1">
      <alignment horizontal="center" vertical="center" wrapText="1"/>
    </xf>
    <xf numFmtId="0" fontId="14" fillId="0" borderId="25" xfId="1" applyFont="1" applyBorder="1" applyAlignment="1">
      <alignment horizontal="center" vertical="center" wrapText="1"/>
    </xf>
    <xf numFmtId="0" fontId="6" fillId="8" borderId="32" xfId="1" applyFill="1" applyBorder="1" applyAlignment="1">
      <alignment vertical="top" wrapText="1"/>
    </xf>
    <xf numFmtId="0" fontId="6" fillId="8" borderId="24" xfId="1" applyFill="1" applyBorder="1" applyAlignment="1">
      <alignment vertical="top" wrapText="1"/>
    </xf>
    <xf numFmtId="0" fontId="10" fillId="7" borderId="25" xfId="1" applyFont="1" applyFill="1" applyBorder="1" applyAlignment="1">
      <alignment horizontal="center" vertical="center"/>
    </xf>
    <xf numFmtId="0" fontId="11" fillId="8" borderId="32" xfId="1" applyFont="1" applyFill="1" applyBorder="1" applyAlignment="1">
      <alignment vertical="top" wrapText="1"/>
    </xf>
    <xf numFmtId="0" fontId="11" fillId="8" borderId="24" xfId="1" applyFont="1" applyFill="1" applyBorder="1" applyAlignment="1">
      <alignment vertical="top" wrapText="1"/>
    </xf>
    <xf numFmtId="0" fontId="11" fillId="8" borderId="38" xfId="1" applyFont="1" applyFill="1" applyBorder="1" applyAlignment="1">
      <alignment horizontal="left" vertical="top" wrapText="1"/>
    </xf>
    <xf numFmtId="0" fontId="11" fillId="8" borderId="30" xfId="1" applyFont="1" applyFill="1" applyBorder="1" applyAlignment="1">
      <alignment vertical="top" wrapText="1"/>
    </xf>
    <xf numFmtId="0" fontId="6" fillId="8" borderId="34" xfId="1" applyFill="1" applyBorder="1" applyAlignment="1">
      <alignment vertical="top" wrapText="1"/>
    </xf>
    <xf numFmtId="0" fontId="6" fillId="8" borderId="58" xfId="1" applyFill="1" applyBorder="1" applyAlignment="1">
      <alignment vertical="top" wrapText="1"/>
    </xf>
    <xf numFmtId="0" fontId="14" fillId="0" borderId="24" xfId="1" applyFont="1" applyBorder="1" applyAlignment="1">
      <alignment horizontal="center" vertical="center" wrapText="1"/>
    </xf>
    <xf numFmtId="0" fontId="17" fillId="7" borderId="25" xfId="1" quotePrefix="1" applyFont="1" applyFill="1" applyBorder="1" applyAlignment="1">
      <alignment horizontal="center" vertical="center" wrapText="1"/>
    </xf>
    <xf numFmtId="0" fontId="21" fillId="0" borderId="25" xfId="1" applyFont="1" applyBorder="1" applyAlignment="1">
      <alignment horizontal="center" vertical="center" wrapText="1"/>
    </xf>
    <xf numFmtId="0" fontId="9" fillId="7" borderId="16" xfId="1" applyFont="1" applyFill="1" applyBorder="1" applyAlignment="1">
      <alignment horizontal="center" vertical="center" wrapText="1"/>
    </xf>
    <xf numFmtId="0" fontId="9" fillId="7" borderId="17" xfId="1" quotePrefix="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xf>
    <xf numFmtId="0" fontId="6" fillId="7" borderId="17" xfId="1" applyFill="1" applyBorder="1" applyAlignment="1">
      <alignment vertical="center" wrapText="1"/>
    </xf>
    <xf numFmtId="0" fontId="6" fillId="13" borderId="17" xfId="1" applyFill="1" applyBorder="1"/>
    <xf numFmtId="0" fontId="6" fillId="13" borderId="18" xfId="1" applyFill="1" applyBorder="1"/>
    <xf numFmtId="0" fontId="6" fillId="8" borderId="16" xfId="1" applyFill="1" applyBorder="1" applyAlignment="1">
      <alignment horizontal="center" vertical="center"/>
    </xf>
    <xf numFmtId="0" fontId="6" fillId="8" borderId="17" xfId="1" applyFill="1" applyBorder="1" applyAlignment="1">
      <alignment vertical="top" wrapText="1"/>
    </xf>
    <xf numFmtId="0" fontId="6" fillId="8" borderId="17" xfId="1" applyFill="1" applyBorder="1" applyAlignment="1">
      <alignment horizontal="center" vertical="center" wrapText="1"/>
    </xf>
    <xf numFmtId="0" fontId="6" fillId="8" borderId="18" xfId="1" applyFill="1" applyBorder="1" applyAlignment="1">
      <alignment vertical="top" wrapText="1"/>
    </xf>
    <xf numFmtId="0" fontId="6" fillId="8" borderId="59" xfId="1" applyFill="1" applyBorder="1" applyAlignment="1">
      <alignment vertical="top" wrapText="1"/>
    </xf>
    <xf numFmtId="0" fontId="11" fillId="8" borderId="40" xfId="1" applyFont="1" applyFill="1" applyBorder="1" applyAlignment="1">
      <alignment horizontal="left" vertical="top" wrapText="1"/>
    </xf>
    <xf numFmtId="0" fontId="6" fillId="8" borderId="41" xfId="1" applyFill="1" applyBorder="1" applyAlignment="1">
      <alignment vertical="top" wrapText="1"/>
    </xf>
    <xf numFmtId="0" fontId="14" fillId="0" borderId="17" xfId="1" applyFont="1" applyBorder="1" applyAlignment="1">
      <alignment horizontal="center" vertical="center" wrapText="1"/>
    </xf>
    <xf numFmtId="49" fontId="6" fillId="0" borderId="17" xfId="1" applyNumberFormat="1" applyBorder="1" applyAlignment="1">
      <alignment horizontal="center" vertical="center" wrapText="1"/>
    </xf>
    <xf numFmtId="49" fontId="6" fillId="6" borderId="17" xfId="1" applyNumberFormat="1" applyFill="1" applyBorder="1" applyAlignment="1">
      <alignment horizontal="center" vertical="top" wrapText="1"/>
    </xf>
    <xf numFmtId="49" fontId="11" fillId="6" borderId="17" xfId="1" applyNumberFormat="1" applyFont="1" applyFill="1" applyBorder="1" applyAlignment="1">
      <alignment horizontal="center" vertical="center" wrapText="1"/>
    </xf>
    <xf numFmtId="49" fontId="6" fillId="6" borderId="17" xfId="1" applyNumberFormat="1" applyFill="1" applyBorder="1" applyAlignment="1">
      <alignment horizontal="center" vertical="center" wrapText="1"/>
    </xf>
    <xf numFmtId="49" fontId="6" fillId="6" borderId="40" xfId="1" applyNumberFormat="1" applyFill="1" applyBorder="1" applyAlignment="1">
      <alignment horizontal="center" vertical="center" wrapText="1"/>
    </xf>
    <xf numFmtId="0" fontId="6" fillId="0" borderId="0" xfId="1" applyAlignment="1">
      <alignment horizontal="center" vertical="center"/>
    </xf>
    <xf numFmtId="0" fontId="6" fillId="0" borderId="0" xfId="1" applyAlignment="1">
      <alignment vertical="top"/>
    </xf>
    <xf numFmtId="0" fontId="6" fillId="0" borderId="0" xfId="1" applyAlignment="1">
      <alignment horizontal="center"/>
    </xf>
    <xf numFmtId="0" fontId="6" fillId="6" borderId="0" xfId="1" applyFill="1" applyAlignment="1">
      <alignment horizontal="left"/>
    </xf>
    <xf numFmtId="0" fontId="7" fillId="6" borderId="0" xfId="1" applyFont="1" applyFill="1" applyAlignment="1">
      <alignment horizontal="center" vertical="center" wrapText="1"/>
    </xf>
    <xf numFmtId="0" fontId="6" fillId="6" borderId="0" xfId="1" applyFill="1" applyAlignment="1">
      <alignment horizontal="center" vertical="top"/>
    </xf>
    <xf numFmtId="0" fontId="7" fillId="7" borderId="9" xfId="1" applyFont="1" applyFill="1" applyBorder="1" applyAlignment="1">
      <alignment horizontal="center" vertical="center" wrapText="1"/>
    </xf>
    <xf numFmtId="49" fontId="8" fillId="12" borderId="55" xfId="1" applyNumberFormat="1" applyFont="1" applyFill="1" applyBorder="1" applyAlignment="1">
      <alignment horizontal="center" vertical="center" wrapText="1"/>
    </xf>
    <xf numFmtId="49" fontId="6" fillId="12" borderId="10" xfId="1" applyNumberFormat="1" applyFill="1" applyBorder="1" applyAlignment="1">
      <alignment horizontal="center" vertical="center" wrapText="1"/>
    </xf>
    <xf numFmtId="49" fontId="6" fillId="12" borderId="11" xfId="1" applyNumberFormat="1" applyFill="1" applyBorder="1" applyAlignment="1">
      <alignment horizontal="center" vertical="center" wrapText="1"/>
    </xf>
    <xf numFmtId="0" fontId="7" fillId="7" borderId="31" xfId="1" applyFont="1" applyFill="1" applyBorder="1" applyAlignment="1">
      <alignment horizontal="center" vertical="center" wrapText="1"/>
    </xf>
    <xf numFmtId="0" fontId="7" fillId="7" borderId="25" xfId="1" applyFont="1" applyFill="1" applyBorder="1" applyAlignment="1">
      <alignment horizontal="center" vertical="center" wrapText="1"/>
    </xf>
    <xf numFmtId="0" fontId="7" fillId="7" borderId="25" xfId="1" applyFont="1" applyFill="1" applyBorder="1" applyAlignment="1">
      <alignment vertical="top" wrapText="1"/>
    </xf>
    <xf numFmtId="0" fontId="7" fillId="7" borderId="32" xfId="1" applyFont="1" applyFill="1" applyBorder="1" applyAlignment="1">
      <alignment vertical="top" wrapText="1"/>
    </xf>
    <xf numFmtId="0" fontId="24" fillId="12" borderId="35" xfId="2" applyFont="1" applyFill="1" applyBorder="1" applyAlignment="1">
      <alignment horizontal="center" vertical="center" wrapText="1"/>
    </xf>
    <xf numFmtId="0" fontId="6" fillId="7" borderId="25" xfId="1" applyFill="1" applyBorder="1" applyAlignment="1">
      <alignment horizontal="left" vertical="top"/>
    </xf>
    <xf numFmtId="0" fontId="6" fillId="9" borderId="25" xfId="1" applyFill="1" applyBorder="1"/>
    <xf numFmtId="0" fontId="6" fillId="9" borderId="32" xfId="1" applyFill="1" applyBorder="1"/>
    <xf numFmtId="0" fontId="6" fillId="8" borderId="3" xfId="1" applyFill="1" applyBorder="1" applyAlignment="1">
      <alignment horizontal="left" vertical="top"/>
    </xf>
    <xf numFmtId="0" fontId="6" fillId="8" borderId="5" xfId="1" applyFill="1" applyBorder="1" applyAlignment="1">
      <alignment horizontal="left" vertical="top"/>
    </xf>
    <xf numFmtId="0" fontId="6" fillId="8" borderId="55" xfId="1" applyFill="1" applyBorder="1" applyAlignment="1">
      <alignment horizontal="left" vertical="top" wrapText="1"/>
    </xf>
    <xf numFmtId="0" fontId="6" fillId="8" borderId="25" xfId="1" applyFill="1" applyBorder="1" applyAlignment="1">
      <alignment horizontal="center" vertical="top"/>
    </xf>
    <xf numFmtId="49" fontId="6" fillId="6" borderId="32" xfId="1" applyNumberFormat="1" applyFill="1" applyBorder="1" applyAlignment="1">
      <alignment horizontal="center" vertical="center" wrapText="1"/>
    </xf>
    <xf numFmtId="0" fontId="6" fillId="0" borderId="25" xfId="1" applyBorder="1" applyAlignment="1">
      <alignment horizontal="center" vertical="center" wrapText="1"/>
    </xf>
    <xf numFmtId="0" fontId="6" fillId="7" borderId="25" xfId="1" applyFill="1" applyBorder="1" applyAlignment="1">
      <alignment horizontal="left" vertical="top" wrapText="1"/>
    </xf>
    <xf numFmtId="0" fontId="6" fillId="8" borderId="31" xfId="1" applyFill="1" applyBorder="1" applyAlignment="1">
      <alignment horizontal="left" vertical="top"/>
    </xf>
    <xf numFmtId="0" fontId="6" fillId="8" borderId="32" xfId="1" applyFill="1" applyBorder="1" applyAlignment="1">
      <alignment horizontal="left" vertical="top" wrapText="1"/>
    </xf>
    <xf numFmtId="0" fontId="6" fillId="8" borderId="24" xfId="1" applyFill="1" applyBorder="1" applyAlignment="1">
      <alignment horizontal="left" vertical="top" wrapText="1"/>
    </xf>
    <xf numFmtId="0" fontId="6" fillId="7" borderId="35" xfId="1" applyFill="1" applyBorder="1" applyAlignment="1">
      <alignment horizontal="left" vertical="top" wrapText="1"/>
    </xf>
    <xf numFmtId="0" fontId="6" fillId="9" borderId="35" xfId="1" applyFill="1" applyBorder="1" applyAlignment="1">
      <alignment horizontal="left"/>
    </xf>
    <xf numFmtId="0" fontId="6" fillId="9" borderId="36" xfId="1" applyFill="1" applyBorder="1" applyAlignment="1">
      <alignment horizontal="left"/>
    </xf>
    <xf numFmtId="49" fontId="6" fillId="14" borderId="24" xfId="1" applyNumberFormat="1" applyFill="1" applyBorder="1" applyAlignment="1">
      <alignment horizontal="left" vertical="center" wrapText="1"/>
    </xf>
    <xf numFmtId="49" fontId="6" fillId="14" borderId="25" xfId="1" applyNumberFormat="1" applyFill="1" applyBorder="1" applyAlignment="1">
      <alignment horizontal="left" vertical="center" wrapText="1"/>
    </xf>
    <xf numFmtId="49" fontId="6" fillId="14" borderId="25" xfId="1" applyNumberFormat="1" applyFill="1" applyBorder="1" applyAlignment="1">
      <alignment horizontal="left" vertical="top" wrapText="1"/>
    </xf>
    <xf numFmtId="49" fontId="6" fillId="14" borderId="32" xfId="1" applyNumberFormat="1" applyFill="1" applyBorder="1" applyAlignment="1">
      <alignment horizontal="left" vertical="center" wrapText="1"/>
    </xf>
    <xf numFmtId="0" fontId="6" fillId="0" borderId="25" xfId="1" applyBorder="1" applyAlignment="1">
      <alignment horizontal="left" vertical="center" wrapText="1"/>
    </xf>
    <xf numFmtId="0" fontId="6" fillId="8" borderId="24" xfId="1" applyFill="1" applyBorder="1" applyAlignment="1">
      <alignment horizontal="center" vertical="top"/>
    </xf>
    <xf numFmtId="0" fontId="9" fillId="6" borderId="25" xfId="1" applyFont="1" applyFill="1" applyBorder="1" applyAlignment="1">
      <alignment horizontal="center" vertical="center" wrapText="1"/>
    </xf>
    <xf numFmtId="16" fontId="10" fillId="7" borderId="25" xfId="1" quotePrefix="1" applyNumberFormat="1" applyFont="1" applyFill="1" applyBorder="1" applyAlignment="1">
      <alignment horizontal="left" vertical="center" wrapText="1"/>
    </xf>
    <xf numFmtId="49" fontId="11" fillId="0" borderId="25" xfId="1" applyNumberFormat="1" applyFont="1" applyBorder="1" applyAlignment="1">
      <alignment horizontal="center" vertical="center" wrapText="1"/>
    </xf>
    <xf numFmtId="0" fontId="9" fillId="7" borderId="35" xfId="1" quotePrefix="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xf>
    <xf numFmtId="0" fontId="10" fillId="7" borderId="35" xfId="1" applyFont="1" applyFill="1" applyBorder="1" applyAlignment="1">
      <alignment horizontal="center" vertical="center" wrapText="1"/>
    </xf>
    <xf numFmtId="0" fontId="6" fillId="9" borderId="35" xfId="1" applyFill="1" applyBorder="1" applyAlignment="1">
      <alignment horizontal="center" vertical="center"/>
    </xf>
    <xf numFmtId="0" fontId="6" fillId="9" borderId="36" xfId="1" applyFill="1" applyBorder="1" applyAlignment="1">
      <alignment horizontal="center"/>
    </xf>
    <xf numFmtId="0" fontId="6" fillId="6" borderId="0" xfId="1" applyFill="1" applyAlignment="1">
      <alignment horizontal="center"/>
    </xf>
    <xf numFmtId="0" fontId="6" fillId="8" borderId="35" xfId="1" applyFill="1" applyBorder="1" applyAlignment="1">
      <alignment horizontal="left" vertical="top" wrapText="1"/>
    </xf>
    <xf numFmtId="0" fontId="11" fillId="8" borderId="63" xfId="1" applyFont="1" applyFill="1" applyBorder="1" applyAlignment="1">
      <alignment horizontal="left" vertical="top" wrapText="1"/>
    </xf>
    <xf numFmtId="0" fontId="6" fillId="8" borderId="38" xfId="1" quotePrefix="1" applyFill="1" applyBorder="1" applyAlignment="1">
      <alignment vertical="top" wrapText="1"/>
    </xf>
    <xf numFmtId="0" fontId="6" fillId="8" borderId="58" xfId="1" applyFill="1" applyBorder="1" applyAlignment="1">
      <alignment horizontal="left" vertical="top" wrapText="1"/>
    </xf>
    <xf numFmtId="49" fontId="6" fillId="14" borderId="63" xfId="1" applyNumberFormat="1" applyFill="1" applyBorder="1" applyAlignment="1">
      <alignment horizontal="center" vertical="center" wrapText="1"/>
    </xf>
    <xf numFmtId="49" fontId="6" fillId="0" borderId="35" xfId="1" applyNumberFormat="1" applyBorder="1" applyAlignment="1">
      <alignment horizontal="center" vertical="center" wrapText="1"/>
    </xf>
    <xf numFmtId="49" fontId="6" fillId="6" borderId="35" xfId="1" applyNumberFormat="1" applyFill="1" applyBorder="1" applyAlignment="1">
      <alignment horizontal="center" vertical="top" wrapText="1"/>
    </xf>
    <xf numFmtId="49" fontId="6" fillId="6" borderId="36" xfId="1" applyNumberFormat="1" applyFill="1" applyBorder="1" applyAlignment="1">
      <alignment horizontal="center" vertical="center" wrapText="1"/>
    </xf>
    <xf numFmtId="0" fontId="6" fillId="0" borderId="63" xfId="1" applyBorder="1" applyAlignment="1">
      <alignment horizontal="center" vertical="center" wrapText="1"/>
    </xf>
    <xf numFmtId="0" fontId="0" fillId="0" borderId="0" xfId="0" applyAlignment="1">
      <alignment horizontal="center" vertical="center"/>
    </xf>
    <xf numFmtId="0" fontId="0" fillId="10" borderId="0" xfId="0" applyFill="1" applyAlignment="1">
      <alignment vertical="center"/>
    </xf>
    <xf numFmtId="0" fontId="25" fillId="0" borderId="1" xfId="0" applyFont="1" applyBorder="1" applyAlignment="1">
      <alignment horizontal="left" vertical="center" readingOrder="1"/>
    </xf>
    <xf numFmtId="0" fontId="4" fillId="3" borderId="0" xfId="0" applyFont="1" applyFill="1" applyAlignment="1">
      <alignment horizontal="center" vertical="center"/>
    </xf>
    <xf numFmtId="0" fontId="4" fillId="4" borderId="0" xfId="0" applyFont="1" applyFill="1" applyAlignment="1">
      <alignment horizontal="center" vertical="center"/>
    </xf>
    <xf numFmtId="0" fontId="25" fillId="0" borderId="1" xfId="0" applyFont="1" applyBorder="1" applyAlignment="1">
      <alignment horizontal="center" vertical="center" readingOrder="1"/>
    </xf>
    <xf numFmtId="0" fontId="4" fillId="0" borderId="64" xfId="0" applyFont="1" applyBorder="1"/>
    <xf numFmtId="0" fontId="4" fillId="6" borderId="65" xfId="0" applyFont="1" applyFill="1" applyBorder="1"/>
    <xf numFmtId="0" fontId="4" fillId="0" borderId="66" xfId="0" applyFont="1" applyBorder="1"/>
    <xf numFmtId="0" fontId="4" fillId="6" borderId="0" xfId="0" applyFont="1" applyFill="1"/>
    <xf numFmtId="0" fontId="27" fillId="6" borderId="0" xfId="0" applyFont="1" applyFill="1"/>
    <xf numFmtId="0" fontId="4" fillId="6" borderId="0" xfId="0" applyFont="1" applyFill="1" applyAlignment="1">
      <alignment horizontal="left"/>
    </xf>
    <xf numFmtId="0" fontId="28" fillId="0" borderId="67" xfId="0" applyFont="1" applyBorder="1" applyAlignment="1">
      <alignment vertical="top"/>
    </xf>
    <xf numFmtId="0" fontId="28" fillId="0" borderId="66" xfId="0" applyFont="1" applyBorder="1" applyAlignment="1">
      <alignment horizontal="left" vertical="top"/>
    </xf>
    <xf numFmtId="0" fontId="29" fillId="0" borderId="66" xfId="0" applyFont="1" applyBorder="1"/>
    <xf numFmtId="0" fontId="4" fillId="6" borderId="68" xfId="0" applyFont="1" applyFill="1" applyBorder="1"/>
    <xf numFmtId="0" fontId="4" fillId="6" borderId="69" xfId="0" applyFont="1" applyFill="1" applyBorder="1"/>
    <xf numFmtId="0" fontId="4" fillId="6" borderId="70" xfId="0" applyFont="1" applyFill="1" applyBorder="1"/>
    <xf numFmtId="0" fontId="4" fillId="6" borderId="71" xfId="0" applyFont="1" applyFill="1" applyBorder="1"/>
    <xf numFmtId="0" fontId="4" fillId="6" borderId="72" xfId="0" applyFont="1" applyFill="1" applyBorder="1"/>
    <xf numFmtId="0" fontId="35" fillId="0" borderId="0" xfId="0" applyFont="1"/>
    <xf numFmtId="0" fontId="29" fillId="2" borderId="0" xfId="0" applyFont="1" applyFill="1"/>
    <xf numFmtId="0" fontId="37" fillId="2" borderId="0" xfId="0" applyFont="1" applyFill="1"/>
    <xf numFmtId="0" fontId="27" fillId="0" borderId="42" xfId="0" applyFont="1" applyBorder="1"/>
    <xf numFmtId="0" fontId="4" fillId="0" borderId="83" xfId="0" applyFont="1" applyBorder="1"/>
    <xf numFmtId="0" fontId="4" fillId="0" borderId="85" xfId="0" applyFont="1" applyBorder="1"/>
    <xf numFmtId="0" fontId="27" fillId="0" borderId="0" xfId="0" applyFont="1"/>
    <xf numFmtId="0" fontId="5" fillId="0" borderId="0" xfId="0" applyFont="1" applyAlignment="1">
      <alignment horizontal="center" vertical="center"/>
    </xf>
    <xf numFmtId="0" fontId="28" fillId="0" borderId="0" xfId="0" applyFont="1" applyAlignment="1">
      <alignment horizontal="left" vertical="top"/>
    </xf>
    <xf numFmtId="16" fontId="27" fillId="0" borderId="42" xfId="0" applyNumberFormat="1" applyFont="1" applyBorder="1" applyAlignment="1">
      <alignment horizontal="center" vertical="center"/>
    </xf>
    <xf numFmtId="0" fontId="38" fillId="0" borderId="42" xfId="0" applyFont="1" applyBorder="1" applyAlignment="1">
      <alignment horizontal="center" vertical="center"/>
    </xf>
    <xf numFmtId="0" fontId="36" fillId="8" borderId="77" xfId="0" applyFont="1" applyFill="1" applyBorder="1" applyAlignment="1">
      <alignment vertical="top"/>
    </xf>
    <xf numFmtId="0" fontId="36" fillId="8" borderId="79" xfId="0" applyFont="1" applyFill="1" applyBorder="1" applyAlignment="1">
      <alignment vertical="top"/>
    </xf>
    <xf numFmtId="0" fontId="36" fillId="8" borderId="82" xfId="0" applyFont="1" applyFill="1" applyBorder="1" applyAlignment="1">
      <alignment vertical="top"/>
    </xf>
    <xf numFmtId="0" fontId="31" fillId="9" borderId="73" xfId="0" applyFont="1" applyFill="1" applyBorder="1" applyAlignment="1">
      <alignment horizontal="center"/>
    </xf>
    <xf numFmtId="0" fontId="32" fillId="3" borderId="89" xfId="0" applyFont="1" applyFill="1" applyBorder="1" applyAlignment="1">
      <alignment horizontal="left" indent="2"/>
    </xf>
    <xf numFmtId="0" fontId="33" fillId="3" borderId="90" xfId="0" applyFont="1" applyFill="1" applyBorder="1" applyAlignment="1">
      <alignment horizontal="left"/>
    </xf>
    <xf numFmtId="0" fontId="4" fillId="0" borderId="91" xfId="0" applyFont="1" applyBorder="1" applyAlignment="1">
      <alignment horizontal="center"/>
    </xf>
    <xf numFmtId="0" fontId="4" fillId="0" borderId="92" xfId="0" applyFont="1" applyBorder="1" applyAlignment="1">
      <alignment horizontal="center"/>
    </xf>
    <xf numFmtId="0" fontId="4" fillId="0" borderId="93" xfId="0" applyFont="1" applyBorder="1" applyAlignment="1">
      <alignment horizontal="center"/>
    </xf>
    <xf numFmtId="0" fontId="31" fillId="9" borderId="94" xfId="0" applyFont="1" applyFill="1" applyBorder="1" applyAlignment="1">
      <alignment horizontal="center"/>
    </xf>
    <xf numFmtId="0" fontId="5" fillId="0" borderId="0" xfId="0" applyFont="1" applyAlignment="1">
      <alignment horizontal="left"/>
    </xf>
    <xf numFmtId="0" fontId="31" fillId="9" borderId="95" xfId="0" applyFont="1" applyFill="1" applyBorder="1" applyAlignment="1">
      <alignment horizontal="center"/>
    </xf>
    <xf numFmtId="0" fontId="31" fillId="9" borderId="96" xfId="0" applyFont="1" applyFill="1" applyBorder="1" applyAlignment="1">
      <alignment horizontal="center"/>
    </xf>
    <xf numFmtId="0" fontId="6" fillId="0" borderId="84" xfId="0" applyFont="1" applyBorder="1" applyAlignment="1">
      <alignment horizontal="center" vertical="center"/>
    </xf>
    <xf numFmtId="0" fontId="6" fillId="0" borderId="0" xfId="0" applyFont="1" applyAlignment="1">
      <alignment horizontal="center" vertical="center"/>
    </xf>
    <xf numFmtId="0" fontId="0" fillId="0" borderId="85" xfId="0" applyBorder="1" applyAlignment="1">
      <alignment horizontal="center" vertical="center"/>
    </xf>
    <xf numFmtId="0" fontId="6" fillId="0" borderId="84" xfId="0" applyFont="1" applyBorder="1" applyAlignment="1">
      <alignment horizontal="center"/>
    </xf>
    <xf numFmtId="0" fontId="6" fillId="0" borderId="0" xfId="0" applyFont="1" applyAlignment="1">
      <alignment horizontal="center"/>
    </xf>
    <xf numFmtId="0" fontId="0" fillId="0" borderId="85" xfId="0" applyBorder="1" applyAlignment="1">
      <alignment horizontal="center"/>
    </xf>
    <xf numFmtId="17" fontId="26" fillId="16" borderId="74" xfId="0" applyNumberFormat="1" applyFont="1" applyFill="1" applyBorder="1" applyAlignment="1">
      <alignment horizontal="center" vertical="center"/>
    </xf>
    <xf numFmtId="17" fontId="26" fillId="17" borderId="74" xfId="0" applyNumberFormat="1" applyFont="1" applyFill="1" applyBorder="1" applyAlignment="1">
      <alignment horizontal="center" vertical="center"/>
    </xf>
    <xf numFmtId="17" fontId="26" fillId="18" borderId="74" xfId="0" applyNumberFormat="1" applyFont="1" applyFill="1" applyBorder="1" applyAlignment="1">
      <alignment horizontal="center" vertical="center"/>
    </xf>
    <xf numFmtId="17" fontId="26" fillId="19" borderId="74" xfId="0" applyNumberFormat="1" applyFont="1" applyFill="1" applyBorder="1" applyAlignment="1">
      <alignment horizontal="center" vertical="center" wrapText="1"/>
    </xf>
    <xf numFmtId="17" fontId="26" fillId="21" borderId="74" xfId="0" applyNumberFormat="1" applyFont="1" applyFill="1" applyBorder="1" applyAlignment="1">
      <alignment horizontal="center" vertical="center"/>
    </xf>
    <xf numFmtId="0" fontId="32" fillId="3" borderId="97" xfId="0" applyFont="1" applyFill="1" applyBorder="1" applyAlignment="1">
      <alignment horizontal="left" indent="2"/>
    </xf>
    <xf numFmtId="0" fontId="33" fillId="3" borderId="98" xfId="0" applyFont="1" applyFill="1" applyBorder="1" applyAlignment="1">
      <alignment horizontal="left"/>
    </xf>
    <xf numFmtId="0" fontId="4" fillId="0" borderId="99" xfId="0" applyFont="1" applyBorder="1" applyAlignment="1">
      <alignment horizontal="center"/>
    </xf>
    <xf numFmtId="0" fontId="4" fillId="0" borderId="100" xfId="0" applyFont="1" applyBorder="1" applyAlignment="1">
      <alignment horizontal="center"/>
    </xf>
    <xf numFmtId="0" fontId="4" fillId="0" borderId="99" xfId="0" quotePrefix="1" applyFont="1" applyBorder="1" applyAlignment="1">
      <alignment horizontal="center"/>
    </xf>
    <xf numFmtId="0" fontId="4" fillId="0" borderId="101" xfId="0" quotePrefix="1" applyFont="1" applyBorder="1" applyAlignment="1">
      <alignment horizontal="center"/>
    </xf>
    <xf numFmtId="0" fontId="31" fillId="0" borderId="0" xfId="0" applyFont="1" applyAlignment="1">
      <alignment horizontal="left"/>
    </xf>
    <xf numFmtId="0" fontId="31" fillId="0" borderId="0" xfId="0" applyFont="1" applyAlignment="1">
      <alignment horizontal="center"/>
    </xf>
    <xf numFmtId="0" fontId="42" fillId="6" borderId="0" xfId="0" applyFont="1" applyFill="1"/>
    <xf numFmtId="0" fontId="42" fillId="6" borderId="0" xfId="0" applyFont="1" applyFill="1" applyAlignment="1">
      <alignment horizontal="left"/>
    </xf>
    <xf numFmtId="0" fontId="42" fillId="0" borderId="0" xfId="0" applyFont="1"/>
    <xf numFmtId="17" fontId="26" fillId="16" borderId="88" xfId="0" applyNumberFormat="1" applyFont="1" applyFill="1" applyBorder="1" applyAlignment="1">
      <alignment horizontal="center" vertical="center"/>
    </xf>
    <xf numFmtId="0" fontId="43" fillId="9" borderId="94" xfId="0" applyFont="1" applyFill="1" applyBorder="1" applyAlignment="1">
      <alignment horizontal="center"/>
    </xf>
    <xf numFmtId="0" fontId="43" fillId="9" borderId="96" xfId="0" applyFont="1" applyFill="1" applyBorder="1" applyAlignment="1">
      <alignment horizontal="center"/>
    </xf>
    <xf numFmtId="0" fontId="43" fillId="9" borderId="80" xfId="0" applyFont="1" applyFill="1" applyBorder="1" applyAlignment="1">
      <alignment horizontal="centerContinuous"/>
    </xf>
    <xf numFmtId="0" fontId="43" fillId="9" borderId="81" xfId="0" applyFont="1" applyFill="1" applyBorder="1" applyAlignment="1">
      <alignment horizontal="centerContinuous"/>
    </xf>
    <xf numFmtId="0" fontId="30" fillId="15" borderId="86" xfId="0" applyFont="1" applyFill="1" applyBorder="1" applyAlignment="1">
      <alignment horizontal="centerContinuous"/>
    </xf>
    <xf numFmtId="0" fontId="30" fillId="15" borderId="88" xfId="0" applyFont="1" applyFill="1" applyBorder="1" applyAlignment="1">
      <alignment horizontal="centerContinuous"/>
    </xf>
    <xf numFmtId="0" fontId="27" fillId="0" borderId="0" xfId="0" applyFont="1" applyAlignment="1">
      <alignment horizontal="left" vertical="center"/>
    </xf>
    <xf numFmtId="0" fontId="0" fillId="3" borderId="0" xfId="0" applyFill="1"/>
    <xf numFmtId="0" fontId="36" fillId="0" borderId="0" xfId="0" applyFont="1" applyAlignment="1">
      <alignment vertical="top" wrapText="1"/>
    </xf>
    <xf numFmtId="0" fontId="1" fillId="20" borderId="0" xfId="0" applyFont="1" applyFill="1" applyAlignment="1">
      <alignment vertical="center" wrapText="1"/>
    </xf>
    <xf numFmtId="0" fontId="8" fillId="8" borderId="20" xfId="1" applyFont="1" applyFill="1" applyBorder="1" applyAlignment="1">
      <alignment horizontal="center" vertical="center" wrapText="1"/>
    </xf>
    <xf numFmtId="0" fontId="8" fillId="8" borderId="2" xfId="1" applyFont="1" applyFill="1" applyBorder="1" applyAlignment="1">
      <alignment horizontal="center" vertical="center" wrapText="1"/>
    </xf>
    <xf numFmtId="0" fontId="11" fillId="8" borderId="27" xfId="1" applyFont="1" applyFill="1" applyBorder="1" applyAlignment="1">
      <alignment horizontal="left" vertical="top" wrapText="1"/>
    </xf>
    <xf numFmtId="0" fontId="11" fillId="8" borderId="9" xfId="1" applyFont="1" applyFill="1" applyBorder="1" applyAlignment="1">
      <alignment horizontal="left" vertical="top" wrapText="1"/>
    </xf>
    <xf numFmtId="0" fontId="11" fillId="8" borderId="29" xfId="1" applyFont="1" applyFill="1" applyBorder="1" applyAlignment="1">
      <alignment horizontal="left" vertical="top" wrapText="1"/>
    </xf>
    <xf numFmtId="0" fontId="11" fillId="8" borderId="33" xfId="1" quotePrefix="1" applyFont="1" applyFill="1" applyBorder="1" applyAlignment="1">
      <alignment horizontal="left" vertical="top" wrapText="1"/>
    </xf>
    <xf numFmtId="0" fontId="11" fillId="8" borderId="37" xfId="1" applyFont="1" applyFill="1" applyBorder="1" applyAlignment="1">
      <alignment horizontal="left" vertical="top" wrapText="1"/>
    </xf>
    <xf numFmtId="0" fontId="1" fillId="20" borderId="76" xfId="0" applyFont="1" applyFill="1" applyBorder="1" applyAlignment="1">
      <alignment vertical="center" wrapText="1"/>
    </xf>
    <xf numFmtId="0" fontId="1" fillId="19" borderId="0" xfId="0" applyFont="1" applyFill="1" applyAlignment="1">
      <alignment horizontal="center" wrapText="1"/>
    </xf>
    <xf numFmtId="0" fontId="45" fillId="0" borderId="1" xfId="0" applyFont="1" applyBorder="1" applyAlignment="1">
      <alignment horizontal="left" vertical="center" readingOrder="1"/>
    </xf>
    <xf numFmtId="0" fontId="30" fillId="15" borderId="78" xfId="0" applyFont="1" applyFill="1" applyBorder="1" applyAlignment="1">
      <alignment vertical="center"/>
    </xf>
    <xf numFmtId="0" fontId="30" fillId="15" borderId="0" xfId="0" applyFont="1" applyFill="1" applyAlignment="1">
      <alignment vertical="center"/>
    </xf>
    <xf numFmtId="0" fontId="30" fillId="15" borderId="0" xfId="0" applyFont="1" applyFill="1" applyAlignment="1">
      <alignment horizontal="center" vertical="center"/>
    </xf>
    <xf numFmtId="9" fontId="30" fillId="15" borderId="0" xfId="3" applyFont="1" applyFill="1" applyBorder="1" applyAlignment="1">
      <alignment horizontal="center" vertical="center"/>
    </xf>
    <xf numFmtId="0" fontId="33" fillId="3" borderId="88" xfId="0" applyFont="1" applyFill="1" applyBorder="1" applyAlignment="1">
      <alignment horizontal="left" vertical="center"/>
    </xf>
    <xf numFmtId="0" fontId="4" fillId="3" borderId="107" xfId="0" applyFont="1" applyFill="1" applyBorder="1" applyAlignment="1">
      <alignment horizontal="center" vertical="center"/>
    </xf>
    <xf numFmtId="0" fontId="32" fillId="0" borderId="105" xfId="0" applyFont="1" applyBorder="1" applyAlignment="1">
      <alignment horizontal="left" vertical="center"/>
    </xf>
    <xf numFmtId="0" fontId="4" fillId="0" borderId="108" xfId="0" applyFont="1" applyBorder="1" applyAlignment="1">
      <alignment horizontal="center" vertical="center"/>
    </xf>
    <xf numFmtId="0" fontId="32" fillId="0" borderId="103" xfId="0" applyFont="1" applyBorder="1" applyAlignment="1">
      <alignment horizontal="left" vertical="center"/>
    </xf>
    <xf numFmtId="0" fontId="4" fillId="0" borderId="109" xfId="0" applyFont="1" applyBorder="1" applyAlignment="1">
      <alignment horizontal="center" vertical="center"/>
    </xf>
    <xf numFmtId="0" fontId="33" fillId="3" borderId="106" xfId="0" applyFont="1" applyFill="1" applyBorder="1" applyAlignment="1">
      <alignment horizontal="left" vertical="center"/>
    </xf>
    <xf numFmtId="0" fontId="4" fillId="3" borderId="110" xfId="0" applyFont="1" applyFill="1" applyBorder="1" applyAlignment="1">
      <alignment horizontal="center" vertical="center"/>
    </xf>
    <xf numFmtId="0" fontId="29" fillId="15" borderId="0" xfId="0" applyFont="1" applyFill="1" applyAlignment="1">
      <alignment vertical="center"/>
    </xf>
    <xf numFmtId="49" fontId="49" fillId="15" borderId="79" xfId="0" applyNumberFormat="1" applyFont="1" applyFill="1" applyBorder="1" applyAlignment="1">
      <alignment horizontal="center" vertical="center"/>
    </xf>
    <xf numFmtId="49" fontId="48" fillId="0" borderId="105" xfId="0" applyNumberFormat="1" applyFont="1" applyBorder="1" applyAlignment="1">
      <alignment horizontal="center" vertical="center"/>
    </xf>
    <xf numFmtId="49" fontId="48" fillId="0" borderId="103" xfId="0" applyNumberFormat="1" applyFont="1" applyBorder="1" applyAlignment="1">
      <alignment horizontal="center" vertical="center"/>
    </xf>
    <xf numFmtId="49" fontId="48" fillId="3" borderId="88" xfId="0" applyNumberFormat="1" applyFont="1" applyFill="1" applyBorder="1" applyAlignment="1">
      <alignment horizontal="center" vertical="center"/>
    </xf>
    <xf numFmtId="49" fontId="29" fillId="15" borderId="0" xfId="0" applyNumberFormat="1" applyFont="1" applyFill="1" applyAlignment="1">
      <alignment horizontal="center" vertical="center"/>
    </xf>
    <xf numFmtId="49" fontId="48" fillId="3" borderId="106" xfId="0" applyNumberFormat="1" applyFont="1" applyFill="1" applyBorder="1" applyAlignment="1">
      <alignment horizontal="center" vertical="center"/>
    </xf>
    <xf numFmtId="0" fontId="39" fillId="3" borderId="86" xfId="0" applyFont="1" applyFill="1" applyBorder="1" applyAlignment="1">
      <alignment horizontal="left" vertical="center" indent="1"/>
    </xf>
    <xf numFmtId="0" fontId="39" fillId="3" borderId="89" xfId="0" applyFont="1" applyFill="1" applyBorder="1" applyAlignment="1">
      <alignment horizontal="left" vertical="center" indent="1"/>
    </xf>
    <xf numFmtId="0" fontId="32" fillId="0" borderId="104" xfId="0" applyFont="1" applyBorder="1" applyAlignment="1">
      <alignment horizontal="left" vertical="center" indent="2"/>
    </xf>
    <xf numFmtId="0" fontId="32" fillId="0" borderId="102" xfId="0" applyFont="1" applyBorder="1" applyAlignment="1">
      <alignment horizontal="left" vertical="center" indent="2"/>
    </xf>
    <xf numFmtId="0" fontId="51" fillId="3" borderId="86" xfId="0" applyFont="1" applyFill="1" applyBorder="1" applyAlignment="1">
      <alignment horizontal="left" vertical="center" indent="1"/>
    </xf>
    <xf numFmtId="0" fontId="52" fillId="0" borderId="104" xfId="0" applyFont="1" applyBorder="1" applyAlignment="1">
      <alignment horizontal="left" vertical="center" indent="2"/>
    </xf>
    <xf numFmtId="0" fontId="52" fillId="0" borderId="102" xfId="0" applyFont="1" applyBorder="1" applyAlignment="1">
      <alignment horizontal="left" vertical="center" indent="2"/>
    </xf>
    <xf numFmtId="0" fontId="51" fillId="3" borderId="89" xfId="0" applyFont="1" applyFill="1" applyBorder="1" applyAlignment="1">
      <alignment horizontal="left" vertical="center" indent="1"/>
    </xf>
    <xf numFmtId="0" fontId="54" fillId="3" borderId="111" xfId="0" applyFont="1" applyFill="1" applyBorder="1"/>
    <xf numFmtId="0" fontId="54" fillId="3" borderId="111" xfId="0" applyFont="1" applyFill="1" applyBorder="1" applyAlignment="1">
      <alignment horizontal="center"/>
    </xf>
    <xf numFmtId="0" fontId="55" fillId="3" borderId="87" xfId="0" applyFont="1" applyFill="1" applyBorder="1" applyAlignment="1">
      <alignment horizontal="center"/>
    </xf>
    <xf numFmtId="0" fontId="55" fillId="3" borderId="88" xfId="0" applyFont="1" applyFill="1" applyBorder="1" applyAlignment="1">
      <alignment horizontal="center"/>
    </xf>
    <xf numFmtId="0" fontId="56" fillId="0" borderId="1" xfId="0" applyFont="1" applyBorder="1" applyAlignment="1">
      <alignment horizontal="left" vertical="center" readingOrder="1"/>
    </xf>
    <xf numFmtId="0" fontId="0" fillId="0" borderId="1" xfId="0" applyBorder="1" applyAlignment="1">
      <alignment horizontal="left" vertical="center" readingOrder="1"/>
    </xf>
    <xf numFmtId="0" fontId="56" fillId="0" borderId="1" xfId="0" applyFont="1" applyBorder="1" applyAlignment="1">
      <alignment horizontal="center" vertical="center" readingOrder="1"/>
    </xf>
    <xf numFmtId="49" fontId="4" fillId="3" borderId="115" xfId="0" applyNumberFormat="1" applyFont="1" applyFill="1" applyBorder="1" applyAlignment="1">
      <alignment horizontal="left" vertical="center"/>
    </xf>
    <xf numFmtId="0" fontId="1" fillId="21" borderId="76" xfId="0" applyFont="1" applyFill="1" applyBorder="1" applyAlignment="1">
      <alignment horizontal="centerContinuous" wrapText="1"/>
    </xf>
    <xf numFmtId="0" fontId="60" fillId="3" borderId="116" xfId="0" applyFont="1" applyFill="1" applyBorder="1"/>
    <xf numFmtId="0" fontId="60" fillId="3" borderId="111" xfId="0" applyFont="1" applyFill="1" applyBorder="1"/>
    <xf numFmtId="0" fontId="60" fillId="3" borderId="111" xfId="0" applyFont="1" applyFill="1" applyBorder="1" applyAlignment="1">
      <alignment horizontal="center" vertical="center"/>
    </xf>
    <xf numFmtId="14" fontId="60" fillId="3" borderId="111" xfId="0" applyNumberFormat="1" applyFont="1" applyFill="1" applyBorder="1" applyAlignment="1">
      <alignment horizontal="center" vertical="center"/>
    </xf>
    <xf numFmtId="3" fontId="60" fillId="3" borderId="111" xfId="0" applyNumberFormat="1" applyFont="1" applyFill="1" applyBorder="1" applyAlignment="1">
      <alignment horizontal="center" vertical="center"/>
    </xf>
    <xf numFmtId="9" fontId="60" fillId="3" borderId="111" xfId="3" applyFont="1" applyFill="1" applyBorder="1" applyAlignment="1">
      <alignment horizontal="center" vertical="center"/>
    </xf>
    <xf numFmtId="0" fontId="61" fillId="24" borderId="111" xfId="4" applyFont="1" applyBorder="1" applyAlignment="1">
      <alignment horizontal="center" vertical="center"/>
    </xf>
    <xf numFmtId="0" fontId="59" fillId="0" borderId="0" xfId="0" applyFont="1" applyAlignment="1">
      <alignment horizontal="center"/>
    </xf>
    <xf numFmtId="0" fontId="7" fillId="8" borderId="33" xfId="1" applyFont="1" applyFill="1" applyBorder="1" applyAlignment="1">
      <alignment horizontal="center" vertical="center" wrapText="1"/>
    </xf>
    <xf numFmtId="0" fontId="6" fillId="6" borderId="25" xfId="1" applyFill="1" applyBorder="1" applyAlignment="1">
      <alignment horizontal="center" vertical="center" wrapText="1"/>
    </xf>
    <xf numFmtId="0" fontId="6" fillId="8" borderId="33" xfId="1" applyFill="1" applyBorder="1" applyAlignment="1">
      <alignment horizontal="center" vertical="top" wrapText="1"/>
    </xf>
    <xf numFmtId="0" fontId="6" fillId="6" borderId="10" xfId="1" applyFill="1" applyBorder="1" applyAlignment="1">
      <alignment horizontal="center" vertical="top" wrapText="1"/>
    </xf>
    <xf numFmtId="0" fontId="6" fillId="6" borderId="25" xfId="1" applyFill="1" applyBorder="1" applyAlignment="1">
      <alignment horizontal="center" vertical="top" wrapText="1"/>
    </xf>
    <xf numFmtId="0" fontId="9" fillId="7" borderId="24" xfId="1" applyFont="1" applyFill="1" applyBorder="1" applyAlignment="1">
      <alignment horizontal="center" vertical="center" wrapText="1"/>
    </xf>
    <xf numFmtId="0" fontId="6" fillId="6" borderId="35" xfId="1" applyFill="1" applyBorder="1" applyAlignment="1">
      <alignment horizontal="center" vertical="center" wrapText="1"/>
    </xf>
    <xf numFmtId="0" fontId="11" fillId="8" borderId="28" xfId="1" applyFont="1" applyFill="1" applyBorder="1" applyAlignment="1">
      <alignment vertical="top" wrapText="1"/>
    </xf>
    <xf numFmtId="0" fontId="11" fillId="0" borderId="25" xfId="1" applyFont="1" applyBorder="1" applyAlignment="1">
      <alignment horizontal="center" vertical="center" wrapText="1"/>
    </xf>
    <xf numFmtId="0" fontId="6" fillId="0" borderId="33" xfId="1" applyBorder="1" applyAlignment="1">
      <alignment vertical="top"/>
    </xf>
    <xf numFmtId="0" fontId="6" fillId="0" borderId="25" xfId="1" applyBorder="1" applyAlignment="1">
      <alignment horizontal="center" vertical="top"/>
    </xf>
    <xf numFmtId="0" fontId="11" fillId="0" borderId="25" xfId="1" quotePrefix="1" applyFont="1" applyBorder="1" applyAlignment="1">
      <alignment horizontal="center" vertical="center" wrapText="1"/>
    </xf>
    <xf numFmtId="0" fontId="14" fillId="0" borderId="25" xfId="1" applyFont="1" applyBorder="1" applyAlignment="1">
      <alignment horizontal="center" vertical="top" wrapText="1"/>
    </xf>
    <xf numFmtId="0" fontId="9" fillId="6" borderId="25" xfId="1" applyFont="1" applyFill="1" applyBorder="1" applyAlignment="1">
      <alignment horizontal="center" vertical="top" wrapText="1"/>
    </xf>
    <xf numFmtId="0" fontId="11" fillId="0" borderId="25" xfId="1" applyFont="1" applyBorder="1" applyAlignment="1">
      <alignment horizontal="center" vertical="top" wrapText="1"/>
    </xf>
    <xf numFmtId="49" fontId="11" fillId="0" borderId="25" xfId="1" applyNumberFormat="1" applyFont="1" applyBorder="1" applyAlignment="1">
      <alignment horizontal="center" vertical="top" wrapText="1"/>
    </xf>
    <xf numFmtId="0" fontId="11" fillId="8" borderId="34" xfId="1" applyFont="1" applyFill="1" applyBorder="1" applyAlignment="1">
      <alignment vertical="top" wrapText="1"/>
    </xf>
    <xf numFmtId="0" fontId="6" fillId="0" borderId="25" xfId="1" quotePrefix="1" applyBorder="1" applyAlignment="1">
      <alignment horizontal="center" vertical="center" wrapText="1"/>
    </xf>
    <xf numFmtId="49" fontId="11" fillId="0" borderId="17" xfId="1" applyNumberFormat="1" applyFont="1" applyBorder="1" applyAlignment="1">
      <alignment horizontal="center" vertical="top" wrapText="1"/>
    </xf>
    <xf numFmtId="0" fontId="11" fillId="0" borderId="17" xfId="1" quotePrefix="1" applyFont="1" applyBorder="1" applyAlignment="1">
      <alignment horizontal="center" vertical="center" wrapText="1"/>
    </xf>
    <xf numFmtId="49" fontId="11" fillId="6" borderId="24" xfId="1" applyNumberFormat="1" applyFont="1" applyFill="1" applyBorder="1" applyAlignment="1">
      <alignment horizontal="center" vertical="center" wrapText="1"/>
    </xf>
    <xf numFmtId="0" fontId="9" fillId="7" borderId="62" xfId="1" applyFont="1" applyFill="1" applyBorder="1" applyAlignment="1">
      <alignment horizontal="center" vertical="center" wrapText="1"/>
    </xf>
    <xf numFmtId="0" fontId="14" fillId="14" borderId="25" xfId="1" applyFont="1" applyFill="1" applyBorder="1" applyAlignment="1">
      <alignment horizontal="left" vertical="center" wrapText="1"/>
    </xf>
    <xf numFmtId="0" fontId="6" fillId="8" borderId="33" xfId="1" applyFill="1" applyBorder="1" applyAlignment="1">
      <alignment horizontal="center" vertical="top"/>
    </xf>
    <xf numFmtId="0" fontId="11" fillId="0" borderId="35" xfId="1" applyFont="1" applyBorder="1" applyAlignment="1">
      <alignment horizontal="center" vertical="center" wrapText="1"/>
    </xf>
    <xf numFmtId="49" fontId="11" fillId="0" borderId="35" xfId="1" applyNumberFormat="1" applyFont="1" applyBorder="1" applyAlignment="1">
      <alignment horizontal="center" vertical="center" wrapText="1"/>
    </xf>
    <xf numFmtId="49" fontId="6" fillId="0" borderId="2" xfId="1" applyNumberFormat="1" applyBorder="1" applyAlignment="1">
      <alignment vertical="top"/>
    </xf>
    <xf numFmtId="49" fontId="6" fillId="0" borderId="0" xfId="1" applyNumberFormat="1" applyAlignment="1">
      <alignment vertical="top"/>
    </xf>
    <xf numFmtId="49" fontId="6" fillId="0" borderId="0" xfId="1" applyNumberFormat="1" applyAlignment="1">
      <alignment vertical="center" wrapText="1"/>
    </xf>
    <xf numFmtId="0" fontId="7" fillId="7" borderId="3" xfId="1" applyFont="1" applyFill="1" applyBorder="1" applyAlignment="1">
      <alignment vertical="top" wrapText="1"/>
    </xf>
    <xf numFmtId="0" fontId="7" fillId="7" borderId="4" xfId="1" applyFont="1" applyFill="1" applyBorder="1" applyAlignment="1">
      <alignment vertical="top" wrapText="1"/>
    </xf>
    <xf numFmtId="0" fontId="7" fillId="7" borderId="4" xfId="1" applyFont="1" applyFill="1" applyBorder="1" applyAlignment="1">
      <alignment vertical="center" wrapText="1"/>
    </xf>
    <xf numFmtId="0" fontId="7" fillId="7" borderId="5" xfId="1" applyFont="1" applyFill="1" applyBorder="1" applyAlignment="1">
      <alignment vertical="center" wrapText="1"/>
    </xf>
    <xf numFmtId="0" fontId="7" fillId="8" borderId="6" xfId="1" applyFont="1" applyFill="1" applyBorder="1" applyAlignment="1">
      <alignment vertical="top"/>
    </xf>
    <xf numFmtId="0" fontId="7" fillId="8" borderId="7" xfId="1" applyFont="1" applyFill="1" applyBorder="1" applyAlignment="1">
      <alignment vertical="top"/>
    </xf>
    <xf numFmtId="0" fontId="7" fillId="8" borderId="8" xfId="1" applyFont="1" applyFill="1" applyBorder="1" applyAlignment="1">
      <alignment vertical="top"/>
    </xf>
    <xf numFmtId="0" fontId="7" fillId="8" borderId="12" xfId="1" applyFont="1" applyFill="1" applyBorder="1" applyAlignment="1">
      <alignment vertical="top" wrapText="1"/>
    </xf>
    <xf numFmtId="0" fontId="7" fillId="8" borderId="13" xfId="1" applyFont="1" applyFill="1" applyBorder="1" applyAlignment="1">
      <alignment vertical="top" wrapText="1"/>
    </xf>
    <xf numFmtId="0" fontId="7" fillId="8" borderId="14" xfId="1" applyFont="1" applyFill="1" applyBorder="1" applyAlignment="1">
      <alignment vertical="top" wrapText="1"/>
    </xf>
    <xf numFmtId="0" fontId="7" fillId="8" borderId="15" xfId="1" applyFont="1" applyFill="1" applyBorder="1" applyAlignment="1">
      <alignment vertical="top"/>
    </xf>
    <xf numFmtId="0" fontId="7" fillId="8" borderId="14" xfId="1" applyFont="1" applyFill="1" applyBorder="1" applyAlignment="1">
      <alignment vertical="top"/>
    </xf>
    <xf numFmtId="0" fontId="7" fillId="8" borderId="8" xfId="1" applyFont="1" applyFill="1" applyBorder="1" applyAlignment="1">
      <alignment vertical="center"/>
    </xf>
    <xf numFmtId="0" fontId="7" fillId="8" borderId="23" xfId="1" applyFont="1" applyFill="1" applyBorder="1" applyAlignment="1">
      <alignment vertical="center"/>
    </xf>
    <xf numFmtId="0" fontId="6" fillId="0" borderId="35" xfId="1" applyBorder="1" applyAlignment="1">
      <alignment vertical="top" wrapText="1"/>
    </xf>
    <xf numFmtId="0" fontId="7" fillId="7" borderId="6" xfId="1" applyFont="1" applyFill="1" applyBorder="1" applyAlignment="1">
      <alignment vertical="center" wrapText="1"/>
    </xf>
    <xf numFmtId="0" fontId="7" fillId="7" borderId="7" xfId="1" applyFont="1" applyFill="1" applyBorder="1" applyAlignment="1">
      <alignment vertical="center" wrapText="1"/>
    </xf>
    <xf numFmtId="0" fontId="7" fillId="7" borderId="8" xfId="1" applyFont="1" applyFill="1" applyBorder="1" applyAlignment="1">
      <alignment vertical="center" wrapText="1"/>
    </xf>
    <xf numFmtId="0" fontId="7" fillId="7" borderId="47" xfId="1" applyFont="1" applyFill="1" applyBorder="1" applyAlignment="1">
      <alignment vertical="center" wrapText="1"/>
    </xf>
    <xf numFmtId="0" fontId="7" fillId="7" borderId="26" xfId="1" applyFont="1" applyFill="1" applyBorder="1" applyAlignment="1">
      <alignment vertical="center" wrapText="1"/>
    </xf>
    <xf numFmtId="0" fontId="7" fillId="7" borderId="48" xfId="1" applyFont="1" applyFill="1" applyBorder="1" applyAlignment="1">
      <alignment vertical="center" wrapText="1"/>
    </xf>
    <xf numFmtId="0" fontId="7" fillId="8" borderId="43" xfId="1" applyFont="1" applyFill="1" applyBorder="1" applyAlignment="1">
      <alignment vertical="top" wrapText="1"/>
    </xf>
    <xf numFmtId="0" fontId="7" fillId="8" borderId="44" xfId="1" applyFont="1" applyFill="1" applyBorder="1" applyAlignment="1">
      <alignment vertical="top" wrapText="1"/>
    </xf>
    <xf numFmtId="0" fontId="7" fillId="8" borderId="45" xfId="1" applyFont="1" applyFill="1" applyBorder="1" applyAlignment="1">
      <alignment vertical="top" wrapText="1"/>
    </xf>
    <xf numFmtId="0" fontId="7" fillId="8" borderId="49" xfId="1" applyFont="1" applyFill="1" applyBorder="1" applyAlignment="1">
      <alignment vertical="top" wrapText="1"/>
    </xf>
    <xf numFmtId="0" fontId="7" fillId="8" borderId="50" xfId="1" applyFont="1" applyFill="1" applyBorder="1" applyAlignment="1">
      <alignment vertical="top" wrapText="1"/>
    </xf>
    <xf numFmtId="0" fontId="7" fillId="8" borderId="51" xfId="1" applyFont="1" applyFill="1" applyBorder="1" applyAlignment="1">
      <alignment vertical="top" wrapText="1"/>
    </xf>
    <xf numFmtId="0" fontId="7" fillId="8" borderId="52" xfId="1" applyFont="1" applyFill="1" applyBorder="1" applyAlignment="1">
      <alignment vertical="top" wrapText="1"/>
    </xf>
    <xf numFmtId="0" fontId="7" fillId="8" borderId="53" xfId="1" applyFont="1" applyFill="1" applyBorder="1" applyAlignment="1">
      <alignment vertical="top" wrapText="1"/>
    </xf>
    <xf numFmtId="0" fontId="7" fillId="8" borderId="54" xfId="1" applyFont="1" applyFill="1" applyBorder="1" applyAlignment="1">
      <alignment vertical="center"/>
    </xf>
    <xf numFmtId="14" fontId="60" fillId="3" borderId="111" xfId="0" applyNumberFormat="1" applyFont="1" applyFill="1" applyBorder="1" applyAlignment="1">
      <alignment horizontal="left" vertical="center"/>
    </xf>
    <xf numFmtId="0" fontId="60" fillId="3" borderId="111" xfId="0" quotePrefix="1" applyFont="1" applyFill="1" applyBorder="1" applyAlignment="1">
      <alignment horizontal="left" vertical="center"/>
    </xf>
    <xf numFmtId="0" fontId="62" fillId="0" borderId="0" xfId="0" applyFont="1"/>
    <xf numFmtId="0" fontId="53" fillId="22" borderId="111" xfId="0" applyFont="1" applyFill="1" applyBorder="1" applyAlignment="1">
      <alignment horizontal="center" vertical="center"/>
    </xf>
    <xf numFmtId="0" fontId="53" fillId="20" borderId="116" xfId="0" applyFont="1" applyFill="1" applyBorder="1" applyAlignment="1">
      <alignment horizontal="center" vertical="center" wrapText="1"/>
    </xf>
    <xf numFmtId="0" fontId="53" fillId="20" borderId="111" xfId="0" applyFont="1" applyFill="1" applyBorder="1" applyAlignment="1">
      <alignment horizontal="center" vertical="center" wrapText="1"/>
    </xf>
    <xf numFmtId="0" fontId="25" fillId="10" borderId="1" xfId="0" applyFont="1" applyFill="1" applyBorder="1" applyAlignment="1">
      <alignment horizontal="left" vertical="center" readingOrder="1"/>
    </xf>
    <xf numFmtId="0" fontId="59" fillId="0" borderId="0" xfId="0" applyFont="1" applyAlignment="1">
      <alignment vertical="center"/>
    </xf>
    <xf numFmtId="0" fontId="30" fillId="20" borderId="87" xfId="0" applyFont="1" applyFill="1" applyBorder="1" applyAlignment="1">
      <alignment horizontal="centerContinuous"/>
    </xf>
    <xf numFmtId="0" fontId="30" fillId="20" borderId="88" xfId="0" applyFont="1" applyFill="1" applyBorder="1" applyAlignment="1">
      <alignment horizontal="centerContinuous"/>
    </xf>
    <xf numFmtId="0" fontId="1" fillId="20" borderId="0" xfId="0" applyFont="1" applyFill="1" applyAlignment="1">
      <alignment horizontal="center" vertical="center" wrapText="1"/>
    </xf>
    <xf numFmtId="0" fontId="4" fillId="0" borderId="124" xfId="0" applyFont="1" applyBorder="1" applyAlignment="1">
      <alignment horizontal="center" vertical="center"/>
    </xf>
    <xf numFmtId="0" fontId="47" fillId="15" borderId="79" xfId="0" applyFont="1" applyFill="1" applyBorder="1" applyAlignment="1">
      <alignment horizontal="center" vertical="center"/>
    </xf>
    <xf numFmtId="49" fontId="4" fillId="3" borderId="87" xfId="0" applyNumberFormat="1" applyFont="1" applyFill="1" applyBorder="1" applyAlignment="1">
      <alignment horizontal="center" vertical="center"/>
    </xf>
    <xf numFmtId="49" fontId="4" fillId="0" borderId="125" xfId="0" applyNumberFormat="1" applyFont="1" applyBorder="1" applyAlignment="1">
      <alignment horizontal="center" vertical="center"/>
    </xf>
    <xf numFmtId="49" fontId="4" fillId="0" borderId="126" xfId="0" applyNumberFormat="1" applyFont="1" applyBorder="1" applyAlignment="1">
      <alignment horizontal="center" vertical="center"/>
    </xf>
    <xf numFmtId="49" fontId="4" fillId="3" borderId="90" xfId="0" applyNumberFormat="1" applyFont="1" applyFill="1" applyBorder="1" applyAlignment="1">
      <alignment horizontal="left" vertical="center"/>
    </xf>
    <xf numFmtId="49" fontId="4" fillId="3" borderId="90" xfId="0" applyNumberFormat="1" applyFont="1" applyFill="1" applyBorder="1" applyAlignment="1">
      <alignment horizontal="center" vertical="center"/>
    </xf>
    <xf numFmtId="0" fontId="51" fillId="3" borderId="75" xfId="0" applyFont="1" applyFill="1" applyBorder="1" applyAlignment="1">
      <alignment horizontal="left" vertical="center" indent="1"/>
    </xf>
    <xf numFmtId="0" fontId="33" fillId="3" borderId="77" xfId="0" applyFont="1" applyFill="1" applyBorder="1" applyAlignment="1">
      <alignment horizontal="left" vertical="center"/>
    </xf>
    <xf numFmtId="0" fontId="4" fillId="3" borderId="127" xfId="0" applyFont="1" applyFill="1" applyBorder="1" applyAlignment="1">
      <alignment horizontal="center" vertical="center"/>
    </xf>
    <xf numFmtId="49" fontId="4" fillId="3" borderId="76" xfId="0" applyNumberFormat="1" applyFont="1" applyFill="1" applyBorder="1" applyAlignment="1">
      <alignment horizontal="center" vertical="center"/>
    </xf>
    <xf numFmtId="49" fontId="48" fillId="3" borderId="77" xfId="0" applyNumberFormat="1" applyFont="1" applyFill="1" applyBorder="1" applyAlignment="1">
      <alignment horizontal="center" vertical="center"/>
    </xf>
    <xf numFmtId="0" fontId="31" fillId="9" borderId="86" xfId="0" applyFont="1" applyFill="1" applyBorder="1" applyAlignment="1">
      <alignment vertical="center"/>
    </xf>
    <xf numFmtId="0" fontId="31" fillId="9" borderId="87" xfId="0" applyFont="1" applyFill="1" applyBorder="1" applyAlignment="1">
      <alignment vertical="center"/>
    </xf>
    <xf numFmtId="0" fontId="31" fillId="9" borderId="87" xfId="0" applyFont="1" applyFill="1" applyBorder="1" applyAlignment="1">
      <alignment horizontal="center" vertical="center"/>
    </xf>
    <xf numFmtId="49" fontId="31" fillId="9" borderId="87" xfId="0" applyNumberFormat="1" applyFont="1" applyFill="1" applyBorder="1" applyAlignment="1">
      <alignment horizontal="center" vertical="center"/>
    </xf>
    <xf numFmtId="49" fontId="50" fillId="9" borderId="88" xfId="0" applyNumberFormat="1" applyFont="1" applyFill="1" applyBorder="1" applyAlignment="1">
      <alignment horizontal="center" vertical="center"/>
    </xf>
    <xf numFmtId="0" fontId="54" fillId="3" borderId="111" xfId="0" applyFont="1" applyFill="1" applyBorder="1" applyAlignment="1">
      <alignment horizontal="left"/>
    </xf>
    <xf numFmtId="0" fontId="4" fillId="3" borderId="129" xfId="0" applyFont="1" applyFill="1" applyBorder="1" applyAlignment="1">
      <alignment horizontal="center" vertical="center"/>
    </xf>
    <xf numFmtId="0" fontId="4" fillId="0" borderId="130" xfId="0" applyFont="1" applyBorder="1" applyAlignment="1">
      <alignment horizontal="center" vertical="center"/>
    </xf>
    <xf numFmtId="0" fontId="4" fillId="0" borderId="131" xfId="0" applyFont="1" applyBorder="1" applyAlignment="1">
      <alignment horizontal="center" vertical="center"/>
    </xf>
    <xf numFmtId="0" fontId="4" fillId="3" borderId="132" xfId="0" applyFont="1" applyFill="1" applyBorder="1" applyAlignment="1">
      <alignment horizontal="center" vertical="center"/>
    </xf>
    <xf numFmtId="0" fontId="4" fillId="3" borderId="74" xfId="0" applyFont="1" applyFill="1" applyBorder="1" applyAlignment="1">
      <alignment horizontal="center" vertical="center"/>
    </xf>
    <xf numFmtId="0" fontId="4" fillId="0" borderId="133" xfId="0" applyFont="1" applyBorder="1" applyAlignment="1">
      <alignment horizontal="center" vertical="center"/>
    </xf>
    <xf numFmtId="0" fontId="4" fillId="0" borderId="134" xfId="0" applyFont="1" applyBorder="1" applyAlignment="1">
      <alignment horizontal="center" vertical="center"/>
    </xf>
    <xf numFmtId="0" fontId="4" fillId="3" borderId="128" xfId="0" applyFont="1" applyFill="1" applyBorder="1" applyAlignment="1">
      <alignment horizontal="center" vertical="center"/>
    </xf>
    <xf numFmtId="0" fontId="4" fillId="3" borderId="135" xfId="0" applyFont="1" applyFill="1" applyBorder="1" applyAlignment="1">
      <alignment horizontal="center" vertical="center"/>
    </xf>
    <xf numFmtId="49" fontId="4" fillId="0" borderId="113" xfId="0" applyNumberFormat="1" applyFont="1" applyBorder="1" applyAlignment="1">
      <alignment horizontal="left" vertical="center"/>
    </xf>
    <xf numFmtId="49" fontId="4" fillId="3" borderId="112" xfId="0" applyNumberFormat="1" applyFont="1" applyFill="1" applyBorder="1" applyAlignment="1">
      <alignment horizontal="left" vertical="center"/>
    </xf>
    <xf numFmtId="49" fontId="4" fillId="0" borderId="114" xfId="0" applyNumberFormat="1" applyFont="1" applyBorder="1" applyAlignment="1">
      <alignment horizontal="left" vertical="center"/>
    </xf>
    <xf numFmtId="49" fontId="29" fillId="15" borderId="0" xfId="0" applyNumberFormat="1" applyFont="1" applyFill="1" applyAlignment="1">
      <alignment horizontal="left" vertical="center"/>
    </xf>
    <xf numFmtId="49" fontId="31" fillId="9" borderId="87" xfId="0" applyNumberFormat="1" applyFont="1" applyFill="1" applyBorder="1" applyAlignment="1">
      <alignment horizontal="left" vertical="center"/>
    </xf>
    <xf numFmtId="0" fontId="31" fillId="0" borderId="0" xfId="0" applyFont="1" applyAlignment="1">
      <alignment vertical="center"/>
    </xf>
    <xf numFmtId="0" fontId="31" fillId="0" borderId="0" xfId="0" applyFont="1" applyAlignment="1">
      <alignment horizontal="center" vertical="center"/>
    </xf>
    <xf numFmtId="49" fontId="31" fillId="0" borderId="0" xfId="0" applyNumberFormat="1" applyFont="1" applyAlignment="1">
      <alignment horizontal="left" vertical="center"/>
    </xf>
    <xf numFmtId="49" fontId="31" fillId="0" borderId="0" xfId="0" applyNumberFormat="1" applyFont="1" applyAlignment="1">
      <alignment horizontal="center" vertical="center"/>
    </xf>
    <xf numFmtId="49" fontId="50" fillId="0" borderId="0" xfId="0" applyNumberFormat="1" applyFont="1" applyAlignment="1">
      <alignment horizontal="center" vertical="center"/>
    </xf>
    <xf numFmtId="0" fontId="36" fillId="0" borderId="0" xfId="0" applyFont="1" applyAlignment="1">
      <alignment horizontal="left" vertical="top" wrapText="1"/>
    </xf>
    <xf numFmtId="0" fontId="0" fillId="0" borderId="0" xfId="0" applyAlignment="1">
      <alignment horizontal="left"/>
    </xf>
    <xf numFmtId="0" fontId="53" fillId="4" borderId="0" xfId="0" applyFont="1" applyFill="1" applyAlignment="1">
      <alignment horizontal="center" vertical="center"/>
    </xf>
    <xf numFmtId="0" fontId="33" fillId="0" borderId="0" xfId="0" quotePrefix="1" applyFont="1" applyAlignment="1">
      <alignment horizontal="left" vertical="center"/>
    </xf>
    <xf numFmtId="0" fontId="64" fillId="0" borderId="0" xfId="0" applyFont="1" applyAlignment="1">
      <alignment vertical="center"/>
    </xf>
    <xf numFmtId="49" fontId="64" fillId="0" borderId="0" xfId="0" applyNumberFormat="1" applyFont="1" applyAlignment="1">
      <alignment horizontal="left" vertical="center"/>
    </xf>
    <xf numFmtId="49" fontId="64" fillId="0" borderId="0" xfId="0" applyNumberFormat="1" applyFont="1" applyAlignment="1">
      <alignment horizontal="center" vertical="center"/>
    </xf>
    <xf numFmtId="0" fontId="30" fillId="0" borderId="0" xfId="0" applyFont="1" applyAlignment="1">
      <alignment horizontal="center" vertical="center"/>
    </xf>
    <xf numFmtId="0" fontId="25" fillId="25" borderId="1" xfId="0" applyFont="1" applyFill="1" applyBorder="1" applyAlignment="1">
      <alignment horizontal="left" vertical="center" readingOrder="1"/>
    </xf>
    <xf numFmtId="0" fontId="1" fillId="17" borderId="76" xfId="0" applyFont="1" applyFill="1" applyBorder="1" applyAlignment="1">
      <alignment horizontal="center" vertical="center" wrapText="1"/>
    </xf>
    <xf numFmtId="0" fontId="1" fillId="17" borderId="0" xfId="0" applyFont="1" applyFill="1" applyAlignment="1">
      <alignment horizontal="center" vertical="center" wrapText="1"/>
    </xf>
    <xf numFmtId="0" fontId="27" fillId="0" borderId="0" xfId="0" applyFont="1" applyAlignment="1">
      <alignment horizontal="left" vertical="center"/>
    </xf>
    <xf numFmtId="0" fontId="1" fillId="20" borderId="76" xfId="0" applyFont="1" applyFill="1" applyBorder="1" applyAlignment="1">
      <alignment horizontal="center" vertical="center" wrapText="1"/>
    </xf>
    <xf numFmtId="0" fontId="1" fillId="20" borderId="0" xfId="0" applyFont="1" applyFill="1" applyAlignment="1">
      <alignment horizontal="center" vertical="center" wrapText="1"/>
    </xf>
    <xf numFmtId="0" fontId="63" fillId="16" borderId="76" xfId="0" applyFont="1" applyFill="1" applyBorder="1" applyAlignment="1">
      <alignment horizontal="center" vertical="center" wrapText="1"/>
    </xf>
    <xf numFmtId="0" fontId="63" fillId="16" borderId="0" xfId="0" applyFont="1" applyFill="1" applyAlignment="1">
      <alignment horizontal="center" vertical="center" wrapText="1"/>
    </xf>
    <xf numFmtId="17" fontId="1" fillId="18" borderId="76" xfId="0" applyNumberFormat="1" applyFont="1" applyFill="1" applyBorder="1" applyAlignment="1">
      <alignment horizontal="center" vertical="center" wrapText="1"/>
    </xf>
    <xf numFmtId="17" fontId="1" fillId="18" borderId="0" xfId="0" applyNumberFormat="1" applyFont="1" applyFill="1" applyAlignment="1">
      <alignment horizontal="center" vertical="center" wrapText="1"/>
    </xf>
    <xf numFmtId="0" fontId="36" fillId="23" borderId="75" xfId="0" applyFont="1" applyFill="1" applyBorder="1" applyAlignment="1">
      <alignment horizontal="left" vertical="top" wrapText="1"/>
    </xf>
    <xf numFmtId="0" fontId="36" fillId="23" borderId="76" xfId="0" applyFont="1" applyFill="1" applyBorder="1" applyAlignment="1">
      <alignment horizontal="left" vertical="top" wrapText="1"/>
    </xf>
    <xf numFmtId="0" fontId="36" fillId="23" borderId="77" xfId="0" applyFont="1" applyFill="1" applyBorder="1" applyAlignment="1">
      <alignment horizontal="left" vertical="top" wrapText="1"/>
    </xf>
    <xf numFmtId="0" fontId="36" fillId="23" borderId="78" xfId="0" applyFont="1" applyFill="1" applyBorder="1" applyAlignment="1">
      <alignment horizontal="left" vertical="top" wrapText="1"/>
    </xf>
    <xf numFmtId="0" fontId="36" fillId="23" borderId="0" xfId="0" applyFont="1" applyFill="1" applyAlignment="1">
      <alignment horizontal="left" vertical="top" wrapText="1"/>
    </xf>
    <xf numFmtId="0" fontId="36" fillId="23" borderId="79" xfId="0" applyFont="1" applyFill="1" applyBorder="1" applyAlignment="1">
      <alignment horizontal="left" vertical="top" wrapText="1"/>
    </xf>
    <xf numFmtId="0" fontId="36" fillId="23" borderId="80" xfId="0" applyFont="1" applyFill="1" applyBorder="1" applyAlignment="1">
      <alignment horizontal="left" vertical="top" wrapText="1"/>
    </xf>
    <xf numFmtId="0" fontId="36" fillId="23" borderId="81" xfId="0" applyFont="1" applyFill="1" applyBorder="1" applyAlignment="1">
      <alignment horizontal="left" vertical="top" wrapText="1"/>
    </xf>
    <xf numFmtId="0" fontId="36" fillId="23" borderId="82" xfId="0" applyFont="1" applyFill="1" applyBorder="1" applyAlignment="1">
      <alignment horizontal="left" vertical="top" wrapText="1"/>
    </xf>
    <xf numFmtId="0" fontId="46" fillId="20" borderId="76" xfId="0" applyFont="1" applyFill="1" applyBorder="1" applyAlignment="1">
      <alignment horizontal="center" vertical="center" wrapText="1"/>
    </xf>
    <xf numFmtId="0" fontId="46" fillId="20" borderId="77" xfId="0" applyFont="1" applyFill="1" applyBorder="1" applyAlignment="1">
      <alignment horizontal="center" vertical="center" wrapText="1"/>
    </xf>
    <xf numFmtId="0" fontId="46" fillId="20" borderId="0" xfId="0" applyFont="1" applyFill="1" applyAlignment="1">
      <alignment horizontal="center" vertical="center" wrapText="1"/>
    </xf>
    <xf numFmtId="0" fontId="46" fillId="20" borderId="79" xfId="0" applyFont="1" applyFill="1" applyBorder="1" applyAlignment="1">
      <alignment horizontal="center" vertical="center" wrapText="1"/>
    </xf>
    <xf numFmtId="0" fontId="34" fillId="20" borderId="74" xfId="0" applyFont="1" applyFill="1" applyBorder="1" applyAlignment="1">
      <alignment horizontal="center" vertical="center"/>
    </xf>
    <xf numFmtId="0" fontId="40" fillId="23" borderId="75" xfId="0" applyFont="1" applyFill="1" applyBorder="1" applyAlignment="1">
      <alignment horizontal="left" vertical="top" wrapText="1"/>
    </xf>
    <xf numFmtId="0" fontId="40" fillId="23" borderId="76" xfId="0" applyFont="1" applyFill="1" applyBorder="1" applyAlignment="1">
      <alignment horizontal="left" vertical="top" wrapText="1"/>
    </xf>
    <xf numFmtId="0" fontId="40" fillId="23" borderId="77" xfId="0" applyFont="1" applyFill="1" applyBorder="1" applyAlignment="1">
      <alignment horizontal="left" vertical="top" wrapText="1"/>
    </xf>
    <xf numFmtId="0" fontId="40" fillId="23" borderId="78" xfId="0" applyFont="1" applyFill="1" applyBorder="1" applyAlignment="1">
      <alignment horizontal="left" vertical="top" wrapText="1"/>
    </xf>
    <xf numFmtId="0" fontId="40" fillId="23" borderId="0" xfId="0" applyFont="1" applyFill="1" applyAlignment="1">
      <alignment horizontal="left" vertical="top" wrapText="1"/>
    </xf>
    <xf numFmtId="0" fontId="40" fillId="23" borderId="79" xfId="0" applyFont="1" applyFill="1" applyBorder="1" applyAlignment="1">
      <alignment horizontal="left" vertical="top" wrapText="1"/>
    </xf>
    <xf numFmtId="0" fontId="40" fillId="23" borderId="80" xfId="0" applyFont="1" applyFill="1" applyBorder="1" applyAlignment="1">
      <alignment horizontal="left" vertical="top" wrapText="1"/>
    </xf>
    <xf numFmtId="0" fontId="40" fillId="23" borderId="81" xfId="0" applyFont="1" applyFill="1" applyBorder="1" applyAlignment="1">
      <alignment horizontal="left" vertical="top" wrapText="1"/>
    </xf>
    <xf numFmtId="0" fontId="40" fillId="23" borderId="82" xfId="0" applyFont="1" applyFill="1" applyBorder="1" applyAlignment="1">
      <alignment horizontal="left" vertical="top" wrapText="1"/>
    </xf>
    <xf numFmtId="0" fontId="31" fillId="9" borderId="80" xfId="0" applyFont="1" applyFill="1" applyBorder="1" applyAlignment="1">
      <alignment horizontal="left"/>
    </xf>
    <xf numFmtId="0" fontId="31" fillId="9" borderId="81" xfId="0" applyFont="1" applyFill="1" applyBorder="1" applyAlignment="1">
      <alignment horizontal="left"/>
    </xf>
    <xf numFmtId="0" fontId="31" fillId="9" borderId="78" xfId="0" applyFont="1" applyFill="1" applyBorder="1" applyAlignment="1">
      <alignment horizontal="left"/>
    </xf>
    <xf numFmtId="0" fontId="31" fillId="9" borderId="0" xfId="0" applyFont="1" applyFill="1" applyAlignment="1">
      <alignment horizontal="left"/>
    </xf>
    <xf numFmtId="0" fontId="30" fillId="15" borderId="86" xfId="0" applyFont="1" applyFill="1" applyBorder="1" applyAlignment="1">
      <alignment horizontal="left"/>
    </xf>
    <xf numFmtId="0" fontId="30" fillId="15" borderId="87" xfId="0" applyFont="1" applyFill="1" applyBorder="1" applyAlignment="1">
      <alignment horizontal="left"/>
    </xf>
    <xf numFmtId="0" fontId="30" fillId="15" borderId="88" xfId="0" applyFont="1" applyFill="1" applyBorder="1" applyAlignment="1">
      <alignment horizontal="left"/>
    </xf>
    <xf numFmtId="0" fontId="34" fillId="20" borderId="75" xfId="0" applyFont="1" applyFill="1" applyBorder="1" applyAlignment="1">
      <alignment horizontal="center" vertical="center"/>
    </xf>
    <xf numFmtId="0" fontId="34" fillId="20" borderId="77" xfId="0" applyFont="1" applyFill="1" applyBorder="1" applyAlignment="1">
      <alignment horizontal="center" vertical="center"/>
    </xf>
    <xf numFmtId="0" fontId="34" fillId="20" borderId="80" xfId="0" applyFont="1" applyFill="1" applyBorder="1" applyAlignment="1">
      <alignment horizontal="center" vertical="center"/>
    </xf>
    <xf numFmtId="0" fontId="34" fillId="20" borderId="82" xfId="0" applyFont="1" applyFill="1" applyBorder="1" applyAlignment="1">
      <alignment horizontal="center" vertical="center"/>
    </xf>
    <xf numFmtId="0" fontId="30" fillId="20" borderId="86" xfId="0" applyFont="1" applyFill="1" applyBorder="1" applyAlignment="1">
      <alignment horizontal="center"/>
    </xf>
    <xf numFmtId="0" fontId="30" fillId="20" borderId="87" xfId="0" applyFont="1" applyFill="1" applyBorder="1" applyAlignment="1">
      <alignment horizontal="center"/>
    </xf>
    <xf numFmtId="0" fontId="30" fillId="20" borderId="88" xfId="0" applyFont="1" applyFill="1" applyBorder="1" applyAlignment="1">
      <alignment horizontal="center"/>
    </xf>
    <xf numFmtId="0" fontId="36" fillId="23" borderId="117" xfId="0" applyFont="1" applyFill="1" applyBorder="1" applyAlignment="1">
      <alignment horizontal="left" vertical="top" wrapText="1"/>
    </xf>
    <xf numFmtId="0" fontId="36" fillId="23" borderId="118" xfId="0" applyFont="1" applyFill="1" applyBorder="1" applyAlignment="1">
      <alignment horizontal="left" vertical="top" wrapText="1"/>
    </xf>
    <xf numFmtId="0" fontId="36" fillId="23" borderId="119" xfId="0" applyFont="1" applyFill="1" applyBorder="1" applyAlignment="1">
      <alignment horizontal="left" vertical="top" wrapText="1"/>
    </xf>
    <xf numFmtId="0" fontId="36" fillId="23" borderId="120" xfId="0" applyFont="1" applyFill="1" applyBorder="1" applyAlignment="1">
      <alignment horizontal="left" vertical="top" wrapText="1"/>
    </xf>
    <xf numFmtId="0" fontId="36" fillId="23" borderId="121" xfId="0" applyFont="1" applyFill="1" applyBorder="1" applyAlignment="1">
      <alignment horizontal="left" vertical="top" wrapText="1"/>
    </xf>
    <xf numFmtId="0" fontId="36" fillId="23" borderId="122" xfId="0" applyFont="1" applyFill="1" applyBorder="1" applyAlignment="1">
      <alignment horizontal="left" vertical="top" wrapText="1"/>
    </xf>
    <xf numFmtId="0" fontId="36" fillId="23" borderId="42" xfId="0" applyFont="1" applyFill="1" applyBorder="1" applyAlignment="1">
      <alignment horizontal="left" vertical="top" wrapText="1"/>
    </xf>
    <xf numFmtId="0" fontId="36" fillId="23" borderId="123" xfId="0" applyFont="1" applyFill="1" applyBorder="1" applyAlignment="1">
      <alignment horizontal="left" vertical="top" wrapText="1"/>
    </xf>
    <xf numFmtId="0" fontId="46" fillId="20" borderId="75" xfId="0" applyFont="1" applyFill="1" applyBorder="1" applyAlignment="1">
      <alignment horizontal="center" vertical="center" wrapText="1"/>
    </xf>
    <xf numFmtId="0" fontId="46" fillId="20" borderId="78" xfId="0" applyFont="1" applyFill="1" applyBorder="1" applyAlignment="1">
      <alignment horizontal="center" vertical="center" wrapText="1"/>
    </xf>
    <xf numFmtId="49" fontId="7" fillId="12" borderId="46" xfId="1" applyNumberFormat="1" applyFont="1" applyFill="1" applyBorder="1" applyAlignment="1">
      <alignment horizontal="center" vertical="center" wrapText="1"/>
    </xf>
    <xf numFmtId="49" fontId="7" fillId="12" borderId="4" xfId="1" applyNumberFormat="1" applyFont="1" applyFill="1" applyBorder="1" applyAlignment="1">
      <alignment horizontal="center" vertical="center" wrapText="1"/>
    </xf>
    <xf numFmtId="49" fontId="7" fillId="12" borderId="5" xfId="1" applyNumberFormat="1" applyFont="1" applyFill="1" applyBorder="1" applyAlignment="1">
      <alignment horizontal="center" vertical="center" wrapText="1"/>
    </xf>
    <xf numFmtId="0" fontId="6" fillId="0" borderId="0" xfId="1" applyAlignment="1">
      <alignment horizontal="left" vertical="top" wrapText="1"/>
    </xf>
    <xf numFmtId="0" fontId="7" fillId="7" borderId="3" xfId="1" applyFont="1" applyFill="1" applyBorder="1" applyAlignment="1">
      <alignment horizontal="center" vertical="center" wrapText="1"/>
    </xf>
    <xf numFmtId="0" fontId="7" fillId="7" borderId="4" xfId="1" applyFont="1" applyFill="1" applyBorder="1" applyAlignment="1">
      <alignment horizontal="center" vertical="center" wrapText="1"/>
    </xf>
    <xf numFmtId="0" fontId="7" fillId="7" borderId="5" xfId="1" applyFont="1" applyFill="1" applyBorder="1" applyAlignment="1">
      <alignment horizontal="center" vertical="center" wrapText="1"/>
    </xf>
    <xf numFmtId="0" fontId="7" fillId="8" borderId="43" xfId="1" applyFont="1" applyFill="1" applyBorder="1" applyAlignment="1">
      <alignment horizontal="center" vertical="center" wrapText="1"/>
    </xf>
    <xf numFmtId="0" fontId="7" fillId="8" borderId="44" xfId="1" applyFont="1" applyFill="1" applyBorder="1" applyAlignment="1">
      <alignment horizontal="center" vertical="center" wrapText="1"/>
    </xf>
    <xf numFmtId="0" fontId="7" fillId="8" borderId="8" xfId="1" applyFont="1" applyFill="1" applyBorder="1" applyAlignment="1">
      <alignment horizontal="center" vertical="center" wrapText="1"/>
    </xf>
    <xf numFmtId="49" fontId="8" fillId="12" borderId="46" xfId="1" applyNumberFormat="1" applyFont="1" applyFill="1" applyBorder="1" applyAlignment="1">
      <alignment horizontal="center" vertical="center" wrapText="1"/>
    </xf>
    <xf numFmtId="49" fontId="6" fillId="12" borderId="4" xfId="1" applyNumberFormat="1" applyFill="1" applyBorder="1" applyAlignment="1">
      <alignment horizontal="center" vertical="center" wrapText="1"/>
    </xf>
    <xf numFmtId="49" fontId="6" fillId="12" borderId="5" xfId="1" applyNumberFormat="1" applyFill="1" applyBorder="1" applyAlignment="1">
      <alignment horizontal="center" vertical="center" wrapText="1"/>
    </xf>
    <xf numFmtId="0" fontId="7" fillId="8" borderId="21" xfId="1" applyFont="1" applyFill="1" applyBorder="1" applyAlignment="1">
      <alignment horizontal="center" vertical="top" wrapText="1"/>
    </xf>
    <xf numFmtId="0" fontId="7" fillId="8" borderId="60" xfId="1" applyFont="1" applyFill="1" applyBorder="1" applyAlignment="1">
      <alignment horizontal="center" vertical="top" wrapText="1"/>
    </xf>
    <xf numFmtId="0" fontId="7" fillId="8" borderId="22" xfId="1" applyFont="1" applyFill="1" applyBorder="1" applyAlignment="1">
      <alignment horizontal="center" vertical="top" wrapText="1"/>
    </xf>
    <xf numFmtId="0" fontId="7" fillId="8" borderId="53" xfId="1" applyFont="1" applyFill="1" applyBorder="1" applyAlignment="1">
      <alignment horizontal="center" vertical="top" wrapText="1"/>
    </xf>
    <xf numFmtId="0" fontId="7" fillId="8" borderId="52" xfId="1" applyFont="1" applyFill="1" applyBorder="1" applyAlignment="1">
      <alignment horizontal="center" vertical="top" wrapText="1"/>
    </xf>
    <xf numFmtId="0" fontId="7" fillId="8" borderId="61" xfId="1" applyFont="1" applyFill="1" applyBorder="1" applyAlignment="1">
      <alignment horizontal="center" vertical="center"/>
    </xf>
    <xf numFmtId="0" fontId="7" fillId="8" borderId="29" xfId="1" applyFont="1" applyFill="1" applyBorder="1" applyAlignment="1">
      <alignment horizontal="center" vertical="center"/>
    </xf>
  </cellXfs>
  <cellStyles count="5">
    <cellStyle name="Good" xfId="4" builtinId="26"/>
    <cellStyle name="Normal" xfId="0" builtinId="0"/>
    <cellStyle name="Normal 2" xfId="1" xr:uid="{45E18FD4-E59C-4210-904C-8521D0A9983E}"/>
    <cellStyle name="Normal 2 2" xfId="2" xr:uid="{D189B8EF-3EAB-494C-A05E-B94912F640F5}"/>
    <cellStyle name="Percent" xfId="3" builtinId="5"/>
  </cellStyles>
  <dxfs count="11">
    <dxf>
      <font>
        <b/>
        <i val="0"/>
        <color theme="9" tint="-0.499984740745262"/>
      </font>
      <fill>
        <patternFill>
          <bgColor theme="9" tint="0.79998168889431442"/>
        </patternFill>
      </fill>
    </dxf>
    <dxf>
      <font>
        <b/>
        <i val="0"/>
        <color rgb="FFC00000"/>
      </font>
      <fill>
        <patternFill>
          <bgColor rgb="FFFFA7A7"/>
        </patternFill>
      </fill>
    </dxf>
    <dxf>
      <font>
        <b/>
        <i val="0"/>
        <color rgb="FFFFC000"/>
      </font>
      <fill>
        <patternFill>
          <bgColor rgb="FFFFF1C5"/>
        </patternFill>
      </fill>
    </dxf>
    <dxf>
      <font>
        <b/>
        <i val="0"/>
        <color theme="4"/>
      </font>
      <fill>
        <patternFill>
          <bgColor theme="4" tint="0.79998168889431442"/>
        </patternFill>
      </fill>
    </dxf>
    <dxf>
      <font>
        <b/>
        <i val="0"/>
        <color theme="0" tint="-4.9989318521683403E-2"/>
      </font>
      <fill>
        <patternFill>
          <bgColor theme="0" tint="-0.24994659260841701"/>
        </patternFill>
      </fill>
    </dxf>
    <dxf>
      <font>
        <color rgb="FF00B050"/>
      </font>
      <fill>
        <patternFill>
          <bgColor rgb="FFDFF0E0"/>
        </patternFill>
      </fill>
    </dxf>
    <dxf>
      <font>
        <color theme="7" tint="-0.499984740745262"/>
      </font>
      <fill>
        <patternFill>
          <bgColor theme="7" tint="0.59996337778862885"/>
        </patternFill>
      </fill>
    </dxf>
    <dxf>
      <font>
        <color rgb="FFC00000"/>
      </font>
      <fill>
        <patternFill>
          <bgColor rgb="FFFF8989"/>
        </patternFill>
      </fill>
    </dxf>
    <dxf>
      <font>
        <color rgb="FFC00000"/>
      </font>
      <fill>
        <patternFill>
          <bgColor rgb="FFFF8989"/>
        </patternFill>
      </fill>
    </dxf>
    <dxf>
      <font>
        <color rgb="FFC00000"/>
      </font>
      <fill>
        <patternFill>
          <bgColor rgb="FFFF8989"/>
        </patternFill>
      </fill>
    </dxf>
    <dxf>
      <font>
        <color theme="7" tint="-0.499984740745262"/>
      </font>
      <fill>
        <patternFill>
          <bgColor theme="7" tint="0.59996337778862885"/>
        </patternFill>
      </fill>
    </dxf>
  </dxfs>
  <tableStyles count="0" defaultTableStyle="TableStyleMedium2" defaultPivotStyle="PivotStyleLight16"/>
  <colors>
    <mruColors>
      <color rgb="FFFFE084"/>
      <color rgb="FFFFF2CC"/>
      <color rgb="FF63E2E9"/>
      <color rgb="FF750000"/>
      <color rgb="FFFF5959"/>
      <color rgb="FFC0E2C2"/>
      <color rgb="FFE20000"/>
      <color rgb="FF8CC1CE"/>
      <color rgb="FF1AB2BB"/>
      <color rgb="FFDFF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Resumo'!$D$60:$D$64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Resumo'!$D$60:$D$64</c:f>
              <c:strCache>
                <c:ptCount val="5"/>
                <c:pt idx="0">
                  <c:v>Por iniciar</c:v>
                </c:pt>
                <c:pt idx="1">
                  <c:v>Em curso</c:v>
                </c:pt>
                <c:pt idx="2">
                  <c:v>Concluídos </c:v>
                </c:pt>
                <c:pt idx="3">
                  <c:v>Pendente de desenvolv.</c:v>
                </c:pt>
                <c:pt idx="4">
                  <c:v>Com Incidências.</c:v>
                </c:pt>
              </c:strCache>
            </c:strRef>
          </c:cat>
          <c:val>
            <c:numRef>
              <c:f>'1. Status Resumo'!$H$60:$H$64</c:f>
              <c:numCache>
                <c:formatCode>General</c:formatCode>
                <c:ptCount val="5"/>
                <c:pt idx="0">
                  <c:v>#N/A</c:v>
                </c:pt>
                <c:pt idx="1">
                  <c:v>1</c:v>
                </c:pt>
                <c:pt idx="2">
                  <c:v>23</c:v>
                </c:pt>
                <c:pt idx="3">
                  <c:v>#N/A</c:v>
                </c:pt>
                <c:pt idx="4">
                  <c:v>6</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Resumo'!$J$60:$J$64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Resumo'!$J$60:$J$64</c:f>
              <c:strCache>
                <c:ptCount val="5"/>
                <c:pt idx="0">
                  <c:v>Por iniciar</c:v>
                </c:pt>
                <c:pt idx="1">
                  <c:v>Em curso</c:v>
                </c:pt>
                <c:pt idx="2">
                  <c:v>Concluídos </c:v>
                </c:pt>
                <c:pt idx="3">
                  <c:v>Pendente de desenvolv.</c:v>
                </c:pt>
                <c:pt idx="4">
                  <c:v>Com Incidências.</c:v>
                </c:pt>
              </c:strCache>
            </c:strRef>
          </c:cat>
          <c:val>
            <c:numRef>
              <c:f>'1. Status Resumo'!$N$60:$N$64</c:f>
              <c:numCache>
                <c:formatCode>General</c:formatCode>
                <c:ptCount val="5"/>
                <c:pt idx="0">
                  <c:v>#N/A</c:v>
                </c:pt>
                <c:pt idx="1">
                  <c:v>#N/A</c:v>
                </c:pt>
                <c:pt idx="2">
                  <c:v>75</c:v>
                </c:pt>
                <c:pt idx="3">
                  <c:v>#N/A</c:v>
                </c:pt>
                <c:pt idx="4">
                  <c:v>6</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Resumo'!$D$86:$D$90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Resumo'!$D$86:$D$90</c:f>
              <c:strCache>
                <c:ptCount val="5"/>
                <c:pt idx="0">
                  <c:v>Por iniciar</c:v>
                </c:pt>
                <c:pt idx="1">
                  <c:v>Em curso</c:v>
                </c:pt>
                <c:pt idx="2">
                  <c:v>Concluídos </c:v>
                </c:pt>
                <c:pt idx="3">
                  <c:v>Pendente de desenvolv.</c:v>
                </c:pt>
                <c:pt idx="4">
                  <c:v>Com Incidências.</c:v>
                </c:pt>
              </c:strCache>
            </c:strRef>
          </c:cat>
          <c:val>
            <c:numRef>
              <c:f>'1. Status Resumo'!$H$86:$H$90</c:f>
              <c:numCache>
                <c:formatCode>General</c:formatCode>
                <c:ptCount val="5"/>
                <c:pt idx="0">
                  <c:v>#N/A</c:v>
                </c:pt>
                <c:pt idx="1">
                  <c:v>#N/A</c:v>
                </c:pt>
                <c:pt idx="2">
                  <c:v>4</c:v>
                </c:pt>
                <c:pt idx="3">
                  <c:v>1</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Resumo'!$J$86:$J$90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Resumo'!$J$86:$J$90</c:f>
              <c:strCache>
                <c:ptCount val="5"/>
                <c:pt idx="0">
                  <c:v>Por iniciar</c:v>
                </c:pt>
                <c:pt idx="1">
                  <c:v>Em curso</c:v>
                </c:pt>
                <c:pt idx="2">
                  <c:v>Concluídos </c:v>
                </c:pt>
                <c:pt idx="3">
                  <c:v>Pendente de desenvolv.</c:v>
                </c:pt>
                <c:pt idx="4">
                  <c:v>Com Incidências.</c:v>
                </c:pt>
              </c:strCache>
            </c:strRef>
          </c:cat>
          <c:val>
            <c:numRef>
              <c:f>'1. Status Resumo'!$N$86:$N$90</c:f>
              <c:numCache>
                <c:formatCode>General</c:formatCode>
                <c:ptCount val="5"/>
                <c:pt idx="0">
                  <c:v>#N/A</c:v>
                </c:pt>
                <c:pt idx="1">
                  <c:v>#N/A</c:v>
                </c:pt>
                <c:pt idx="2">
                  <c:v>14</c:v>
                </c:pt>
                <c:pt idx="3">
                  <c:v>1</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Resumo'!$D$111:$D$115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Resumo'!$D$111:$D$115</c:f>
              <c:strCache>
                <c:ptCount val="5"/>
                <c:pt idx="0">
                  <c:v>Por iniciar</c:v>
                </c:pt>
                <c:pt idx="1">
                  <c:v>Em curso</c:v>
                </c:pt>
                <c:pt idx="2">
                  <c:v>Concluídos </c:v>
                </c:pt>
                <c:pt idx="3">
                  <c:v>Pendente de desenvolv.</c:v>
                </c:pt>
                <c:pt idx="4">
                  <c:v>Com Incidências.</c:v>
                </c:pt>
              </c:strCache>
            </c:strRef>
          </c:cat>
          <c:val>
            <c:numRef>
              <c:f>'1. Status Resumo'!$H$111:$H$115</c:f>
              <c:numCache>
                <c:formatCode>General</c:formatCode>
                <c:ptCount val="5"/>
                <c:pt idx="0">
                  <c:v>#N/A</c:v>
                </c:pt>
                <c:pt idx="1">
                  <c:v>#N/A</c:v>
                </c:pt>
                <c:pt idx="2">
                  <c:v>7</c:v>
                </c:pt>
                <c:pt idx="3">
                  <c:v>#N/A</c:v>
                </c:pt>
                <c:pt idx="4">
                  <c:v>4</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Resumo'!$J$111:$J$115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Resumo'!$J$111:$J$115</c:f>
              <c:strCache>
                <c:ptCount val="5"/>
                <c:pt idx="0">
                  <c:v>Por iniciar</c:v>
                </c:pt>
                <c:pt idx="1">
                  <c:v>Em curso</c:v>
                </c:pt>
                <c:pt idx="2">
                  <c:v>Concluídos </c:v>
                </c:pt>
                <c:pt idx="3">
                  <c:v>Pendente de desenvolv.</c:v>
                </c:pt>
                <c:pt idx="4">
                  <c:v>Com Incidências.</c:v>
                </c:pt>
              </c:strCache>
            </c:strRef>
          </c:cat>
          <c:val>
            <c:numRef>
              <c:f>'1. Status Resumo'!$N$111:$N$115</c:f>
              <c:numCache>
                <c:formatCode>General</c:formatCode>
                <c:ptCount val="5"/>
                <c:pt idx="0">
                  <c:v>#N/A</c:v>
                </c:pt>
                <c:pt idx="1">
                  <c:v>#N/A</c:v>
                </c:pt>
                <c:pt idx="2">
                  <c:v>7</c:v>
                </c:pt>
                <c:pt idx="3">
                  <c:v>#N/A</c:v>
                </c:pt>
                <c:pt idx="4">
                  <c:v>4</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Resumo'!$D$157:$D$161</c:f>
              <c:strCache>
                <c:ptCount val="5"/>
                <c:pt idx="0">
                  <c:v>Por iniciar (Pendente IT)</c:v>
                </c:pt>
                <c:pt idx="1">
                  <c:v>Em curso</c:v>
                </c:pt>
                <c:pt idx="2">
                  <c:v>OK</c:v>
                </c:pt>
                <c:pt idx="3">
                  <c:v>NOK - Por justificar</c:v>
                </c:pt>
                <c:pt idx="4">
                  <c:v>NOK - Justificados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CBF-426D-80D3-79795BE4CA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CBF-426D-80D3-79795BE4CA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CBF-426D-80D3-79795BE4CA1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CBF-426D-80D3-79795BE4CA10}"/>
              </c:ext>
            </c:extLst>
          </c:dPt>
          <c:dPt>
            <c:idx val="4"/>
            <c:bubble3D val="0"/>
            <c:spPr>
              <a:solidFill>
                <a:schemeClr val="bg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CBF-426D-80D3-79795BE4CA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Resumo'!$D$157:$D$161</c:f>
              <c:strCache>
                <c:ptCount val="5"/>
                <c:pt idx="0">
                  <c:v>Por iniciar (Pendente IT)</c:v>
                </c:pt>
                <c:pt idx="1">
                  <c:v>Em curso</c:v>
                </c:pt>
                <c:pt idx="2">
                  <c:v>OK</c:v>
                </c:pt>
                <c:pt idx="3">
                  <c:v>NOK - Por justificar</c:v>
                </c:pt>
                <c:pt idx="4">
                  <c:v>NOK - Justificados</c:v>
                </c:pt>
              </c:strCache>
            </c:strRef>
          </c:cat>
          <c:val>
            <c:numRef>
              <c:f>'1. Status Resumo'!$H$157:$H$161</c:f>
              <c:numCache>
                <c:formatCode>General</c:formatCode>
                <c:ptCount val="5"/>
                <c:pt idx="0">
                  <c:v>2</c:v>
                </c:pt>
                <c:pt idx="1">
                  <c:v>5</c:v>
                </c:pt>
                <c:pt idx="2">
                  <c:v>169</c:v>
                </c:pt>
                <c:pt idx="3">
                  <c:v>4</c:v>
                </c:pt>
                <c:pt idx="4">
                  <c:v>10</c:v>
                </c:pt>
              </c:numCache>
            </c:numRef>
          </c:val>
          <c:extLst>
            <c:ext xmlns:c16="http://schemas.microsoft.com/office/drawing/2014/chart" uri="{C3380CC4-5D6E-409C-BE32-E72D297353CC}">
              <c16:uniqueId val="{0000000A-9CBF-426D-80D3-79795BE4CA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4.9999878069300535E-2"/>
          <c:y val="0.83548243444710624"/>
          <c:w val="0.89999998169386319"/>
          <c:h val="8.9331802274715655E-2"/>
        </c:manualLayout>
      </c:layout>
      <c:overlay val="0"/>
      <c:spPr>
        <a:noFill/>
        <a:ln>
          <a:noFill/>
        </a:ln>
        <a:effectLst/>
      </c:spPr>
      <c:txPr>
        <a:bodyPr rot="0" spcFirstLastPara="1" vertOverflow="ellipsis" vert="horz" wrap="square" anchor="ctr" anchorCtr="1"/>
        <a:lstStyle/>
        <a:p>
          <a:pPr rtl="0">
            <a:defRPr sz="11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4.sv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161925</xdr:colOff>
      <xdr:row>7</xdr:row>
      <xdr:rowOff>0</xdr:rowOff>
    </xdr:from>
    <xdr:to>
      <xdr:col>5</xdr:col>
      <xdr:colOff>342900</xdr:colOff>
      <xdr:row>8</xdr:row>
      <xdr:rowOff>193119</xdr:rowOff>
    </xdr:to>
    <xdr:sp macro="" textlink="">
      <xdr:nvSpPr>
        <xdr:cNvPr id="2" name="Rectangle: Rounded Corners 13">
          <a:extLst>
            <a:ext uri="{FF2B5EF4-FFF2-40B4-BE49-F238E27FC236}">
              <a16:creationId xmlns:a16="http://schemas.microsoft.com/office/drawing/2014/main" id="{06E62E6A-4BF8-43F7-8BDE-B868F0B569C7}"/>
            </a:ext>
          </a:extLst>
        </xdr:cNvPr>
        <xdr:cNvSpPr/>
      </xdr:nvSpPr>
      <xdr:spPr>
        <a:xfrm>
          <a:off x="1019175" y="1019175"/>
          <a:ext cx="2619375" cy="41219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xdr:from>
      <xdr:col>2</xdr:col>
      <xdr:colOff>161925</xdr:colOff>
      <xdr:row>38</xdr:row>
      <xdr:rowOff>0</xdr:rowOff>
    </xdr:from>
    <xdr:to>
      <xdr:col>5</xdr:col>
      <xdr:colOff>342900</xdr:colOff>
      <xdr:row>39</xdr:row>
      <xdr:rowOff>193119</xdr:rowOff>
    </xdr:to>
    <xdr:sp macro="" textlink="">
      <xdr:nvSpPr>
        <xdr:cNvPr id="3" name="Rectangle: Rounded Corners 13">
          <a:extLst>
            <a:ext uri="{FF2B5EF4-FFF2-40B4-BE49-F238E27FC236}">
              <a16:creationId xmlns:a16="http://schemas.microsoft.com/office/drawing/2014/main" id="{0C96ACF2-B44E-4FE8-838C-7E3F53EAE331}"/>
            </a:ext>
          </a:extLst>
        </xdr:cNvPr>
        <xdr:cNvSpPr/>
      </xdr:nvSpPr>
      <xdr:spPr>
        <a:xfrm>
          <a:off x="1040342" y="8942917"/>
          <a:ext cx="3101975" cy="42595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testes</a:t>
          </a:r>
          <a:endParaRPr lang="pt-PT" sz="1600" b="1" i="1">
            <a:latin typeface="Santander Text" panose="020B0504020201020104" pitchFamily="34" charset="0"/>
          </a:endParaRPr>
        </a:p>
      </xdr:txBody>
    </xdr:sp>
    <xdr:clientData/>
  </xdr:twoCellAnchor>
  <xdr:twoCellAnchor editAs="absolute">
    <xdr:from>
      <xdr:col>8</xdr:col>
      <xdr:colOff>142880</xdr:colOff>
      <xdr:row>43</xdr:row>
      <xdr:rowOff>2725</xdr:rowOff>
    </xdr:from>
    <xdr:to>
      <xdr:col>15</xdr:col>
      <xdr:colOff>54225</xdr:colOff>
      <xdr:row>53</xdr:row>
      <xdr:rowOff>159978</xdr:rowOff>
    </xdr:to>
    <xdr:graphicFrame macro="">
      <xdr:nvGraphicFramePr>
        <xdr:cNvPr id="149" name="Chart 10">
          <a:extLst>
            <a:ext uri="{FF2B5EF4-FFF2-40B4-BE49-F238E27FC236}">
              <a16:creationId xmlns:a16="http://schemas.microsoft.com/office/drawing/2014/main" id="{9B079E99-7239-9BBF-D4BF-EFBA55E35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348343</xdr:colOff>
      <xdr:row>59</xdr:row>
      <xdr:rowOff>54430</xdr:rowOff>
    </xdr:from>
    <xdr:to>
      <xdr:col>2</xdr:col>
      <xdr:colOff>467143</xdr:colOff>
      <xdr:row>59</xdr:row>
      <xdr:rowOff>173230</xdr:rowOff>
    </xdr:to>
    <xdr:sp macro="" textlink="">
      <xdr:nvSpPr>
        <xdr:cNvPr id="19" name="Oval 18">
          <a:extLst>
            <a:ext uri="{FF2B5EF4-FFF2-40B4-BE49-F238E27FC236}">
              <a16:creationId xmlns:a16="http://schemas.microsoft.com/office/drawing/2014/main" id="{2C901545-D6B5-4261-8DC7-7EBB8E77C4CB}"/>
            </a:ext>
          </a:extLst>
        </xdr:cNvPr>
        <xdr:cNvSpPr>
          <a:spLocks noChangeAspect="1"/>
        </xdr:cNvSpPr>
      </xdr:nvSpPr>
      <xdr:spPr>
        <a:xfrm>
          <a:off x="1208314" y="113320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60</xdr:row>
      <xdr:rowOff>43546</xdr:rowOff>
    </xdr:from>
    <xdr:to>
      <xdr:col>2</xdr:col>
      <xdr:colOff>467143</xdr:colOff>
      <xdr:row>60</xdr:row>
      <xdr:rowOff>162346</xdr:rowOff>
    </xdr:to>
    <xdr:sp macro="" textlink="">
      <xdr:nvSpPr>
        <xdr:cNvPr id="20" name="Oval 19">
          <a:extLst>
            <a:ext uri="{FF2B5EF4-FFF2-40B4-BE49-F238E27FC236}">
              <a16:creationId xmlns:a16="http://schemas.microsoft.com/office/drawing/2014/main" id="{1BFE1738-8E30-48FF-8B06-0424CCFCB435}"/>
            </a:ext>
          </a:extLst>
        </xdr:cNvPr>
        <xdr:cNvSpPr>
          <a:spLocks noChangeAspect="1"/>
        </xdr:cNvSpPr>
      </xdr:nvSpPr>
      <xdr:spPr>
        <a:xfrm>
          <a:off x="1208314" y="115388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61</xdr:row>
      <xdr:rowOff>43545</xdr:rowOff>
    </xdr:from>
    <xdr:to>
      <xdr:col>2</xdr:col>
      <xdr:colOff>467143</xdr:colOff>
      <xdr:row>61</xdr:row>
      <xdr:rowOff>162345</xdr:rowOff>
    </xdr:to>
    <xdr:sp macro="" textlink="">
      <xdr:nvSpPr>
        <xdr:cNvPr id="21" name="Oval 20">
          <a:extLst>
            <a:ext uri="{FF2B5EF4-FFF2-40B4-BE49-F238E27FC236}">
              <a16:creationId xmlns:a16="http://schemas.microsoft.com/office/drawing/2014/main" id="{3BE2C4A6-EF81-4AE4-A2A8-E249558504AD}"/>
            </a:ext>
          </a:extLst>
        </xdr:cNvPr>
        <xdr:cNvSpPr>
          <a:spLocks noChangeAspect="1"/>
        </xdr:cNvSpPr>
      </xdr:nvSpPr>
      <xdr:spPr>
        <a:xfrm>
          <a:off x="1208314" y="117565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63</xdr:row>
      <xdr:rowOff>54429</xdr:rowOff>
    </xdr:from>
    <xdr:to>
      <xdr:col>2</xdr:col>
      <xdr:colOff>467143</xdr:colOff>
      <xdr:row>63</xdr:row>
      <xdr:rowOff>173229</xdr:rowOff>
    </xdr:to>
    <xdr:sp macro="" textlink="">
      <xdr:nvSpPr>
        <xdr:cNvPr id="22" name="Oval 21">
          <a:extLst>
            <a:ext uri="{FF2B5EF4-FFF2-40B4-BE49-F238E27FC236}">
              <a16:creationId xmlns:a16="http://schemas.microsoft.com/office/drawing/2014/main" id="{0046F967-CAB2-4582-8718-F479D28771F7}"/>
            </a:ext>
          </a:extLst>
        </xdr:cNvPr>
        <xdr:cNvSpPr>
          <a:spLocks noChangeAspect="1"/>
        </xdr:cNvSpPr>
      </xdr:nvSpPr>
      <xdr:spPr>
        <a:xfrm>
          <a:off x="1208314" y="11985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59</xdr:row>
      <xdr:rowOff>54430</xdr:rowOff>
    </xdr:from>
    <xdr:to>
      <xdr:col>8</xdr:col>
      <xdr:colOff>924343</xdr:colOff>
      <xdr:row>59</xdr:row>
      <xdr:rowOff>173230</xdr:rowOff>
    </xdr:to>
    <xdr:sp macro="" textlink="">
      <xdr:nvSpPr>
        <xdr:cNvPr id="27" name="Oval 26">
          <a:extLst>
            <a:ext uri="{FF2B5EF4-FFF2-40B4-BE49-F238E27FC236}">
              <a16:creationId xmlns:a16="http://schemas.microsoft.com/office/drawing/2014/main" id="{1CFDA1F8-B172-4714-A1BD-A8EE64A73D57}"/>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60</xdr:row>
      <xdr:rowOff>43546</xdr:rowOff>
    </xdr:from>
    <xdr:to>
      <xdr:col>8</xdr:col>
      <xdr:colOff>924343</xdr:colOff>
      <xdr:row>60</xdr:row>
      <xdr:rowOff>162346</xdr:rowOff>
    </xdr:to>
    <xdr:sp macro="" textlink="">
      <xdr:nvSpPr>
        <xdr:cNvPr id="28" name="Oval 27">
          <a:extLst>
            <a:ext uri="{FF2B5EF4-FFF2-40B4-BE49-F238E27FC236}">
              <a16:creationId xmlns:a16="http://schemas.microsoft.com/office/drawing/2014/main" id="{94D99059-9E4C-4457-B07F-70C4F25A3FE7}"/>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61</xdr:row>
      <xdr:rowOff>43545</xdr:rowOff>
    </xdr:from>
    <xdr:to>
      <xdr:col>8</xdr:col>
      <xdr:colOff>924343</xdr:colOff>
      <xdr:row>61</xdr:row>
      <xdr:rowOff>162345</xdr:rowOff>
    </xdr:to>
    <xdr:sp macro="" textlink="">
      <xdr:nvSpPr>
        <xdr:cNvPr id="29" name="Oval 28">
          <a:extLst>
            <a:ext uri="{FF2B5EF4-FFF2-40B4-BE49-F238E27FC236}">
              <a16:creationId xmlns:a16="http://schemas.microsoft.com/office/drawing/2014/main" id="{CB57AD07-44D9-4F60-9056-A482B77AB311}"/>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63</xdr:row>
      <xdr:rowOff>54429</xdr:rowOff>
    </xdr:from>
    <xdr:to>
      <xdr:col>8</xdr:col>
      <xdr:colOff>924343</xdr:colOff>
      <xdr:row>63</xdr:row>
      <xdr:rowOff>173229</xdr:rowOff>
    </xdr:to>
    <xdr:sp macro="" textlink="">
      <xdr:nvSpPr>
        <xdr:cNvPr id="30" name="Oval 29">
          <a:extLst>
            <a:ext uri="{FF2B5EF4-FFF2-40B4-BE49-F238E27FC236}">
              <a16:creationId xmlns:a16="http://schemas.microsoft.com/office/drawing/2014/main" id="{2A0842E5-5B18-4C4B-8EC1-AEE4B36B2D47}"/>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editAs="oneCell">
    <xdr:from>
      <xdr:col>2</xdr:col>
      <xdr:colOff>304803</xdr:colOff>
      <xdr:row>68</xdr:row>
      <xdr:rowOff>163275</xdr:rowOff>
    </xdr:from>
    <xdr:to>
      <xdr:col>8</xdr:col>
      <xdr:colOff>401288</xdr:colOff>
      <xdr:row>80</xdr:row>
      <xdr:rowOff>102817</xdr:rowOff>
    </xdr:to>
    <xdr:graphicFrame macro="">
      <xdr:nvGraphicFramePr>
        <xdr:cNvPr id="33" name="Chart 10">
          <a:extLst>
            <a:ext uri="{FF2B5EF4-FFF2-40B4-BE49-F238E27FC236}">
              <a16:creationId xmlns:a16="http://schemas.microsoft.com/office/drawing/2014/main" id="{6552344F-23F0-60AC-4DAC-CDB272577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772891</xdr:colOff>
      <xdr:row>68</xdr:row>
      <xdr:rowOff>163275</xdr:rowOff>
    </xdr:from>
    <xdr:to>
      <xdr:col>14</xdr:col>
      <xdr:colOff>259239</xdr:colOff>
      <xdr:row>80</xdr:row>
      <xdr:rowOff>103784</xdr:rowOff>
    </xdr:to>
    <xdr:graphicFrame macro="">
      <xdr:nvGraphicFramePr>
        <xdr:cNvPr id="36" name="Chart 10">
          <a:extLst>
            <a:ext uri="{FF2B5EF4-FFF2-40B4-BE49-F238E27FC236}">
              <a16:creationId xmlns:a16="http://schemas.microsoft.com/office/drawing/2014/main" id="{8639E4B4-07C6-084E-D758-AABAEC840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293918</xdr:colOff>
      <xdr:row>92</xdr:row>
      <xdr:rowOff>141208</xdr:rowOff>
    </xdr:from>
    <xdr:to>
      <xdr:col>8</xdr:col>
      <xdr:colOff>390403</xdr:colOff>
      <xdr:row>104</xdr:row>
      <xdr:rowOff>11689</xdr:rowOff>
    </xdr:to>
    <xdr:graphicFrame macro="">
      <xdr:nvGraphicFramePr>
        <xdr:cNvPr id="47" name="Chart 10">
          <a:extLst>
            <a:ext uri="{FF2B5EF4-FFF2-40B4-BE49-F238E27FC236}">
              <a16:creationId xmlns:a16="http://schemas.microsoft.com/office/drawing/2014/main" id="{15EBB61D-CFF5-CE78-7EC9-E784DB870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762005</xdr:colOff>
      <xdr:row>92</xdr:row>
      <xdr:rowOff>141208</xdr:rowOff>
    </xdr:from>
    <xdr:to>
      <xdr:col>14</xdr:col>
      <xdr:colOff>245178</xdr:colOff>
      <xdr:row>104</xdr:row>
      <xdr:rowOff>11689</xdr:rowOff>
    </xdr:to>
    <xdr:graphicFrame macro="">
      <xdr:nvGraphicFramePr>
        <xdr:cNvPr id="50" name="Chart 10">
          <a:extLst>
            <a:ext uri="{FF2B5EF4-FFF2-40B4-BE49-F238E27FC236}">
              <a16:creationId xmlns:a16="http://schemas.microsoft.com/office/drawing/2014/main" id="{DB862B77-C312-0745-FD87-C9B4608F0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348343</xdr:colOff>
      <xdr:row>62</xdr:row>
      <xdr:rowOff>54427</xdr:rowOff>
    </xdr:from>
    <xdr:to>
      <xdr:col>2</xdr:col>
      <xdr:colOff>467143</xdr:colOff>
      <xdr:row>62</xdr:row>
      <xdr:rowOff>173227</xdr:rowOff>
    </xdr:to>
    <xdr:sp macro="" textlink="">
      <xdr:nvSpPr>
        <xdr:cNvPr id="59" name="Oval 58">
          <a:extLst>
            <a:ext uri="{FF2B5EF4-FFF2-40B4-BE49-F238E27FC236}">
              <a16:creationId xmlns:a16="http://schemas.microsoft.com/office/drawing/2014/main" id="{410B47A7-16D1-44A5-8FE1-A895761B5673}"/>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62</xdr:row>
      <xdr:rowOff>54427</xdr:rowOff>
    </xdr:from>
    <xdr:to>
      <xdr:col>8</xdr:col>
      <xdr:colOff>924343</xdr:colOff>
      <xdr:row>62</xdr:row>
      <xdr:rowOff>173227</xdr:rowOff>
    </xdr:to>
    <xdr:sp macro="" textlink="">
      <xdr:nvSpPr>
        <xdr:cNvPr id="60" name="Oval 59">
          <a:extLst>
            <a:ext uri="{FF2B5EF4-FFF2-40B4-BE49-F238E27FC236}">
              <a16:creationId xmlns:a16="http://schemas.microsoft.com/office/drawing/2014/main" id="{9DBB54AF-31E7-4C1E-8637-060BC437BF86}"/>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71" name="Oval 70">
          <a:extLst>
            <a:ext uri="{FF2B5EF4-FFF2-40B4-BE49-F238E27FC236}">
              <a16:creationId xmlns:a16="http://schemas.microsoft.com/office/drawing/2014/main" id="{28061D7A-F9C8-46A6-A399-7B82BE7FE5EE}"/>
            </a:ext>
          </a:extLst>
        </xdr:cNvPr>
        <xdr:cNvSpPr>
          <a:spLocks noChangeAspect="1"/>
        </xdr:cNvSpPr>
      </xdr:nvSpPr>
      <xdr:spPr>
        <a:xfrm>
          <a:off x="1208314"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72" name="Oval 71">
          <a:extLst>
            <a:ext uri="{FF2B5EF4-FFF2-40B4-BE49-F238E27FC236}">
              <a16:creationId xmlns:a16="http://schemas.microsoft.com/office/drawing/2014/main" id="{40DF2EED-13F1-49E2-AA5E-D1A35D34A369}"/>
            </a:ext>
          </a:extLst>
        </xdr:cNvPr>
        <xdr:cNvSpPr>
          <a:spLocks noChangeAspect="1"/>
        </xdr:cNvSpPr>
      </xdr:nvSpPr>
      <xdr:spPr>
        <a:xfrm>
          <a:off x="1208314"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73" name="Oval 72">
          <a:extLst>
            <a:ext uri="{FF2B5EF4-FFF2-40B4-BE49-F238E27FC236}">
              <a16:creationId xmlns:a16="http://schemas.microsoft.com/office/drawing/2014/main" id="{58BB041A-21E4-4A99-A7A0-CA3B1D460096}"/>
            </a:ext>
          </a:extLst>
        </xdr:cNvPr>
        <xdr:cNvSpPr>
          <a:spLocks noChangeAspect="1"/>
        </xdr:cNvSpPr>
      </xdr:nvSpPr>
      <xdr:spPr>
        <a:xfrm>
          <a:off x="1208314"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74" name="Oval 73">
          <a:extLst>
            <a:ext uri="{FF2B5EF4-FFF2-40B4-BE49-F238E27FC236}">
              <a16:creationId xmlns:a16="http://schemas.microsoft.com/office/drawing/2014/main" id="{4DEB5C32-AB30-4D9C-BA7E-1F5D1895FC38}"/>
            </a:ext>
          </a:extLst>
        </xdr:cNvPr>
        <xdr:cNvSpPr>
          <a:spLocks noChangeAspect="1"/>
        </xdr:cNvSpPr>
      </xdr:nvSpPr>
      <xdr:spPr>
        <a:xfrm>
          <a:off x="1208314"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79" name="Oval 78">
          <a:extLst>
            <a:ext uri="{FF2B5EF4-FFF2-40B4-BE49-F238E27FC236}">
              <a16:creationId xmlns:a16="http://schemas.microsoft.com/office/drawing/2014/main" id="{E52765AF-BF35-42B0-8B36-79EEE0C3B022}"/>
            </a:ext>
          </a:extLst>
        </xdr:cNvPr>
        <xdr:cNvSpPr>
          <a:spLocks noChangeAspect="1"/>
        </xdr:cNvSpPr>
      </xdr:nvSpPr>
      <xdr:spPr>
        <a:xfrm>
          <a:off x="1208314"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81" name="Oval 80">
          <a:extLst>
            <a:ext uri="{FF2B5EF4-FFF2-40B4-BE49-F238E27FC236}">
              <a16:creationId xmlns:a16="http://schemas.microsoft.com/office/drawing/2014/main" id="{C539FD69-139D-474F-A876-205433872582}"/>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82" name="Oval 81">
          <a:extLst>
            <a:ext uri="{FF2B5EF4-FFF2-40B4-BE49-F238E27FC236}">
              <a16:creationId xmlns:a16="http://schemas.microsoft.com/office/drawing/2014/main" id="{72E48A81-1858-4522-A362-2DF5EABDBE89}"/>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83" name="Oval 82">
          <a:extLst>
            <a:ext uri="{FF2B5EF4-FFF2-40B4-BE49-F238E27FC236}">
              <a16:creationId xmlns:a16="http://schemas.microsoft.com/office/drawing/2014/main" id="{42861B14-B61F-4FDF-9D35-E0F180F9A07A}"/>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84" name="Oval 83">
          <a:extLst>
            <a:ext uri="{FF2B5EF4-FFF2-40B4-BE49-F238E27FC236}">
              <a16:creationId xmlns:a16="http://schemas.microsoft.com/office/drawing/2014/main" id="{B5EB70AA-935C-4BDB-9DC3-E46686EEBE4B}"/>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89" name="Oval 88">
          <a:extLst>
            <a:ext uri="{FF2B5EF4-FFF2-40B4-BE49-F238E27FC236}">
              <a16:creationId xmlns:a16="http://schemas.microsoft.com/office/drawing/2014/main" id="{F4EC2A01-3BB6-4099-B060-1D4A1002396A}"/>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91" name="Oval 90">
          <a:extLst>
            <a:ext uri="{FF2B5EF4-FFF2-40B4-BE49-F238E27FC236}">
              <a16:creationId xmlns:a16="http://schemas.microsoft.com/office/drawing/2014/main" id="{BF2A66EB-6378-49E0-BC42-359296149F59}"/>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92" name="Oval 91">
          <a:extLst>
            <a:ext uri="{FF2B5EF4-FFF2-40B4-BE49-F238E27FC236}">
              <a16:creationId xmlns:a16="http://schemas.microsoft.com/office/drawing/2014/main" id="{4969D704-CBB7-4A8B-91B5-3E47AE46ED73}"/>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93" name="Oval 92">
          <a:extLst>
            <a:ext uri="{FF2B5EF4-FFF2-40B4-BE49-F238E27FC236}">
              <a16:creationId xmlns:a16="http://schemas.microsoft.com/office/drawing/2014/main" id="{0AE17D6E-728D-4A3E-BD2E-0CDDAE6219E9}"/>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94" name="Oval 93">
          <a:extLst>
            <a:ext uri="{FF2B5EF4-FFF2-40B4-BE49-F238E27FC236}">
              <a16:creationId xmlns:a16="http://schemas.microsoft.com/office/drawing/2014/main" id="{B3086B55-903B-4769-90FF-6449A011434C}"/>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95" name="Oval 94">
          <a:extLst>
            <a:ext uri="{FF2B5EF4-FFF2-40B4-BE49-F238E27FC236}">
              <a16:creationId xmlns:a16="http://schemas.microsoft.com/office/drawing/2014/main" id="{88BFA847-9BCD-4A61-9CB1-B9C8B099B66F}"/>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96" name="Oval 95">
          <a:extLst>
            <a:ext uri="{FF2B5EF4-FFF2-40B4-BE49-F238E27FC236}">
              <a16:creationId xmlns:a16="http://schemas.microsoft.com/office/drawing/2014/main" id="{7FFA58E1-3E64-4C34-A02A-6DA1B0494F22}"/>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97" name="Oval 96">
          <a:extLst>
            <a:ext uri="{FF2B5EF4-FFF2-40B4-BE49-F238E27FC236}">
              <a16:creationId xmlns:a16="http://schemas.microsoft.com/office/drawing/2014/main" id="{284A6297-0461-43CC-8F1E-11513CA2FCEB}"/>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98" name="Oval 97">
          <a:extLst>
            <a:ext uri="{FF2B5EF4-FFF2-40B4-BE49-F238E27FC236}">
              <a16:creationId xmlns:a16="http://schemas.microsoft.com/office/drawing/2014/main" id="{2448A75B-B55D-450E-BB33-FA7B291156AA}"/>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99" name="Oval 98">
          <a:extLst>
            <a:ext uri="{FF2B5EF4-FFF2-40B4-BE49-F238E27FC236}">
              <a16:creationId xmlns:a16="http://schemas.microsoft.com/office/drawing/2014/main" id="{AB3A2F2C-CC5B-4040-B1CB-07EDAA848D21}"/>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00" name="Oval 99">
          <a:extLst>
            <a:ext uri="{FF2B5EF4-FFF2-40B4-BE49-F238E27FC236}">
              <a16:creationId xmlns:a16="http://schemas.microsoft.com/office/drawing/2014/main" id="{D26386AD-DD3E-40AE-A78E-D90615D94535}"/>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101" name="Oval 100">
          <a:extLst>
            <a:ext uri="{FF2B5EF4-FFF2-40B4-BE49-F238E27FC236}">
              <a16:creationId xmlns:a16="http://schemas.microsoft.com/office/drawing/2014/main" id="{B34B294E-7C41-4DA6-A532-109EEF088C22}"/>
            </a:ext>
          </a:extLst>
        </xdr:cNvPr>
        <xdr:cNvSpPr>
          <a:spLocks noChangeAspect="1"/>
        </xdr:cNvSpPr>
      </xdr:nvSpPr>
      <xdr:spPr>
        <a:xfrm>
          <a:off x="1208314"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102" name="Oval 101">
          <a:extLst>
            <a:ext uri="{FF2B5EF4-FFF2-40B4-BE49-F238E27FC236}">
              <a16:creationId xmlns:a16="http://schemas.microsoft.com/office/drawing/2014/main" id="{4C6EB84A-E730-4118-8BE6-132D3C288D0E}"/>
            </a:ext>
          </a:extLst>
        </xdr:cNvPr>
        <xdr:cNvSpPr>
          <a:spLocks noChangeAspect="1"/>
        </xdr:cNvSpPr>
      </xdr:nvSpPr>
      <xdr:spPr>
        <a:xfrm>
          <a:off x="1208314"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103" name="Oval 102">
          <a:extLst>
            <a:ext uri="{FF2B5EF4-FFF2-40B4-BE49-F238E27FC236}">
              <a16:creationId xmlns:a16="http://schemas.microsoft.com/office/drawing/2014/main" id="{1306DA48-B05A-4454-A9AD-0576FE53F20B}"/>
            </a:ext>
          </a:extLst>
        </xdr:cNvPr>
        <xdr:cNvSpPr>
          <a:spLocks noChangeAspect="1"/>
        </xdr:cNvSpPr>
      </xdr:nvSpPr>
      <xdr:spPr>
        <a:xfrm>
          <a:off x="1208314"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104" name="Oval 103">
          <a:extLst>
            <a:ext uri="{FF2B5EF4-FFF2-40B4-BE49-F238E27FC236}">
              <a16:creationId xmlns:a16="http://schemas.microsoft.com/office/drawing/2014/main" id="{B0CF57FA-24D0-45B5-A766-7E34DCFDF077}"/>
            </a:ext>
          </a:extLst>
        </xdr:cNvPr>
        <xdr:cNvSpPr>
          <a:spLocks noChangeAspect="1"/>
        </xdr:cNvSpPr>
      </xdr:nvSpPr>
      <xdr:spPr>
        <a:xfrm>
          <a:off x="1208314"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105" name="Oval 104">
          <a:extLst>
            <a:ext uri="{FF2B5EF4-FFF2-40B4-BE49-F238E27FC236}">
              <a16:creationId xmlns:a16="http://schemas.microsoft.com/office/drawing/2014/main" id="{1860B470-32FA-4534-AC33-4D012A65F639}"/>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106" name="Oval 105">
          <a:extLst>
            <a:ext uri="{FF2B5EF4-FFF2-40B4-BE49-F238E27FC236}">
              <a16:creationId xmlns:a16="http://schemas.microsoft.com/office/drawing/2014/main" id="{72A83AB3-E35F-456D-921D-35B620B3FAF6}"/>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107" name="Oval 106">
          <a:extLst>
            <a:ext uri="{FF2B5EF4-FFF2-40B4-BE49-F238E27FC236}">
              <a16:creationId xmlns:a16="http://schemas.microsoft.com/office/drawing/2014/main" id="{8E02AA4E-6F70-404B-B092-DE1AB41BE694}"/>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108" name="Oval 107">
          <a:extLst>
            <a:ext uri="{FF2B5EF4-FFF2-40B4-BE49-F238E27FC236}">
              <a16:creationId xmlns:a16="http://schemas.microsoft.com/office/drawing/2014/main" id="{F0C46E7A-BEBF-43B6-91B4-09961D6BF32D}"/>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109" name="Oval 108">
          <a:extLst>
            <a:ext uri="{FF2B5EF4-FFF2-40B4-BE49-F238E27FC236}">
              <a16:creationId xmlns:a16="http://schemas.microsoft.com/office/drawing/2014/main" id="{AD1A966B-AEAF-462C-8118-2B4630EDB702}"/>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110" name="Oval 109">
          <a:extLst>
            <a:ext uri="{FF2B5EF4-FFF2-40B4-BE49-F238E27FC236}">
              <a16:creationId xmlns:a16="http://schemas.microsoft.com/office/drawing/2014/main" id="{3B22E9EF-081E-4F04-B8DC-A261C141F02A}"/>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111" name="Oval 110">
          <a:extLst>
            <a:ext uri="{FF2B5EF4-FFF2-40B4-BE49-F238E27FC236}">
              <a16:creationId xmlns:a16="http://schemas.microsoft.com/office/drawing/2014/main" id="{155CF275-D095-4CE5-BDED-9B37FF26CE4E}"/>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112" name="Oval 111">
          <a:extLst>
            <a:ext uri="{FF2B5EF4-FFF2-40B4-BE49-F238E27FC236}">
              <a16:creationId xmlns:a16="http://schemas.microsoft.com/office/drawing/2014/main" id="{933082E4-F0F3-45FB-93C0-A5B8C1B3D1B0}"/>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113" name="Oval 112">
          <a:extLst>
            <a:ext uri="{FF2B5EF4-FFF2-40B4-BE49-F238E27FC236}">
              <a16:creationId xmlns:a16="http://schemas.microsoft.com/office/drawing/2014/main" id="{EECC1E92-BA24-4A5C-9477-B57F7685C80F}"/>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114" name="Oval 113">
          <a:extLst>
            <a:ext uri="{FF2B5EF4-FFF2-40B4-BE49-F238E27FC236}">
              <a16:creationId xmlns:a16="http://schemas.microsoft.com/office/drawing/2014/main" id="{6061528D-99AD-4563-A64B-7525F0FB3D35}"/>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115" name="Oval 114">
          <a:extLst>
            <a:ext uri="{FF2B5EF4-FFF2-40B4-BE49-F238E27FC236}">
              <a16:creationId xmlns:a16="http://schemas.microsoft.com/office/drawing/2014/main" id="{D4239E7F-B2D0-404E-8D3A-FEF211BD4E26}"/>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16" name="Oval 115">
          <a:extLst>
            <a:ext uri="{FF2B5EF4-FFF2-40B4-BE49-F238E27FC236}">
              <a16:creationId xmlns:a16="http://schemas.microsoft.com/office/drawing/2014/main" id="{A76965BD-FEFB-4C93-88F4-D654BAB9B10B}"/>
            </a:ext>
          </a:extLst>
        </xdr:cNvPr>
        <xdr:cNvSpPr>
          <a:spLocks noChangeAspect="1"/>
        </xdr:cNvSpPr>
      </xdr:nvSpPr>
      <xdr:spPr>
        <a:xfrm>
          <a:off x="7010400"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17" name="Oval 116">
          <a:extLst>
            <a:ext uri="{FF2B5EF4-FFF2-40B4-BE49-F238E27FC236}">
              <a16:creationId xmlns:a16="http://schemas.microsoft.com/office/drawing/2014/main" id="{A48E216D-F4B0-40BE-8167-31F153380296}"/>
            </a:ext>
          </a:extLst>
        </xdr:cNvPr>
        <xdr:cNvSpPr>
          <a:spLocks noChangeAspect="1"/>
        </xdr:cNvSpPr>
      </xdr:nvSpPr>
      <xdr:spPr>
        <a:xfrm>
          <a:off x="7010400"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18" name="Oval 117">
          <a:extLst>
            <a:ext uri="{FF2B5EF4-FFF2-40B4-BE49-F238E27FC236}">
              <a16:creationId xmlns:a16="http://schemas.microsoft.com/office/drawing/2014/main" id="{5AFD9B81-8657-4982-9ACA-A20DDE7AB2F3}"/>
            </a:ext>
          </a:extLst>
        </xdr:cNvPr>
        <xdr:cNvSpPr>
          <a:spLocks noChangeAspect="1"/>
        </xdr:cNvSpPr>
      </xdr:nvSpPr>
      <xdr:spPr>
        <a:xfrm>
          <a:off x="7010400"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19" name="Oval 118">
          <a:extLst>
            <a:ext uri="{FF2B5EF4-FFF2-40B4-BE49-F238E27FC236}">
              <a16:creationId xmlns:a16="http://schemas.microsoft.com/office/drawing/2014/main" id="{98E96808-EAE0-4B03-A92D-8FB89194FE03}"/>
            </a:ext>
          </a:extLst>
        </xdr:cNvPr>
        <xdr:cNvSpPr>
          <a:spLocks noChangeAspect="1"/>
        </xdr:cNvSpPr>
      </xdr:nvSpPr>
      <xdr:spPr>
        <a:xfrm>
          <a:off x="7010400"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20" name="Oval 119">
          <a:extLst>
            <a:ext uri="{FF2B5EF4-FFF2-40B4-BE49-F238E27FC236}">
              <a16:creationId xmlns:a16="http://schemas.microsoft.com/office/drawing/2014/main" id="{89ABBAA7-BC5F-4C22-81D0-5B82898F96D9}"/>
            </a:ext>
          </a:extLst>
        </xdr:cNvPr>
        <xdr:cNvSpPr>
          <a:spLocks noChangeAspect="1"/>
        </xdr:cNvSpPr>
      </xdr:nvSpPr>
      <xdr:spPr>
        <a:xfrm>
          <a:off x="7010400"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25" name="Oval 124">
          <a:extLst>
            <a:ext uri="{FF2B5EF4-FFF2-40B4-BE49-F238E27FC236}">
              <a16:creationId xmlns:a16="http://schemas.microsoft.com/office/drawing/2014/main" id="{62D7D9C9-BF4B-4325-A413-9EFA59C135B1}"/>
            </a:ext>
          </a:extLst>
        </xdr:cNvPr>
        <xdr:cNvSpPr>
          <a:spLocks noChangeAspect="1"/>
        </xdr:cNvSpPr>
      </xdr:nvSpPr>
      <xdr:spPr>
        <a:xfrm>
          <a:off x="7010400"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26" name="Oval 125">
          <a:extLst>
            <a:ext uri="{FF2B5EF4-FFF2-40B4-BE49-F238E27FC236}">
              <a16:creationId xmlns:a16="http://schemas.microsoft.com/office/drawing/2014/main" id="{CBBB248F-7410-4956-81F5-A50D2C853CED}"/>
            </a:ext>
          </a:extLst>
        </xdr:cNvPr>
        <xdr:cNvSpPr>
          <a:spLocks noChangeAspect="1"/>
        </xdr:cNvSpPr>
      </xdr:nvSpPr>
      <xdr:spPr>
        <a:xfrm>
          <a:off x="7010400"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27" name="Oval 126">
          <a:extLst>
            <a:ext uri="{FF2B5EF4-FFF2-40B4-BE49-F238E27FC236}">
              <a16:creationId xmlns:a16="http://schemas.microsoft.com/office/drawing/2014/main" id="{A2959FCF-8F21-4DFC-91AB-B50F265827CB}"/>
            </a:ext>
          </a:extLst>
        </xdr:cNvPr>
        <xdr:cNvSpPr>
          <a:spLocks noChangeAspect="1"/>
        </xdr:cNvSpPr>
      </xdr:nvSpPr>
      <xdr:spPr>
        <a:xfrm>
          <a:off x="7010400"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28" name="Oval 127">
          <a:extLst>
            <a:ext uri="{FF2B5EF4-FFF2-40B4-BE49-F238E27FC236}">
              <a16:creationId xmlns:a16="http://schemas.microsoft.com/office/drawing/2014/main" id="{0F782D06-6813-41F1-B285-F2ED6FD9E046}"/>
            </a:ext>
          </a:extLst>
        </xdr:cNvPr>
        <xdr:cNvSpPr>
          <a:spLocks noChangeAspect="1"/>
        </xdr:cNvSpPr>
      </xdr:nvSpPr>
      <xdr:spPr>
        <a:xfrm>
          <a:off x="7010400"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114</xdr:row>
      <xdr:rowOff>173229</xdr:rowOff>
    </xdr:to>
    <xdr:grpSp>
      <xdr:nvGrpSpPr>
        <xdr:cNvPr id="42" name="Group 41">
          <a:extLst>
            <a:ext uri="{FF2B5EF4-FFF2-40B4-BE49-F238E27FC236}">
              <a16:creationId xmlns:a16="http://schemas.microsoft.com/office/drawing/2014/main" id="{2254FE77-1CA0-F661-A093-26D8F3F1C8A8}"/>
            </a:ext>
          </a:extLst>
        </xdr:cNvPr>
        <xdr:cNvGrpSpPr/>
      </xdr:nvGrpSpPr>
      <xdr:grpSpPr>
        <a:xfrm>
          <a:off x="1220674" y="24807524"/>
          <a:ext cx="112450" cy="1023674"/>
          <a:chOff x="1201783" y="24522250"/>
          <a:chExt cx="118800" cy="1002719"/>
        </a:xfrm>
      </xdr:grpSpPr>
      <xdr:sp macro="" textlink="">
        <xdr:nvSpPr>
          <xdr:cNvPr id="121" name="Oval 120">
            <a:extLst>
              <a:ext uri="{FF2B5EF4-FFF2-40B4-BE49-F238E27FC236}">
                <a16:creationId xmlns:a16="http://schemas.microsoft.com/office/drawing/2014/main" id="{49C39CF8-E423-429E-B965-7B643329D666}"/>
              </a:ext>
            </a:extLst>
          </xdr:cNvPr>
          <xdr:cNvSpPr>
            <a:spLocks noChangeAspect="1"/>
          </xdr:cNvSpPr>
        </xdr:nvSpPr>
        <xdr:spPr>
          <a:xfrm>
            <a:off x="1201783" y="2452225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2" name="Oval 121">
            <a:extLst>
              <a:ext uri="{FF2B5EF4-FFF2-40B4-BE49-F238E27FC236}">
                <a16:creationId xmlns:a16="http://schemas.microsoft.com/office/drawing/2014/main" id="{B6A4FAEB-E4B4-4016-86DC-64DC9E8D62F6}"/>
              </a:ext>
            </a:extLst>
          </xdr:cNvPr>
          <xdr:cNvSpPr>
            <a:spLocks noChangeAspect="1"/>
          </xdr:cNvSpPr>
        </xdr:nvSpPr>
        <xdr:spPr>
          <a:xfrm>
            <a:off x="1201783" y="247323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3" name="Oval 122">
            <a:extLst>
              <a:ext uri="{FF2B5EF4-FFF2-40B4-BE49-F238E27FC236}">
                <a16:creationId xmlns:a16="http://schemas.microsoft.com/office/drawing/2014/main" id="{4A1AC8A2-07D8-407A-929F-B5373D3E7E25}"/>
              </a:ext>
            </a:extLst>
          </xdr:cNvPr>
          <xdr:cNvSpPr>
            <a:spLocks noChangeAspect="1"/>
          </xdr:cNvSpPr>
        </xdr:nvSpPr>
        <xdr:spPr>
          <a:xfrm>
            <a:off x="1201783" y="24953325"/>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4" name="Oval 123">
            <a:extLst>
              <a:ext uri="{FF2B5EF4-FFF2-40B4-BE49-F238E27FC236}">
                <a16:creationId xmlns:a16="http://schemas.microsoft.com/office/drawing/2014/main" id="{BFBA409A-450B-4168-AC86-F27F2CF5F7E6}"/>
              </a:ext>
            </a:extLst>
          </xdr:cNvPr>
          <xdr:cNvSpPr>
            <a:spLocks noChangeAspect="1"/>
          </xdr:cNvSpPr>
        </xdr:nvSpPr>
        <xdr:spPr>
          <a:xfrm>
            <a:off x="1201783" y="25406169"/>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9" name="Oval 128">
            <a:extLst>
              <a:ext uri="{FF2B5EF4-FFF2-40B4-BE49-F238E27FC236}">
                <a16:creationId xmlns:a16="http://schemas.microsoft.com/office/drawing/2014/main" id="{6666BF28-6F62-4E3F-9A20-CCE260498B79}"/>
              </a:ext>
            </a:extLst>
          </xdr:cNvPr>
          <xdr:cNvSpPr>
            <a:spLocks noChangeAspect="1"/>
          </xdr:cNvSpPr>
        </xdr:nvSpPr>
        <xdr:spPr>
          <a:xfrm>
            <a:off x="1201783" y="25185187"/>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grp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30" name="Oval 129">
          <a:extLst>
            <a:ext uri="{FF2B5EF4-FFF2-40B4-BE49-F238E27FC236}">
              <a16:creationId xmlns:a16="http://schemas.microsoft.com/office/drawing/2014/main" id="{72CF095F-3331-4ECA-80DE-48E087B2B0B9}"/>
            </a:ext>
          </a:extLst>
        </xdr:cNvPr>
        <xdr:cNvSpPr>
          <a:spLocks noChangeAspect="1"/>
        </xdr:cNvSpPr>
      </xdr:nvSpPr>
      <xdr:spPr>
        <a:xfrm>
          <a:off x="7010400"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3</xdr:col>
      <xdr:colOff>134628</xdr:colOff>
      <xdr:row>41</xdr:row>
      <xdr:rowOff>215297</xdr:rowOff>
    </xdr:from>
    <xdr:to>
      <xdr:col>8</xdr:col>
      <xdr:colOff>200351</xdr:colOff>
      <xdr:row>57</xdr:row>
      <xdr:rowOff>61617</xdr:rowOff>
    </xdr:to>
    <xdr:grpSp>
      <xdr:nvGrpSpPr>
        <xdr:cNvPr id="7" name="Group 6">
          <a:extLst>
            <a:ext uri="{FF2B5EF4-FFF2-40B4-BE49-F238E27FC236}">
              <a16:creationId xmlns:a16="http://schemas.microsoft.com/office/drawing/2014/main" id="{B56413D4-DE37-4C5F-3C71-71D537108E7F}"/>
            </a:ext>
          </a:extLst>
        </xdr:cNvPr>
        <xdr:cNvGrpSpPr/>
      </xdr:nvGrpSpPr>
      <xdr:grpSpPr>
        <a:xfrm>
          <a:off x="1599097" y="9183878"/>
          <a:ext cx="4908392" cy="3525352"/>
          <a:chOff x="1582428" y="9141583"/>
          <a:chExt cx="4833666" cy="3395063"/>
        </a:xfrm>
      </xdr:grpSpPr>
      <xdr:sp macro="" textlink="">
        <xdr:nvSpPr>
          <xdr:cNvPr id="52" name="Rectangle: Rounded Corners 21">
            <a:extLst>
              <a:ext uri="{FF2B5EF4-FFF2-40B4-BE49-F238E27FC236}">
                <a16:creationId xmlns:a16="http://schemas.microsoft.com/office/drawing/2014/main" id="{0B619669-14F7-7418-9150-13AB4F9F9A80}"/>
              </a:ext>
            </a:extLst>
          </xdr:cNvPr>
          <xdr:cNvSpPr/>
        </xdr:nvSpPr>
        <xdr:spPr>
          <a:xfrm>
            <a:off x="1582428" y="12074928"/>
            <a:ext cx="4833666" cy="461718"/>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5" name="Group 4">
            <a:extLst>
              <a:ext uri="{FF2B5EF4-FFF2-40B4-BE49-F238E27FC236}">
                <a16:creationId xmlns:a16="http://schemas.microsoft.com/office/drawing/2014/main" id="{33FA7C8D-0CF4-C835-C8D4-B840E35F7DBF}"/>
              </a:ext>
            </a:extLst>
          </xdr:cNvPr>
          <xdr:cNvGrpSpPr/>
        </xdr:nvGrpSpPr>
        <xdr:grpSpPr>
          <a:xfrm>
            <a:off x="1583870" y="9141583"/>
            <a:ext cx="4572000" cy="2743200"/>
            <a:chOff x="1583870" y="9141583"/>
            <a:chExt cx="4572000" cy="2743200"/>
          </a:xfrm>
        </xdr:grpSpPr>
        <xdr:graphicFrame macro="">
          <xdr:nvGraphicFramePr>
            <xdr:cNvPr id="16" name="Chart 15">
              <a:extLst>
                <a:ext uri="{FF2B5EF4-FFF2-40B4-BE49-F238E27FC236}">
                  <a16:creationId xmlns:a16="http://schemas.microsoft.com/office/drawing/2014/main" id="{E217CB5B-8A4C-7105-C982-BA50FB128CEA}"/>
                </a:ext>
              </a:extLst>
            </xdr:cNvPr>
            <xdr:cNvGraphicFramePr/>
          </xdr:nvGraphicFramePr>
          <xdr:xfrm>
            <a:off x="1583870" y="9141583"/>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1" name="TextBox 130">
              <a:extLst>
                <a:ext uri="{FF2B5EF4-FFF2-40B4-BE49-F238E27FC236}">
                  <a16:creationId xmlns:a16="http://schemas.microsoft.com/office/drawing/2014/main" id="{42958807-64A3-9FE6-FB10-BC41E7FC2603}"/>
                </a:ext>
              </a:extLst>
            </xdr:cNvPr>
            <xdr:cNvSpPr txBox="1"/>
          </xdr:nvSpPr>
          <xdr:spPr>
            <a:xfrm>
              <a:off x="3495421" y="10113474"/>
              <a:ext cx="748899"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28</a:t>
              </a:r>
            </a:p>
          </xdr:txBody>
        </xdr:sp>
      </xdr:grpSp>
    </xdr:grpSp>
    <xdr:clientData/>
  </xdr:twoCellAnchor>
  <xdr:twoCellAnchor>
    <xdr:from>
      <xdr:col>8</xdr:col>
      <xdr:colOff>645398</xdr:colOff>
      <xdr:row>41</xdr:row>
      <xdr:rowOff>206830</xdr:rowOff>
    </xdr:from>
    <xdr:to>
      <xdr:col>14</xdr:col>
      <xdr:colOff>334672</xdr:colOff>
      <xdr:row>57</xdr:row>
      <xdr:rowOff>61617</xdr:rowOff>
    </xdr:to>
    <xdr:grpSp>
      <xdr:nvGrpSpPr>
        <xdr:cNvPr id="8" name="Group 7">
          <a:extLst>
            <a:ext uri="{FF2B5EF4-FFF2-40B4-BE49-F238E27FC236}">
              <a16:creationId xmlns:a16="http://schemas.microsoft.com/office/drawing/2014/main" id="{C6922230-0804-3A7C-2029-B39B9D75CC13}"/>
            </a:ext>
          </a:extLst>
        </xdr:cNvPr>
        <xdr:cNvGrpSpPr/>
      </xdr:nvGrpSpPr>
      <xdr:grpSpPr>
        <a:xfrm>
          <a:off x="6955711" y="9172236"/>
          <a:ext cx="6032130" cy="3536994"/>
          <a:chOff x="6861141" y="9133116"/>
          <a:chExt cx="5763502" cy="3403530"/>
        </a:xfrm>
      </xdr:grpSpPr>
      <xdr:sp macro="" textlink="">
        <xdr:nvSpPr>
          <xdr:cNvPr id="148" name="Rectangle: Rounded Corners 21">
            <a:extLst>
              <a:ext uri="{FF2B5EF4-FFF2-40B4-BE49-F238E27FC236}">
                <a16:creationId xmlns:a16="http://schemas.microsoft.com/office/drawing/2014/main" id="{7E0216F6-7969-85F2-D487-9A1FBBC1BBB7}"/>
              </a:ext>
            </a:extLst>
          </xdr:cNvPr>
          <xdr:cNvSpPr/>
        </xdr:nvSpPr>
        <xdr:spPr>
          <a:xfrm>
            <a:off x="6861141" y="12077807"/>
            <a:ext cx="5763502" cy="45883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(out_b0200_main_liabilities)</a:t>
            </a:r>
            <a:endParaRPr lang="pt-PT" sz="1400" b="1" i="1">
              <a:latin typeface="Santander Text" panose="020B0504020201020104" pitchFamily="34" charset="0"/>
            </a:endParaRPr>
          </a:p>
        </xdr:txBody>
      </xdr:sp>
      <xdr:grpSp>
        <xdr:nvGrpSpPr>
          <xdr:cNvPr id="6" name="Group 5">
            <a:extLst>
              <a:ext uri="{FF2B5EF4-FFF2-40B4-BE49-F238E27FC236}">
                <a16:creationId xmlns:a16="http://schemas.microsoft.com/office/drawing/2014/main" id="{54343ABF-1FDC-20CA-53AF-EF1280687222}"/>
              </a:ext>
            </a:extLst>
          </xdr:cNvPr>
          <xdr:cNvGrpSpPr/>
        </xdr:nvGrpSpPr>
        <xdr:grpSpPr>
          <a:xfrm>
            <a:off x="7105347" y="9133116"/>
            <a:ext cx="4580467" cy="2743200"/>
            <a:chOff x="7105347" y="9133116"/>
            <a:chExt cx="4580467" cy="2743200"/>
          </a:xfrm>
        </xdr:grpSpPr>
        <xdr:graphicFrame macro="">
          <xdr:nvGraphicFramePr>
            <xdr:cNvPr id="14" name="Chart 13">
              <a:extLst>
                <a:ext uri="{FF2B5EF4-FFF2-40B4-BE49-F238E27FC236}">
                  <a16:creationId xmlns:a16="http://schemas.microsoft.com/office/drawing/2014/main" id="{EAE0187A-1E49-2184-F097-CDB075BF1C9C}"/>
                </a:ext>
              </a:extLst>
            </xdr:cNvPr>
            <xdr:cNvGraphicFramePr/>
          </xdr:nvGraphicFramePr>
          <xdr:xfrm>
            <a:off x="7105347" y="9133116"/>
            <a:ext cx="4580467" cy="2743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32" name="TextBox 131">
              <a:extLst>
                <a:ext uri="{FF2B5EF4-FFF2-40B4-BE49-F238E27FC236}">
                  <a16:creationId xmlns:a16="http://schemas.microsoft.com/office/drawing/2014/main" id="{D057A9F9-8E4F-48F5-A66B-9FE73F86FCD5}"/>
                </a:ext>
              </a:extLst>
            </xdr:cNvPr>
            <xdr:cNvSpPr txBox="1"/>
          </xdr:nvSpPr>
          <xdr:spPr>
            <a:xfrm>
              <a:off x="9014580" y="10135166"/>
              <a:ext cx="762000"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81</a:t>
              </a:r>
            </a:p>
          </xdr:txBody>
        </xdr:sp>
      </xdr:grpSp>
    </xdr:grpSp>
    <xdr:clientData/>
  </xdr:twoCellAnchor>
  <xdr:twoCellAnchor>
    <xdr:from>
      <xdr:col>3</xdr:col>
      <xdr:colOff>109086</xdr:colOff>
      <xdr:row>67</xdr:row>
      <xdr:rowOff>266097</xdr:rowOff>
    </xdr:from>
    <xdr:to>
      <xdr:col>8</xdr:col>
      <xdr:colOff>4340</xdr:colOff>
      <xdr:row>83</xdr:row>
      <xdr:rowOff>33030</xdr:rowOff>
    </xdr:to>
    <xdr:grpSp>
      <xdr:nvGrpSpPr>
        <xdr:cNvPr id="9" name="Group 8">
          <a:extLst>
            <a:ext uri="{FF2B5EF4-FFF2-40B4-BE49-F238E27FC236}">
              <a16:creationId xmlns:a16="http://schemas.microsoft.com/office/drawing/2014/main" id="{1FC92648-C04E-6660-EEC6-97BA43148E34}"/>
            </a:ext>
          </a:extLst>
        </xdr:cNvPr>
        <xdr:cNvGrpSpPr/>
      </xdr:nvGrpSpPr>
      <xdr:grpSpPr>
        <a:xfrm>
          <a:off x="1570380" y="15172722"/>
          <a:ext cx="4747448" cy="3442789"/>
          <a:chOff x="1556886" y="14918268"/>
          <a:chExt cx="4663197" cy="3315676"/>
        </a:xfrm>
      </xdr:grpSpPr>
      <xdr:sp macro="" textlink="">
        <xdr:nvSpPr>
          <xdr:cNvPr id="32" name="Rectangle: Rounded Corners 21">
            <a:extLst>
              <a:ext uri="{FF2B5EF4-FFF2-40B4-BE49-F238E27FC236}">
                <a16:creationId xmlns:a16="http://schemas.microsoft.com/office/drawing/2014/main" id="{E34F962B-F42C-C9E1-D82C-2C1FBAED7EBE}"/>
              </a:ext>
            </a:extLst>
          </xdr:cNvPr>
          <xdr:cNvSpPr/>
        </xdr:nvSpPr>
        <xdr:spPr>
          <a:xfrm>
            <a:off x="1556886" y="17732818"/>
            <a:ext cx="4663197" cy="501126"/>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0" name="Group 9">
            <a:extLst>
              <a:ext uri="{FF2B5EF4-FFF2-40B4-BE49-F238E27FC236}">
                <a16:creationId xmlns:a16="http://schemas.microsoft.com/office/drawing/2014/main" id="{0D02FC94-08E6-841B-8B7B-00B1997BE6D9}"/>
              </a:ext>
            </a:extLst>
          </xdr:cNvPr>
          <xdr:cNvGrpSpPr/>
        </xdr:nvGrpSpPr>
        <xdr:grpSpPr>
          <a:xfrm>
            <a:off x="1583870" y="14918268"/>
            <a:ext cx="4570790" cy="2743200"/>
            <a:chOff x="1583870" y="14918268"/>
            <a:chExt cx="4570790" cy="2743200"/>
          </a:xfrm>
        </xdr:grpSpPr>
        <xdr:graphicFrame macro="">
          <xdr:nvGraphicFramePr>
            <xdr:cNvPr id="18" name="Chart 17">
              <a:extLst>
                <a:ext uri="{FF2B5EF4-FFF2-40B4-BE49-F238E27FC236}">
                  <a16:creationId xmlns:a16="http://schemas.microsoft.com/office/drawing/2014/main" id="{427049DB-49D9-0DB8-C0C7-60EFB9EB1D5F}"/>
                </a:ext>
              </a:extLst>
            </xdr:cNvPr>
            <xdr:cNvGraphicFramePr/>
          </xdr:nvGraphicFramePr>
          <xdr:xfrm>
            <a:off x="1583870" y="14918268"/>
            <a:ext cx="4570790" cy="27432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33" name="TextBox 132">
              <a:extLst>
                <a:ext uri="{FF2B5EF4-FFF2-40B4-BE49-F238E27FC236}">
                  <a16:creationId xmlns:a16="http://schemas.microsoft.com/office/drawing/2014/main" id="{076D5523-3210-47DD-9B5B-1BB24351350B}"/>
                </a:ext>
              </a:extLst>
            </xdr:cNvPr>
            <xdr:cNvSpPr txBox="1"/>
          </xdr:nvSpPr>
          <xdr:spPr>
            <a:xfrm>
              <a:off x="3493708" y="15901110"/>
              <a:ext cx="75111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4</a:t>
              </a:r>
            </a:p>
          </xdr:txBody>
        </xdr:sp>
      </xdr:grpSp>
    </xdr:grpSp>
    <xdr:clientData/>
  </xdr:twoCellAnchor>
  <xdr:twoCellAnchor>
    <xdr:from>
      <xdr:col>8</xdr:col>
      <xdr:colOff>443313</xdr:colOff>
      <xdr:row>67</xdr:row>
      <xdr:rowOff>266097</xdr:rowOff>
    </xdr:from>
    <xdr:to>
      <xdr:col>13</xdr:col>
      <xdr:colOff>798012</xdr:colOff>
      <xdr:row>83</xdr:row>
      <xdr:rowOff>33030</xdr:rowOff>
    </xdr:to>
    <xdr:grpSp>
      <xdr:nvGrpSpPr>
        <xdr:cNvPr id="11" name="Group 10">
          <a:extLst>
            <a:ext uri="{FF2B5EF4-FFF2-40B4-BE49-F238E27FC236}">
              <a16:creationId xmlns:a16="http://schemas.microsoft.com/office/drawing/2014/main" id="{C8EC0DFE-E4D7-6C39-2A95-34D7613EE556}"/>
            </a:ext>
          </a:extLst>
        </xdr:cNvPr>
        <xdr:cNvGrpSpPr/>
      </xdr:nvGrpSpPr>
      <xdr:grpSpPr>
        <a:xfrm>
          <a:off x="6756801" y="15172722"/>
          <a:ext cx="5828399" cy="3442789"/>
          <a:chOff x="6659056" y="14918268"/>
          <a:chExt cx="5579842" cy="3315676"/>
        </a:xfrm>
      </xdr:grpSpPr>
      <xdr:sp macro="" textlink="">
        <xdr:nvSpPr>
          <xdr:cNvPr id="35" name="Rectangle: Rounded Corners 21">
            <a:extLst>
              <a:ext uri="{FF2B5EF4-FFF2-40B4-BE49-F238E27FC236}">
                <a16:creationId xmlns:a16="http://schemas.microsoft.com/office/drawing/2014/main" id="{FD78B12C-1AA9-E958-AE3F-FFC7D5E681AC}"/>
              </a:ext>
            </a:extLst>
          </xdr:cNvPr>
          <xdr:cNvSpPr/>
        </xdr:nvSpPr>
        <xdr:spPr>
          <a:xfrm>
            <a:off x="6659056" y="17733482"/>
            <a:ext cx="5579842" cy="50046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(out_b0500_guarantees)</a:t>
            </a:r>
            <a:endParaRPr lang="pt-PT" sz="1400" b="1" i="1">
              <a:latin typeface="Santander Text" panose="020B0504020201020104" pitchFamily="34" charset="0"/>
            </a:endParaRPr>
          </a:p>
        </xdr:txBody>
      </xdr:sp>
      <xdr:grpSp>
        <xdr:nvGrpSpPr>
          <xdr:cNvPr id="12" name="Group 11">
            <a:extLst>
              <a:ext uri="{FF2B5EF4-FFF2-40B4-BE49-F238E27FC236}">
                <a16:creationId xmlns:a16="http://schemas.microsoft.com/office/drawing/2014/main" id="{78CE88F4-AF1C-1330-250E-42CE5BDBC056}"/>
              </a:ext>
            </a:extLst>
          </xdr:cNvPr>
          <xdr:cNvGrpSpPr/>
        </xdr:nvGrpSpPr>
        <xdr:grpSpPr>
          <a:xfrm>
            <a:off x="7105347" y="14918268"/>
            <a:ext cx="4580467" cy="2743200"/>
            <a:chOff x="7105347" y="14918268"/>
            <a:chExt cx="4580467" cy="2743200"/>
          </a:xfrm>
        </xdr:grpSpPr>
        <xdr:graphicFrame macro="">
          <xdr:nvGraphicFramePr>
            <xdr:cNvPr id="23" name="Chart 22">
              <a:extLst>
                <a:ext uri="{FF2B5EF4-FFF2-40B4-BE49-F238E27FC236}">
                  <a16:creationId xmlns:a16="http://schemas.microsoft.com/office/drawing/2014/main" id="{8522843F-F9AE-A501-8195-15325E2BE1C1}"/>
                </a:ext>
              </a:extLst>
            </xdr:cNvPr>
            <xdr:cNvGraphicFramePr/>
          </xdr:nvGraphicFramePr>
          <xdr:xfrm>
            <a:off x="7105347" y="14918268"/>
            <a:ext cx="4580467" cy="27432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4" name="TextBox 133">
              <a:extLst>
                <a:ext uri="{FF2B5EF4-FFF2-40B4-BE49-F238E27FC236}">
                  <a16:creationId xmlns:a16="http://schemas.microsoft.com/office/drawing/2014/main" id="{61CC9ABF-2BAC-4FF4-9EFB-6559D737DE77}"/>
                </a:ext>
              </a:extLst>
            </xdr:cNvPr>
            <xdr:cNvSpPr txBox="1"/>
          </xdr:nvSpPr>
          <xdr:spPr>
            <a:xfrm>
              <a:off x="9014580" y="15901110"/>
              <a:ext cx="762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15</a:t>
              </a:r>
            </a:p>
          </xdr:txBody>
        </xdr:sp>
      </xdr:grpSp>
    </xdr:grpSp>
    <xdr:clientData/>
  </xdr:twoCellAnchor>
  <xdr:twoCellAnchor>
    <xdr:from>
      <xdr:col>3</xdr:col>
      <xdr:colOff>104184</xdr:colOff>
      <xdr:row>92</xdr:row>
      <xdr:rowOff>206830</xdr:rowOff>
    </xdr:from>
    <xdr:to>
      <xdr:col>8</xdr:col>
      <xdr:colOff>3195</xdr:colOff>
      <xdr:row>108</xdr:row>
      <xdr:rowOff>47503</xdr:rowOff>
    </xdr:to>
    <xdr:grpSp>
      <xdr:nvGrpSpPr>
        <xdr:cNvPr id="17" name="Group 16">
          <a:extLst>
            <a:ext uri="{FF2B5EF4-FFF2-40B4-BE49-F238E27FC236}">
              <a16:creationId xmlns:a16="http://schemas.microsoft.com/office/drawing/2014/main" id="{722D2D6F-90A7-5F36-5F7F-E92A2A7FA2D3}"/>
            </a:ext>
          </a:extLst>
        </xdr:cNvPr>
        <xdr:cNvGrpSpPr/>
      </xdr:nvGrpSpPr>
      <xdr:grpSpPr>
        <a:xfrm>
          <a:off x="1571828" y="20828455"/>
          <a:ext cx="4744855" cy="3522879"/>
          <a:chOff x="1551984" y="20367173"/>
          <a:chExt cx="4666954" cy="3389416"/>
        </a:xfrm>
      </xdr:grpSpPr>
      <xdr:sp macro="" textlink="">
        <xdr:nvSpPr>
          <xdr:cNvPr id="46" name="Rectangle: Rounded Corners 21">
            <a:extLst>
              <a:ext uri="{FF2B5EF4-FFF2-40B4-BE49-F238E27FC236}">
                <a16:creationId xmlns:a16="http://schemas.microsoft.com/office/drawing/2014/main" id="{32BBCBAC-E5E3-08B0-C084-C4E545858076}"/>
              </a:ext>
            </a:extLst>
          </xdr:cNvPr>
          <xdr:cNvSpPr/>
        </xdr:nvSpPr>
        <xdr:spPr>
          <a:xfrm>
            <a:off x="1551984" y="23258296"/>
            <a:ext cx="4666954"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3" name="Group 12">
            <a:extLst>
              <a:ext uri="{FF2B5EF4-FFF2-40B4-BE49-F238E27FC236}">
                <a16:creationId xmlns:a16="http://schemas.microsoft.com/office/drawing/2014/main" id="{43602A6A-3195-A562-47B9-A9CF42AE1F13}"/>
              </a:ext>
            </a:extLst>
          </xdr:cNvPr>
          <xdr:cNvGrpSpPr/>
        </xdr:nvGrpSpPr>
        <xdr:grpSpPr>
          <a:xfrm>
            <a:off x="1583870" y="20367173"/>
            <a:ext cx="4570790" cy="2743200"/>
            <a:chOff x="1583870" y="20367173"/>
            <a:chExt cx="4570790" cy="2743200"/>
          </a:xfrm>
        </xdr:grpSpPr>
        <xdr:graphicFrame macro="">
          <xdr:nvGraphicFramePr>
            <xdr:cNvPr id="24" name="Chart 23">
              <a:extLst>
                <a:ext uri="{FF2B5EF4-FFF2-40B4-BE49-F238E27FC236}">
                  <a16:creationId xmlns:a16="http://schemas.microsoft.com/office/drawing/2014/main" id="{9FCF1A6C-47A8-ABA6-941C-F38EF56AA2D4}"/>
                </a:ext>
              </a:extLst>
            </xdr:cNvPr>
            <xdr:cNvGraphicFramePr/>
          </xdr:nvGraphicFramePr>
          <xdr:xfrm>
            <a:off x="1583870" y="20367173"/>
            <a:ext cx="4570790" cy="27432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35" name="TextBox 134">
              <a:extLst>
                <a:ext uri="{FF2B5EF4-FFF2-40B4-BE49-F238E27FC236}">
                  <a16:creationId xmlns:a16="http://schemas.microsoft.com/office/drawing/2014/main" id="{B1776767-5E11-4A8D-899F-C786319E55AF}"/>
                </a:ext>
              </a:extLst>
            </xdr:cNvPr>
            <xdr:cNvSpPr txBox="1"/>
          </xdr:nvSpPr>
          <xdr:spPr>
            <a:xfrm>
              <a:off x="3493708" y="21354897"/>
              <a:ext cx="751115"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8</xdr:col>
      <xdr:colOff>443313</xdr:colOff>
      <xdr:row>92</xdr:row>
      <xdr:rowOff>206830</xdr:rowOff>
    </xdr:from>
    <xdr:to>
      <xdr:col>13</xdr:col>
      <xdr:colOff>798012</xdr:colOff>
      <xdr:row>108</xdr:row>
      <xdr:rowOff>47503</xdr:rowOff>
    </xdr:to>
    <xdr:grpSp>
      <xdr:nvGrpSpPr>
        <xdr:cNvPr id="31" name="Group 30">
          <a:extLst>
            <a:ext uri="{FF2B5EF4-FFF2-40B4-BE49-F238E27FC236}">
              <a16:creationId xmlns:a16="http://schemas.microsoft.com/office/drawing/2014/main" id="{9653A987-23D1-803F-B5E5-6FA579171F23}"/>
            </a:ext>
          </a:extLst>
        </xdr:cNvPr>
        <xdr:cNvGrpSpPr/>
      </xdr:nvGrpSpPr>
      <xdr:grpSpPr>
        <a:xfrm>
          <a:off x="6756801" y="20828455"/>
          <a:ext cx="5828399" cy="3522879"/>
          <a:chOff x="6659056" y="20367173"/>
          <a:chExt cx="5579842" cy="3389416"/>
        </a:xfrm>
      </xdr:grpSpPr>
      <xdr:sp macro="" textlink="">
        <xdr:nvSpPr>
          <xdr:cNvPr id="49" name="Rectangle: Rounded Corners 21">
            <a:extLst>
              <a:ext uri="{FF2B5EF4-FFF2-40B4-BE49-F238E27FC236}">
                <a16:creationId xmlns:a16="http://schemas.microsoft.com/office/drawing/2014/main" id="{8E4F5C79-A1FF-99BE-8809-E846EAE377D6}"/>
              </a:ext>
            </a:extLst>
          </xdr:cNvPr>
          <xdr:cNvSpPr/>
        </xdr:nvSpPr>
        <xdr:spPr>
          <a:xfrm>
            <a:off x="6659056" y="23258296"/>
            <a:ext cx="5579842"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(out_b9000_counterparties)</a:t>
            </a:r>
            <a:endParaRPr lang="pt-PT" sz="1400" b="1" i="1">
              <a:latin typeface="Santander Text" panose="020B0504020201020104" pitchFamily="34" charset="0"/>
            </a:endParaRPr>
          </a:p>
        </xdr:txBody>
      </xdr:sp>
      <xdr:grpSp>
        <xdr:nvGrpSpPr>
          <xdr:cNvPr id="15" name="Group 14">
            <a:extLst>
              <a:ext uri="{FF2B5EF4-FFF2-40B4-BE49-F238E27FC236}">
                <a16:creationId xmlns:a16="http://schemas.microsoft.com/office/drawing/2014/main" id="{7AC0C9ED-FDEB-004A-F424-69EE36666CDB}"/>
              </a:ext>
            </a:extLst>
          </xdr:cNvPr>
          <xdr:cNvGrpSpPr/>
        </xdr:nvGrpSpPr>
        <xdr:grpSpPr>
          <a:xfrm>
            <a:off x="7105347" y="20367173"/>
            <a:ext cx="4580467" cy="2743200"/>
            <a:chOff x="7105347" y="20367173"/>
            <a:chExt cx="4580467" cy="2743200"/>
          </a:xfrm>
        </xdr:grpSpPr>
        <xdr:graphicFrame macro="">
          <xdr:nvGraphicFramePr>
            <xdr:cNvPr id="25" name="Chart 24">
              <a:extLst>
                <a:ext uri="{FF2B5EF4-FFF2-40B4-BE49-F238E27FC236}">
                  <a16:creationId xmlns:a16="http://schemas.microsoft.com/office/drawing/2014/main" id="{1C855A9F-F266-264D-D53A-04C4D8EB15E5}"/>
                </a:ext>
              </a:extLst>
            </xdr:cNvPr>
            <xdr:cNvGraphicFramePr/>
          </xdr:nvGraphicFramePr>
          <xdr:xfrm>
            <a:off x="7105347" y="20367173"/>
            <a:ext cx="4580467" cy="27432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36" name="TextBox 135">
              <a:extLst>
                <a:ext uri="{FF2B5EF4-FFF2-40B4-BE49-F238E27FC236}">
                  <a16:creationId xmlns:a16="http://schemas.microsoft.com/office/drawing/2014/main" id="{B79C0A6B-0F9F-4FD3-A3BA-F0ADEFD4C920}"/>
                </a:ext>
              </a:extLst>
            </xdr:cNvPr>
            <xdr:cNvSpPr txBox="1"/>
          </xdr:nvSpPr>
          <xdr:spPr>
            <a:xfrm>
              <a:off x="9014580" y="21354897"/>
              <a:ext cx="7620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2</xdr:col>
      <xdr:colOff>161925</xdr:colOff>
      <xdr:row>119</xdr:row>
      <xdr:rowOff>21170</xdr:rowOff>
    </xdr:from>
    <xdr:to>
      <xdr:col>6</xdr:col>
      <xdr:colOff>403225</xdr:colOff>
      <xdr:row>121</xdr:row>
      <xdr:rowOff>15322</xdr:rowOff>
    </xdr:to>
    <xdr:sp macro="" textlink="">
      <xdr:nvSpPr>
        <xdr:cNvPr id="4" name="Rectangle: Rounded Corners 13">
          <a:extLst>
            <a:ext uri="{FF2B5EF4-FFF2-40B4-BE49-F238E27FC236}">
              <a16:creationId xmlns:a16="http://schemas.microsoft.com/office/drawing/2014/main" id="{977FFBF4-8E28-41E0-B28E-EFAF85AC7469}"/>
            </a:ext>
          </a:extLst>
        </xdr:cNvPr>
        <xdr:cNvSpPr/>
      </xdr:nvSpPr>
      <xdr:spPr>
        <a:xfrm>
          <a:off x="1040342" y="27749503"/>
          <a:ext cx="4019550" cy="45981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controlos</a:t>
          </a:r>
          <a:endParaRPr lang="pt-PT" sz="1600" b="1" i="1">
            <a:latin typeface="Santander Text" panose="020B0504020201020104" pitchFamily="34" charset="0"/>
          </a:endParaRPr>
        </a:p>
      </xdr:txBody>
    </xdr:sp>
    <xdr:clientData/>
  </xdr:twoCellAnchor>
  <xdr:twoCellAnchor editAs="absolute">
    <xdr:from>
      <xdr:col>0</xdr:col>
      <xdr:colOff>250371</xdr:colOff>
      <xdr:row>1</xdr:row>
      <xdr:rowOff>54431</xdr:rowOff>
    </xdr:from>
    <xdr:to>
      <xdr:col>3</xdr:col>
      <xdr:colOff>58422</xdr:colOff>
      <xdr:row>2</xdr:row>
      <xdr:rowOff>150234</xdr:rowOff>
    </xdr:to>
    <xdr:pic>
      <xdr:nvPicPr>
        <xdr:cNvPr id="26" name="Gráfico 10">
          <a:extLst>
            <a:ext uri="{FF2B5EF4-FFF2-40B4-BE49-F238E27FC236}">
              <a16:creationId xmlns:a16="http://schemas.microsoft.com/office/drawing/2014/main" id="{0C5E987C-B9D2-48E1-A649-AB485F03CE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0371" y="185060"/>
          <a:ext cx="1266737" cy="259088"/>
        </a:xfrm>
        <a:prstGeom prst="rect">
          <a:avLst/>
        </a:prstGeom>
      </xdr:spPr>
    </xdr:pic>
    <xdr:clientData/>
  </xdr:twoCellAnchor>
  <xdr:twoCellAnchor>
    <xdr:from>
      <xdr:col>3</xdr:col>
      <xdr:colOff>171749</xdr:colOff>
      <xdr:row>1</xdr:row>
      <xdr:rowOff>0</xdr:rowOff>
    </xdr:from>
    <xdr:to>
      <xdr:col>3</xdr:col>
      <xdr:colOff>872731</xdr:colOff>
      <xdr:row>3</xdr:row>
      <xdr:rowOff>64268</xdr:rowOff>
    </xdr:to>
    <xdr:pic>
      <xdr:nvPicPr>
        <xdr:cNvPr id="37" name="Graphic 267">
          <a:extLst>
            <a:ext uri="{FF2B5EF4-FFF2-40B4-BE49-F238E27FC236}">
              <a16:creationId xmlns:a16="http://schemas.microsoft.com/office/drawing/2014/main" id="{5059A71F-85F1-4CB3-9B4C-A4C6223FDCB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19549" y="130629"/>
          <a:ext cx="700982" cy="390839"/>
        </a:xfrm>
        <a:prstGeom prst="rect">
          <a:avLst/>
        </a:prstGeom>
      </xdr:spPr>
    </xdr:pic>
    <xdr:clientData/>
  </xdr:twoCellAnchor>
  <xdr:twoCellAnchor>
    <xdr:from>
      <xdr:col>7</xdr:col>
      <xdr:colOff>174307</xdr:colOff>
      <xdr:row>153</xdr:row>
      <xdr:rowOff>51164</xdr:rowOff>
    </xdr:from>
    <xdr:to>
      <xdr:col>13</xdr:col>
      <xdr:colOff>324592</xdr:colOff>
      <xdr:row>165</xdr:row>
      <xdr:rowOff>231197</xdr:rowOff>
    </xdr:to>
    <xdr:grpSp>
      <xdr:nvGrpSpPr>
        <xdr:cNvPr id="85" name="Group 33">
          <a:extLst>
            <a:ext uri="{FF2B5EF4-FFF2-40B4-BE49-F238E27FC236}">
              <a16:creationId xmlns:a16="http://schemas.microsoft.com/office/drawing/2014/main" id="{8EE8E17F-27CB-4E02-AC91-55C0C11CE976}"/>
            </a:ext>
          </a:extLst>
        </xdr:cNvPr>
        <xdr:cNvGrpSpPr/>
      </xdr:nvGrpSpPr>
      <xdr:grpSpPr>
        <a:xfrm>
          <a:off x="5674995" y="34730895"/>
          <a:ext cx="6436785" cy="3040708"/>
          <a:chOff x="692011" y="20367173"/>
          <a:chExt cx="5462649" cy="3067628"/>
        </a:xfrm>
      </xdr:grpSpPr>
      <xdr:sp macro="" textlink="">
        <xdr:nvSpPr>
          <xdr:cNvPr id="86" name="Rectangle: Rounded Corners 21">
            <a:extLst>
              <a:ext uri="{FF2B5EF4-FFF2-40B4-BE49-F238E27FC236}">
                <a16:creationId xmlns:a16="http://schemas.microsoft.com/office/drawing/2014/main" id="{A1D643A9-BFBA-0147-C4EE-3CD2E8E3E655}"/>
              </a:ext>
            </a:extLst>
          </xdr:cNvPr>
          <xdr:cNvSpPr/>
        </xdr:nvSpPr>
        <xdr:spPr>
          <a:xfrm>
            <a:off x="1100431" y="22936508"/>
            <a:ext cx="4666954"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Controlos</a:t>
            </a:r>
          </a:p>
        </xdr:txBody>
      </xdr:sp>
      <xdr:grpSp>
        <xdr:nvGrpSpPr>
          <xdr:cNvPr id="87" name="Group 38">
            <a:extLst>
              <a:ext uri="{FF2B5EF4-FFF2-40B4-BE49-F238E27FC236}">
                <a16:creationId xmlns:a16="http://schemas.microsoft.com/office/drawing/2014/main" id="{877E9125-9301-A260-279D-38EDEBBA6059}"/>
              </a:ext>
            </a:extLst>
          </xdr:cNvPr>
          <xdr:cNvGrpSpPr/>
        </xdr:nvGrpSpPr>
        <xdr:grpSpPr>
          <a:xfrm>
            <a:off x="692011" y="20367173"/>
            <a:ext cx="5462649" cy="2743200"/>
            <a:chOff x="692011" y="20367173"/>
            <a:chExt cx="5462649" cy="2743200"/>
          </a:xfrm>
        </xdr:grpSpPr>
        <xdr:graphicFrame macro="">
          <xdr:nvGraphicFramePr>
            <xdr:cNvPr id="88" name="Chart 39">
              <a:extLst>
                <a:ext uri="{FF2B5EF4-FFF2-40B4-BE49-F238E27FC236}">
                  <a16:creationId xmlns:a16="http://schemas.microsoft.com/office/drawing/2014/main" id="{FFA30C80-7B5A-D37F-6119-AFDE5CA4A931}"/>
                </a:ext>
              </a:extLst>
            </xdr:cNvPr>
            <xdr:cNvGraphicFramePr/>
          </xdr:nvGraphicFramePr>
          <xdr:xfrm>
            <a:off x="692011" y="20367173"/>
            <a:ext cx="5462649" cy="274320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90" name="TextBox 40">
              <a:extLst>
                <a:ext uri="{FF2B5EF4-FFF2-40B4-BE49-F238E27FC236}">
                  <a16:creationId xmlns:a16="http://schemas.microsoft.com/office/drawing/2014/main" id="{5E8C2AD2-3F20-FCCC-6E84-91B500E6855C}"/>
                </a:ext>
              </a:extLst>
            </xdr:cNvPr>
            <xdr:cNvSpPr txBox="1"/>
          </xdr:nvSpPr>
          <xdr:spPr>
            <a:xfrm>
              <a:off x="2954847" y="21356360"/>
              <a:ext cx="907583"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190</a:t>
              </a:r>
            </a:p>
          </xdr:txBody>
        </xdr:sp>
      </xdr:grpSp>
    </xdr:grpSp>
    <xdr:clientData/>
  </xdr:twoCellAnchor>
  <xdr:twoCellAnchor>
    <xdr:from>
      <xdr:col>2</xdr:col>
      <xdr:colOff>407276</xdr:colOff>
      <xdr:row>156</xdr:row>
      <xdr:rowOff>85302</xdr:rowOff>
    </xdr:from>
    <xdr:to>
      <xdr:col>2</xdr:col>
      <xdr:colOff>526076</xdr:colOff>
      <xdr:row>160</xdr:row>
      <xdr:rowOff>190963</xdr:rowOff>
    </xdr:to>
    <xdr:grpSp>
      <xdr:nvGrpSpPr>
        <xdr:cNvPr id="54" name="Group 53">
          <a:extLst>
            <a:ext uri="{FF2B5EF4-FFF2-40B4-BE49-F238E27FC236}">
              <a16:creationId xmlns:a16="http://schemas.microsoft.com/office/drawing/2014/main" id="{E8656036-B2D6-2AC5-8CEA-5B271F0E05E1}"/>
            </a:ext>
          </a:extLst>
        </xdr:cNvPr>
        <xdr:cNvGrpSpPr/>
      </xdr:nvGrpSpPr>
      <xdr:grpSpPr>
        <a:xfrm>
          <a:off x="1279607" y="35485758"/>
          <a:ext cx="112450" cy="1054986"/>
          <a:chOff x="1254673" y="34927095"/>
          <a:chExt cx="118800" cy="1077868"/>
        </a:xfrm>
      </xdr:grpSpPr>
      <xdr:sp macro="" textlink="">
        <xdr:nvSpPr>
          <xdr:cNvPr id="44" name="Oval 43">
            <a:extLst>
              <a:ext uri="{FF2B5EF4-FFF2-40B4-BE49-F238E27FC236}">
                <a16:creationId xmlns:a16="http://schemas.microsoft.com/office/drawing/2014/main" id="{0683B9E7-DB70-264D-D9C3-260632B8B967}"/>
              </a:ext>
            </a:extLst>
          </xdr:cNvPr>
          <xdr:cNvSpPr>
            <a:spLocks noChangeAspect="1"/>
          </xdr:cNvSpPr>
        </xdr:nvSpPr>
        <xdr:spPr>
          <a:xfrm>
            <a:off x="1254673" y="34927095"/>
            <a:ext cx="118800" cy="11992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45" name="Oval 44">
            <a:extLst>
              <a:ext uri="{FF2B5EF4-FFF2-40B4-BE49-F238E27FC236}">
                <a16:creationId xmlns:a16="http://schemas.microsoft.com/office/drawing/2014/main" id="{7F8B17CD-AF64-B7DA-60D1-1AEA5B34A62C}"/>
              </a:ext>
            </a:extLst>
          </xdr:cNvPr>
          <xdr:cNvSpPr>
            <a:spLocks noChangeAspect="1"/>
          </xdr:cNvSpPr>
        </xdr:nvSpPr>
        <xdr:spPr>
          <a:xfrm>
            <a:off x="1254673" y="35166582"/>
            <a:ext cx="118800" cy="11992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48" name="Oval 47">
            <a:extLst>
              <a:ext uri="{FF2B5EF4-FFF2-40B4-BE49-F238E27FC236}">
                <a16:creationId xmlns:a16="http://schemas.microsoft.com/office/drawing/2014/main" id="{31FE1B7B-B072-A6AA-9E5C-511C5B917E0B}"/>
              </a:ext>
            </a:extLst>
          </xdr:cNvPr>
          <xdr:cNvSpPr>
            <a:spLocks noChangeAspect="1"/>
          </xdr:cNvSpPr>
        </xdr:nvSpPr>
        <xdr:spPr>
          <a:xfrm>
            <a:off x="1254673" y="35406069"/>
            <a:ext cx="118800" cy="11992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51" name="Oval 50">
            <a:extLst>
              <a:ext uri="{FF2B5EF4-FFF2-40B4-BE49-F238E27FC236}">
                <a16:creationId xmlns:a16="http://schemas.microsoft.com/office/drawing/2014/main" id="{518A48D4-BEAD-38C6-504C-D204C931365C}"/>
              </a:ext>
            </a:extLst>
          </xdr:cNvPr>
          <xdr:cNvSpPr>
            <a:spLocks noChangeAspect="1"/>
          </xdr:cNvSpPr>
        </xdr:nvSpPr>
        <xdr:spPr>
          <a:xfrm>
            <a:off x="1254673" y="35885043"/>
            <a:ext cx="118800" cy="11992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53" name="Oval 52">
            <a:extLst>
              <a:ext uri="{FF2B5EF4-FFF2-40B4-BE49-F238E27FC236}">
                <a16:creationId xmlns:a16="http://schemas.microsoft.com/office/drawing/2014/main" id="{5012EC42-F9E9-BBF1-3F17-40E8B19D9F23}"/>
              </a:ext>
            </a:extLst>
          </xdr:cNvPr>
          <xdr:cNvSpPr>
            <a:spLocks noChangeAspect="1"/>
          </xdr:cNvSpPr>
        </xdr:nvSpPr>
        <xdr:spPr>
          <a:xfrm>
            <a:off x="1254673" y="35645556"/>
            <a:ext cx="118800" cy="11992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250371</xdr:colOff>
      <xdr:row>1</xdr:row>
      <xdr:rowOff>54431</xdr:rowOff>
    </xdr:from>
    <xdr:to>
      <xdr:col>3</xdr:col>
      <xdr:colOff>371840</xdr:colOff>
      <xdr:row>2</xdr:row>
      <xdr:rowOff>150234</xdr:rowOff>
    </xdr:to>
    <xdr:pic>
      <xdr:nvPicPr>
        <xdr:cNvPr id="2" name="Gráfico 10">
          <a:extLst>
            <a:ext uri="{FF2B5EF4-FFF2-40B4-BE49-F238E27FC236}">
              <a16:creationId xmlns:a16="http://schemas.microsoft.com/office/drawing/2014/main" id="{70609066-F660-43F0-9212-B73F67B31F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0371" y="185060"/>
          <a:ext cx="1266737" cy="259088"/>
        </a:xfrm>
        <a:prstGeom prst="rect">
          <a:avLst/>
        </a:prstGeom>
      </xdr:spPr>
    </xdr:pic>
    <xdr:clientData/>
  </xdr:twoCellAnchor>
  <xdr:twoCellAnchor>
    <xdr:from>
      <xdr:col>2</xdr:col>
      <xdr:colOff>846663</xdr:colOff>
      <xdr:row>1</xdr:row>
      <xdr:rowOff>0</xdr:rowOff>
    </xdr:from>
    <xdr:to>
      <xdr:col>3</xdr:col>
      <xdr:colOff>611474</xdr:colOff>
      <xdr:row>3</xdr:row>
      <xdr:rowOff>64268</xdr:rowOff>
    </xdr:to>
    <xdr:pic>
      <xdr:nvPicPr>
        <xdr:cNvPr id="3" name="Graphic 267">
          <a:extLst>
            <a:ext uri="{FF2B5EF4-FFF2-40B4-BE49-F238E27FC236}">
              <a16:creationId xmlns:a16="http://schemas.microsoft.com/office/drawing/2014/main" id="{BAC64719-B5F0-4043-98C9-AA9ABD013E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9549" y="130629"/>
          <a:ext cx="700982" cy="390839"/>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C64AD28-D16B-442C-9763-D9E5D4E959AE}">
    <nsvFilter filterId="{00000000-0001-0000-0300-000000000000}" ref="A4:U85" tableId="0">
      <columnFilter colId="16">
        <filter colId="16">
          <x:filters>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5B30A238-4032-4C59-B56A-0C19CFB5EAF9}">
    <nsvFilter filterId="{00000000-0001-0000-0400-000000000000}" ref="A4:AI19" tableId="0">
      <columnFilter colId="16">
        <filter colId="16">
          <x:filters>
            <x:filter val="Campo já existente no LT"/>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DF57172-A260-496F-B487-92983F7BE639}">
    <nsvFilter filterId="{00000000-0001-0000-0800-000000000000}" ref="A4:AI4" tableId="0">
      <columnFilter colId="13">
        <filter colId="13">
          <x:filters>
            <x:filter val="out_b9000_counterparties.0040_cntrprty_nm"/>
          </x:filters>
        </filter>
      </columnFilter>
      <columnFilter colId="17">
        <filter colId="17">
          <x:filters>
            <x:filter val="Não Concluído"/>
          </x:filters>
        </filter>
      </columnFilter>
    </nsvFilter>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Graph Colours">
      <a:dk1>
        <a:sysClr val="windowText" lastClr="000000"/>
      </a:dk1>
      <a:lt1>
        <a:sysClr val="window" lastClr="FFFFFF"/>
      </a:lt1>
      <a:dk2>
        <a:srgbClr val="44546A"/>
      </a:dk2>
      <a:lt2>
        <a:srgbClr val="E7E6E6"/>
      </a:lt2>
      <a:accent1>
        <a:srgbClr val="750000"/>
      </a:accent1>
      <a:accent2>
        <a:srgbClr val="FFE084"/>
      </a:accent2>
      <a:accent3>
        <a:srgbClr val="C0E2C2"/>
      </a:accent3>
      <a:accent4>
        <a:srgbClr val="63E2E9"/>
      </a:accent4>
      <a:accent5>
        <a:srgbClr val="FF5959"/>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4.xml"/></Relationships>
</file>

<file path=xl/worksheets/_rels/sheet9.xml.rels><?xml version="1.0" encoding="UTF-8" standalone="yes"?>
<Relationships xmlns="http://schemas.openxmlformats.org/package/2006/relationships"><Relationship Id="rId1" Type="http://schemas.microsoft.com/office/2019/04/relationships/namedSheetView" Target="../namedSheetViews/namedSheetView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6F16-F905-45F4-A73D-E85E5CE8CF4F}">
  <dimension ref="A1:AT170"/>
  <sheetViews>
    <sheetView showGridLines="0" tabSelected="1" zoomScale="80" zoomScaleNormal="80" workbookViewId="0">
      <selection activeCell="M123" sqref="M123"/>
    </sheetView>
  </sheetViews>
  <sheetFormatPr defaultColWidth="0" defaultRowHeight="14.5" zeroHeight="1" x14ac:dyDescent="0.35"/>
  <cols>
    <col min="1" max="1" width="3.90625" customWidth="1"/>
    <col min="2" max="3" width="8.54296875" customWidth="1"/>
    <col min="4" max="4" width="24.453125" bestFit="1" customWidth="1"/>
    <col min="5" max="5" width="8.54296875" customWidth="1"/>
    <col min="6" max="7" width="12.453125" bestFit="1" customWidth="1"/>
    <col min="8" max="8" width="11.54296875" bestFit="1" customWidth="1"/>
    <col min="9" max="9" width="15.453125" bestFit="1" customWidth="1"/>
    <col min="10" max="10" width="15.453125" customWidth="1"/>
    <col min="11" max="11" width="24.453125" customWidth="1"/>
    <col min="12" max="12" width="10.90625" customWidth="1"/>
    <col min="13" max="14" width="12.453125" customWidth="1"/>
    <col min="15" max="27" width="8.54296875" customWidth="1"/>
    <col min="28" max="28" width="3.90625" customWidth="1"/>
    <col min="29" max="46" width="0" hidden="1" customWidth="1"/>
    <col min="47" max="16384" width="8.54296875" hidden="1"/>
  </cols>
  <sheetData>
    <row r="1" spans="1:28" ht="10.4" customHeight="1" x14ac:dyDescent="0.55000000000000004">
      <c r="A1" s="1"/>
      <c r="B1" s="1"/>
      <c r="C1" s="1"/>
      <c r="D1" s="1"/>
      <c r="E1" s="1"/>
      <c r="F1" s="1"/>
      <c r="G1" s="1"/>
      <c r="H1" s="1"/>
      <c r="I1" s="1"/>
      <c r="J1" s="1"/>
      <c r="K1" s="1"/>
      <c r="L1" s="1"/>
      <c r="M1" s="1"/>
      <c r="N1" s="1"/>
      <c r="O1" s="1"/>
      <c r="P1" s="1"/>
      <c r="Q1" s="1"/>
      <c r="R1" s="1"/>
      <c r="S1" s="1"/>
      <c r="T1" s="1"/>
      <c r="U1" s="1"/>
      <c r="V1" s="1"/>
      <c r="W1" s="1"/>
      <c r="X1" s="1"/>
      <c r="Y1" s="1"/>
      <c r="Z1" s="1"/>
      <c r="AA1" s="1"/>
      <c r="AB1" s="1"/>
    </row>
    <row r="2" spans="1:28" ht="13.4" customHeight="1" x14ac:dyDescent="0.55000000000000004">
      <c r="A2" s="1"/>
      <c r="B2" s="1"/>
      <c r="C2" s="1"/>
      <c r="D2" s="1"/>
      <c r="E2" s="1"/>
      <c r="F2" s="1"/>
      <c r="G2" s="1"/>
      <c r="H2" s="1"/>
      <c r="I2" s="1"/>
      <c r="J2" s="1"/>
      <c r="K2" s="1"/>
      <c r="L2" s="1"/>
      <c r="M2" s="1"/>
      <c r="N2" s="1"/>
      <c r="O2" s="1"/>
      <c r="P2" s="1"/>
      <c r="Q2" s="1"/>
      <c r="R2" s="1"/>
      <c r="S2" s="1"/>
      <c r="T2" s="1"/>
      <c r="U2" s="1"/>
      <c r="V2" s="1"/>
      <c r="W2" s="1"/>
      <c r="X2" s="1"/>
      <c r="Y2" s="1"/>
      <c r="Z2" s="1"/>
      <c r="AA2" s="1"/>
      <c r="AB2" s="1"/>
    </row>
    <row r="3" spans="1:28" ht="13.4" customHeight="1" x14ac:dyDescent="0.55000000000000004">
      <c r="A3" s="1"/>
      <c r="B3" s="1"/>
      <c r="C3" s="1"/>
      <c r="D3" s="1"/>
      <c r="E3" s="1"/>
      <c r="F3" s="1"/>
      <c r="G3" s="1"/>
      <c r="H3" s="1"/>
      <c r="I3" s="1"/>
      <c r="J3" s="1"/>
      <c r="K3" s="1"/>
      <c r="L3" s="1"/>
      <c r="M3" s="1"/>
      <c r="N3" s="1"/>
      <c r="O3" s="1"/>
      <c r="P3" s="1"/>
      <c r="Q3" s="1"/>
      <c r="R3" s="1"/>
      <c r="S3" s="1"/>
      <c r="T3" s="1"/>
      <c r="U3" s="1"/>
      <c r="V3" s="1"/>
      <c r="W3" s="1"/>
      <c r="X3" s="1"/>
      <c r="Y3" s="1"/>
      <c r="Z3" s="1"/>
      <c r="AA3" s="1"/>
      <c r="AB3" s="1"/>
    </row>
    <row r="4" spans="1:28" ht="10.4" customHeight="1" x14ac:dyDescent="0.55000000000000004">
      <c r="A4" s="1"/>
      <c r="B4" s="1"/>
      <c r="C4" s="1"/>
      <c r="D4" s="1"/>
      <c r="E4" s="1"/>
      <c r="F4" s="1"/>
      <c r="G4" s="1"/>
      <c r="H4" s="1"/>
      <c r="I4" s="1"/>
      <c r="J4" s="1"/>
      <c r="K4" s="1"/>
      <c r="L4" s="1"/>
      <c r="M4" s="1"/>
      <c r="N4" s="1"/>
      <c r="O4" s="1"/>
      <c r="P4" s="1"/>
      <c r="Q4" s="1"/>
      <c r="R4" s="1"/>
      <c r="S4" s="1"/>
      <c r="T4" s="1"/>
      <c r="U4" s="1"/>
      <c r="V4" s="1"/>
      <c r="W4" s="1"/>
      <c r="X4" s="1"/>
      <c r="Y4" s="1"/>
      <c r="Z4" s="1"/>
      <c r="AA4" s="1"/>
      <c r="AB4" s="1"/>
    </row>
    <row r="5" spans="1:28" ht="2.9" customHeight="1" x14ac:dyDescent="0.55000000000000004">
      <c r="A5" s="3"/>
      <c r="B5" s="3"/>
      <c r="C5" s="3"/>
      <c r="D5" s="3"/>
      <c r="E5" s="3"/>
      <c r="F5" s="3"/>
      <c r="G5" s="3"/>
      <c r="H5" s="3"/>
      <c r="I5" s="3"/>
      <c r="J5" s="3"/>
      <c r="K5" s="3"/>
      <c r="L5" s="3"/>
      <c r="M5" s="3"/>
      <c r="N5" s="3"/>
      <c r="O5" s="3"/>
      <c r="P5" s="3"/>
      <c r="Q5" s="3"/>
      <c r="R5" s="3"/>
      <c r="S5" s="3"/>
      <c r="T5" s="3"/>
      <c r="U5" s="3"/>
      <c r="V5" s="3"/>
      <c r="W5" s="3"/>
      <c r="X5" s="3"/>
      <c r="Y5" s="3"/>
      <c r="Z5" s="3"/>
      <c r="AA5" s="3"/>
      <c r="AB5" s="3"/>
    </row>
    <row r="6" spans="1:28" x14ac:dyDescent="0.35"/>
    <row r="7" spans="1:28" ht="18" x14ac:dyDescent="0.55000000000000004">
      <c r="B7" s="1"/>
      <c r="C7" s="1"/>
      <c r="D7" s="1"/>
      <c r="E7" s="1"/>
      <c r="F7" s="1"/>
      <c r="G7" s="1"/>
      <c r="H7" s="1"/>
      <c r="I7" s="1"/>
      <c r="J7" s="1"/>
      <c r="K7" s="1"/>
      <c r="L7" s="1"/>
      <c r="M7" s="1"/>
      <c r="N7" s="1"/>
      <c r="O7" s="1"/>
      <c r="P7" s="1"/>
      <c r="Q7" s="1"/>
      <c r="R7" s="1"/>
      <c r="S7" s="1"/>
      <c r="T7" s="1"/>
      <c r="U7" s="1"/>
      <c r="V7" s="1"/>
      <c r="W7" s="1"/>
      <c r="X7" s="1"/>
      <c r="Y7" s="1"/>
      <c r="Z7" s="1"/>
      <c r="AA7" s="1"/>
    </row>
    <row r="8" spans="1:28" ht="18" x14ac:dyDescent="0.55000000000000004">
      <c r="B8" s="1"/>
      <c r="C8" s="1"/>
      <c r="D8" s="1"/>
      <c r="E8" s="1"/>
      <c r="F8" s="1"/>
      <c r="G8" s="1"/>
      <c r="H8" s="1"/>
      <c r="I8" s="1"/>
      <c r="J8" s="1"/>
      <c r="K8" s="1"/>
      <c r="L8" s="1"/>
      <c r="M8" s="1"/>
      <c r="N8" s="1"/>
      <c r="O8" s="1"/>
      <c r="P8" s="1"/>
      <c r="Q8" s="1"/>
      <c r="R8" s="1"/>
      <c r="S8" s="1"/>
      <c r="T8" s="1"/>
      <c r="U8" s="1"/>
      <c r="V8" s="1"/>
      <c r="W8" s="1"/>
      <c r="X8" s="1"/>
      <c r="Y8" s="1"/>
      <c r="Z8" s="1"/>
      <c r="AA8" s="1"/>
    </row>
    <row r="9" spans="1:28" ht="18" x14ac:dyDescent="0.55000000000000004">
      <c r="B9" s="1"/>
      <c r="C9" s="251"/>
      <c r="D9" s="252"/>
      <c r="E9" s="252"/>
      <c r="F9" s="252"/>
      <c r="G9" s="252"/>
      <c r="H9" s="252"/>
      <c r="I9" s="252"/>
      <c r="J9" s="252"/>
      <c r="K9" s="252"/>
      <c r="L9" s="252"/>
      <c r="M9" s="252"/>
      <c r="N9" s="252"/>
      <c r="O9" s="252"/>
      <c r="P9" s="252"/>
      <c r="Q9" s="252"/>
      <c r="R9" s="252"/>
      <c r="S9" s="252"/>
      <c r="T9" s="252"/>
      <c r="U9" s="252"/>
      <c r="V9" s="252"/>
      <c r="W9" s="252"/>
      <c r="X9" s="252"/>
      <c r="Y9" s="252"/>
      <c r="Z9" s="262"/>
      <c r="AA9" s="1"/>
    </row>
    <row r="10" spans="1:28" ht="18" x14ac:dyDescent="0.55000000000000004">
      <c r="B10" s="1"/>
      <c r="C10" s="253"/>
      <c r="D10" s="254"/>
      <c r="E10" s="254"/>
      <c r="F10" s="254"/>
      <c r="G10" s="254"/>
      <c r="H10" s="254"/>
      <c r="I10" s="254"/>
      <c r="J10" s="254"/>
      <c r="K10" s="254"/>
      <c r="L10" s="254"/>
      <c r="M10" s="254"/>
      <c r="N10" s="254"/>
      <c r="O10" s="254"/>
      <c r="P10" s="254"/>
      <c r="Q10" s="254"/>
      <c r="R10" s="254"/>
      <c r="S10" s="254"/>
      <c r="T10" s="254"/>
      <c r="U10" s="254"/>
      <c r="V10" s="254"/>
      <c r="W10" s="2"/>
      <c r="X10" s="2"/>
      <c r="Y10" s="2"/>
      <c r="Z10" s="263"/>
      <c r="AA10" s="1"/>
    </row>
    <row r="11" spans="1:28" ht="18" x14ac:dyDescent="0.55000000000000004">
      <c r="B11" s="1"/>
      <c r="C11" s="253"/>
      <c r="D11" s="255" t="s">
        <v>861</v>
      </c>
      <c r="E11" s="254"/>
      <c r="F11" s="254"/>
      <c r="G11" s="254"/>
      <c r="H11" s="254"/>
      <c r="I11" s="254"/>
      <c r="J11" s="254"/>
      <c r="K11" s="254"/>
      <c r="L11" s="265" t="s">
        <v>868</v>
      </c>
      <c r="O11" s="2"/>
      <c r="P11" s="2"/>
      <c r="Q11" s="2"/>
      <c r="R11" s="2"/>
      <c r="S11" s="2"/>
      <c r="T11" s="2"/>
      <c r="U11" s="2"/>
      <c r="V11" s="2"/>
      <c r="W11" s="2"/>
      <c r="X11" s="2"/>
      <c r="Y11" s="2"/>
      <c r="Z11" s="263"/>
      <c r="AA11" s="1"/>
    </row>
    <row r="12" spans="1:28" ht="5.15" customHeight="1" x14ac:dyDescent="0.55000000000000004">
      <c r="B12" s="1"/>
      <c r="C12" s="253"/>
      <c r="D12" s="256"/>
      <c r="E12" s="254"/>
      <c r="F12" s="254"/>
      <c r="G12" s="254"/>
      <c r="H12" s="2"/>
      <c r="I12" s="2"/>
      <c r="J12" s="2"/>
      <c r="K12" s="2"/>
      <c r="L12" s="538" t="s">
        <v>1436</v>
      </c>
      <c r="M12" s="539"/>
      <c r="N12" s="539"/>
      <c r="O12" s="539"/>
      <c r="P12" s="539"/>
      <c r="Q12" s="539"/>
      <c r="R12" s="539"/>
      <c r="S12" s="539"/>
      <c r="T12" s="539"/>
      <c r="U12" s="539"/>
      <c r="V12" s="539"/>
      <c r="W12" s="539"/>
      <c r="X12" s="539"/>
      <c r="Y12" s="540"/>
      <c r="Z12" s="263"/>
      <c r="AA12" s="1"/>
    </row>
    <row r="13" spans="1:28" ht="18.5" x14ac:dyDescent="0.55000000000000004">
      <c r="B13" s="1"/>
      <c r="C13" s="253"/>
      <c r="D13" s="514" t="s">
        <v>865</v>
      </c>
      <c r="E13" s="514"/>
      <c r="F13" s="535" t="s">
        <v>862</v>
      </c>
      <c r="G13" s="536"/>
      <c r="H13" s="536"/>
      <c r="I13" s="536"/>
      <c r="J13" s="537"/>
      <c r="L13" s="541"/>
      <c r="M13" s="505"/>
      <c r="N13" s="505"/>
      <c r="O13" s="505"/>
      <c r="P13" s="505"/>
      <c r="Q13" s="505"/>
      <c r="R13" s="505"/>
      <c r="S13" s="505"/>
      <c r="T13" s="505"/>
      <c r="U13" s="505"/>
      <c r="V13" s="505"/>
      <c r="W13" s="505"/>
      <c r="X13" s="505"/>
      <c r="Y13" s="542"/>
      <c r="Z13" s="263"/>
      <c r="AA13" s="1"/>
    </row>
    <row r="14" spans="1:28" ht="34.4" customHeight="1" x14ac:dyDescent="0.55000000000000004">
      <c r="B14" s="1"/>
      <c r="C14" s="253"/>
      <c r="D14" s="514"/>
      <c r="E14" s="514"/>
      <c r="F14" s="295" t="s">
        <v>796</v>
      </c>
      <c r="G14" s="296" t="s">
        <v>231</v>
      </c>
      <c r="H14" s="297" t="s">
        <v>144</v>
      </c>
      <c r="I14" s="299" t="s">
        <v>870</v>
      </c>
      <c r="J14" s="298" t="s">
        <v>873</v>
      </c>
      <c r="L14" s="541"/>
      <c r="M14" s="505"/>
      <c r="N14" s="505"/>
      <c r="O14" s="505"/>
      <c r="P14" s="505"/>
      <c r="Q14" s="505"/>
      <c r="R14" s="505"/>
      <c r="S14" s="505"/>
      <c r="T14" s="505"/>
      <c r="U14" s="505"/>
      <c r="V14" s="505"/>
      <c r="W14" s="505"/>
      <c r="X14" s="505"/>
      <c r="Y14" s="542"/>
      <c r="Z14" s="263"/>
      <c r="AA14" s="1"/>
    </row>
    <row r="15" spans="1:28" ht="18.5" x14ac:dyDescent="0.55000000000000004">
      <c r="B15" s="1"/>
      <c r="C15" s="257" t="s">
        <v>851</v>
      </c>
      <c r="D15" s="528" t="s">
        <v>0</v>
      </c>
      <c r="E15" s="529"/>
      <c r="F15" s="529"/>
      <c r="G15" s="529"/>
      <c r="H15" s="529"/>
      <c r="I15" s="529"/>
      <c r="J15" s="530"/>
      <c r="L15" s="541"/>
      <c r="M15" s="505"/>
      <c r="N15" s="505"/>
      <c r="O15" s="505"/>
      <c r="P15" s="505"/>
      <c r="Q15" s="505"/>
      <c r="R15" s="505"/>
      <c r="S15" s="505"/>
      <c r="T15" s="505"/>
      <c r="U15" s="505"/>
      <c r="V15" s="505"/>
      <c r="W15" s="505"/>
      <c r="X15" s="505"/>
      <c r="Y15" s="542"/>
      <c r="Z15" s="263"/>
      <c r="AA15" s="1"/>
    </row>
    <row r="16" spans="1:28" ht="19.399999999999999" customHeight="1" x14ac:dyDescent="0.55000000000000004">
      <c r="B16" s="1"/>
      <c r="C16" s="258" t="s">
        <v>852</v>
      </c>
      <c r="D16" s="280" t="s">
        <v>863</v>
      </c>
      <c r="E16" s="281"/>
      <c r="F16" s="282">
        <f>COUNTIFS('2. Status Detalhe Campos'!B:B,"B02.00",'2. Status Detalhe Campos'!C:C,"Loan Tape",'2. Status Detalhe Campos'!I:I,'1. Status Resumo'!$F$14)</f>
        <v>0</v>
      </c>
      <c r="G16" s="283">
        <f>COUNTIFS('2. Status Detalhe Campos'!B:B,"B02.00",'2. Status Detalhe Campos'!C:C,"Loan Tape",'2. Status Detalhe Campos'!I:I,'1. Status Resumo'!$G$14)</f>
        <v>1</v>
      </c>
      <c r="H16" s="282">
        <f>COUNTIFS('2. Status Detalhe Campos'!B:B,"B02.00",'2. Status Detalhe Campos'!C:C,"Loan Tape",'2. Status Detalhe Campos'!I:I,'1. Status Resumo'!$H$14)</f>
        <v>23</v>
      </c>
      <c r="I16" s="282">
        <f>COUNTIFS('2. Status Detalhe Campos'!B:B,"B02.00",'2. Status Detalhe Campos'!C:C,"Loan Tape",'2. Status Detalhe Campos'!I:I,'1. Status Resumo'!$I$14)</f>
        <v>6</v>
      </c>
      <c r="J16" s="284">
        <f>COUNTIFS('2. Status Detalhe Campos'!B:B,"B02.00",'2. Status Detalhe Campos'!C:C,"Loan Tape",'2. Status Detalhe Campos'!I:I,'1. Status Resumo'!$J$14)</f>
        <v>0</v>
      </c>
      <c r="K16" s="286">
        <f>SUM(F16:J16)</f>
        <v>30</v>
      </c>
      <c r="L16" s="541"/>
      <c r="M16" s="505"/>
      <c r="N16" s="505"/>
      <c r="O16" s="505"/>
      <c r="P16" s="505"/>
      <c r="Q16" s="505"/>
      <c r="R16" s="505"/>
      <c r="S16" s="505"/>
      <c r="T16" s="505"/>
      <c r="U16" s="505"/>
      <c r="V16" s="505"/>
      <c r="W16" s="505"/>
      <c r="X16" s="505"/>
      <c r="Y16" s="542"/>
      <c r="Z16" s="263"/>
      <c r="AA16" s="1"/>
    </row>
    <row r="17" spans="2:27" ht="18.5" x14ac:dyDescent="0.55000000000000004">
      <c r="B17" s="1"/>
      <c r="C17" s="259" t="s">
        <v>853</v>
      </c>
      <c r="D17" s="300" t="s">
        <v>866</v>
      </c>
      <c r="E17" s="301"/>
      <c r="F17" s="302">
        <f>COUNTIFS('2. Status Detalhe Campos'!B:B,"B02.00",'2. Status Detalhe Campos'!C:C,"Tabela Output",'2. Status Detalhe Campos'!I:I,'1. Status Resumo'!F14)</f>
        <v>0</v>
      </c>
      <c r="G17" s="303">
        <f>COUNTIFS('2. Status Detalhe Campos'!B:B,"B02.00",'2. Status Detalhe Campos'!C:C,"Tabela Output",'2. Status Detalhe Campos'!I:I,'1. Status Resumo'!G14)</f>
        <v>0</v>
      </c>
      <c r="H17" s="304">
        <f>COUNTIFS('2. Status Detalhe Campos'!B:B,"B02.00",'2. Status Detalhe Campos'!C:C,"Tabela Output",'2. Status Detalhe Campos'!I:I,'1. Status Resumo'!H14)</f>
        <v>75</v>
      </c>
      <c r="I17" s="304">
        <f>COUNTIFS('2. Status Detalhe Campos'!B:B,"B02.00",'2. Status Detalhe Campos'!C:C,"Tabela Output",'2. Status Detalhe Campos'!I:I,'1. Status Resumo'!I14)</f>
        <v>6</v>
      </c>
      <c r="J17" s="305">
        <f>COUNTIFS('2. Status Detalhe Campos'!B:B,"B02.00",'2. Status Detalhe Campos'!C:C,"Tabela Output",'2. Status Detalhe Campos'!I:I,'1. Status Resumo'!J14)</f>
        <v>0</v>
      </c>
      <c r="K17" s="286">
        <f>SUM(F17:J17)</f>
        <v>81</v>
      </c>
      <c r="L17" s="541"/>
      <c r="M17" s="505"/>
      <c r="N17" s="505"/>
      <c r="O17" s="505"/>
      <c r="P17" s="505"/>
      <c r="Q17" s="505"/>
      <c r="R17" s="505"/>
      <c r="S17" s="505"/>
      <c r="T17" s="505"/>
      <c r="U17" s="505"/>
      <c r="V17" s="505"/>
      <c r="W17" s="505"/>
      <c r="X17" s="505"/>
      <c r="Y17" s="542"/>
      <c r="Z17" s="263"/>
      <c r="AA17" s="1"/>
    </row>
    <row r="18" spans="2:27" ht="18.5" x14ac:dyDescent="0.55000000000000004">
      <c r="B18" s="1"/>
      <c r="C18" s="258" t="s">
        <v>860</v>
      </c>
      <c r="D18" s="526" t="s">
        <v>864</v>
      </c>
      <c r="E18" s="527"/>
      <c r="F18" s="279">
        <f>SUM(F16:F17)</f>
        <v>0</v>
      </c>
      <c r="G18" s="279">
        <f>SUM(G16:G17)</f>
        <v>1</v>
      </c>
      <c r="H18" s="279">
        <f>SUM(H16:H17)</f>
        <v>98</v>
      </c>
      <c r="I18" s="279">
        <f>SUM(I16:I17)</f>
        <v>12</v>
      </c>
      <c r="J18" s="287">
        <f>SUM(J16:J17)</f>
        <v>0</v>
      </c>
      <c r="K18" s="286">
        <f>SUM(F18:J18)</f>
        <v>111</v>
      </c>
      <c r="L18" s="541"/>
      <c r="M18" s="505"/>
      <c r="N18" s="505"/>
      <c r="O18" s="505"/>
      <c r="P18" s="505"/>
      <c r="Q18" s="505"/>
      <c r="R18" s="505"/>
      <c r="S18" s="505"/>
      <c r="T18" s="505"/>
      <c r="U18" s="505"/>
      <c r="V18" s="505"/>
      <c r="W18" s="505"/>
      <c r="X18" s="505"/>
      <c r="Y18" s="542"/>
      <c r="Z18" s="263"/>
      <c r="AA18" s="1"/>
    </row>
    <row r="19" spans="2:27" ht="18.5" x14ac:dyDescent="0.55000000000000004">
      <c r="B19" s="1"/>
      <c r="C19" s="259" t="s">
        <v>854</v>
      </c>
      <c r="D19" s="528" t="s">
        <v>813</v>
      </c>
      <c r="E19" s="529"/>
      <c r="F19" s="529"/>
      <c r="G19" s="529"/>
      <c r="H19" s="529"/>
      <c r="I19" s="529"/>
      <c r="J19" s="530"/>
      <c r="L19" s="541"/>
      <c r="M19" s="505"/>
      <c r="N19" s="505"/>
      <c r="O19" s="505"/>
      <c r="P19" s="505"/>
      <c r="Q19" s="505"/>
      <c r="R19" s="505"/>
      <c r="S19" s="505"/>
      <c r="T19" s="505"/>
      <c r="U19" s="505"/>
      <c r="V19" s="505"/>
      <c r="W19" s="505"/>
      <c r="X19" s="505"/>
      <c r="Y19" s="542"/>
      <c r="Z19" s="263"/>
      <c r="AA19" s="1"/>
    </row>
    <row r="20" spans="2:27" ht="18.5" x14ac:dyDescent="0.55000000000000004">
      <c r="B20" s="1"/>
      <c r="C20" s="259" t="s">
        <v>855</v>
      </c>
      <c r="D20" s="280" t="s">
        <v>863</v>
      </c>
      <c r="E20" s="281"/>
      <c r="F20" s="282">
        <f>COUNTIFS('2. Status Detalhe Campos'!B:B,"B05.00",'2. Status Detalhe Campos'!C:C,"Loan Tape",'2. Status Detalhe Campos'!I:I,'1. Status Resumo'!F14)</f>
        <v>0</v>
      </c>
      <c r="G20" s="283">
        <f>COUNTIFS('2. Status Detalhe Campos'!B:B,"B05.00",'2. Status Detalhe Campos'!C:C,"Loan Tape",'2. Status Detalhe Campos'!I:I,'1. Status Resumo'!G14)</f>
        <v>0</v>
      </c>
      <c r="H20" s="282">
        <f>COUNTIFS('2. Status Detalhe Campos'!B:B,"B05.00",'2. Status Detalhe Campos'!C:C,"Loan Tape",'2. Status Detalhe Campos'!I:I,'1. Status Resumo'!H14)</f>
        <v>4</v>
      </c>
      <c r="I20" s="282">
        <f>COUNTIFS('2. Status Detalhe Campos'!B:B,"B05.00",'2. Status Detalhe Campos'!C:C,"Loan Tape",'2. Status Detalhe Campos'!I:I,'1. Status Resumo'!I14)</f>
        <v>0</v>
      </c>
      <c r="J20" s="284">
        <f>COUNTIFS('2. Status Detalhe Campos'!B:B,"B05.00",'2. Status Detalhe Campos'!C:C,"Loan Tape",'2. Status Detalhe Campos'!I:I,'1. Status Resumo'!J14)</f>
        <v>1</v>
      </c>
      <c r="K20" s="286">
        <f t="shared" ref="K20:K21" si="0">SUM(F20:J20)</f>
        <v>5</v>
      </c>
      <c r="L20" s="541"/>
      <c r="M20" s="505"/>
      <c r="N20" s="505"/>
      <c r="O20" s="505"/>
      <c r="P20" s="505"/>
      <c r="Q20" s="505"/>
      <c r="R20" s="505"/>
      <c r="S20" s="505"/>
      <c r="T20" s="505"/>
      <c r="U20" s="505"/>
      <c r="V20" s="505"/>
      <c r="W20" s="505"/>
      <c r="X20" s="505"/>
      <c r="Y20" s="542"/>
      <c r="Z20" s="263"/>
      <c r="AA20" s="1"/>
    </row>
    <row r="21" spans="2:27" ht="18.5" x14ac:dyDescent="0.55000000000000004">
      <c r="B21" s="1"/>
      <c r="C21" s="259" t="s">
        <v>856</v>
      </c>
      <c r="D21" s="300" t="s">
        <v>866</v>
      </c>
      <c r="E21" s="301"/>
      <c r="F21" s="302">
        <f>COUNTIFS('2. Status Detalhe Campos'!B:B,"B05.00",'2. Status Detalhe Campos'!C:C,"Tabela Output",'2. Status Detalhe Campos'!I:I,'1. Status Resumo'!F14)</f>
        <v>0</v>
      </c>
      <c r="G21" s="303">
        <f>COUNTIFS('2. Status Detalhe Campos'!B:B,"B05.00",'2. Status Detalhe Campos'!C:C,"Tabela Output",'2. Status Detalhe Campos'!I:I,'1. Status Resumo'!G14)</f>
        <v>0</v>
      </c>
      <c r="H21" s="304">
        <f>COUNTIFS('2. Status Detalhe Campos'!B:B,"B05.00",'2. Status Detalhe Campos'!C:C,"Tabela Output",'2. Status Detalhe Campos'!I:I,'1. Status Resumo'!H14)</f>
        <v>14</v>
      </c>
      <c r="I21" s="304">
        <f>COUNTIFS('2. Status Detalhe Campos'!B:B,"B05.00",'2. Status Detalhe Campos'!C:C,"Tabela Output",'2. Status Detalhe Campos'!I:I,'1. Status Resumo'!I14)</f>
        <v>0</v>
      </c>
      <c r="J21" s="305">
        <f>COUNTIFS('2. Status Detalhe Campos'!B:B,"B05.00",'2. Status Detalhe Campos'!C:C,"Tabela Output",'2. Status Detalhe Campos'!I:I,'1. Status Resumo'!J14)</f>
        <v>1</v>
      </c>
      <c r="K21" s="286">
        <f t="shared" si="0"/>
        <v>15</v>
      </c>
      <c r="L21" s="541"/>
      <c r="M21" s="505"/>
      <c r="N21" s="505"/>
      <c r="O21" s="505"/>
      <c r="P21" s="505"/>
      <c r="Q21" s="505"/>
      <c r="R21" s="505"/>
      <c r="S21" s="505"/>
      <c r="T21" s="505"/>
      <c r="U21" s="505"/>
      <c r="V21" s="505"/>
      <c r="W21" s="505"/>
      <c r="X21" s="505"/>
      <c r="Y21" s="542"/>
      <c r="Z21" s="263"/>
      <c r="AA21" s="1"/>
    </row>
    <row r="22" spans="2:27" ht="18.5" x14ac:dyDescent="0.55000000000000004">
      <c r="B22" s="1"/>
      <c r="C22" s="258" t="s">
        <v>860</v>
      </c>
      <c r="D22" s="526" t="s">
        <v>864</v>
      </c>
      <c r="E22" s="527"/>
      <c r="F22" s="279">
        <f>SUM(F20:F21)</f>
        <v>0</v>
      </c>
      <c r="G22" s="279">
        <f>SUM(G20:G21)</f>
        <v>0</v>
      </c>
      <c r="H22" s="279">
        <f>SUM(H20:H21)</f>
        <v>18</v>
      </c>
      <c r="I22" s="279">
        <f>SUM(I20:I21)</f>
        <v>0</v>
      </c>
      <c r="J22" s="287">
        <f>SUM(J20:J21)</f>
        <v>2</v>
      </c>
      <c r="K22" s="286">
        <f>SUM(F22:J22)</f>
        <v>20</v>
      </c>
      <c r="L22" s="541"/>
      <c r="M22" s="505"/>
      <c r="N22" s="505"/>
      <c r="O22" s="505"/>
      <c r="P22" s="505"/>
      <c r="Q22" s="505"/>
      <c r="R22" s="505"/>
      <c r="S22" s="505"/>
      <c r="T22" s="505"/>
      <c r="U22" s="505"/>
      <c r="V22" s="505"/>
      <c r="W22" s="505"/>
      <c r="X22" s="505"/>
      <c r="Y22" s="542"/>
      <c r="Z22" s="263"/>
      <c r="AA22" s="1"/>
    </row>
    <row r="23" spans="2:27" ht="18.5" x14ac:dyDescent="0.55000000000000004">
      <c r="B23" s="1"/>
      <c r="C23" s="258" t="s">
        <v>857</v>
      </c>
      <c r="D23" s="528" t="s">
        <v>832</v>
      </c>
      <c r="E23" s="529"/>
      <c r="F23" s="529"/>
      <c r="G23" s="529"/>
      <c r="H23" s="529"/>
      <c r="I23" s="529"/>
      <c r="J23" s="530"/>
      <c r="L23" s="541"/>
      <c r="M23" s="505"/>
      <c r="N23" s="505"/>
      <c r="O23" s="505"/>
      <c r="P23" s="505"/>
      <c r="Q23" s="505"/>
      <c r="R23" s="505"/>
      <c r="S23" s="505"/>
      <c r="T23" s="505"/>
      <c r="U23" s="505"/>
      <c r="V23" s="505"/>
      <c r="W23" s="505"/>
      <c r="X23" s="505"/>
      <c r="Y23" s="542"/>
      <c r="Z23" s="263"/>
      <c r="AA23" s="1"/>
    </row>
    <row r="24" spans="2:27" ht="18.5" x14ac:dyDescent="0.55000000000000004">
      <c r="B24" s="1"/>
      <c r="C24" s="258" t="s">
        <v>858</v>
      </c>
      <c r="D24" s="280" t="s">
        <v>863</v>
      </c>
      <c r="E24" s="281"/>
      <c r="F24" s="282">
        <f>COUNTIFS('2. Status Detalhe Campos'!B:B,"B90.00",'2. Status Detalhe Campos'!C:C,"Loan Tape",'2. Status Detalhe Campos'!I:I,'1. Status Resumo'!$F$14)</f>
        <v>0</v>
      </c>
      <c r="G24" s="283">
        <f>COUNTIFS('2. Status Detalhe Campos'!B:B,"B90.00",'2. Status Detalhe Campos'!C:C,"Loan Tape",'2. Status Detalhe Campos'!I:I,'1. Status Resumo'!$G$14)</f>
        <v>0</v>
      </c>
      <c r="H24" s="282">
        <f>COUNTIFS('2. Status Detalhe Campos'!B:B,"B90.00",'2. Status Detalhe Campos'!C:C,"Loan Tape",'2. Status Detalhe Campos'!I:I,'1. Status Resumo'!$H$14)</f>
        <v>7</v>
      </c>
      <c r="I24" s="282">
        <f>COUNTIFS('2. Status Detalhe Campos'!B:B,"B90.00",'2. Status Detalhe Campos'!C:C,"Loan Tape",'2. Status Detalhe Campos'!I:I,'1. Status Resumo'!$I$14)</f>
        <v>4</v>
      </c>
      <c r="J24" s="284">
        <f>COUNTIFS('2. Status Detalhe Campos'!B:B,"B90.00",'2. Status Detalhe Campos'!C:C,"Loan Tape",'2. Status Detalhe Campos'!I:I,'1. Status Resumo'!$J$14)</f>
        <v>0</v>
      </c>
      <c r="K24" s="286">
        <f>SUM(F24:J24)</f>
        <v>11</v>
      </c>
      <c r="L24" s="541"/>
      <c r="M24" s="505"/>
      <c r="N24" s="505"/>
      <c r="O24" s="505"/>
      <c r="P24" s="505"/>
      <c r="Q24" s="505"/>
      <c r="R24" s="505"/>
      <c r="S24" s="505"/>
      <c r="T24" s="505"/>
      <c r="U24" s="505"/>
      <c r="V24" s="505"/>
      <c r="W24" s="505"/>
      <c r="X24" s="505"/>
      <c r="Y24" s="542"/>
      <c r="Z24" s="263"/>
      <c r="AA24" s="1"/>
    </row>
    <row r="25" spans="2:27" ht="18.5" x14ac:dyDescent="0.55000000000000004">
      <c r="B25" s="1"/>
      <c r="C25" s="258" t="s">
        <v>859</v>
      </c>
      <c r="D25" s="300" t="s">
        <v>874</v>
      </c>
      <c r="E25" s="301"/>
      <c r="F25" s="302">
        <f>COUNTIFS('2. Status Detalhe Campos'!B:B,"B90.00",'2. Status Detalhe Campos'!C:C,"Tabela Output",'2. Status Detalhe Campos'!I:I,'1. Status Resumo'!$F$14)</f>
        <v>0</v>
      </c>
      <c r="G25" s="303">
        <f>COUNTIFS('2. Status Detalhe Campos'!B:B,"B90.00",'2. Status Detalhe Campos'!C:C,"Tabela Output",'2. Status Detalhe Campos'!I:I,'1. Status Resumo'!$G$14)</f>
        <v>0</v>
      </c>
      <c r="H25" s="304">
        <f>COUNTIFS('2. Status Detalhe Campos'!B:B,"B90.00",'2. Status Detalhe Campos'!C:C,"Tabela Output",'2. Status Detalhe Campos'!I:I,'1. Status Resumo'!$H$14)</f>
        <v>7</v>
      </c>
      <c r="I25" s="304">
        <f>COUNTIFS('2. Status Detalhe Campos'!B:B,"B90.00",'2. Status Detalhe Campos'!C:C,"Tabela Output",'2. Status Detalhe Campos'!I:I,'1. Status Resumo'!$I$14)</f>
        <v>4</v>
      </c>
      <c r="J25" s="305">
        <f>COUNTIFS('2. Status Detalhe Campos'!B:B,"B90.00",'2. Status Detalhe Campos'!C:C,"Tabela Output",'2. Status Detalhe Campos'!I:I,'1. Status Resumo'!$J$14)</f>
        <v>0</v>
      </c>
      <c r="K25" s="286">
        <f>SUM(F25:J25)</f>
        <v>11</v>
      </c>
      <c r="L25" s="541"/>
      <c r="M25" s="505"/>
      <c r="N25" s="505"/>
      <c r="O25" s="505"/>
      <c r="P25" s="505"/>
      <c r="Q25" s="505"/>
      <c r="R25" s="505"/>
      <c r="S25" s="505"/>
      <c r="T25" s="505"/>
      <c r="U25" s="505"/>
      <c r="V25" s="505"/>
      <c r="W25" s="505"/>
      <c r="X25" s="505"/>
      <c r="Y25" s="542"/>
      <c r="Z25" s="263"/>
      <c r="AA25" s="1"/>
    </row>
    <row r="26" spans="2:27" ht="18.5" x14ac:dyDescent="0.55000000000000004">
      <c r="B26" s="1"/>
      <c r="C26" s="258" t="s">
        <v>860</v>
      </c>
      <c r="D26" s="524" t="s">
        <v>864</v>
      </c>
      <c r="E26" s="525"/>
      <c r="F26" s="285">
        <f>SUM(F24:F25)</f>
        <v>0</v>
      </c>
      <c r="G26" s="285">
        <f>SUM(G24:G25)</f>
        <v>0</v>
      </c>
      <c r="H26" s="285">
        <f>SUM(H24:H25)</f>
        <v>14</v>
      </c>
      <c r="I26" s="285">
        <f>SUM(I24:I25)</f>
        <v>8</v>
      </c>
      <c r="J26" s="288">
        <f>SUM(J24:J25)</f>
        <v>0</v>
      </c>
      <c r="K26" s="286">
        <f>SUM(F26:J26)</f>
        <v>22</v>
      </c>
      <c r="L26" s="541"/>
      <c r="M26" s="505"/>
      <c r="N26" s="505"/>
      <c r="O26" s="505"/>
      <c r="P26" s="505"/>
      <c r="Q26" s="505"/>
      <c r="R26" s="505"/>
      <c r="S26" s="505"/>
      <c r="T26" s="505"/>
      <c r="U26" s="505"/>
      <c r="V26" s="505"/>
      <c r="W26" s="505"/>
      <c r="X26" s="505"/>
      <c r="Y26" s="542"/>
      <c r="Z26" s="263"/>
      <c r="AA26" s="1"/>
    </row>
    <row r="27" spans="2:27" ht="18.5" x14ac:dyDescent="0.55000000000000004">
      <c r="B27" s="1"/>
      <c r="C27" s="258"/>
      <c r="D27" s="306"/>
      <c r="E27" s="306"/>
      <c r="F27" s="307"/>
      <c r="G27" s="307"/>
      <c r="H27" s="307"/>
      <c r="I27" s="307"/>
      <c r="J27" s="307"/>
      <c r="K27" s="286"/>
      <c r="L27" s="541"/>
      <c r="M27" s="505"/>
      <c r="N27" s="505"/>
      <c r="O27" s="505"/>
      <c r="P27" s="505"/>
      <c r="Q27" s="505"/>
      <c r="R27" s="505"/>
      <c r="S27" s="505"/>
      <c r="T27" s="505"/>
      <c r="U27" s="505"/>
      <c r="V27" s="505"/>
      <c r="W27" s="505"/>
      <c r="X27" s="505"/>
      <c r="Y27" s="542"/>
      <c r="Z27" s="263"/>
      <c r="AA27" s="1"/>
    </row>
    <row r="28" spans="2:27" ht="18" x14ac:dyDescent="0.55000000000000004">
      <c r="B28" s="1"/>
      <c r="C28" s="258"/>
      <c r="D28" s="255" t="s">
        <v>1348</v>
      </c>
      <c r="E28" s="308"/>
      <c r="F28" s="308"/>
      <c r="G28" s="308"/>
      <c r="H28" s="308"/>
      <c r="I28" s="308"/>
      <c r="J28" s="308"/>
      <c r="K28" s="308"/>
      <c r="L28" s="541"/>
      <c r="M28" s="505"/>
      <c r="N28" s="505"/>
      <c r="O28" s="505"/>
      <c r="P28" s="505"/>
      <c r="Q28" s="505"/>
      <c r="R28" s="505"/>
      <c r="S28" s="505"/>
      <c r="T28" s="505"/>
      <c r="U28" s="505"/>
      <c r="V28" s="505"/>
      <c r="W28" s="505"/>
      <c r="X28" s="505"/>
      <c r="Y28" s="542"/>
      <c r="Z28" s="263"/>
      <c r="AA28" s="1"/>
    </row>
    <row r="29" spans="2:27" ht="5.15" customHeight="1" x14ac:dyDescent="0.55000000000000004">
      <c r="B29" s="1"/>
      <c r="C29" s="258"/>
      <c r="D29" s="309"/>
      <c r="E29" s="308"/>
      <c r="F29" s="308"/>
      <c r="G29" s="308"/>
      <c r="H29" s="310"/>
      <c r="I29" s="310"/>
      <c r="J29" s="310"/>
      <c r="K29" s="310"/>
      <c r="L29" s="541"/>
      <c r="M29" s="505"/>
      <c r="N29" s="505"/>
      <c r="O29" s="505"/>
      <c r="P29" s="505"/>
      <c r="Q29" s="505"/>
      <c r="R29" s="505"/>
      <c r="S29" s="505"/>
      <c r="T29" s="505"/>
      <c r="U29" s="505"/>
      <c r="V29" s="505"/>
      <c r="W29" s="505"/>
      <c r="X29" s="505"/>
      <c r="Y29" s="542"/>
      <c r="Z29" s="263"/>
      <c r="AA29" s="1"/>
    </row>
    <row r="30" spans="2:27" ht="18.5" x14ac:dyDescent="0.55000000000000004">
      <c r="B30" s="1"/>
      <c r="C30" s="258"/>
      <c r="D30" s="531" t="s">
        <v>865</v>
      </c>
      <c r="E30" s="532"/>
      <c r="F30" s="443" t="s">
        <v>862</v>
      </c>
      <c r="G30" s="443"/>
      <c r="H30" s="443"/>
      <c r="I30" s="443"/>
      <c r="J30" s="444"/>
      <c r="L30" s="541"/>
      <c r="M30" s="505"/>
      <c r="N30" s="505"/>
      <c r="O30" s="505"/>
      <c r="P30" s="505"/>
      <c r="Q30" s="505"/>
      <c r="R30" s="505"/>
      <c r="S30" s="505"/>
      <c r="T30" s="505"/>
      <c r="U30" s="505"/>
      <c r="V30" s="505"/>
      <c r="W30" s="505"/>
      <c r="X30" s="505"/>
      <c r="Y30" s="542"/>
      <c r="Z30" s="263"/>
      <c r="AA30" s="1"/>
    </row>
    <row r="31" spans="2:27" ht="29" x14ac:dyDescent="0.55000000000000004">
      <c r="B31" s="1"/>
      <c r="C31" s="258"/>
      <c r="D31" s="533"/>
      <c r="E31" s="534"/>
      <c r="F31" s="311" t="s">
        <v>796</v>
      </c>
      <c r="G31" s="296" t="s">
        <v>231</v>
      </c>
      <c r="H31" s="297" t="s">
        <v>144</v>
      </c>
      <c r="I31" s="299" t="s">
        <v>870</v>
      </c>
      <c r="J31" s="298" t="s">
        <v>873</v>
      </c>
      <c r="L31" s="541"/>
      <c r="M31" s="505"/>
      <c r="N31" s="505"/>
      <c r="O31" s="505"/>
      <c r="P31" s="505"/>
      <c r="Q31" s="505"/>
      <c r="R31" s="505"/>
      <c r="S31" s="505"/>
      <c r="T31" s="505"/>
      <c r="U31" s="505"/>
      <c r="V31" s="505"/>
      <c r="W31" s="505"/>
      <c r="X31" s="505"/>
      <c r="Y31" s="542"/>
      <c r="Z31" s="263"/>
      <c r="AA31" s="1"/>
    </row>
    <row r="32" spans="2:27" ht="18.5" x14ac:dyDescent="0.55000000000000004">
      <c r="B32" s="1"/>
      <c r="C32" s="258"/>
      <c r="D32" s="316" t="s">
        <v>0</v>
      </c>
      <c r="E32" s="317"/>
      <c r="F32" s="361">
        <f>COUNTIFS('2. Status Detalhe Campos'!$B:$B,$D$32,'2. Status Detalhe Campos'!$C:$C,"Controlos",'2. Status Detalhe Campos'!$I:$I,F$31)</f>
        <v>0</v>
      </c>
      <c r="G32" s="361">
        <f>COUNTIFS('2. Status Detalhe Campos'!$B:$B,$D$32,'2. Status Detalhe Campos'!$C:$C,"Controlos",'2. Status Detalhe Campos'!$I:$I,G$31)</f>
        <v>5</v>
      </c>
      <c r="H32" s="361">
        <f>COUNTIFS('2. Status Detalhe Campos'!$B:$B,$D$32,'2. Status Detalhe Campos'!$C:$C,"Controlos",'2. Status Detalhe Campos'!$I:$I,H$31)</f>
        <v>142</v>
      </c>
      <c r="I32" s="361">
        <f>COUNTIFS('2. Status Detalhe Campos'!$B:$B,$D$32,'2. Status Detalhe Campos'!$C:$C,"Controlos",'2. Status Detalhe Campos'!$I:$I,I$31)</f>
        <v>9</v>
      </c>
      <c r="J32" s="362">
        <f>COUNTIFS('2. Status Detalhe Campos'!$B:$B,$D$32,'2. Status Detalhe Campos'!$C:$C,"Controlos",'2. Status Detalhe Campos'!$I:$I,J$31)</f>
        <v>0</v>
      </c>
      <c r="K32" s="286">
        <f>SUM(F32:J32)</f>
        <v>156</v>
      </c>
      <c r="L32" s="541"/>
      <c r="M32" s="505"/>
      <c r="N32" s="505"/>
      <c r="O32" s="505"/>
      <c r="P32" s="505"/>
      <c r="Q32" s="505"/>
      <c r="R32" s="505"/>
      <c r="S32" s="505"/>
      <c r="T32" s="505"/>
      <c r="U32" s="505"/>
      <c r="V32" s="505"/>
      <c r="W32" s="505"/>
      <c r="X32" s="505"/>
      <c r="Y32" s="542"/>
      <c r="Z32" s="263"/>
      <c r="AA32" s="1"/>
    </row>
    <row r="33" spans="2:29" ht="18.5" x14ac:dyDescent="0.55000000000000004">
      <c r="B33" s="1"/>
      <c r="C33" s="258"/>
      <c r="D33" s="316" t="s">
        <v>813</v>
      </c>
      <c r="E33" s="317"/>
      <c r="F33" s="361">
        <f>COUNTIFS('2. Status Detalhe Campos'!$B:$B,$D$33,'2. Status Detalhe Campos'!$C:$C,"Controlos",'2. Status Detalhe Campos'!$I:$I,F$31)</f>
        <v>0</v>
      </c>
      <c r="G33" s="361">
        <f>COUNTIFS('2. Status Detalhe Campos'!$B:$B,$D$33,'2. Status Detalhe Campos'!$C:$C,"Controlos",'2. Status Detalhe Campos'!$I:$I,G$31)</f>
        <v>0</v>
      </c>
      <c r="H33" s="361">
        <f>COUNTIFS('2. Status Detalhe Campos'!$B:$B,$D$33,'2. Status Detalhe Campos'!$C:$C,"Controlos",'2. Status Detalhe Campos'!$I:$I,H$31)</f>
        <v>15</v>
      </c>
      <c r="I33" s="361">
        <f>COUNTIFS('2. Status Detalhe Campos'!$B:$B,$D$33,'2. Status Detalhe Campos'!$C:$C,"Controlos",'2. Status Detalhe Campos'!$I:$I,I$31)</f>
        <v>2</v>
      </c>
      <c r="J33" s="362">
        <f>COUNTIFS('2. Status Detalhe Campos'!$B:$B,$D$33,'2. Status Detalhe Campos'!$C:$C,"Controlos",'2. Status Detalhe Campos'!$I:$I,J$31)</f>
        <v>2</v>
      </c>
      <c r="K33" s="286">
        <f>SUM(F33:J33)</f>
        <v>19</v>
      </c>
      <c r="L33" s="541"/>
      <c r="M33" s="505"/>
      <c r="N33" s="505"/>
      <c r="O33" s="505"/>
      <c r="P33" s="505"/>
      <c r="Q33" s="505"/>
      <c r="R33" s="505"/>
      <c r="S33" s="505"/>
      <c r="T33" s="505"/>
      <c r="U33" s="505"/>
      <c r="V33" s="505"/>
      <c r="W33" s="505"/>
      <c r="X33" s="505"/>
      <c r="Y33" s="542"/>
      <c r="Z33" s="263"/>
      <c r="AA33" s="1"/>
    </row>
    <row r="34" spans="2:29" ht="18.5" x14ac:dyDescent="0.55000000000000004">
      <c r="B34" s="1"/>
      <c r="C34" s="258"/>
      <c r="D34" s="316" t="s">
        <v>832</v>
      </c>
      <c r="E34" s="317"/>
      <c r="F34" s="361">
        <f>COUNTIFS('2. Status Detalhe Campos'!$B:$B,$D$34,'2. Status Detalhe Campos'!$C:$C,"Controlos",'2. Status Detalhe Campos'!$I:$I,F$31)</f>
        <v>0</v>
      </c>
      <c r="G34" s="361">
        <f>COUNTIFS('2. Status Detalhe Campos'!$B:$B,$D$34,'2. Status Detalhe Campos'!$C:$C,"Controlos",'2. Status Detalhe Campos'!$I:$I,G$31)</f>
        <v>0</v>
      </c>
      <c r="H34" s="361">
        <f>COUNTIFS('2. Status Detalhe Campos'!$B:$B,$D$34,'2. Status Detalhe Campos'!$C:$C,"Controlos",'2. Status Detalhe Campos'!$I:$I,H$31)</f>
        <v>12</v>
      </c>
      <c r="I34" s="361">
        <f>COUNTIFS('2. Status Detalhe Campos'!$B:$B,$D$34,'2. Status Detalhe Campos'!$C:$C,"Controlos",'2. Status Detalhe Campos'!$I:$I,I$31)</f>
        <v>3</v>
      </c>
      <c r="J34" s="362">
        <f>COUNTIFS('2. Status Detalhe Campos'!$B:$B,$D$34,'2. Status Detalhe Campos'!$C:$C,"Controlos",'2. Status Detalhe Campos'!$I:$I,J$31)</f>
        <v>0</v>
      </c>
      <c r="K34" s="286">
        <f>SUM(F34:J34)</f>
        <v>15</v>
      </c>
      <c r="L34" s="541"/>
      <c r="M34" s="505"/>
      <c r="N34" s="505"/>
      <c r="O34" s="505"/>
      <c r="P34" s="505"/>
      <c r="Q34" s="505"/>
      <c r="R34" s="505"/>
      <c r="S34" s="505"/>
      <c r="T34" s="505"/>
      <c r="U34" s="505"/>
      <c r="V34" s="505"/>
      <c r="W34" s="505"/>
      <c r="X34" s="505"/>
      <c r="Y34" s="542"/>
      <c r="Z34" s="263"/>
      <c r="AA34" s="1"/>
    </row>
    <row r="35" spans="2:29" ht="18.5" x14ac:dyDescent="0.55000000000000004">
      <c r="B35" s="1"/>
      <c r="C35" s="258"/>
      <c r="D35" s="314" t="s">
        <v>864</v>
      </c>
      <c r="E35" s="315"/>
      <c r="F35" s="312">
        <f>SUM(F32:F34)</f>
        <v>0</v>
      </c>
      <c r="G35" s="312">
        <f>SUM(G32:G34)</f>
        <v>5</v>
      </c>
      <c r="H35" s="312">
        <f>SUM(H32:H34)</f>
        <v>169</v>
      </c>
      <c r="I35" s="312">
        <f>SUM(I32:I34)</f>
        <v>14</v>
      </c>
      <c r="J35" s="313">
        <f>SUM(J32:J34)</f>
        <v>2</v>
      </c>
      <c r="K35" s="286">
        <f>SUM(F35:J35)</f>
        <v>190</v>
      </c>
      <c r="L35" s="543"/>
      <c r="M35" s="544"/>
      <c r="N35" s="544"/>
      <c r="O35" s="544"/>
      <c r="P35" s="544"/>
      <c r="Q35" s="544"/>
      <c r="R35" s="544"/>
      <c r="S35" s="544"/>
      <c r="T35" s="544"/>
      <c r="U35" s="544"/>
      <c r="V35" s="544"/>
      <c r="W35" s="544"/>
      <c r="X35" s="544"/>
      <c r="Y35" s="545"/>
      <c r="Z35" s="263"/>
      <c r="AA35" s="1"/>
    </row>
    <row r="36" spans="2:29" ht="18.5" x14ac:dyDescent="0.55000000000000004">
      <c r="B36" s="1"/>
      <c r="C36" s="258"/>
      <c r="D36" s="306"/>
      <c r="E36" s="306"/>
      <c r="F36" s="307"/>
      <c r="G36" s="307"/>
      <c r="H36" s="307"/>
      <c r="I36" s="307"/>
      <c r="J36" s="307"/>
      <c r="K36" s="286"/>
      <c r="Z36" s="263"/>
      <c r="AA36" s="1"/>
    </row>
    <row r="37" spans="2:29" ht="18" x14ac:dyDescent="0.55000000000000004">
      <c r="B37" s="1"/>
      <c r="C37" s="260"/>
      <c r="D37" s="261"/>
      <c r="E37" s="261"/>
      <c r="F37" s="261"/>
      <c r="G37" s="261"/>
      <c r="H37" s="261"/>
      <c r="I37" s="261"/>
      <c r="J37" s="261"/>
      <c r="K37" s="261"/>
      <c r="L37" s="261"/>
      <c r="M37" s="261"/>
      <c r="N37" s="261"/>
      <c r="O37" s="261"/>
      <c r="P37" s="261"/>
      <c r="Q37" s="261"/>
      <c r="R37" s="261"/>
      <c r="S37" s="261"/>
      <c r="T37" s="261"/>
      <c r="U37" s="261"/>
      <c r="V37" s="261"/>
      <c r="W37" s="261"/>
      <c r="X37" s="261"/>
      <c r="Y37" s="261"/>
      <c r="Z37" s="264"/>
      <c r="AA37" s="1"/>
    </row>
    <row r="38" spans="2:29" ht="18" x14ac:dyDescent="0.55000000000000004">
      <c r="B38" s="1"/>
      <c r="C38" s="1"/>
      <c r="D38" s="1"/>
      <c r="E38" s="1"/>
      <c r="F38" s="1"/>
      <c r="G38" s="1"/>
      <c r="H38" s="1"/>
      <c r="I38" s="1"/>
      <c r="J38" s="1"/>
      <c r="K38" s="1"/>
      <c r="L38" s="1"/>
      <c r="M38" s="1"/>
      <c r="N38" s="1"/>
      <c r="O38" s="1"/>
      <c r="P38" s="1"/>
      <c r="Q38" s="1"/>
      <c r="R38" s="1"/>
      <c r="S38" s="1"/>
      <c r="T38" s="1"/>
      <c r="U38" s="1"/>
      <c r="V38" s="1"/>
      <c r="W38" s="1"/>
      <c r="X38" s="1"/>
      <c r="Y38" s="1"/>
      <c r="Z38" s="1"/>
      <c r="AA38" s="1"/>
    </row>
    <row r="39" spans="2:29" ht="18" x14ac:dyDescent="0.55000000000000004">
      <c r="B39" s="1"/>
      <c r="C39" s="1"/>
      <c r="D39" s="1"/>
      <c r="E39" s="1"/>
      <c r="F39" s="1"/>
      <c r="G39" s="1"/>
      <c r="H39" s="1"/>
      <c r="I39" s="1"/>
      <c r="J39" s="1"/>
      <c r="K39" s="1"/>
      <c r="L39" s="1"/>
      <c r="M39" s="1"/>
      <c r="N39" s="1"/>
      <c r="O39" s="1"/>
      <c r="P39" s="1"/>
      <c r="Q39" s="1"/>
      <c r="R39" s="1"/>
      <c r="S39" s="1"/>
      <c r="T39" s="1"/>
      <c r="U39" s="1"/>
      <c r="V39" s="1"/>
      <c r="W39" s="1"/>
      <c r="X39" s="1"/>
      <c r="Y39" s="1"/>
      <c r="Z39" s="1"/>
      <c r="AA39" s="1"/>
    </row>
    <row r="40" spans="2:29" ht="18" x14ac:dyDescent="0.55000000000000004">
      <c r="B40" s="1"/>
      <c r="C40" s="251"/>
      <c r="D40" s="252"/>
      <c r="E40" s="252"/>
      <c r="F40" s="252"/>
      <c r="G40" s="252"/>
      <c r="H40" s="252"/>
      <c r="I40" s="252"/>
      <c r="J40" s="252"/>
      <c r="K40" s="252"/>
      <c r="L40" s="252"/>
      <c r="M40" s="252"/>
      <c r="N40" s="252"/>
      <c r="O40" s="252"/>
      <c r="P40" s="252"/>
      <c r="Q40" s="252"/>
      <c r="R40" s="252"/>
      <c r="S40" s="252"/>
      <c r="T40" s="252"/>
      <c r="U40" s="252"/>
      <c r="V40" s="252"/>
      <c r="W40" s="252"/>
      <c r="X40" s="252"/>
      <c r="Y40" s="252"/>
      <c r="Z40" s="262"/>
      <c r="AA40" s="1"/>
    </row>
    <row r="41" spans="2:29" ht="18" x14ac:dyDescent="0.55000000000000004">
      <c r="B41" s="1"/>
      <c r="C41" s="253"/>
      <c r="D41" s="254"/>
      <c r="E41" s="254"/>
      <c r="F41" s="254"/>
      <c r="G41" s="254"/>
      <c r="H41" s="254"/>
      <c r="I41" s="254"/>
      <c r="J41" s="254"/>
      <c r="K41" s="254"/>
      <c r="L41" s="254"/>
      <c r="M41" s="254"/>
      <c r="N41" s="254"/>
      <c r="O41" s="254"/>
      <c r="P41" s="254"/>
      <c r="Q41" s="254"/>
      <c r="R41" s="254"/>
      <c r="S41" s="254"/>
      <c r="T41" s="254"/>
      <c r="U41" s="254"/>
      <c r="V41" s="254"/>
      <c r="W41" s="2"/>
      <c r="X41" s="2"/>
      <c r="Y41" s="2"/>
      <c r="Z41" s="263"/>
      <c r="AA41" s="1"/>
    </row>
    <row r="42" spans="2:29" ht="23" x14ac:dyDescent="0.7">
      <c r="B42" s="1"/>
      <c r="C42" s="253"/>
      <c r="D42" s="267" t="s">
        <v>0</v>
      </c>
      <c r="E42" s="266"/>
      <c r="F42" s="266"/>
      <c r="G42" s="266"/>
      <c r="H42" s="266"/>
      <c r="I42" s="266"/>
      <c r="J42" s="266"/>
      <c r="K42" s="266"/>
      <c r="L42" s="266"/>
      <c r="M42" s="266"/>
      <c r="N42" s="266"/>
      <c r="O42" s="266"/>
      <c r="P42" s="266"/>
      <c r="Q42" s="266"/>
      <c r="R42" s="266"/>
      <c r="S42" s="266"/>
      <c r="T42" s="266"/>
      <c r="U42" s="266"/>
      <c r="V42" s="266"/>
      <c r="W42" s="266"/>
      <c r="X42" s="266"/>
      <c r="Y42" s="266"/>
      <c r="Z42" s="263"/>
      <c r="AA42" s="1"/>
    </row>
    <row r="43" spans="2:29" ht="18" x14ac:dyDescent="0.55000000000000004">
      <c r="B43" s="1"/>
      <c r="C43" s="253"/>
      <c r="D43" s="256"/>
      <c r="E43" s="256"/>
      <c r="F43" s="256"/>
      <c r="G43" s="256"/>
      <c r="H43" s="256"/>
      <c r="I43" s="256"/>
      <c r="J43" s="256"/>
      <c r="K43" s="256"/>
      <c r="L43" s="256"/>
      <c r="M43" s="256"/>
      <c r="N43" s="256"/>
      <c r="O43" s="256"/>
      <c r="P43" s="256"/>
      <c r="Q43" s="256"/>
      <c r="R43" s="256"/>
      <c r="S43" s="256"/>
      <c r="T43" s="256"/>
      <c r="U43" s="256"/>
      <c r="V43" s="256"/>
      <c r="W43" s="256"/>
      <c r="X43" s="256"/>
      <c r="Y43" s="256"/>
      <c r="Z43" s="263"/>
      <c r="AA43" s="1"/>
    </row>
    <row r="44" spans="2:29" ht="18" x14ac:dyDescent="0.55000000000000004">
      <c r="B44" s="1"/>
      <c r="C44" s="253"/>
      <c r="L44" s="265"/>
      <c r="O44" s="2"/>
      <c r="P44" s="265"/>
      <c r="Q44" s="2"/>
      <c r="R44" s="2"/>
      <c r="S44" s="2"/>
      <c r="T44" s="2"/>
      <c r="U44" s="2"/>
      <c r="V44" s="2"/>
      <c r="W44" s="2"/>
      <c r="X44" s="2"/>
      <c r="Y44" s="2"/>
      <c r="Z44" s="263"/>
      <c r="AA44" s="1"/>
    </row>
    <row r="45" spans="2:29" ht="18" x14ac:dyDescent="0.55000000000000004">
      <c r="B45" s="1"/>
      <c r="C45" s="253"/>
      <c r="P45" s="265" t="s">
        <v>868</v>
      </c>
      <c r="Z45" s="263"/>
      <c r="AA45" s="1"/>
    </row>
    <row r="46" spans="2:29" ht="17.899999999999999" customHeight="1" x14ac:dyDescent="0.55000000000000004">
      <c r="B46" s="1"/>
      <c r="C46" s="257" t="s">
        <v>851</v>
      </c>
      <c r="P46" s="515" t="s">
        <v>1433</v>
      </c>
      <c r="Q46" s="516"/>
      <c r="R46" s="516"/>
      <c r="S46" s="516"/>
      <c r="T46" s="516"/>
      <c r="U46" s="516"/>
      <c r="V46" s="516"/>
      <c r="W46" s="516"/>
      <c r="X46" s="516"/>
      <c r="Y46" s="517"/>
      <c r="Z46" s="263"/>
      <c r="AA46" s="1"/>
      <c r="AC46" s="276"/>
    </row>
    <row r="47" spans="2:29" ht="18" x14ac:dyDescent="0.55000000000000004">
      <c r="B47" s="1"/>
      <c r="C47" s="258" t="s">
        <v>852</v>
      </c>
      <c r="P47" s="518"/>
      <c r="Q47" s="519"/>
      <c r="R47" s="519"/>
      <c r="S47" s="519"/>
      <c r="T47" s="519"/>
      <c r="U47" s="519"/>
      <c r="V47" s="519"/>
      <c r="W47" s="519"/>
      <c r="X47" s="519"/>
      <c r="Y47" s="520"/>
      <c r="Z47" s="263"/>
      <c r="AA47" s="1"/>
      <c r="AC47" s="277"/>
    </row>
    <row r="48" spans="2:29" ht="18" x14ac:dyDescent="0.55000000000000004">
      <c r="B48" s="1"/>
      <c r="C48" s="259" t="s">
        <v>853</v>
      </c>
      <c r="P48" s="518"/>
      <c r="Q48" s="519"/>
      <c r="R48" s="519"/>
      <c r="S48" s="519"/>
      <c r="T48" s="519"/>
      <c r="U48" s="519"/>
      <c r="V48" s="519"/>
      <c r="W48" s="519"/>
      <c r="X48" s="519"/>
      <c r="Y48" s="520"/>
      <c r="Z48" s="263"/>
      <c r="AA48" s="1"/>
      <c r="AC48" s="277"/>
    </row>
    <row r="49" spans="2:29" ht="18" x14ac:dyDescent="0.55000000000000004">
      <c r="B49" s="1"/>
      <c r="C49" s="259"/>
      <c r="P49" s="518"/>
      <c r="Q49" s="519"/>
      <c r="R49" s="519"/>
      <c r="S49" s="519"/>
      <c r="T49" s="519"/>
      <c r="U49" s="519"/>
      <c r="V49" s="519"/>
      <c r="W49" s="519"/>
      <c r="X49" s="519"/>
      <c r="Y49" s="520"/>
      <c r="Z49" s="263"/>
      <c r="AA49" s="1"/>
      <c r="AC49" s="277"/>
    </row>
    <row r="50" spans="2:29" ht="18" x14ac:dyDescent="0.55000000000000004">
      <c r="B50" s="1"/>
      <c r="C50" s="258" t="s">
        <v>860</v>
      </c>
      <c r="P50" s="518"/>
      <c r="Q50" s="519"/>
      <c r="R50" s="519"/>
      <c r="S50" s="519"/>
      <c r="T50" s="519"/>
      <c r="U50" s="519"/>
      <c r="V50" s="519"/>
      <c r="W50" s="519"/>
      <c r="X50" s="519"/>
      <c r="Y50" s="520"/>
      <c r="Z50" s="263"/>
      <c r="AA50" s="1"/>
      <c r="AC50" s="277"/>
    </row>
    <row r="51" spans="2:29" ht="18" x14ac:dyDescent="0.55000000000000004">
      <c r="B51" s="1"/>
      <c r="C51" s="258"/>
      <c r="P51" s="518"/>
      <c r="Q51" s="519"/>
      <c r="R51" s="519"/>
      <c r="S51" s="519"/>
      <c r="T51" s="519"/>
      <c r="U51" s="519"/>
      <c r="V51" s="519"/>
      <c r="W51" s="519"/>
      <c r="X51" s="519"/>
      <c r="Y51" s="520"/>
      <c r="Z51" s="263"/>
      <c r="AA51" s="1"/>
      <c r="AC51" s="277"/>
    </row>
    <row r="52" spans="2:29" ht="18" x14ac:dyDescent="0.55000000000000004">
      <c r="B52" s="1"/>
      <c r="C52" s="258"/>
      <c r="P52" s="518"/>
      <c r="Q52" s="519"/>
      <c r="R52" s="519"/>
      <c r="S52" s="519"/>
      <c r="T52" s="519"/>
      <c r="U52" s="519"/>
      <c r="V52" s="519"/>
      <c r="W52" s="519"/>
      <c r="X52" s="519"/>
      <c r="Y52" s="520"/>
      <c r="Z52" s="263"/>
      <c r="AA52" s="1"/>
      <c r="AC52" s="277"/>
    </row>
    <row r="53" spans="2:29" ht="18" x14ac:dyDescent="0.55000000000000004">
      <c r="B53" s="1"/>
      <c r="C53" s="258"/>
      <c r="P53" s="518"/>
      <c r="Q53" s="519"/>
      <c r="R53" s="519"/>
      <c r="S53" s="519"/>
      <c r="T53" s="519"/>
      <c r="U53" s="519"/>
      <c r="V53" s="519"/>
      <c r="W53" s="519"/>
      <c r="X53" s="519"/>
      <c r="Y53" s="520"/>
      <c r="Z53" s="263"/>
      <c r="AA53" s="1"/>
      <c r="AC53" s="277"/>
    </row>
    <row r="54" spans="2:29" ht="18" x14ac:dyDescent="0.55000000000000004">
      <c r="B54" s="1"/>
      <c r="C54" s="258"/>
      <c r="P54" s="518"/>
      <c r="Q54" s="519"/>
      <c r="R54" s="519"/>
      <c r="S54" s="519"/>
      <c r="T54" s="519"/>
      <c r="U54" s="519"/>
      <c r="V54" s="519"/>
      <c r="W54" s="519"/>
      <c r="X54" s="519"/>
      <c r="Y54" s="520"/>
      <c r="Z54" s="263"/>
      <c r="AA54" s="1"/>
      <c r="AC54" s="277"/>
    </row>
    <row r="55" spans="2:29" ht="18" x14ac:dyDescent="0.55000000000000004">
      <c r="B55" s="1"/>
      <c r="C55" s="258"/>
      <c r="P55" s="518"/>
      <c r="Q55" s="519"/>
      <c r="R55" s="519"/>
      <c r="S55" s="519"/>
      <c r="T55" s="519"/>
      <c r="U55" s="519"/>
      <c r="V55" s="519"/>
      <c r="W55" s="519"/>
      <c r="X55" s="519"/>
      <c r="Y55" s="520"/>
      <c r="Z55" s="263"/>
      <c r="AA55" s="1"/>
      <c r="AC55" s="277"/>
    </row>
    <row r="56" spans="2:29" ht="18" x14ac:dyDescent="0.55000000000000004">
      <c r="B56" s="1"/>
      <c r="C56" s="258"/>
      <c r="P56" s="518"/>
      <c r="Q56" s="519"/>
      <c r="R56" s="519"/>
      <c r="S56" s="519"/>
      <c r="T56" s="519"/>
      <c r="U56" s="519"/>
      <c r="V56" s="519"/>
      <c r="W56" s="519"/>
      <c r="X56" s="519"/>
      <c r="Y56" s="520"/>
      <c r="Z56" s="263"/>
      <c r="AA56" s="1"/>
      <c r="AC56" s="277"/>
    </row>
    <row r="57" spans="2:29" ht="18" x14ac:dyDescent="0.55000000000000004">
      <c r="B57" s="1"/>
      <c r="C57" s="258"/>
      <c r="P57" s="518"/>
      <c r="Q57" s="519"/>
      <c r="R57" s="519"/>
      <c r="S57" s="519"/>
      <c r="T57" s="519"/>
      <c r="U57" s="519"/>
      <c r="V57" s="519"/>
      <c r="W57" s="519"/>
      <c r="X57" s="519"/>
      <c r="Y57" s="520"/>
      <c r="Z57" s="263"/>
      <c r="AA57" s="1"/>
      <c r="AC57" s="277"/>
    </row>
    <row r="58" spans="2:29" ht="18" x14ac:dyDescent="0.55000000000000004">
      <c r="B58" s="1"/>
      <c r="C58" s="258"/>
      <c r="P58" s="518"/>
      <c r="Q58" s="519"/>
      <c r="R58" s="519"/>
      <c r="S58" s="519"/>
      <c r="T58" s="519"/>
      <c r="U58" s="519"/>
      <c r="V58" s="519"/>
      <c r="W58" s="519"/>
      <c r="X58" s="519"/>
      <c r="Y58" s="520"/>
      <c r="Z58" s="263"/>
      <c r="AA58" s="1"/>
      <c r="AC58" s="277"/>
    </row>
    <row r="59" spans="2:29" ht="18" x14ac:dyDescent="0.55000000000000004">
      <c r="B59" s="1"/>
      <c r="C59" s="258"/>
      <c r="D59" s="268" t="s">
        <v>872</v>
      </c>
      <c r="E59" s="274">
        <v>46003</v>
      </c>
      <c r="F59" s="274">
        <v>46010</v>
      </c>
      <c r="G59" s="275" t="s">
        <v>871</v>
      </c>
      <c r="I59" s="273"/>
      <c r="J59" s="268" t="s">
        <v>872</v>
      </c>
      <c r="K59" s="274">
        <v>46003</v>
      </c>
      <c r="L59" s="274">
        <v>46010</v>
      </c>
      <c r="M59" s="275" t="s">
        <v>871</v>
      </c>
      <c r="P59" s="518"/>
      <c r="Q59" s="519"/>
      <c r="R59" s="519"/>
      <c r="S59" s="519"/>
      <c r="T59" s="519"/>
      <c r="U59" s="519"/>
      <c r="V59" s="519"/>
      <c r="W59" s="519"/>
      <c r="X59" s="519"/>
      <c r="Y59" s="520"/>
      <c r="Z59" s="263"/>
      <c r="AA59" s="1"/>
      <c r="AC59" s="277"/>
    </row>
    <row r="60" spans="2:29" ht="18" x14ac:dyDescent="0.55000000000000004">
      <c r="B60" s="1"/>
      <c r="C60" s="258"/>
      <c r="D60" s="269" t="s">
        <v>796</v>
      </c>
      <c r="E60" s="289">
        <f>COUNTIFS('2. Status Detalhe Campos'!B:B,"B02.00",'2. Status Detalhe Campos'!C:C,"Loan Tape",'2. Status Detalhe Campos'!J:J,"Por iniciar")</f>
        <v>0</v>
      </c>
      <c r="F60" s="289">
        <f>COUNTIFS('2. Status Detalhe Campos'!B:B,"B02.00",'2. Status Detalhe Campos'!C:C,"Loan Tape",'2. Status Detalhe Campos'!I:I,"Por iniciar")</f>
        <v>0</v>
      </c>
      <c r="G60" s="289">
        <f>+F60-E60</f>
        <v>0</v>
      </c>
      <c r="H60" s="375" t="e">
        <f>+IF(F60=0,NA(),F60)</f>
        <v>#N/A</v>
      </c>
      <c r="I60" s="273"/>
      <c r="J60" s="269" t="s">
        <v>796</v>
      </c>
      <c r="K60" s="292">
        <f>COUNTIFS('2. Status Detalhe Campos'!B:B,"B02.00",'2. Status Detalhe Campos'!C:C,"Tabela Output",'2. Status Detalhe Campos'!J:J,"Por iniciar")</f>
        <v>0</v>
      </c>
      <c r="L60" s="292">
        <f>COUNTIFS('2. Status Detalhe Campos'!B:B,"B02.00",'2. Status Detalhe Campos'!C:C,"Tabela Output",'2. Status Detalhe Campos'!I:I,"Por iniciar")</f>
        <v>0</v>
      </c>
      <c r="M60" s="292">
        <f>+L60-K60</f>
        <v>0</v>
      </c>
      <c r="N60" s="375" t="e">
        <f>+IF(L60=0,NA(),L60)</f>
        <v>#N/A</v>
      </c>
      <c r="P60" s="518"/>
      <c r="Q60" s="519"/>
      <c r="R60" s="519"/>
      <c r="S60" s="519"/>
      <c r="T60" s="519"/>
      <c r="U60" s="519"/>
      <c r="V60" s="519"/>
      <c r="W60" s="519"/>
      <c r="X60" s="519"/>
      <c r="Y60" s="520"/>
      <c r="Z60" s="263"/>
      <c r="AA60" s="1"/>
      <c r="AC60" s="277"/>
    </row>
    <row r="61" spans="2:29" ht="18" x14ac:dyDescent="0.55000000000000004">
      <c r="B61" s="1"/>
      <c r="C61" s="258"/>
      <c r="D61" s="269" t="s">
        <v>231</v>
      </c>
      <c r="E61" s="289">
        <f>COUNTIFS('2. Status Detalhe Campos'!B:B,"B02.00",'2. Status Detalhe Campos'!C:C,"Loan Tape",'2. Status Detalhe Campos'!J:J,"Em curso")</f>
        <v>2</v>
      </c>
      <c r="F61" s="289">
        <f>COUNTIFS('2. Status Detalhe Campos'!B:B,"B02.00",'2. Status Detalhe Campos'!C:C,"Loan Tape",'2. Status Detalhe Campos'!I:I,"Em curso")</f>
        <v>1</v>
      </c>
      <c r="G61" s="289">
        <f t="shared" ref="G61:G65" si="1">+F61-E61</f>
        <v>-1</v>
      </c>
      <c r="H61" s="375">
        <f t="shared" ref="H61:H64" si="2">+IF(F61=0,NA(),F61)</f>
        <v>1</v>
      </c>
      <c r="I61" s="273"/>
      <c r="J61" s="269" t="s">
        <v>231</v>
      </c>
      <c r="K61" s="292">
        <f>COUNTIFS('2. Status Detalhe Campos'!B:B,"B02.00",'2. Status Detalhe Campos'!C:C,"Tabela Output",'2. Status Detalhe Campos'!J:J,"Em curso")</f>
        <v>1</v>
      </c>
      <c r="L61" s="292">
        <f>COUNTIFS('2. Status Detalhe Campos'!B:B,"B02.00",'2. Status Detalhe Campos'!C:C,"Tabela Output",'2. Status Detalhe Campos'!I:I,"Em curso")</f>
        <v>0</v>
      </c>
      <c r="M61" s="292">
        <f t="shared" ref="M61:M64" si="3">+L61-K61</f>
        <v>-1</v>
      </c>
      <c r="N61" s="375" t="e">
        <f t="shared" ref="N61:N64" si="4">+IF(L61=0,NA(),L61)</f>
        <v>#N/A</v>
      </c>
      <c r="P61" s="518"/>
      <c r="Q61" s="519"/>
      <c r="R61" s="519"/>
      <c r="S61" s="519"/>
      <c r="T61" s="519"/>
      <c r="U61" s="519"/>
      <c r="V61" s="519"/>
      <c r="W61" s="519"/>
      <c r="X61" s="519"/>
      <c r="Y61" s="520"/>
      <c r="Z61" s="263"/>
      <c r="AA61" s="1"/>
      <c r="AC61" s="278"/>
    </row>
    <row r="62" spans="2:29" ht="18" x14ac:dyDescent="0.55000000000000004">
      <c r="B62" s="1"/>
      <c r="C62" s="258"/>
      <c r="D62" s="269" t="s">
        <v>867</v>
      </c>
      <c r="E62" s="289">
        <f>COUNTIFS('2. Status Detalhe Campos'!B:B,"B02.00",'2. Status Detalhe Campos'!C:C,"Loan Tape",'2. Status Detalhe Campos'!J:J,"Concluído")</f>
        <v>21</v>
      </c>
      <c r="F62" s="289">
        <f>COUNTIFS('2. Status Detalhe Campos'!B:B,"B02.00",'2. Status Detalhe Campos'!C:C,"Loan Tape",'2. Status Detalhe Campos'!I:I,"Concluído")</f>
        <v>23</v>
      </c>
      <c r="G62" s="289">
        <f t="shared" si="1"/>
        <v>2</v>
      </c>
      <c r="H62" s="375">
        <f t="shared" si="2"/>
        <v>23</v>
      </c>
      <c r="I62" s="273"/>
      <c r="J62" s="269" t="s">
        <v>867</v>
      </c>
      <c r="K62" s="292">
        <f>COUNTIFS('2. Status Detalhe Campos'!B:B,"B02.00",'2. Status Detalhe Campos'!C:C,"Tabela Output",'2. Status Detalhe Campos'!J:J,"Concluído")</f>
        <v>72</v>
      </c>
      <c r="L62" s="292">
        <f>COUNTIFS('2. Status Detalhe Campos'!B:B,"B02.00",'2. Status Detalhe Campos'!C:C,"Tabela Output",'2. Status Detalhe Campos'!I:I,"Concluído")</f>
        <v>75</v>
      </c>
      <c r="M62" s="292">
        <f t="shared" si="3"/>
        <v>3</v>
      </c>
      <c r="N62" s="375">
        <f t="shared" si="4"/>
        <v>75</v>
      </c>
      <c r="P62" s="518"/>
      <c r="Q62" s="519"/>
      <c r="R62" s="519"/>
      <c r="S62" s="519"/>
      <c r="T62" s="519"/>
      <c r="U62" s="519"/>
      <c r="V62" s="519"/>
      <c r="W62" s="519"/>
      <c r="X62" s="519"/>
      <c r="Y62" s="520"/>
      <c r="Z62" s="263"/>
      <c r="AA62" s="1"/>
    </row>
    <row r="63" spans="2:29" ht="18" x14ac:dyDescent="0.55000000000000004">
      <c r="B63" s="1"/>
      <c r="C63" s="258"/>
      <c r="D63" s="269" t="s">
        <v>873</v>
      </c>
      <c r="E63" s="290">
        <f>COUNTIFS('2. Status Detalhe Campos'!B:B,"B02.00",'2. Status Detalhe Campos'!C:C,"Loan Tape",'2. Status Detalhe Campos'!J:J,"Pendente de desenvolv.")</f>
        <v>1</v>
      </c>
      <c r="F63" s="290">
        <f>COUNTIFS('2. Status Detalhe Campos'!B:B,"B02.00",'2. Status Detalhe Campos'!C:C,"Loan Tape",'2. Status Detalhe Campos'!I:I,"Pendente de desenvolv.")</f>
        <v>0</v>
      </c>
      <c r="G63" s="290">
        <f t="shared" si="1"/>
        <v>-1</v>
      </c>
      <c r="H63" s="375" t="e">
        <f t="shared" si="2"/>
        <v>#N/A</v>
      </c>
      <c r="I63" s="273"/>
      <c r="J63" s="269" t="s">
        <v>873</v>
      </c>
      <c r="K63" s="293">
        <f>COUNTIFS('2. Status Detalhe Campos'!B:B,"B02.00",'2. Status Detalhe Campos'!C:C,"Tabela Output",'2. Status Detalhe Campos'!J:J,"Pendente de desenvolv.")</f>
        <v>4</v>
      </c>
      <c r="L63" s="293">
        <f>COUNTIFS('2. Status Detalhe Campos'!B:B,"B02.00",'2. Status Detalhe Campos'!C:C,"Tabela Output",'2. Status Detalhe Campos'!I:I,"Pendente de desenvolv.")</f>
        <v>0</v>
      </c>
      <c r="M63" s="293">
        <f t="shared" si="3"/>
        <v>-4</v>
      </c>
      <c r="N63" s="375" t="e">
        <f t="shared" si="4"/>
        <v>#N/A</v>
      </c>
      <c r="P63" s="518"/>
      <c r="Q63" s="519"/>
      <c r="R63" s="519"/>
      <c r="S63" s="519"/>
      <c r="T63" s="519"/>
      <c r="U63" s="519"/>
      <c r="V63" s="519"/>
      <c r="W63" s="519"/>
      <c r="X63" s="519"/>
      <c r="Y63" s="520"/>
      <c r="Z63" s="263"/>
      <c r="AA63" s="1"/>
    </row>
    <row r="64" spans="2:29" ht="18" x14ac:dyDescent="0.55000000000000004">
      <c r="B64" s="1"/>
      <c r="C64" s="258"/>
      <c r="D64" s="270" t="s">
        <v>869</v>
      </c>
      <c r="E64" s="291">
        <f>COUNTIFS('2. Status Detalhe Campos'!B:B,"B02.00",'2. Status Detalhe Campos'!C:C,"Loan Tape",'2. Status Detalhe Campos'!J:J,"Com incidências")</f>
        <v>6</v>
      </c>
      <c r="F64" s="291">
        <f>COUNTIFS('2. Status Detalhe Campos'!B:B,"B02.00",'2. Status Detalhe Campos'!C:C,"Loan Tape",'2. Status Detalhe Campos'!I:I,"Com incidências")</f>
        <v>6</v>
      </c>
      <c r="G64" s="291">
        <f t="shared" si="1"/>
        <v>0</v>
      </c>
      <c r="H64" s="375">
        <f t="shared" si="2"/>
        <v>6</v>
      </c>
      <c r="I64" s="273"/>
      <c r="J64" s="270" t="s">
        <v>869</v>
      </c>
      <c r="K64" s="294">
        <f>COUNTIFS('2. Status Detalhe Campos'!B:B,"B02.00",'2. Status Detalhe Campos'!C:C,"Tabela Output",'2. Status Detalhe Campos'!J:J,"Com incidências")</f>
        <v>4</v>
      </c>
      <c r="L64" s="294">
        <f>COUNTIFS('2. Status Detalhe Campos'!B:B,"B02.00",'2. Status Detalhe Campos'!C:C,"Tabela Output",'2. Status Detalhe Campos'!I:I,"Com incidências")</f>
        <v>6</v>
      </c>
      <c r="M64" s="294">
        <f t="shared" si="3"/>
        <v>2</v>
      </c>
      <c r="N64" s="375">
        <f t="shared" si="4"/>
        <v>6</v>
      </c>
      <c r="P64" s="518"/>
      <c r="Q64" s="519"/>
      <c r="R64" s="519"/>
      <c r="S64" s="519"/>
      <c r="T64" s="519"/>
      <c r="U64" s="519"/>
      <c r="V64" s="519"/>
      <c r="W64" s="519"/>
      <c r="X64" s="519"/>
      <c r="Y64" s="520"/>
      <c r="Z64" s="263"/>
      <c r="AA64" s="1"/>
    </row>
    <row r="65" spans="2:29" ht="18" x14ac:dyDescent="0.55000000000000004">
      <c r="B65" s="1"/>
      <c r="C65" s="258"/>
      <c r="D65" s="271" t="s">
        <v>864</v>
      </c>
      <c r="E65" s="272">
        <f>SUM(E60:E64)</f>
        <v>30</v>
      </c>
      <c r="F65" s="272">
        <f t="shared" ref="F65" si="5">SUM(F60:F64)</f>
        <v>30</v>
      </c>
      <c r="G65" s="272">
        <f t="shared" si="1"/>
        <v>0</v>
      </c>
      <c r="I65" s="273"/>
      <c r="J65" s="271" t="s">
        <v>864</v>
      </c>
      <c r="K65" s="272">
        <f>SUM(K60:K64)</f>
        <v>81</v>
      </c>
      <c r="L65" s="272">
        <f>SUM(L60:L64)</f>
        <v>81</v>
      </c>
      <c r="M65" s="272">
        <f t="shared" ref="M65" si="6">+L65-K65</f>
        <v>0</v>
      </c>
      <c r="P65" s="521"/>
      <c r="Q65" s="522"/>
      <c r="R65" s="522"/>
      <c r="S65" s="522"/>
      <c r="T65" s="522"/>
      <c r="U65" s="522"/>
      <c r="V65" s="522"/>
      <c r="W65" s="522"/>
      <c r="X65" s="522"/>
      <c r="Y65" s="523"/>
      <c r="Z65" s="263"/>
      <c r="AA65" s="1"/>
    </row>
    <row r="66" spans="2:29" ht="18" x14ac:dyDescent="0.55000000000000004">
      <c r="B66" s="1"/>
      <c r="C66" s="258"/>
      <c r="D66" s="2"/>
      <c r="Z66" s="263"/>
      <c r="AA66" s="1"/>
    </row>
    <row r="67" spans="2:29" ht="18" x14ac:dyDescent="0.55000000000000004">
      <c r="B67" s="1"/>
      <c r="C67" s="258"/>
      <c r="Z67" s="263"/>
      <c r="AA67" s="1"/>
    </row>
    <row r="68" spans="2:29" ht="23" x14ac:dyDescent="0.7">
      <c r="B68" s="1"/>
      <c r="C68" s="253"/>
      <c r="D68" s="267" t="s">
        <v>813</v>
      </c>
      <c r="E68" s="266"/>
      <c r="F68" s="266"/>
      <c r="G68" s="266"/>
      <c r="H68" s="266"/>
      <c r="I68" s="266"/>
      <c r="J68" s="266"/>
      <c r="K68" s="266"/>
      <c r="L68" s="266"/>
      <c r="M68" s="266"/>
      <c r="N68" s="266"/>
      <c r="O68" s="266"/>
      <c r="P68" s="266"/>
      <c r="Q68" s="266"/>
      <c r="R68" s="266"/>
      <c r="S68" s="266"/>
      <c r="T68" s="266"/>
      <c r="U68" s="266"/>
      <c r="V68" s="266"/>
      <c r="W68" s="266"/>
      <c r="X68" s="266"/>
      <c r="Y68" s="266"/>
      <c r="Z68" s="263"/>
      <c r="AA68" s="1"/>
    </row>
    <row r="69" spans="2:29" ht="18" x14ac:dyDescent="0.55000000000000004">
      <c r="B69" s="1"/>
      <c r="C69" s="253"/>
      <c r="D69" s="256"/>
      <c r="E69" s="256"/>
      <c r="F69" s="256"/>
      <c r="G69" s="256"/>
      <c r="H69" s="256"/>
      <c r="I69" s="256"/>
      <c r="J69" s="256"/>
      <c r="K69" s="256"/>
      <c r="L69" s="256"/>
      <c r="M69" s="256"/>
      <c r="N69" s="256"/>
      <c r="O69" s="256"/>
      <c r="P69" s="256"/>
      <c r="Q69" s="256"/>
      <c r="R69" s="256"/>
      <c r="S69" s="256"/>
      <c r="T69" s="256"/>
      <c r="U69" s="256"/>
      <c r="V69" s="256"/>
      <c r="W69" s="256"/>
      <c r="X69" s="256"/>
      <c r="Y69" s="256"/>
      <c r="Z69" s="263"/>
      <c r="AA69" s="1"/>
    </row>
    <row r="70" spans="2:29" ht="18" x14ac:dyDescent="0.55000000000000004">
      <c r="B70" s="1"/>
      <c r="C70" s="253"/>
      <c r="L70" s="265"/>
      <c r="O70" s="2"/>
      <c r="Q70" s="2"/>
      <c r="R70" s="2"/>
      <c r="S70" s="2"/>
      <c r="T70" s="2"/>
      <c r="U70" s="2"/>
      <c r="V70" s="2"/>
      <c r="W70" s="2"/>
      <c r="X70" s="2"/>
      <c r="Y70" s="2"/>
      <c r="Z70" s="263"/>
      <c r="AA70" s="1"/>
    </row>
    <row r="71" spans="2:29" ht="18" x14ac:dyDescent="0.55000000000000004">
      <c r="B71" s="1"/>
      <c r="C71" s="253"/>
      <c r="P71" s="265" t="s">
        <v>868</v>
      </c>
      <c r="Z71" s="263"/>
      <c r="AA71" s="1"/>
    </row>
    <row r="72" spans="2:29" ht="17.899999999999999" customHeight="1" x14ac:dyDescent="0.55000000000000004">
      <c r="B72" s="1"/>
      <c r="C72" s="257" t="s">
        <v>851</v>
      </c>
      <c r="P72" s="501" t="s">
        <v>1434</v>
      </c>
      <c r="Q72" s="502"/>
      <c r="R72" s="502"/>
      <c r="S72" s="502"/>
      <c r="T72" s="502"/>
      <c r="U72" s="502"/>
      <c r="V72" s="502"/>
      <c r="W72" s="502"/>
      <c r="X72" s="502"/>
      <c r="Y72" s="503"/>
      <c r="Z72" s="263"/>
      <c r="AA72" s="1"/>
      <c r="AC72" s="276"/>
    </row>
    <row r="73" spans="2:29" ht="18" x14ac:dyDescent="0.55000000000000004">
      <c r="B73" s="1"/>
      <c r="C73" s="258" t="s">
        <v>852</v>
      </c>
      <c r="P73" s="504"/>
      <c r="Q73" s="505"/>
      <c r="R73" s="505"/>
      <c r="S73" s="505"/>
      <c r="T73" s="505"/>
      <c r="U73" s="505"/>
      <c r="V73" s="505"/>
      <c r="W73" s="505"/>
      <c r="X73" s="505"/>
      <c r="Y73" s="506"/>
      <c r="Z73" s="263"/>
      <c r="AA73" s="1"/>
      <c r="AC73" s="277"/>
    </row>
    <row r="74" spans="2:29" ht="18" x14ac:dyDescent="0.55000000000000004">
      <c r="B74" s="1"/>
      <c r="C74" s="259" t="s">
        <v>853</v>
      </c>
      <c r="P74" s="504"/>
      <c r="Q74" s="505"/>
      <c r="R74" s="505"/>
      <c r="S74" s="505"/>
      <c r="T74" s="505"/>
      <c r="U74" s="505"/>
      <c r="V74" s="505"/>
      <c r="W74" s="505"/>
      <c r="X74" s="505"/>
      <c r="Y74" s="506"/>
      <c r="Z74" s="263"/>
      <c r="AA74" s="1"/>
      <c r="AC74" s="277"/>
    </row>
    <row r="75" spans="2:29" ht="18" x14ac:dyDescent="0.55000000000000004">
      <c r="B75" s="1"/>
      <c r="C75" s="259"/>
      <c r="P75" s="504"/>
      <c r="Q75" s="505"/>
      <c r="R75" s="505"/>
      <c r="S75" s="505"/>
      <c r="T75" s="505"/>
      <c r="U75" s="505"/>
      <c r="V75" s="505"/>
      <c r="W75" s="505"/>
      <c r="X75" s="505"/>
      <c r="Y75" s="506"/>
      <c r="Z75" s="263"/>
      <c r="AA75" s="1"/>
      <c r="AC75" s="277"/>
    </row>
    <row r="76" spans="2:29" ht="18" x14ac:dyDescent="0.55000000000000004">
      <c r="B76" s="1"/>
      <c r="C76" s="258" t="s">
        <v>860</v>
      </c>
      <c r="P76" s="504"/>
      <c r="Q76" s="505"/>
      <c r="R76" s="505"/>
      <c r="S76" s="505"/>
      <c r="T76" s="505"/>
      <c r="U76" s="505"/>
      <c r="V76" s="505"/>
      <c r="W76" s="505"/>
      <c r="X76" s="505"/>
      <c r="Y76" s="506"/>
      <c r="Z76" s="263"/>
      <c r="AA76" s="1"/>
      <c r="AC76" s="277"/>
    </row>
    <row r="77" spans="2:29" ht="18" x14ac:dyDescent="0.55000000000000004">
      <c r="B77" s="1"/>
      <c r="C77" s="258"/>
      <c r="P77" s="504"/>
      <c r="Q77" s="505"/>
      <c r="R77" s="505"/>
      <c r="S77" s="505"/>
      <c r="T77" s="505"/>
      <c r="U77" s="505"/>
      <c r="V77" s="505"/>
      <c r="W77" s="505"/>
      <c r="X77" s="505"/>
      <c r="Y77" s="506"/>
      <c r="Z77" s="263"/>
      <c r="AA77" s="1"/>
      <c r="AC77" s="277"/>
    </row>
    <row r="78" spans="2:29" ht="18" x14ac:dyDescent="0.55000000000000004">
      <c r="B78" s="1"/>
      <c r="C78" s="258"/>
      <c r="P78" s="504"/>
      <c r="Q78" s="505"/>
      <c r="R78" s="505"/>
      <c r="S78" s="505"/>
      <c r="T78" s="505"/>
      <c r="U78" s="505"/>
      <c r="V78" s="505"/>
      <c r="W78" s="505"/>
      <c r="X78" s="505"/>
      <c r="Y78" s="506"/>
      <c r="Z78" s="263"/>
      <c r="AA78" s="1"/>
      <c r="AC78" s="277"/>
    </row>
    <row r="79" spans="2:29" ht="18" x14ac:dyDescent="0.55000000000000004">
      <c r="B79" s="1"/>
      <c r="C79" s="258"/>
      <c r="P79" s="504"/>
      <c r="Q79" s="505"/>
      <c r="R79" s="505"/>
      <c r="S79" s="505"/>
      <c r="T79" s="505"/>
      <c r="U79" s="505"/>
      <c r="V79" s="505"/>
      <c r="W79" s="505"/>
      <c r="X79" s="505"/>
      <c r="Y79" s="506"/>
      <c r="Z79" s="263"/>
      <c r="AA79" s="1"/>
      <c r="AC79" s="277"/>
    </row>
    <row r="80" spans="2:29" ht="18" x14ac:dyDescent="0.55000000000000004">
      <c r="B80" s="1"/>
      <c r="C80" s="258"/>
      <c r="P80" s="504"/>
      <c r="Q80" s="505"/>
      <c r="R80" s="505"/>
      <c r="S80" s="505"/>
      <c r="T80" s="505"/>
      <c r="U80" s="505"/>
      <c r="V80" s="505"/>
      <c r="W80" s="505"/>
      <c r="X80" s="505"/>
      <c r="Y80" s="506"/>
      <c r="Z80" s="263"/>
      <c r="AA80" s="1"/>
      <c r="AC80" s="277"/>
    </row>
    <row r="81" spans="2:29" ht="18" x14ac:dyDescent="0.55000000000000004">
      <c r="B81" s="1"/>
      <c r="C81" s="258"/>
      <c r="P81" s="504"/>
      <c r="Q81" s="505"/>
      <c r="R81" s="505"/>
      <c r="S81" s="505"/>
      <c r="T81" s="505"/>
      <c r="U81" s="505"/>
      <c r="V81" s="505"/>
      <c r="W81" s="505"/>
      <c r="X81" s="505"/>
      <c r="Y81" s="506"/>
      <c r="Z81" s="263"/>
      <c r="AA81" s="1"/>
      <c r="AC81" s="277"/>
    </row>
    <row r="82" spans="2:29" ht="18" x14ac:dyDescent="0.55000000000000004">
      <c r="B82" s="1"/>
      <c r="C82" s="258"/>
      <c r="P82" s="504"/>
      <c r="Q82" s="505"/>
      <c r="R82" s="505"/>
      <c r="S82" s="505"/>
      <c r="T82" s="505"/>
      <c r="U82" s="505"/>
      <c r="V82" s="505"/>
      <c r="W82" s="505"/>
      <c r="X82" s="505"/>
      <c r="Y82" s="506"/>
      <c r="Z82" s="263"/>
      <c r="AA82" s="1"/>
      <c r="AC82" s="277"/>
    </row>
    <row r="83" spans="2:29" ht="18" x14ac:dyDescent="0.55000000000000004">
      <c r="B83" s="1"/>
      <c r="C83" s="258"/>
      <c r="P83" s="504"/>
      <c r="Q83" s="505"/>
      <c r="R83" s="505"/>
      <c r="S83" s="505"/>
      <c r="T83" s="505"/>
      <c r="U83" s="505"/>
      <c r="V83" s="505"/>
      <c r="W83" s="505"/>
      <c r="X83" s="505"/>
      <c r="Y83" s="506"/>
      <c r="Z83" s="263"/>
      <c r="AA83" s="1"/>
      <c r="AC83" s="277"/>
    </row>
    <row r="84" spans="2:29" ht="18" x14ac:dyDescent="0.55000000000000004">
      <c r="B84" s="1"/>
      <c r="C84" s="258"/>
      <c r="P84" s="504"/>
      <c r="Q84" s="505"/>
      <c r="R84" s="505"/>
      <c r="S84" s="505"/>
      <c r="T84" s="505"/>
      <c r="U84" s="505"/>
      <c r="V84" s="505"/>
      <c r="W84" s="505"/>
      <c r="X84" s="505"/>
      <c r="Y84" s="506"/>
      <c r="Z84" s="263"/>
      <c r="AA84" s="1"/>
      <c r="AC84" s="277"/>
    </row>
    <row r="85" spans="2:29" ht="18" x14ac:dyDescent="0.55000000000000004">
      <c r="B85" s="1"/>
      <c r="C85" s="258"/>
      <c r="D85" s="268" t="s">
        <v>872</v>
      </c>
      <c r="E85" s="274">
        <v>46003</v>
      </c>
      <c r="F85" s="274">
        <v>46010</v>
      </c>
      <c r="G85" s="275" t="s">
        <v>871</v>
      </c>
      <c r="I85" s="273"/>
      <c r="J85" s="268" t="s">
        <v>872</v>
      </c>
      <c r="K85" s="274">
        <v>46003</v>
      </c>
      <c r="L85" s="274">
        <v>46010</v>
      </c>
      <c r="M85" s="275" t="s">
        <v>871</v>
      </c>
      <c r="P85" s="504"/>
      <c r="Q85" s="505"/>
      <c r="R85" s="505"/>
      <c r="S85" s="505"/>
      <c r="T85" s="505"/>
      <c r="U85" s="505"/>
      <c r="V85" s="505"/>
      <c r="W85" s="505"/>
      <c r="X85" s="505"/>
      <c r="Y85" s="506"/>
      <c r="Z85" s="263"/>
      <c r="AA85" s="1"/>
      <c r="AC85" s="277"/>
    </row>
    <row r="86" spans="2:29" ht="18" x14ac:dyDescent="0.55000000000000004">
      <c r="B86" s="1"/>
      <c r="C86" s="258"/>
      <c r="D86" s="269" t="s">
        <v>796</v>
      </c>
      <c r="E86" s="289">
        <f>COUNTIFS('2. Status Detalhe Campos'!B:B,"B05.00",'2. Status Detalhe Campos'!C:C,"Loan Tape",'2. Status Detalhe Campos'!J:J,"Por iniciar")</f>
        <v>0</v>
      </c>
      <c r="F86" s="289">
        <f>COUNTIFS('2. Status Detalhe Campos'!B:B,"B05.00",'2. Status Detalhe Campos'!C:C,"Loan Tape",'2. Status Detalhe Campos'!I:I,"Por iniciar")</f>
        <v>0</v>
      </c>
      <c r="G86" s="289">
        <f>+F86-E86</f>
        <v>0</v>
      </c>
      <c r="H86" s="375" t="e">
        <f>+IF(F86=0,NA(),F86)</f>
        <v>#N/A</v>
      </c>
      <c r="I86" s="273"/>
      <c r="J86" s="269" t="s">
        <v>796</v>
      </c>
      <c r="K86" s="292">
        <f>COUNTIFS('2. Status Detalhe Campos'!B:B,"B05.00",'2. Status Detalhe Campos'!C:C,"Tabela Output",'2. Status Detalhe Campos'!J:J,"Por iniciar")</f>
        <v>0</v>
      </c>
      <c r="L86" s="292">
        <f>COUNTIFS('2. Status Detalhe Campos'!B:B,"B05.00",'2. Status Detalhe Campos'!C:C,"Tabela Output",'2. Status Detalhe Campos'!I:I,"Por iniciar")</f>
        <v>0</v>
      </c>
      <c r="M86" s="292">
        <f>+L86-K86</f>
        <v>0</v>
      </c>
      <c r="N86" s="375" t="e">
        <f>+IF(L86=0,NA(),L86)</f>
        <v>#N/A</v>
      </c>
      <c r="P86" s="504"/>
      <c r="Q86" s="505"/>
      <c r="R86" s="505"/>
      <c r="S86" s="505"/>
      <c r="T86" s="505"/>
      <c r="U86" s="505"/>
      <c r="V86" s="505"/>
      <c r="W86" s="505"/>
      <c r="X86" s="505"/>
      <c r="Y86" s="506"/>
      <c r="Z86" s="263"/>
      <c r="AA86" s="1"/>
      <c r="AC86" s="277"/>
    </row>
    <row r="87" spans="2:29" ht="18" x14ac:dyDescent="0.55000000000000004">
      <c r="B87" s="1"/>
      <c r="C87" s="258"/>
      <c r="D87" s="269" t="s">
        <v>231</v>
      </c>
      <c r="E87" s="289">
        <f>COUNTIFS('2. Status Detalhe Campos'!B:B,"B05.00",'2. Status Detalhe Campos'!C:C,"Loan Tape",'2. Status Detalhe Campos'!J:J,"Em curso")</f>
        <v>0</v>
      </c>
      <c r="F87" s="289">
        <f>COUNTIFS('2. Status Detalhe Campos'!B:B,"B05.00",'2. Status Detalhe Campos'!C:C,"Loan Tape",'2. Status Detalhe Campos'!I:I,"Em curso")</f>
        <v>0</v>
      </c>
      <c r="G87" s="289">
        <f t="shared" ref="G87:G90" si="7">+F87-E87</f>
        <v>0</v>
      </c>
      <c r="H87" s="375" t="e">
        <f t="shared" ref="H87:H90" si="8">+IF(F87=0,NA(),F87)</f>
        <v>#N/A</v>
      </c>
      <c r="I87" s="273"/>
      <c r="J87" s="269" t="s">
        <v>231</v>
      </c>
      <c r="K87" s="292">
        <f>COUNTIFS('2. Status Detalhe Campos'!B:B,"B05.00",'2. Status Detalhe Campos'!C:C,"Tabela Output",'2. Status Detalhe Campos'!J:J,"Em curso")</f>
        <v>0</v>
      </c>
      <c r="L87" s="292">
        <f>COUNTIFS('2. Status Detalhe Campos'!B:B,"B05.00",'2. Status Detalhe Campos'!C:C,"Tabela Output",'2. Status Detalhe Campos'!I:I,"Em curso")</f>
        <v>0</v>
      </c>
      <c r="M87" s="292">
        <f t="shared" ref="M87:M90" si="9">+L87-K87</f>
        <v>0</v>
      </c>
      <c r="N87" s="375" t="e">
        <f t="shared" ref="N87:N90" si="10">+IF(L87=0,NA(),L87)</f>
        <v>#N/A</v>
      </c>
      <c r="P87" s="504"/>
      <c r="Q87" s="505"/>
      <c r="R87" s="505"/>
      <c r="S87" s="505"/>
      <c r="T87" s="505"/>
      <c r="U87" s="505"/>
      <c r="V87" s="505"/>
      <c r="W87" s="505"/>
      <c r="X87" s="505"/>
      <c r="Y87" s="506"/>
      <c r="Z87" s="263"/>
      <c r="AA87" s="1"/>
      <c r="AC87" s="278"/>
    </row>
    <row r="88" spans="2:29" ht="18" x14ac:dyDescent="0.55000000000000004">
      <c r="B88" s="1"/>
      <c r="C88" s="258"/>
      <c r="D88" s="269" t="s">
        <v>867</v>
      </c>
      <c r="E88" s="289">
        <f>COUNTIFS('2. Status Detalhe Campos'!B:B,"B05.00",'2. Status Detalhe Campos'!C:C,"Loan Tape",'2. Status Detalhe Campos'!J:J,"Concluído")</f>
        <v>4</v>
      </c>
      <c r="F88" s="289">
        <f>COUNTIFS('2. Status Detalhe Campos'!B:B,"B05.00",'2. Status Detalhe Campos'!C:C,"Loan Tape",'2. Status Detalhe Campos'!I:I,"Concluído")</f>
        <v>4</v>
      </c>
      <c r="G88" s="289">
        <f t="shared" si="7"/>
        <v>0</v>
      </c>
      <c r="H88" s="375">
        <f t="shared" si="8"/>
        <v>4</v>
      </c>
      <c r="I88" s="273"/>
      <c r="J88" s="269" t="s">
        <v>867</v>
      </c>
      <c r="K88" s="292">
        <f>COUNTIFS('2. Status Detalhe Campos'!B:B,"B05.00",'2. Status Detalhe Campos'!C:C,"Tabela Output",'2. Status Detalhe Campos'!J:J,"Concluído")</f>
        <v>14</v>
      </c>
      <c r="L88" s="292">
        <f>COUNTIFS('2. Status Detalhe Campos'!B:B,"B05.00",'2. Status Detalhe Campos'!C:C,"Tabela Output",'2. Status Detalhe Campos'!I:I,"Concluído")</f>
        <v>14</v>
      </c>
      <c r="M88" s="292">
        <f t="shared" si="9"/>
        <v>0</v>
      </c>
      <c r="N88" s="375">
        <f t="shared" si="10"/>
        <v>14</v>
      </c>
      <c r="P88" s="504"/>
      <c r="Q88" s="505"/>
      <c r="R88" s="505"/>
      <c r="S88" s="505"/>
      <c r="T88" s="505"/>
      <c r="U88" s="505"/>
      <c r="V88" s="505"/>
      <c r="W88" s="505"/>
      <c r="X88" s="505"/>
      <c r="Y88" s="506"/>
      <c r="Z88" s="263"/>
      <c r="AA88" s="1"/>
    </row>
    <row r="89" spans="2:29" ht="18" x14ac:dyDescent="0.55000000000000004">
      <c r="B89" s="1"/>
      <c r="C89" s="258"/>
      <c r="D89" s="269" t="s">
        <v>873</v>
      </c>
      <c r="E89" s="290">
        <f>COUNTIFS('2. Status Detalhe Campos'!B:B,"B05.00",'2. Status Detalhe Campos'!C:C,"Loan Tape",'2. Status Detalhe Campos'!J:J,"Pendente de desenvolv.")</f>
        <v>1</v>
      </c>
      <c r="F89" s="290">
        <f>COUNTIFS('2. Status Detalhe Campos'!B:B,"B05.00",'2. Status Detalhe Campos'!C:C,"Loan Tape",'2. Status Detalhe Campos'!I:I,"Pendente de desenvolv.")</f>
        <v>1</v>
      </c>
      <c r="G89" s="290">
        <f t="shared" si="7"/>
        <v>0</v>
      </c>
      <c r="H89" s="375">
        <f t="shared" si="8"/>
        <v>1</v>
      </c>
      <c r="I89" s="273"/>
      <c r="J89" s="269" t="s">
        <v>873</v>
      </c>
      <c r="K89" s="293">
        <f>COUNTIFS('2. Status Detalhe Campos'!B:B,"B05.00",'2. Status Detalhe Campos'!C:C,"Tabela Output",'2. Status Detalhe Campos'!J:J,"Pendente de desenvolv.")</f>
        <v>1</v>
      </c>
      <c r="L89" s="293">
        <f>COUNTIFS('2. Status Detalhe Campos'!B:B,"B05.00",'2. Status Detalhe Campos'!C:C,"Tabela Output",'2. Status Detalhe Campos'!I:I,"Pendente de desenvolv.")</f>
        <v>1</v>
      </c>
      <c r="M89" s="293">
        <f t="shared" si="9"/>
        <v>0</v>
      </c>
      <c r="N89" s="375">
        <f t="shared" si="10"/>
        <v>1</v>
      </c>
      <c r="P89" s="504"/>
      <c r="Q89" s="505"/>
      <c r="R89" s="505"/>
      <c r="S89" s="505"/>
      <c r="T89" s="505"/>
      <c r="U89" s="505"/>
      <c r="V89" s="505"/>
      <c r="W89" s="505"/>
      <c r="X89" s="505"/>
      <c r="Y89" s="506"/>
      <c r="Z89" s="263"/>
      <c r="AA89" s="1"/>
    </row>
    <row r="90" spans="2:29" ht="18" x14ac:dyDescent="0.55000000000000004">
      <c r="B90" s="1"/>
      <c r="C90" s="258"/>
      <c r="D90" s="270" t="s">
        <v>869</v>
      </c>
      <c r="E90" s="291">
        <f>COUNTIFS('2. Status Detalhe Campos'!B:B,"B05.00",'2. Status Detalhe Campos'!C:C,"Loan Tape",'2. Status Detalhe Campos'!J:J,"Com incidências")</f>
        <v>0</v>
      </c>
      <c r="F90" s="291">
        <f>COUNTIFS('2. Status Detalhe Campos'!B:B,"B05.00",'2. Status Detalhe Campos'!C:C,"Loan Tape",'2. Status Detalhe Campos'!I:I,"Com incidências")</f>
        <v>0</v>
      </c>
      <c r="G90" s="291">
        <f t="shared" si="7"/>
        <v>0</v>
      </c>
      <c r="H90" s="375" t="e">
        <f t="shared" si="8"/>
        <v>#N/A</v>
      </c>
      <c r="I90" s="273"/>
      <c r="J90" s="270" t="s">
        <v>869</v>
      </c>
      <c r="K90" s="294">
        <f>COUNTIFS('2. Status Detalhe Campos'!B:B,"B05.00",'2. Status Detalhe Campos'!C:C,"Tabela Output",'2. Status Detalhe Campos'!J:J,"Com incidências")</f>
        <v>0</v>
      </c>
      <c r="L90" s="294">
        <f>COUNTIFS('2. Status Detalhe Campos'!B:B,"B05.00",'2. Status Detalhe Campos'!C:C,"Tabela Output",'2. Status Detalhe Campos'!I:I,"Com incidências")</f>
        <v>0</v>
      </c>
      <c r="M90" s="294">
        <f t="shared" si="9"/>
        <v>0</v>
      </c>
      <c r="N90" s="375" t="e">
        <f t="shared" si="10"/>
        <v>#N/A</v>
      </c>
      <c r="P90" s="504"/>
      <c r="Q90" s="505"/>
      <c r="R90" s="505"/>
      <c r="S90" s="505"/>
      <c r="T90" s="505"/>
      <c r="U90" s="505"/>
      <c r="V90" s="505"/>
      <c r="W90" s="505"/>
      <c r="X90" s="505"/>
      <c r="Y90" s="506"/>
      <c r="Z90" s="263"/>
      <c r="AA90" s="1"/>
    </row>
    <row r="91" spans="2:29" ht="18" x14ac:dyDescent="0.55000000000000004">
      <c r="B91" s="1"/>
      <c r="C91" s="258"/>
      <c r="D91" s="271" t="s">
        <v>864</v>
      </c>
      <c r="E91" s="272">
        <f>SUM(E86:E90)</f>
        <v>5</v>
      </c>
      <c r="F91" s="272">
        <f t="shared" ref="F91" si="11">SUM(F86:F90)</f>
        <v>5</v>
      </c>
      <c r="G91" s="272">
        <f t="shared" ref="G91" si="12">SUM(G86:G90)</f>
        <v>0</v>
      </c>
      <c r="I91" s="273"/>
      <c r="J91" s="271" t="s">
        <v>864</v>
      </c>
      <c r="K91" s="272">
        <f>SUM(K86:K90)</f>
        <v>15</v>
      </c>
      <c r="L91" s="272">
        <f>SUM(L86:L90)</f>
        <v>15</v>
      </c>
      <c r="M91" s="272">
        <f>SUM(M86:M90)</f>
        <v>0</v>
      </c>
      <c r="P91" s="507"/>
      <c r="Q91" s="508"/>
      <c r="R91" s="508"/>
      <c r="S91" s="508"/>
      <c r="T91" s="508"/>
      <c r="U91" s="508"/>
      <c r="V91" s="508"/>
      <c r="W91" s="508"/>
      <c r="X91" s="508"/>
      <c r="Y91" s="509"/>
      <c r="Z91" s="263"/>
      <c r="AA91" s="1"/>
    </row>
    <row r="92" spans="2:29" ht="18" x14ac:dyDescent="0.55000000000000004">
      <c r="B92" s="1"/>
      <c r="C92" s="258"/>
      <c r="Z92" s="263"/>
      <c r="AA92" s="1"/>
    </row>
    <row r="93" spans="2:29" ht="23" x14ac:dyDescent="0.7">
      <c r="B93" s="1"/>
      <c r="C93" s="253"/>
      <c r="D93" s="267" t="s">
        <v>832</v>
      </c>
      <c r="E93" s="266"/>
      <c r="F93" s="266"/>
      <c r="G93" s="266"/>
      <c r="H93" s="266"/>
      <c r="I93" s="266"/>
      <c r="J93" s="266"/>
      <c r="K93" s="266"/>
      <c r="L93" s="266"/>
      <c r="M93" s="266"/>
      <c r="N93" s="266"/>
      <c r="O93" s="266"/>
      <c r="P93" s="266"/>
      <c r="Q93" s="266"/>
      <c r="R93" s="266"/>
      <c r="S93" s="266"/>
      <c r="T93" s="266"/>
      <c r="U93" s="266"/>
      <c r="V93" s="266"/>
      <c r="W93" s="266"/>
      <c r="X93" s="266"/>
      <c r="Y93" s="266"/>
      <c r="Z93" s="263"/>
      <c r="AA93" s="1"/>
    </row>
    <row r="94" spans="2:29" ht="18" x14ac:dyDescent="0.55000000000000004">
      <c r="B94" s="1"/>
      <c r="C94" s="253"/>
      <c r="D94" s="256"/>
      <c r="E94" s="256"/>
      <c r="F94" s="256"/>
      <c r="G94" s="256"/>
      <c r="H94" s="256"/>
      <c r="I94" s="256"/>
      <c r="J94" s="256"/>
      <c r="K94" s="256"/>
      <c r="L94" s="256"/>
      <c r="M94" s="256"/>
      <c r="N94" s="256"/>
      <c r="O94" s="256"/>
      <c r="P94" s="256"/>
      <c r="Q94" s="256"/>
      <c r="R94" s="256"/>
      <c r="S94" s="256"/>
      <c r="T94" s="256"/>
      <c r="U94" s="256"/>
      <c r="V94" s="256"/>
      <c r="W94" s="256"/>
      <c r="X94" s="256"/>
      <c r="Y94" s="256"/>
      <c r="Z94" s="263"/>
      <c r="AA94" s="1"/>
    </row>
    <row r="95" spans="2:29" ht="18" x14ac:dyDescent="0.55000000000000004">
      <c r="B95" s="1"/>
      <c r="C95" s="253"/>
      <c r="L95" s="265"/>
      <c r="O95" s="2"/>
      <c r="P95" s="265"/>
      <c r="Q95" s="2"/>
      <c r="R95" s="2"/>
      <c r="S95" s="2"/>
      <c r="T95" s="2"/>
      <c r="U95" s="2"/>
      <c r="V95" s="2"/>
      <c r="W95" s="2"/>
      <c r="X95" s="2"/>
      <c r="Y95" s="2"/>
      <c r="Z95" s="263"/>
      <c r="AA95" s="1"/>
    </row>
    <row r="96" spans="2:29" ht="18" x14ac:dyDescent="0.55000000000000004">
      <c r="B96" s="1"/>
      <c r="C96" s="253"/>
      <c r="P96" s="265" t="s">
        <v>868</v>
      </c>
      <c r="Z96" s="263"/>
      <c r="AA96" s="1"/>
    </row>
    <row r="97" spans="2:29" ht="17.899999999999999" customHeight="1" x14ac:dyDescent="0.55000000000000004">
      <c r="B97" s="1"/>
      <c r="C97" s="257" t="s">
        <v>851</v>
      </c>
      <c r="P97" s="501" t="s">
        <v>1435</v>
      </c>
      <c r="Q97" s="502"/>
      <c r="R97" s="502"/>
      <c r="S97" s="502"/>
      <c r="T97" s="502"/>
      <c r="U97" s="502"/>
      <c r="V97" s="502"/>
      <c r="W97" s="502"/>
      <c r="X97" s="502"/>
      <c r="Y97" s="503"/>
      <c r="Z97" s="263"/>
      <c r="AA97" s="1"/>
      <c r="AC97" s="276"/>
    </row>
    <row r="98" spans="2:29" ht="18" x14ac:dyDescent="0.55000000000000004">
      <c r="B98" s="1"/>
      <c r="C98" s="258" t="s">
        <v>852</v>
      </c>
      <c r="P98" s="504"/>
      <c r="Q98" s="505"/>
      <c r="R98" s="505"/>
      <c r="S98" s="505"/>
      <c r="T98" s="505"/>
      <c r="U98" s="505"/>
      <c r="V98" s="505"/>
      <c r="W98" s="505"/>
      <c r="X98" s="505"/>
      <c r="Y98" s="506"/>
      <c r="Z98" s="263"/>
      <c r="AA98" s="1"/>
      <c r="AC98" s="277"/>
    </row>
    <row r="99" spans="2:29" ht="18" x14ac:dyDescent="0.55000000000000004">
      <c r="B99" s="1"/>
      <c r="C99" s="259" t="s">
        <v>853</v>
      </c>
      <c r="P99" s="504"/>
      <c r="Q99" s="505"/>
      <c r="R99" s="505"/>
      <c r="S99" s="505"/>
      <c r="T99" s="505"/>
      <c r="U99" s="505"/>
      <c r="V99" s="505"/>
      <c r="W99" s="505"/>
      <c r="X99" s="505"/>
      <c r="Y99" s="506"/>
      <c r="Z99" s="263"/>
      <c r="AA99" s="1"/>
      <c r="AC99" s="277"/>
    </row>
    <row r="100" spans="2:29" ht="18" x14ac:dyDescent="0.55000000000000004">
      <c r="B100" s="1"/>
      <c r="C100" s="259"/>
      <c r="P100" s="504"/>
      <c r="Q100" s="505"/>
      <c r="R100" s="505"/>
      <c r="S100" s="505"/>
      <c r="T100" s="505"/>
      <c r="U100" s="505"/>
      <c r="V100" s="505"/>
      <c r="W100" s="505"/>
      <c r="X100" s="505"/>
      <c r="Y100" s="506"/>
      <c r="Z100" s="263"/>
      <c r="AA100" s="1"/>
      <c r="AC100" s="277"/>
    </row>
    <row r="101" spans="2:29" ht="18" x14ac:dyDescent="0.55000000000000004">
      <c r="B101" s="1"/>
      <c r="C101" s="258" t="s">
        <v>860</v>
      </c>
      <c r="P101" s="504"/>
      <c r="Q101" s="505"/>
      <c r="R101" s="505"/>
      <c r="S101" s="505"/>
      <c r="T101" s="505"/>
      <c r="U101" s="505"/>
      <c r="V101" s="505"/>
      <c r="W101" s="505"/>
      <c r="X101" s="505"/>
      <c r="Y101" s="506"/>
      <c r="Z101" s="263"/>
      <c r="AA101" s="1"/>
      <c r="AC101" s="277"/>
    </row>
    <row r="102" spans="2:29" ht="18" x14ac:dyDescent="0.55000000000000004">
      <c r="B102" s="1"/>
      <c r="C102" s="258"/>
      <c r="P102" s="504"/>
      <c r="Q102" s="505"/>
      <c r="R102" s="505"/>
      <c r="S102" s="505"/>
      <c r="T102" s="505"/>
      <c r="U102" s="505"/>
      <c r="V102" s="505"/>
      <c r="W102" s="505"/>
      <c r="X102" s="505"/>
      <c r="Y102" s="506"/>
      <c r="Z102" s="263"/>
      <c r="AA102" s="1"/>
      <c r="AC102" s="277"/>
    </row>
    <row r="103" spans="2:29" ht="18" x14ac:dyDescent="0.55000000000000004">
      <c r="B103" s="1"/>
      <c r="C103" s="258"/>
      <c r="P103" s="504"/>
      <c r="Q103" s="505"/>
      <c r="R103" s="505"/>
      <c r="S103" s="505"/>
      <c r="T103" s="505"/>
      <c r="U103" s="505"/>
      <c r="V103" s="505"/>
      <c r="W103" s="505"/>
      <c r="X103" s="505"/>
      <c r="Y103" s="506"/>
      <c r="Z103" s="263"/>
      <c r="AA103" s="1"/>
      <c r="AC103" s="277"/>
    </row>
    <row r="104" spans="2:29" ht="18" x14ac:dyDescent="0.55000000000000004">
      <c r="B104" s="1"/>
      <c r="C104" s="258"/>
      <c r="P104" s="504"/>
      <c r="Q104" s="505"/>
      <c r="R104" s="505"/>
      <c r="S104" s="505"/>
      <c r="T104" s="505"/>
      <c r="U104" s="505"/>
      <c r="V104" s="505"/>
      <c r="W104" s="505"/>
      <c r="X104" s="505"/>
      <c r="Y104" s="506"/>
      <c r="Z104" s="263"/>
      <c r="AA104" s="1"/>
      <c r="AC104" s="277"/>
    </row>
    <row r="105" spans="2:29" ht="18" x14ac:dyDescent="0.55000000000000004">
      <c r="B105" s="1"/>
      <c r="C105" s="258"/>
      <c r="P105" s="504"/>
      <c r="Q105" s="505"/>
      <c r="R105" s="505"/>
      <c r="S105" s="505"/>
      <c r="T105" s="505"/>
      <c r="U105" s="505"/>
      <c r="V105" s="505"/>
      <c r="W105" s="505"/>
      <c r="X105" s="505"/>
      <c r="Y105" s="506"/>
      <c r="Z105" s="263"/>
      <c r="AA105" s="1"/>
      <c r="AC105" s="277"/>
    </row>
    <row r="106" spans="2:29" ht="18" x14ac:dyDescent="0.55000000000000004">
      <c r="B106" s="1"/>
      <c r="C106" s="258"/>
      <c r="P106" s="504"/>
      <c r="Q106" s="505"/>
      <c r="R106" s="505"/>
      <c r="S106" s="505"/>
      <c r="T106" s="505"/>
      <c r="U106" s="505"/>
      <c r="V106" s="505"/>
      <c r="W106" s="505"/>
      <c r="X106" s="505"/>
      <c r="Y106" s="506"/>
      <c r="Z106" s="263"/>
      <c r="AA106" s="1"/>
      <c r="AC106" s="277"/>
    </row>
    <row r="107" spans="2:29" ht="18" x14ac:dyDescent="0.55000000000000004">
      <c r="B107" s="1"/>
      <c r="C107" s="258"/>
      <c r="P107" s="504"/>
      <c r="Q107" s="505"/>
      <c r="R107" s="505"/>
      <c r="S107" s="505"/>
      <c r="T107" s="505"/>
      <c r="U107" s="505"/>
      <c r="V107" s="505"/>
      <c r="W107" s="505"/>
      <c r="X107" s="505"/>
      <c r="Y107" s="506"/>
      <c r="Z107" s="263"/>
      <c r="AA107" s="1"/>
      <c r="AC107" s="277"/>
    </row>
    <row r="108" spans="2:29" ht="18" x14ac:dyDescent="0.55000000000000004">
      <c r="B108" s="1"/>
      <c r="C108" s="258"/>
      <c r="P108" s="504"/>
      <c r="Q108" s="505"/>
      <c r="R108" s="505"/>
      <c r="S108" s="505"/>
      <c r="T108" s="505"/>
      <c r="U108" s="505"/>
      <c r="V108" s="505"/>
      <c r="W108" s="505"/>
      <c r="X108" s="505"/>
      <c r="Y108" s="506"/>
      <c r="Z108" s="263"/>
      <c r="AA108" s="1"/>
      <c r="AC108" s="277"/>
    </row>
    <row r="109" spans="2:29" ht="18" x14ac:dyDescent="0.55000000000000004">
      <c r="B109" s="1"/>
      <c r="C109" s="258"/>
      <c r="P109" s="504"/>
      <c r="Q109" s="505"/>
      <c r="R109" s="505"/>
      <c r="S109" s="505"/>
      <c r="T109" s="505"/>
      <c r="U109" s="505"/>
      <c r="V109" s="505"/>
      <c r="W109" s="505"/>
      <c r="X109" s="505"/>
      <c r="Y109" s="506"/>
      <c r="Z109" s="263"/>
      <c r="AA109" s="1"/>
      <c r="AC109" s="277"/>
    </row>
    <row r="110" spans="2:29" ht="18" x14ac:dyDescent="0.55000000000000004">
      <c r="B110" s="1"/>
      <c r="C110" s="258"/>
      <c r="D110" s="268" t="s">
        <v>872</v>
      </c>
      <c r="E110" s="274">
        <v>46003</v>
      </c>
      <c r="F110" s="274">
        <v>46010</v>
      </c>
      <c r="G110" s="275" t="s">
        <v>871</v>
      </c>
      <c r="I110" s="273"/>
      <c r="J110" s="268" t="s">
        <v>872</v>
      </c>
      <c r="K110" s="274">
        <v>46003</v>
      </c>
      <c r="L110" s="274">
        <v>46010</v>
      </c>
      <c r="M110" s="275" t="s">
        <v>871</v>
      </c>
      <c r="P110" s="504"/>
      <c r="Q110" s="505"/>
      <c r="R110" s="505"/>
      <c r="S110" s="505"/>
      <c r="T110" s="505"/>
      <c r="U110" s="505"/>
      <c r="V110" s="505"/>
      <c r="W110" s="505"/>
      <c r="X110" s="505"/>
      <c r="Y110" s="506"/>
      <c r="Z110" s="263"/>
      <c r="AA110" s="1"/>
      <c r="AC110" s="277"/>
    </row>
    <row r="111" spans="2:29" ht="18" x14ac:dyDescent="0.55000000000000004">
      <c r="B111" s="1"/>
      <c r="C111" s="258"/>
      <c r="D111" s="269" t="s">
        <v>796</v>
      </c>
      <c r="E111" s="289">
        <f>COUNTIFS('2. Status Detalhe Campos'!B:B,"B90.00",'2. Status Detalhe Campos'!C:C,"Loan Tape",'2. Status Detalhe Campos'!J:J,"Por iniciar")</f>
        <v>0</v>
      </c>
      <c r="F111" s="289">
        <f>COUNTIFS('2. Status Detalhe Campos'!B:B,"B90.00",'2. Status Detalhe Campos'!C:C,"Loan Tape",'2. Status Detalhe Campos'!I:I,"Por iniciar")</f>
        <v>0</v>
      </c>
      <c r="G111" s="289">
        <f>+F111-E111</f>
        <v>0</v>
      </c>
      <c r="H111" s="375" t="e">
        <f>+IF(F111=0,NA(),F111)</f>
        <v>#N/A</v>
      </c>
      <c r="I111" s="273"/>
      <c r="J111" s="269" t="s">
        <v>796</v>
      </c>
      <c r="K111" s="292">
        <f>COUNTIFS('2. Status Detalhe Campos'!B:B,"B90.00",'2. Status Detalhe Campos'!C:C,"Tabela Output",'2. Status Detalhe Campos'!J:J,"Por iniciar")</f>
        <v>0</v>
      </c>
      <c r="L111" s="292">
        <f>COUNTIFS('2. Status Detalhe Campos'!B:B,"B90.00",'2. Status Detalhe Campos'!C:C,"Tabela Output",'2. Status Detalhe Campos'!I:I,"Por iniciar")</f>
        <v>0</v>
      </c>
      <c r="M111" s="292">
        <f>+L111-K111</f>
        <v>0</v>
      </c>
      <c r="N111" s="375" t="e">
        <f>+IF(L111=0,NA(),L111)</f>
        <v>#N/A</v>
      </c>
      <c r="P111" s="504"/>
      <c r="Q111" s="505"/>
      <c r="R111" s="505"/>
      <c r="S111" s="505"/>
      <c r="T111" s="505"/>
      <c r="U111" s="505"/>
      <c r="V111" s="505"/>
      <c r="W111" s="505"/>
      <c r="X111" s="505"/>
      <c r="Y111" s="506"/>
      <c r="Z111" s="263"/>
      <c r="AA111" s="1"/>
      <c r="AC111" s="277"/>
    </row>
    <row r="112" spans="2:29" ht="18" x14ac:dyDescent="0.55000000000000004">
      <c r="B112" s="1"/>
      <c r="C112" s="258"/>
      <c r="D112" s="269" t="s">
        <v>231</v>
      </c>
      <c r="E112" s="289">
        <f>COUNTIFS('2. Status Detalhe Campos'!B:B,"B90.00",'2. Status Detalhe Campos'!C:C,"Loan Tape",'2. Status Detalhe Campos'!J:J,"Em curso")</f>
        <v>0</v>
      </c>
      <c r="F112" s="289">
        <f>COUNTIFS('2. Status Detalhe Campos'!B:B,"B90.00",'2. Status Detalhe Campos'!C:C,"Loan Tape",'2. Status Detalhe Campos'!I:I,"Em curso")</f>
        <v>0</v>
      </c>
      <c r="G112" s="289">
        <f t="shared" ref="G112:G115" si="13">+F112-E112</f>
        <v>0</v>
      </c>
      <c r="H112" s="375" t="e">
        <f t="shared" ref="H112:H115" si="14">+IF(F112=0,NA(),F112)</f>
        <v>#N/A</v>
      </c>
      <c r="I112" s="273"/>
      <c r="J112" s="269" t="s">
        <v>231</v>
      </c>
      <c r="K112" s="292">
        <f>COUNTIFS('2. Status Detalhe Campos'!B:B,"B90.00",'2. Status Detalhe Campos'!C:C,"Tabela Output",'2. Status Detalhe Campos'!J:J,"Em curso")</f>
        <v>0</v>
      </c>
      <c r="L112" s="292">
        <f>COUNTIFS('2. Status Detalhe Campos'!B:B,"B90.00",'2. Status Detalhe Campos'!C:C,"Tabela Output",'2. Status Detalhe Campos'!I:I,"Em curso")</f>
        <v>0</v>
      </c>
      <c r="M112" s="292">
        <f t="shared" ref="M112:M115" si="15">+L112-K112</f>
        <v>0</v>
      </c>
      <c r="N112" s="375" t="e">
        <f t="shared" ref="N112:N115" si="16">+IF(L112=0,NA(),L112)</f>
        <v>#N/A</v>
      </c>
      <c r="P112" s="504"/>
      <c r="Q112" s="505"/>
      <c r="R112" s="505"/>
      <c r="S112" s="505"/>
      <c r="T112" s="505"/>
      <c r="U112" s="505"/>
      <c r="V112" s="505"/>
      <c r="W112" s="505"/>
      <c r="X112" s="505"/>
      <c r="Y112" s="506"/>
      <c r="Z112" s="263"/>
      <c r="AA112" s="1"/>
      <c r="AC112" s="278"/>
    </row>
    <row r="113" spans="2:27" ht="18" x14ac:dyDescent="0.55000000000000004">
      <c r="B113" s="1"/>
      <c r="C113" s="258"/>
      <c r="D113" s="269" t="s">
        <v>867</v>
      </c>
      <c r="E113" s="289">
        <f>COUNTIFS('2. Status Detalhe Campos'!B:B,"B90.00",'2. Status Detalhe Campos'!C:C,"Loan Tape",'2. Status Detalhe Campos'!J:J,"Concluído")</f>
        <v>7</v>
      </c>
      <c r="F113" s="289">
        <f>COUNTIFS('2. Status Detalhe Campos'!B:B,"B90.00",'2. Status Detalhe Campos'!C:C,"Loan Tape",'2. Status Detalhe Campos'!I:I,"Concluído")</f>
        <v>7</v>
      </c>
      <c r="G113" s="289">
        <f t="shared" si="13"/>
        <v>0</v>
      </c>
      <c r="H113" s="375">
        <f t="shared" si="14"/>
        <v>7</v>
      </c>
      <c r="I113" s="273"/>
      <c r="J113" s="269" t="s">
        <v>867</v>
      </c>
      <c r="K113" s="292">
        <f>COUNTIFS('2. Status Detalhe Campos'!B:B,"B90.00",'2. Status Detalhe Campos'!C:C,"Tabela Output",'2. Status Detalhe Campos'!J:J,"Concluído")</f>
        <v>8</v>
      </c>
      <c r="L113" s="292">
        <f>COUNTIFS('2. Status Detalhe Campos'!B:B,"B90.00",'2. Status Detalhe Campos'!C:C,"Tabela Output",'2. Status Detalhe Campos'!I:I,"Concluído")</f>
        <v>7</v>
      </c>
      <c r="M113" s="292">
        <f t="shared" si="15"/>
        <v>-1</v>
      </c>
      <c r="N113" s="375">
        <f t="shared" si="16"/>
        <v>7</v>
      </c>
      <c r="P113" s="504"/>
      <c r="Q113" s="505"/>
      <c r="R113" s="505"/>
      <c r="S113" s="505"/>
      <c r="T113" s="505"/>
      <c r="U113" s="505"/>
      <c r="V113" s="505"/>
      <c r="W113" s="505"/>
      <c r="X113" s="505"/>
      <c r="Y113" s="506"/>
      <c r="Z113" s="263"/>
      <c r="AA113" s="1"/>
    </row>
    <row r="114" spans="2:27" ht="18" x14ac:dyDescent="0.55000000000000004">
      <c r="B114" s="1"/>
      <c r="C114" s="258"/>
      <c r="D114" s="269" t="s">
        <v>873</v>
      </c>
      <c r="E114" s="290">
        <f>COUNTIFS('2. Status Detalhe Campos'!B:B,"B90.00",'2. Status Detalhe Campos'!C:C,"Loan Tape",'2. Status Detalhe Campos'!J:J,"Pendente de desenvolv.")</f>
        <v>1</v>
      </c>
      <c r="F114" s="290">
        <f>COUNTIFS('2. Status Detalhe Campos'!B:B,"B90.00",'2. Status Detalhe Campos'!C:C,"Loan Tape",'2. Status Detalhe Campos'!I:I,"Pendente de desenvolv.")</f>
        <v>0</v>
      </c>
      <c r="G114" s="290">
        <f t="shared" si="13"/>
        <v>-1</v>
      </c>
      <c r="H114" s="375" t="e">
        <f t="shared" si="14"/>
        <v>#N/A</v>
      </c>
      <c r="I114" s="273"/>
      <c r="J114" s="269" t="s">
        <v>873</v>
      </c>
      <c r="K114" s="293">
        <f>COUNTIFS('2. Status Detalhe Campos'!B:B,"B90.00",'2. Status Detalhe Campos'!C:C,"Tabela Output",'2. Status Detalhe Campos'!J:J,"Pendente de desenvolv.")</f>
        <v>2</v>
      </c>
      <c r="L114" s="293">
        <f>COUNTIFS('2. Status Detalhe Campos'!B:B,"B90.00",'2. Status Detalhe Campos'!C:C,"Tabela Output",'2. Status Detalhe Campos'!I:I,"Pendente de desenvolv.")</f>
        <v>0</v>
      </c>
      <c r="M114" s="293">
        <f t="shared" si="15"/>
        <v>-2</v>
      </c>
      <c r="N114" s="375" t="e">
        <f t="shared" si="16"/>
        <v>#N/A</v>
      </c>
      <c r="P114" s="504"/>
      <c r="Q114" s="505"/>
      <c r="R114" s="505"/>
      <c r="S114" s="505"/>
      <c r="T114" s="505"/>
      <c r="U114" s="505"/>
      <c r="V114" s="505"/>
      <c r="W114" s="505"/>
      <c r="X114" s="505"/>
      <c r="Y114" s="506"/>
      <c r="Z114" s="263"/>
      <c r="AA114" s="1"/>
    </row>
    <row r="115" spans="2:27" ht="18" x14ac:dyDescent="0.55000000000000004">
      <c r="B115" s="1"/>
      <c r="C115" s="258"/>
      <c r="D115" s="270" t="s">
        <v>869</v>
      </c>
      <c r="E115" s="291">
        <f>COUNTIFS('2. Status Detalhe Campos'!B:B,"B90.00",'2. Status Detalhe Campos'!C:C,"Loan Tape",'2. Status Detalhe Campos'!J:J,"Com incidências")</f>
        <v>3</v>
      </c>
      <c r="F115" s="291">
        <f>COUNTIFS('2. Status Detalhe Campos'!B:B,"B90.00",'2. Status Detalhe Campos'!C:C,"Loan Tape",'2. Status Detalhe Campos'!I:I,"Com incidências")</f>
        <v>4</v>
      </c>
      <c r="G115" s="291">
        <f t="shared" si="13"/>
        <v>1</v>
      </c>
      <c r="H115" s="375">
        <f t="shared" si="14"/>
        <v>4</v>
      </c>
      <c r="I115" s="273"/>
      <c r="J115" s="270" t="s">
        <v>869</v>
      </c>
      <c r="K115" s="294">
        <f>COUNTIFS('2. Status Detalhe Campos'!B:B,"B90.00",'2. Status Detalhe Campos'!C:C,"Tabela Output",'2. Status Detalhe Campos'!J:J,"Com incidências")</f>
        <v>1</v>
      </c>
      <c r="L115" s="294">
        <f>COUNTIFS('2. Status Detalhe Campos'!B:B,"B90.00",'2. Status Detalhe Campos'!C:C,"Tabela Output",'2. Status Detalhe Campos'!I:I,"Com incidências")</f>
        <v>4</v>
      </c>
      <c r="M115" s="294">
        <f t="shared" si="15"/>
        <v>3</v>
      </c>
      <c r="N115" s="375">
        <f t="shared" si="16"/>
        <v>4</v>
      </c>
      <c r="P115" s="504"/>
      <c r="Q115" s="505"/>
      <c r="R115" s="505"/>
      <c r="S115" s="505"/>
      <c r="T115" s="505"/>
      <c r="U115" s="505"/>
      <c r="V115" s="505"/>
      <c r="W115" s="505"/>
      <c r="X115" s="505"/>
      <c r="Y115" s="506"/>
      <c r="Z115" s="263"/>
      <c r="AA115" s="1"/>
    </row>
    <row r="116" spans="2:27" ht="18" x14ac:dyDescent="0.55000000000000004">
      <c r="B116" s="1"/>
      <c r="C116" s="258"/>
      <c r="D116" s="271" t="s">
        <v>864</v>
      </c>
      <c r="E116" s="272">
        <f>SUM(E111:E115)</f>
        <v>11</v>
      </c>
      <c r="F116" s="272">
        <f t="shared" ref="F116" si="17">SUM(F111:F115)</f>
        <v>11</v>
      </c>
      <c r="G116" s="272">
        <f t="shared" ref="G116" si="18">SUM(G111:G115)</f>
        <v>0</v>
      </c>
      <c r="I116" s="273"/>
      <c r="J116" s="271" t="s">
        <v>864</v>
      </c>
      <c r="K116" s="272">
        <f>SUM(K111:K115)</f>
        <v>11</v>
      </c>
      <c r="L116" s="272">
        <f>SUM(L111:L115)</f>
        <v>11</v>
      </c>
      <c r="M116" s="272">
        <f>SUM(M111:M115)</f>
        <v>0</v>
      </c>
      <c r="P116" s="507"/>
      <c r="Q116" s="508"/>
      <c r="R116" s="508"/>
      <c r="S116" s="508"/>
      <c r="T116" s="508"/>
      <c r="U116" s="508"/>
      <c r="V116" s="508"/>
      <c r="W116" s="508"/>
      <c r="X116" s="508"/>
      <c r="Y116" s="509"/>
      <c r="Z116" s="263"/>
      <c r="AA116" s="1"/>
    </row>
    <row r="117" spans="2:27" ht="18" x14ac:dyDescent="0.55000000000000004">
      <c r="B117" s="1"/>
      <c r="C117" s="260"/>
      <c r="D117" s="261"/>
      <c r="E117" s="261"/>
      <c r="F117" s="261"/>
      <c r="G117" s="261"/>
      <c r="H117" s="261"/>
      <c r="I117" s="261"/>
      <c r="J117" s="261"/>
      <c r="K117" s="261"/>
      <c r="L117" s="261"/>
      <c r="M117" s="261"/>
      <c r="N117" s="261"/>
      <c r="O117" s="261"/>
      <c r="P117" s="261"/>
      <c r="Q117" s="261"/>
      <c r="R117" s="261"/>
      <c r="S117" s="261"/>
      <c r="T117" s="261"/>
      <c r="U117" s="261"/>
      <c r="V117" s="261"/>
      <c r="W117" s="261"/>
      <c r="X117" s="261"/>
      <c r="Y117" s="261"/>
      <c r="Z117" s="264"/>
      <c r="AA117" s="1"/>
    </row>
    <row r="118" spans="2:27" ht="18" x14ac:dyDescent="0.55000000000000004">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2:27" ht="18" x14ac:dyDescent="0.55000000000000004">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2:27" ht="18" x14ac:dyDescent="0.55000000000000004">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2:27" ht="18" x14ac:dyDescent="0.55000000000000004">
      <c r="B121" s="319"/>
      <c r="C121" s="251"/>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62"/>
      <c r="AA121" s="319"/>
    </row>
    <row r="122" spans="2:27" ht="18" x14ac:dyDescent="0.55000000000000004">
      <c r="B122" s="319"/>
      <c r="C122" s="253"/>
      <c r="D122" s="254"/>
      <c r="E122" s="254"/>
      <c r="F122" s="254"/>
      <c r="G122" s="254"/>
      <c r="H122" s="254"/>
      <c r="I122" s="254"/>
      <c r="J122" s="254"/>
      <c r="K122" s="254"/>
      <c r="L122" s="254"/>
      <c r="M122" s="254"/>
      <c r="N122" s="254"/>
      <c r="O122" s="254"/>
      <c r="P122" s="254"/>
      <c r="Q122" s="254"/>
      <c r="R122" s="254"/>
      <c r="S122" s="254"/>
      <c r="T122" s="254"/>
      <c r="U122" s="254"/>
      <c r="V122" s="254"/>
      <c r="W122" s="2"/>
      <c r="X122" s="2"/>
      <c r="Y122" s="2"/>
      <c r="Z122" s="263"/>
      <c r="AA122" s="319"/>
    </row>
    <row r="123" spans="2:27" ht="18" x14ac:dyDescent="0.55000000000000004">
      <c r="B123" s="319"/>
      <c r="C123" s="253"/>
      <c r="D123" s="254"/>
      <c r="E123" s="254"/>
      <c r="F123" s="254"/>
      <c r="G123" s="254"/>
      <c r="H123" s="254"/>
      <c r="I123" s="254"/>
      <c r="J123" s="254"/>
      <c r="K123" s="254"/>
      <c r="M123" s="254"/>
      <c r="N123" s="254"/>
      <c r="O123" s="254"/>
      <c r="P123" s="254"/>
      <c r="Q123" s="254"/>
      <c r="R123" s="254"/>
      <c r="S123" s="2"/>
      <c r="T123" s="2"/>
      <c r="U123" s="2"/>
      <c r="Z123" s="263"/>
      <c r="AA123" s="319"/>
    </row>
    <row r="124" spans="2:27" ht="18" x14ac:dyDescent="0.55000000000000004">
      <c r="B124" s="319"/>
      <c r="C124" s="253"/>
      <c r="D124" s="494" t="s">
        <v>1412</v>
      </c>
      <c r="E124" s="494"/>
      <c r="F124" s="494"/>
      <c r="G124" s="494"/>
      <c r="H124" s="494"/>
      <c r="I124" s="494"/>
      <c r="J124" s="254"/>
      <c r="K124" s="254"/>
      <c r="L124" s="254"/>
      <c r="M124" s="320"/>
      <c r="N124" s="320"/>
      <c r="O124" s="320"/>
      <c r="P124" s="265" t="s">
        <v>868</v>
      </c>
      <c r="Q124" s="320"/>
      <c r="R124" s="320"/>
      <c r="S124" s="320"/>
      <c r="T124" s="320"/>
      <c r="U124" s="320"/>
      <c r="V124" s="320"/>
      <c r="W124" s="320"/>
      <c r="X124" s="320"/>
      <c r="Y124" s="254"/>
      <c r="Z124" s="263"/>
      <c r="AA124" s="319"/>
    </row>
    <row r="125" spans="2:27" ht="5.15" customHeight="1" x14ac:dyDescent="0.55000000000000004">
      <c r="B125" s="319"/>
      <c r="C125" s="253"/>
      <c r="D125" s="318"/>
      <c r="E125" s="318"/>
      <c r="F125" s="318"/>
      <c r="G125" s="318"/>
      <c r="H125" s="318"/>
      <c r="I125" s="318"/>
      <c r="J125" s="2"/>
      <c r="K125" s="254"/>
      <c r="L125" s="254"/>
      <c r="M125" s="320"/>
      <c r="N125" s="320"/>
      <c r="O125" s="320"/>
      <c r="P125" s="501" t="s">
        <v>1437</v>
      </c>
      <c r="Q125" s="502"/>
      <c r="R125" s="502"/>
      <c r="S125" s="502"/>
      <c r="T125" s="502"/>
      <c r="U125" s="502"/>
      <c r="V125" s="502"/>
      <c r="W125" s="502"/>
      <c r="X125" s="502"/>
      <c r="Y125" s="503"/>
      <c r="Z125" s="263"/>
      <c r="AA125" s="319"/>
    </row>
    <row r="126" spans="2:27" ht="18" customHeight="1" x14ac:dyDescent="0.55000000000000004">
      <c r="B126" s="319"/>
      <c r="C126" s="253"/>
      <c r="D126" s="546" t="s">
        <v>875</v>
      </c>
      <c r="E126" s="329"/>
      <c r="F126" s="495" t="s">
        <v>878</v>
      </c>
      <c r="G126" s="497" t="s">
        <v>1403</v>
      </c>
      <c r="H126" s="492" t="s">
        <v>1353</v>
      </c>
      <c r="I126" s="499" t="s">
        <v>879</v>
      </c>
      <c r="J126" s="367" t="s">
        <v>880</v>
      </c>
      <c r="K126" s="367"/>
      <c r="L126" s="495" t="s">
        <v>109</v>
      </c>
      <c r="M126" s="510"/>
      <c r="N126" s="511"/>
      <c r="P126" s="504"/>
      <c r="Q126" s="505"/>
      <c r="R126" s="505"/>
      <c r="S126" s="505"/>
      <c r="T126" s="505"/>
      <c r="U126" s="505"/>
      <c r="V126" s="505"/>
      <c r="W126" s="505"/>
      <c r="X126" s="505"/>
      <c r="Y126" s="506"/>
      <c r="Z126" s="263"/>
      <c r="AA126" s="319"/>
    </row>
    <row r="127" spans="2:27" ht="34.4" customHeight="1" x14ac:dyDescent="0.55000000000000004">
      <c r="B127" s="319"/>
      <c r="C127" s="253"/>
      <c r="D127" s="547"/>
      <c r="E127" s="321"/>
      <c r="F127" s="496"/>
      <c r="G127" s="498"/>
      <c r="H127" s="493"/>
      <c r="I127" s="500"/>
      <c r="J127" s="330" t="s">
        <v>892</v>
      </c>
      <c r="K127" s="445" t="s">
        <v>893</v>
      </c>
      <c r="L127" s="512"/>
      <c r="M127" s="512"/>
      <c r="N127" s="513"/>
      <c r="P127" s="504"/>
      <c r="Q127" s="505"/>
      <c r="R127" s="505"/>
      <c r="S127" s="505"/>
      <c r="T127" s="505"/>
      <c r="U127" s="505"/>
      <c r="V127" s="505"/>
      <c r="W127" s="505"/>
      <c r="X127" s="505"/>
      <c r="Y127" s="506"/>
      <c r="Z127" s="263"/>
      <c r="AA127" s="319"/>
    </row>
    <row r="128" spans="2:27" ht="18.5" x14ac:dyDescent="0.55000000000000004">
      <c r="B128" s="319"/>
      <c r="C128" s="253"/>
      <c r="D128" s="332" t="s">
        <v>0</v>
      </c>
      <c r="E128" s="333"/>
      <c r="F128" s="334">
        <f>+SUM(F129,F132,F135)</f>
        <v>156</v>
      </c>
      <c r="G128" s="335">
        <f>+SUM(G129,G132,G135)/$F$128</f>
        <v>0</v>
      </c>
      <c r="H128" s="335">
        <f>+SUM(H129,H132,H135)/$F$128</f>
        <v>3.2051282051282048E-2</v>
      </c>
      <c r="I128" s="335">
        <f t="shared" ref="I128:K128" si="19">+SUM(I129,I132,I135)/$F$128</f>
        <v>0.91025641025641024</v>
      </c>
      <c r="J128" s="335">
        <f t="shared" si="19"/>
        <v>1.9230769230769232E-2</v>
      </c>
      <c r="K128" s="335">
        <f t="shared" si="19"/>
        <v>3.8461538461538464E-2</v>
      </c>
      <c r="L128" s="334"/>
      <c r="M128" s="334"/>
      <c r="N128" s="447"/>
      <c r="P128" s="504"/>
      <c r="Q128" s="505"/>
      <c r="R128" s="505"/>
      <c r="S128" s="505"/>
      <c r="T128" s="505"/>
      <c r="U128" s="505"/>
      <c r="V128" s="505"/>
      <c r="W128" s="505"/>
      <c r="X128" s="505"/>
      <c r="Y128" s="506"/>
      <c r="Z128" s="263"/>
      <c r="AA128" s="319"/>
    </row>
    <row r="129" spans="2:27" ht="18.5" x14ac:dyDescent="0.55000000000000004">
      <c r="B129" s="319"/>
      <c r="C129" s="253"/>
      <c r="D129" s="351" t="s">
        <v>876</v>
      </c>
      <c r="E129" s="336"/>
      <c r="F129" s="468">
        <f>+SUM(F130:F131)</f>
        <v>39</v>
      </c>
      <c r="G129" s="464">
        <f>+F129-SUM(H129:K129)</f>
        <v>0</v>
      </c>
      <c r="H129" s="337">
        <f>+SUM(H130:H131)</f>
        <v>2</v>
      </c>
      <c r="I129" s="337">
        <f t="shared" ref="I129:K129" si="20">+SUM(I130:I131)</f>
        <v>37</v>
      </c>
      <c r="J129" s="337">
        <f t="shared" si="20"/>
        <v>0</v>
      </c>
      <c r="K129" s="337">
        <f t="shared" si="20"/>
        <v>0</v>
      </c>
      <c r="L129" s="474"/>
      <c r="M129" s="448"/>
      <c r="N129" s="348"/>
      <c r="P129" s="504"/>
      <c r="Q129" s="505"/>
      <c r="R129" s="505"/>
      <c r="S129" s="505"/>
      <c r="T129" s="505"/>
      <c r="U129" s="505"/>
      <c r="V129" s="505"/>
      <c r="W129" s="505"/>
      <c r="X129" s="505"/>
      <c r="Y129" s="506"/>
      <c r="Z129" s="263"/>
      <c r="AA129" s="319"/>
    </row>
    <row r="130" spans="2:27" ht="18" x14ac:dyDescent="0.55000000000000004">
      <c r="B130" s="319"/>
      <c r="C130" s="253"/>
      <c r="D130" s="353" t="s">
        <v>882</v>
      </c>
      <c r="E130" s="338"/>
      <c r="F130" s="469">
        <f>+COUNTIFS(Controlos!F:F,'1. Status Resumo'!$D$128,Controlos!D:D,"lvl1",Controlos!E:E,"h")</f>
        <v>30</v>
      </c>
      <c r="G130" s="465">
        <f>+F130-SUM(H130:K130)</f>
        <v>0</v>
      </c>
      <c r="H130" s="446">
        <f>+COUNTIFS(Controlos!F:F,'1. Status Resumo'!$D$128,Controlos!D:D,"lvl1",Controlos!E:E,"h",Controlos!J:J,"Em curso")</f>
        <v>2</v>
      </c>
      <c r="I130" s="339">
        <f>+COUNTIFS(Controlos!F:F,'1. Status Resumo'!$D$128,Controlos!D:D,"lvl1",Controlos!E:E,"h",Controlos!J:J,"Concluído")</f>
        <v>28</v>
      </c>
      <c r="J130" s="339">
        <f>+COUNTIFS(Controlos!F:F,'1. Status Resumo'!$D$128,Controlos!D:D,"lvl1",Controlos!E:E,"h",Controlos!J:J,"Com Incidências",Controlos!K:K,"")</f>
        <v>0</v>
      </c>
      <c r="K130" s="339">
        <f>+COUNTIFS(Controlos!F:F,'1. Status Resumo'!$D$128,Controlos!D:D,"lvl1",Controlos!E:E,"h",Controlos!J:J,"Com Incidências",Controlos!K:K,"&lt;&gt;")</f>
        <v>0</v>
      </c>
      <c r="L130" s="473" t="s">
        <v>1399</v>
      </c>
      <c r="M130" s="449"/>
      <c r="N130" s="346"/>
      <c r="P130" s="504"/>
      <c r="Q130" s="505"/>
      <c r="R130" s="505"/>
      <c r="S130" s="505"/>
      <c r="T130" s="505"/>
      <c r="U130" s="505"/>
      <c r="V130" s="505"/>
      <c r="W130" s="505"/>
      <c r="X130" s="505"/>
      <c r="Y130" s="506"/>
      <c r="Z130" s="263"/>
      <c r="AA130" s="319"/>
    </row>
    <row r="131" spans="2:27" ht="18" x14ac:dyDescent="0.55000000000000004">
      <c r="B131" s="319"/>
      <c r="C131" s="253"/>
      <c r="D131" s="354" t="s">
        <v>883</v>
      </c>
      <c r="E131" s="340"/>
      <c r="F131" s="470">
        <f>+COUNTIFS(Controlos!F:F,'1. Status Resumo'!$D$128,Controlos!D:D,"lvl1",Controlos!E:E,"w")</f>
        <v>9</v>
      </c>
      <c r="G131" s="466">
        <f t="shared" ref="G131:G135" si="21">+F131-SUM(H131:K131)</f>
        <v>0</v>
      </c>
      <c r="H131" s="341">
        <f>+COUNTIFS(Controlos!F:F,'1. Status Resumo'!$D$128,Controlos!D:D,"lvl1",Controlos!E:E,"w",Controlos!J:J,"Em curso")</f>
        <v>0</v>
      </c>
      <c r="I131" s="341">
        <f>+COUNTIFS(Controlos!F:F,'1. Status Resumo'!$D$128,Controlos!D:D,"lvl1",Controlos!E:E,"w",Controlos!J:J,"Concluído")</f>
        <v>9</v>
      </c>
      <c r="J131" s="341">
        <f>+COUNTIFS(Controlos!F:F,'1. Status Resumo'!$D$128,Controlos!D:D,"lvl1",Controlos!E:E,"w",Controlos!J:J,"Com Incidências",Controlos!K:K,"")</f>
        <v>0</v>
      </c>
      <c r="K131" s="341">
        <f>+COUNTIFS(Controlos!F:F,'1. Status Resumo'!$D$128,Controlos!D:D,"lvl1",Controlos!E:E,"w",Controlos!J:J,"Com Incidências",Controlos!K:K,"&lt;&gt;")</f>
        <v>0</v>
      </c>
      <c r="L131" s="475"/>
      <c r="M131" s="450"/>
      <c r="N131" s="347"/>
      <c r="P131" s="504"/>
      <c r="Q131" s="505"/>
      <c r="R131" s="505"/>
      <c r="S131" s="505"/>
      <c r="T131" s="505"/>
      <c r="U131" s="505"/>
      <c r="V131" s="505"/>
      <c r="W131" s="505"/>
      <c r="X131" s="505"/>
      <c r="Y131" s="506"/>
      <c r="Z131" s="263"/>
      <c r="AA131" s="319"/>
    </row>
    <row r="132" spans="2:27" ht="18.5" x14ac:dyDescent="0.55000000000000004">
      <c r="B132" s="319"/>
      <c r="C132" s="253"/>
      <c r="D132" s="351" t="s">
        <v>877</v>
      </c>
      <c r="E132" s="336"/>
      <c r="F132" s="468">
        <f>+SUM(F133:F134)</f>
        <v>36</v>
      </c>
      <c r="G132" s="464">
        <f t="shared" si="21"/>
        <v>0</v>
      </c>
      <c r="H132" s="337">
        <f>+SUM(H133:H134)</f>
        <v>3</v>
      </c>
      <c r="I132" s="337">
        <f t="shared" ref="I132:K132" si="22">+SUM(I133:I134)</f>
        <v>31</v>
      </c>
      <c r="J132" s="337">
        <f t="shared" si="22"/>
        <v>2</v>
      </c>
      <c r="K132" s="337">
        <f t="shared" si="22"/>
        <v>0</v>
      </c>
      <c r="L132" s="474"/>
      <c r="M132" s="448"/>
      <c r="N132" s="348"/>
      <c r="P132" s="504"/>
      <c r="Q132" s="505"/>
      <c r="R132" s="505"/>
      <c r="S132" s="505"/>
      <c r="T132" s="505"/>
      <c r="U132" s="505"/>
      <c r="V132" s="505"/>
      <c r="W132" s="505"/>
      <c r="X132" s="505"/>
      <c r="Y132" s="506"/>
      <c r="Z132" s="263"/>
      <c r="AA132" s="319"/>
    </row>
    <row r="133" spans="2:27" ht="18" x14ac:dyDescent="0.55000000000000004">
      <c r="B133" s="319"/>
      <c r="C133" s="253"/>
      <c r="D133" s="353" t="s">
        <v>882</v>
      </c>
      <c r="E133" s="338"/>
      <c r="F133" s="469">
        <f>+COUNTIFS(Controlos!F:F,'1. Status Resumo'!$D$128,Controlos!D:D,"lvl2",Controlos!E:E,"h")</f>
        <v>33</v>
      </c>
      <c r="G133" s="465">
        <f t="shared" si="21"/>
        <v>0</v>
      </c>
      <c r="H133" s="446">
        <f>+COUNTIFS(Controlos!F:F,'1. Status Resumo'!$D$128,Controlos!D:D,"lvl2",Controlos!E:E,"h",Controlos!J:J,"Em curso")</f>
        <v>3</v>
      </c>
      <c r="I133" s="339">
        <f>+COUNTIFS(Controlos!F:F,'1. Status Resumo'!$D$128,Controlos!D:D,"lvl2",Controlos!E:E,"h",Controlos!J:J,"Concluído")</f>
        <v>28</v>
      </c>
      <c r="J133" s="339">
        <f>+COUNTIFS(Controlos!F:F,'1. Status Resumo'!$D$128,Controlos!D:D,"lvl2",Controlos!E:E,"h",Controlos!J:J,"Com Incidências",Controlos!K:K,"")</f>
        <v>2</v>
      </c>
      <c r="K133" s="339">
        <f>+COUNTIFS(Controlos!F:F,'1. Status Resumo'!$D$128,Controlos!D:D,"lvl2",Controlos!E:E,"h",Controlos!J:J,"Com Incidências",Controlos!K:K,"&lt;&gt;")</f>
        <v>0</v>
      </c>
      <c r="L133" s="473" t="s">
        <v>1413</v>
      </c>
      <c r="M133" s="449"/>
      <c r="N133" s="346"/>
      <c r="P133" s="504"/>
      <c r="Q133" s="505"/>
      <c r="R133" s="505"/>
      <c r="S133" s="505"/>
      <c r="T133" s="505"/>
      <c r="U133" s="505"/>
      <c r="V133" s="505"/>
      <c r="W133" s="505"/>
      <c r="X133" s="505"/>
      <c r="Y133" s="506"/>
      <c r="Z133" s="263"/>
      <c r="AA133" s="319"/>
    </row>
    <row r="134" spans="2:27" ht="18" x14ac:dyDescent="0.55000000000000004">
      <c r="B134" s="319"/>
      <c r="C134" s="253"/>
      <c r="D134" s="354" t="s">
        <v>883</v>
      </c>
      <c r="E134" s="340"/>
      <c r="F134" s="470">
        <f>+COUNTIFS(Controlos!F:F,'1. Status Resumo'!$D$128,Controlos!D:D,"lvl2",Controlos!E:E,"w")</f>
        <v>3</v>
      </c>
      <c r="G134" s="466">
        <f t="shared" si="21"/>
        <v>0</v>
      </c>
      <c r="H134" s="341">
        <f>+COUNTIFS(Controlos!F:F,'1. Status Resumo'!$D$128,Controlos!D:D,"lvl2",Controlos!E:E,"w",Controlos!J:J,"Em curso")</f>
        <v>0</v>
      </c>
      <c r="I134" s="341">
        <f>+COUNTIFS(Controlos!F:F,'1. Status Resumo'!$D$128,Controlos!D:D,"lvl2",Controlos!E:E,"w",Controlos!J:J,"Concluído")</f>
        <v>3</v>
      </c>
      <c r="J134" s="341">
        <f>+COUNTIFS(Controlos!F:F,'1. Status Resumo'!$D$128,Controlos!D:D,"lvl2",Controlos!E:E,"w",Controlos!J:J,"Com Incidências",Controlos!K:K,"")</f>
        <v>0</v>
      </c>
      <c r="K134" s="341">
        <f>+COUNTIFS(Controlos!F:F,'1. Status Resumo'!$D$128,Controlos!D:D,"lvl2",Controlos!E:E,"w",Controlos!J:J,"Com Incidências",Controlos!K:K,"&lt;&gt;")</f>
        <v>0</v>
      </c>
      <c r="L134" s="475"/>
      <c r="M134" s="450"/>
      <c r="N134" s="347"/>
      <c r="P134" s="504"/>
      <c r="Q134" s="505"/>
      <c r="R134" s="505"/>
      <c r="S134" s="505"/>
      <c r="T134" s="505"/>
      <c r="U134" s="505"/>
      <c r="V134" s="505"/>
      <c r="W134" s="505"/>
      <c r="X134" s="505"/>
      <c r="Y134" s="506"/>
      <c r="Z134" s="263"/>
      <c r="AA134" s="319"/>
    </row>
    <row r="135" spans="2:27" ht="18.5" x14ac:dyDescent="0.55000000000000004">
      <c r="B135" s="319"/>
      <c r="C135" s="253"/>
      <c r="D135" s="352" t="s">
        <v>881</v>
      </c>
      <c r="E135" s="342"/>
      <c r="F135" s="471">
        <f>+COUNTIFS(Controlos!F:F,$D$128,Controlos!D:D,"frmt")</f>
        <v>81</v>
      </c>
      <c r="G135" s="467">
        <f t="shared" si="21"/>
        <v>0</v>
      </c>
      <c r="H135" s="343">
        <f>+COUNTIFS(Controlos!F:F,'1. Status Resumo'!$D$128,Controlos!D:D,"frmt",Controlos!J:J,"Em curso")</f>
        <v>0</v>
      </c>
      <c r="I135" s="343">
        <f>+COUNTIFS(Controlos!F:F,'1. Status Resumo'!$D$128,Controlos!D:D,"frmt",Controlos!J:J,"Concluído")</f>
        <v>74</v>
      </c>
      <c r="J135" s="343">
        <f>+COUNTIFS(Controlos!F:F,'1. Status Resumo'!$D$128,Controlos!D:D,"frmt",Controlos!J:J,"Com Incidências",Controlos!K:K,"")</f>
        <v>1</v>
      </c>
      <c r="K135" s="343">
        <f>+COUNTIFS(Controlos!F:F,'1. Status Resumo'!$D$128,Controlos!D:D,"frmt",Controlos!E:E,"f",Controlos!J:J,"Com Incidências",Controlos!K:K,"&lt;&gt;")</f>
        <v>6</v>
      </c>
      <c r="L135" s="366" t="s">
        <v>1379</v>
      </c>
      <c r="M135" s="451"/>
      <c r="N135" s="350"/>
      <c r="P135" s="504"/>
      <c r="Q135" s="505"/>
      <c r="R135" s="505"/>
      <c r="S135" s="505"/>
      <c r="T135" s="505"/>
      <c r="U135" s="505"/>
      <c r="V135" s="505"/>
      <c r="W135" s="505"/>
      <c r="X135" s="505"/>
      <c r="Y135" s="506"/>
      <c r="Z135" s="263"/>
      <c r="AA135" s="319"/>
    </row>
    <row r="136" spans="2:27" ht="18.5" x14ac:dyDescent="0.55000000000000004">
      <c r="B136" s="319"/>
      <c r="C136" s="253"/>
      <c r="D136" s="332" t="s">
        <v>813</v>
      </c>
      <c r="E136" s="344"/>
      <c r="F136" s="334">
        <f>+SUM(F137,F140,F143)</f>
        <v>19</v>
      </c>
      <c r="G136" s="335">
        <f>+SUM(G137,G140,G143)/$F$136</f>
        <v>0.10526315789473684</v>
      </c>
      <c r="H136" s="335">
        <f>+SUM(H137,H140,H143)/$F$136</f>
        <v>0</v>
      </c>
      <c r="I136" s="335">
        <f>+SUM(I137,I140,I143)/$F$136</f>
        <v>0.78947368421052633</v>
      </c>
      <c r="J136" s="335">
        <f>+SUM(J137,J140,J143)/$F$136</f>
        <v>0</v>
      </c>
      <c r="K136" s="335">
        <f>+SUM(K137,K140,K143)/$F$136</f>
        <v>0.10526315789473684</v>
      </c>
      <c r="L136" s="476"/>
      <c r="M136" s="349"/>
      <c r="N136" s="345"/>
      <c r="P136" s="504"/>
      <c r="Q136" s="505"/>
      <c r="R136" s="505"/>
      <c r="S136" s="505"/>
      <c r="T136" s="505"/>
      <c r="U136" s="505"/>
      <c r="V136" s="505"/>
      <c r="W136" s="505"/>
      <c r="X136" s="505"/>
      <c r="Y136" s="506"/>
      <c r="Z136" s="263"/>
      <c r="AA136" s="319"/>
    </row>
    <row r="137" spans="2:27" ht="18.5" x14ac:dyDescent="0.55000000000000004">
      <c r="B137" s="319"/>
      <c r="C137" s="253"/>
      <c r="D137" s="355" t="s">
        <v>876</v>
      </c>
      <c r="E137" s="336"/>
      <c r="F137" s="468">
        <f>+SUM(F138:F139)</f>
        <v>0</v>
      </c>
      <c r="G137" s="464">
        <f>+F137-SUM(H137:K137)</f>
        <v>0</v>
      </c>
      <c r="H137" s="337">
        <f>+SUM(H138:H139)</f>
        <v>0</v>
      </c>
      <c r="I137" s="337">
        <f t="shared" ref="I137:K137" si="23">+SUM(I138:I139)</f>
        <v>0</v>
      </c>
      <c r="J137" s="337">
        <f t="shared" si="23"/>
        <v>0</v>
      </c>
      <c r="K137" s="337">
        <f t="shared" si="23"/>
        <v>0</v>
      </c>
      <c r="L137" s="474"/>
      <c r="M137" s="448"/>
      <c r="N137" s="348"/>
      <c r="P137" s="504"/>
      <c r="Q137" s="505"/>
      <c r="R137" s="505"/>
      <c r="S137" s="505"/>
      <c r="T137" s="505"/>
      <c r="U137" s="505"/>
      <c r="V137" s="505"/>
      <c r="W137" s="505"/>
      <c r="X137" s="505"/>
      <c r="Y137" s="506"/>
      <c r="Z137" s="263"/>
      <c r="AA137" s="319"/>
    </row>
    <row r="138" spans="2:27" ht="18" x14ac:dyDescent="0.55000000000000004">
      <c r="B138" s="319"/>
      <c r="C138" s="253"/>
      <c r="D138" s="356" t="s">
        <v>882</v>
      </c>
      <c r="E138" s="338"/>
      <c r="F138" s="469">
        <f>+COUNTIFS(Controlos!F:F,$D$136,Controlos!D:D,"lvl1",Controlos!E:E,"h")</f>
        <v>0</v>
      </c>
      <c r="G138" s="465">
        <f>+F138-SUM(H138:K138)</f>
        <v>0</v>
      </c>
      <c r="H138" s="339">
        <f>+COUNTIFS(Controlos!F:F,$D$136,Controlos!D:D,"lvl1",Controlos!E:E,"h",Controlos!J:J,"Em curso")</f>
        <v>0</v>
      </c>
      <c r="I138" s="339">
        <f>+COUNTIFS(Controlos!F:F,$D$136,Controlos!D:D,"lvl1",Controlos!E:E,"h",Controlos!J:J,"Concluído")</f>
        <v>0</v>
      </c>
      <c r="J138" s="339">
        <f>+COUNTIFS(Controlos!F:F,'1. Status Resumo'!$D$136,Controlos!D:D,"lvl1",Controlos!E:E,"h",Controlos!J:J,"Com Incidências",Controlos!K:K,"")</f>
        <v>0</v>
      </c>
      <c r="K138" s="339">
        <f>+COUNTIFS(Controlos!F:F,'1. Status Resumo'!$D$136,Controlos!D:D,"lvl1",Controlos!E:E,"h",Controlos!J:J,"Com Incidências",Controlos!K:K,"&lt;&gt;")</f>
        <v>0</v>
      </c>
      <c r="L138" s="473"/>
      <c r="M138" s="449"/>
      <c r="N138" s="346"/>
      <c r="P138" s="504"/>
      <c r="Q138" s="505"/>
      <c r="R138" s="505"/>
      <c r="S138" s="505"/>
      <c r="T138" s="505"/>
      <c r="U138" s="505"/>
      <c r="V138" s="505"/>
      <c r="W138" s="505"/>
      <c r="X138" s="505"/>
      <c r="Y138" s="506"/>
      <c r="Z138" s="263"/>
      <c r="AA138" s="319"/>
    </row>
    <row r="139" spans="2:27" ht="18" x14ac:dyDescent="0.55000000000000004">
      <c r="B139" s="319"/>
      <c r="C139" s="253"/>
      <c r="D139" s="357" t="s">
        <v>883</v>
      </c>
      <c r="E139" s="340"/>
      <c r="F139" s="470">
        <f>+COUNTIFS(Controlos!F:F,$D$136,Controlos!D:D,"lvl1",Controlos!E:E,"w")</f>
        <v>0</v>
      </c>
      <c r="G139" s="466">
        <f t="shared" ref="G139:G143" si="24">+F139-SUM(H139:K139)</f>
        <v>0</v>
      </c>
      <c r="H139" s="341">
        <f>+COUNTIFS(Controlos!F:F,$D$136,Controlos!D:D,"lvl1",Controlos!E:E,"w",Controlos!J:J,"Em curso")</f>
        <v>0</v>
      </c>
      <c r="I139" s="341">
        <f>+COUNTIFS(Controlos!F:F,$D$136,Controlos!D:D,"lvl1",Controlos!E:E,"w",Controlos!J:J,"Concluído")</f>
        <v>0</v>
      </c>
      <c r="J139" s="341">
        <f>+COUNTIFS(Controlos!F:F,'1. Status Resumo'!$D$136,Controlos!D:D,"lvl1",Controlos!E:E,"w",Controlos!J:J,"Com Incidências",Controlos!K:K,"")</f>
        <v>0</v>
      </c>
      <c r="K139" s="341">
        <f>+COUNTIFS(Controlos!F:F,'1. Status Resumo'!$D$136,Controlos!D:D,"lvl1",Controlos!E:E,"w",Controlos!J:J,"Com Incidências",Controlos!K:K,"&lt;&gt;")</f>
        <v>0</v>
      </c>
      <c r="L139" s="475"/>
      <c r="M139" s="450"/>
      <c r="N139" s="347"/>
      <c r="P139" s="504"/>
      <c r="Q139" s="505"/>
      <c r="R139" s="505"/>
      <c r="S139" s="505"/>
      <c r="T139" s="505"/>
      <c r="U139" s="505"/>
      <c r="V139" s="505"/>
      <c r="W139" s="505"/>
      <c r="X139" s="505"/>
      <c r="Y139" s="506"/>
      <c r="Z139" s="263"/>
      <c r="AA139" s="319"/>
    </row>
    <row r="140" spans="2:27" ht="18.5" x14ac:dyDescent="0.55000000000000004">
      <c r="B140" s="319"/>
      <c r="C140" s="253"/>
      <c r="D140" s="355" t="s">
        <v>877</v>
      </c>
      <c r="E140" s="336"/>
      <c r="F140" s="468">
        <f>+SUM(F141:F142)</f>
        <v>5</v>
      </c>
      <c r="G140" s="464">
        <f t="shared" si="24"/>
        <v>1</v>
      </c>
      <c r="H140" s="337">
        <f>+SUM(H141:H142)</f>
        <v>0</v>
      </c>
      <c r="I140" s="337">
        <f t="shared" ref="I140:K140" si="25">+SUM(I141:I142)</f>
        <v>4</v>
      </c>
      <c r="J140" s="337">
        <f t="shared" si="25"/>
        <v>0</v>
      </c>
      <c r="K140" s="337">
        <f t="shared" si="25"/>
        <v>0</v>
      </c>
      <c r="L140" s="474"/>
      <c r="M140" s="448"/>
      <c r="N140" s="348"/>
      <c r="P140" s="504"/>
      <c r="Q140" s="505"/>
      <c r="R140" s="505"/>
      <c r="S140" s="505"/>
      <c r="T140" s="505"/>
      <c r="U140" s="505"/>
      <c r="V140" s="505"/>
      <c r="W140" s="505"/>
      <c r="X140" s="505"/>
      <c r="Y140" s="506"/>
      <c r="Z140" s="263"/>
      <c r="AA140" s="319"/>
    </row>
    <row r="141" spans="2:27" ht="18" x14ac:dyDescent="0.55000000000000004">
      <c r="B141" s="319"/>
      <c r="C141" s="253"/>
      <c r="D141" s="356" t="s">
        <v>882</v>
      </c>
      <c r="E141" s="338"/>
      <c r="F141" s="469">
        <f>+COUNTIFS(Controlos!F:F,$D$136,Controlos!D:D,"lvl2",Controlos!E:E,"h")</f>
        <v>5</v>
      </c>
      <c r="G141" s="465">
        <f t="shared" si="24"/>
        <v>1</v>
      </c>
      <c r="H141" s="339">
        <f>+COUNTIFS(Controlos!F:F,$D$136,Controlos!D:D,"lvl2",Controlos!E:E,"h",Controlos!J:J,"Em curso")</f>
        <v>0</v>
      </c>
      <c r="I141" s="339">
        <f>+COUNTIFS(Controlos!F:F,$D$136,Controlos!D:D,"lvl2",Controlos!E:E,"h",Controlos!J:J,"Concluído")</f>
        <v>4</v>
      </c>
      <c r="J141" s="339">
        <f>+COUNTIFS(Controlos!F:F,'1. Status Resumo'!$D$136,Controlos!D:D,"lvl2",Controlos!E:E,"h",Controlos!J:J,"Com Incidências",Controlos!K:K,"")</f>
        <v>0</v>
      </c>
      <c r="K141" s="339">
        <f>+COUNTIFS(Controlos!F:F,'1. Status Resumo'!$D$136,Controlos!D:D,"lvl2",Controlos!E:E,"h",Controlos!J:J,"Com Incidências",Controlos!K:K,"&lt;&gt;")</f>
        <v>0</v>
      </c>
      <c r="L141" s="473"/>
      <c r="M141" s="449"/>
      <c r="N141" s="346"/>
      <c r="P141" s="504"/>
      <c r="Q141" s="505"/>
      <c r="R141" s="505"/>
      <c r="S141" s="505"/>
      <c r="T141" s="505"/>
      <c r="U141" s="505"/>
      <c r="V141" s="505"/>
      <c r="W141" s="505"/>
      <c r="X141" s="505"/>
      <c r="Y141" s="506"/>
      <c r="Z141" s="263"/>
      <c r="AA141" s="319"/>
    </row>
    <row r="142" spans="2:27" ht="18" x14ac:dyDescent="0.55000000000000004">
      <c r="B142" s="319"/>
      <c r="C142" s="253"/>
      <c r="D142" s="357" t="s">
        <v>883</v>
      </c>
      <c r="E142" s="340"/>
      <c r="F142" s="470">
        <f>+COUNTIFS(Controlos!F:F,$D$136,Controlos!D:D,"lvl2",Controlos!E:E,"w")</f>
        <v>0</v>
      </c>
      <c r="G142" s="466">
        <f t="shared" si="24"/>
        <v>0</v>
      </c>
      <c r="H142" s="341">
        <f>+COUNTIFS(Controlos!F:F,$D$136,Controlos!D:D,"lvl2",Controlos!E:E,"w",Controlos!J:J,"Em curso")</f>
        <v>0</v>
      </c>
      <c r="I142" s="341">
        <f>+COUNTIFS(Controlos!F:F,$D$136,Controlos!D:D,"lvl2",Controlos!E:E,"w",Controlos!J:J,"Concluído")</f>
        <v>0</v>
      </c>
      <c r="J142" s="341">
        <f>+COUNTIFS(Controlos!F:F,'1. Status Resumo'!$D$136,Controlos!D:D,"lvl2",Controlos!E:E,"w",Controlos!J:J,"Com Incidências",Controlos!K:K,"")</f>
        <v>0</v>
      </c>
      <c r="K142" s="341">
        <f>+COUNTIFS(Controlos!F:F,'1. Status Resumo'!$D$136,Controlos!D:D,"lvl2",Controlos!E:E,"w",Controlos!J:J,"Com Incidências",Controlos!K:K,"&lt;&gt;")</f>
        <v>0</v>
      </c>
      <c r="L142" s="475"/>
      <c r="M142" s="450"/>
      <c r="N142" s="347"/>
      <c r="P142" s="504"/>
      <c r="Q142" s="505"/>
      <c r="R142" s="505"/>
      <c r="S142" s="505"/>
      <c r="T142" s="505"/>
      <c r="U142" s="505"/>
      <c r="V142" s="505"/>
      <c r="W142" s="505"/>
      <c r="X142" s="505"/>
      <c r="Y142" s="506"/>
      <c r="Z142" s="263"/>
      <c r="AA142" s="319"/>
    </row>
    <row r="143" spans="2:27" ht="18.5" x14ac:dyDescent="0.55000000000000004">
      <c r="B143" s="319"/>
      <c r="C143" s="253"/>
      <c r="D143" s="358" t="s">
        <v>881</v>
      </c>
      <c r="E143" s="342"/>
      <c r="F143" s="471">
        <f>+COUNTIFS(Controlos!F:F,$D$136,Controlos!D:D,"frmt")</f>
        <v>14</v>
      </c>
      <c r="G143" s="467">
        <f t="shared" si="24"/>
        <v>1</v>
      </c>
      <c r="H143" s="343">
        <f>+COUNTIFS(Controlos!F:F,$D$136,Controlos!D:D,"frmt",Controlos!J:J,"Em curso")</f>
        <v>0</v>
      </c>
      <c r="I143" s="343">
        <f>+COUNTIFS(Controlos!F:F,$D$136,Controlos!D:D,"frmt",Controlos!J:J,"Concluído")</f>
        <v>11</v>
      </c>
      <c r="J143" s="343">
        <f>+COUNTIFS(Controlos!F:F,'1. Status Resumo'!$D$136,Controlos!D:D,"frmt",Controlos!J:J,"Com Incidências",Controlos!K:K,"")</f>
        <v>0</v>
      </c>
      <c r="K143" s="343">
        <f>+COUNTIFS(Controlos!F:F,'1. Status Resumo'!$D$136,Controlos!D:D,"frmt",Controlos!J:J,"Com Incidências",Controlos!K:K,"&lt;&gt;")</f>
        <v>2</v>
      </c>
      <c r="L143" s="366" t="s">
        <v>1379</v>
      </c>
      <c r="M143" s="452"/>
      <c r="N143" s="350"/>
      <c r="P143" s="504"/>
      <c r="Q143" s="505"/>
      <c r="R143" s="505"/>
      <c r="S143" s="505"/>
      <c r="T143" s="505"/>
      <c r="U143" s="505"/>
      <c r="V143" s="505"/>
      <c r="W143" s="505"/>
      <c r="X143" s="505"/>
      <c r="Y143" s="506"/>
      <c r="Z143" s="263"/>
      <c r="AA143" s="319"/>
    </row>
    <row r="144" spans="2:27" ht="18.5" x14ac:dyDescent="0.55000000000000004">
      <c r="B144" s="319"/>
      <c r="C144" s="253"/>
      <c r="D144" s="332" t="s">
        <v>832</v>
      </c>
      <c r="E144" s="344"/>
      <c r="F144" s="334">
        <f>+SUM(F145,F148,F151)</f>
        <v>15</v>
      </c>
      <c r="G144" s="335">
        <f>+SUM(G145,G148,G151)/$F$144</f>
        <v>0</v>
      </c>
      <c r="H144" s="335">
        <f>+SUM(H145,H148,H151)/$F$144</f>
        <v>0</v>
      </c>
      <c r="I144" s="335">
        <f>+SUM(I145,I148,I151)/$F$144</f>
        <v>0.8</v>
      </c>
      <c r="J144" s="335">
        <f>+SUM(J145,J148,J151)/$F$144</f>
        <v>6.6666666666666666E-2</v>
      </c>
      <c r="K144" s="335">
        <f>+SUM(K145,K148,K151)/$F$144</f>
        <v>0.13333333333333333</v>
      </c>
      <c r="L144" s="476"/>
      <c r="M144" s="349"/>
      <c r="N144" s="345"/>
      <c r="P144" s="504"/>
      <c r="Q144" s="505"/>
      <c r="R144" s="505"/>
      <c r="S144" s="505"/>
      <c r="T144" s="505"/>
      <c r="U144" s="505"/>
      <c r="V144" s="505"/>
      <c r="W144" s="505"/>
      <c r="X144" s="505"/>
      <c r="Y144" s="506"/>
      <c r="Z144" s="263"/>
      <c r="AA144" s="319"/>
    </row>
    <row r="145" spans="2:27" ht="18.5" x14ac:dyDescent="0.55000000000000004">
      <c r="B145" s="319"/>
      <c r="C145" s="253"/>
      <c r="D145" s="355" t="s">
        <v>876</v>
      </c>
      <c r="E145" s="336"/>
      <c r="F145" s="468">
        <f>+SUM(F146:F147)</f>
        <v>1</v>
      </c>
      <c r="G145" s="464">
        <f>+F145-SUM(H145:K145)</f>
        <v>0</v>
      </c>
      <c r="H145" s="337">
        <f>+SUM(H146:H147)</f>
        <v>0</v>
      </c>
      <c r="I145" s="337">
        <f t="shared" ref="I145:K145" si="26">+SUM(I146:I147)</f>
        <v>1</v>
      </c>
      <c r="J145" s="337">
        <f t="shared" si="26"/>
        <v>0</v>
      </c>
      <c r="K145" s="337">
        <f t="shared" si="26"/>
        <v>0</v>
      </c>
      <c r="L145" s="474"/>
      <c r="M145" s="448"/>
      <c r="N145" s="348"/>
      <c r="P145" s="504"/>
      <c r="Q145" s="505"/>
      <c r="R145" s="505"/>
      <c r="S145" s="505"/>
      <c r="T145" s="505"/>
      <c r="U145" s="505"/>
      <c r="V145" s="505"/>
      <c r="W145" s="505"/>
      <c r="X145" s="505"/>
      <c r="Y145" s="506"/>
      <c r="Z145" s="263"/>
      <c r="AA145" s="319"/>
    </row>
    <row r="146" spans="2:27" ht="18" x14ac:dyDescent="0.55000000000000004">
      <c r="B146" s="319"/>
      <c r="C146" s="253"/>
      <c r="D146" s="356" t="s">
        <v>882</v>
      </c>
      <c r="E146" s="338"/>
      <c r="F146" s="469">
        <f>+COUNTIFS(Controlos!F:F,$D$144,Controlos!D:D,"lvl1",Controlos!E:E,"h")</f>
        <v>1</v>
      </c>
      <c r="G146" s="465">
        <f>+F146-SUM(H146:K146)</f>
        <v>0</v>
      </c>
      <c r="H146" s="339">
        <f>+COUNTIFS(Controlos!F:F,$D$144,Controlos!D:D,"lvl1",Controlos!E:E,"h",Controlos!J:J,"Em curso")</f>
        <v>0</v>
      </c>
      <c r="I146" s="339">
        <f>+COUNTIFS(Controlos!F:F,$D$144,Controlos!D:D,"lvl1",Controlos!E:E,"h",Controlos!J:J,"Concluído")</f>
        <v>1</v>
      </c>
      <c r="J146" s="339">
        <f>+COUNTIFS(Controlos!F:F,$D$144,Controlos!D:D,"lvl1",Controlos!E:E,"h",Controlos!J:J,"Com Incidências",Controlos!K:K,"")</f>
        <v>0</v>
      </c>
      <c r="K146" s="339">
        <f>+COUNTIFS(Controlos!F:F,$D$144,Controlos!D:D,"lvl1",Controlos!E:E,"h",Controlos!J:J,"Com Incidências",Controlos!K:K,"&lt;&gt;")</f>
        <v>0</v>
      </c>
      <c r="L146" s="473"/>
      <c r="M146" s="449"/>
      <c r="N146" s="346"/>
      <c r="P146" s="504"/>
      <c r="Q146" s="505"/>
      <c r="R146" s="505"/>
      <c r="S146" s="505"/>
      <c r="T146" s="505"/>
      <c r="U146" s="505"/>
      <c r="V146" s="505"/>
      <c r="W146" s="505"/>
      <c r="X146" s="505"/>
      <c r="Y146" s="506"/>
      <c r="Z146" s="263"/>
      <c r="AA146" s="319"/>
    </row>
    <row r="147" spans="2:27" ht="18" x14ac:dyDescent="0.55000000000000004">
      <c r="B147" s="319"/>
      <c r="C147" s="253"/>
      <c r="D147" s="357" t="s">
        <v>883</v>
      </c>
      <c r="E147" s="340"/>
      <c r="F147" s="470">
        <f>+COUNTIFS(Controlos!F:F,$D$144,Controlos!D:D,"lvl1",Controlos!E:E,"w")</f>
        <v>0</v>
      </c>
      <c r="G147" s="466">
        <f t="shared" ref="G147:G151" si="27">+F147-SUM(H147:K147)</f>
        <v>0</v>
      </c>
      <c r="H147" s="341">
        <f>+COUNTIFS(Controlos!F:F,$D$144,Controlos!D:D,"lvl1",Controlos!E:E,"w",Controlos!J:J,"Em curso")</f>
        <v>0</v>
      </c>
      <c r="I147" s="341">
        <f>+COUNTIFS(Controlos!F:F,$D$144,Controlos!D:D,"lvl1",Controlos!E:E,"w",Controlos!J:J,"Concluído")</f>
        <v>0</v>
      </c>
      <c r="J147" s="339">
        <f>+COUNTIFS(Controlos!F:F,$D$144,Controlos!D:D,"lvl1",Controlos!E:E,"w",Controlos!J:J,"Com Incidências",Controlos!K:K,"")</f>
        <v>0</v>
      </c>
      <c r="K147" s="341">
        <f>+COUNTIFS(Controlos!F:F,$D$144,Controlos!D:D,"lvl1",Controlos!E:E,"w",Controlos!J:J,"Com Incidências",Controlos!K:K,"&lt;&gt;")</f>
        <v>0</v>
      </c>
      <c r="L147" s="475"/>
      <c r="M147" s="450"/>
      <c r="N147" s="347"/>
      <c r="P147" s="504"/>
      <c r="Q147" s="505"/>
      <c r="R147" s="505"/>
      <c r="S147" s="505"/>
      <c r="T147" s="505"/>
      <c r="U147" s="505"/>
      <c r="V147" s="505"/>
      <c r="W147" s="505"/>
      <c r="X147" s="505"/>
      <c r="Y147" s="506"/>
      <c r="Z147" s="263"/>
      <c r="AA147" s="319"/>
    </row>
    <row r="148" spans="2:27" ht="18.5" x14ac:dyDescent="0.55000000000000004">
      <c r="B148" s="319"/>
      <c r="C148" s="253"/>
      <c r="D148" s="355" t="s">
        <v>877</v>
      </c>
      <c r="E148" s="336"/>
      <c r="F148" s="468">
        <f>+SUM(F149:F150)</f>
        <v>3</v>
      </c>
      <c r="G148" s="464">
        <f t="shared" si="27"/>
        <v>0</v>
      </c>
      <c r="H148" s="337">
        <f>+SUM(H149:H150)</f>
        <v>0</v>
      </c>
      <c r="I148" s="337">
        <f t="shared" ref="I148:K148" si="28">+SUM(I149:I150)</f>
        <v>2</v>
      </c>
      <c r="J148" s="337">
        <f t="shared" si="28"/>
        <v>0</v>
      </c>
      <c r="K148" s="337">
        <f t="shared" si="28"/>
        <v>1</v>
      </c>
      <c r="L148" s="474" t="s">
        <v>1379</v>
      </c>
      <c r="M148" s="448"/>
      <c r="N148" s="348"/>
      <c r="P148" s="504"/>
      <c r="Q148" s="505"/>
      <c r="R148" s="505"/>
      <c r="S148" s="505"/>
      <c r="T148" s="505"/>
      <c r="U148" s="505"/>
      <c r="V148" s="505"/>
      <c r="W148" s="505"/>
      <c r="X148" s="505"/>
      <c r="Y148" s="506"/>
      <c r="Z148" s="263"/>
      <c r="AA148" s="319"/>
    </row>
    <row r="149" spans="2:27" ht="17.399999999999999" customHeight="1" x14ac:dyDescent="0.55000000000000004">
      <c r="B149" s="319"/>
      <c r="C149" s="253"/>
      <c r="D149" s="356" t="s">
        <v>882</v>
      </c>
      <c r="E149" s="338"/>
      <c r="F149" s="469">
        <f>+COUNTIFS(Controlos!F:F,$D$144,Controlos!D:D,"lvl2",Controlos!E:E,"h")</f>
        <v>3</v>
      </c>
      <c r="G149" s="465">
        <f t="shared" si="27"/>
        <v>0</v>
      </c>
      <c r="H149" s="339">
        <f>+COUNTIFS(Controlos!F:F,$D$144,Controlos!D:D,"lvl2",Controlos!E:E,"h",Controlos!J:J,"Em curso")</f>
        <v>0</v>
      </c>
      <c r="I149" s="339">
        <f>+COUNTIFS(Controlos!F:F,$D$144,Controlos!D:D,"lvl2",Controlos!E:E,"h",Controlos!J:J,"Concluído")</f>
        <v>2</v>
      </c>
      <c r="J149" s="339">
        <f>+COUNTIFS(Controlos!F:F,$D$144,Controlos!D:D,"lvl2",Controlos!E:E,"h",Controlos!J:J,"Com Incidências",Controlos!K:K,"")</f>
        <v>0</v>
      </c>
      <c r="K149" s="339">
        <f>+COUNTIFS(Controlos!F:F,$D$144,Controlos!D:D,"lvl2",Controlos!E:E,"h",Controlos!J:J,"Com Incidências",Controlos!K:K,"&lt;&gt;")</f>
        <v>1</v>
      </c>
      <c r="L149" s="473"/>
      <c r="M149" s="449"/>
      <c r="N149" s="346"/>
      <c r="P149" s="504"/>
      <c r="Q149" s="505"/>
      <c r="R149" s="505"/>
      <c r="S149" s="505"/>
      <c r="T149" s="505"/>
      <c r="U149" s="505"/>
      <c r="V149" s="505"/>
      <c r="W149" s="505"/>
      <c r="X149" s="505"/>
      <c r="Y149" s="506"/>
      <c r="Z149" s="263"/>
      <c r="AA149" s="319"/>
    </row>
    <row r="150" spans="2:27" ht="18" x14ac:dyDescent="0.55000000000000004">
      <c r="B150" s="319"/>
      <c r="C150" s="253"/>
      <c r="D150" s="357" t="s">
        <v>883</v>
      </c>
      <c r="E150" s="340"/>
      <c r="F150" s="470">
        <f>+COUNTIFS(Controlos!F:F,$D$144,Controlos!D:D,"lvl2",Controlos!E:E,"2")</f>
        <v>0</v>
      </c>
      <c r="G150" s="466">
        <f t="shared" si="27"/>
        <v>0</v>
      </c>
      <c r="H150" s="341">
        <f>+COUNTIFS(Controlos!F:F,$D$144,Controlos!D:D,"lvl2",Controlos!E:E,"w",Controlos!J:J,"Em curso")</f>
        <v>0</v>
      </c>
      <c r="I150" s="341">
        <f>+COUNTIFS(Controlos!F:F,$D$144,Controlos!D:D,"lvl2",Controlos!E:E,"w",Controlos!J:J,"Concluído")</f>
        <v>0</v>
      </c>
      <c r="J150" s="341">
        <f>+COUNTIFS(Controlos!F:F,$D$144,Controlos!D:D,"lvl2",Controlos!E:E,"w",Controlos!J:J,"Com Incidências",Controlos!K:K,"")</f>
        <v>0</v>
      </c>
      <c r="K150" s="341">
        <f>+COUNTIFS(Controlos!F:F,$D$144,Controlos!D:D,"lvl2",Controlos!E:E,"w",Controlos!J:J,"Com Incidências",Controlos!K:K,"&lt;&gt;")</f>
        <v>0</v>
      </c>
      <c r="L150" s="475"/>
      <c r="M150" s="450"/>
      <c r="N150" s="347"/>
      <c r="P150" s="504"/>
      <c r="Q150" s="505"/>
      <c r="R150" s="505"/>
      <c r="S150" s="505"/>
      <c r="T150" s="505"/>
      <c r="U150" s="505"/>
      <c r="V150" s="505"/>
      <c r="W150" s="505"/>
      <c r="X150" s="505"/>
      <c r="Y150" s="506"/>
      <c r="Z150" s="263"/>
      <c r="AA150" s="319"/>
    </row>
    <row r="151" spans="2:27" ht="18.5" x14ac:dyDescent="0.55000000000000004">
      <c r="B151" s="319"/>
      <c r="C151" s="253"/>
      <c r="D151" s="453" t="s">
        <v>881</v>
      </c>
      <c r="E151" s="454"/>
      <c r="F151" s="468">
        <f>+COUNTIFS(Controlos!F:F,$D$144,Controlos!D:D,"frmt")</f>
        <v>11</v>
      </c>
      <c r="G151" s="472">
        <f t="shared" si="27"/>
        <v>0</v>
      </c>
      <c r="H151" s="455">
        <f>+COUNTIFS(Controlos!F:F,$D$144,Controlos!D:D,"frmt",Controlos!J:J,"Em curso")</f>
        <v>0</v>
      </c>
      <c r="I151" s="455">
        <f>+COUNTIFS(Controlos!F:F,$D$144,Controlos!D:D,"frmt",Controlos!J:J,"Concluído")</f>
        <v>9</v>
      </c>
      <c r="J151" s="455">
        <f>+COUNTIFS(Controlos!F:F,$D$144,Controlos!D:D,"frmt",Controlos!J:J,"Com Incidências",Controlos!K:K,"")</f>
        <v>1</v>
      </c>
      <c r="K151" s="455">
        <f>+COUNTIFS(Controlos!F:F,$D$144,Controlos!D:D,"frmt",Controlos!J:J,"Com Incidências",Controlos!K:K,"&lt;&gt;")</f>
        <v>1</v>
      </c>
      <c r="L151" s="366" t="s">
        <v>1379</v>
      </c>
      <c r="M151" s="456"/>
      <c r="N151" s="457"/>
      <c r="P151" s="504"/>
      <c r="Q151" s="505"/>
      <c r="R151" s="505"/>
      <c r="S151" s="505"/>
      <c r="T151" s="505"/>
      <c r="U151" s="505"/>
      <c r="V151" s="505"/>
      <c r="W151" s="505"/>
      <c r="X151" s="505"/>
      <c r="Y151" s="506"/>
      <c r="Z151" s="263"/>
      <c r="AA151" s="319"/>
    </row>
    <row r="152" spans="2:27" ht="18.5" x14ac:dyDescent="0.55000000000000004">
      <c r="B152" s="319"/>
      <c r="C152" s="253"/>
      <c r="D152" s="458" t="s">
        <v>864</v>
      </c>
      <c r="E152" s="459"/>
      <c r="F152" s="460">
        <f t="shared" ref="F152:K152" si="29">+SUM(F129,F132,F135,F137,F140,F143,F145,F148,F151)</f>
        <v>190</v>
      </c>
      <c r="G152" s="460">
        <f t="shared" si="29"/>
        <v>2</v>
      </c>
      <c r="H152" s="460">
        <f t="shared" si="29"/>
        <v>5</v>
      </c>
      <c r="I152" s="460">
        <f t="shared" si="29"/>
        <v>169</v>
      </c>
      <c r="J152" s="460">
        <f t="shared" si="29"/>
        <v>4</v>
      </c>
      <c r="K152" s="460">
        <f t="shared" si="29"/>
        <v>10</v>
      </c>
      <c r="L152" s="477"/>
      <c r="M152" s="461"/>
      <c r="N152" s="462"/>
      <c r="P152" s="504"/>
      <c r="Q152" s="505"/>
      <c r="R152" s="505"/>
      <c r="S152" s="505"/>
      <c r="T152" s="505"/>
      <c r="U152" s="505"/>
      <c r="V152" s="505"/>
      <c r="W152" s="505"/>
      <c r="X152" s="505"/>
      <c r="Y152" s="506"/>
      <c r="Z152" s="263"/>
      <c r="AA152" s="319"/>
    </row>
    <row r="153" spans="2:27" ht="18.5" x14ac:dyDescent="0.55000000000000004">
      <c r="B153" s="319"/>
      <c r="C153" s="253"/>
      <c r="D153" s="487"/>
      <c r="E153" s="487"/>
      <c r="F153" s="490"/>
      <c r="G153" s="490"/>
      <c r="H153" s="490"/>
      <c r="I153" s="490"/>
      <c r="J153" s="490"/>
      <c r="K153" s="490"/>
      <c r="L153" s="488"/>
      <c r="M153" s="489"/>
      <c r="N153" s="489"/>
      <c r="P153" s="504"/>
      <c r="Q153" s="505"/>
      <c r="R153" s="505"/>
      <c r="S153" s="505"/>
      <c r="T153" s="505"/>
      <c r="U153" s="505"/>
      <c r="V153" s="505"/>
      <c r="W153" s="505"/>
      <c r="X153" s="505"/>
      <c r="Y153" s="506"/>
      <c r="Z153" s="263"/>
      <c r="AA153" s="319"/>
    </row>
    <row r="154" spans="2:27" ht="18.5" x14ac:dyDescent="0.55000000000000004">
      <c r="B154" s="319"/>
      <c r="C154" s="253"/>
      <c r="D154" s="478"/>
      <c r="E154" s="478"/>
      <c r="F154" s="479"/>
      <c r="G154" s="479"/>
      <c r="H154" s="479"/>
      <c r="I154" s="479"/>
      <c r="J154" s="479"/>
      <c r="K154" s="479"/>
      <c r="L154" s="480"/>
      <c r="M154" s="481"/>
      <c r="N154" s="482"/>
      <c r="P154" s="504"/>
      <c r="Q154" s="505"/>
      <c r="R154" s="505"/>
      <c r="S154" s="505"/>
      <c r="T154" s="505"/>
      <c r="U154" s="505"/>
      <c r="V154" s="505"/>
      <c r="W154" s="505"/>
      <c r="X154" s="505"/>
      <c r="Y154" s="506"/>
      <c r="Z154" s="263"/>
      <c r="AA154" s="319"/>
    </row>
    <row r="155" spans="2:27" ht="18.5" x14ac:dyDescent="0.55000000000000004">
      <c r="B155" s="319"/>
      <c r="C155" s="253"/>
      <c r="D155" s="478"/>
      <c r="E155" s="478"/>
      <c r="F155" s="479"/>
      <c r="G155" s="479"/>
      <c r="H155" s="479"/>
      <c r="I155" s="479"/>
      <c r="J155" s="479"/>
      <c r="K155" s="479"/>
      <c r="L155" s="480"/>
      <c r="M155" s="481"/>
      <c r="N155" s="482"/>
      <c r="P155" s="504"/>
      <c r="Q155" s="505"/>
      <c r="R155" s="505"/>
      <c r="S155" s="505"/>
      <c r="T155" s="505"/>
      <c r="U155" s="505"/>
      <c r="V155" s="505"/>
      <c r="W155" s="505"/>
      <c r="X155" s="505"/>
      <c r="Y155" s="506"/>
      <c r="Z155" s="263"/>
      <c r="AA155" s="319"/>
    </row>
    <row r="156" spans="2:27" ht="18.5" x14ac:dyDescent="0.55000000000000004">
      <c r="B156" s="319"/>
      <c r="C156" s="253"/>
      <c r="D156" s="268" t="s">
        <v>1404</v>
      </c>
      <c r="E156" s="274">
        <v>45996</v>
      </c>
      <c r="F156" s="274">
        <v>46003</v>
      </c>
      <c r="G156" s="275" t="s">
        <v>871</v>
      </c>
      <c r="H156" s="479"/>
      <c r="I156" s="479"/>
      <c r="J156" s="479"/>
      <c r="K156" s="479"/>
      <c r="L156" s="480"/>
      <c r="M156" s="481"/>
      <c r="N156" s="482"/>
      <c r="P156" s="504"/>
      <c r="Q156" s="505"/>
      <c r="R156" s="505"/>
      <c r="S156" s="505"/>
      <c r="T156" s="505"/>
      <c r="U156" s="505"/>
      <c r="V156" s="505"/>
      <c r="W156" s="505"/>
      <c r="X156" s="505"/>
      <c r="Y156" s="506"/>
      <c r="Z156" s="263"/>
      <c r="AA156" s="319"/>
    </row>
    <row r="157" spans="2:27" ht="18.5" x14ac:dyDescent="0.55000000000000004">
      <c r="B157" s="319"/>
      <c r="C157" s="253"/>
      <c r="D157" s="269" t="s">
        <v>1405</v>
      </c>
      <c r="E157" s="289">
        <f>+E162-SUM(E158:E161)</f>
        <v>20</v>
      </c>
      <c r="F157" s="289">
        <f>+$G$152</f>
        <v>2</v>
      </c>
      <c r="G157" s="289">
        <f>+F157-E157</f>
        <v>-18</v>
      </c>
      <c r="H157" s="375">
        <f>+IF(F157=0,NA(),F157)</f>
        <v>2</v>
      </c>
      <c r="I157" s="484"/>
      <c r="J157" s="479"/>
      <c r="K157" s="479"/>
      <c r="L157" s="480"/>
      <c r="M157" s="481"/>
      <c r="N157" s="482"/>
      <c r="P157" s="504"/>
      <c r="Q157" s="505"/>
      <c r="R157" s="505"/>
      <c r="S157" s="505"/>
      <c r="T157" s="505"/>
      <c r="U157" s="505"/>
      <c r="V157" s="505"/>
      <c r="W157" s="505"/>
      <c r="X157" s="505"/>
      <c r="Y157" s="506"/>
      <c r="Z157" s="263"/>
      <c r="AA157" s="319"/>
    </row>
    <row r="158" spans="2:27" ht="18.5" x14ac:dyDescent="0.55000000000000004">
      <c r="B158" s="319"/>
      <c r="C158" s="253"/>
      <c r="D158" s="269" t="s">
        <v>231</v>
      </c>
      <c r="E158" s="289">
        <f>+COUNTIFS(Controlos!L:L,"Em curso")</f>
        <v>5</v>
      </c>
      <c r="F158" s="289">
        <f>+$H$152</f>
        <v>5</v>
      </c>
      <c r="G158" s="289">
        <f t="shared" ref="G158:G161" si="30">+F158-E158</f>
        <v>0</v>
      </c>
      <c r="H158" s="375">
        <f t="shared" ref="H158:H161" si="31">+IF(F158=0,NA(),F158)</f>
        <v>5</v>
      </c>
      <c r="I158" s="484"/>
      <c r="J158" s="479"/>
      <c r="K158" s="479"/>
      <c r="L158" s="480"/>
      <c r="M158" s="481"/>
      <c r="N158" s="482"/>
      <c r="P158" s="504"/>
      <c r="Q158" s="505"/>
      <c r="R158" s="505"/>
      <c r="S158" s="505"/>
      <c r="T158" s="505"/>
      <c r="U158" s="505"/>
      <c r="V158" s="505"/>
      <c r="W158" s="505"/>
      <c r="X158" s="505"/>
      <c r="Y158" s="506"/>
      <c r="Z158" s="263"/>
      <c r="AA158" s="319"/>
    </row>
    <row r="159" spans="2:27" ht="18.5" x14ac:dyDescent="0.55000000000000004">
      <c r="B159" s="319"/>
      <c r="C159" s="253"/>
      <c r="D159" s="269" t="s">
        <v>1400</v>
      </c>
      <c r="E159" s="289">
        <f>+COUNTIFS(Controlos!L:L,"Concluído")</f>
        <v>145</v>
      </c>
      <c r="F159" s="289">
        <f>+I152</f>
        <v>169</v>
      </c>
      <c r="G159" s="289">
        <f t="shared" si="30"/>
        <v>24</v>
      </c>
      <c r="H159" s="375">
        <f t="shared" si="31"/>
        <v>169</v>
      </c>
      <c r="I159" s="486"/>
      <c r="J159" s="479"/>
      <c r="K159" s="479"/>
      <c r="L159" s="480"/>
      <c r="M159" s="481"/>
      <c r="N159" s="482"/>
      <c r="P159" s="504"/>
      <c r="Q159" s="505"/>
      <c r="R159" s="505"/>
      <c r="S159" s="505"/>
      <c r="T159" s="505"/>
      <c r="U159" s="505"/>
      <c r="V159" s="505"/>
      <c r="W159" s="505"/>
      <c r="X159" s="505"/>
      <c r="Y159" s="506"/>
      <c r="Z159" s="263"/>
      <c r="AA159" s="319"/>
    </row>
    <row r="160" spans="2:27" ht="18.5" x14ac:dyDescent="0.55000000000000004">
      <c r="B160" s="319"/>
      <c r="C160" s="253"/>
      <c r="D160" s="269" t="s">
        <v>1402</v>
      </c>
      <c r="E160" s="290">
        <f>+COUNTIFS(Controlos!L:L,"Com Incidências",Controlos!M:M,"")</f>
        <v>10</v>
      </c>
      <c r="F160" s="290">
        <f>+J152</f>
        <v>4</v>
      </c>
      <c r="G160" s="290">
        <f t="shared" si="30"/>
        <v>-6</v>
      </c>
      <c r="H160" s="375">
        <f t="shared" si="31"/>
        <v>4</v>
      </c>
      <c r="I160" s="486"/>
      <c r="J160" s="479"/>
      <c r="K160" s="479"/>
      <c r="L160" s="480"/>
      <c r="M160" s="481"/>
      <c r="N160" s="482"/>
      <c r="P160" s="504"/>
      <c r="Q160" s="505"/>
      <c r="R160" s="505"/>
      <c r="S160" s="505"/>
      <c r="T160" s="505"/>
      <c r="U160" s="505"/>
      <c r="V160" s="505"/>
      <c r="W160" s="505"/>
      <c r="X160" s="505"/>
      <c r="Y160" s="506"/>
      <c r="Z160" s="263"/>
      <c r="AA160" s="319"/>
    </row>
    <row r="161" spans="2:27" ht="18.5" x14ac:dyDescent="0.55000000000000004">
      <c r="B161" s="319"/>
      <c r="C161" s="253"/>
      <c r="D161" s="270" t="s">
        <v>1401</v>
      </c>
      <c r="E161" s="291">
        <f>+COUNTIFS(Controlos!L:L,"Com Incidências",Controlos!M:M,"&lt;&gt;")</f>
        <v>10</v>
      </c>
      <c r="F161" s="291">
        <f>+K152</f>
        <v>10</v>
      </c>
      <c r="G161" s="291">
        <f t="shared" si="30"/>
        <v>0</v>
      </c>
      <c r="H161" s="375">
        <f t="shared" si="31"/>
        <v>10</v>
      </c>
      <c r="I161" s="479"/>
      <c r="J161" s="479"/>
      <c r="K161" s="479"/>
      <c r="L161" s="480"/>
      <c r="M161" s="481"/>
      <c r="N161" s="482"/>
      <c r="P161" s="504"/>
      <c r="Q161" s="505"/>
      <c r="R161" s="505"/>
      <c r="S161" s="505"/>
      <c r="T161" s="505"/>
      <c r="U161" s="505"/>
      <c r="V161" s="505"/>
      <c r="W161" s="505"/>
      <c r="X161" s="505"/>
      <c r="Y161" s="506"/>
      <c r="Z161" s="263"/>
      <c r="AA161" s="319"/>
    </row>
    <row r="162" spans="2:27" ht="18.5" x14ac:dyDescent="0.55000000000000004">
      <c r="B162" s="319"/>
      <c r="C162" s="253"/>
      <c r="D162" s="271" t="s">
        <v>864</v>
      </c>
      <c r="E162" s="272">
        <f>+COUNTIFS(Controlos!L:L,"&lt;&gt;")-1</f>
        <v>190</v>
      </c>
      <c r="F162" s="272">
        <f t="shared" ref="F162:G162" si="32">SUM(F157:F161)</f>
        <v>190</v>
      </c>
      <c r="G162" s="272">
        <f t="shared" si="32"/>
        <v>0</v>
      </c>
      <c r="H162" s="479"/>
      <c r="I162" s="479"/>
      <c r="J162" s="479"/>
      <c r="K162" s="479"/>
      <c r="L162" s="480"/>
      <c r="M162" s="481"/>
      <c r="N162" s="482"/>
      <c r="P162" s="504"/>
      <c r="Q162" s="505"/>
      <c r="R162" s="505"/>
      <c r="S162" s="505"/>
      <c r="T162" s="505"/>
      <c r="U162" s="505"/>
      <c r="V162" s="505"/>
      <c r="W162" s="505"/>
      <c r="X162" s="505"/>
      <c r="Y162" s="506"/>
      <c r="Z162" s="263"/>
      <c r="AA162" s="319"/>
    </row>
    <row r="163" spans="2:27" ht="18.5" x14ac:dyDescent="0.55000000000000004">
      <c r="B163" s="319"/>
      <c r="C163" s="253"/>
      <c r="I163" s="479"/>
      <c r="J163" s="479"/>
      <c r="K163" s="479"/>
      <c r="L163" s="480"/>
      <c r="M163" s="481"/>
      <c r="N163" s="482"/>
      <c r="P163" s="504"/>
      <c r="Q163" s="505"/>
      <c r="R163" s="505"/>
      <c r="S163" s="505"/>
      <c r="T163" s="505"/>
      <c r="U163" s="505"/>
      <c r="V163" s="505"/>
      <c r="W163" s="505"/>
      <c r="X163" s="505"/>
      <c r="Y163" s="506"/>
      <c r="Z163" s="263"/>
      <c r="AA163" s="319"/>
    </row>
    <row r="164" spans="2:27" ht="18.5" x14ac:dyDescent="0.55000000000000004">
      <c r="B164" s="319"/>
      <c r="C164" s="253"/>
      <c r="D164" s="478"/>
      <c r="E164" s="478"/>
      <c r="F164" s="479"/>
      <c r="G164" s="479"/>
      <c r="H164" s="479"/>
      <c r="I164" s="479"/>
      <c r="J164" s="479"/>
      <c r="K164" s="479"/>
      <c r="L164" s="480"/>
      <c r="M164" s="481"/>
      <c r="N164" s="482"/>
      <c r="P164" s="504"/>
      <c r="Q164" s="505"/>
      <c r="R164" s="505"/>
      <c r="S164" s="505"/>
      <c r="T164" s="505"/>
      <c r="U164" s="505"/>
      <c r="V164" s="505"/>
      <c r="W164" s="505"/>
      <c r="X164" s="505"/>
      <c r="Y164" s="506"/>
      <c r="Z164" s="263"/>
      <c r="AA164" s="319"/>
    </row>
    <row r="165" spans="2:27" ht="18.5" x14ac:dyDescent="0.55000000000000004">
      <c r="B165" s="319"/>
      <c r="C165" s="253"/>
      <c r="D165" s="478"/>
      <c r="E165" s="478"/>
      <c r="F165" s="479"/>
      <c r="G165" s="479"/>
      <c r="H165" s="479"/>
      <c r="I165" s="479"/>
      <c r="J165" s="479"/>
      <c r="K165" s="479"/>
      <c r="L165" s="480"/>
      <c r="M165" s="481"/>
      <c r="N165" s="482"/>
      <c r="P165" s="504"/>
      <c r="Q165" s="505"/>
      <c r="R165" s="505"/>
      <c r="S165" s="505"/>
      <c r="T165" s="505"/>
      <c r="U165" s="505"/>
      <c r="V165" s="505"/>
      <c r="W165" s="505"/>
      <c r="X165" s="505"/>
      <c r="Y165" s="506"/>
      <c r="Z165" s="263"/>
      <c r="AA165" s="319"/>
    </row>
    <row r="166" spans="2:27" ht="18.5" x14ac:dyDescent="0.55000000000000004">
      <c r="B166" s="319"/>
      <c r="C166" s="253"/>
      <c r="D166" s="478"/>
      <c r="E166" s="478"/>
      <c r="F166" s="479"/>
      <c r="G166" s="479"/>
      <c r="H166" s="479"/>
      <c r="I166" s="479"/>
      <c r="J166" s="479"/>
      <c r="K166" s="479"/>
      <c r="L166" s="480"/>
      <c r="M166" s="481"/>
      <c r="N166" s="482"/>
      <c r="P166" s="507"/>
      <c r="Q166" s="508"/>
      <c r="R166" s="508"/>
      <c r="S166" s="508"/>
      <c r="T166" s="508"/>
      <c r="U166" s="508"/>
      <c r="V166" s="508"/>
      <c r="W166" s="508"/>
      <c r="X166" s="508"/>
      <c r="Y166" s="509"/>
      <c r="Z166" s="263"/>
      <c r="AA166" s="319"/>
    </row>
    <row r="167" spans="2:27" ht="18.5" x14ac:dyDescent="0.55000000000000004">
      <c r="B167" s="319"/>
      <c r="C167" s="253"/>
      <c r="D167" s="478"/>
      <c r="E167" s="478"/>
      <c r="F167" s="479"/>
      <c r="G167" s="479"/>
      <c r="H167" s="479"/>
      <c r="I167" s="479"/>
      <c r="J167" s="479"/>
      <c r="K167" s="479"/>
      <c r="L167" s="480"/>
      <c r="M167" s="481"/>
      <c r="N167" s="482"/>
      <c r="P167" s="483"/>
      <c r="Q167" s="483"/>
      <c r="R167" s="483"/>
      <c r="S167" s="483"/>
      <c r="T167" s="483"/>
      <c r="U167" s="483"/>
      <c r="V167" s="483"/>
      <c r="W167" s="483"/>
      <c r="X167" s="483"/>
      <c r="Y167" s="483"/>
      <c r="Z167" s="263"/>
      <c r="AA167" s="319"/>
    </row>
    <row r="168" spans="2:27" ht="18" x14ac:dyDescent="0.55000000000000004">
      <c r="B168" s="319"/>
      <c r="C168" s="260"/>
      <c r="D168" s="261"/>
      <c r="E168" s="261"/>
      <c r="F168" s="261"/>
      <c r="G168" s="261"/>
      <c r="H168" s="261"/>
      <c r="I168" s="261"/>
      <c r="J168" s="261"/>
      <c r="K168" s="261"/>
      <c r="L168" s="261"/>
      <c r="M168" s="261"/>
      <c r="N168" s="261"/>
      <c r="O168" s="261"/>
      <c r="P168" s="261"/>
      <c r="Q168" s="261"/>
      <c r="R168" s="261"/>
      <c r="S168" s="261"/>
      <c r="T168" s="261"/>
      <c r="U168" s="261"/>
      <c r="V168" s="261"/>
      <c r="W168" s="261"/>
      <c r="X168" s="261"/>
      <c r="Y168" s="261"/>
      <c r="Z168" s="264"/>
      <c r="AA168" s="319"/>
    </row>
    <row r="169" spans="2:27" x14ac:dyDescent="0.35">
      <c r="B169" s="319"/>
      <c r="C169" s="319"/>
      <c r="D169" s="319"/>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c r="AA169" s="319"/>
    </row>
    <row r="170" spans="2:27" x14ac:dyDescent="0.35"/>
  </sheetData>
  <mergeCells count="21">
    <mergeCell ref="P125:Y166"/>
    <mergeCell ref="L126:N127"/>
    <mergeCell ref="D13:E14"/>
    <mergeCell ref="P97:Y116"/>
    <mergeCell ref="P46:Y65"/>
    <mergeCell ref="D26:E26"/>
    <mergeCell ref="D18:E18"/>
    <mergeCell ref="D22:E22"/>
    <mergeCell ref="D15:J15"/>
    <mergeCell ref="D19:J19"/>
    <mergeCell ref="D23:J23"/>
    <mergeCell ref="D30:E31"/>
    <mergeCell ref="F13:J13"/>
    <mergeCell ref="P72:Y91"/>
    <mergeCell ref="L12:Y35"/>
    <mergeCell ref="D126:D127"/>
    <mergeCell ref="H126:H127"/>
    <mergeCell ref="D124:I124"/>
    <mergeCell ref="F126:F127"/>
    <mergeCell ref="G126:G127"/>
    <mergeCell ref="I126:I127"/>
  </mergeCells>
  <pageMargins left="0.7" right="0.7" top="0.75" bottom="0.75" header="0.3" footer="0.3"/>
  <pageSetup paperSize="9" orientation="portrait" r:id="rId1"/>
  <ignoredErrors>
    <ignoredError sqref="F132 F144 F136" formulaRange="1"/>
    <ignoredError sqref="G129:G152"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J398"/>
  <sheetViews>
    <sheetView showGridLines="0" zoomScale="80" zoomScaleNormal="80" workbookViewId="0">
      <pane ySplit="7" topLeftCell="A8" activePane="bottomLeft" state="frozen"/>
      <selection pane="bottomLeft" activeCell="J67" sqref="J67"/>
    </sheetView>
  </sheetViews>
  <sheetFormatPr defaultColWidth="0" defaultRowHeight="14.5" x14ac:dyDescent="0.35"/>
  <cols>
    <col min="1" max="1" width="3.90625" style="108" customWidth="1"/>
    <col min="2" max="2" width="7.54296875" style="108" bestFit="1" customWidth="1"/>
    <col min="3" max="3" width="13.54296875" style="108" bestFit="1" customWidth="1"/>
    <col min="4" max="4" width="25.54296875" style="108" bestFit="1" customWidth="1"/>
    <col min="5" max="5" width="36" style="108" bestFit="1" customWidth="1"/>
    <col min="6" max="6" width="41" style="108" hidden="1" customWidth="1"/>
    <col min="7" max="8" width="24.453125" style="245" hidden="1" customWidth="1"/>
    <col min="9" max="9" width="20.453125" style="245" bestFit="1" customWidth="1"/>
    <col min="10" max="10" width="21.90625" style="245" bestFit="1" customWidth="1"/>
    <col min="11" max="11" width="25.453125" style="108" customWidth="1"/>
    <col min="12" max="12" width="19.453125" style="108" customWidth="1"/>
    <col min="13" max="13" width="25.453125" style="108" customWidth="1"/>
    <col min="14" max="14" width="3.90625" style="108" customWidth="1"/>
    <col min="15" max="15" width="24.54296875" style="108" hidden="1" customWidth="1"/>
    <col min="16" max="16" width="23.54296875" style="108" hidden="1" customWidth="1"/>
    <col min="17" max="17" width="32.54296875" style="108" hidden="1" customWidth="1"/>
    <col min="18" max="18" width="22" style="108" hidden="1" customWidth="1"/>
    <col min="19" max="19" width="15.54296875" style="108" hidden="1" customWidth="1"/>
    <col min="20" max="20" width="10.453125" style="108" hidden="1" customWidth="1"/>
    <col min="21" max="21" width="14.453125" style="108" hidden="1" customWidth="1"/>
    <col min="22" max="22" width="14.54296875" style="108" hidden="1" customWidth="1"/>
    <col min="23" max="23" width="6.453125" style="108" hidden="1" customWidth="1"/>
    <col min="24" max="24" width="3.54296875" style="108" hidden="1" customWidth="1"/>
    <col min="25" max="36" width="0" style="108" hidden="1" customWidth="1"/>
    <col min="37" max="16384" width="8.54296875" style="108" hidden="1"/>
  </cols>
  <sheetData>
    <row r="1" spans="1:23" s="109" customFormat="1" ht="10.4" customHeight="1" x14ac:dyDescent="0.35">
      <c r="A1" s="107"/>
      <c r="B1" s="107"/>
      <c r="C1" s="107"/>
      <c r="D1" s="107"/>
      <c r="E1" s="107"/>
      <c r="F1" s="107"/>
      <c r="G1" s="248"/>
      <c r="H1" s="248"/>
      <c r="I1" s="248"/>
      <c r="J1" s="248"/>
      <c r="K1" s="107"/>
      <c r="L1" s="107"/>
      <c r="M1" s="107"/>
      <c r="N1" s="107"/>
      <c r="O1" s="108"/>
      <c r="P1" s="108"/>
      <c r="Q1" s="108"/>
      <c r="R1" s="108"/>
      <c r="S1" s="108"/>
      <c r="T1" s="108"/>
      <c r="U1" s="108"/>
      <c r="V1" s="108"/>
      <c r="W1" s="108"/>
    </row>
    <row r="2" spans="1:23" s="109" customFormat="1" ht="13.4" customHeight="1" x14ac:dyDescent="0.35">
      <c r="A2" s="107"/>
      <c r="B2" s="107"/>
      <c r="C2" s="107"/>
      <c r="D2" s="107"/>
      <c r="E2" s="107"/>
      <c r="F2" s="107"/>
      <c r="G2" s="248"/>
      <c r="H2" s="248"/>
      <c r="I2" s="248"/>
      <c r="J2" s="248"/>
      <c r="K2" s="107"/>
      <c r="L2" s="107"/>
      <c r="M2" s="107"/>
      <c r="N2" s="107"/>
      <c r="O2" s="108"/>
      <c r="P2" s="108"/>
      <c r="Q2" s="108"/>
      <c r="R2" s="108"/>
      <c r="S2" s="108"/>
      <c r="T2" s="108"/>
      <c r="U2" s="108"/>
      <c r="V2" s="108"/>
      <c r="W2" s="108"/>
    </row>
    <row r="3" spans="1:23" s="109" customFormat="1" ht="13.4" customHeight="1" x14ac:dyDescent="0.35">
      <c r="A3" s="107"/>
      <c r="B3" s="107"/>
      <c r="C3" s="107"/>
      <c r="D3" s="107"/>
      <c r="E3" s="107"/>
      <c r="F3" s="107"/>
      <c r="G3" s="248"/>
      <c r="H3" s="248"/>
      <c r="I3" s="248"/>
      <c r="J3" s="248"/>
      <c r="K3" s="107"/>
      <c r="L3" s="107"/>
      <c r="M3" s="107"/>
      <c r="N3" s="107"/>
      <c r="O3" s="108"/>
      <c r="P3" s="108"/>
      <c r="Q3" s="108"/>
      <c r="R3" s="108"/>
      <c r="S3" s="108"/>
      <c r="T3" s="108"/>
      <c r="U3" s="108"/>
      <c r="V3" s="108"/>
      <c r="W3" s="108"/>
    </row>
    <row r="4" spans="1:23" s="109" customFormat="1" ht="10.4" customHeight="1" x14ac:dyDescent="0.35">
      <c r="A4" s="107"/>
      <c r="B4" s="107"/>
      <c r="C4" s="107"/>
      <c r="D4" s="107"/>
      <c r="E4" s="107"/>
      <c r="F4" s="107"/>
      <c r="G4" s="248"/>
      <c r="H4" s="248"/>
      <c r="I4" s="248"/>
      <c r="J4" s="248"/>
      <c r="K4" s="107"/>
      <c r="L4" s="107"/>
      <c r="M4" s="107"/>
      <c r="N4" s="107"/>
      <c r="O4" s="108"/>
      <c r="P4" s="108"/>
      <c r="Q4" s="108"/>
      <c r="R4" s="108"/>
      <c r="S4" s="108"/>
      <c r="T4" s="108"/>
      <c r="U4" s="108"/>
      <c r="V4" s="108"/>
      <c r="W4" s="108"/>
    </row>
    <row r="5" spans="1:23" s="109" customFormat="1" ht="2.9" customHeight="1" x14ac:dyDescent="0.35">
      <c r="A5" s="110"/>
      <c r="B5" s="110"/>
      <c r="C5" s="110"/>
      <c r="D5" s="110"/>
      <c r="E5" s="110"/>
      <c r="F5" s="110"/>
      <c r="G5" s="249"/>
      <c r="H5" s="249"/>
      <c r="I5" s="249"/>
      <c r="J5" s="249"/>
      <c r="K5" s="110"/>
      <c r="L5" s="110"/>
      <c r="M5" s="110"/>
      <c r="N5" s="110"/>
      <c r="O5" s="108"/>
      <c r="P5" s="108"/>
      <c r="Q5" s="108"/>
      <c r="R5" s="108"/>
      <c r="S5" s="108"/>
      <c r="T5" s="108"/>
      <c r="U5" s="108"/>
      <c r="V5" s="108"/>
      <c r="W5" s="108"/>
    </row>
    <row r="7" spans="1:23" ht="18" x14ac:dyDescent="0.35">
      <c r="A7" s="442" t="s">
        <v>189</v>
      </c>
      <c r="B7" s="4" t="s">
        <v>105</v>
      </c>
      <c r="C7" s="4" t="s">
        <v>106</v>
      </c>
      <c r="D7" s="4" t="s">
        <v>607</v>
      </c>
      <c r="E7" s="4" t="s">
        <v>113</v>
      </c>
      <c r="F7" s="4" t="s">
        <v>601</v>
      </c>
      <c r="G7" s="4" t="s">
        <v>112</v>
      </c>
      <c r="H7" s="4" t="s">
        <v>605</v>
      </c>
      <c r="I7" s="5" t="s">
        <v>110</v>
      </c>
      <c r="J7" s="6" t="s">
        <v>111</v>
      </c>
      <c r="K7" s="5" t="s">
        <v>107</v>
      </c>
      <c r="L7" s="5" t="s">
        <v>108</v>
      </c>
      <c r="M7" s="5" t="s">
        <v>109</v>
      </c>
    </row>
    <row r="8" spans="1:23" ht="16.5" x14ac:dyDescent="0.35">
      <c r="A8" s="442" t="str">
        <f t="shared" ref="A8:A71" si="0">+IF(C8="Loan Tape",LEFT(D8,5),B8)</f>
        <v>lt001</v>
      </c>
      <c r="B8" s="247" t="s">
        <v>0</v>
      </c>
      <c r="C8" s="247" t="s">
        <v>863</v>
      </c>
      <c r="D8" s="247" t="s">
        <v>1267</v>
      </c>
      <c r="E8" s="363" t="s">
        <v>1039</v>
      </c>
      <c r="F8" s="247" t="s">
        <v>154</v>
      </c>
      <c r="G8" s="250" t="s">
        <v>144</v>
      </c>
      <c r="H8" s="250" t="str">
        <f>+IF(C8="Controlos","Não aplicável",
IFERROR(VLOOKUP(A8&amp;"_"&amp;E8,Testes!A:Z,25,FALSE),"Não aplicável"))</f>
        <v>Concluído</v>
      </c>
      <c r="I8" s="250" t="str">
        <f>+IF(C8="Controlos",
IFERROR(VLOOKUP(E8,Controlos!B:J,9,FALSE),"Não aplicável"),
IFERROR(VLOOKUP(A8&amp;"_"&amp;E8,Testes!A:Z,26,FALSE),"Não aplicável"))</f>
        <v>Em curso</v>
      </c>
      <c r="J8" s="250" t="s">
        <v>144</v>
      </c>
      <c r="K8" s="247"/>
      <c r="L8" s="363"/>
      <c r="M8" s="363"/>
      <c r="N8" s="108">
        <f>+IF(I8=J8,0,1)</f>
        <v>1</v>
      </c>
    </row>
    <row r="9" spans="1:23" ht="16.5" hidden="1" x14ac:dyDescent="0.35">
      <c r="A9" s="442" t="str">
        <f t="shared" si="0"/>
        <v>lt001</v>
      </c>
      <c r="B9" s="247" t="s">
        <v>0</v>
      </c>
      <c r="C9" s="247" t="s">
        <v>863</v>
      </c>
      <c r="D9" s="247" t="s">
        <v>1267</v>
      </c>
      <c r="E9" s="363" t="s">
        <v>1040</v>
      </c>
      <c r="F9" s="247" t="s">
        <v>154</v>
      </c>
      <c r="G9" s="250" t="s">
        <v>144</v>
      </c>
      <c r="H9" s="250" t="str">
        <f>+IF(C9="Controlos","Não aplicável",
IFERROR(VLOOKUP(A9&amp;"_"&amp;E9,Testes!A:Z,25,FALSE),"Não aplicável"))</f>
        <v>Concluído</v>
      </c>
      <c r="I9" s="250" t="str">
        <f>+IF(C9="Controlos",
IFERROR(VLOOKUP(E9,Controlos!B:J,9,FALSE),"Não aplicável"),
IFERROR(VLOOKUP(A9&amp;"_"&amp;E9,Testes!A:Z,26,FALSE),"Não aplicável"))</f>
        <v>Concluído</v>
      </c>
      <c r="J9" s="250" t="s">
        <v>144</v>
      </c>
      <c r="K9" s="247"/>
      <c r="L9" s="363"/>
      <c r="M9" s="363"/>
      <c r="N9" s="108">
        <f t="shared" ref="N9:N72" si="1">+IF(I9=J9,0,1)</f>
        <v>0</v>
      </c>
    </row>
    <row r="10" spans="1:23" ht="16.5" hidden="1" x14ac:dyDescent="0.35">
      <c r="A10" s="442" t="str">
        <f t="shared" si="0"/>
        <v>lt001</v>
      </c>
      <c r="B10" s="247" t="s">
        <v>0</v>
      </c>
      <c r="C10" s="247" t="s">
        <v>863</v>
      </c>
      <c r="D10" s="247" t="s">
        <v>1267</v>
      </c>
      <c r="E10" s="363" t="s">
        <v>1041</v>
      </c>
      <c r="F10" s="247" t="s">
        <v>154</v>
      </c>
      <c r="G10" s="250" t="s">
        <v>144</v>
      </c>
      <c r="H10" s="250" t="str">
        <f>+IF(C10="Controlos","Não aplicável",
IFERROR(VLOOKUP(A10&amp;"_"&amp;E10,Testes!A:Z,25,FALSE),"Não aplicável"))</f>
        <v>Concluído</v>
      </c>
      <c r="I10" s="250" t="str">
        <f>+IF(C10="Controlos",
IFERROR(VLOOKUP(E10,Controlos!B:J,9,FALSE),"Não aplicável"),
IFERROR(VLOOKUP(A10&amp;"_"&amp;E10,Testes!A:Z,26,FALSE),"Não aplicável"))</f>
        <v>Concluído</v>
      </c>
      <c r="J10" s="250" t="s">
        <v>144</v>
      </c>
      <c r="K10" s="247"/>
      <c r="L10" s="363"/>
      <c r="M10" s="363"/>
      <c r="N10" s="108">
        <f t="shared" si="1"/>
        <v>0</v>
      </c>
    </row>
    <row r="11" spans="1:23" ht="16.5" hidden="1" x14ac:dyDescent="0.35">
      <c r="A11" s="442" t="str">
        <f t="shared" si="0"/>
        <v>lt001</v>
      </c>
      <c r="B11" s="247" t="s">
        <v>0</v>
      </c>
      <c r="C11" s="247" t="s">
        <v>863</v>
      </c>
      <c r="D11" s="247" t="s">
        <v>1267</v>
      </c>
      <c r="E11" s="363" t="s">
        <v>1042</v>
      </c>
      <c r="F11" s="247" t="s">
        <v>154</v>
      </c>
      <c r="G11" s="250" t="s">
        <v>144</v>
      </c>
      <c r="H11" s="250" t="str">
        <f>+IF(C11="Controlos","Não aplicável",
IFERROR(VLOOKUP(A11&amp;"_"&amp;E11,Testes!A:Z,25,FALSE),"Não aplicável"))</f>
        <v>Concluído</v>
      </c>
      <c r="I11" s="250" t="str">
        <f>+IF(C11="Controlos",
IFERROR(VLOOKUP(E11,Controlos!B:J,9,FALSE),"Não aplicável"),
IFERROR(VLOOKUP(A11&amp;"_"&amp;E11,Testes!A:Z,26,FALSE),"Não aplicável"))</f>
        <v>Concluído</v>
      </c>
      <c r="J11" s="250" t="s">
        <v>144</v>
      </c>
      <c r="K11" s="247"/>
      <c r="L11" s="363"/>
      <c r="M11" s="363"/>
      <c r="N11" s="108">
        <f t="shared" si="1"/>
        <v>0</v>
      </c>
    </row>
    <row r="12" spans="1:23" ht="16.5" hidden="1" x14ac:dyDescent="0.35">
      <c r="A12" s="442" t="str">
        <f t="shared" si="0"/>
        <v>lt002</v>
      </c>
      <c r="B12" s="247" t="s">
        <v>0</v>
      </c>
      <c r="C12" s="247" t="s">
        <v>863</v>
      </c>
      <c r="D12" s="247" t="s">
        <v>1</v>
      </c>
      <c r="E12" s="247" t="s">
        <v>104</v>
      </c>
      <c r="F12" s="247" t="s">
        <v>154</v>
      </c>
      <c r="G12" s="250" t="s">
        <v>144</v>
      </c>
      <c r="H12" s="250" t="str">
        <f>+IF(C12="Controlos","Não aplicável",
IFERROR(VLOOKUP(A12&amp;"_"&amp;E12,Testes!A:Z,25,FALSE),"Não aplicável"))</f>
        <v>Concluído</v>
      </c>
      <c r="I12" s="250" t="str">
        <f>+IF(C12="Controlos",
IFERROR(VLOOKUP(E12,Controlos!B:J,9,FALSE),"Não aplicável"),
IFERROR(VLOOKUP(A12&amp;"_"&amp;E12,Testes!A:Z,26,FALSE),"Não aplicável"))</f>
        <v>Concluído</v>
      </c>
      <c r="J12" s="250" t="s">
        <v>144</v>
      </c>
      <c r="K12" s="247" t="s">
        <v>912</v>
      </c>
      <c r="L12" s="247"/>
      <c r="M12" s="247"/>
      <c r="N12" s="108">
        <f t="shared" si="1"/>
        <v>0</v>
      </c>
    </row>
    <row r="13" spans="1:23" ht="16.5" hidden="1" x14ac:dyDescent="0.35">
      <c r="A13" s="442" t="str">
        <f t="shared" si="0"/>
        <v>lt002</v>
      </c>
      <c r="B13" s="247" t="s">
        <v>0</v>
      </c>
      <c r="C13" s="247" t="s">
        <v>863</v>
      </c>
      <c r="D13" s="247" t="s">
        <v>1</v>
      </c>
      <c r="E13" s="491" t="s">
        <v>15</v>
      </c>
      <c r="F13" s="247" t="s">
        <v>215</v>
      </c>
      <c r="G13" s="250" t="s">
        <v>144</v>
      </c>
      <c r="H13" s="250" t="str">
        <f>+IF(C13="Controlos","Não aplicável",
IFERROR(VLOOKUP(A13&amp;"_"&amp;E13,Testes!A:Z,25,FALSE),"Não aplicável"))</f>
        <v>Concluído</v>
      </c>
      <c r="I13" s="250" t="str">
        <f>+IF(C13="Controlos",
IFERROR(VLOOKUP(E13,Controlos!B:J,9,FALSE),"Não aplicável"),
IFERROR(VLOOKUP(A13&amp;"_"&amp;E13,Testes!A:Z,26,FALSE),"Não aplicável"))</f>
        <v>Com incidências</v>
      </c>
      <c r="J13" s="250" t="s">
        <v>911</v>
      </c>
      <c r="K13" s="247"/>
      <c r="L13" s="247"/>
      <c r="M13" s="247"/>
      <c r="N13" s="108">
        <f t="shared" si="1"/>
        <v>0</v>
      </c>
    </row>
    <row r="14" spans="1:23" ht="16.5" hidden="1" x14ac:dyDescent="0.35">
      <c r="A14" s="442" t="str">
        <f t="shared" si="0"/>
        <v>lt002</v>
      </c>
      <c r="B14" s="247" t="s">
        <v>0</v>
      </c>
      <c r="C14" s="247" t="s">
        <v>863</v>
      </c>
      <c r="D14" s="247" t="s">
        <v>1</v>
      </c>
      <c r="E14" s="247" t="s">
        <v>95</v>
      </c>
      <c r="F14" s="247" t="s">
        <v>176</v>
      </c>
      <c r="G14" s="250" t="s">
        <v>144</v>
      </c>
      <c r="H14" s="250" t="str">
        <f>+IF(C14="Controlos","Não aplicável",
IFERROR(VLOOKUP(A14&amp;"_"&amp;E14,Testes!A:Z,25,FALSE),"Não aplicável"))</f>
        <v>Concluído</v>
      </c>
      <c r="I14" s="250" t="str">
        <f>+IF(C14="Controlos",
IFERROR(VLOOKUP(E14,Controlos!B:J,9,FALSE),"Não aplicável"),
IFERROR(VLOOKUP(A14&amp;"_"&amp;E14,Testes!A:Z,26,FALSE),"Não aplicável"))</f>
        <v>Concluído</v>
      </c>
      <c r="J14" s="250" t="s">
        <v>144</v>
      </c>
      <c r="K14" s="247"/>
      <c r="L14" s="247"/>
      <c r="M14" s="247"/>
      <c r="N14" s="108">
        <f t="shared" si="1"/>
        <v>0</v>
      </c>
    </row>
    <row r="15" spans="1:23" ht="16.5" hidden="1" x14ac:dyDescent="0.35">
      <c r="A15" s="442" t="str">
        <f t="shared" si="0"/>
        <v>lt002</v>
      </c>
      <c r="B15" s="247" t="s">
        <v>0</v>
      </c>
      <c r="C15" s="247" t="s">
        <v>863</v>
      </c>
      <c r="D15" s="247" t="s">
        <v>1</v>
      </c>
      <c r="E15" s="247" t="s">
        <v>96</v>
      </c>
      <c r="F15" s="247" t="s">
        <v>176</v>
      </c>
      <c r="G15" s="250" t="s">
        <v>144</v>
      </c>
      <c r="H15" s="250" t="str">
        <f>+IF(C15="Controlos","Não aplicável",
IFERROR(VLOOKUP(A15&amp;"_"&amp;E15,Testes!A:Z,25,FALSE),"Não aplicável"))</f>
        <v>Concluído</v>
      </c>
      <c r="I15" s="250" t="str">
        <f>+IF(C15="Controlos",
IFERROR(VLOOKUP(E15,Controlos!B:J,9,FALSE),"Não aplicável"),
IFERROR(VLOOKUP(A15&amp;"_"&amp;E15,Testes!A:Z,26,FALSE),"Não aplicável"))</f>
        <v>Concluído</v>
      </c>
      <c r="J15" s="250" t="s">
        <v>144</v>
      </c>
      <c r="K15" s="247"/>
      <c r="L15" s="247"/>
      <c r="M15" s="247"/>
      <c r="N15" s="108">
        <f t="shared" si="1"/>
        <v>0</v>
      </c>
    </row>
    <row r="16" spans="1:23" ht="16.5" hidden="1" x14ac:dyDescent="0.35">
      <c r="A16" s="442" t="str">
        <f t="shared" si="0"/>
        <v>lt002</v>
      </c>
      <c r="B16" s="247" t="s">
        <v>0</v>
      </c>
      <c r="C16" s="247" t="s">
        <v>863</v>
      </c>
      <c r="D16" s="247" t="s">
        <v>1</v>
      </c>
      <c r="E16" s="247" t="s">
        <v>7</v>
      </c>
      <c r="F16" s="247" t="s">
        <v>154</v>
      </c>
      <c r="G16" s="250" t="s">
        <v>144</v>
      </c>
      <c r="H16" s="250" t="str">
        <f>+IF(C16="Controlos","Não aplicável",
IFERROR(VLOOKUP(A16&amp;"_"&amp;E16,Testes!A:Z,25,FALSE),"Não aplicável"))</f>
        <v>Concluído</v>
      </c>
      <c r="I16" s="250" t="str">
        <f>+IF(C16="Controlos",
IFERROR(VLOOKUP(E16,Controlos!B:J,9,FALSE),"Não aplicável"),
IFERROR(VLOOKUP(A16&amp;"_"&amp;E16,Testes!A:Z,26,FALSE),"Não aplicável"))</f>
        <v>Concluído</v>
      </c>
      <c r="J16" s="250" t="s">
        <v>144</v>
      </c>
      <c r="K16" s="247"/>
      <c r="L16" s="247"/>
      <c r="M16" s="247"/>
      <c r="N16" s="108">
        <f t="shared" si="1"/>
        <v>0</v>
      </c>
    </row>
    <row r="17" spans="1:14" ht="16.5" hidden="1" x14ac:dyDescent="0.35">
      <c r="A17" s="442" t="str">
        <f t="shared" si="0"/>
        <v>lt002</v>
      </c>
      <c r="B17" s="247" t="s">
        <v>0</v>
      </c>
      <c r="C17" s="247" t="s">
        <v>863</v>
      </c>
      <c r="D17" s="247" t="s">
        <v>1</v>
      </c>
      <c r="E17" s="247" t="s">
        <v>103</v>
      </c>
      <c r="F17" s="247" t="s">
        <v>154</v>
      </c>
      <c r="G17" s="250" t="s">
        <v>144</v>
      </c>
      <c r="H17" s="250" t="str">
        <f>+IF(C17="Controlos","Não aplicável",
IFERROR(VLOOKUP(A17&amp;"_"&amp;E17,Testes!A:Z,25,FALSE),"Não aplicável"))</f>
        <v>Concluído</v>
      </c>
      <c r="I17" s="250" t="str">
        <f>+IF(C17="Controlos",
IFERROR(VLOOKUP(E17,Controlos!B:J,9,FALSE),"Não aplicável"),
IFERROR(VLOOKUP(A17&amp;"_"&amp;E17,Testes!A:Z,26,FALSE),"Não aplicável"))</f>
        <v>Concluído</v>
      </c>
      <c r="J17" s="250" t="s">
        <v>144</v>
      </c>
      <c r="K17" s="247"/>
      <c r="L17" s="247"/>
      <c r="M17" s="247"/>
      <c r="N17" s="108">
        <f t="shared" si="1"/>
        <v>0</v>
      </c>
    </row>
    <row r="18" spans="1:14" ht="16.5" hidden="1" x14ac:dyDescent="0.35">
      <c r="A18" s="442" t="str">
        <f t="shared" si="0"/>
        <v>lt002</v>
      </c>
      <c r="B18" s="247" t="s">
        <v>0</v>
      </c>
      <c r="C18" s="247" t="s">
        <v>863</v>
      </c>
      <c r="D18" s="247" t="s">
        <v>1</v>
      </c>
      <c r="E18" s="247" t="s">
        <v>97</v>
      </c>
      <c r="F18" s="247" t="s">
        <v>176</v>
      </c>
      <c r="G18" s="250" t="s">
        <v>144</v>
      </c>
      <c r="H18" s="250" t="str">
        <f>+IF(C18="Controlos","Não aplicável",
IFERROR(VLOOKUP(A18&amp;"_"&amp;E18,Testes!A:Z,25,FALSE),"Não aplicável"))</f>
        <v>Concluído</v>
      </c>
      <c r="I18" s="250" t="str">
        <f>+IF(C18="Controlos",
IFERROR(VLOOKUP(E18,Controlos!B:J,9,FALSE),"Não aplicável"),
IFERROR(VLOOKUP(A18&amp;"_"&amp;E18,Testes!A:Z,26,FALSE),"Não aplicável"))</f>
        <v>Concluído</v>
      </c>
      <c r="J18" s="250" t="s">
        <v>144</v>
      </c>
      <c r="K18" s="247"/>
      <c r="L18" s="247"/>
      <c r="M18" s="247"/>
      <c r="N18" s="108">
        <f t="shared" si="1"/>
        <v>0</v>
      </c>
    </row>
    <row r="19" spans="1:14" ht="16.5" hidden="1" x14ac:dyDescent="0.35">
      <c r="A19" s="442" t="str">
        <f t="shared" si="0"/>
        <v>lt002</v>
      </c>
      <c r="B19" s="247" t="s">
        <v>0</v>
      </c>
      <c r="C19" s="247" t="s">
        <v>863</v>
      </c>
      <c r="D19" s="247" t="s">
        <v>1</v>
      </c>
      <c r="E19" s="247" t="s">
        <v>98</v>
      </c>
      <c r="F19" s="247" t="s">
        <v>176</v>
      </c>
      <c r="G19" s="250" t="s">
        <v>144</v>
      </c>
      <c r="H19" s="250" t="str">
        <f>+IF(C19="Controlos","Não aplicável",
IFERROR(VLOOKUP(A19&amp;"_"&amp;E19,Testes!A:Z,25,FALSE),"Não aplicável"))</f>
        <v>Concluído</v>
      </c>
      <c r="I19" s="250" t="str">
        <f>+IF(C19="Controlos",
IFERROR(VLOOKUP(E19,Controlos!B:J,9,FALSE),"Não aplicável"),
IFERROR(VLOOKUP(A19&amp;"_"&amp;E19,Testes!A:Z,26,FALSE),"Não aplicável"))</f>
        <v>Concluído</v>
      </c>
      <c r="J19" s="250" t="s">
        <v>144</v>
      </c>
      <c r="K19" s="247"/>
      <c r="L19" s="247"/>
      <c r="M19" s="247"/>
      <c r="N19" s="108">
        <f t="shared" si="1"/>
        <v>0</v>
      </c>
    </row>
    <row r="20" spans="1:14" ht="16.5" hidden="1" x14ac:dyDescent="0.35">
      <c r="A20" s="442" t="str">
        <f t="shared" si="0"/>
        <v>lt002</v>
      </c>
      <c r="B20" s="247" t="s">
        <v>0</v>
      </c>
      <c r="C20" s="247" t="s">
        <v>863</v>
      </c>
      <c r="D20" s="247" t="s">
        <v>1</v>
      </c>
      <c r="E20" s="247" t="s">
        <v>12</v>
      </c>
      <c r="F20" s="247" t="s">
        <v>154</v>
      </c>
      <c r="G20" s="250" t="s">
        <v>144</v>
      </c>
      <c r="H20" s="250" t="str">
        <f>+IF(C20="Controlos","Não aplicável",
IFERROR(VLOOKUP(A20&amp;"_"&amp;E20,Testes!A:Z,25,FALSE),"Não aplicável"))</f>
        <v>Concluído</v>
      </c>
      <c r="I20" s="250" t="str">
        <f>+IF(C20="Controlos",
IFERROR(VLOOKUP(E20,Controlos!B:J,9,FALSE),"Não aplicável"),
IFERROR(VLOOKUP(A20&amp;"_"&amp;E20,Testes!A:Z,26,FALSE),"Não aplicável"))</f>
        <v>Concluído</v>
      </c>
      <c r="J20" s="250" t="s">
        <v>144</v>
      </c>
      <c r="K20" s="247"/>
      <c r="L20" s="247"/>
      <c r="M20" s="247"/>
      <c r="N20" s="108">
        <f t="shared" si="1"/>
        <v>0</v>
      </c>
    </row>
    <row r="21" spans="1:14" ht="16.5" hidden="1" x14ac:dyDescent="0.35">
      <c r="A21" s="442" t="str">
        <f t="shared" si="0"/>
        <v>lt002</v>
      </c>
      <c r="B21" s="247" t="s">
        <v>0</v>
      </c>
      <c r="C21" s="247" t="s">
        <v>863</v>
      </c>
      <c r="D21" s="247" t="s">
        <v>1</v>
      </c>
      <c r="E21" s="491" t="s">
        <v>11</v>
      </c>
      <c r="F21" s="247" t="s">
        <v>154</v>
      </c>
      <c r="G21" s="250" t="s">
        <v>144</v>
      </c>
      <c r="H21" s="250" t="str">
        <f>+IF(C21="Controlos","Não aplicável",
IFERROR(VLOOKUP(A21&amp;"_"&amp;E21,Testes!A:Z,25,FALSE),"Não aplicável"))</f>
        <v>Concluído</v>
      </c>
      <c r="I21" s="250" t="str">
        <f>+IF(C21="Controlos",
IFERROR(VLOOKUP(E21,Controlos!B:J,9,FALSE),"Não aplicável"),
IFERROR(VLOOKUP(A21&amp;"_"&amp;E21,Testes!A:Z,26,FALSE),"Não aplicável"))</f>
        <v>Com incidências</v>
      </c>
      <c r="J21" s="250" t="s">
        <v>911</v>
      </c>
      <c r="K21" s="247"/>
      <c r="L21" s="247"/>
      <c r="M21" s="247"/>
      <c r="N21" s="108">
        <f t="shared" si="1"/>
        <v>0</v>
      </c>
    </row>
    <row r="22" spans="1:14" ht="16.5" hidden="1" x14ac:dyDescent="0.35">
      <c r="A22" s="442" t="str">
        <f t="shared" si="0"/>
        <v>lt002</v>
      </c>
      <c r="B22" s="247" t="s">
        <v>0</v>
      </c>
      <c r="C22" s="247" t="s">
        <v>863</v>
      </c>
      <c r="D22" s="247" t="s">
        <v>1</v>
      </c>
      <c r="E22" s="491" t="s">
        <v>1266</v>
      </c>
      <c r="F22" s="247" t="s">
        <v>176</v>
      </c>
      <c r="G22" s="250" t="s">
        <v>144</v>
      </c>
      <c r="H22" s="250" t="str">
        <f>+IF(C22="Controlos","Não aplicável",
IFERROR(VLOOKUP(A22&amp;"_"&amp;E22,Testes!A:Z,25,FALSE),"Não aplicável"))</f>
        <v>Concluído</v>
      </c>
      <c r="I22" s="250" t="str">
        <f>+IF(C22="Controlos",
IFERROR(VLOOKUP(E22,Controlos!B:J,9,FALSE),"Não aplicável"),
IFERROR(VLOOKUP(A22&amp;"_"&amp;E22,Testes!A:Z,26,FALSE),"Não aplicável"))</f>
        <v>Com incidências</v>
      </c>
      <c r="J22" s="250" t="s">
        <v>911</v>
      </c>
      <c r="K22" s="247"/>
      <c r="L22" s="247"/>
      <c r="M22" s="247"/>
      <c r="N22" s="108">
        <f t="shared" si="1"/>
        <v>0</v>
      </c>
    </row>
    <row r="23" spans="1:14" ht="16.5" hidden="1" x14ac:dyDescent="0.35">
      <c r="A23" s="442" t="str">
        <f t="shared" si="0"/>
        <v>lt002</v>
      </c>
      <c r="B23" s="247" t="s">
        <v>0</v>
      </c>
      <c r="C23" s="247" t="s">
        <v>863</v>
      </c>
      <c r="D23" s="247" t="s">
        <v>1</v>
      </c>
      <c r="E23" s="247" t="s">
        <v>102</v>
      </c>
      <c r="F23" s="247" t="s">
        <v>176</v>
      </c>
      <c r="G23" s="250" t="s">
        <v>144</v>
      </c>
      <c r="H23" s="250" t="str">
        <f>+IF(C23="Controlos","Não aplicável",
IFERROR(VLOOKUP(A23&amp;"_"&amp;E23,Testes!A:Z,25,FALSE),"Não aplicável"))</f>
        <v>Concluído</v>
      </c>
      <c r="I23" s="250" t="str">
        <f>+IF(C23="Controlos",
IFERROR(VLOOKUP(E23,Controlos!B:J,9,FALSE),"Não aplicável"),
IFERROR(VLOOKUP(A23&amp;"_"&amp;E23,Testes!A:Z,26,FALSE),"Não aplicável"))</f>
        <v>Concluído</v>
      </c>
      <c r="J23" s="250" t="s">
        <v>144</v>
      </c>
      <c r="K23" s="247"/>
      <c r="L23" s="247"/>
      <c r="M23" s="247"/>
      <c r="N23" s="108">
        <f t="shared" si="1"/>
        <v>0</v>
      </c>
    </row>
    <row r="24" spans="1:14" ht="16.5" x14ac:dyDescent="0.35">
      <c r="A24" s="442" t="str">
        <f t="shared" si="0"/>
        <v>lt002</v>
      </c>
      <c r="B24" s="247" t="s">
        <v>0</v>
      </c>
      <c r="C24" s="247" t="s">
        <v>863</v>
      </c>
      <c r="D24" s="247" t="s">
        <v>1</v>
      </c>
      <c r="E24" s="247" t="s">
        <v>10</v>
      </c>
      <c r="F24" s="247" t="s">
        <v>154</v>
      </c>
      <c r="G24" s="250" t="s">
        <v>144</v>
      </c>
      <c r="H24" s="250" t="str">
        <f>+IF(C24="Controlos","Não aplicável",
IFERROR(VLOOKUP(A24&amp;"_"&amp;E24,Testes!A:Z,25,FALSE),"Não aplicável"))</f>
        <v>Concluído</v>
      </c>
      <c r="I24" s="250" t="str">
        <f>+IF(C24="Controlos",
IFERROR(VLOOKUP(E24,Controlos!B:J,9,FALSE),"Não aplicável"),
IFERROR(VLOOKUP(A24&amp;"_"&amp;E24,Testes!A:Z,26,FALSE),"Não aplicável"))</f>
        <v>Concluído</v>
      </c>
      <c r="J24" s="250" t="s">
        <v>231</v>
      </c>
      <c r="K24" s="247"/>
      <c r="L24" s="247"/>
      <c r="M24" s="247"/>
      <c r="N24" s="108">
        <f t="shared" si="1"/>
        <v>1</v>
      </c>
    </row>
    <row r="25" spans="1:14" ht="16.5" hidden="1" x14ac:dyDescent="0.35">
      <c r="A25" s="442" t="str">
        <f t="shared" si="0"/>
        <v>lt002</v>
      </c>
      <c r="B25" s="247" t="s">
        <v>0</v>
      </c>
      <c r="C25" s="247" t="s">
        <v>863</v>
      </c>
      <c r="D25" s="247" t="s">
        <v>1</v>
      </c>
      <c r="E25" s="247" t="s">
        <v>3</v>
      </c>
      <c r="F25" s="247" t="s">
        <v>154</v>
      </c>
      <c r="G25" s="250" t="s">
        <v>144</v>
      </c>
      <c r="H25" s="250" t="str">
        <f>+IF(C25="Controlos","Não aplicável",
IFERROR(VLOOKUP(A25&amp;"_"&amp;E25,Testes!A:Z,25,FALSE),"Não aplicável"))</f>
        <v>Concluído</v>
      </c>
      <c r="I25" s="250" t="str">
        <f>+IF(C25="Controlos",
IFERROR(VLOOKUP(E25,Controlos!B:J,9,FALSE),"Não aplicável"),
IFERROR(VLOOKUP(A25&amp;"_"&amp;E25,Testes!A:Z,26,FALSE),"Não aplicável"))</f>
        <v>Concluído</v>
      </c>
      <c r="J25" s="250" t="s">
        <v>144</v>
      </c>
      <c r="K25" s="247"/>
      <c r="L25" s="247"/>
      <c r="M25" s="247"/>
      <c r="N25" s="108">
        <f t="shared" si="1"/>
        <v>0</v>
      </c>
    </row>
    <row r="26" spans="1:14" ht="16.5" x14ac:dyDescent="0.35">
      <c r="A26" s="442" t="str">
        <f t="shared" si="0"/>
        <v>lt002</v>
      </c>
      <c r="B26" s="247" t="s">
        <v>0</v>
      </c>
      <c r="C26" s="247" t="s">
        <v>863</v>
      </c>
      <c r="D26" s="247" t="s">
        <v>1</v>
      </c>
      <c r="E26" s="247" t="s">
        <v>4</v>
      </c>
      <c r="F26" s="247" t="s">
        <v>154</v>
      </c>
      <c r="G26" s="250" t="s">
        <v>144</v>
      </c>
      <c r="H26" s="250" t="str">
        <f>+IF(C26="Controlos","Não aplicável",
IFERROR(VLOOKUP(A26&amp;"_"&amp;E26,Testes!A:Z,25,FALSE),"Não aplicável"))</f>
        <v>Concluído</v>
      </c>
      <c r="I26" s="250" t="str">
        <f>+IF(C26="Controlos",
IFERROR(VLOOKUP(E26,Controlos!B:J,9,FALSE),"Não aplicável"),
IFERROR(VLOOKUP(A26&amp;"_"&amp;E26,Testes!A:Z,26,FALSE),"Não aplicável"))</f>
        <v>Concluído</v>
      </c>
      <c r="J26" s="250" t="s">
        <v>231</v>
      </c>
      <c r="K26" s="247"/>
      <c r="L26" s="247"/>
      <c r="M26" s="247"/>
      <c r="N26" s="108">
        <f t="shared" si="1"/>
        <v>1</v>
      </c>
    </row>
    <row r="27" spans="1:14" ht="16.5" hidden="1" x14ac:dyDescent="0.35">
      <c r="A27" s="442" t="str">
        <f t="shared" si="0"/>
        <v>lt002</v>
      </c>
      <c r="B27" s="247" t="s">
        <v>0</v>
      </c>
      <c r="C27" s="247" t="s">
        <v>863</v>
      </c>
      <c r="D27" s="247" t="s">
        <v>1</v>
      </c>
      <c r="E27" s="247" t="s">
        <v>5</v>
      </c>
      <c r="F27" s="247" t="s">
        <v>176</v>
      </c>
      <c r="G27" s="250" t="s">
        <v>144</v>
      </c>
      <c r="H27" s="250" t="str">
        <f>+IF(C27="Controlos","Não aplicável",
IFERROR(VLOOKUP(A27&amp;"_"&amp;E27,Testes!A:Z,25,FALSE),"Não aplicável"))</f>
        <v>Concluído</v>
      </c>
      <c r="I27" s="250" t="str">
        <f>+IF(C27="Controlos",
IFERROR(VLOOKUP(E27,Controlos!B:J,9,FALSE),"Não aplicável"),
IFERROR(VLOOKUP(A27&amp;"_"&amp;E27,Testes!A:Z,26,FALSE),"Não aplicável"))</f>
        <v>Concluído</v>
      </c>
      <c r="J27" s="250" t="s">
        <v>144</v>
      </c>
      <c r="K27" s="247"/>
      <c r="L27" s="247"/>
      <c r="M27" s="247"/>
      <c r="N27" s="108">
        <f t="shared" si="1"/>
        <v>0</v>
      </c>
    </row>
    <row r="28" spans="1:14" ht="16.5" hidden="1" x14ac:dyDescent="0.35">
      <c r="A28" s="442" t="str">
        <f t="shared" si="0"/>
        <v>lt002</v>
      </c>
      <c r="B28" s="247" t="s">
        <v>0</v>
      </c>
      <c r="C28" s="247" t="s">
        <v>863</v>
      </c>
      <c r="D28" s="247" t="s">
        <v>1</v>
      </c>
      <c r="E28" s="247" t="s">
        <v>6</v>
      </c>
      <c r="F28" s="247" t="s">
        <v>176</v>
      </c>
      <c r="G28" s="250" t="s">
        <v>144</v>
      </c>
      <c r="H28" s="250" t="str">
        <f>+IF(C28="Controlos","Não aplicável",
IFERROR(VLOOKUP(A28&amp;"_"&amp;E28,Testes!A:Z,25,FALSE),"Não aplicável"))</f>
        <v>Concluído</v>
      </c>
      <c r="I28" s="250" t="str">
        <f>+IF(C28="Controlos",
IFERROR(VLOOKUP(E28,Controlos!B:J,9,FALSE),"Não aplicável"),
IFERROR(VLOOKUP(A28&amp;"_"&amp;E28,Testes!A:Z,26,FALSE),"Não aplicável"))</f>
        <v>Concluído</v>
      </c>
      <c r="J28" s="250" t="s">
        <v>144</v>
      </c>
      <c r="K28" s="247"/>
      <c r="L28" s="247"/>
      <c r="M28" s="247"/>
      <c r="N28" s="108">
        <f t="shared" si="1"/>
        <v>0</v>
      </c>
    </row>
    <row r="29" spans="1:14" ht="16.5" hidden="1" x14ac:dyDescent="0.35">
      <c r="A29" s="442" t="str">
        <f t="shared" si="0"/>
        <v>lt002</v>
      </c>
      <c r="B29" s="247" t="s">
        <v>0</v>
      </c>
      <c r="C29" s="247" t="s">
        <v>863</v>
      </c>
      <c r="D29" s="247" t="s">
        <v>1</v>
      </c>
      <c r="E29" s="247" t="s">
        <v>99</v>
      </c>
      <c r="F29" s="247" t="s">
        <v>176</v>
      </c>
      <c r="G29" s="250" t="s">
        <v>144</v>
      </c>
      <c r="H29" s="250" t="str">
        <f>+IF(C29="Controlos","Não aplicável",
IFERROR(VLOOKUP(A29&amp;"_"&amp;E29,Testes!A:Z,25,FALSE),"Não aplicável"))</f>
        <v>Concluído</v>
      </c>
      <c r="I29" s="250" t="str">
        <f>+IF(C29="Controlos",
IFERROR(VLOOKUP(E29,Controlos!B:J,9,FALSE),"Não aplicável"),
IFERROR(VLOOKUP(A29&amp;"_"&amp;E29,Testes!A:Z,26,FALSE),"Não aplicável"))</f>
        <v>Concluído</v>
      </c>
      <c r="J29" s="250" t="s">
        <v>144</v>
      </c>
      <c r="K29" s="247"/>
      <c r="L29" s="247"/>
      <c r="M29" s="247"/>
      <c r="N29" s="108">
        <f t="shared" si="1"/>
        <v>0</v>
      </c>
    </row>
    <row r="30" spans="1:14" ht="16.5" hidden="1" x14ac:dyDescent="0.35">
      <c r="A30" s="442" t="str">
        <f t="shared" si="0"/>
        <v>lt002</v>
      </c>
      <c r="B30" s="247" t="s">
        <v>0</v>
      </c>
      <c r="C30" s="247" t="s">
        <v>863</v>
      </c>
      <c r="D30" s="247" t="s">
        <v>1</v>
      </c>
      <c r="E30" s="247" t="s">
        <v>100</v>
      </c>
      <c r="F30" s="247" t="s">
        <v>176</v>
      </c>
      <c r="G30" s="250" t="s">
        <v>144</v>
      </c>
      <c r="H30" s="250" t="str">
        <f>+IF(C30="Controlos","Não aplicável",
IFERROR(VLOOKUP(A30&amp;"_"&amp;E30,Testes!A:Z,25,FALSE),"Não aplicável"))</f>
        <v>Concluído</v>
      </c>
      <c r="I30" s="250" t="str">
        <f>+IF(C30="Controlos",
IFERROR(VLOOKUP(E30,Controlos!B:J,9,FALSE),"Não aplicável"),
IFERROR(VLOOKUP(A30&amp;"_"&amp;E30,Testes!A:Z,26,FALSE),"Não aplicável"))</f>
        <v>Concluído</v>
      </c>
      <c r="J30" s="250" t="s">
        <v>144</v>
      </c>
      <c r="K30" s="247"/>
      <c r="L30" s="247"/>
      <c r="M30" s="247"/>
      <c r="N30" s="108">
        <f t="shared" si="1"/>
        <v>0</v>
      </c>
    </row>
    <row r="31" spans="1:14" ht="16.5" hidden="1" x14ac:dyDescent="0.35">
      <c r="A31" s="442" t="str">
        <f t="shared" si="0"/>
        <v>lt002</v>
      </c>
      <c r="B31" s="247" t="s">
        <v>0</v>
      </c>
      <c r="C31" s="247" t="s">
        <v>863</v>
      </c>
      <c r="D31" s="247" t="s">
        <v>1</v>
      </c>
      <c r="E31" s="247" t="s">
        <v>13</v>
      </c>
      <c r="F31" s="247" t="s">
        <v>176</v>
      </c>
      <c r="G31" s="250" t="s">
        <v>144</v>
      </c>
      <c r="H31" s="250" t="str">
        <f>+IF(C31="Controlos","Não aplicável",
IFERROR(VLOOKUP(A31&amp;"_"&amp;E31,Testes!A:Z,25,FALSE),"Não aplicável"))</f>
        <v>Concluído</v>
      </c>
      <c r="I31" s="250" t="str">
        <f>+IF(C31="Controlos",
IFERROR(VLOOKUP(E31,Controlos!B:J,9,FALSE),"Não aplicável"),
IFERROR(VLOOKUP(A31&amp;"_"&amp;E31,Testes!A:Z,26,FALSE),"Não aplicável"))</f>
        <v>Concluído</v>
      </c>
      <c r="J31" s="250" t="s">
        <v>144</v>
      </c>
      <c r="K31" s="247" t="s">
        <v>912</v>
      </c>
      <c r="L31" s="247"/>
      <c r="M31" s="247"/>
      <c r="N31" s="108">
        <f t="shared" si="1"/>
        <v>0</v>
      </c>
    </row>
    <row r="32" spans="1:14" ht="16.5" hidden="1" x14ac:dyDescent="0.35">
      <c r="A32" s="442" t="str">
        <f t="shared" si="0"/>
        <v>lt002</v>
      </c>
      <c r="B32" s="247" t="s">
        <v>0</v>
      </c>
      <c r="C32" s="247" t="s">
        <v>863</v>
      </c>
      <c r="D32" s="247" t="s">
        <v>1</v>
      </c>
      <c r="E32" s="247" t="s">
        <v>608</v>
      </c>
      <c r="F32" s="247" t="s">
        <v>231</v>
      </c>
      <c r="G32" s="250" t="s">
        <v>231</v>
      </c>
      <c r="H32" s="250" t="str">
        <f>+IF(C32="Controlos","Não aplicável",
IFERROR(VLOOKUP(A32&amp;"_"&amp;E32,Testes!A:Z,25,FALSE),"Não aplicável"))</f>
        <v>Concluído</v>
      </c>
      <c r="I32" s="250" t="str">
        <f>+IF(C32="Controlos",
IFERROR(VLOOKUP(E32,Controlos!B:J,9,FALSE),"Não aplicável"),
IFERROR(VLOOKUP(A32&amp;"_"&amp;E32,Testes!A:Z,26,FALSE),"Não aplicável"))</f>
        <v>Concluído</v>
      </c>
      <c r="J32" s="250" t="s">
        <v>144</v>
      </c>
      <c r="K32" s="247"/>
      <c r="L32" s="247"/>
      <c r="M32" s="247"/>
      <c r="N32" s="108">
        <f t="shared" si="1"/>
        <v>0</v>
      </c>
    </row>
    <row r="33" spans="1:14" ht="16.5" x14ac:dyDescent="0.35">
      <c r="A33" s="442" t="str">
        <f t="shared" si="0"/>
        <v>lt002</v>
      </c>
      <c r="B33" s="247" t="s">
        <v>0</v>
      </c>
      <c r="C33" s="247" t="s">
        <v>863</v>
      </c>
      <c r="D33" s="247" t="s">
        <v>1</v>
      </c>
      <c r="E33" s="247" t="s">
        <v>14</v>
      </c>
      <c r="F33" s="247" t="s">
        <v>154</v>
      </c>
      <c r="G33" s="250" t="s">
        <v>144</v>
      </c>
      <c r="H33" s="250" t="str">
        <f>+IF(C33="Controlos","Não aplicável",
IFERROR(VLOOKUP(A33&amp;"_"&amp;E33,Testes!A:Z,25,FALSE),"Não aplicável"))</f>
        <v>Concluído</v>
      </c>
      <c r="I33" s="250" t="str">
        <f>+IF(C33="Controlos",
IFERROR(VLOOKUP(E33,Controlos!B:J,9,FALSE),"Não aplicável"),
IFERROR(VLOOKUP(A33&amp;"_"&amp;E33,Testes!A:Z,26,FALSE),"Não aplicável"))</f>
        <v>Concluído</v>
      </c>
      <c r="J33" s="250" t="s">
        <v>911</v>
      </c>
      <c r="K33" s="247"/>
      <c r="L33" s="247"/>
      <c r="M33" s="247"/>
      <c r="N33" s="108">
        <f t="shared" si="1"/>
        <v>1</v>
      </c>
    </row>
    <row r="34" spans="1:14" ht="16.5" hidden="1" x14ac:dyDescent="0.35">
      <c r="A34" s="442" t="str">
        <f t="shared" si="0"/>
        <v>lt002</v>
      </c>
      <c r="B34" s="247" t="s">
        <v>0</v>
      </c>
      <c r="C34" s="247" t="s">
        <v>863</v>
      </c>
      <c r="D34" s="247" t="s">
        <v>1</v>
      </c>
      <c r="E34" s="247" t="s">
        <v>101</v>
      </c>
      <c r="F34" s="247" t="s">
        <v>176</v>
      </c>
      <c r="G34" s="250" t="s">
        <v>144</v>
      </c>
      <c r="H34" s="250" t="str">
        <f>+IF(C34="Controlos","Não aplicável",
IFERROR(VLOOKUP(A34&amp;"_"&amp;E34,Testes!A:Z,25,FALSE),"Não aplicável"))</f>
        <v>Concluído</v>
      </c>
      <c r="I34" s="250" t="str">
        <f>+IF(C34="Controlos",
IFERROR(VLOOKUP(E34,Controlos!B:J,9,FALSE),"Não aplicável"),
IFERROR(VLOOKUP(A34&amp;"_"&amp;E34,Testes!A:Z,26,FALSE),"Não aplicável"))</f>
        <v>Concluído</v>
      </c>
      <c r="J34" s="250" t="s">
        <v>144</v>
      </c>
      <c r="K34" s="247"/>
      <c r="L34" s="247"/>
      <c r="M34" s="247"/>
      <c r="N34" s="108">
        <f t="shared" si="1"/>
        <v>0</v>
      </c>
    </row>
    <row r="35" spans="1:14" ht="16.5" x14ac:dyDescent="0.35">
      <c r="A35" s="442" t="str">
        <f t="shared" si="0"/>
        <v>lt003</v>
      </c>
      <c r="B35" s="247" t="s">
        <v>832</v>
      </c>
      <c r="C35" s="247" t="s">
        <v>863</v>
      </c>
      <c r="D35" s="247" t="s">
        <v>764</v>
      </c>
      <c r="E35" s="491" t="s">
        <v>833</v>
      </c>
      <c r="F35" s="247" t="s">
        <v>176</v>
      </c>
      <c r="G35" s="250" t="s">
        <v>144</v>
      </c>
      <c r="H35" s="250" t="str">
        <f>+IF(C35="Controlos","Não aplicável",
IFERROR(VLOOKUP(A35&amp;"_"&amp;E35,Testes!A:Z,25,FALSE),"Não aplicável"))</f>
        <v>Concluído</v>
      </c>
      <c r="I35" s="250" t="str">
        <f>+IF(C35="Controlos",
IFERROR(VLOOKUP(E35,Controlos!B:J,9,FALSE),"Não aplicável"),
IFERROR(VLOOKUP(A35&amp;"_"&amp;E35,Testes!A:Z,26,FALSE),"Não aplicável"))</f>
        <v>Com incidências</v>
      </c>
      <c r="J35" s="250" t="s">
        <v>873</v>
      </c>
      <c r="K35" s="247"/>
      <c r="L35" s="247"/>
      <c r="M35" s="247"/>
      <c r="N35" s="108">
        <f t="shared" si="1"/>
        <v>1</v>
      </c>
    </row>
    <row r="36" spans="1:14" ht="16.5" hidden="1" x14ac:dyDescent="0.35">
      <c r="A36" s="442" t="str">
        <f t="shared" si="0"/>
        <v>lt003</v>
      </c>
      <c r="B36" s="247" t="s">
        <v>832</v>
      </c>
      <c r="C36" s="247" t="s">
        <v>863</v>
      </c>
      <c r="D36" s="247" t="s">
        <v>764</v>
      </c>
      <c r="E36" s="247" t="s">
        <v>837</v>
      </c>
      <c r="F36" s="247" t="s">
        <v>796</v>
      </c>
      <c r="G36" s="250" t="s">
        <v>198</v>
      </c>
      <c r="H36" s="250" t="str">
        <f>+IF(C36="Controlos","Não aplicável",
IFERROR(VLOOKUP(A36&amp;"_"&amp;E36,Testes!A:Z,25,FALSE),"Não aplicável"))</f>
        <v>Concluído</v>
      </c>
      <c r="I36" s="250" t="str">
        <f>+IF(C36="Controlos",
IFERROR(VLOOKUP(E36,Controlos!B:J,9,FALSE),"Não aplicável"),
IFERROR(VLOOKUP(A36&amp;"_"&amp;E36,Testes!A:Z,26,FALSE),"Não aplicável"))</f>
        <v>Concluído</v>
      </c>
      <c r="J36" s="250" t="s">
        <v>144</v>
      </c>
      <c r="K36" s="247"/>
      <c r="L36" s="247"/>
      <c r="M36" s="247"/>
      <c r="N36" s="108">
        <f t="shared" si="1"/>
        <v>0</v>
      </c>
    </row>
    <row r="37" spans="1:14" ht="16.5" hidden="1" x14ac:dyDescent="0.35">
      <c r="A37" s="442" t="str">
        <f t="shared" si="0"/>
        <v>lt003</v>
      </c>
      <c r="B37" s="247" t="s">
        <v>832</v>
      </c>
      <c r="C37" s="247" t="s">
        <v>863</v>
      </c>
      <c r="D37" s="247" t="s">
        <v>764</v>
      </c>
      <c r="E37" s="491" t="s">
        <v>805</v>
      </c>
      <c r="F37" s="247" t="s">
        <v>231</v>
      </c>
      <c r="G37" s="250" t="s">
        <v>198</v>
      </c>
      <c r="H37" s="250" t="str">
        <f>+IF(C37="Controlos","Não aplicável",
IFERROR(VLOOKUP(A37&amp;"_"&amp;E37,Testes!A:Z,25,FALSE),"Não aplicável"))</f>
        <v>Concluído</v>
      </c>
      <c r="I37" s="250" t="str">
        <f>+IF(C37="Controlos",
IFERROR(VLOOKUP(E37,Controlos!B:J,9,FALSE),"Não aplicável"),
IFERROR(VLOOKUP(A37&amp;"_"&amp;E37,Testes!A:Z,26,FALSE),"Não aplicável"))</f>
        <v>Com incidências</v>
      </c>
      <c r="J37" s="250" t="s">
        <v>911</v>
      </c>
      <c r="K37" s="247"/>
      <c r="L37" s="247"/>
      <c r="M37" s="247"/>
      <c r="N37" s="108">
        <f t="shared" si="1"/>
        <v>0</v>
      </c>
    </row>
    <row r="38" spans="1:14" ht="16.5" hidden="1" x14ac:dyDescent="0.35">
      <c r="A38" s="442" t="str">
        <f t="shared" si="0"/>
        <v>lt003</v>
      </c>
      <c r="B38" s="247" t="s">
        <v>832</v>
      </c>
      <c r="C38" s="247" t="s">
        <v>863</v>
      </c>
      <c r="D38" s="247" t="s">
        <v>764</v>
      </c>
      <c r="E38" s="247" t="s">
        <v>792</v>
      </c>
      <c r="F38" s="247" t="s">
        <v>154</v>
      </c>
      <c r="G38" s="250" t="s">
        <v>144</v>
      </c>
      <c r="H38" s="250" t="str">
        <f>+IF(C38="Controlos","Não aplicável",
IFERROR(VLOOKUP(A38&amp;"_"&amp;E38,Testes!A:Z,25,FALSE),"Não aplicável"))</f>
        <v>Concluído</v>
      </c>
      <c r="I38" s="250" t="str">
        <f>+IF(C38="Controlos",
IFERROR(VLOOKUP(E38,Controlos!B:J,9,FALSE),"Não aplicável"),
IFERROR(VLOOKUP(A38&amp;"_"&amp;E38,Testes!A:Z,26,FALSE),"Não aplicável"))</f>
        <v>Concluído</v>
      </c>
      <c r="J38" s="250" t="s">
        <v>144</v>
      </c>
      <c r="K38" s="247"/>
      <c r="L38" s="247"/>
      <c r="M38" s="247"/>
      <c r="N38" s="108">
        <f t="shared" si="1"/>
        <v>0</v>
      </c>
    </row>
    <row r="39" spans="1:14" ht="16.5" hidden="1" x14ac:dyDescent="0.35">
      <c r="A39" s="442" t="str">
        <f t="shared" si="0"/>
        <v>lt003</v>
      </c>
      <c r="B39" s="247" t="s">
        <v>832</v>
      </c>
      <c r="C39" s="247" t="s">
        <v>863</v>
      </c>
      <c r="D39" s="247" t="s">
        <v>764</v>
      </c>
      <c r="E39" s="491" t="s">
        <v>834</v>
      </c>
      <c r="F39" s="247" t="s">
        <v>154</v>
      </c>
      <c r="G39" s="250" t="s">
        <v>144</v>
      </c>
      <c r="H39" s="250" t="str">
        <f>+IF(C39="Controlos","Não aplicável",
IFERROR(VLOOKUP(A39&amp;"_"&amp;E39,Testes!A:Z,25,FALSE),"Não aplicável"))</f>
        <v>Concluído</v>
      </c>
      <c r="I39" s="250" t="str">
        <f>+IF(C39="Controlos",
IFERROR(VLOOKUP(E39,Controlos!B:J,9,FALSE),"Não aplicável"),
IFERROR(VLOOKUP(A39&amp;"_"&amp;E39,Testes!A:Z,26,FALSE),"Não aplicável"))</f>
        <v>Com incidências</v>
      </c>
      <c r="J39" s="250" t="s">
        <v>911</v>
      </c>
      <c r="K39" s="247"/>
      <c r="L39" s="247"/>
      <c r="M39" s="247"/>
      <c r="N39" s="108">
        <f t="shared" si="1"/>
        <v>0</v>
      </c>
    </row>
    <row r="40" spans="1:14" ht="16.5" hidden="1" x14ac:dyDescent="0.35">
      <c r="A40" s="442" t="str">
        <f t="shared" si="0"/>
        <v>lt003</v>
      </c>
      <c r="B40" s="247" t="s">
        <v>832</v>
      </c>
      <c r="C40" s="247" t="s">
        <v>863</v>
      </c>
      <c r="D40" s="247" t="s">
        <v>764</v>
      </c>
      <c r="E40" s="247" t="s">
        <v>835</v>
      </c>
      <c r="F40" s="247" t="s">
        <v>154</v>
      </c>
      <c r="G40" s="250" t="s">
        <v>144</v>
      </c>
      <c r="H40" s="250" t="str">
        <f>+IF(C40="Controlos","Não aplicável",
IFERROR(VLOOKUP(A40&amp;"_"&amp;E40,Testes!A:Z,25,FALSE),"Não aplicável"))</f>
        <v>Concluído</v>
      </c>
      <c r="I40" s="250" t="str">
        <f>+IF(C40="Controlos",
IFERROR(VLOOKUP(E40,Controlos!B:J,9,FALSE),"Não aplicável"),
IFERROR(VLOOKUP(A40&amp;"_"&amp;E40,Testes!A:Z,26,FALSE),"Não aplicável"))</f>
        <v>Concluído</v>
      </c>
      <c r="J40" s="250" t="s">
        <v>144</v>
      </c>
      <c r="K40" s="247"/>
      <c r="L40" s="247"/>
      <c r="M40" s="247"/>
      <c r="N40" s="108">
        <f t="shared" si="1"/>
        <v>0</v>
      </c>
    </row>
    <row r="41" spans="1:14" ht="16.5" hidden="1" x14ac:dyDescent="0.35">
      <c r="A41" s="442" t="str">
        <f t="shared" si="0"/>
        <v>lt003</v>
      </c>
      <c r="B41" s="247" t="s">
        <v>832</v>
      </c>
      <c r="C41" s="247" t="s">
        <v>863</v>
      </c>
      <c r="D41" s="247" t="s">
        <v>764</v>
      </c>
      <c r="E41" s="491" t="s">
        <v>1347</v>
      </c>
      <c r="F41" s="247" t="s">
        <v>231</v>
      </c>
      <c r="G41" s="250" t="s">
        <v>198</v>
      </c>
      <c r="H41" s="250" t="str">
        <f>+IF(C41="Controlos","Não aplicável",
IFERROR(VLOOKUP(A41&amp;"_"&amp;E41,Testes!A:Z,25,FALSE),"Não aplicável"))</f>
        <v>Concluído</v>
      </c>
      <c r="I41" s="250" t="str">
        <f>+IF(C41="Controlos",
IFERROR(VLOOKUP(E41,Controlos!B:J,9,FALSE),"Não aplicável"),
IFERROR(VLOOKUP(A41&amp;"_"&amp;E41,Testes!A:Z,26,FALSE),"Não aplicável"))</f>
        <v>Com incidências</v>
      </c>
      <c r="J41" s="250" t="s">
        <v>911</v>
      </c>
      <c r="K41" s="247"/>
      <c r="L41" s="363"/>
      <c r="M41" s="363"/>
      <c r="N41" s="108">
        <f t="shared" si="1"/>
        <v>0</v>
      </c>
    </row>
    <row r="42" spans="1:14" ht="16.5" hidden="1" x14ac:dyDescent="0.35">
      <c r="A42" s="442" t="str">
        <f t="shared" si="0"/>
        <v>lt004</v>
      </c>
      <c r="B42" s="247" t="s">
        <v>813</v>
      </c>
      <c r="C42" s="247" t="s">
        <v>863</v>
      </c>
      <c r="D42" s="247" t="s">
        <v>648</v>
      </c>
      <c r="E42" s="247" t="s">
        <v>1345</v>
      </c>
      <c r="F42" s="247" t="s">
        <v>231</v>
      </c>
      <c r="G42" s="250" t="s">
        <v>198</v>
      </c>
      <c r="H42" s="250" t="str">
        <f>+IF(C42="Controlos","Não aplicável",
IFERROR(VLOOKUP(A42&amp;"_"&amp;E42,Testes!A:Z,25,FALSE),"Não aplicável"))</f>
        <v>Concluído</v>
      </c>
      <c r="I42" s="250" t="str">
        <f>+IF(C42="Controlos",
IFERROR(VLOOKUP(E42,Controlos!B:J,9,FALSE),"Não aplicável"),
IFERROR(VLOOKUP(A42&amp;"_"&amp;E42,Testes!A:Z,26,FALSE),"Não aplicável"))</f>
        <v>Concluído</v>
      </c>
      <c r="J42" s="250" t="s">
        <v>144</v>
      </c>
      <c r="K42" s="247"/>
      <c r="L42" s="247"/>
      <c r="M42" s="247"/>
      <c r="N42" s="108">
        <f t="shared" si="1"/>
        <v>0</v>
      </c>
    </row>
    <row r="43" spans="1:14" ht="16.5" hidden="1" x14ac:dyDescent="0.35">
      <c r="A43" s="442" t="str">
        <f t="shared" si="0"/>
        <v>lt004</v>
      </c>
      <c r="B43" s="247" t="s">
        <v>813</v>
      </c>
      <c r="C43" s="247" t="s">
        <v>863</v>
      </c>
      <c r="D43" s="247" t="s">
        <v>648</v>
      </c>
      <c r="E43" s="247" t="s">
        <v>815</v>
      </c>
      <c r="F43" s="247" t="s">
        <v>176</v>
      </c>
      <c r="G43" s="250" t="s">
        <v>144</v>
      </c>
      <c r="H43" s="250" t="str">
        <f>+IF(C43="Controlos","Não aplicável",
IFERROR(VLOOKUP(A43&amp;"_"&amp;E43,Testes!A:Z,25,FALSE),"Não aplicável"))</f>
        <v>Não Concluído</v>
      </c>
      <c r="I43" s="250" t="str">
        <f>+IF(C43="Controlos",
IFERROR(VLOOKUP(E43,Controlos!B:J,9,FALSE),"Não aplicável"),
IFERROR(VLOOKUP(A43&amp;"_"&amp;E43,Testes!A:Z,26,FALSE),"Não aplicável"))</f>
        <v>Pendente de desenvolv.</v>
      </c>
      <c r="J43" s="250" t="s">
        <v>873</v>
      </c>
      <c r="K43" s="247"/>
      <c r="L43" s="247"/>
      <c r="M43" s="247"/>
      <c r="N43" s="108">
        <f t="shared" si="1"/>
        <v>0</v>
      </c>
    </row>
    <row r="44" spans="1:14" ht="16.5" hidden="1" x14ac:dyDescent="0.35">
      <c r="A44" s="442" t="str">
        <f t="shared" si="0"/>
        <v>lt004</v>
      </c>
      <c r="B44" s="247" t="s">
        <v>832</v>
      </c>
      <c r="C44" s="247" t="s">
        <v>863</v>
      </c>
      <c r="D44" s="247" t="s">
        <v>648</v>
      </c>
      <c r="E44" s="247" t="s">
        <v>649</v>
      </c>
      <c r="F44" s="247" t="s">
        <v>154</v>
      </c>
      <c r="G44" s="250" t="s">
        <v>144</v>
      </c>
      <c r="H44" s="250" t="str">
        <f>+IF(C44="Controlos","Não aplicável",
IFERROR(VLOOKUP(A44&amp;"_"&amp;E44,Testes!A:Z,25,FALSE),"Não aplicável"))</f>
        <v>Concluído</v>
      </c>
      <c r="I44" s="250" t="str">
        <f>+IF(C44="Controlos",
IFERROR(VLOOKUP(E44,Controlos!B:J,9,FALSE),"Não aplicável"),
IFERROR(VLOOKUP(A44&amp;"_"&amp;E44,Testes!A:Z,26,FALSE),"Não aplicável"))</f>
        <v>Concluído</v>
      </c>
      <c r="J44" s="250" t="s">
        <v>144</v>
      </c>
      <c r="K44" s="247"/>
      <c r="L44" s="363"/>
      <c r="M44" s="363"/>
      <c r="N44" s="108">
        <f t="shared" si="1"/>
        <v>0</v>
      </c>
    </row>
    <row r="45" spans="1:14" ht="16.5" hidden="1" x14ac:dyDescent="0.35">
      <c r="A45" s="442" t="str">
        <f t="shared" si="0"/>
        <v>lt004</v>
      </c>
      <c r="B45" s="247" t="s">
        <v>832</v>
      </c>
      <c r="C45" s="247" t="s">
        <v>863</v>
      </c>
      <c r="D45" s="247" t="s">
        <v>648</v>
      </c>
      <c r="E45" s="247" t="s">
        <v>836</v>
      </c>
      <c r="F45" s="247" t="s">
        <v>154</v>
      </c>
      <c r="G45" s="250" t="s">
        <v>144</v>
      </c>
      <c r="H45" s="250" t="str">
        <f>+IF(C45="Controlos","Não aplicável",
IFERROR(VLOOKUP(A45&amp;"_"&amp;E45,Testes!A:Z,25,FALSE),"Não aplicável"))</f>
        <v>Concluído</v>
      </c>
      <c r="I45" s="250" t="str">
        <f>+IF(C45="Controlos",
IFERROR(VLOOKUP(E45,Controlos!B:J,9,FALSE),"Não aplicável"),
IFERROR(VLOOKUP(A45&amp;"_"&amp;E45,Testes!A:Z,26,FALSE),"Não aplicável"))</f>
        <v>Concluído</v>
      </c>
      <c r="J45" s="250" t="s">
        <v>144</v>
      </c>
      <c r="K45" s="247"/>
      <c r="L45" s="247"/>
      <c r="M45" s="247"/>
      <c r="N45" s="108">
        <f t="shared" si="1"/>
        <v>0</v>
      </c>
    </row>
    <row r="46" spans="1:14" ht="16.5" hidden="1" x14ac:dyDescent="0.35">
      <c r="A46" s="442" t="str">
        <f t="shared" si="0"/>
        <v>lt005</v>
      </c>
      <c r="B46" s="247" t="s">
        <v>0</v>
      </c>
      <c r="C46" s="247" t="s">
        <v>863</v>
      </c>
      <c r="D46" s="247" t="s">
        <v>2</v>
      </c>
      <c r="E46" s="491" t="s">
        <v>15</v>
      </c>
      <c r="F46" s="247" t="s">
        <v>215</v>
      </c>
      <c r="G46" s="250" t="s">
        <v>144</v>
      </c>
      <c r="H46" s="250" t="str">
        <f>+IF(C46="Controlos","Não aplicável",
IFERROR(VLOOKUP(A46&amp;"_"&amp;E46,Testes!A:Z,25,FALSE),"Não aplicável"))</f>
        <v>Concluído</v>
      </c>
      <c r="I46" s="250" t="str">
        <f>+IF(C46="Controlos",
IFERROR(VLOOKUP(E46,Controlos!B:J,9,FALSE),"Não aplicável"),
IFERROR(VLOOKUP(A46&amp;"_"&amp;E46,Testes!A:Z,26,FALSE),"Não aplicável"))</f>
        <v>Com incidências</v>
      </c>
      <c r="J46" s="250" t="s">
        <v>911</v>
      </c>
      <c r="K46" s="247"/>
      <c r="L46" s="247"/>
      <c r="M46" s="247"/>
      <c r="N46" s="108">
        <f t="shared" si="1"/>
        <v>0</v>
      </c>
    </row>
    <row r="47" spans="1:14" ht="16.5" hidden="1" x14ac:dyDescent="0.35">
      <c r="A47" s="442" t="str">
        <f t="shared" si="0"/>
        <v>lt005</v>
      </c>
      <c r="B47" s="247" t="s">
        <v>832</v>
      </c>
      <c r="C47" s="247" t="s">
        <v>863</v>
      </c>
      <c r="D47" s="247" t="s">
        <v>2</v>
      </c>
      <c r="E47" s="247" t="s">
        <v>792</v>
      </c>
      <c r="F47" s="247" t="s">
        <v>154</v>
      </c>
      <c r="G47" s="250" t="s">
        <v>144</v>
      </c>
      <c r="H47" s="250" t="str">
        <f>+IF(C47="Controlos","Não aplicável",
IFERROR(VLOOKUP(A47&amp;"_"&amp;E47,Testes!A:Z,25,FALSE),"Não aplicável"))</f>
        <v>Concluído</v>
      </c>
      <c r="I47" s="250" t="str">
        <f>+IF(C47="Controlos",
IFERROR(VLOOKUP(E47,Controlos!B:J,9,FALSE),"Não aplicável"),
IFERROR(VLOOKUP(A47&amp;"_"&amp;E47,Testes!A:Z,26,FALSE),"Não aplicável"))</f>
        <v>Concluído</v>
      </c>
      <c r="J47" s="250" t="s">
        <v>144</v>
      </c>
      <c r="K47" s="247"/>
      <c r="L47" s="247"/>
      <c r="M47" s="247"/>
      <c r="N47" s="108">
        <f t="shared" si="1"/>
        <v>0</v>
      </c>
    </row>
    <row r="48" spans="1:14" ht="16.5" hidden="1" x14ac:dyDescent="0.35">
      <c r="A48" s="442" t="str">
        <f t="shared" si="0"/>
        <v>lt005</v>
      </c>
      <c r="B48" s="247" t="s">
        <v>832</v>
      </c>
      <c r="C48" s="247" t="s">
        <v>863</v>
      </c>
      <c r="D48" s="247" t="s">
        <v>2</v>
      </c>
      <c r="E48" s="247" t="s">
        <v>3</v>
      </c>
      <c r="F48" s="247" t="s">
        <v>154</v>
      </c>
      <c r="G48" s="250" t="s">
        <v>144</v>
      </c>
      <c r="H48" s="250" t="str">
        <f>+IF(C48="Controlos","Não aplicável",
IFERROR(VLOOKUP(A48&amp;"_"&amp;E48,Testes!A:Z,25,FALSE),"Não aplicável"))</f>
        <v>Concluído</v>
      </c>
      <c r="I48" s="250" t="str">
        <f>+IF(C48="Controlos",
IFERROR(VLOOKUP(E48,Controlos!B:J,9,FALSE),"Não aplicável"),
IFERROR(VLOOKUP(A48&amp;"_"&amp;E48,Testes!A:Z,26,FALSE),"Não aplicável"))</f>
        <v>Concluído</v>
      </c>
      <c r="J48" s="250" t="s">
        <v>144</v>
      </c>
      <c r="K48" s="247"/>
      <c r="L48" s="363"/>
      <c r="M48" s="363"/>
      <c r="N48" s="108">
        <f t="shared" si="1"/>
        <v>0</v>
      </c>
    </row>
    <row r="49" spans="1:14" ht="16.5" hidden="1" x14ac:dyDescent="0.35">
      <c r="A49" s="442" t="str">
        <f t="shared" si="0"/>
        <v>lt005</v>
      </c>
      <c r="B49" s="247" t="s">
        <v>0</v>
      </c>
      <c r="C49" s="247" t="s">
        <v>863</v>
      </c>
      <c r="D49" s="247" t="s">
        <v>2</v>
      </c>
      <c r="E49" s="491" t="s">
        <v>8</v>
      </c>
      <c r="F49" s="247" t="s">
        <v>176</v>
      </c>
      <c r="G49" s="250" t="s">
        <v>144</v>
      </c>
      <c r="H49" s="250" t="str">
        <f>+IF(C49="Controlos","Não aplicável",
IFERROR(VLOOKUP(A49&amp;"_"&amp;E49,Testes!A:Z,25,FALSE),"Não aplicável"))</f>
        <v>Concluído</v>
      </c>
      <c r="I49" s="250" t="str">
        <f>+IF(C49="Controlos",
IFERROR(VLOOKUP(E49,Controlos!B:J,9,FALSE),"Não aplicável"),
IFERROR(VLOOKUP(A49&amp;"_"&amp;E49,Testes!A:Z,26,FALSE),"Não aplicável"))</f>
        <v>Com incidências</v>
      </c>
      <c r="J49" s="250" t="s">
        <v>911</v>
      </c>
      <c r="K49" s="247"/>
      <c r="L49" s="247"/>
      <c r="M49" s="247"/>
      <c r="N49" s="108">
        <f t="shared" si="1"/>
        <v>0</v>
      </c>
    </row>
    <row r="50" spans="1:14" ht="16.5" x14ac:dyDescent="0.35">
      <c r="A50" s="442" t="str">
        <f t="shared" si="0"/>
        <v>lt005</v>
      </c>
      <c r="B50" s="247" t="s">
        <v>0</v>
      </c>
      <c r="C50" s="247" t="s">
        <v>863</v>
      </c>
      <c r="D50" s="247" t="s">
        <v>2</v>
      </c>
      <c r="E50" s="491" t="s">
        <v>9</v>
      </c>
      <c r="F50" s="247" t="s">
        <v>176</v>
      </c>
      <c r="G50" s="250" t="s">
        <v>144</v>
      </c>
      <c r="H50" s="250" t="str">
        <f>+IF(C50="Controlos","Não aplicável",
IFERROR(VLOOKUP(A50&amp;"_"&amp;E50,Testes!A:Z,25,FALSE),"Não aplicável"))</f>
        <v>Concluído</v>
      </c>
      <c r="I50" s="250" t="str">
        <f>+IF(C50="Controlos",
IFERROR(VLOOKUP(E50,Controlos!B:J,9,FALSE),"Não aplicável"),
IFERROR(VLOOKUP(A50&amp;"_"&amp;E50,Testes!A:Z,26,FALSE),"Não aplicável"))</f>
        <v>Com incidências</v>
      </c>
      <c r="J50" s="250" t="s">
        <v>873</v>
      </c>
      <c r="K50" s="247"/>
      <c r="L50" s="247"/>
      <c r="M50" s="247"/>
      <c r="N50" s="108">
        <f t="shared" si="1"/>
        <v>1</v>
      </c>
    </row>
    <row r="51" spans="1:14" ht="16.5" hidden="1" x14ac:dyDescent="0.35">
      <c r="A51" s="442" t="str">
        <f t="shared" si="0"/>
        <v>lt006</v>
      </c>
      <c r="B51" s="247" t="s">
        <v>813</v>
      </c>
      <c r="C51" s="247" t="s">
        <v>863</v>
      </c>
      <c r="D51" s="247" t="s">
        <v>816</v>
      </c>
      <c r="E51" s="247" t="s">
        <v>3</v>
      </c>
      <c r="F51" s="247" t="s">
        <v>154</v>
      </c>
      <c r="G51" s="250" t="s">
        <v>144</v>
      </c>
      <c r="H51" s="250" t="str">
        <f>+IF(C51="Controlos","Não aplicável",
IFERROR(VLOOKUP(A51&amp;"_"&amp;E51,Testes!A:Z,25,FALSE),"Não aplicável"))</f>
        <v>Concluído</v>
      </c>
      <c r="I51" s="250" t="str">
        <f>+IF(C51="Controlos",
IFERROR(VLOOKUP(E51,Controlos!B:J,9,FALSE),"Não aplicável"),
IFERROR(VLOOKUP(A51&amp;"_"&amp;E51,Testes!A:Z,26,FALSE),"Não aplicável"))</f>
        <v>Concluído</v>
      </c>
      <c r="J51" s="250" t="s">
        <v>144</v>
      </c>
      <c r="K51" s="247"/>
      <c r="L51" s="247"/>
      <c r="M51" s="247"/>
      <c r="N51" s="108">
        <f t="shared" si="1"/>
        <v>0</v>
      </c>
    </row>
    <row r="52" spans="1:14" ht="16.5" hidden="1" x14ac:dyDescent="0.35">
      <c r="A52" s="442" t="str">
        <f t="shared" si="0"/>
        <v>lt006</v>
      </c>
      <c r="B52" s="247" t="s">
        <v>813</v>
      </c>
      <c r="C52" s="247" t="s">
        <v>863</v>
      </c>
      <c r="D52" s="247" t="s">
        <v>816</v>
      </c>
      <c r="E52" s="247" t="s">
        <v>814</v>
      </c>
      <c r="F52" s="247" t="s">
        <v>154</v>
      </c>
      <c r="G52" s="250" t="s">
        <v>144</v>
      </c>
      <c r="H52" s="250" t="str">
        <f>+IF(C52="Controlos","Não aplicável",
IFERROR(VLOOKUP(A52&amp;"_"&amp;E52,Testes!A:Z,25,FALSE),"Não aplicável"))</f>
        <v>Concluído</v>
      </c>
      <c r="I52" s="250" t="str">
        <f>+IF(C52="Controlos",
IFERROR(VLOOKUP(E52,Controlos!B:J,9,FALSE),"Não aplicável"),
IFERROR(VLOOKUP(A52&amp;"_"&amp;E52,Testes!A:Z,26,FALSE),"Não aplicável"))</f>
        <v>Concluído</v>
      </c>
      <c r="J52" s="250" t="s">
        <v>144</v>
      </c>
      <c r="K52" s="247"/>
      <c r="L52" s="247"/>
      <c r="M52" s="247"/>
      <c r="N52" s="108">
        <f t="shared" si="1"/>
        <v>0</v>
      </c>
    </row>
    <row r="53" spans="1:14" ht="16.5" hidden="1" x14ac:dyDescent="0.35">
      <c r="A53" s="442" t="str">
        <f t="shared" si="0"/>
        <v>lt006</v>
      </c>
      <c r="B53" s="247" t="s">
        <v>813</v>
      </c>
      <c r="C53" s="247" t="s">
        <v>863</v>
      </c>
      <c r="D53" s="247" t="s">
        <v>816</v>
      </c>
      <c r="E53" s="247" t="s">
        <v>649</v>
      </c>
      <c r="F53" s="247" t="s">
        <v>154</v>
      </c>
      <c r="G53" s="250" t="s">
        <v>144</v>
      </c>
      <c r="H53" s="250" t="str">
        <f>+IF(C53="Controlos","Não aplicável",
IFERROR(VLOOKUP(A53&amp;"_"&amp;E53,Testes!A:Z,25,FALSE),"Não aplicável"))</f>
        <v>Concluído</v>
      </c>
      <c r="I53" s="250" t="str">
        <f>+IF(C53="Controlos",
IFERROR(VLOOKUP(E53,Controlos!B:J,9,FALSE),"Não aplicável"),
IFERROR(VLOOKUP(A53&amp;"_"&amp;E53,Testes!A:Z,26,FALSE),"Não aplicável"))</f>
        <v>Concluído</v>
      </c>
      <c r="J53" s="250" t="s">
        <v>144</v>
      </c>
      <c r="K53" s="247"/>
      <c r="L53" s="247"/>
      <c r="M53" s="247"/>
      <c r="N53" s="108">
        <f t="shared" si="1"/>
        <v>0</v>
      </c>
    </row>
    <row r="54" spans="1:14" ht="16.5" x14ac:dyDescent="0.35">
      <c r="A54" s="442" t="str">
        <f t="shared" si="0"/>
        <v>B02.00</v>
      </c>
      <c r="B54" s="247" t="s">
        <v>0</v>
      </c>
      <c r="C54" s="247" t="s">
        <v>812</v>
      </c>
      <c r="D54" s="247" t="s">
        <v>16</v>
      </c>
      <c r="E54" s="491" t="s">
        <v>17</v>
      </c>
      <c r="F54" s="247" t="s">
        <v>143</v>
      </c>
      <c r="G54" s="250" t="s">
        <v>144</v>
      </c>
      <c r="H54" s="250" t="str">
        <f>+IF(C54="Controlos","Não aplicável",
IFERROR(VLOOKUP(A54&amp;"_"&amp;E54,Testes!A:Z,25,FALSE),"Não aplicável"))</f>
        <v>Concluído</v>
      </c>
      <c r="I54" s="250" t="str">
        <f>+IF(C54="Controlos",
IFERROR(VLOOKUP(E54,Controlos!B:J,9,FALSE),"Não aplicável"),
IFERROR(VLOOKUP(A54&amp;"_"&amp;E54,Testes!A:Z,26,FALSE),"Não aplicável"))</f>
        <v>Com incidências</v>
      </c>
      <c r="J54" s="250" t="s">
        <v>144</v>
      </c>
      <c r="K54" s="247"/>
      <c r="L54" s="247"/>
      <c r="M54" s="247"/>
      <c r="N54" s="108">
        <f t="shared" si="1"/>
        <v>1</v>
      </c>
    </row>
    <row r="55" spans="1:14" ht="16.5" hidden="1" x14ac:dyDescent="0.35">
      <c r="A55" s="442" t="str">
        <f t="shared" si="0"/>
        <v>B02.00</v>
      </c>
      <c r="B55" s="247" t="s">
        <v>0</v>
      </c>
      <c r="C55" s="247" t="s">
        <v>812</v>
      </c>
      <c r="D55" s="247" t="s">
        <v>16</v>
      </c>
      <c r="E55" s="247" t="s">
        <v>18</v>
      </c>
      <c r="F55" s="247" t="s">
        <v>154</v>
      </c>
      <c r="G55" s="250" t="s">
        <v>144</v>
      </c>
      <c r="H55" s="250" t="str">
        <f>+IF(C55="Controlos","Não aplicável",
IFERROR(VLOOKUP(A55&amp;"_"&amp;E55,Testes!A:Z,25,FALSE),"Não aplicável"))</f>
        <v>Concluído</v>
      </c>
      <c r="I55" s="250" t="str">
        <f>+IF(C55="Controlos",
IFERROR(VLOOKUP(E55,Controlos!B:J,9,FALSE),"Não aplicável"),
IFERROR(VLOOKUP(A55&amp;"_"&amp;E55,Testes!A:Z,26,FALSE),"Não aplicável"))</f>
        <v>Concluído</v>
      </c>
      <c r="J55" s="250" t="s">
        <v>144</v>
      </c>
      <c r="K55" s="247"/>
      <c r="L55" s="247"/>
      <c r="M55" s="247"/>
      <c r="N55" s="108">
        <f t="shared" si="1"/>
        <v>0</v>
      </c>
    </row>
    <row r="56" spans="1:14" ht="16.5" hidden="1" x14ac:dyDescent="0.35">
      <c r="A56" s="442" t="str">
        <f t="shared" si="0"/>
        <v>B02.00</v>
      </c>
      <c r="B56" s="247" t="s">
        <v>0</v>
      </c>
      <c r="C56" s="247" t="s">
        <v>812</v>
      </c>
      <c r="D56" s="247" t="s">
        <v>16</v>
      </c>
      <c r="E56" s="247" t="s">
        <v>19</v>
      </c>
      <c r="F56" s="247" t="s">
        <v>154</v>
      </c>
      <c r="G56" s="250" t="s">
        <v>144</v>
      </c>
      <c r="H56" s="250" t="str">
        <f>+IF(C56="Controlos","Não aplicável",
IFERROR(VLOOKUP(A56&amp;"_"&amp;E56,Testes!A:Z,25,FALSE),"Não aplicável"))</f>
        <v>Concluído</v>
      </c>
      <c r="I56" s="250" t="str">
        <f>+IF(C56="Controlos",
IFERROR(VLOOKUP(E56,Controlos!B:J,9,FALSE),"Não aplicável"),
IFERROR(VLOOKUP(A56&amp;"_"&amp;E56,Testes!A:Z,26,FALSE),"Não aplicável"))</f>
        <v>Concluído</v>
      </c>
      <c r="J56" s="250" t="s">
        <v>144</v>
      </c>
      <c r="K56" s="247"/>
      <c r="L56" s="247"/>
      <c r="M56" s="247"/>
      <c r="N56" s="108">
        <f t="shared" si="1"/>
        <v>0</v>
      </c>
    </row>
    <row r="57" spans="1:14" ht="16.5" hidden="1" x14ac:dyDescent="0.35">
      <c r="A57" s="442" t="str">
        <f t="shared" si="0"/>
        <v>B02.00</v>
      </c>
      <c r="B57" s="247" t="s">
        <v>0</v>
      </c>
      <c r="C57" s="247" t="s">
        <v>812</v>
      </c>
      <c r="D57" s="247" t="s">
        <v>16</v>
      </c>
      <c r="E57" s="247" t="s">
        <v>20</v>
      </c>
      <c r="F57" s="247" t="s">
        <v>143</v>
      </c>
      <c r="G57" s="250" t="s">
        <v>144</v>
      </c>
      <c r="H57" s="250" t="str">
        <f>+IF(C57="Controlos","Não aplicável",
IFERROR(VLOOKUP(A57&amp;"_"&amp;E57,Testes!A:Z,25,FALSE),"Não aplicável"))</f>
        <v>Concluído</v>
      </c>
      <c r="I57" s="250" t="str">
        <f>+IF(C57="Controlos",
IFERROR(VLOOKUP(E57,Controlos!B:J,9,FALSE),"Não aplicável"),
IFERROR(VLOOKUP(A57&amp;"_"&amp;E57,Testes!A:Z,26,FALSE),"Não aplicável"))</f>
        <v>Concluído</v>
      </c>
      <c r="J57" s="250" t="s">
        <v>144</v>
      </c>
      <c r="K57" s="247"/>
      <c r="L57" s="247"/>
      <c r="M57" s="247"/>
      <c r="N57" s="108">
        <f t="shared" si="1"/>
        <v>0</v>
      </c>
    </row>
    <row r="58" spans="1:14" ht="16.5" hidden="1" x14ac:dyDescent="0.35">
      <c r="A58" s="442" t="str">
        <f t="shared" si="0"/>
        <v>B02.00</v>
      </c>
      <c r="B58" s="247" t="s">
        <v>0</v>
      </c>
      <c r="C58" s="247" t="s">
        <v>812</v>
      </c>
      <c r="D58" s="247" t="s">
        <v>16</v>
      </c>
      <c r="E58" s="247" t="s">
        <v>21</v>
      </c>
      <c r="F58" s="247" t="s">
        <v>176</v>
      </c>
      <c r="G58" s="250" t="s">
        <v>144</v>
      </c>
      <c r="H58" s="250" t="str">
        <f>+IF(C58="Controlos","Não aplicável",
IFERROR(VLOOKUP(A58&amp;"_"&amp;E58,Testes!A:Z,25,FALSE),"Não aplicável"))</f>
        <v>Concluído</v>
      </c>
      <c r="I58" s="250" t="str">
        <f>+IF(C58="Controlos",
IFERROR(VLOOKUP(E58,Controlos!B:J,9,FALSE),"Não aplicável"),
IFERROR(VLOOKUP(A58&amp;"_"&amp;E58,Testes!A:Z,26,FALSE),"Não aplicável"))</f>
        <v>Concluído</v>
      </c>
      <c r="J58" s="250" t="s">
        <v>144</v>
      </c>
      <c r="K58" s="247"/>
      <c r="L58" s="247"/>
      <c r="M58" s="247"/>
      <c r="N58" s="108">
        <f t="shared" si="1"/>
        <v>0</v>
      </c>
    </row>
    <row r="59" spans="1:14" ht="16.5" hidden="1" x14ac:dyDescent="0.35">
      <c r="A59" s="442" t="str">
        <f t="shared" si="0"/>
        <v>B02.00</v>
      </c>
      <c r="B59" s="247" t="s">
        <v>0</v>
      </c>
      <c r="C59" s="247" t="s">
        <v>812</v>
      </c>
      <c r="D59" s="247" t="s">
        <v>16</v>
      </c>
      <c r="E59" s="247" t="s">
        <v>22</v>
      </c>
      <c r="F59" s="247" t="s">
        <v>176</v>
      </c>
      <c r="G59" s="250" t="s">
        <v>144</v>
      </c>
      <c r="H59" s="250" t="str">
        <f>+IF(C59="Controlos","Não aplicável",
IFERROR(VLOOKUP(A59&amp;"_"&amp;E59,Testes!A:Z,25,FALSE),"Não aplicável"))</f>
        <v>Concluído</v>
      </c>
      <c r="I59" s="250" t="str">
        <f>+IF(C59="Controlos",
IFERROR(VLOOKUP(E59,Controlos!B:J,9,FALSE),"Não aplicável"),
IFERROR(VLOOKUP(A59&amp;"_"&amp;E59,Testes!A:Z,26,FALSE),"Não aplicável"))</f>
        <v>Concluído</v>
      </c>
      <c r="J59" s="250" t="s">
        <v>144</v>
      </c>
      <c r="K59" s="247"/>
      <c r="L59" s="247"/>
      <c r="M59" s="247"/>
      <c r="N59" s="108">
        <f t="shared" si="1"/>
        <v>0</v>
      </c>
    </row>
    <row r="60" spans="1:14" ht="16.5" hidden="1" x14ac:dyDescent="0.35">
      <c r="A60" s="442" t="str">
        <f t="shared" si="0"/>
        <v>B02.00</v>
      </c>
      <c r="B60" s="247" t="s">
        <v>0</v>
      </c>
      <c r="C60" s="247" t="s">
        <v>812</v>
      </c>
      <c r="D60" s="247" t="s">
        <v>16</v>
      </c>
      <c r="E60" s="247" t="s">
        <v>23</v>
      </c>
      <c r="F60" s="247" t="s">
        <v>154</v>
      </c>
      <c r="G60" s="250" t="s">
        <v>144</v>
      </c>
      <c r="H60" s="250" t="str">
        <f>+IF(C60="Controlos","Não aplicável",
IFERROR(VLOOKUP(A60&amp;"_"&amp;E60,Testes!A:Z,25,FALSE),"Não aplicável"))</f>
        <v>Concluído</v>
      </c>
      <c r="I60" s="250" t="str">
        <f>+IF(C60="Controlos",
IFERROR(VLOOKUP(E60,Controlos!B:J,9,FALSE),"Não aplicável"),
IFERROR(VLOOKUP(A60&amp;"_"&amp;E60,Testes!A:Z,26,FALSE),"Não aplicável"))</f>
        <v>Concluído</v>
      </c>
      <c r="J60" s="250" t="s">
        <v>144</v>
      </c>
      <c r="K60" s="247"/>
      <c r="L60" s="247"/>
      <c r="M60" s="247"/>
      <c r="N60" s="108">
        <f t="shared" si="1"/>
        <v>0</v>
      </c>
    </row>
    <row r="61" spans="1:14" ht="16.5" hidden="1" x14ac:dyDescent="0.35">
      <c r="A61" s="442" t="str">
        <f t="shared" si="0"/>
        <v>B02.00</v>
      </c>
      <c r="B61" s="247" t="s">
        <v>0</v>
      </c>
      <c r="C61" s="247" t="s">
        <v>812</v>
      </c>
      <c r="D61" s="247" t="s">
        <v>16</v>
      </c>
      <c r="E61" s="247" t="s">
        <v>24</v>
      </c>
      <c r="F61" s="247" t="s">
        <v>176</v>
      </c>
      <c r="G61" s="250" t="s">
        <v>144</v>
      </c>
      <c r="H61" s="250" t="str">
        <f>+IF(C61="Controlos","Não aplicável",
IFERROR(VLOOKUP(A61&amp;"_"&amp;E61,Testes!A:Z,25,FALSE),"Não aplicável"))</f>
        <v>Concluído</v>
      </c>
      <c r="I61" s="250" t="str">
        <f>+IF(C61="Controlos",
IFERROR(VLOOKUP(E61,Controlos!B:J,9,FALSE),"Não aplicável"),
IFERROR(VLOOKUP(A61&amp;"_"&amp;E61,Testes!A:Z,26,FALSE),"Não aplicável"))</f>
        <v>Concluído</v>
      </c>
      <c r="J61" s="250" t="s">
        <v>144</v>
      </c>
      <c r="K61" s="247"/>
      <c r="L61" s="247"/>
      <c r="M61" s="247"/>
      <c r="N61" s="108">
        <f t="shared" si="1"/>
        <v>0</v>
      </c>
    </row>
    <row r="62" spans="1:14" ht="16.5" x14ac:dyDescent="0.35">
      <c r="A62" s="442" t="str">
        <f t="shared" si="0"/>
        <v>B02.00</v>
      </c>
      <c r="B62" s="247" t="s">
        <v>0</v>
      </c>
      <c r="C62" s="247" t="s">
        <v>812</v>
      </c>
      <c r="D62" s="247" t="s">
        <v>16</v>
      </c>
      <c r="E62" s="247" t="s">
        <v>25</v>
      </c>
      <c r="F62" s="247" t="s">
        <v>176</v>
      </c>
      <c r="G62" s="250" t="s">
        <v>144</v>
      </c>
      <c r="H62" s="250" t="str">
        <f>+IF(C62="Controlos","Não aplicável",
IFERROR(VLOOKUP(A62&amp;"_"&amp;E62,Testes!A:Z,25,FALSE),"Não aplicável"))</f>
        <v>Concluído</v>
      </c>
      <c r="I62" s="250" t="str">
        <f>+IF(C62="Controlos",
IFERROR(VLOOKUP(E62,Controlos!B:J,9,FALSE),"Não aplicável"),
IFERROR(VLOOKUP(A62&amp;"_"&amp;E62,Testes!A:Z,26,FALSE),"Não aplicável"))</f>
        <v>Concluído</v>
      </c>
      <c r="J62" s="250" t="s">
        <v>873</v>
      </c>
      <c r="K62" s="247"/>
      <c r="L62" s="247"/>
      <c r="M62" s="247"/>
      <c r="N62" s="108">
        <f t="shared" si="1"/>
        <v>1</v>
      </c>
    </row>
    <row r="63" spans="1:14" ht="16.5" hidden="1" x14ac:dyDescent="0.35">
      <c r="A63" s="442" t="str">
        <f t="shared" si="0"/>
        <v>B02.00</v>
      </c>
      <c r="B63" s="247" t="s">
        <v>0</v>
      </c>
      <c r="C63" s="247" t="s">
        <v>812</v>
      </c>
      <c r="D63" s="247" t="s">
        <v>16</v>
      </c>
      <c r="E63" s="491" t="s">
        <v>26</v>
      </c>
      <c r="F63" s="247" t="s">
        <v>215</v>
      </c>
      <c r="G63" s="250" t="s">
        <v>144</v>
      </c>
      <c r="H63" s="250" t="str">
        <f>+IF(C63="Controlos","Não aplicável",
IFERROR(VLOOKUP(A63&amp;"_"&amp;E63,Testes!A:Z,25,FALSE),"Não aplicável"))</f>
        <v>Concluído</v>
      </c>
      <c r="I63" s="250" t="str">
        <f>+IF(C63="Controlos",
IFERROR(VLOOKUP(E63,Controlos!B:J,9,FALSE),"Não aplicável"),
IFERROR(VLOOKUP(A63&amp;"_"&amp;E63,Testes!A:Z,26,FALSE),"Não aplicável"))</f>
        <v>Com incidências</v>
      </c>
      <c r="J63" s="250" t="s">
        <v>911</v>
      </c>
      <c r="K63" s="247"/>
      <c r="L63" s="247"/>
      <c r="M63" s="247"/>
      <c r="N63" s="108">
        <f t="shared" si="1"/>
        <v>0</v>
      </c>
    </row>
    <row r="64" spans="1:14" ht="16.5" hidden="1" x14ac:dyDescent="0.35">
      <c r="A64" s="442" t="str">
        <f t="shared" si="0"/>
        <v>B02.00</v>
      </c>
      <c r="B64" s="247" t="s">
        <v>0</v>
      </c>
      <c r="C64" s="247" t="s">
        <v>812</v>
      </c>
      <c r="D64" s="247" t="s">
        <v>16</v>
      </c>
      <c r="E64" s="247" t="s">
        <v>27</v>
      </c>
      <c r="F64" s="247" t="s">
        <v>143</v>
      </c>
      <c r="G64" s="250" t="s">
        <v>144</v>
      </c>
      <c r="H64" s="250" t="str">
        <f>+IF(C64="Controlos","Não aplicável",
IFERROR(VLOOKUP(A64&amp;"_"&amp;E64,Testes!A:Z,25,FALSE),"Não aplicável"))</f>
        <v>Concluído</v>
      </c>
      <c r="I64" s="250" t="str">
        <f>+IF(C64="Controlos",
IFERROR(VLOOKUP(E64,Controlos!B:J,9,FALSE),"Não aplicável"),
IFERROR(VLOOKUP(A64&amp;"_"&amp;E64,Testes!A:Z,26,FALSE),"Não aplicável"))</f>
        <v>Concluído</v>
      </c>
      <c r="J64" s="250" t="s">
        <v>144</v>
      </c>
      <c r="K64" s="247"/>
      <c r="L64" s="247"/>
      <c r="M64" s="247"/>
      <c r="N64" s="108">
        <f t="shared" si="1"/>
        <v>0</v>
      </c>
    </row>
    <row r="65" spans="1:14" ht="16.5" x14ac:dyDescent="0.35">
      <c r="A65" s="442" t="str">
        <f t="shared" si="0"/>
        <v>B02.00</v>
      </c>
      <c r="B65" s="247" t="s">
        <v>0</v>
      </c>
      <c r="C65" s="247" t="s">
        <v>812</v>
      </c>
      <c r="D65" s="247" t="s">
        <v>16</v>
      </c>
      <c r="E65" s="491" t="s">
        <v>28</v>
      </c>
      <c r="F65" s="247" t="s">
        <v>143</v>
      </c>
      <c r="G65" s="250" t="s">
        <v>144</v>
      </c>
      <c r="H65" s="250" t="str">
        <f>+IF(C65="Controlos","Não aplicável",
IFERROR(VLOOKUP(A65&amp;"_"&amp;E65,Testes!A:Z,25,FALSE),"Não aplicável"))</f>
        <v>Concluído</v>
      </c>
      <c r="I65" s="250" t="str">
        <f>+IF(C65="Controlos",
IFERROR(VLOOKUP(E65,Controlos!B:J,9,FALSE),"Não aplicável"),
IFERROR(VLOOKUP(A65&amp;"_"&amp;E65,Testes!A:Z,26,FALSE),"Não aplicável"))</f>
        <v>Com incidências</v>
      </c>
      <c r="J65" s="250" t="s">
        <v>873</v>
      </c>
      <c r="K65" s="247"/>
      <c r="L65" s="247"/>
      <c r="M65" s="247"/>
      <c r="N65" s="108">
        <f t="shared" si="1"/>
        <v>1</v>
      </c>
    </row>
    <row r="66" spans="1:14" ht="16.5" x14ac:dyDescent="0.35">
      <c r="A66" s="442" t="str">
        <f t="shared" si="0"/>
        <v>B02.00</v>
      </c>
      <c r="B66" s="247" t="s">
        <v>0</v>
      </c>
      <c r="C66" s="247" t="s">
        <v>812</v>
      </c>
      <c r="D66" s="247" t="s">
        <v>16</v>
      </c>
      <c r="E66" s="491" t="s">
        <v>29</v>
      </c>
      <c r="F66" s="247" t="s">
        <v>231</v>
      </c>
      <c r="G66" s="250" t="s">
        <v>198</v>
      </c>
      <c r="H66" s="250" t="str">
        <f>+IF(C66="Controlos","Não aplicável",
IFERROR(VLOOKUP(A66&amp;"_"&amp;E66,Testes!A:Z,25,FALSE),"Não aplicável"))</f>
        <v>Concluído</v>
      </c>
      <c r="I66" s="250" t="str">
        <f>+IF(C66="Controlos",
IFERROR(VLOOKUP(E66,Controlos!B:J,9,FALSE),"Não aplicável"),
IFERROR(VLOOKUP(A66&amp;"_"&amp;E66,Testes!A:Z,26,FALSE),"Não aplicável"))</f>
        <v>Com incidências</v>
      </c>
      <c r="J66" s="250" t="s">
        <v>873</v>
      </c>
      <c r="K66" s="247"/>
      <c r="L66" s="247"/>
      <c r="M66" s="247"/>
      <c r="N66" s="108">
        <f t="shared" si="1"/>
        <v>1</v>
      </c>
    </row>
    <row r="67" spans="1:14" ht="16.5" x14ac:dyDescent="0.35">
      <c r="A67" s="442" t="str">
        <f t="shared" si="0"/>
        <v>B02.00</v>
      </c>
      <c r="B67" s="247" t="s">
        <v>0</v>
      </c>
      <c r="C67" s="247" t="s">
        <v>812</v>
      </c>
      <c r="D67" s="247" t="s">
        <v>16</v>
      </c>
      <c r="E67" s="247" t="s">
        <v>30</v>
      </c>
      <c r="F67" s="247" t="s">
        <v>154</v>
      </c>
      <c r="G67" s="250" t="s">
        <v>144</v>
      </c>
      <c r="H67" s="250" t="str">
        <f>+IF(C67="Controlos","Não aplicável",
IFERROR(VLOOKUP(A67&amp;"_"&amp;E67,Testes!A:Z,25,FALSE),"Não aplicável"))</f>
        <v>Concluído</v>
      </c>
      <c r="I67" s="250" t="str">
        <f>+IF(C67="Controlos",
IFERROR(VLOOKUP(E67,Controlos!B:J,9,FALSE),"Não aplicável"),
IFERROR(VLOOKUP(A67&amp;"_"&amp;E67,Testes!A:Z,26,FALSE),"Não aplicável"))</f>
        <v>Concluído</v>
      </c>
      <c r="J67" s="250" t="s">
        <v>911</v>
      </c>
      <c r="K67" s="247"/>
      <c r="L67" s="247"/>
      <c r="M67" s="247"/>
      <c r="N67" s="108">
        <f t="shared" si="1"/>
        <v>1</v>
      </c>
    </row>
    <row r="68" spans="1:14" ht="16.5" hidden="1" x14ac:dyDescent="0.35">
      <c r="A68" s="442" t="str">
        <f t="shared" si="0"/>
        <v>B02.00</v>
      </c>
      <c r="B68" s="247" t="s">
        <v>0</v>
      </c>
      <c r="C68" s="247" t="s">
        <v>812</v>
      </c>
      <c r="D68" s="247" t="s">
        <v>16</v>
      </c>
      <c r="E68" s="247" t="s">
        <v>31</v>
      </c>
      <c r="F68" s="247" t="s">
        <v>143</v>
      </c>
      <c r="G68" s="250" t="s">
        <v>144</v>
      </c>
      <c r="H68" s="250" t="str">
        <f>+IF(C68="Controlos","Não aplicável",
IFERROR(VLOOKUP(A68&amp;"_"&amp;E68,Testes!A:Z,25,FALSE),"Não aplicável"))</f>
        <v>Concluído</v>
      </c>
      <c r="I68" s="250" t="str">
        <f>+IF(C68="Controlos",
IFERROR(VLOOKUP(E68,Controlos!B:J,9,FALSE),"Não aplicável"),
IFERROR(VLOOKUP(A68&amp;"_"&amp;E68,Testes!A:Z,26,FALSE),"Não aplicável"))</f>
        <v>Concluído</v>
      </c>
      <c r="J68" s="250" t="s">
        <v>144</v>
      </c>
      <c r="K68" s="247"/>
      <c r="L68" s="247"/>
      <c r="M68" s="247"/>
      <c r="N68" s="108">
        <f t="shared" si="1"/>
        <v>0</v>
      </c>
    </row>
    <row r="69" spans="1:14" ht="16.5" hidden="1" x14ac:dyDescent="0.35">
      <c r="A69" s="442" t="str">
        <f t="shared" si="0"/>
        <v>B02.00</v>
      </c>
      <c r="B69" s="247" t="s">
        <v>0</v>
      </c>
      <c r="C69" s="247" t="s">
        <v>812</v>
      </c>
      <c r="D69" s="247" t="s">
        <v>16</v>
      </c>
      <c r="E69" s="247" t="s">
        <v>32</v>
      </c>
      <c r="F69" s="247" t="s">
        <v>143</v>
      </c>
      <c r="G69" s="250" t="s">
        <v>144</v>
      </c>
      <c r="H69" s="250" t="str">
        <f>+IF(C69="Controlos","Não aplicável",
IFERROR(VLOOKUP(A69&amp;"_"&amp;E69,Testes!A:Z,25,FALSE),"Não aplicável"))</f>
        <v>Concluído</v>
      </c>
      <c r="I69" s="250" t="str">
        <f>+IF(C69="Controlos",
IFERROR(VLOOKUP(E69,Controlos!B:J,9,FALSE),"Não aplicável"),
IFERROR(VLOOKUP(A69&amp;"_"&amp;E69,Testes!A:Z,26,FALSE),"Não aplicável"))</f>
        <v>Concluído</v>
      </c>
      <c r="J69" s="250" t="s">
        <v>144</v>
      </c>
      <c r="K69" s="247"/>
      <c r="L69" s="247"/>
      <c r="M69" s="247"/>
      <c r="N69" s="108">
        <f t="shared" si="1"/>
        <v>0</v>
      </c>
    </row>
    <row r="70" spans="1:14" ht="16.5" hidden="1" x14ac:dyDescent="0.35">
      <c r="A70" s="442" t="str">
        <f t="shared" si="0"/>
        <v>B02.00</v>
      </c>
      <c r="B70" s="247" t="s">
        <v>0</v>
      </c>
      <c r="C70" s="247" t="s">
        <v>812</v>
      </c>
      <c r="D70" s="247" t="s">
        <v>16</v>
      </c>
      <c r="E70" s="247" t="s">
        <v>33</v>
      </c>
      <c r="F70" s="247" t="s">
        <v>176</v>
      </c>
      <c r="G70" s="250" t="s">
        <v>144</v>
      </c>
      <c r="H70" s="250" t="str">
        <f>+IF(C70="Controlos","Não aplicável",
IFERROR(VLOOKUP(A70&amp;"_"&amp;E70,Testes!A:Z,25,FALSE),"Não aplicável"))</f>
        <v>Concluído</v>
      </c>
      <c r="I70" s="250" t="str">
        <f>+IF(C70="Controlos",
IFERROR(VLOOKUP(E70,Controlos!B:J,9,FALSE),"Não aplicável"),
IFERROR(VLOOKUP(A70&amp;"_"&amp;E70,Testes!A:Z,26,FALSE),"Não aplicável"))</f>
        <v>Concluído</v>
      </c>
      <c r="J70" s="250" t="s">
        <v>144</v>
      </c>
      <c r="K70" s="247"/>
      <c r="L70" s="247"/>
      <c r="M70" s="247"/>
      <c r="N70" s="108">
        <f t="shared" si="1"/>
        <v>0</v>
      </c>
    </row>
    <row r="71" spans="1:14" ht="16.5" hidden="1" x14ac:dyDescent="0.35">
      <c r="A71" s="442" t="str">
        <f t="shared" si="0"/>
        <v>B02.00</v>
      </c>
      <c r="B71" s="247" t="s">
        <v>0</v>
      </c>
      <c r="C71" s="247" t="s">
        <v>812</v>
      </c>
      <c r="D71" s="247" t="s">
        <v>16</v>
      </c>
      <c r="E71" s="247" t="s">
        <v>34</v>
      </c>
      <c r="F71" s="247" t="s">
        <v>143</v>
      </c>
      <c r="G71" s="250" t="s">
        <v>144</v>
      </c>
      <c r="H71" s="250" t="str">
        <f>+IF(C71="Controlos","Não aplicável",
IFERROR(VLOOKUP(A71&amp;"_"&amp;E71,Testes!A:Z,25,FALSE),"Não aplicável"))</f>
        <v>Concluído</v>
      </c>
      <c r="I71" s="250" t="str">
        <f>+IF(C71="Controlos",
IFERROR(VLOOKUP(E71,Controlos!B:J,9,FALSE),"Não aplicável"),
IFERROR(VLOOKUP(A71&amp;"_"&amp;E71,Testes!A:Z,26,FALSE),"Não aplicável"))</f>
        <v>Concluído</v>
      </c>
      <c r="J71" s="250" t="s">
        <v>144</v>
      </c>
      <c r="K71" s="247"/>
      <c r="L71" s="247"/>
      <c r="M71" s="247"/>
      <c r="N71" s="108">
        <f t="shared" si="1"/>
        <v>0</v>
      </c>
    </row>
    <row r="72" spans="1:14" ht="16.5" hidden="1" x14ac:dyDescent="0.35">
      <c r="A72" s="442" t="str">
        <f t="shared" ref="A72:A135" si="2">+IF(C72="Loan Tape",LEFT(D72,5),B72)</f>
        <v>B02.00</v>
      </c>
      <c r="B72" s="247" t="s">
        <v>0</v>
      </c>
      <c r="C72" s="247" t="s">
        <v>812</v>
      </c>
      <c r="D72" s="247" t="s">
        <v>16</v>
      </c>
      <c r="E72" s="247" t="s">
        <v>35</v>
      </c>
      <c r="F72" s="247" t="s">
        <v>143</v>
      </c>
      <c r="G72" s="250" t="s">
        <v>144</v>
      </c>
      <c r="H72" s="250" t="str">
        <f>+IF(C72="Controlos","Não aplicável",
IFERROR(VLOOKUP(A72&amp;"_"&amp;E72,Testes!A:Z,25,FALSE),"Não aplicável"))</f>
        <v>Concluído</v>
      </c>
      <c r="I72" s="250" t="str">
        <f>+IF(C72="Controlos",
IFERROR(VLOOKUP(E72,Controlos!B:J,9,FALSE),"Não aplicável"),
IFERROR(VLOOKUP(A72&amp;"_"&amp;E72,Testes!A:Z,26,FALSE),"Não aplicável"))</f>
        <v>Concluído</v>
      </c>
      <c r="J72" s="250" t="s">
        <v>144</v>
      </c>
      <c r="K72" s="247"/>
      <c r="L72" s="247"/>
      <c r="M72" s="247"/>
      <c r="N72" s="108">
        <f t="shared" si="1"/>
        <v>0</v>
      </c>
    </row>
    <row r="73" spans="1:14" ht="16.5" hidden="1" x14ac:dyDescent="0.35">
      <c r="A73" s="442" t="str">
        <f t="shared" si="2"/>
        <v>B02.00</v>
      </c>
      <c r="B73" s="247" t="s">
        <v>0</v>
      </c>
      <c r="C73" s="247" t="s">
        <v>812</v>
      </c>
      <c r="D73" s="247" t="s">
        <v>16</v>
      </c>
      <c r="E73" s="247" t="s">
        <v>36</v>
      </c>
      <c r="F73" s="247" t="s">
        <v>154</v>
      </c>
      <c r="G73" s="250" t="s">
        <v>144</v>
      </c>
      <c r="H73" s="250" t="str">
        <f>+IF(C73="Controlos","Não aplicável",
IFERROR(VLOOKUP(A73&amp;"_"&amp;E73,Testes!A:Z,25,FALSE),"Não aplicável"))</f>
        <v>Concluído</v>
      </c>
      <c r="I73" s="250" t="str">
        <f>+IF(C73="Controlos",
IFERROR(VLOOKUP(E73,Controlos!B:J,9,FALSE),"Não aplicável"),
IFERROR(VLOOKUP(A73&amp;"_"&amp;E73,Testes!A:Z,26,FALSE),"Não aplicável"))</f>
        <v>Concluído</v>
      </c>
      <c r="J73" s="250" t="s">
        <v>144</v>
      </c>
      <c r="K73" s="247"/>
      <c r="L73" s="247"/>
      <c r="M73" s="247"/>
      <c r="N73" s="108">
        <f t="shared" ref="N73:N136" si="3">+IF(I73=J73,0,1)</f>
        <v>0</v>
      </c>
    </row>
    <row r="74" spans="1:14" ht="16.5" hidden="1" x14ac:dyDescent="0.35">
      <c r="A74" s="442" t="str">
        <f t="shared" si="2"/>
        <v>B02.00</v>
      </c>
      <c r="B74" s="247" t="s">
        <v>0</v>
      </c>
      <c r="C74" s="247" t="s">
        <v>812</v>
      </c>
      <c r="D74" s="247" t="s">
        <v>16</v>
      </c>
      <c r="E74" s="491" t="s">
        <v>37</v>
      </c>
      <c r="F74" s="247" t="s">
        <v>176</v>
      </c>
      <c r="G74" s="250" t="s">
        <v>144</v>
      </c>
      <c r="H74" s="250" t="str">
        <f>+IF(C74="Controlos","Não aplicável",
IFERROR(VLOOKUP(A74&amp;"_"&amp;E74,Testes!A:Z,25,FALSE),"Não aplicável"))</f>
        <v>Concluído</v>
      </c>
      <c r="I74" s="250" t="str">
        <f>+IF(C74="Controlos",
IFERROR(VLOOKUP(E74,Controlos!B:J,9,FALSE),"Não aplicável"),
IFERROR(VLOOKUP(A74&amp;"_"&amp;E74,Testes!A:Z,26,FALSE),"Não aplicável"))</f>
        <v>Com incidências</v>
      </c>
      <c r="J74" s="250" t="s">
        <v>911</v>
      </c>
      <c r="K74" s="247"/>
      <c r="L74" s="247"/>
      <c r="M74" s="247"/>
      <c r="N74" s="108">
        <f t="shared" si="3"/>
        <v>0</v>
      </c>
    </row>
    <row r="75" spans="1:14" ht="16.5" hidden="1" x14ac:dyDescent="0.35">
      <c r="A75" s="442" t="str">
        <f t="shared" si="2"/>
        <v>B02.00</v>
      </c>
      <c r="B75" s="247" t="s">
        <v>0</v>
      </c>
      <c r="C75" s="247" t="s">
        <v>812</v>
      </c>
      <c r="D75" s="247" t="s">
        <v>16</v>
      </c>
      <c r="E75" s="247" t="s">
        <v>38</v>
      </c>
      <c r="F75" s="247" t="s">
        <v>143</v>
      </c>
      <c r="G75" s="250" t="s">
        <v>144</v>
      </c>
      <c r="H75" s="250" t="str">
        <f>+IF(C75="Controlos","Não aplicável",
IFERROR(VLOOKUP(A75&amp;"_"&amp;E75,Testes!A:Z,25,FALSE),"Não aplicável"))</f>
        <v>Concluído</v>
      </c>
      <c r="I75" s="250" t="str">
        <f>+IF(C75="Controlos",
IFERROR(VLOOKUP(E75,Controlos!B:J,9,FALSE),"Não aplicável"),
IFERROR(VLOOKUP(A75&amp;"_"&amp;E75,Testes!A:Z,26,FALSE),"Não aplicável"))</f>
        <v>Concluído</v>
      </c>
      <c r="J75" s="250" t="s">
        <v>144</v>
      </c>
      <c r="K75" s="247"/>
      <c r="L75" s="247"/>
      <c r="M75" s="247"/>
      <c r="N75" s="108">
        <f t="shared" si="3"/>
        <v>0</v>
      </c>
    </row>
    <row r="76" spans="1:14" ht="16.5" hidden="1" x14ac:dyDescent="0.35">
      <c r="A76" s="442" t="str">
        <f t="shared" si="2"/>
        <v>B02.00</v>
      </c>
      <c r="B76" s="247" t="s">
        <v>0</v>
      </c>
      <c r="C76" s="247" t="s">
        <v>812</v>
      </c>
      <c r="D76" s="247" t="s">
        <v>16</v>
      </c>
      <c r="E76" s="247" t="s">
        <v>39</v>
      </c>
      <c r="F76" s="247" t="s">
        <v>143</v>
      </c>
      <c r="G76" s="250" t="s">
        <v>144</v>
      </c>
      <c r="H76" s="250" t="str">
        <f>+IF(C76="Controlos","Não aplicável",
IFERROR(VLOOKUP(A76&amp;"_"&amp;E76,Testes!A:Z,25,FALSE),"Não aplicável"))</f>
        <v>Concluído</v>
      </c>
      <c r="I76" s="250" t="str">
        <f>+IF(C76="Controlos",
IFERROR(VLOOKUP(E76,Controlos!B:J,9,FALSE),"Não aplicável"),
IFERROR(VLOOKUP(A76&amp;"_"&amp;E76,Testes!A:Z,26,FALSE),"Não aplicável"))</f>
        <v>Concluído</v>
      </c>
      <c r="J76" s="250" t="s">
        <v>144</v>
      </c>
      <c r="K76" s="247"/>
      <c r="L76" s="247"/>
      <c r="M76" s="247"/>
      <c r="N76" s="108">
        <f t="shared" si="3"/>
        <v>0</v>
      </c>
    </row>
    <row r="77" spans="1:14" ht="16.5" hidden="1" x14ac:dyDescent="0.35">
      <c r="A77" s="442" t="str">
        <f t="shared" si="2"/>
        <v>B02.00</v>
      </c>
      <c r="B77" s="247" t="s">
        <v>0</v>
      </c>
      <c r="C77" s="247" t="s">
        <v>812</v>
      </c>
      <c r="D77" s="247" t="s">
        <v>16</v>
      </c>
      <c r="E77" s="247" t="s">
        <v>40</v>
      </c>
      <c r="F77" s="247" t="s">
        <v>154</v>
      </c>
      <c r="G77" s="250" t="s">
        <v>144</v>
      </c>
      <c r="H77" s="250" t="str">
        <f>+IF(C77="Controlos","Não aplicável",
IFERROR(VLOOKUP(A77&amp;"_"&amp;E77,Testes!A:Z,25,FALSE),"Não aplicável"))</f>
        <v>Concluído</v>
      </c>
      <c r="I77" s="250" t="str">
        <f>+IF(C77="Controlos",
IFERROR(VLOOKUP(E77,Controlos!B:J,9,FALSE),"Não aplicável"),
IFERROR(VLOOKUP(A77&amp;"_"&amp;E77,Testes!A:Z,26,FALSE),"Não aplicável"))</f>
        <v>Concluído</v>
      </c>
      <c r="J77" s="250" t="s">
        <v>144</v>
      </c>
      <c r="K77" s="247"/>
      <c r="L77" s="247"/>
      <c r="M77" s="247"/>
      <c r="N77" s="108">
        <f t="shared" si="3"/>
        <v>0</v>
      </c>
    </row>
    <row r="78" spans="1:14" ht="16.5" x14ac:dyDescent="0.35">
      <c r="A78" s="442" t="str">
        <f t="shared" si="2"/>
        <v>B02.00</v>
      </c>
      <c r="B78" s="247" t="s">
        <v>0</v>
      </c>
      <c r="C78" s="247" t="s">
        <v>812</v>
      </c>
      <c r="D78" s="247" t="s">
        <v>16</v>
      </c>
      <c r="E78" s="247" t="s">
        <v>41</v>
      </c>
      <c r="F78" s="247" t="s">
        <v>154</v>
      </c>
      <c r="G78" s="250" t="s">
        <v>144</v>
      </c>
      <c r="H78" s="250" t="str">
        <f>+IF(C78="Controlos","Não aplicável",
IFERROR(VLOOKUP(A78&amp;"_"&amp;E78,Testes!A:Z,25,FALSE),"Não aplicável"))</f>
        <v>Concluído</v>
      </c>
      <c r="I78" s="250" t="str">
        <f>+IF(C78="Controlos",
IFERROR(VLOOKUP(E78,Controlos!B:J,9,FALSE),"Não aplicável"),
IFERROR(VLOOKUP(A78&amp;"_"&amp;E78,Testes!A:Z,26,FALSE),"Não aplicável"))</f>
        <v>Concluído</v>
      </c>
      <c r="J78" s="250" t="s">
        <v>231</v>
      </c>
      <c r="K78" s="247"/>
      <c r="L78" s="247"/>
      <c r="M78" s="247"/>
      <c r="N78" s="108">
        <f t="shared" si="3"/>
        <v>1</v>
      </c>
    </row>
    <row r="79" spans="1:14" ht="16.5" hidden="1" x14ac:dyDescent="0.35">
      <c r="A79" s="442" t="str">
        <f t="shared" si="2"/>
        <v>B02.00</v>
      </c>
      <c r="B79" s="247" t="s">
        <v>0</v>
      </c>
      <c r="C79" s="247" t="s">
        <v>812</v>
      </c>
      <c r="D79" s="247" t="s">
        <v>16</v>
      </c>
      <c r="E79" s="247" t="s">
        <v>42</v>
      </c>
      <c r="F79" s="247" t="s">
        <v>143</v>
      </c>
      <c r="G79" s="250" t="s">
        <v>144</v>
      </c>
      <c r="H79" s="250" t="str">
        <f>+IF(C79="Controlos","Não aplicável",
IFERROR(VLOOKUP(A79&amp;"_"&amp;E79,Testes!A:Z,25,FALSE),"Não aplicável"))</f>
        <v>Concluído</v>
      </c>
      <c r="I79" s="250" t="str">
        <f>+IF(C79="Controlos",
IFERROR(VLOOKUP(E79,Controlos!B:J,9,FALSE),"Não aplicável"),
IFERROR(VLOOKUP(A79&amp;"_"&amp;E79,Testes!A:Z,26,FALSE),"Não aplicável"))</f>
        <v>Concluído</v>
      </c>
      <c r="J79" s="250" t="s">
        <v>144</v>
      </c>
      <c r="K79" s="247"/>
      <c r="L79" s="247"/>
      <c r="M79" s="247"/>
      <c r="N79" s="108">
        <f t="shared" si="3"/>
        <v>0</v>
      </c>
    </row>
    <row r="80" spans="1:14" ht="16.5" hidden="1" x14ac:dyDescent="0.35">
      <c r="A80" s="442" t="str">
        <f t="shared" si="2"/>
        <v>B02.00</v>
      </c>
      <c r="B80" s="247" t="s">
        <v>0</v>
      </c>
      <c r="C80" s="247" t="s">
        <v>812</v>
      </c>
      <c r="D80" s="247" t="s">
        <v>16</v>
      </c>
      <c r="E80" s="247" t="s">
        <v>43</v>
      </c>
      <c r="F80" s="247" t="s">
        <v>143</v>
      </c>
      <c r="G80" s="250" t="s">
        <v>144</v>
      </c>
      <c r="H80" s="250" t="str">
        <f>+IF(C80="Controlos","Não aplicável",
IFERROR(VLOOKUP(A80&amp;"_"&amp;E80,Testes!A:Z,25,FALSE),"Não aplicável"))</f>
        <v>Concluído</v>
      </c>
      <c r="I80" s="250" t="str">
        <f>+IF(C80="Controlos",
IFERROR(VLOOKUP(E80,Controlos!B:J,9,FALSE),"Não aplicável"),
IFERROR(VLOOKUP(A80&amp;"_"&amp;E80,Testes!A:Z,26,FALSE),"Não aplicável"))</f>
        <v>Concluído</v>
      </c>
      <c r="J80" s="250" t="s">
        <v>144</v>
      </c>
      <c r="K80" s="247"/>
      <c r="L80" s="247"/>
      <c r="M80" s="247"/>
      <c r="N80" s="108">
        <f t="shared" si="3"/>
        <v>0</v>
      </c>
    </row>
    <row r="81" spans="1:14" ht="16.5" hidden="1" x14ac:dyDescent="0.35">
      <c r="A81" s="442" t="str">
        <f t="shared" si="2"/>
        <v>B02.00</v>
      </c>
      <c r="B81" s="247" t="s">
        <v>0</v>
      </c>
      <c r="C81" s="247" t="s">
        <v>812</v>
      </c>
      <c r="D81" s="247" t="s">
        <v>16</v>
      </c>
      <c r="E81" s="247" t="s">
        <v>44</v>
      </c>
      <c r="F81" s="247" t="s">
        <v>143</v>
      </c>
      <c r="G81" s="250" t="s">
        <v>144</v>
      </c>
      <c r="H81" s="250" t="str">
        <f>+IF(C81="Controlos","Não aplicável",
IFERROR(VLOOKUP(A81&amp;"_"&amp;E81,Testes!A:Z,25,FALSE),"Não aplicável"))</f>
        <v>Concluído</v>
      </c>
      <c r="I81" s="250" t="str">
        <f>+IF(C81="Controlos",
IFERROR(VLOOKUP(E81,Controlos!B:J,9,FALSE),"Não aplicável"),
IFERROR(VLOOKUP(A81&amp;"_"&amp;E81,Testes!A:Z,26,FALSE),"Não aplicável"))</f>
        <v>Concluído</v>
      </c>
      <c r="J81" s="250" t="s">
        <v>144</v>
      </c>
      <c r="K81" s="247"/>
      <c r="L81" s="247"/>
      <c r="M81" s="247"/>
      <c r="N81" s="108">
        <f t="shared" si="3"/>
        <v>0</v>
      </c>
    </row>
    <row r="82" spans="1:14" ht="16.5" hidden="1" x14ac:dyDescent="0.35">
      <c r="A82" s="442" t="str">
        <f t="shared" si="2"/>
        <v>B02.00</v>
      </c>
      <c r="B82" s="247" t="s">
        <v>0</v>
      </c>
      <c r="C82" s="247" t="s">
        <v>812</v>
      </c>
      <c r="D82" s="247" t="s">
        <v>16</v>
      </c>
      <c r="E82" s="247" t="s">
        <v>900</v>
      </c>
      <c r="F82" s="247" t="s">
        <v>143</v>
      </c>
      <c r="G82" s="250" t="s">
        <v>144</v>
      </c>
      <c r="H82" s="250" t="str">
        <f>+IF(C82="Controlos","Não aplicável",
IFERROR(VLOOKUP(A82&amp;"_"&amp;E82,Testes!A:Z,25,FALSE),"Não aplicável"))</f>
        <v>Concluído</v>
      </c>
      <c r="I82" s="250" t="str">
        <f>+IF(C82="Controlos",
IFERROR(VLOOKUP(E82,Controlos!B:J,9,FALSE),"Não aplicável"),
IFERROR(VLOOKUP(A82&amp;"_"&amp;E82,Testes!A:Z,26,FALSE),"Não aplicável"))</f>
        <v>Concluído</v>
      </c>
      <c r="J82" s="250" t="s">
        <v>144</v>
      </c>
      <c r="K82" s="247"/>
      <c r="L82" s="247"/>
      <c r="M82" s="247"/>
      <c r="N82" s="108">
        <f t="shared" si="3"/>
        <v>0</v>
      </c>
    </row>
    <row r="83" spans="1:14" ht="16.5" hidden="1" x14ac:dyDescent="0.35">
      <c r="A83" s="442" t="str">
        <f t="shared" si="2"/>
        <v>B02.00</v>
      </c>
      <c r="B83" s="247" t="s">
        <v>0</v>
      </c>
      <c r="C83" s="247" t="s">
        <v>812</v>
      </c>
      <c r="D83" s="247" t="s">
        <v>16</v>
      </c>
      <c r="E83" s="247" t="s">
        <v>45</v>
      </c>
      <c r="F83" s="247" t="s">
        <v>143</v>
      </c>
      <c r="G83" s="250" t="s">
        <v>144</v>
      </c>
      <c r="H83" s="250" t="str">
        <f>+IF(C83="Controlos","Não aplicável",
IFERROR(VLOOKUP(A83&amp;"_"&amp;E83,Testes!A:Z,25,FALSE),"Não aplicável"))</f>
        <v>Concluído</v>
      </c>
      <c r="I83" s="250" t="str">
        <f>+IF(C83="Controlos",
IFERROR(VLOOKUP(E83,Controlos!B:J,9,FALSE),"Não aplicável"),
IFERROR(VLOOKUP(A83&amp;"_"&amp;E83,Testes!A:Z,26,FALSE),"Não aplicável"))</f>
        <v>Concluído</v>
      </c>
      <c r="J83" s="250" t="s">
        <v>144</v>
      </c>
      <c r="K83" s="247"/>
      <c r="L83" s="247"/>
      <c r="M83" s="247"/>
      <c r="N83" s="108">
        <f t="shared" si="3"/>
        <v>0</v>
      </c>
    </row>
    <row r="84" spans="1:14" ht="16.5" hidden="1" x14ac:dyDescent="0.35">
      <c r="A84" s="442" t="str">
        <f t="shared" si="2"/>
        <v>B02.00</v>
      </c>
      <c r="B84" s="247" t="s">
        <v>0</v>
      </c>
      <c r="C84" s="247" t="s">
        <v>812</v>
      </c>
      <c r="D84" s="247" t="s">
        <v>16</v>
      </c>
      <c r="E84" s="247" t="s">
        <v>46</v>
      </c>
      <c r="F84" s="247" t="s">
        <v>143</v>
      </c>
      <c r="G84" s="250" t="s">
        <v>144</v>
      </c>
      <c r="H84" s="250" t="str">
        <f>+IF(C84="Controlos","Não aplicável",
IFERROR(VLOOKUP(A84&amp;"_"&amp;E84,Testes!A:Z,25,FALSE),"Não aplicável"))</f>
        <v>Concluído</v>
      </c>
      <c r="I84" s="250" t="str">
        <f>+IF(C84="Controlos",
IFERROR(VLOOKUP(E84,Controlos!B:J,9,FALSE),"Não aplicável"),
IFERROR(VLOOKUP(A84&amp;"_"&amp;E84,Testes!A:Z,26,FALSE),"Não aplicável"))</f>
        <v>Concluído</v>
      </c>
      <c r="J84" s="250" t="s">
        <v>144</v>
      </c>
      <c r="K84" s="247"/>
      <c r="L84" s="247"/>
      <c r="M84" s="247"/>
      <c r="N84" s="108">
        <f t="shared" si="3"/>
        <v>0</v>
      </c>
    </row>
    <row r="85" spans="1:14" ht="16.5" hidden="1" x14ac:dyDescent="0.35">
      <c r="A85" s="442" t="str">
        <f t="shared" si="2"/>
        <v>B02.00</v>
      </c>
      <c r="B85" s="247" t="s">
        <v>0</v>
      </c>
      <c r="C85" s="247" t="s">
        <v>812</v>
      </c>
      <c r="D85" s="247" t="s">
        <v>16</v>
      </c>
      <c r="E85" s="247" t="s">
        <v>47</v>
      </c>
      <c r="F85" s="247" t="s">
        <v>143</v>
      </c>
      <c r="G85" s="250" t="s">
        <v>144</v>
      </c>
      <c r="H85" s="250" t="str">
        <f>+IF(C85="Controlos","Não aplicável",
IFERROR(VLOOKUP(A85&amp;"_"&amp;E85,Testes!A:Z,25,FALSE),"Não aplicável"))</f>
        <v>Concluído</v>
      </c>
      <c r="I85" s="250" t="str">
        <f>+IF(C85="Controlos",
IFERROR(VLOOKUP(E85,Controlos!B:J,9,FALSE),"Não aplicável"),
IFERROR(VLOOKUP(A85&amp;"_"&amp;E85,Testes!A:Z,26,FALSE),"Não aplicável"))</f>
        <v>Concluído</v>
      </c>
      <c r="J85" s="250" t="s">
        <v>144</v>
      </c>
      <c r="K85" s="247"/>
      <c r="L85" s="247"/>
      <c r="M85" s="247"/>
      <c r="N85" s="108">
        <f t="shared" si="3"/>
        <v>0</v>
      </c>
    </row>
    <row r="86" spans="1:14" ht="16.5" hidden="1" x14ac:dyDescent="0.35">
      <c r="A86" s="442" t="str">
        <f t="shared" si="2"/>
        <v>B02.00</v>
      </c>
      <c r="B86" s="247" t="s">
        <v>0</v>
      </c>
      <c r="C86" s="247" t="s">
        <v>812</v>
      </c>
      <c r="D86" s="247" t="s">
        <v>16</v>
      </c>
      <c r="E86" s="247" t="s">
        <v>48</v>
      </c>
      <c r="F86" s="247" t="s">
        <v>143</v>
      </c>
      <c r="G86" s="250" t="s">
        <v>144</v>
      </c>
      <c r="H86" s="250" t="str">
        <f>+IF(C86="Controlos","Não aplicável",
IFERROR(VLOOKUP(A86&amp;"_"&amp;E86,Testes!A:Z,25,FALSE),"Não aplicável"))</f>
        <v>Concluído</v>
      </c>
      <c r="I86" s="250" t="str">
        <f>+IF(C86="Controlos",
IFERROR(VLOOKUP(E86,Controlos!B:J,9,FALSE),"Não aplicável"),
IFERROR(VLOOKUP(A86&amp;"_"&amp;E86,Testes!A:Z,26,FALSE),"Não aplicável"))</f>
        <v>Concluído</v>
      </c>
      <c r="J86" s="250" t="s">
        <v>144</v>
      </c>
      <c r="K86" s="247"/>
      <c r="L86" s="247"/>
      <c r="M86" s="247"/>
      <c r="N86" s="108">
        <f t="shared" si="3"/>
        <v>0</v>
      </c>
    </row>
    <row r="87" spans="1:14" ht="16.5" hidden="1" x14ac:dyDescent="0.35">
      <c r="A87" s="442" t="str">
        <f t="shared" si="2"/>
        <v>B02.00</v>
      </c>
      <c r="B87" s="247" t="s">
        <v>0</v>
      </c>
      <c r="C87" s="247" t="s">
        <v>812</v>
      </c>
      <c r="D87" s="247" t="s">
        <v>16</v>
      </c>
      <c r="E87" s="247" t="s">
        <v>906</v>
      </c>
      <c r="F87" s="247" t="s">
        <v>143</v>
      </c>
      <c r="G87" s="250" t="s">
        <v>144</v>
      </c>
      <c r="H87" s="250" t="str">
        <f>+IF(C87="Controlos","Não aplicável",
IFERROR(VLOOKUP(A87&amp;"_"&amp;E87,Testes!A:Z,25,FALSE),"Não aplicável"))</f>
        <v>Concluído</v>
      </c>
      <c r="I87" s="250" t="str">
        <f>+IF(C87="Controlos",
IFERROR(VLOOKUP(E87,Controlos!B:J,9,FALSE),"Não aplicável"),
IFERROR(VLOOKUP(A87&amp;"_"&amp;E87,Testes!A:Z,26,FALSE),"Não aplicável"))</f>
        <v>Concluído</v>
      </c>
      <c r="J87" s="250" t="s">
        <v>144</v>
      </c>
      <c r="K87" s="247"/>
      <c r="L87" s="247"/>
      <c r="M87" s="247"/>
      <c r="N87" s="108">
        <f t="shared" si="3"/>
        <v>0</v>
      </c>
    </row>
    <row r="88" spans="1:14" ht="16.5" hidden="1" x14ac:dyDescent="0.35">
      <c r="A88" s="442" t="str">
        <f t="shared" si="2"/>
        <v>B02.00</v>
      </c>
      <c r="B88" s="247" t="s">
        <v>0</v>
      </c>
      <c r="C88" s="247" t="s">
        <v>812</v>
      </c>
      <c r="D88" s="247" t="s">
        <v>16</v>
      </c>
      <c r="E88" s="247" t="s">
        <v>49</v>
      </c>
      <c r="F88" s="247" t="s">
        <v>143</v>
      </c>
      <c r="G88" s="250" t="s">
        <v>144</v>
      </c>
      <c r="H88" s="250" t="str">
        <f>+IF(C88="Controlos","Não aplicável",
IFERROR(VLOOKUP(A88&amp;"_"&amp;E88,Testes!A:Z,25,FALSE),"Não aplicável"))</f>
        <v>Concluído</v>
      </c>
      <c r="I88" s="250" t="str">
        <f>+IF(C88="Controlos",
IFERROR(VLOOKUP(E88,Controlos!B:J,9,FALSE),"Não aplicável"),
IFERROR(VLOOKUP(A88&amp;"_"&amp;E88,Testes!A:Z,26,FALSE),"Não aplicável"))</f>
        <v>Concluído</v>
      </c>
      <c r="J88" s="250" t="s">
        <v>144</v>
      </c>
      <c r="K88" s="247"/>
      <c r="L88" s="247"/>
      <c r="M88" s="247"/>
      <c r="N88" s="108">
        <f t="shared" si="3"/>
        <v>0</v>
      </c>
    </row>
    <row r="89" spans="1:14" ht="16.5" hidden="1" x14ac:dyDescent="0.35">
      <c r="A89" s="442" t="str">
        <f t="shared" si="2"/>
        <v>B02.00</v>
      </c>
      <c r="B89" s="247" t="s">
        <v>0</v>
      </c>
      <c r="C89" s="247" t="s">
        <v>812</v>
      </c>
      <c r="D89" s="247" t="s">
        <v>16</v>
      </c>
      <c r="E89" s="247" t="s">
        <v>50</v>
      </c>
      <c r="F89" s="247" t="s">
        <v>143</v>
      </c>
      <c r="G89" s="250" t="s">
        <v>144</v>
      </c>
      <c r="H89" s="250" t="str">
        <f>+IF(C89="Controlos","Não aplicável",
IFERROR(VLOOKUP(A89&amp;"_"&amp;E89,Testes!A:Z,25,FALSE),"Não aplicável"))</f>
        <v>Concluído</v>
      </c>
      <c r="I89" s="250" t="str">
        <f>+IF(C89="Controlos",
IFERROR(VLOOKUP(E89,Controlos!B:J,9,FALSE),"Não aplicável"),
IFERROR(VLOOKUP(A89&amp;"_"&amp;E89,Testes!A:Z,26,FALSE),"Não aplicável"))</f>
        <v>Concluído</v>
      </c>
      <c r="J89" s="250" t="s">
        <v>144</v>
      </c>
      <c r="K89" s="247"/>
      <c r="L89" s="247"/>
      <c r="M89" s="247"/>
      <c r="N89" s="108">
        <f t="shared" si="3"/>
        <v>0</v>
      </c>
    </row>
    <row r="90" spans="1:14" ht="16.5" hidden="1" x14ac:dyDescent="0.35">
      <c r="A90" s="442" t="str">
        <f t="shared" si="2"/>
        <v>B02.00</v>
      </c>
      <c r="B90" s="247" t="s">
        <v>0</v>
      </c>
      <c r="C90" s="247" t="s">
        <v>812</v>
      </c>
      <c r="D90" s="247" t="s">
        <v>16</v>
      </c>
      <c r="E90" s="247" t="s">
        <v>51</v>
      </c>
      <c r="F90" s="247" t="s">
        <v>143</v>
      </c>
      <c r="G90" s="250" t="s">
        <v>144</v>
      </c>
      <c r="H90" s="250" t="str">
        <f>+IF(C90="Controlos","Não aplicável",
IFERROR(VLOOKUP(A90&amp;"_"&amp;E90,Testes!A:Z,25,FALSE),"Não aplicável"))</f>
        <v>Concluído</v>
      </c>
      <c r="I90" s="250" t="str">
        <f>+IF(C90="Controlos",
IFERROR(VLOOKUP(E90,Controlos!B:J,9,FALSE),"Não aplicável"),
IFERROR(VLOOKUP(A90&amp;"_"&amp;E90,Testes!A:Z,26,FALSE),"Não aplicável"))</f>
        <v>Concluído</v>
      </c>
      <c r="J90" s="250" t="s">
        <v>144</v>
      </c>
      <c r="K90" s="247"/>
      <c r="L90" s="247"/>
      <c r="M90" s="247"/>
      <c r="N90" s="108">
        <f t="shared" si="3"/>
        <v>0</v>
      </c>
    </row>
    <row r="91" spans="1:14" ht="16.5" hidden="1" x14ac:dyDescent="0.35">
      <c r="A91" s="442" t="str">
        <f t="shared" si="2"/>
        <v>B02.00</v>
      </c>
      <c r="B91" s="247" t="s">
        <v>0</v>
      </c>
      <c r="C91" s="247" t="s">
        <v>812</v>
      </c>
      <c r="D91" s="247" t="s">
        <v>16</v>
      </c>
      <c r="E91" s="247" t="s">
        <v>52</v>
      </c>
      <c r="F91" s="247" t="s">
        <v>143</v>
      </c>
      <c r="G91" s="250" t="s">
        <v>144</v>
      </c>
      <c r="H91" s="250" t="str">
        <f>+IF(C91="Controlos","Não aplicável",
IFERROR(VLOOKUP(A91&amp;"_"&amp;E91,Testes!A:Z,25,FALSE),"Não aplicável"))</f>
        <v>Concluído</v>
      </c>
      <c r="I91" s="250" t="str">
        <f>+IF(C91="Controlos",
IFERROR(VLOOKUP(E91,Controlos!B:J,9,FALSE),"Não aplicável"),
IFERROR(VLOOKUP(A91&amp;"_"&amp;E91,Testes!A:Z,26,FALSE),"Não aplicável"))</f>
        <v>Concluído</v>
      </c>
      <c r="J91" s="250" t="s">
        <v>144</v>
      </c>
      <c r="K91" s="247"/>
      <c r="L91" s="247"/>
      <c r="M91" s="247"/>
      <c r="N91" s="108">
        <f t="shared" si="3"/>
        <v>0</v>
      </c>
    </row>
    <row r="92" spans="1:14" ht="16.5" hidden="1" x14ac:dyDescent="0.35">
      <c r="A92" s="442" t="str">
        <f t="shared" si="2"/>
        <v>B02.00</v>
      </c>
      <c r="B92" s="247" t="s">
        <v>0</v>
      </c>
      <c r="C92" s="247" t="s">
        <v>812</v>
      </c>
      <c r="D92" s="247" t="s">
        <v>16</v>
      </c>
      <c r="E92" s="247" t="s">
        <v>53</v>
      </c>
      <c r="F92" s="247" t="s">
        <v>143</v>
      </c>
      <c r="G92" s="250" t="s">
        <v>144</v>
      </c>
      <c r="H92" s="250" t="str">
        <f>+IF(C92="Controlos","Não aplicável",
IFERROR(VLOOKUP(A92&amp;"_"&amp;E92,Testes!A:Z,25,FALSE),"Não aplicável"))</f>
        <v>Concluído</v>
      </c>
      <c r="I92" s="250" t="str">
        <f>+IF(C92="Controlos",
IFERROR(VLOOKUP(E92,Controlos!B:J,9,FALSE),"Não aplicável"),
IFERROR(VLOOKUP(A92&amp;"_"&amp;E92,Testes!A:Z,26,FALSE),"Não aplicável"))</f>
        <v>Concluído</v>
      </c>
      <c r="J92" s="250" t="s">
        <v>144</v>
      </c>
      <c r="K92" s="247"/>
      <c r="L92" s="247"/>
      <c r="M92" s="247"/>
      <c r="N92" s="108">
        <f t="shared" si="3"/>
        <v>0</v>
      </c>
    </row>
    <row r="93" spans="1:14" ht="16.5" hidden="1" x14ac:dyDescent="0.35">
      <c r="A93" s="442" t="str">
        <f t="shared" si="2"/>
        <v>B02.00</v>
      </c>
      <c r="B93" s="247" t="s">
        <v>0</v>
      </c>
      <c r="C93" s="247" t="s">
        <v>812</v>
      </c>
      <c r="D93" s="247" t="s">
        <v>16</v>
      </c>
      <c r="E93" s="441" t="s">
        <v>54</v>
      </c>
      <c r="F93" s="247" t="s">
        <v>231</v>
      </c>
      <c r="G93" s="250" t="s">
        <v>198</v>
      </c>
      <c r="H93" s="250" t="str">
        <f>+IF(C93="Controlos","Não aplicável",
IFERROR(VLOOKUP(A93&amp;"_"&amp;E93,Testes!A:Z,25,FALSE),"Não aplicável"))</f>
        <v>Concluído</v>
      </c>
      <c r="I93" s="250" t="str">
        <f>+IF(C93="Controlos",
IFERROR(VLOOKUP(E93,Controlos!B:J,9,FALSE),"Não aplicável"),
IFERROR(VLOOKUP(A93&amp;"_"&amp;E93,Testes!A:Z,26,FALSE),"Não aplicável"))</f>
        <v>Concluído</v>
      </c>
      <c r="J93" s="250" t="s">
        <v>144</v>
      </c>
      <c r="K93" s="247"/>
      <c r="L93" s="247"/>
      <c r="M93" s="247"/>
      <c r="N93" s="108">
        <f t="shared" si="3"/>
        <v>0</v>
      </c>
    </row>
    <row r="94" spans="1:14" ht="16.5" hidden="1" x14ac:dyDescent="0.35">
      <c r="A94" s="442" t="str">
        <f t="shared" si="2"/>
        <v>B02.00</v>
      </c>
      <c r="B94" s="247" t="s">
        <v>0</v>
      </c>
      <c r="C94" s="247" t="s">
        <v>812</v>
      </c>
      <c r="D94" s="247" t="s">
        <v>16</v>
      </c>
      <c r="E94" s="247" t="s">
        <v>55</v>
      </c>
      <c r="F94" s="247" t="s">
        <v>176</v>
      </c>
      <c r="G94" s="250" t="s">
        <v>144</v>
      </c>
      <c r="H94" s="250" t="str">
        <f>+IF(C94="Controlos","Não aplicável",
IFERROR(VLOOKUP(A94&amp;"_"&amp;E94,Testes!A:Z,25,FALSE),"Não aplicável"))</f>
        <v>Concluído</v>
      </c>
      <c r="I94" s="250" t="str">
        <f>+IF(C94="Controlos",
IFERROR(VLOOKUP(E94,Controlos!B:J,9,FALSE),"Não aplicável"),
IFERROR(VLOOKUP(A94&amp;"_"&amp;E94,Testes!A:Z,26,FALSE),"Não aplicável"))</f>
        <v>Concluído</v>
      </c>
      <c r="J94" s="250" t="s">
        <v>144</v>
      </c>
      <c r="K94" s="247"/>
      <c r="L94" s="247"/>
      <c r="M94" s="247"/>
      <c r="N94" s="108">
        <f t="shared" si="3"/>
        <v>0</v>
      </c>
    </row>
    <row r="95" spans="1:14" ht="16.5" hidden="1" x14ac:dyDescent="0.35">
      <c r="A95" s="442" t="str">
        <f t="shared" si="2"/>
        <v>B02.00</v>
      </c>
      <c r="B95" s="247" t="s">
        <v>0</v>
      </c>
      <c r="C95" s="247" t="s">
        <v>812</v>
      </c>
      <c r="D95" s="247" t="s">
        <v>16</v>
      </c>
      <c r="E95" s="247" t="s">
        <v>56</v>
      </c>
      <c r="F95" s="247" t="s">
        <v>176</v>
      </c>
      <c r="G95" s="250" t="s">
        <v>144</v>
      </c>
      <c r="H95" s="250" t="str">
        <f>+IF(C95="Controlos","Não aplicável",
IFERROR(VLOOKUP(A95&amp;"_"&amp;E95,Testes!A:Z,25,FALSE),"Não aplicável"))</f>
        <v>Concluído</v>
      </c>
      <c r="I95" s="250" t="str">
        <f>+IF(C95="Controlos",
IFERROR(VLOOKUP(E95,Controlos!B:J,9,FALSE),"Não aplicável"),
IFERROR(VLOOKUP(A95&amp;"_"&amp;E95,Testes!A:Z,26,FALSE),"Não aplicável"))</f>
        <v>Concluído</v>
      </c>
      <c r="J95" s="250" t="s">
        <v>144</v>
      </c>
      <c r="K95" s="247"/>
      <c r="L95" s="247"/>
      <c r="M95" s="247"/>
      <c r="N95" s="108">
        <f t="shared" si="3"/>
        <v>0</v>
      </c>
    </row>
    <row r="96" spans="1:14" ht="16.5" hidden="1" x14ac:dyDescent="0.35">
      <c r="A96" s="442" t="str">
        <f t="shared" si="2"/>
        <v>B02.00</v>
      </c>
      <c r="B96" s="247" t="s">
        <v>0</v>
      </c>
      <c r="C96" s="247" t="s">
        <v>812</v>
      </c>
      <c r="D96" s="247" t="s">
        <v>16</v>
      </c>
      <c r="E96" s="247" t="s">
        <v>57</v>
      </c>
      <c r="F96" s="247" t="s">
        <v>231</v>
      </c>
      <c r="G96" s="250" t="s">
        <v>198</v>
      </c>
      <c r="H96" s="250" t="str">
        <f>+IF(C96="Controlos","Não aplicável",
IFERROR(VLOOKUP(A96&amp;"_"&amp;E96,Testes!A:Z,25,FALSE),"Não aplicável"))</f>
        <v>Concluído</v>
      </c>
      <c r="I96" s="250" t="str">
        <f>+IF(C96="Controlos",
IFERROR(VLOOKUP(E96,Controlos!B:J,9,FALSE),"Não aplicável"),
IFERROR(VLOOKUP(A96&amp;"_"&amp;E96,Testes!A:Z,26,FALSE),"Não aplicável"))</f>
        <v>Concluído</v>
      </c>
      <c r="J96" s="250" t="s">
        <v>144</v>
      </c>
      <c r="K96" s="247"/>
      <c r="L96" s="247"/>
      <c r="M96" s="247"/>
      <c r="N96" s="108">
        <f t="shared" si="3"/>
        <v>0</v>
      </c>
    </row>
    <row r="97" spans="1:14" ht="16.5" x14ac:dyDescent="0.35">
      <c r="A97" s="442" t="str">
        <f t="shared" si="2"/>
        <v>B02.00</v>
      </c>
      <c r="B97" s="247" t="s">
        <v>0</v>
      </c>
      <c r="C97" s="247" t="s">
        <v>812</v>
      </c>
      <c r="D97" s="247" t="s">
        <v>16</v>
      </c>
      <c r="E97" s="247" t="s">
        <v>58</v>
      </c>
      <c r="F97" s="247" t="s">
        <v>231</v>
      </c>
      <c r="G97" s="250" t="s">
        <v>198</v>
      </c>
      <c r="H97" s="250" t="str">
        <f>+IF(C97="Controlos","Não aplicável",
IFERROR(VLOOKUP(A97&amp;"_"&amp;E97,Testes!A:Z,25,FALSE),"Não aplicável"))</f>
        <v>Concluído</v>
      </c>
      <c r="I97" s="250" t="str">
        <f>+IF(C97="Controlos",
IFERROR(VLOOKUP(E97,Controlos!B:J,9,FALSE),"Não aplicável"),
IFERROR(VLOOKUP(A97&amp;"_"&amp;E97,Testes!A:Z,26,FALSE),"Não aplicável"))</f>
        <v>Concluído</v>
      </c>
      <c r="J97" s="250" t="s">
        <v>873</v>
      </c>
      <c r="K97" s="247"/>
      <c r="L97" s="247"/>
      <c r="M97" s="247"/>
      <c r="N97" s="108">
        <f t="shared" si="3"/>
        <v>1</v>
      </c>
    </row>
    <row r="98" spans="1:14" ht="16.5" hidden="1" x14ac:dyDescent="0.35">
      <c r="A98" s="442" t="str">
        <f t="shared" si="2"/>
        <v>B02.00</v>
      </c>
      <c r="B98" s="247" t="s">
        <v>0</v>
      </c>
      <c r="C98" s="247" t="s">
        <v>812</v>
      </c>
      <c r="D98" s="247" t="s">
        <v>16</v>
      </c>
      <c r="E98" s="491" t="s">
        <v>59</v>
      </c>
      <c r="F98" s="247" t="s">
        <v>231</v>
      </c>
      <c r="G98" s="250" t="s">
        <v>198</v>
      </c>
      <c r="H98" s="250" t="str">
        <f>+IF(C98="Controlos","Não aplicável",
IFERROR(VLOOKUP(A98&amp;"_"&amp;E98,Testes!A:Z,25,FALSE),"Não aplicável"))</f>
        <v>Concluído</v>
      </c>
      <c r="I98" s="250" t="str">
        <f>+IF(C98="Controlos",
IFERROR(VLOOKUP(E98,Controlos!B:J,9,FALSE),"Não aplicável"),
IFERROR(VLOOKUP(A98&amp;"_"&amp;E98,Testes!A:Z,26,FALSE),"Não aplicável"))</f>
        <v>Com incidências</v>
      </c>
      <c r="J98" s="250" t="s">
        <v>911</v>
      </c>
      <c r="K98" s="247"/>
      <c r="L98" s="247"/>
      <c r="M98" s="247"/>
      <c r="N98" s="108">
        <f t="shared" si="3"/>
        <v>0</v>
      </c>
    </row>
    <row r="99" spans="1:14" ht="16.5" hidden="1" x14ac:dyDescent="0.35">
      <c r="A99" s="442" t="str">
        <f t="shared" si="2"/>
        <v>B02.00</v>
      </c>
      <c r="B99" s="247" t="s">
        <v>0</v>
      </c>
      <c r="C99" s="247" t="s">
        <v>812</v>
      </c>
      <c r="D99" s="247" t="s">
        <v>16</v>
      </c>
      <c r="E99" s="247" t="s">
        <v>60</v>
      </c>
      <c r="F99" s="247" t="s">
        <v>143</v>
      </c>
      <c r="G99" s="250" t="s">
        <v>144</v>
      </c>
      <c r="H99" s="250" t="str">
        <f>+IF(C99="Controlos","Não aplicável",
IFERROR(VLOOKUP(A99&amp;"_"&amp;E99,Testes!A:Z,25,FALSE),"Não aplicável"))</f>
        <v>Concluído</v>
      </c>
      <c r="I99" s="250" t="str">
        <f>+IF(C99="Controlos",
IFERROR(VLOOKUP(E99,Controlos!B:J,9,FALSE),"Não aplicável"),
IFERROR(VLOOKUP(A99&amp;"_"&amp;E99,Testes!A:Z,26,FALSE),"Não aplicável"))</f>
        <v>Concluído</v>
      </c>
      <c r="J99" s="250" t="s">
        <v>144</v>
      </c>
      <c r="K99" s="247"/>
      <c r="L99" s="247"/>
      <c r="M99" s="247"/>
      <c r="N99" s="108">
        <f t="shared" si="3"/>
        <v>0</v>
      </c>
    </row>
    <row r="100" spans="1:14" ht="16.5" hidden="1" x14ac:dyDescent="0.35">
      <c r="A100" s="442" t="str">
        <f t="shared" si="2"/>
        <v>B02.00</v>
      </c>
      <c r="B100" s="247" t="s">
        <v>0</v>
      </c>
      <c r="C100" s="247" t="s">
        <v>812</v>
      </c>
      <c r="D100" s="247" t="s">
        <v>16</v>
      </c>
      <c r="E100" s="247" t="s">
        <v>61</v>
      </c>
      <c r="F100" s="247" t="s">
        <v>143</v>
      </c>
      <c r="G100" s="250" t="s">
        <v>144</v>
      </c>
      <c r="H100" s="250" t="str">
        <f>+IF(C100="Controlos","Não aplicável",
IFERROR(VLOOKUP(A100&amp;"_"&amp;E100,Testes!A:Z,25,FALSE),"Não aplicável"))</f>
        <v>Concluído</v>
      </c>
      <c r="I100" s="250" t="str">
        <f>+IF(C100="Controlos",
IFERROR(VLOOKUP(E100,Controlos!B:J,9,FALSE),"Não aplicável"),
IFERROR(VLOOKUP(A100&amp;"_"&amp;E100,Testes!A:Z,26,FALSE),"Não aplicável"))</f>
        <v>Concluído</v>
      </c>
      <c r="J100" s="250" t="s">
        <v>144</v>
      </c>
      <c r="K100" s="247"/>
      <c r="L100" s="247"/>
      <c r="M100" s="247"/>
      <c r="N100" s="108">
        <f t="shared" si="3"/>
        <v>0</v>
      </c>
    </row>
    <row r="101" spans="1:14" ht="16.5" hidden="1" x14ac:dyDescent="0.35">
      <c r="A101" s="442" t="str">
        <f t="shared" si="2"/>
        <v>B02.00</v>
      </c>
      <c r="B101" s="247" t="s">
        <v>0</v>
      </c>
      <c r="C101" s="247" t="s">
        <v>812</v>
      </c>
      <c r="D101" s="247" t="s">
        <v>16</v>
      </c>
      <c r="E101" s="247" t="s">
        <v>62</v>
      </c>
      <c r="F101" s="247" t="s">
        <v>143</v>
      </c>
      <c r="G101" s="250" t="s">
        <v>144</v>
      </c>
      <c r="H101" s="250" t="str">
        <f>+IF(C101="Controlos","Não aplicável",
IFERROR(VLOOKUP(A101&amp;"_"&amp;E101,Testes!A:Z,25,FALSE),"Não aplicável"))</f>
        <v>Concluído</v>
      </c>
      <c r="I101" s="250" t="str">
        <f>+IF(C101="Controlos",
IFERROR(VLOOKUP(E101,Controlos!B:J,9,FALSE),"Não aplicável"),
IFERROR(VLOOKUP(A101&amp;"_"&amp;E101,Testes!A:Z,26,FALSE),"Não aplicável"))</f>
        <v>Concluído</v>
      </c>
      <c r="J101" s="250" t="s">
        <v>144</v>
      </c>
      <c r="K101" s="247"/>
      <c r="L101" s="247"/>
      <c r="M101" s="247"/>
      <c r="N101" s="108">
        <f t="shared" si="3"/>
        <v>0</v>
      </c>
    </row>
    <row r="102" spans="1:14" ht="16.5" hidden="1" x14ac:dyDescent="0.35">
      <c r="A102" s="442" t="str">
        <f t="shared" si="2"/>
        <v>B02.00</v>
      </c>
      <c r="B102" s="247" t="s">
        <v>0</v>
      </c>
      <c r="C102" s="247" t="s">
        <v>812</v>
      </c>
      <c r="D102" s="247" t="s">
        <v>16</v>
      </c>
      <c r="E102" s="247" t="s">
        <v>63</v>
      </c>
      <c r="F102" s="247" t="s">
        <v>143</v>
      </c>
      <c r="G102" s="250" t="s">
        <v>144</v>
      </c>
      <c r="H102" s="250" t="str">
        <f>+IF(C102="Controlos","Não aplicável",
IFERROR(VLOOKUP(A102&amp;"_"&amp;E102,Testes!A:Z,25,FALSE),"Não aplicável"))</f>
        <v>Concluído</v>
      </c>
      <c r="I102" s="250" t="str">
        <f>+IF(C102="Controlos",
IFERROR(VLOOKUP(E102,Controlos!B:J,9,FALSE),"Não aplicável"),
IFERROR(VLOOKUP(A102&amp;"_"&amp;E102,Testes!A:Z,26,FALSE),"Não aplicável"))</f>
        <v>Concluído</v>
      </c>
      <c r="J102" s="250" t="s">
        <v>144</v>
      </c>
      <c r="K102" s="247"/>
      <c r="L102" s="247"/>
      <c r="M102" s="247"/>
      <c r="N102" s="108">
        <f t="shared" si="3"/>
        <v>0</v>
      </c>
    </row>
    <row r="103" spans="1:14" ht="16.5" hidden="1" x14ac:dyDescent="0.35">
      <c r="A103" s="442" t="str">
        <f t="shared" si="2"/>
        <v>B02.00</v>
      </c>
      <c r="B103" s="247" t="s">
        <v>0</v>
      </c>
      <c r="C103" s="247" t="s">
        <v>812</v>
      </c>
      <c r="D103" s="247" t="s">
        <v>16</v>
      </c>
      <c r="E103" s="247" t="s">
        <v>64</v>
      </c>
      <c r="F103" s="247" t="s">
        <v>143</v>
      </c>
      <c r="G103" s="250" t="s">
        <v>144</v>
      </c>
      <c r="H103" s="250" t="str">
        <f>+IF(C103="Controlos","Não aplicável",
IFERROR(VLOOKUP(A103&amp;"_"&amp;E103,Testes!A:Z,25,FALSE),"Não aplicável"))</f>
        <v>Concluído</v>
      </c>
      <c r="I103" s="250" t="str">
        <f>+IF(C103="Controlos",
IFERROR(VLOOKUP(E103,Controlos!B:J,9,FALSE),"Não aplicável"),
IFERROR(VLOOKUP(A103&amp;"_"&amp;E103,Testes!A:Z,26,FALSE),"Não aplicável"))</f>
        <v>Concluído</v>
      </c>
      <c r="J103" s="250" t="s">
        <v>144</v>
      </c>
      <c r="K103" s="247"/>
      <c r="L103" s="247"/>
      <c r="M103" s="247"/>
      <c r="N103" s="108">
        <f t="shared" si="3"/>
        <v>0</v>
      </c>
    </row>
    <row r="104" spans="1:14" ht="16.5" hidden="1" x14ac:dyDescent="0.35">
      <c r="A104" s="442" t="str">
        <f t="shared" si="2"/>
        <v>B02.00</v>
      </c>
      <c r="B104" s="247" t="s">
        <v>0</v>
      </c>
      <c r="C104" s="247" t="s">
        <v>812</v>
      </c>
      <c r="D104" s="247" t="s">
        <v>16</v>
      </c>
      <c r="E104" s="247" t="s">
        <v>65</v>
      </c>
      <c r="F104" s="247" t="s">
        <v>143</v>
      </c>
      <c r="G104" s="250" t="s">
        <v>144</v>
      </c>
      <c r="H104" s="250" t="str">
        <f>+IF(C104="Controlos","Não aplicável",
IFERROR(VLOOKUP(A104&amp;"_"&amp;E104,Testes!A:Z,25,FALSE),"Não aplicável"))</f>
        <v>Concluído</v>
      </c>
      <c r="I104" s="250" t="str">
        <f>+IF(C104="Controlos",
IFERROR(VLOOKUP(E104,Controlos!B:J,9,FALSE),"Não aplicável"),
IFERROR(VLOOKUP(A104&amp;"_"&amp;E104,Testes!A:Z,26,FALSE),"Não aplicável"))</f>
        <v>Concluído</v>
      </c>
      <c r="J104" s="250" t="s">
        <v>144</v>
      </c>
      <c r="K104" s="247"/>
      <c r="L104" s="247"/>
      <c r="M104" s="247"/>
      <c r="N104" s="108">
        <f t="shared" si="3"/>
        <v>0</v>
      </c>
    </row>
    <row r="105" spans="1:14" ht="16.5" hidden="1" x14ac:dyDescent="0.35">
      <c r="A105" s="442" t="str">
        <f t="shared" si="2"/>
        <v>B02.00</v>
      </c>
      <c r="B105" s="247" t="s">
        <v>0</v>
      </c>
      <c r="C105" s="247" t="s">
        <v>812</v>
      </c>
      <c r="D105" s="247" t="s">
        <v>16</v>
      </c>
      <c r="E105" s="247" t="s">
        <v>66</v>
      </c>
      <c r="F105" s="247" t="s">
        <v>176</v>
      </c>
      <c r="G105" s="250" t="s">
        <v>144</v>
      </c>
      <c r="H105" s="250" t="str">
        <f>+IF(C105="Controlos","Não aplicável",
IFERROR(VLOOKUP(A105&amp;"_"&amp;E105,Testes!A:Z,25,FALSE),"Não aplicável"))</f>
        <v>Concluído</v>
      </c>
      <c r="I105" s="250" t="str">
        <f>+IF(C105="Controlos",
IFERROR(VLOOKUP(E105,Controlos!B:J,9,FALSE),"Não aplicável"),
IFERROR(VLOOKUP(A105&amp;"_"&amp;E105,Testes!A:Z,26,FALSE),"Não aplicável"))</f>
        <v>Concluído</v>
      </c>
      <c r="J105" s="250" t="s">
        <v>144</v>
      </c>
      <c r="K105" s="247"/>
      <c r="L105" s="247"/>
      <c r="M105" s="247"/>
      <c r="N105" s="108">
        <f t="shared" si="3"/>
        <v>0</v>
      </c>
    </row>
    <row r="106" spans="1:14" ht="16.5" hidden="1" x14ac:dyDescent="0.35">
      <c r="A106" s="442" t="str">
        <f t="shared" si="2"/>
        <v>B02.00</v>
      </c>
      <c r="B106" s="247" t="s">
        <v>0</v>
      </c>
      <c r="C106" s="247" t="s">
        <v>812</v>
      </c>
      <c r="D106" s="247" t="s">
        <v>16</v>
      </c>
      <c r="E106" s="247" t="s">
        <v>67</v>
      </c>
      <c r="F106" s="247" t="s">
        <v>176</v>
      </c>
      <c r="G106" s="250" t="s">
        <v>144</v>
      </c>
      <c r="H106" s="250" t="str">
        <f>+IF(C106="Controlos","Não aplicável",
IFERROR(VLOOKUP(A106&amp;"_"&amp;E106,Testes!A:Z,25,FALSE),"Não aplicável"))</f>
        <v>Concluído</v>
      </c>
      <c r="I106" s="250" t="str">
        <f>+IF(C106="Controlos",
IFERROR(VLOOKUP(E106,Controlos!B:J,9,FALSE),"Não aplicável"),
IFERROR(VLOOKUP(A106&amp;"_"&amp;E106,Testes!A:Z,26,FALSE),"Não aplicável"))</f>
        <v>Concluído</v>
      </c>
      <c r="J106" s="250" t="s">
        <v>144</v>
      </c>
      <c r="K106" s="247"/>
      <c r="L106" s="247"/>
      <c r="M106" s="247"/>
      <c r="N106" s="108">
        <f t="shared" si="3"/>
        <v>0</v>
      </c>
    </row>
    <row r="107" spans="1:14" ht="16.5" hidden="1" x14ac:dyDescent="0.35">
      <c r="A107" s="442" t="str">
        <f t="shared" si="2"/>
        <v>B02.00</v>
      </c>
      <c r="B107" s="247" t="s">
        <v>0</v>
      </c>
      <c r="C107" s="247" t="s">
        <v>812</v>
      </c>
      <c r="D107" s="247" t="s">
        <v>16</v>
      </c>
      <c r="E107" s="247" t="s">
        <v>68</v>
      </c>
      <c r="F107" s="247" t="s">
        <v>143</v>
      </c>
      <c r="G107" s="250" t="s">
        <v>144</v>
      </c>
      <c r="H107" s="250" t="str">
        <f>+IF(C107="Controlos","Não aplicável",
IFERROR(VLOOKUP(A107&amp;"_"&amp;E107,Testes!A:Z,25,FALSE),"Não aplicável"))</f>
        <v>Concluído</v>
      </c>
      <c r="I107" s="250" t="str">
        <f>+IF(C107="Controlos",
IFERROR(VLOOKUP(E107,Controlos!B:J,9,FALSE),"Não aplicável"),
IFERROR(VLOOKUP(A107&amp;"_"&amp;E107,Testes!A:Z,26,FALSE),"Não aplicável"))</f>
        <v>Concluído</v>
      </c>
      <c r="J107" s="250" t="s">
        <v>144</v>
      </c>
      <c r="K107" s="247"/>
      <c r="L107" s="247"/>
      <c r="M107" s="247"/>
      <c r="N107" s="108">
        <f t="shared" si="3"/>
        <v>0</v>
      </c>
    </row>
    <row r="108" spans="1:14" ht="16.5" hidden="1" x14ac:dyDescent="0.35">
      <c r="A108" s="442" t="str">
        <f t="shared" si="2"/>
        <v>B02.00</v>
      </c>
      <c r="B108" s="247" t="s">
        <v>0</v>
      </c>
      <c r="C108" s="247" t="s">
        <v>812</v>
      </c>
      <c r="D108" s="247" t="s">
        <v>16</v>
      </c>
      <c r="E108" s="247" t="s">
        <v>69</v>
      </c>
      <c r="F108" s="247" t="s">
        <v>176</v>
      </c>
      <c r="G108" s="250" t="s">
        <v>144</v>
      </c>
      <c r="H108" s="250" t="str">
        <f>+IF(C108="Controlos","Não aplicável",
IFERROR(VLOOKUP(A108&amp;"_"&amp;E108,Testes!A:Z,25,FALSE),"Não aplicável"))</f>
        <v>Concluído</v>
      </c>
      <c r="I108" s="250" t="str">
        <f>+IF(C108="Controlos",
IFERROR(VLOOKUP(E108,Controlos!B:J,9,FALSE),"Não aplicável"),
IFERROR(VLOOKUP(A108&amp;"_"&amp;E108,Testes!A:Z,26,FALSE),"Não aplicável"))</f>
        <v>Concluído</v>
      </c>
      <c r="J108" s="250" t="s">
        <v>144</v>
      </c>
      <c r="K108" s="247"/>
      <c r="L108" s="247"/>
      <c r="M108" s="247"/>
      <c r="N108" s="108">
        <f t="shared" si="3"/>
        <v>0</v>
      </c>
    </row>
    <row r="109" spans="1:14" ht="16.5" hidden="1" x14ac:dyDescent="0.35">
      <c r="A109" s="442" t="str">
        <f t="shared" si="2"/>
        <v>B02.00</v>
      </c>
      <c r="B109" s="247" t="s">
        <v>0</v>
      </c>
      <c r="C109" s="247" t="s">
        <v>812</v>
      </c>
      <c r="D109" s="247" t="s">
        <v>16</v>
      </c>
      <c r="E109" s="247" t="s">
        <v>70</v>
      </c>
      <c r="F109" s="247" t="s">
        <v>176</v>
      </c>
      <c r="G109" s="250" t="s">
        <v>144</v>
      </c>
      <c r="H109" s="250" t="str">
        <f>+IF(C109="Controlos","Não aplicável",
IFERROR(VLOOKUP(A109&amp;"_"&amp;E109,Testes!A:Z,25,FALSE),"Não aplicável"))</f>
        <v>Concluído</v>
      </c>
      <c r="I109" s="250" t="str">
        <f>+IF(C109="Controlos",
IFERROR(VLOOKUP(E109,Controlos!B:J,9,FALSE),"Não aplicável"),
IFERROR(VLOOKUP(A109&amp;"_"&amp;E109,Testes!A:Z,26,FALSE),"Não aplicável"))</f>
        <v>Concluído</v>
      </c>
      <c r="J109" s="250" t="s">
        <v>144</v>
      </c>
      <c r="K109" s="247"/>
      <c r="L109" s="247"/>
      <c r="M109" s="247"/>
      <c r="N109" s="108">
        <f t="shared" si="3"/>
        <v>0</v>
      </c>
    </row>
    <row r="110" spans="1:14" ht="16.5" hidden="1" x14ac:dyDescent="0.35">
      <c r="A110" s="442" t="str">
        <f t="shared" si="2"/>
        <v>B02.00</v>
      </c>
      <c r="B110" s="247" t="s">
        <v>0</v>
      </c>
      <c r="C110" s="247" t="s">
        <v>812</v>
      </c>
      <c r="D110" s="247" t="s">
        <v>16</v>
      </c>
      <c r="E110" s="247" t="s">
        <v>71</v>
      </c>
      <c r="F110" s="247" t="s">
        <v>143</v>
      </c>
      <c r="G110" s="250" t="s">
        <v>144</v>
      </c>
      <c r="H110" s="250" t="str">
        <f>+IF(C110="Controlos","Não aplicável",
IFERROR(VLOOKUP(A110&amp;"_"&amp;E110,Testes!A:Z,25,FALSE),"Não aplicável"))</f>
        <v>Concluído</v>
      </c>
      <c r="I110" s="250" t="str">
        <f>+IF(C110="Controlos",
IFERROR(VLOOKUP(E110,Controlos!B:J,9,FALSE),"Não aplicável"),
IFERROR(VLOOKUP(A110&amp;"_"&amp;E110,Testes!A:Z,26,FALSE),"Não aplicável"))</f>
        <v>Concluído</v>
      </c>
      <c r="J110" s="250" t="s">
        <v>144</v>
      </c>
      <c r="K110" s="247"/>
      <c r="L110" s="247"/>
      <c r="M110" s="247"/>
      <c r="N110" s="108">
        <f t="shared" si="3"/>
        <v>0</v>
      </c>
    </row>
    <row r="111" spans="1:14" ht="16.5" hidden="1" x14ac:dyDescent="0.35">
      <c r="A111" s="442" t="str">
        <f t="shared" si="2"/>
        <v>B02.00</v>
      </c>
      <c r="B111" s="247" t="s">
        <v>0</v>
      </c>
      <c r="C111" s="247" t="s">
        <v>812</v>
      </c>
      <c r="D111" s="247" t="s">
        <v>16</v>
      </c>
      <c r="E111" s="247" t="s">
        <v>72</v>
      </c>
      <c r="F111" s="247" t="s">
        <v>143</v>
      </c>
      <c r="G111" s="250" t="s">
        <v>144</v>
      </c>
      <c r="H111" s="250" t="str">
        <f>+IF(C111="Controlos","Não aplicável",
IFERROR(VLOOKUP(A111&amp;"_"&amp;E111,Testes!A:Z,25,FALSE),"Não aplicável"))</f>
        <v>Concluído</v>
      </c>
      <c r="I111" s="250" t="str">
        <f>+IF(C111="Controlos",
IFERROR(VLOOKUP(E111,Controlos!B:J,9,FALSE),"Não aplicável"),
IFERROR(VLOOKUP(A111&amp;"_"&amp;E111,Testes!A:Z,26,FALSE),"Não aplicável"))</f>
        <v>Concluído</v>
      </c>
      <c r="J111" s="250" t="s">
        <v>144</v>
      </c>
      <c r="K111" s="247"/>
      <c r="L111" s="247"/>
      <c r="M111" s="247"/>
      <c r="N111" s="108">
        <f t="shared" si="3"/>
        <v>0</v>
      </c>
    </row>
    <row r="112" spans="1:14" ht="16.5" hidden="1" x14ac:dyDescent="0.35">
      <c r="A112" s="442" t="str">
        <f t="shared" si="2"/>
        <v>B02.00</v>
      </c>
      <c r="B112" s="247" t="s">
        <v>0</v>
      </c>
      <c r="C112" s="247" t="s">
        <v>812</v>
      </c>
      <c r="D112" s="247" t="s">
        <v>16</v>
      </c>
      <c r="E112" s="247" t="s">
        <v>910</v>
      </c>
      <c r="F112" s="247" t="s">
        <v>143</v>
      </c>
      <c r="G112" s="250" t="s">
        <v>144</v>
      </c>
      <c r="H112" s="250" t="str">
        <f>+IF(C112="Controlos","Não aplicável",
IFERROR(VLOOKUP(A112&amp;"_"&amp;E112,Testes!A:Z,25,FALSE),"Não aplicável"))</f>
        <v>Concluído</v>
      </c>
      <c r="I112" s="250" t="str">
        <f>+IF(C112="Controlos",
IFERROR(VLOOKUP(E112,Controlos!B:J,9,FALSE),"Não aplicável"),
IFERROR(VLOOKUP(A112&amp;"_"&amp;E112,Testes!A:Z,26,FALSE),"Não aplicável"))</f>
        <v>Concluído</v>
      </c>
      <c r="J112" s="250" t="s">
        <v>144</v>
      </c>
      <c r="K112" s="247"/>
      <c r="L112" s="247"/>
      <c r="M112" s="247"/>
      <c r="N112" s="108">
        <f t="shared" si="3"/>
        <v>0</v>
      </c>
    </row>
    <row r="113" spans="1:14" ht="16.5" hidden="1" x14ac:dyDescent="0.35">
      <c r="A113" s="442" t="str">
        <f t="shared" si="2"/>
        <v>B02.00</v>
      </c>
      <c r="B113" s="247" t="s">
        <v>0</v>
      </c>
      <c r="C113" s="247" t="s">
        <v>812</v>
      </c>
      <c r="D113" s="247" t="s">
        <v>16</v>
      </c>
      <c r="E113" s="247" t="s">
        <v>73</v>
      </c>
      <c r="F113" s="247" t="s">
        <v>143</v>
      </c>
      <c r="G113" s="250" t="s">
        <v>144</v>
      </c>
      <c r="H113" s="250" t="str">
        <f>+IF(C113="Controlos","Não aplicável",
IFERROR(VLOOKUP(A113&amp;"_"&amp;E113,Testes!A:Z,25,FALSE),"Não aplicável"))</f>
        <v>Concluído</v>
      </c>
      <c r="I113" s="250" t="str">
        <f>+IF(C113="Controlos",
IFERROR(VLOOKUP(E113,Controlos!B:J,9,FALSE),"Não aplicável"),
IFERROR(VLOOKUP(A113&amp;"_"&amp;E113,Testes!A:Z,26,FALSE),"Não aplicável"))</f>
        <v>Concluído</v>
      </c>
      <c r="J113" s="250" t="s">
        <v>144</v>
      </c>
      <c r="K113" s="247"/>
      <c r="L113" s="247"/>
      <c r="M113" s="247"/>
      <c r="N113" s="108">
        <f t="shared" si="3"/>
        <v>0</v>
      </c>
    </row>
    <row r="114" spans="1:14" ht="16.5" hidden="1" x14ac:dyDescent="0.35">
      <c r="A114" s="442" t="str">
        <f t="shared" si="2"/>
        <v>B02.00</v>
      </c>
      <c r="B114" s="247" t="s">
        <v>0</v>
      </c>
      <c r="C114" s="247" t="s">
        <v>812</v>
      </c>
      <c r="D114" s="247" t="s">
        <v>16</v>
      </c>
      <c r="E114" s="247" t="s">
        <v>74</v>
      </c>
      <c r="F114" s="247" t="s">
        <v>143</v>
      </c>
      <c r="G114" s="250" t="s">
        <v>144</v>
      </c>
      <c r="H114" s="250" t="str">
        <f>+IF(C114="Controlos","Não aplicável",
IFERROR(VLOOKUP(A114&amp;"_"&amp;E114,Testes!A:Z,25,FALSE),"Não aplicável"))</f>
        <v>Concluído</v>
      </c>
      <c r="I114" s="250" t="str">
        <f>+IF(C114="Controlos",
IFERROR(VLOOKUP(E114,Controlos!B:J,9,FALSE),"Não aplicável"),
IFERROR(VLOOKUP(A114&amp;"_"&amp;E114,Testes!A:Z,26,FALSE),"Não aplicável"))</f>
        <v>Concluído</v>
      </c>
      <c r="J114" s="250" t="s">
        <v>144</v>
      </c>
      <c r="K114" s="247"/>
      <c r="L114" s="247"/>
      <c r="M114" s="247"/>
      <c r="N114" s="108">
        <f t="shared" si="3"/>
        <v>0</v>
      </c>
    </row>
    <row r="115" spans="1:14" ht="16.5" hidden="1" x14ac:dyDescent="0.35">
      <c r="A115" s="442" t="str">
        <f t="shared" si="2"/>
        <v>B02.00</v>
      </c>
      <c r="B115" s="247" t="s">
        <v>0</v>
      </c>
      <c r="C115" s="247" t="s">
        <v>812</v>
      </c>
      <c r="D115" s="247" t="s">
        <v>16</v>
      </c>
      <c r="E115" s="247" t="s">
        <v>75</v>
      </c>
      <c r="F115" s="247" t="s">
        <v>143</v>
      </c>
      <c r="G115" s="250" t="s">
        <v>144</v>
      </c>
      <c r="H115" s="250" t="str">
        <f>+IF(C115="Controlos","Não aplicável",
IFERROR(VLOOKUP(A115&amp;"_"&amp;E115,Testes!A:Z,25,FALSE),"Não aplicável"))</f>
        <v>Concluído</v>
      </c>
      <c r="I115" s="250" t="str">
        <f>+IF(C115="Controlos",
IFERROR(VLOOKUP(E115,Controlos!B:J,9,FALSE),"Não aplicável"),
IFERROR(VLOOKUP(A115&amp;"_"&amp;E115,Testes!A:Z,26,FALSE),"Não aplicável"))</f>
        <v>Concluído</v>
      </c>
      <c r="J115" s="250" t="s">
        <v>144</v>
      </c>
      <c r="K115" s="247"/>
      <c r="L115" s="247"/>
      <c r="M115" s="247"/>
      <c r="N115" s="108">
        <f t="shared" si="3"/>
        <v>0</v>
      </c>
    </row>
    <row r="116" spans="1:14" ht="16.5" hidden="1" x14ac:dyDescent="0.35">
      <c r="A116" s="442" t="str">
        <f t="shared" si="2"/>
        <v>B02.00</v>
      </c>
      <c r="B116" s="247" t="s">
        <v>0</v>
      </c>
      <c r="C116" s="247" t="s">
        <v>812</v>
      </c>
      <c r="D116" s="247" t="s">
        <v>16</v>
      </c>
      <c r="E116" s="247" t="s">
        <v>76</v>
      </c>
      <c r="F116" s="247" t="s">
        <v>143</v>
      </c>
      <c r="G116" s="250" t="s">
        <v>144</v>
      </c>
      <c r="H116" s="250" t="str">
        <f>+IF(C116="Controlos","Não aplicável",
IFERROR(VLOOKUP(A116&amp;"_"&amp;E116,Testes!A:Z,25,FALSE),"Não aplicável"))</f>
        <v>Concluído</v>
      </c>
      <c r="I116" s="250" t="str">
        <f>+IF(C116="Controlos",
IFERROR(VLOOKUP(E116,Controlos!B:J,9,FALSE),"Não aplicável"),
IFERROR(VLOOKUP(A116&amp;"_"&amp;E116,Testes!A:Z,26,FALSE),"Não aplicável"))</f>
        <v>Concluído</v>
      </c>
      <c r="J116" s="250" t="s">
        <v>144</v>
      </c>
      <c r="K116" s="247"/>
      <c r="L116" s="247"/>
      <c r="M116" s="247"/>
      <c r="N116" s="108">
        <f t="shared" si="3"/>
        <v>0</v>
      </c>
    </row>
    <row r="117" spans="1:14" ht="16.5" hidden="1" x14ac:dyDescent="0.35">
      <c r="A117" s="442" t="str">
        <f t="shared" si="2"/>
        <v>B02.00</v>
      </c>
      <c r="B117" s="247" t="s">
        <v>0</v>
      </c>
      <c r="C117" s="247" t="s">
        <v>812</v>
      </c>
      <c r="D117" s="247" t="s">
        <v>16</v>
      </c>
      <c r="E117" s="247" t="s">
        <v>77</v>
      </c>
      <c r="F117" s="247" t="s">
        <v>143</v>
      </c>
      <c r="G117" s="250" t="s">
        <v>144</v>
      </c>
      <c r="H117" s="250" t="str">
        <f>+IF(C117="Controlos","Não aplicável",
IFERROR(VLOOKUP(A117&amp;"_"&amp;E117,Testes!A:Z,25,FALSE),"Não aplicável"))</f>
        <v>Concluído</v>
      </c>
      <c r="I117" s="250" t="str">
        <f>+IF(C117="Controlos",
IFERROR(VLOOKUP(E117,Controlos!B:J,9,FALSE),"Não aplicável"),
IFERROR(VLOOKUP(A117&amp;"_"&amp;E117,Testes!A:Z,26,FALSE),"Não aplicável"))</f>
        <v>Concluído</v>
      </c>
      <c r="J117" s="250" t="s">
        <v>144</v>
      </c>
      <c r="K117" s="247"/>
      <c r="L117" s="247"/>
      <c r="M117" s="247"/>
      <c r="N117" s="108">
        <f t="shared" si="3"/>
        <v>0</v>
      </c>
    </row>
    <row r="118" spans="1:14" ht="16.5" hidden="1" x14ac:dyDescent="0.35">
      <c r="A118" s="442" t="str">
        <f t="shared" si="2"/>
        <v>B02.00</v>
      </c>
      <c r="B118" s="247" t="s">
        <v>0</v>
      </c>
      <c r="C118" s="247" t="s">
        <v>812</v>
      </c>
      <c r="D118" s="247" t="s">
        <v>16</v>
      </c>
      <c r="E118" s="247" t="s">
        <v>78</v>
      </c>
      <c r="F118" s="247" t="s">
        <v>143</v>
      </c>
      <c r="G118" s="250" t="s">
        <v>144</v>
      </c>
      <c r="H118" s="250" t="str">
        <f>+IF(C118="Controlos","Não aplicável",
IFERROR(VLOOKUP(A118&amp;"_"&amp;E118,Testes!A:Z,25,FALSE),"Não aplicável"))</f>
        <v>Concluído</v>
      </c>
      <c r="I118" s="250" t="str">
        <f>+IF(C118="Controlos",
IFERROR(VLOOKUP(E118,Controlos!B:J,9,FALSE),"Não aplicável"),
IFERROR(VLOOKUP(A118&amp;"_"&amp;E118,Testes!A:Z,26,FALSE),"Não aplicável"))</f>
        <v>Concluído</v>
      </c>
      <c r="J118" s="250" t="s">
        <v>144</v>
      </c>
      <c r="K118" s="247"/>
      <c r="L118" s="247"/>
      <c r="M118" s="247"/>
      <c r="N118" s="108">
        <f t="shared" si="3"/>
        <v>0</v>
      </c>
    </row>
    <row r="119" spans="1:14" ht="16.5" hidden="1" x14ac:dyDescent="0.35">
      <c r="A119" s="442" t="str">
        <f t="shared" si="2"/>
        <v>B02.00</v>
      </c>
      <c r="B119" s="247" t="s">
        <v>0</v>
      </c>
      <c r="C119" s="247" t="s">
        <v>812</v>
      </c>
      <c r="D119" s="247" t="s">
        <v>16</v>
      </c>
      <c r="E119" s="247" t="s">
        <v>79</v>
      </c>
      <c r="F119" s="247" t="s">
        <v>143</v>
      </c>
      <c r="G119" s="250" t="s">
        <v>144</v>
      </c>
      <c r="H119" s="250" t="str">
        <f>+IF(C119="Controlos","Não aplicável",
IFERROR(VLOOKUP(A119&amp;"_"&amp;E119,Testes!A:Z,25,FALSE),"Não aplicável"))</f>
        <v>Concluído</v>
      </c>
      <c r="I119" s="250" t="str">
        <f>+IF(C119="Controlos",
IFERROR(VLOOKUP(E119,Controlos!B:J,9,FALSE),"Não aplicável"),
IFERROR(VLOOKUP(A119&amp;"_"&amp;E119,Testes!A:Z,26,FALSE),"Não aplicável"))</f>
        <v>Concluído</v>
      </c>
      <c r="J119" s="250" t="s">
        <v>144</v>
      </c>
      <c r="K119" s="247"/>
      <c r="L119" s="247"/>
      <c r="M119" s="247"/>
      <c r="N119" s="108">
        <f t="shared" si="3"/>
        <v>0</v>
      </c>
    </row>
    <row r="120" spans="1:14" ht="16.5" hidden="1" x14ac:dyDescent="0.35">
      <c r="A120" s="442" t="str">
        <f t="shared" si="2"/>
        <v>B02.00</v>
      </c>
      <c r="B120" s="247" t="s">
        <v>0</v>
      </c>
      <c r="C120" s="247" t="s">
        <v>812</v>
      </c>
      <c r="D120" s="247" t="s">
        <v>16</v>
      </c>
      <c r="E120" s="247" t="s">
        <v>80</v>
      </c>
      <c r="F120" s="247" t="s">
        <v>176</v>
      </c>
      <c r="G120" s="250" t="s">
        <v>144</v>
      </c>
      <c r="H120" s="250" t="str">
        <f>+IF(C120="Controlos","Não aplicável",
IFERROR(VLOOKUP(A120&amp;"_"&amp;E120,Testes!A:Z,25,FALSE),"Não aplicável"))</f>
        <v>Concluído</v>
      </c>
      <c r="I120" s="250" t="str">
        <f>+IF(C120="Controlos",
IFERROR(VLOOKUP(E120,Controlos!B:J,9,FALSE),"Não aplicável"),
IFERROR(VLOOKUP(A120&amp;"_"&amp;E120,Testes!A:Z,26,FALSE),"Não aplicável"))</f>
        <v>Concluído</v>
      </c>
      <c r="J120" s="250" t="s">
        <v>144</v>
      </c>
      <c r="K120" s="247"/>
      <c r="L120" s="247"/>
      <c r="M120" s="247"/>
      <c r="N120" s="108">
        <f t="shared" si="3"/>
        <v>0</v>
      </c>
    </row>
    <row r="121" spans="1:14" ht="16.5" hidden="1" x14ac:dyDescent="0.35">
      <c r="A121" s="442" t="str">
        <f t="shared" si="2"/>
        <v>B02.00</v>
      </c>
      <c r="B121" s="247" t="s">
        <v>0</v>
      </c>
      <c r="C121" s="247" t="s">
        <v>812</v>
      </c>
      <c r="D121" s="247" t="s">
        <v>16</v>
      </c>
      <c r="E121" s="247" t="s">
        <v>81</v>
      </c>
      <c r="F121" s="247" t="s">
        <v>176</v>
      </c>
      <c r="G121" s="250" t="s">
        <v>144</v>
      </c>
      <c r="H121" s="250" t="str">
        <f>+IF(C121="Controlos","Não aplicável",
IFERROR(VLOOKUP(A121&amp;"_"&amp;E121,Testes!A:Z,25,FALSE),"Não aplicável"))</f>
        <v>Concluído</v>
      </c>
      <c r="I121" s="250" t="str">
        <f>+IF(C121="Controlos",
IFERROR(VLOOKUP(E121,Controlos!B:J,9,FALSE),"Não aplicável"),
IFERROR(VLOOKUP(A121&amp;"_"&amp;E121,Testes!A:Z,26,FALSE),"Não aplicável"))</f>
        <v>Concluído</v>
      </c>
      <c r="J121" s="250" t="s">
        <v>144</v>
      </c>
      <c r="K121" s="247"/>
      <c r="L121" s="247"/>
      <c r="M121" s="247"/>
      <c r="N121" s="108">
        <f t="shared" si="3"/>
        <v>0</v>
      </c>
    </row>
    <row r="122" spans="1:14" ht="16.5" hidden="1" x14ac:dyDescent="0.35">
      <c r="A122" s="442" t="str">
        <f t="shared" si="2"/>
        <v>B02.00</v>
      </c>
      <c r="B122" s="247" t="s">
        <v>0</v>
      </c>
      <c r="C122" s="247" t="s">
        <v>812</v>
      </c>
      <c r="D122" s="247" t="s">
        <v>16</v>
      </c>
      <c r="E122" s="247" t="s">
        <v>82</v>
      </c>
      <c r="F122" s="247" t="s">
        <v>143</v>
      </c>
      <c r="G122" s="250" t="s">
        <v>144</v>
      </c>
      <c r="H122" s="250" t="str">
        <f>+IF(C122="Controlos","Não aplicável",
IFERROR(VLOOKUP(A122&amp;"_"&amp;E122,Testes!A:Z,25,FALSE),"Não aplicável"))</f>
        <v>Concluído</v>
      </c>
      <c r="I122" s="250" t="str">
        <f>+IF(C122="Controlos",
IFERROR(VLOOKUP(E122,Controlos!B:J,9,FALSE),"Não aplicável"),
IFERROR(VLOOKUP(A122&amp;"_"&amp;E122,Testes!A:Z,26,FALSE),"Não aplicável"))</f>
        <v>Concluído</v>
      </c>
      <c r="J122" s="250" t="s">
        <v>144</v>
      </c>
      <c r="K122" s="247"/>
      <c r="L122" s="247"/>
      <c r="M122" s="247"/>
      <c r="N122" s="108">
        <f t="shared" si="3"/>
        <v>0</v>
      </c>
    </row>
    <row r="123" spans="1:14" ht="16.5" hidden="1" x14ac:dyDescent="0.35">
      <c r="A123" s="442" t="str">
        <f t="shared" si="2"/>
        <v>B02.00</v>
      </c>
      <c r="B123" s="247" t="s">
        <v>0</v>
      </c>
      <c r="C123" s="247" t="s">
        <v>812</v>
      </c>
      <c r="D123" s="247" t="s">
        <v>16</v>
      </c>
      <c r="E123" s="247" t="s">
        <v>83</v>
      </c>
      <c r="F123" s="247" t="s">
        <v>143</v>
      </c>
      <c r="G123" s="250" t="s">
        <v>144</v>
      </c>
      <c r="H123" s="250" t="str">
        <f>+IF(C123="Controlos","Não aplicável",
IFERROR(VLOOKUP(A123&amp;"_"&amp;E123,Testes!A:Z,25,FALSE),"Não aplicável"))</f>
        <v>Concluído</v>
      </c>
      <c r="I123" s="250" t="str">
        <f>+IF(C123="Controlos",
IFERROR(VLOOKUP(E123,Controlos!B:J,9,FALSE),"Não aplicável"),
IFERROR(VLOOKUP(A123&amp;"_"&amp;E123,Testes!A:Z,26,FALSE),"Não aplicável"))</f>
        <v>Concluído</v>
      </c>
      <c r="J123" s="250" t="s">
        <v>144</v>
      </c>
      <c r="K123" s="247"/>
      <c r="L123" s="247"/>
      <c r="M123" s="247"/>
      <c r="N123" s="108">
        <f t="shared" si="3"/>
        <v>0</v>
      </c>
    </row>
    <row r="124" spans="1:14" ht="16.5" hidden="1" x14ac:dyDescent="0.35">
      <c r="A124" s="442" t="str">
        <f t="shared" si="2"/>
        <v>B02.00</v>
      </c>
      <c r="B124" s="247" t="s">
        <v>0</v>
      </c>
      <c r="C124" s="247" t="s">
        <v>812</v>
      </c>
      <c r="D124" s="247" t="s">
        <v>16</v>
      </c>
      <c r="E124" s="247" t="s">
        <v>84</v>
      </c>
      <c r="F124" s="247" t="s">
        <v>143</v>
      </c>
      <c r="G124" s="250" t="s">
        <v>144</v>
      </c>
      <c r="H124" s="250" t="str">
        <f>+IF(C124="Controlos","Não aplicável",
IFERROR(VLOOKUP(A124&amp;"_"&amp;E124,Testes!A:Z,25,FALSE),"Não aplicável"))</f>
        <v>Concluído</v>
      </c>
      <c r="I124" s="250" t="str">
        <f>+IF(C124="Controlos",
IFERROR(VLOOKUP(E124,Controlos!B:J,9,FALSE),"Não aplicável"),
IFERROR(VLOOKUP(A124&amp;"_"&amp;E124,Testes!A:Z,26,FALSE),"Não aplicável"))</f>
        <v>Concluído</v>
      </c>
      <c r="J124" s="250" t="s">
        <v>144</v>
      </c>
      <c r="K124" s="247"/>
      <c r="L124" s="247"/>
      <c r="M124" s="247"/>
      <c r="N124" s="108">
        <f t="shared" si="3"/>
        <v>0</v>
      </c>
    </row>
    <row r="125" spans="1:14" ht="16.5" hidden="1" x14ac:dyDescent="0.35">
      <c r="A125" s="442" t="str">
        <f t="shared" si="2"/>
        <v>B02.00</v>
      </c>
      <c r="B125" s="247" t="s">
        <v>0</v>
      </c>
      <c r="C125" s="247" t="s">
        <v>812</v>
      </c>
      <c r="D125" s="247" t="s">
        <v>16</v>
      </c>
      <c r="E125" s="247" t="s">
        <v>85</v>
      </c>
      <c r="F125" s="247" t="s">
        <v>143</v>
      </c>
      <c r="G125" s="250" t="s">
        <v>144</v>
      </c>
      <c r="H125" s="250" t="str">
        <f>+IF(C125="Controlos","Não aplicável",
IFERROR(VLOOKUP(A125&amp;"_"&amp;E125,Testes!A:Z,25,FALSE),"Não aplicável"))</f>
        <v>Concluído</v>
      </c>
      <c r="I125" s="250" t="str">
        <f>+IF(C125="Controlos",
IFERROR(VLOOKUP(E125,Controlos!B:J,9,FALSE),"Não aplicável"),
IFERROR(VLOOKUP(A125&amp;"_"&amp;E125,Testes!A:Z,26,FALSE),"Não aplicável"))</f>
        <v>Concluído</v>
      </c>
      <c r="J125" s="250" t="s">
        <v>144</v>
      </c>
      <c r="K125" s="247"/>
      <c r="L125" s="247"/>
      <c r="M125" s="247"/>
      <c r="N125" s="108">
        <f t="shared" si="3"/>
        <v>0</v>
      </c>
    </row>
    <row r="126" spans="1:14" ht="16.5" hidden="1" x14ac:dyDescent="0.35">
      <c r="A126" s="442" t="str">
        <f t="shared" si="2"/>
        <v>B02.00</v>
      </c>
      <c r="B126" s="247" t="s">
        <v>0</v>
      </c>
      <c r="C126" s="247" t="s">
        <v>812</v>
      </c>
      <c r="D126" s="247" t="s">
        <v>16</v>
      </c>
      <c r="E126" s="247" t="s">
        <v>86</v>
      </c>
      <c r="F126" s="247" t="s">
        <v>143</v>
      </c>
      <c r="G126" s="250" t="s">
        <v>144</v>
      </c>
      <c r="H126" s="250" t="str">
        <f>+IF(C126="Controlos","Não aplicável",
IFERROR(VLOOKUP(A126&amp;"_"&amp;E126,Testes!A:Z,25,FALSE),"Não aplicável"))</f>
        <v>Concluído</v>
      </c>
      <c r="I126" s="250" t="str">
        <f>+IF(C126="Controlos",
IFERROR(VLOOKUP(E126,Controlos!B:J,9,FALSE),"Não aplicável"),
IFERROR(VLOOKUP(A126&amp;"_"&amp;E126,Testes!A:Z,26,FALSE),"Não aplicável"))</f>
        <v>Concluído</v>
      </c>
      <c r="J126" s="250" t="s">
        <v>144</v>
      </c>
      <c r="K126" s="247"/>
      <c r="L126" s="247"/>
      <c r="M126" s="247"/>
      <c r="N126" s="108">
        <f t="shared" si="3"/>
        <v>0</v>
      </c>
    </row>
    <row r="127" spans="1:14" ht="16.5" hidden="1" x14ac:dyDescent="0.35">
      <c r="A127" s="442" t="str">
        <f t="shared" si="2"/>
        <v>B02.00</v>
      </c>
      <c r="B127" s="247" t="s">
        <v>0</v>
      </c>
      <c r="C127" s="247" t="s">
        <v>812</v>
      </c>
      <c r="D127" s="247" t="s">
        <v>16</v>
      </c>
      <c r="E127" s="247" t="s">
        <v>87</v>
      </c>
      <c r="F127" s="247" t="s">
        <v>143</v>
      </c>
      <c r="G127" s="250" t="s">
        <v>144</v>
      </c>
      <c r="H127" s="250" t="str">
        <f>+IF(C127="Controlos","Não aplicável",
IFERROR(VLOOKUP(A127&amp;"_"&amp;E127,Testes!A:Z,25,FALSE),"Não aplicável"))</f>
        <v>Concluído</v>
      </c>
      <c r="I127" s="250" t="str">
        <f>+IF(C127="Controlos",
IFERROR(VLOOKUP(E127,Controlos!B:J,9,FALSE),"Não aplicável"),
IFERROR(VLOOKUP(A127&amp;"_"&amp;E127,Testes!A:Z,26,FALSE),"Não aplicável"))</f>
        <v>Concluído</v>
      </c>
      <c r="J127" s="250" t="s">
        <v>144</v>
      </c>
      <c r="K127" s="247"/>
      <c r="L127" s="247"/>
      <c r="M127" s="247"/>
      <c r="N127" s="108">
        <f t="shared" si="3"/>
        <v>0</v>
      </c>
    </row>
    <row r="128" spans="1:14" ht="16.5" hidden="1" x14ac:dyDescent="0.35">
      <c r="A128" s="442" t="str">
        <f t="shared" si="2"/>
        <v>B02.00</v>
      </c>
      <c r="B128" s="247" t="s">
        <v>0</v>
      </c>
      <c r="C128" s="247" t="s">
        <v>812</v>
      </c>
      <c r="D128" s="247" t="s">
        <v>16</v>
      </c>
      <c r="E128" s="247" t="s">
        <v>88</v>
      </c>
      <c r="F128" s="247" t="s">
        <v>143</v>
      </c>
      <c r="G128" s="250" t="s">
        <v>144</v>
      </c>
      <c r="H128" s="250" t="str">
        <f>+IF(C128="Controlos","Não aplicável",
IFERROR(VLOOKUP(A128&amp;"_"&amp;E128,Testes!A:Z,25,FALSE),"Não aplicável"))</f>
        <v>Concluído</v>
      </c>
      <c r="I128" s="250" t="str">
        <f>+IF(C128="Controlos",
IFERROR(VLOOKUP(E128,Controlos!B:J,9,FALSE),"Não aplicável"),
IFERROR(VLOOKUP(A128&amp;"_"&amp;E128,Testes!A:Z,26,FALSE),"Não aplicável"))</f>
        <v>Concluído</v>
      </c>
      <c r="J128" s="250" t="s">
        <v>144</v>
      </c>
      <c r="K128" s="247"/>
      <c r="L128" s="247"/>
      <c r="M128" s="247"/>
      <c r="N128" s="108">
        <f t="shared" si="3"/>
        <v>0</v>
      </c>
    </row>
    <row r="129" spans="1:14" ht="16.5" hidden="1" x14ac:dyDescent="0.35">
      <c r="A129" s="442" t="str">
        <f t="shared" si="2"/>
        <v>B02.00</v>
      </c>
      <c r="B129" s="247" t="s">
        <v>0</v>
      </c>
      <c r="C129" s="247" t="s">
        <v>812</v>
      </c>
      <c r="D129" s="247" t="s">
        <v>16</v>
      </c>
      <c r="E129" s="247" t="s">
        <v>89</v>
      </c>
      <c r="F129" s="247" t="s">
        <v>154</v>
      </c>
      <c r="G129" s="250" t="s">
        <v>144</v>
      </c>
      <c r="H129" s="250" t="str">
        <f>+IF(C129="Controlos","Não aplicável",
IFERROR(VLOOKUP(A129&amp;"_"&amp;E129,Testes!A:Z,25,FALSE),"Não aplicável"))</f>
        <v>Concluído</v>
      </c>
      <c r="I129" s="250" t="str">
        <f>+IF(C129="Controlos",
IFERROR(VLOOKUP(E129,Controlos!B:J,9,FALSE),"Não aplicável"),
IFERROR(VLOOKUP(A129&amp;"_"&amp;E129,Testes!A:Z,26,FALSE),"Não aplicável"))</f>
        <v>Concluído</v>
      </c>
      <c r="J129" s="250" t="s">
        <v>144</v>
      </c>
      <c r="K129" s="247"/>
      <c r="L129" s="247"/>
      <c r="M129" s="247"/>
      <c r="N129" s="108">
        <f t="shared" si="3"/>
        <v>0</v>
      </c>
    </row>
    <row r="130" spans="1:14" ht="16.5" hidden="1" x14ac:dyDescent="0.35">
      <c r="A130" s="442" t="str">
        <f t="shared" si="2"/>
        <v>B02.00</v>
      </c>
      <c r="B130" s="247" t="s">
        <v>0</v>
      </c>
      <c r="C130" s="247" t="s">
        <v>812</v>
      </c>
      <c r="D130" s="247" t="s">
        <v>16</v>
      </c>
      <c r="E130" s="247" t="s">
        <v>90</v>
      </c>
      <c r="F130" s="247" t="s">
        <v>154</v>
      </c>
      <c r="G130" s="250" t="s">
        <v>144</v>
      </c>
      <c r="H130" s="250" t="str">
        <f>+IF(C130="Controlos","Não aplicável",
IFERROR(VLOOKUP(A130&amp;"_"&amp;E130,Testes!A:Z,25,FALSE),"Não aplicável"))</f>
        <v>Concluído</v>
      </c>
      <c r="I130" s="250" t="str">
        <f>+IF(C130="Controlos",
IFERROR(VLOOKUP(E130,Controlos!B:J,9,FALSE),"Não aplicável"),
IFERROR(VLOOKUP(A130&amp;"_"&amp;E130,Testes!A:Z,26,FALSE),"Não aplicável"))</f>
        <v>Concluído</v>
      </c>
      <c r="J130" s="250" t="s">
        <v>144</v>
      </c>
      <c r="K130" s="247" t="s">
        <v>912</v>
      </c>
      <c r="L130" s="247"/>
      <c r="M130" s="247"/>
      <c r="N130" s="108">
        <f t="shared" si="3"/>
        <v>0</v>
      </c>
    </row>
    <row r="131" spans="1:14" ht="16.5" hidden="1" x14ac:dyDescent="0.35">
      <c r="A131" s="442" t="str">
        <f t="shared" si="2"/>
        <v>B02.00</v>
      </c>
      <c r="B131" s="247" t="s">
        <v>0</v>
      </c>
      <c r="C131" s="247" t="s">
        <v>812</v>
      </c>
      <c r="D131" s="247" t="s">
        <v>16</v>
      </c>
      <c r="E131" s="247" t="s">
        <v>91</v>
      </c>
      <c r="F131" s="247" t="s">
        <v>143</v>
      </c>
      <c r="G131" s="250" t="s">
        <v>144</v>
      </c>
      <c r="H131" s="250" t="str">
        <f>+IF(C131="Controlos","Não aplicável",
IFERROR(VLOOKUP(A131&amp;"_"&amp;E131,Testes!A:Z,25,FALSE),"Não aplicável"))</f>
        <v>Concluído</v>
      </c>
      <c r="I131" s="250" t="str">
        <f>+IF(C131="Controlos",
IFERROR(VLOOKUP(E131,Controlos!B:J,9,FALSE),"Não aplicável"),
IFERROR(VLOOKUP(A131&amp;"_"&amp;E131,Testes!A:Z,26,FALSE),"Não aplicável"))</f>
        <v>Concluído</v>
      </c>
      <c r="J131" s="250" t="s">
        <v>144</v>
      </c>
      <c r="K131" s="247"/>
      <c r="L131" s="247"/>
      <c r="M131" s="247"/>
      <c r="N131" s="108">
        <f t="shared" si="3"/>
        <v>0</v>
      </c>
    </row>
    <row r="132" spans="1:14" ht="16.5" hidden="1" x14ac:dyDescent="0.35">
      <c r="A132" s="442" t="str">
        <f t="shared" si="2"/>
        <v>B02.00</v>
      </c>
      <c r="B132" s="247" t="s">
        <v>0</v>
      </c>
      <c r="C132" s="247" t="s">
        <v>812</v>
      </c>
      <c r="D132" s="247" t="s">
        <v>16</v>
      </c>
      <c r="E132" s="247" t="s">
        <v>92</v>
      </c>
      <c r="F132" s="247" t="s">
        <v>143</v>
      </c>
      <c r="G132" s="250" t="s">
        <v>144</v>
      </c>
      <c r="H132" s="250" t="str">
        <f>+IF(C132="Controlos","Não aplicável",
IFERROR(VLOOKUP(A132&amp;"_"&amp;E132,Testes!A:Z,25,FALSE),"Não aplicável"))</f>
        <v>Concluído</v>
      </c>
      <c r="I132" s="250" t="str">
        <f>+IF(C132="Controlos",
IFERROR(VLOOKUP(E132,Controlos!B:J,9,FALSE),"Não aplicável"),
IFERROR(VLOOKUP(A132&amp;"_"&amp;E132,Testes!A:Z,26,FALSE),"Não aplicável"))</f>
        <v>Concluído</v>
      </c>
      <c r="J132" s="250" t="s">
        <v>144</v>
      </c>
      <c r="K132" s="247"/>
      <c r="L132" s="247"/>
      <c r="M132" s="247"/>
      <c r="N132" s="108">
        <f t="shared" si="3"/>
        <v>0</v>
      </c>
    </row>
    <row r="133" spans="1:14" ht="16.5" hidden="1" x14ac:dyDescent="0.35">
      <c r="A133" s="442" t="str">
        <f t="shared" si="2"/>
        <v>B02.00</v>
      </c>
      <c r="B133" s="247" t="s">
        <v>0</v>
      </c>
      <c r="C133" s="247" t="s">
        <v>812</v>
      </c>
      <c r="D133" s="247" t="s">
        <v>16</v>
      </c>
      <c r="E133" s="247" t="s">
        <v>93</v>
      </c>
      <c r="F133" s="247" t="s">
        <v>143</v>
      </c>
      <c r="G133" s="250" t="s">
        <v>144</v>
      </c>
      <c r="H133" s="250" t="str">
        <f>+IF(C133="Controlos","Não aplicável",
IFERROR(VLOOKUP(A133&amp;"_"&amp;E133,Testes!A:Z,25,FALSE),"Não aplicável"))</f>
        <v>Concluído</v>
      </c>
      <c r="I133" s="250" t="str">
        <f>+IF(C133="Controlos",
IFERROR(VLOOKUP(E133,Controlos!B:J,9,FALSE),"Não aplicável"),
IFERROR(VLOOKUP(A133&amp;"_"&amp;E133,Testes!A:Z,26,FALSE),"Não aplicável"))</f>
        <v>Concluído</v>
      </c>
      <c r="J133" s="250" t="s">
        <v>144</v>
      </c>
      <c r="K133" s="247"/>
      <c r="L133" s="247"/>
      <c r="M133" s="247"/>
      <c r="N133" s="108">
        <f t="shared" si="3"/>
        <v>0</v>
      </c>
    </row>
    <row r="134" spans="1:14" ht="16.5" hidden="1" x14ac:dyDescent="0.35">
      <c r="A134" s="442" t="str">
        <f t="shared" si="2"/>
        <v>B02.00</v>
      </c>
      <c r="B134" s="247" t="s">
        <v>0</v>
      </c>
      <c r="C134" s="247" t="s">
        <v>812</v>
      </c>
      <c r="D134" s="247" t="s">
        <v>16</v>
      </c>
      <c r="E134" s="247" t="s">
        <v>94</v>
      </c>
      <c r="F134" s="247" t="s">
        <v>143</v>
      </c>
      <c r="G134" s="250" t="s">
        <v>144</v>
      </c>
      <c r="H134" s="250" t="str">
        <f>+IF(C134="Controlos","Não aplicável",
IFERROR(VLOOKUP(A134&amp;"_"&amp;E134,Testes!A:Z,25,FALSE),"Não aplicável"))</f>
        <v>Concluído</v>
      </c>
      <c r="I134" s="250" t="str">
        <f>+IF(C134="Controlos",
IFERROR(VLOOKUP(E134,Controlos!B:J,9,FALSE),"Não aplicável"),
IFERROR(VLOOKUP(A134&amp;"_"&amp;E134,Testes!A:Z,26,FALSE),"Não aplicável"))</f>
        <v>Concluído</v>
      </c>
      <c r="J134" s="250" t="s">
        <v>144</v>
      </c>
      <c r="K134" s="247"/>
      <c r="L134" s="247"/>
      <c r="M134" s="247"/>
      <c r="N134" s="108">
        <f t="shared" si="3"/>
        <v>0</v>
      </c>
    </row>
    <row r="135" spans="1:14" ht="16.5" hidden="1" x14ac:dyDescent="0.35">
      <c r="A135" s="442" t="str">
        <f t="shared" si="2"/>
        <v>B02.00</v>
      </c>
      <c r="B135" s="247" t="s">
        <v>0</v>
      </c>
      <c r="C135" s="331" t="s">
        <v>899</v>
      </c>
      <c r="D135" s="247" t="s">
        <v>16</v>
      </c>
      <c r="E135" s="247" t="s">
        <v>1169</v>
      </c>
      <c r="F135" s="247" t="s">
        <v>891</v>
      </c>
      <c r="G135" s="250" t="s">
        <v>891</v>
      </c>
      <c r="H135" s="250" t="str">
        <f>+IF(C135="Controlos","Não aplicável",
IFERROR(VLOOKUP(A135&amp;"_"&amp;E135,Testes!A:Z,25,FALSE),"Não aplicável"))</f>
        <v>Não aplicável</v>
      </c>
      <c r="I135" s="250" t="str">
        <f>+IF(C135="Controlos",
IFERROR(VLOOKUP(E135,Controlos!B:J,9,FALSE),"Não aplicável"),
IFERROR(VLOOKUP(A135&amp;"_"&amp;E135,Testes!A:Z,26,FALSE),"Não aplicável"))</f>
        <v>Concluído</v>
      </c>
      <c r="J135" s="250" t="s">
        <v>144</v>
      </c>
      <c r="K135" s="247"/>
      <c r="L135" s="247"/>
      <c r="M135" s="247"/>
      <c r="N135" s="108">
        <f t="shared" si="3"/>
        <v>0</v>
      </c>
    </row>
    <row r="136" spans="1:14" ht="16.5" hidden="1" x14ac:dyDescent="0.35">
      <c r="A136" s="442" t="str">
        <f t="shared" ref="A136:A199" si="4">+IF(C136="Loan Tape",LEFT(D136,5),B136)</f>
        <v>B02.00</v>
      </c>
      <c r="B136" s="247" t="s">
        <v>0</v>
      </c>
      <c r="C136" s="331" t="s">
        <v>899</v>
      </c>
      <c r="D136" s="247" t="s">
        <v>16</v>
      </c>
      <c r="E136" s="247" t="s">
        <v>1170</v>
      </c>
      <c r="F136" s="247" t="s">
        <v>891</v>
      </c>
      <c r="G136" s="250" t="s">
        <v>891</v>
      </c>
      <c r="H136" s="250" t="str">
        <f>+IF(C136="Controlos","Não aplicável",
IFERROR(VLOOKUP(A136&amp;"_"&amp;E136,Testes!A:Z,25,FALSE),"Não aplicável"))</f>
        <v>Não aplicável</v>
      </c>
      <c r="I136" s="250" t="str">
        <f>+IF(C136="Controlos",
IFERROR(VLOOKUP(E136,Controlos!B:J,9,FALSE),"Não aplicável"),
IFERROR(VLOOKUP(A136&amp;"_"&amp;E136,Testes!A:Z,26,FALSE),"Não aplicável"))</f>
        <v>Concluído</v>
      </c>
      <c r="J136" s="250" t="s">
        <v>144</v>
      </c>
      <c r="K136" s="247"/>
      <c r="L136" s="247"/>
      <c r="M136" s="247"/>
      <c r="N136" s="108">
        <f t="shared" si="3"/>
        <v>0</v>
      </c>
    </row>
    <row r="137" spans="1:14" ht="16.5" hidden="1" x14ac:dyDescent="0.35">
      <c r="A137" s="442" t="str">
        <f t="shared" si="4"/>
        <v>B02.00</v>
      </c>
      <c r="B137" s="247" t="s">
        <v>0</v>
      </c>
      <c r="C137" s="331" t="s">
        <v>899</v>
      </c>
      <c r="D137" s="247" t="s">
        <v>16</v>
      </c>
      <c r="E137" s="247" t="s">
        <v>1171</v>
      </c>
      <c r="F137" s="247" t="s">
        <v>891</v>
      </c>
      <c r="G137" s="250" t="s">
        <v>891</v>
      </c>
      <c r="H137" s="250" t="str">
        <f>+IF(C137="Controlos","Não aplicável",
IFERROR(VLOOKUP(A137&amp;"_"&amp;E137,Testes!A:Z,25,FALSE),"Não aplicável"))</f>
        <v>Não aplicável</v>
      </c>
      <c r="I137" s="250" t="str">
        <f>+IF(C137="Controlos",
IFERROR(VLOOKUP(E137,Controlos!B:J,9,FALSE),"Não aplicável"),
IFERROR(VLOOKUP(A137&amp;"_"&amp;E137,Testes!A:Z,26,FALSE),"Não aplicável"))</f>
        <v>Concluído</v>
      </c>
      <c r="J137" s="250" t="s">
        <v>144</v>
      </c>
      <c r="K137" s="247"/>
      <c r="L137" s="247"/>
      <c r="M137" s="247"/>
      <c r="N137" s="108">
        <f t="shared" ref="N137:N200" si="5">+IF(I137=J137,0,1)</f>
        <v>0</v>
      </c>
    </row>
    <row r="138" spans="1:14" ht="16.5" hidden="1" x14ac:dyDescent="0.35">
      <c r="A138" s="442" t="str">
        <f t="shared" si="4"/>
        <v>B02.00</v>
      </c>
      <c r="B138" s="247" t="s">
        <v>0</v>
      </c>
      <c r="C138" s="331" t="s">
        <v>899</v>
      </c>
      <c r="D138" s="247" t="s">
        <v>16</v>
      </c>
      <c r="E138" s="247" t="s">
        <v>1172</v>
      </c>
      <c r="F138" s="247" t="s">
        <v>891</v>
      </c>
      <c r="G138" s="250" t="s">
        <v>891</v>
      </c>
      <c r="H138" s="250" t="str">
        <f>+IF(C138="Controlos","Não aplicável",
IFERROR(VLOOKUP(A138&amp;"_"&amp;E138,Testes!A:Z,25,FALSE),"Não aplicável"))</f>
        <v>Não aplicável</v>
      </c>
      <c r="I138" s="250" t="str">
        <f>+IF(C138="Controlos",
IFERROR(VLOOKUP(E138,Controlos!B:J,9,FALSE),"Não aplicável"),
IFERROR(VLOOKUP(A138&amp;"_"&amp;E138,Testes!A:Z,26,FALSE),"Não aplicável"))</f>
        <v>Concluído</v>
      </c>
      <c r="J138" s="250" t="s">
        <v>144</v>
      </c>
      <c r="K138" s="247"/>
      <c r="L138" s="247"/>
      <c r="M138" s="247"/>
      <c r="N138" s="108">
        <f t="shared" si="5"/>
        <v>0</v>
      </c>
    </row>
    <row r="139" spans="1:14" ht="16.5" hidden="1" x14ac:dyDescent="0.35">
      <c r="A139" s="442" t="str">
        <f t="shared" si="4"/>
        <v>B02.00</v>
      </c>
      <c r="B139" s="247" t="s">
        <v>0</v>
      </c>
      <c r="C139" s="331" t="s">
        <v>899</v>
      </c>
      <c r="D139" s="247" t="s">
        <v>16</v>
      </c>
      <c r="E139" s="247" t="s">
        <v>1173</v>
      </c>
      <c r="F139" s="247" t="s">
        <v>891</v>
      </c>
      <c r="G139" s="250" t="s">
        <v>891</v>
      </c>
      <c r="H139" s="250" t="str">
        <f>+IF(C139="Controlos","Não aplicável",
IFERROR(VLOOKUP(A139&amp;"_"&amp;E139,Testes!A:Z,25,FALSE),"Não aplicável"))</f>
        <v>Não aplicável</v>
      </c>
      <c r="I139" s="250" t="str">
        <f>+IF(C139="Controlos",
IFERROR(VLOOKUP(E139,Controlos!B:J,9,FALSE),"Não aplicável"),
IFERROR(VLOOKUP(A139&amp;"_"&amp;E139,Testes!A:Z,26,FALSE),"Não aplicável"))</f>
        <v>Concluído</v>
      </c>
      <c r="J139" s="250" t="s">
        <v>144</v>
      </c>
      <c r="K139" s="247"/>
      <c r="L139" s="247"/>
      <c r="M139" s="247"/>
      <c r="N139" s="108">
        <f t="shared" si="5"/>
        <v>0</v>
      </c>
    </row>
    <row r="140" spans="1:14" ht="16.5" hidden="1" x14ac:dyDescent="0.35">
      <c r="A140" s="442" t="str">
        <f t="shared" si="4"/>
        <v>B02.00</v>
      </c>
      <c r="B140" s="247" t="s">
        <v>0</v>
      </c>
      <c r="C140" s="331" t="s">
        <v>899</v>
      </c>
      <c r="D140" s="247" t="s">
        <v>16</v>
      </c>
      <c r="E140" s="247" t="s">
        <v>1174</v>
      </c>
      <c r="F140" s="247" t="s">
        <v>891</v>
      </c>
      <c r="G140" s="250" t="s">
        <v>891</v>
      </c>
      <c r="H140" s="250" t="str">
        <f>+IF(C140="Controlos","Não aplicável",
IFERROR(VLOOKUP(A140&amp;"_"&amp;E140,Testes!A:Z,25,FALSE),"Não aplicável"))</f>
        <v>Não aplicável</v>
      </c>
      <c r="I140" s="250" t="str">
        <f>+IF(C140="Controlos",
IFERROR(VLOOKUP(E140,Controlos!B:J,9,FALSE),"Não aplicável"),
IFERROR(VLOOKUP(A140&amp;"_"&amp;E140,Testes!A:Z,26,FALSE),"Não aplicável"))</f>
        <v>Concluído</v>
      </c>
      <c r="J140" s="250" t="s">
        <v>144</v>
      </c>
      <c r="K140" s="247"/>
      <c r="L140" s="247"/>
      <c r="M140" s="247"/>
      <c r="N140" s="108">
        <f t="shared" si="5"/>
        <v>0</v>
      </c>
    </row>
    <row r="141" spans="1:14" ht="16.5" hidden="1" x14ac:dyDescent="0.35">
      <c r="A141" s="442" t="str">
        <f t="shared" si="4"/>
        <v>B02.00</v>
      </c>
      <c r="B141" s="247" t="s">
        <v>0</v>
      </c>
      <c r="C141" s="331" t="s">
        <v>899</v>
      </c>
      <c r="D141" s="247" t="s">
        <v>16</v>
      </c>
      <c r="E141" s="247" t="s">
        <v>1175</v>
      </c>
      <c r="F141" s="247" t="s">
        <v>891</v>
      </c>
      <c r="G141" s="250" t="s">
        <v>891</v>
      </c>
      <c r="H141" s="250" t="str">
        <f>+IF(C141="Controlos","Não aplicável",
IFERROR(VLOOKUP(A141&amp;"_"&amp;E141,Testes!A:Z,25,FALSE),"Não aplicável"))</f>
        <v>Não aplicável</v>
      </c>
      <c r="I141" s="250" t="str">
        <f>+IF(C141="Controlos",
IFERROR(VLOOKUP(E141,Controlos!B:J,9,FALSE),"Não aplicável"),
IFERROR(VLOOKUP(A141&amp;"_"&amp;E141,Testes!A:Z,26,FALSE),"Não aplicável"))</f>
        <v>Concluído</v>
      </c>
      <c r="J141" s="250" t="s">
        <v>144</v>
      </c>
      <c r="K141" s="247"/>
      <c r="L141" s="247"/>
      <c r="M141" s="247"/>
      <c r="N141" s="108">
        <f t="shared" si="5"/>
        <v>0</v>
      </c>
    </row>
    <row r="142" spans="1:14" ht="16.5" hidden="1" x14ac:dyDescent="0.35">
      <c r="A142" s="442" t="str">
        <f t="shared" si="4"/>
        <v>B02.00</v>
      </c>
      <c r="B142" s="247" t="s">
        <v>0</v>
      </c>
      <c r="C142" s="331" t="s">
        <v>899</v>
      </c>
      <c r="D142" s="247" t="s">
        <v>16</v>
      </c>
      <c r="E142" s="247" t="s">
        <v>1176</v>
      </c>
      <c r="F142" s="247" t="s">
        <v>891</v>
      </c>
      <c r="G142" s="250" t="s">
        <v>891</v>
      </c>
      <c r="H142" s="250" t="str">
        <f>+IF(C142="Controlos","Não aplicável",
IFERROR(VLOOKUP(A142&amp;"_"&amp;E142,Testes!A:Z,25,FALSE),"Não aplicável"))</f>
        <v>Não aplicável</v>
      </c>
      <c r="I142" s="250" t="str">
        <f>+IF(C142="Controlos",
IFERROR(VLOOKUP(E142,Controlos!B:J,9,FALSE),"Não aplicável"),
IFERROR(VLOOKUP(A142&amp;"_"&amp;E142,Testes!A:Z,26,FALSE),"Não aplicável"))</f>
        <v>Concluído</v>
      </c>
      <c r="J142" s="250" t="s">
        <v>870</v>
      </c>
      <c r="K142" s="247"/>
      <c r="L142" s="247"/>
      <c r="M142" s="247"/>
      <c r="N142" s="108">
        <f t="shared" si="5"/>
        <v>1</v>
      </c>
    </row>
    <row r="143" spans="1:14" ht="16.5" hidden="1" x14ac:dyDescent="0.35">
      <c r="A143" s="442" t="str">
        <f t="shared" si="4"/>
        <v>B02.00</v>
      </c>
      <c r="B143" s="247" t="s">
        <v>0</v>
      </c>
      <c r="C143" s="331" t="s">
        <v>899</v>
      </c>
      <c r="D143" s="247" t="s">
        <v>16</v>
      </c>
      <c r="E143" s="247" t="s">
        <v>1177</v>
      </c>
      <c r="F143" s="247" t="s">
        <v>891</v>
      </c>
      <c r="G143" s="250" t="s">
        <v>891</v>
      </c>
      <c r="H143" s="250" t="str">
        <f>+IF(C143="Controlos","Não aplicável",
IFERROR(VLOOKUP(A143&amp;"_"&amp;E143,Testes!A:Z,25,FALSE),"Não aplicável"))</f>
        <v>Não aplicável</v>
      </c>
      <c r="I143" s="250" t="str">
        <f>+IF(C143="Controlos",
IFERROR(VLOOKUP(E143,Controlos!B:J,9,FALSE),"Não aplicável"),
IFERROR(VLOOKUP(A143&amp;"_"&amp;E143,Testes!A:Z,26,FALSE),"Não aplicável"))</f>
        <v>Concluído</v>
      </c>
      <c r="J143" s="250" t="s">
        <v>873</v>
      </c>
      <c r="K143" s="247"/>
      <c r="L143" s="247"/>
      <c r="M143" s="247"/>
      <c r="N143" s="108">
        <f t="shared" si="5"/>
        <v>1</v>
      </c>
    </row>
    <row r="144" spans="1:14" ht="16.5" hidden="1" x14ac:dyDescent="0.35">
      <c r="A144" s="442" t="str">
        <f t="shared" si="4"/>
        <v>B02.00</v>
      </c>
      <c r="B144" s="247" t="s">
        <v>0</v>
      </c>
      <c r="C144" s="331" t="s">
        <v>899</v>
      </c>
      <c r="D144" s="247" t="s">
        <v>16</v>
      </c>
      <c r="E144" s="247" t="s">
        <v>1178</v>
      </c>
      <c r="F144" s="247" t="s">
        <v>891</v>
      </c>
      <c r="G144" s="250" t="s">
        <v>891</v>
      </c>
      <c r="H144" s="250" t="str">
        <f>+IF(C144="Controlos","Não aplicável",
IFERROR(VLOOKUP(A144&amp;"_"&amp;E144,Testes!A:Z,25,FALSE),"Não aplicável"))</f>
        <v>Não aplicável</v>
      </c>
      <c r="I144" s="250" t="str">
        <f>+IF(C144="Controlos",
IFERROR(VLOOKUP(E144,Controlos!B:J,9,FALSE),"Não aplicável"),
IFERROR(VLOOKUP(A144&amp;"_"&amp;E144,Testes!A:Z,26,FALSE),"Não aplicável"))</f>
        <v>Concluído</v>
      </c>
      <c r="J144" s="250" t="s">
        <v>144</v>
      </c>
      <c r="K144" s="247"/>
      <c r="L144" s="247"/>
      <c r="M144" s="247"/>
      <c r="N144" s="108">
        <f t="shared" si="5"/>
        <v>0</v>
      </c>
    </row>
    <row r="145" spans="1:14" ht="16.5" hidden="1" x14ac:dyDescent="0.35">
      <c r="A145" s="442" t="str">
        <f t="shared" si="4"/>
        <v>B02.00</v>
      </c>
      <c r="B145" s="247" t="s">
        <v>0</v>
      </c>
      <c r="C145" s="331" t="s">
        <v>899</v>
      </c>
      <c r="D145" s="247" t="s">
        <v>16</v>
      </c>
      <c r="E145" s="247" t="s">
        <v>1179</v>
      </c>
      <c r="F145" s="247" t="s">
        <v>891</v>
      </c>
      <c r="G145" s="250" t="s">
        <v>891</v>
      </c>
      <c r="H145" s="250" t="str">
        <f>+IF(C145="Controlos","Não aplicável",
IFERROR(VLOOKUP(A145&amp;"_"&amp;E145,Testes!A:Z,25,FALSE),"Não aplicável"))</f>
        <v>Não aplicável</v>
      </c>
      <c r="I145" s="250" t="str">
        <f>+IF(C145="Controlos",
IFERROR(VLOOKUP(E145,Controlos!B:J,9,FALSE),"Não aplicável"),
IFERROR(VLOOKUP(A145&amp;"_"&amp;E145,Testes!A:Z,26,FALSE),"Não aplicável"))</f>
        <v>Concluído</v>
      </c>
      <c r="J145" s="250" t="s">
        <v>144</v>
      </c>
      <c r="K145" s="247"/>
      <c r="L145" s="247"/>
      <c r="M145" s="247"/>
      <c r="N145" s="108">
        <f t="shared" si="5"/>
        <v>0</v>
      </c>
    </row>
    <row r="146" spans="1:14" ht="16.5" hidden="1" x14ac:dyDescent="0.35">
      <c r="A146" s="442" t="str">
        <f t="shared" si="4"/>
        <v>B02.00</v>
      </c>
      <c r="B146" s="247" t="s">
        <v>0</v>
      </c>
      <c r="C146" s="331" t="s">
        <v>899</v>
      </c>
      <c r="D146" s="247" t="s">
        <v>16</v>
      </c>
      <c r="E146" s="247" t="s">
        <v>1180</v>
      </c>
      <c r="F146" s="247" t="s">
        <v>891</v>
      </c>
      <c r="G146" s="250" t="s">
        <v>891</v>
      </c>
      <c r="H146" s="250" t="str">
        <f>+IF(C146="Controlos","Não aplicável",
IFERROR(VLOOKUP(A146&amp;"_"&amp;E146,Testes!A:Z,25,FALSE),"Não aplicável"))</f>
        <v>Não aplicável</v>
      </c>
      <c r="I146" s="250" t="str">
        <f>+IF(C146="Controlos",
IFERROR(VLOOKUP(E146,Controlos!B:J,9,FALSE),"Não aplicável"),
IFERROR(VLOOKUP(A146&amp;"_"&amp;E146,Testes!A:Z,26,FALSE),"Não aplicável"))</f>
        <v>Concluído</v>
      </c>
      <c r="J146" s="250" t="s">
        <v>873</v>
      </c>
      <c r="K146" s="247"/>
      <c r="L146" s="247"/>
      <c r="M146" s="247"/>
      <c r="N146" s="108">
        <f t="shared" si="5"/>
        <v>1</v>
      </c>
    </row>
    <row r="147" spans="1:14" ht="16.5" hidden="1" x14ac:dyDescent="0.35">
      <c r="A147" s="442" t="str">
        <f t="shared" si="4"/>
        <v>B02.00</v>
      </c>
      <c r="B147" s="247" t="s">
        <v>0</v>
      </c>
      <c r="C147" s="331" t="s">
        <v>899</v>
      </c>
      <c r="D147" s="247" t="s">
        <v>16</v>
      </c>
      <c r="E147" s="247" t="s">
        <v>1181</v>
      </c>
      <c r="F147" s="247" t="s">
        <v>891</v>
      </c>
      <c r="G147" s="250" t="s">
        <v>891</v>
      </c>
      <c r="H147" s="250" t="str">
        <f>+IF(C147="Controlos","Não aplicável",
IFERROR(VLOOKUP(A147&amp;"_"&amp;E147,Testes!A:Z,25,FALSE),"Não aplicável"))</f>
        <v>Não aplicável</v>
      </c>
      <c r="I147" s="250" t="str">
        <f>+IF(C147="Controlos",
IFERROR(VLOOKUP(E147,Controlos!B:J,9,FALSE),"Não aplicável"),
IFERROR(VLOOKUP(A147&amp;"_"&amp;E147,Testes!A:Z,26,FALSE),"Não aplicável"))</f>
        <v>Concluído</v>
      </c>
      <c r="J147" s="250" t="s">
        <v>873</v>
      </c>
      <c r="K147" s="247"/>
      <c r="L147" s="247"/>
      <c r="M147" s="247"/>
      <c r="N147" s="108">
        <f t="shared" si="5"/>
        <v>1</v>
      </c>
    </row>
    <row r="148" spans="1:14" ht="16.5" hidden="1" x14ac:dyDescent="0.35">
      <c r="A148" s="442" t="str">
        <f t="shared" si="4"/>
        <v>B02.00</v>
      </c>
      <c r="B148" s="247" t="s">
        <v>0</v>
      </c>
      <c r="C148" s="331" t="s">
        <v>899</v>
      </c>
      <c r="D148" s="247" t="s">
        <v>16</v>
      </c>
      <c r="E148" s="247" t="s">
        <v>1182</v>
      </c>
      <c r="F148" s="247" t="s">
        <v>891</v>
      </c>
      <c r="G148" s="250" t="s">
        <v>891</v>
      </c>
      <c r="H148" s="250" t="str">
        <f>+IF(C148="Controlos","Não aplicável",
IFERROR(VLOOKUP(A148&amp;"_"&amp;E148,Testes!A:Z,25,FALSE),"Não aplicável"))</f>
        <v>Não aplicável</v>
      </c>
      <c r="I148" s="250" t="str">
        <f>+IF(C148="Controlos",
IFERROR(VLOOKUP(E148,Controlos!B:J,9,FALSE),"Não aplicável"),
IFERROR(VLOOKUP(A148&amp;"_"&amp;E148,Testes!A:Z,26,FALSE),"Não aplicável"))</f>
        <v>Concluído</v>
      </c>
      <c r="J148" s="250" t="s">
        <v>870</v>
      </c>
      <c r="K148" s="247"/>
      <c r="L148" s="247"/>
      <c r="M148" s="247"/>
      <c r="N148" s="108">
        <f t="shared" si="5"/>
        <v>1</v>
      </c>
    </row>
    <row r="149" spans="1:14" ht="16.5" hidden="1" x14ac:dyDescent="0.35">
      <c r="A149" s="442" t="str">
        <f t="shared" si="4"/>
        <v>B02.00</v>
      </c>
      <c r="B149" s="247" t="s">
        <v>0</v>
      </c>
      <c r="C149" s="331" t="s">
        <v>899</v>
      </c>
      <c r="D149" s="247" t="s">
        <v>16</v>
      </c>
      <c r="E149" s="247" t="s">
        <v>1183</v>
      </c>
      <c r="F149" s="247" t="s">
        <v>891</v>
      </c>
      <c r="G149" s="250" t="s">
        <v>891</v>
      </c>
      <c r="H149" s="250" t="str">
        <f>+IF(C149="Controlos","Não aplicável",
IFERROR(VLOOKUP(A149&amp;"_"&amp;E149,Testes!A:Z,25,FALSE),"Não aplicável"))</f>
        <v>Não aplicável</v>
      </c>
      <c r="I149" s="250" t="str">
        <f>+IF(C149="Controlos",
IFERROR(VLOOKUP(E149,Controlos!B:J,9,FALSE),"Não aplicável"),
IFERROR(VLOOKUP(A149&amp;"_"&amp;E149,Testes!A:Z,26,FALSE),"Não aplicável"))</f>
        <v>Com Incidências</v>
      </c>
      <c r="J149" s="250" t="s">
        <v>870</v>
      </c>
      <c r="K149" s="247"/>
      <c r="L149" s="247"/>
      <c r="M149" s="247"/>
      <c r="N149" s="108">
        <f t="shared" si="5"/>
        <v>0</v>
      </c>
    </row>
    <row r="150" spans="1:14" ht="16.5" hidden="1" x14ac:dyDescent="0.35">
      <c r="A150" s="442" t="str">
        <f t="shared" si="4"/>
        <v>B02.00</v>
      </c>
      <c r="B150" s="247" t="s">
        <v>0</v>
      </c>
      <c r="C150" s="331" t="s">
        <v>899</v>
      </c>
      <c r="D150" s="247" t="s">
        <v>16</v>
      </c>
      <c r="E150" s="247" t="s">
        <v>1184</v>
      </c>
      <c r="F150" s="247" t="s">
        <v>891</v>
      </c>
      <c r="G150" s="250" t="s">
        <v>891</v>
      </c>
      <c r="H150" s="250" t="str">
        <f>+IF(C150="Controlos","Não aplicável",
IFERROR(VLOOKUP(A150&amp;"_"&amp;E150,Testes!A:Z,25,FALSE),"Não aplicável"))</f>
        <v>Não aplicável</v>
      </c>
      <c r="I150" s="250" t="str">
        <f>+IF(C150="Controlos",
IFERROR(VLOOKUP(E150,Controlos!B:J,9,FALSE),"Não aplicável"),
IFERROR(VLOOKUP(A150&amp;"_"&amp;E150,Testes!A:Z,26,FALSE),"Não aplicável"))</f>
        <v>Com Incidências</v>
      </c>
      <c r="J150" s="250" t="s">
        <v>870</v>
      </c>
      <c r="K150" s="247"/>
      <c r="L150" s="247"/>
      <c r="M150" s="247"/>
      <c r="N150" s="108">
        <f t="shared" si="5"/>
        <v>0</v>
      </c>
    </row>
    <row r="151" spans="1:14" ht="16.5" hidden="1" x14ac:dyDescent="0.35">
      <c r="A151" s="442" t="str">
        <f t="shared" si="4"/>
        <v>B02.00</v>
      </c>
      <c r="B151" s="247" t="s">
        <v>0</v>
      </c>
      <c r="C151" s="331" t="s">
        <v>899</v>
      </c>
      <c r="D151" s="247" t="s">
        <v>16</v>
      </c>
      <c r="E151" s="247" t="s">
        <v>1185</v>
      </c>
      <c r="F151" s="247" t="s">
        <v>891</v>
      </c>
      <c r="G151" s="250" t="s">
        <v>891</v>
      </c>
      <c r="H151" s="250" t="str">
        <f>+IF(C151="Controlos","Não aplicável",
IFERROR(VLOOKUP(A151&amp;"_"&amp;E151,Testes!A:Z,25,FALSE),"Não aplicável"))</f>
        <v>Não aplicável</v>
      </c>
      <c r="I151" s="250" t="str">
        <f>+IF(C151="Controlos",
IFERROR(VLOOKUP(E151,Controlos!B:J,9,FALSE),"Não aplicável"),
IFERROR(VLOOKUP(A151&amp;"_"&amp;E151,Testes!A:Z,26,FALSE),"Não aplicável"))</f>
        <v>Concluído</v>
      </c>
      <c r="J151" s="250" t="s">
        <v>144</v>
      </c>
      <c r="K151" s="247"/>
      <c r="L151" s="247"/>
      <c r="M151" s="247"/>
      <c r="N151" s="108">
        <f t="shared" si="5"/>
        <v>0</v>
      </c>
    </row>
    <row r="152" spans="1:14" ht="16.5" hidden="1" x14ac:dyDescent="0.35">
      <c r="A152" s="442" t="str">
        <f t="shared" si="4"/>
        <v>B02.00</v>
      </c>
      <c r="B152" s="247" t="s">
        <v>0</v>
      </c>
      <c r="C152" s="331" t="s">
        <v>899</v>
      </c>
      <c r="D152" s="247" t="s">
        <v>16</v>
      </c>
      <c r="E152" s="247" t="s">
        <v>1186</v>
      </c>
      <c r="F152" s="247" t="s">
        <v>891</v>
      </c>
      <c r="G152" s="250" t="s">
        <v>891</v>
      </c>
      <c r="H152" s="250" t="str">
        <f>+IF(C152="Controlos","Não aplicável",
IFERROR(VLOOKUP(A152&amp;"_"&amp;E152,Testes!A:Z,25,FALSE),"Não aplicável"))</f>
        <v>Não aplicável</v>
      </c>
      <c r="I152" s="250" t="str">
        <f>+IF(C152="Controlos",
IFERROR(VLOOKUP(E152,Controlos!B:J,9,FALSE),"Não aplicável"),
IFERROR(VLOOKUP(A152&amp;"_"&amp;E152,Testes!A:Z,26,FALSE),"Não aplicável"))</f>
        <v>Concluído</v>
      </c>
      <c r="J152" s="250" t="s">
        <v>144</v>
      </c>
      <c r="K152" s="247"/>
      <c r="L152" s="247"/>
      <c r="M152" s="247"/>
      <c r="N152" s="108">
        <f t="shared" si="5"/>
        <v>0</v>
      </c>
    </row>
    <row r="153" spans="1:14" s="246" customFormat="1" ht="16.5" hidden="1" x14ac:dyDescent="0.35">
      <c r="A153" s="442" t="str">
        <f t="shared" si="4"/>
        <v>B02.00</v>
      </c>
      <c r="B153" s="247" t="s">
        <v>0</v>
      </c>
      <c r="C153" s="331" t="s">
        <v>899</v>
      </c>
      <c r="D153" s="247" t="s">
        <v>16</v>
      </c>
      <c r="E153" s="247" t="s">
        <v>1187</v>
      </c>
      <c r="F153" s="247" t="s">
        <v>891</v>
      </c>
      <c r="G153" s="250" t="s">
        <v>891</v>
      </c>
      <c r="H153" s="250" t="str">
        <f>+IF(C153="Controlos","Não aplicável",
IFERROR(VLOOKUP(A153&amp;"_"&amp;E153,Testes!A:Z,25,FALSE),"Não aplicável"))</f>
        <v>Não aplicável</v>
      </c>
      <c r="I153" s="250" t="str">
        <f>+IF(C153="Controlos",
IFERROR(VLOOKUP(E153,Controlos!B:J,9,FALSE),"Não aplicável"),
IFERROR(VLOOKUP(A153&amp;"_"&amp;E153,Testes!A:Z,26,FALSE),"Não aplicável"))</f>
        <v>Concluído</v>
      </c>
      <c r="J153" s="250" t="s">
        <v>144</v>
      </c>
      <c r="K153" s="247"/>
      <c r="L153" s="247"/>
      <c r="M153" s="247"/>
      <c r="N153" s="108">
        <f t="shared" si="5"/>
        <v>0</v>
      </c>
    </row>
    <row r="154" spans="1:14" ht="16.5" hidden="1" x14ac:dyDescent="0.35">
      <c r="A154" s="442" t="str">
        <f t="shared" si="4"/>
        <v>B02.00</v>
      </c>
      <c r="B154" s="247" t="s">
        <v>0</v>
      </c>
      <c r="C154" s="331" t="s">
        <v>899</v>
      </c>
      <c r="D154" s="247" t="s">
        <v>16</v>
      </c>
      <c r="E154" s="247" t="s">
        <v>1188</v>
      </c>
      <c r="F154" s="247" t="s">
        <v>891</v>
      </c>
      <c r="G154" s="250" t="s">
        <v>891</v>
      </c>
      <c r="H154" s="250" t="str">
        <f>+IF(C154="Controlos","Não aplicável",
IFERROR(VLOOKUP(A154&amp;"_"&amp;E154,Testes!A:Z,25,FALSE),"Não aplicável"))</f>
        <v>Não aplicável</v>
      </c>
      <c r="I154" s="250" t="str">
        <f>+IF(C154="Controlos",
IFERROR(VLOOKUP(E154,Controlos!B:J,9,FALSE),"Não aplicável"),
IFERROR(VLOOKUP(A154&amp;"_"&amp;E154,Testes!A:Z,26,FALSE),"Não aplicável"))</f>
        <v>Concluído</v>
      </c>
      <c r="J154" s="250" t="s">
        <v>144</v>
      </c>
      <c r="K154" s="247"/>
      <c r="L154" s="247"/>
      <c r="M154" s="247"/>
      <c r="N154" s="108">
        <f t="shared" si="5"/>
        <v>0</v>
      </c>
    </row>
    <row r="155" spans="1:14" ht="16.5" hidden="1" x14ac:dyDescent="0.35">
      <c r="A155" s="442" t="str">
        <f t="shared" si="4"/>
        <v>B02.00</v>
      </c>
      <c r="B155" s="247" t="s">
        <v>0</v>
      </c>
      <c r="C155" s="331" t="s">
        <v>899</v>
      </c>
      <c r="D155" s="247" t="s">
        <v>16</v>
      </c>
      <c r="E155" s="247" t="s">
        <v>1189</v>
      </c>
      <c r="F155" s="247" t="s">
        <v>891</v>
      </c>
      <c r="G155" s="250" t="s">
        <v>891</v>
      </c>
      <c r="H155" s="250" t="str">
        <f>+IF(C155="Controlos","Não aplicável",
IFERROR(VLOOKUP(A155&amp;"_"&amp;E155,Testes!A:Z,25,FALSE),"Não aplicável"))</f>
        <v>Não aplicável</v>
      </c>
      <c r="I155" s="250" t="str">
        <f>+IF(C155="Controlos",
IFERROR(VLOOKUP(E155,Controlos!B:J,9,FALSE),"Não aplicável"),
IFERROR(VLOOKUP(A155&amp;"_"&amp;E155,Testes!A:Z,26,FALSE),"Não aplicável"))</f>
        <v>Com Incidências</v>
      </c>
      <c r="J155" s="250" t="s">
        <v>870</v>
      </c>
      <c r="K155" s="247"/>
      <c r="L155" s="247"/>
      <c r="M155" s="247"/>
      <c r="N155" s="108">
        <f t="shared" si="5"/>
        <v>0</v>
      </c>
    </row>
    <row r="156" spans="1:14" ht="16.5" hidden="1" x14ac:dyDescent="0.35">
      <c r="A156" s="442" t="str">
        <f t="shared" si="4"/>
        <v>B02.00</v>
      </c>
      <c r="B156" s="247" t="s">
        <v>0</v>
      </c>
      <c r="C156" s="331" t="s">
        <v>899</v>
      </c>
      <c r="D156" s="247" t="s">
        <v>16</v>
      </c>
      <c r="E156" s="247" t="s">
        <v>1190</v>
      </c>
      <c r="F156" s="247" t="s">
        <v>891</v>
      </c>
      <c r="G156" s="250" t="s">
        <v>891</v>
      </c>
      <c r="H156" s="250" t="str">
        <f>+IF(C156="Controlos","Não aplicável",
IFERROR(VLOOKUP(A156&amp;"_"&amp;E156,Testes!A:Z,25,FALSE),"Não aplicável"))</f>
        <v>Não aplicável</v>
      </c>
      <c r="I156" s="250" t="str">
        <f>+IF(C156="Controlos",
IFERROR(VLOOKUP(E156,Controlos!B:J,9,FALSE),"Não aplicável"),
IFERROR(VLOOKUP(A156&amp;"_"&amp;E156,Testes!A:Z,26,FALSE),"Não aplicável"))</f>
        <v>Concluído</v>
      </c>
      <c r="J156" s="250" t="s">
        <v>144</v>
      </c>
      <c r="K156" s="247"/>
      <c r="L156" s="247"/>
      <c r="M156" s="247"/>
      <c r="N156" s="108">
        <f t="shared" si="5"/>
        <v>0</v>
      </c>
    </row>
    <row r="157" spans="1:14" ht="16.5" hidden="1" x14ac:dyDescent="0.35">
      <c r="A157" s="442" t="str">
        <f t="shared" si="4"/>
        <v>B02.00</v>
      </c>
      <c r="B157" s="247" t="s">
        <v>0</v>
      </c>
      <c r="C157" s="331" t="s">
        <v>899</v>
      </c>
      <c r="D157" s="247" t="s">
        <v>16</v>
      </c>
      <c r="E157" s="247" t="s">
        <v>1191</v>
      </c>
      <c r="F157" s="247" t="s">
        <v>891</v>
      </c>
      <c r="G157" s="250" t="s">
        <v>891</v>
      </c>
      <c r="H157" s="250" t="str">
        <f>+IF(C157="Controlos","Não aplicável",
IFERROR(VLOOKUP(A157&amp;"_"&amp;E157,Testes!A:Z,25,FALSE),"Não aplicável"))</f>
        <v>Não aplicável</v>
      </c>
      <c r="I157" s="250" t="str">
        <f>+IF(C157="Controlos",
IFERROR(VLOOKUP(E157,Controlos!B:J,9,FALSE),"Não aplicável"),
IFERROR(VLOOKUP(A157&amp;"_"&amp;E157,Testes!A:Z,26,FALSE),"Não aplicável"))</f>
        <v>Concluído</v>
      </c>
      <c r="J157" s="250" t="s">
        <v>144</v>
      </c>
      <c r="K157" s="247"/>
      <c r="L157" s="247"/>
      <c r="M157" s="247"/>
      <c r="N157" s="108">
        <f t="shared" si="5"/>
        <v>0</v>
      </c>
    </row>
    <row r="158" spans="1:14" ht="16.5" hidden="1" x14ac:dyDescent="0.35">
      <c r="A158" s="442" t="str">
        <f t="shared" si="4"/>
        <v>B02.00</v>
      </c>
      <c r="B158" s="247" t="s">
        <v>0</v>
      </c>
      <c r="C158" s="331" t="s">
        <v>899</v>
      </c>
      <c r="D158" s="247" t="s">
        <v>16</v>
      </c>
      <c r="E158" s="247" t="s">
        <v>1192</v>
      </c>
      <c r="F158" s="247" t="s">
        <v>891</v>
      </c>
      <c r="G158" s="250" t="s">
        <v>891</v>
      </c>
      <c r="H158" s="250" t="str">
        <f>+IF(C158="Controlos","Não aplicável",
IFERROR(VLOOKUP(A158&amp;"_"&amp;E158,Testes!A:Z,25,FALSE),"Não aplicável"))</f>
        <v>Não aplicável</v>
      </c>
      <c r="I158" s="250" t="str">
        <f>+IF(C158="Controlos",
IFERROR(VLOOKUP(E158,Controlos!B:J,9,FALSE),"Não aplicável"),
IFERROR(VLOOKUP(A158&amp;"_"&amp;E158,Testes!A:Z,26,FALSE),"Não aplicável"))</f>
        <v>Concluído</v>
      </c>
      <c r="J158" s="250" t="s">
        <v>144</v>
      </c>
      <c r="K158" s="247"/>
      <c r="L158" s="247"/>
      <c r="M158" s="247"/>
      <c r="N158" s="108">
        <f t="shared" si="5"/>
        <v>0</v>
      </c>
    </row>
    <row r="159" spans="1:14" ht="16.5" hidden="1" x14ac:dyDescent="0.35">
      <c r="A159" s="442" t="str">
        <f t="shared" si="4"/>
        <v>B02.00</v>
      </c>
      <c r="B159" s="247" t="s">
        <v>0</v>
      </c>
      <c r="C159" s="331" t="s">
        <v>899</v>
      </c>
      <c r="D159" s="247" t="s">
        <v>16</v>
      </c>
      <c r="E159" s="247" t="s">
        <v>1193</v>
      </c>
      <c r="F159" s="247" t="s">
        <v>891</v>
      </c>
      <c r="G159" s="250" t="s">
        <v>891</v>
      </c>
      <c r="H159" s="250" t="str">
        <f>+IF(C159="Controlos","Não aplicável",
IFERROR(VLOOKUP(A159&amp;"_"&amp;E159,Testes!A:Z,25,FALSE),"Não aplicável"))</f>
        <v>Não aplicável</v>
      </c>
      <c r="I159" s="250" t="str">
        <f>+IF(C159="Controlos",
IFERROR(VLOOKUP(E159,Controlos!B:J,9,FALSE),"Não aplicável"),
IFERROR(VLOOKUP(A159&amp;"_"&amp;E159,Testes!A:Z,26,FALSE),"Não aplicável"))</f>
        <v>Concluído</v>
      </c>
      <c r="J159" s="250" t="s">
        <v>144</v>
      </c>
      <c r="K159" s="247"/>
      <c r="L159" s="247"/>
      <c r="M159" s="247"/>
      <c r="N159" s="108">
        <f t="shared" si="5"/>
        <v>0</v>
      </c>
    </row>
    <row r="160" spans="1:14" ht="16.5" hidden="1" x14ac:dyDescent="0.35">
      <c r="A160" s="442" t="str">
        <f t="shared" si="4"/>
        <v>B02.00</v>
      </c>
      <c r="B160" s="247" t="s">
        <v>0</v>
      </c>
      <c r="C160" s="331" t="s">
        <v>899</v>
      </c>
      <c r="D160" s="247" t="s">
        <v>16</v>
      </c>
      <c r="E160" s="247" t="s">
        <v>1194</v>
      </c>
      <c r="F160" s="247" t="s">
        <v>891</v>
      </c>
      <c r="G160" s="250" t="s">
        <v>891</v>
      </c>
      <c r="H160" s="250" t="str">
        <f>+IF(C160="Controlos","Não aplicável",
IFERROR(VLOOKUP(A160&amp;"_"&amp;E160,Testes!A:Z,25,FALSE),"Não aplicável"))</f>
        <v>Não aplicável</v>
      </c>
      <c r="I160" s="250" t="str">
        <f>+IF(C160="Controlos",
IFERROR(VLOOKUP(E160,Controlos!B:J,9,FALSE),"Não aplicável"),
IFERROR(VLOOKUP(A160&amp;"_"&amp;E160,Testes!A:Z,26,FALSE),"Não aplicável"))</f>
        <v>Concluído</v>
      </c>
      <c r="J160" s="250" t="s">
        <v>144</v>
      </c>
      <c r="K160" s="247"/>
      <c r="L160" s="247"/>
      <c r="M160" s="247"/>
      <c r="N160" s="108">
        <f t="shared" si="5"/>
        <v>0</v>
      </c>
    </row>
    <row r="161" spans="1:14" ht="16.5" hidden="1" x14ac:dyDescent="0.35">
      <c r="A161" s="442" t="str">
        <f t="shared" si="4"/>
        <v>B02.00</v>
      </c>
      <c r="B161" s="247" t="s">
        <v>0</v>
      </c>
      <c r="C161" s="331" t="s">
        <v>899</v>
      </c>
      <c r="D161" s="247" t="s">
        <v>16</v>
      </c>
      <c r="E161" s="247" t="s">
        <v>1195</v>
      </c>
      <c r="F161" s="247" t="s">
        <v>891</v>
      </c>
      <c r="G161" s="250" t="s">
        <v>891</v>
      </c>
      <c r="H161" s="250" t="str">
        <f>+IF(C161="Controlos","Não aplicável",
IFERROR(VLOOKUP(A161&amp;"_"&amp;E161,Testes!A:Z,25,FALSE),"Não aplicável"))</f>
        <v>Não aplicável</v>
      </c>
      <c r="I161" s="250" t="str">
        <f>+IF(C161="Controlos",
IFERROR(VLOOKUP(E161,Controlos!B:J,9,FALSE),"Não aplicável"),
IFERROR(VLOOKUP(A161&amp;"_"&amp;E161,Testes!A:Z,26,FALSE),"Não aplicável"))</f>
        <v>Concluído</v>
      </c>
      <c r="J161" s="250" t="s">
        <v>144</v>
      </c>
      <c r="K161" s="247"/>
      <c r="L161" s="247"/>
      <c r="M161" s="247"/>
      <c r="N161" s="108">
        <f t="shared" si="5"/>
        <v>0</v>
      </c>
    </row>
    <row r="162" spans="1:14" ht="16.5" hidden="1" x14ac:dyDescent="0.35">
      <c r="A162" s="442" t="str">
        <f t="shared" si="4"/>
        <v>B02.00</v>
      </c>
      <c r="B162" s="247" t="s">
        <v>0</v>
      </c>
      <c r="C162" s="331" t="s">
        <v>899</v>
      </c>
      <c r="D162" s="247" t="s">
        <v>16</v>
      </c>
      <c r="E162" s="247" t="s">
        <v>1196</v>
      </c>
      <c r="F162" s="247" t="s">
        <v>891</v>
      </c>
      <c r="G162" s="250" t="s">
        <v>891</v>
      </c>
      <c r="H162" s="250" t="str">
        <f>+IF(C162="Controlos","Não aplicável",
IFERROR(VLOOKUP(A162&amp;"_"&amp;E162,Testes!A:Z,25,FALSE),"Não aplicável"))</f>
        <v>Não aplicável</v>
      </c>
      <c r="I162" s="250" t="str">
        <f>+IF(C162="Controlos",
IFERROR(VLOOKUP(E162,Controlos!B:J,9,FALSE),"Não aplicável"),
IFERROR(VLOOKUP(A162&amp;"_"&amp;E162,Testes!A:Z,26,FALSE),"Não aplicável"))</f>
        <v>Concluído</v>
      </c>
      <c r="J162" s="250" t="s">
        <v>144</v>
      </c>
      <c r="K162" s="247"/>
      <c r="L162" s="247"/>
      <c r="M162" s="247"/>
      <c r="N162" s="108">
        <f t="shared" si="5"/>
        <v>0</v>
      </c>
    </row>
    <row r="163" spans="1:14" ht="16.5" hidden="1" x14ac:dyDescent="0.35">
      <c r="A163" s="442" t="str">
        <f t="shared" si="4"/>
        <v>B02.00</v>
      </c>
      <c r="B163" s="247" t="s">
        <v>0</v>
      </c>
      <c r="C163" s="331" t="s">
        <v>899</v>
      </c>
      <c r="D163" s="247" t="s">
        <v>16</v>
      </c>
      <c r="E163" s="247" t="s">
        <v>1197</v>
      </c>
      <c r="F163" s="247" t="s">
        <v>891</v>
      </c>
      <c r="G163" s="250" t="s">
        <v>891</v>
      </c>
      <c r="H163" s="250" t="str">
        <f>+IF(C163="Controlos","Não aplicável",
IFERROR(VLOOKUP(A163&amp;"_"&amp;E163,Testes!A:Z,25,FALSE),"Não aplicável"))</f>
        <v>Não aplicável</v>
      </c>
      <c r="I163" s="250" t="str">
        <f>+IF(C163="Controlos",
IFERROR(VLOOKUP(E163,Controlos!B:J,9,FALSE),"Não aplicável"),
IFERROR(VLOOKUP(A163&amp;"_"&amp;E163,Testes!A:Z,26,FALSE),"Não aplicável"))</f>
        <v>Concluído</v>
      </c>
      <c r="J163" s="250" t="s">
        <v>144</v>
      </c>
      <c r="K163" s="247"/>
      <c r="L163" s="247"/>
      <c r="M163" s="247"/>
      <c r="N163" s="108">
        <f t="shared" si="5"/>
        <v>0</v>
      </c>
    </row>
    <row r="164" spans="1:14" ht="16.5" hidden="1" x14ac:dyDescent="0.35">
      <c r="A164" s="442" t="str">
        <f t="shared" si="4"/>
        <v>B02.00</v>
      </c>
      <c r="B164" s="247" t="s">
        <v>0</v>
      </c>
      <c r="C164" s="331" t="s">
        <v>899</v>
      </c>
      <c r="D164" s="247" t="s">
        <v>16</v>
      </c>
      <c r="E164" s="247" t="s">
        <v>1198</v>
      </c>
      <c r="F164" s="247" t="s">
        <v>891</v>
      </c>
      <c r="G164" s="250" t="s">
        <v>891</v>
      </c>
      <c r="H164" s="250" t="str">
        <f>+IF(C164="Controlos","Não aplicável",
IFERROR(VLOOKUP(A164&amp;"_"&amp;E164,Testes!A:Z,25,FALSE),"Não aplicável"))</f>
        <v>Não aplicável</v>
      </c>
      <c r="I164" s="250" t="str">
        <f>+IF(C164="Controlos",
IFERROR(VLOOKUP(E164,Controlos!B:J,9,FALSE),"Não aplicável"),
IFERROR(VLOOKUP(A164&amp;"_"&amp;E164,Testes!A:Z,26,FALSE),"Não aplicável"))</f>
        <v>Concluído</v>
      </c>
      <c r="J164" s="250" t="s">
        <v>144</v>
      </c>
      <c r="K164" s="247"/>
      <c r="L164" s="247"/>
      <c r="M164" s="247"/>
      <c r="N164" s="108">
        <f t="shared" si="5"/>
        <v>0</v>
      </c>
    </row>
    <row r="165" spans="1:14" ht="16.5" hidden="1" x14ac:dyDescent="0.35">
      <c r="A165" s="442" t="str">
        <f t="shared" si="4"/>
        <v>B02.00</v>
      </c>
      <c r="B165" s="247" t="s">
        <v>0</v>
      </c>
      <c r="C165" s="331" t="s">
        <v>899</v>
      </c>
      <c r="D165" s="247" t="s">
        <v>16</v>
      </c>
      <c r="E165" s="247" t="s">
        <v>1199</v>
      </c>
      <c r="F165" s="247" t="s">
        <v>891</v>
      </c>
      <c r="G165" s="250" t="s">
        <v>891</v>
      </c>
      <c r="H165" s="250" t="str">
        <f>+IF(C165="Controlos","Não aplicável",
IFERROR(VLOOKUP(A165&amp;"_"&amp;E165,Testes!A:Z,25,FALSE),"Não aplicável"))</f>
        <v>Não aplicável</v>
      </c>
      <c r="I165" s="250" t="str">
        <f>+IF(C165="Controlos",
IFERROR(VLOOKUP(E165,Controlos!B:J,9,FALSE),"Não aplicável"),
IFERROR(VLOOKUP(A165&amp;"_"&amp;E165,Testes!A:Z,26,FALSE),"Não aplicável"))</f>
        <v>Concluído</v>
      </c>
      <c r="J165" s="250" t="s">
        <v>144</v>
      </c>
      <c r="K165" s="247"/>
      <c r="L165" s="247"/>
      <c r="M165" s="247"/>
      <c r="N165" s="108">
        <f t="shared" si="5"/>
        <v>0</v>
      </c>
    </row>
    <row r="166" spans="1:14" ht="16.5" hidden="1" x14ac:dyDescent="0.35">
      <c r="A166" s="442" t="str">
        <f t="shared" si="4"/>
        <v>B02.00</v>
      </c>
      <c r="B166" s="247" t="s">
        <v>0</v>
      </c>
      <c r="C166" s="331" t="s">
        <v>899</v>
      </c>
      <c r="D166" s="247" t="s">
        <v>16</v>
      </c>
      <c r="E166" s="247" t="s">
        <v>1200</v>
      </c>
      <c r="F166" s="247" t="s">
        <v>891</v>
      </c>
      <c r="G166" s="250" t="s">
        <v>891</v>
      </c>
      <c r="H166" s="250" t="str">
        <f>+IF(C166="Controlos","Não aplicável",
IFERROR(VLOOKUP(A166&amp;"_"&amp;E166,Testes!A:Z,25,FALSE),"Não aplicável"))</f>
        <v>Não aplicável</v>
      </c>
      <c r="I166" s="250" t="str">
        <f>+IF(C166="Controlos",
IFERROR(VLOOKUP(E166,Controlos!B:J,9,FALSE),"Não aplicável"),
IFERROR(VLOOKUP(A166&amp;"_"&amp;E166,Testes!A:Z,26,FALSE),"Não aplicável"))</f>
        <v>Concluído</v>
      </c>
      <c r="J166" s="250" t="s">
        <v>144</v>
      </c>
      <c r="K166" s="247"/>
      <c r="L166" s="247"/>
      <c r="M166" s="247"/>
      <c r="N166" s="108">
        <f t="shared" si="5"/>
        <v>0</v>
      </c>
    </row>
    <row r="167" spans="1:14" ht="16.5" hidden="1" x14ac:dyDescent="0.35">
      <c r="A167" s="442" t="str">
        <f t="shared" si="4"/>
        <v>B02.00</v>
      </c>
      <c r="B167" s="247" t="s">
        <v>0</v>
      </c>
      <c r="C167" s="331" t="s">
        <v>899</v>
      </c>
      <c r="D167" s="247" t="s">
        <v>16</v>
      </c>
      <c r="E167" s="247" t="s">
        <v>1201</v>
      </c>
      <c r="F167" s="247" t="s">
        <v>891</v>
      </c>
      <c r="G167" s="250" t="s">
        <v>891</v>
      </c>
      <c r="H167" s="250" t="str">
        <f>+IF(C167="Controlos","Não aplicável",
IFERROR(VLOOKUP(A167&amp;"_"&amp;E167,Testes!A:Z,25,FALSE),"Não aplicável"))</f>
        <v>Não aplicável</v>
      </c>
      <c r="I167" s="250" t="str">
        <f>+IF(C167="Controlos",
IFERROR(VLOOKUP(E167,Controlos!B:J,9,FALSE),"Não aplicável"),
IFERROR(VLOOKUP(A167&amp;"_"&amp;E167,Testes!A:Z,26,FALSE),"Não aplicável"))</f>
        <v>Concluído</v>
      </c>
      <c r="J167" s="250" t="s">
        <v>144</v>
      </c>
      <c r="K167" s="247"/>
      <c r="L167" s="247"/>
      <c r="M167" s="247"/>
      <c r="N167" s="108">
        <f t="shared" si="5"/>
        <v>0</v>
      </c>
    </row>
    <row r="168" spans="1:14" ht="16.5" hidden="1" x14ac:dyDescent="0.35">
      <c r="A168" s="442" t="str">
        <f t="shared" si="4"/>
        <v>B02.00</v>
      </c>
      <c r="B168" s="247" t="s">
        <v>0</v>
      </c>
      <c r="C168" s="331" t="s">
        <v>899</v>
      </c>
      <c r="D168" s="247" t="s">
        <v>16</v>
      </c>
      <c r="E168" s="247" t="s">
        <v>1202</v>
      </c>
      <c r="F168" s="247" t="s">
        <v>891</v>
      </c>
      <c r="G168" s="250" t="s">
        <v>891</v>
      </c>
      <c r="H168" s="250" t="str">
        <f>+IF(C168="Controlos","Não aplicável",
IFERROR(VLOOKUP(A168&amp;"_"&amp;E168,Testes!A:Z,25,FALSE),"Não aplicável"))</f>
        <v>Não aplicável</v>
      </c>
      <c r="I168" s="250" t="str">
        <f>+IF(C168="Controlos",
IFERROR(VLOOKUP(E168,Controlos!B:J,9,FALSE),"Não aplicável"),
IFERROR(VLOOKUP(A168&amp;"_"&amp;E168,Testes!A:Z,26,FALSE),"Não aplicável"))</f>
        <v>Concluído</v>
      </c>
      <c r="J168" s="250" t="s">
        <v>144</v>
      </c>
      <c r="K168" s="247"/>
      <c r="L168" s="247"/>
      <c r="M168" s="247"/>
      <c r="N168" s="108">
        <f t="shared" si="5"/>
        <v>0</v>
      </c>
    </row>
    <row r="169" spans="1:14" ht="16.5" hidden="1" x14ac:dyDescent="0.35">
      <c r="A169" s="442" t="str">
        <f t="shared" si="4"/>
        <v>B02.00</v>
      </c>
      <c r="B169" s="247" t="s">
        <v>0</v>
      </c>
      <c r="C169" s="331" t="s">
        <v>899</v>
      </c>
      <c r="D169" s="247" t="s">
        <v>16</v>
      </c>
      <c r="E169" s="247" t="s">
        <v>1203</v>
      </c>
      <c r="F169" s="247" t="s">
        <v>891</v>
      </c>
      <c r="G169" s="250" t="s">
        <v>891</v>
      </c>
      <c r="H169" s="250" t="str">
        <f>+IF(C169="Controlos","Não aplicável",
IFERROR(VLOOKUP(A169&amp;"_"&amp;E169,Testes!A:Z,25,FALSE),"Não aplicável"))</f>
        <v>Não aplicável</v>
      </c>
      <c r="I169" s="250" t="str">
        <f>+IF(C169="Controlos",
IFERROR(VLOOKUP(E169,Controlos!B:J,9,FALSE),"Não aplicável"),
IFERROR(VLOOKUP(A169&amp;"_"&amp;E169,Testes!A:Z,26,FALSE),"Não aplicável"))</f>
        <v>Concluído</v>
      </c>
      <c r="J169" s="250" t="s">
        <v>144</v>
      </c>
      <c r="K169" s="247"/>
      <c r="L169" s="247"/>
      <c r="M169" s="247"/>
      <c r="N169" s="108">
        <f t="shared" si="5"/>
        <v>0</v>
      </c>
    </row>
    <row r="170" spans="1:14" ht="16.5" hidden="1" x14ac:dyDescent="0.35">
      <c r="A170" s="442" t="str">
        <f t="shared" si="4"/>
        <v>B02.00</v>
      </c>
      <c r="B170" s="247" t="s">
        <v>0</v>
      </c>
      <c r="C170" s="331" t="s">
        <v>899</v>
      </c>
      <c r="D170" s="247" t="s">
        <v>16</v>
      </c>
      <c r="E170" s="247" t="s">
        <v>1204</v>
      </c>
      <c r="F170" s="247" t="s">
        <v>891</v>
      </c>
      <c r="G170" s="250" t="s">
        <v>891</v>
      </c>
      <c r="H170" s="250" t="str">
        <f>+IF(C170="Controlos","Não aplicável",
IFERROR(VLOOKUP(A170&amp;"_"&amp;E170,Testes!A:Z,25,FALSE),"Não aplicável"))</f>
        <v>Não aplicável</v>
      </c>
      <c r="I170" s="250" t="str">
        <f>+IF(C170="Controlos",
IFERROR(VLOOKUP(E170,Controlos!B:J,9,FALSE),"Não aplicável"),
IFERROR(VLOOKUP(A170&amp;"_"&amp;E170,Testes!A:Z,26,FALSE),"Não aplicável"))</f>
        <v>Concluído</v>
      </c>
      <c r="J170" s="250" t="s">
        <v>144</v>
      </c>
      <c r="K170" s="247"/>
      <c r="L170" s="247"/>
      <c r="M170" s="247"/>
      <c r="N170" s="108">
        <f t="shared" si="5"/>
        <v>0</v>
      </c>
    </row>
    <row r="171" spans="1:14" ht="16.5" hidden="1" x14ac:dyDescent="0.35">
      <c r="A171" s="442" t="str">
        <f t="shared" si="4"/>
        <v>B02.00</v>
      </c>
      <c r="B171" s="247" t="s">
        <v>0</v>
      </c>
      <c r="C171" s="331" t="s">
        <v>899</v>
      </c>
      <c r="D171" s="247" t="s">
        <v>16</v>
      </c>
      <c r="E171" s="247" t="s">
        <v>1205</v>
      </c>
      <c r="F171" s="247" t="s">
        <v>891</v>
      </c>
      <c r="G171" s="250" t="s">
        <v>891</v>
      </c>
      <c r="H171" s="250" t="str">
        <f>+IF(C171="Controlos","Não aplicável",
IFERROR(VLOOKUP(A171&amp;"_"&amp;E171,Testes!A:Z,25,FALSE),"Não aplicável"))</f>
        <v>Não aplicável</v>
      </c>
      <c r="I171" s="250" t="str">
        <f>+IF(C171="Controlos",
IFERROR(VLOOKUP(E171,Controlos!B:J,9,FALSE),"Não aplicável"),
IFERROR(VLOOKUP(A171&amp;"_"&amp;E171,Testes!A:Z,26,FALSE),"Não aplicável"))</f>
        <v>Com Incidências</v>
      </c>
      <c r="J171" s="250" t="s">
        <v>870</v>
      </c>
      <c r="K171" s="247"/>
      <c r="L171" s="247"/>
      <c r="M171" s="247"/>
      <c r="N171" s="108">
        <f t="shared" si="5"/>
        <v>0</v>
      </c>
    </row>
    <row r="172" spans="1:14" ht="16.5" hidden="1" x14ac:dyDescent="0.35">
      <c r="A172" s="442" t="str">
        <f t="shared" si="4"/>
        <v>B02.00</v>
      </c>
      <c r="B172" s="247" t="s">
        <v>0</v>
      </c>
      <c r="C172" s="331" t="s">
        <v>899</v>
      </c>
      <c r="D172" s="247" t="s">
        <v>16</v>
      </c>
      <c r="E172" s="247" t="s">
        <v>1206</v>
      </c>
      <c r="F172" s="247" t="s">
        <v>891</v>
      </c>
      <c r="G172" s="250" t="s">
        <v>891</v>
      </c>
      <c r="H172" s="250" t="str">
        <f>+IF(C172="Controlos","Não aplicável",
IFERROR(VLOOKUP(A172&amp;"_"&amp;E172,Testes!A:Z,25,FALSE),"Não aplicável"))</f>
        <v>Não aplicável</v>
      </c>
      <c r="I172" s="250" t="str">
        <f>+IF(C172="Controlos",
IFERROR(VLOOKUP(E172,Controlos!B:J,9,FALSE),"Não aplicável"),
IFERROR(VLOOKUP(A172&amp;"_"&amp;E172,Testes!A:Z,26,FALSE),"Não aplicável"))</f>
        <v>Concluído</v>
      </c>
      <c r="J172" s="250" t="s">
        <v>144</v>
      </c>
      <c r="K172" s="247"/>
      <c r="L172" s="247"/>
      <c r="M172" s="247"/>
      <c r="N172" s="108">
        <f t="shared" si="5"/>
        <v>0</v>
      </c>
    </row>
    <row r="173" spans="1:14" ht="16.5" hidden="1" x14ac:dyDescent="0.35">
      <c r="A173" s="442" t="str">
        <f t="shared" si="4"/>
        <v>B02.00</v>
      </c>
      <c r="B173" s="247" t="s">
        <v>0</v>
      </c>
      <c r="C173" s="331" t="s">
        <v>899</v>
      </c>
      <c r="D173" s="247" t="s">
        <v>16</v>
      </c>
      <c r="E173" s="247" t="s">
        <v>1207</v>
      </c>
      <c r="F173" s="247" t="s">
        <v>891</v>
      </c>
      <c r="G173" s="250" t="s">
        <v>891</v>
      </c>
      <c r="H173" s="250" t="str">
        <f>+IF(C173="Controlos","Não aplicável",
IFERROR(VLOOKUP(A173&amp;"_"&amp;E173,Testes!A:Z,25,FALSE),"Não aplicável"))</f>
        <v>Não aplicável</v>
      </c>
      <c r="I173" s="250" t="str">
        <f>+IF(C173="Controlos",
IFERROR(VLOOKUP(E173,Controlos!B:J,9,FALSE),"Não aplicável"),
IFERROR(VLOOKUP(A173&amp;"_"&amp;E173,Testes!A:Z,26,FALSE),"Não aplicável"))</f>
        <v>Com Incidências</v>
      </c>
      <c r="J173" s="250" t="s">
        <v>870</v>
      </c>
      <c r="K173" s="247"/>
      <c r="L173" s="247"/>
      <c r="M173" s="247"/>
      <c r="N173" s="108">
        <f t="shared" si="5"/>
        <v>0</v>
      </c>
    </row>
    <row r="174" spans="1:14" ht="16.5" hidden="1" x14ac:dyDescent="0.35">
      <c r="A174" s="442" t="str">
        <f t="shared" si="4"/>
        <v>B02.00</v>
      </c>
      <c r="B174" s="247" t="s">
        <v>0</v>
      </c>
      <c r="C174" s="331" t="s">
        <v>899</v>
      </c>
      <c r="D174" s="247" t="s">
        <v>16</v>
      </c>
      <c r="E174" s="247" t="s">
        <v>1208</v>
      </c>
      <c r="F174" s="247" t="s">
        <v>891</v>
      </c>
      <c r="G174" s="250" t="s">
        <v>891</v>
      </c>
      <c r="H174" s="250" t="str">
        <f>+IF(C174="Controlos","Não aplicável",
IFERROR(VLOOKUP(A174&amp;"_"&amp;E174,Testes!A:Z,25,FALSE),"Não aplicável"))</f>
        <v>Não aplicável</v>
      </c>
      <c r="I174" s="250" t="str">
        <f>+IF(C174="Controlos",
IFERROR(VLOOKUP(E174,Controlos!B:J,9,FALSE),"Não aplicável"),
IFERROR(VLOOKUP(A174&amp;"_"&amp;E174,Testes!A:Z,26,FALSE),"Não aplicável"))</f>
        <v>Concluído</v>
      </c>
      <c r="J174" s="250" t="s">
        <v>144</v>
      </c>
      <c r="K174" s="247"/>
      <c r="L174" s="247"/>
      <c r="M174" s="247"/>
      <c r="N174" s="108">
        <f t="shared" si="5"/>
        <v>0</v>
      </c>
    </row>
    <row r="175" spans="1:14" ht="16.5" hidden="1" x14ac:dyDescent="0.35">
      <c r="A175" s="442" t="str">
        <f t="shared" si="4"/>
        <v>B02.00</v>
      </c>
      <c r="B175" s="247" t="s">
        <v>0</v>
      </c>
      <c r="C175" s="331" t="s">
        <v>899</v>
      </c>
      <c r="D175" s="247" t="s">
        <v>16</v>
      </c>
      <c r="E175" s="247" t="s">
        <v>1209</v>
      </c>
      <c r="F175" s="247" t="s">
        <v>891</v>
      </c>
      <c r="G175" s="250" t="s">
        <v>891</v>
      </c>
      <c r="H175" s="250" t="str">
        <f>+IF(C175="Controlos","Não aplicável",
IFERROR(VLOOKUP(A175&amp;"_"&amp;E175,Testes!A:Z,25,FALSE),"Não aplicável"))</f>
        <v>Não aplicável</v>
      </c>
      <c r="I175" s="250" t="str">
        <f>+IF(C175="Controlos",
IFERROR(VLOOKUP(E175,Controlos!B:J,9,FALSE),"Não aplicável"),
IFERROR(VLOOKUP(A175&amp;"_"&amp;E175,Testes!A:Z,26,FALSE),"Não aplicável"))</f>
        <v>Concluído</v>
      </c>
      <c r="J175" s="250" t="s">
        <v>144</v>
      </c>
      <c r="K175" s="247"/>
      <c r="L175" s="247"/>
      <c r="M175" s="247"/>
      <c r="N175" s="108">
        <f t="shared" si="5"/>
        <v>0</v>
      </c>
    </row>
    <row r="176" spans="1:14" ht="16.5" hidden="1" x14ac:dyDescent="0.35">
      <c r="A176" s="442" t="str">
        <f t="shared" si="4"/>
        <v>B02.00</v>
      </c>
      <c r="B176" s="247" t="s">
        <v>0</v>
      </c>
      <c r="C176" s="331" t="s">
        <v>899</v>
      </c>
      <c r="D176" s="247" t="s">
        <v>16</v>
      </c>
      <c r="E176" s="247" t="s">
        <v>1210</v>
      </c>
      <c r="F176" s="247" t="s">
        <v>891</v>
      </c>
      <c r="G176" s="250" t="s">
        <v>891</v>
      </c>
      <c r="H176" s="250" t="str">
        <f>+IF(C176="Controlos","Não aplicável",
IFERROR(VLOOKUP(A176&amp;"_"&amp;E176,Testes!A:Z,25,FALSE),"Não aplicável"))</f>
        <v>Não aplicável</v>
      </c>
      <c r="I176" s="250" t="str">
        <f>+IF(C176="Controlos",
IFERROR(VLOOKUP(E176,Controlos!B:J,9,FALSE),"Não aplicável"),
IFERROR(VLOOKUP(A176&amp;"_"&amp;E176,Testes!A:Z,26,FALSE),"Não aplicável"))</f>
        <v>Concluído</v>
      </c>
      <c r="J176" s="250" t="s">
        <v>144</v>
      </c>
      <c r="K176" s="247"/>
      <c r="L176" s="247"/>
      <c r="M176" s="247"/>
      <c r="N176" s="108">
        <f t="shared" si="5"/>
        <v>0</v>
      </c>
    </row>
    <row r="177" spans="1:14" ht="16.5" hidden="1" x14ac:dyDescent="0.35">
      <c r="A177" s="442" t="str">
        <f t="shared" si="4"/>
        <v>B02.00</v>
      </c>
      <c r="B177" s="247" t="s">
        <v>0</v>
      </c>
      <c r="C177" s="331" t="s">
        <v>899</v>
      </c>
      <c r="D177" s="247" t="s">
        <v>16</v>
      </c>
      <c r="E177" s="247" t="s">
        <v>1211</v>
      </c>
      <c r="F177" s="247" t="s">
        <v>891</v>
      </c>
      <c r="G177" s="250" t="s">
        <v>891</v>
      </c>
      <c r="H177" s="250" t="str">
        <f>+IF(C177="Controlos","Não aplicável",
IFERROR(VLOOKUP(A177&amp;"_"&amp;E177,Testes!A:Z,25,FALSE),"Não aplicável"))</f>
        <v>Não aplicável</v>
      </c>
      <c r="I177" s="250" t="str">
        <f>+IF(C177="Controlos",
IFERROR(VLOOKUP(E177,Controlos!B:J,9,FALSE),"Não aplicável"),
IFERROR(VLOOKUP(A177&amp;"_"&amp;E177,Testes!A:Z,26,FALSE),"Não aplicável"))</f>
        <v>Concluído</v>
      </c>
      <c r="J177" s="250" t="s">
        <v>870</v>
      </c>
      <c r="K177" s="247"/>
      <c r="L177" s="247"/>
      <c r="M177" s="247"/>
      <c r="N177" s="108">
        <f t="shared" si="5"/>
        <v>1</v>
      </c>
    </row>
    <row r="178" spans="1:14" ht="16.5" hidden="1" x14ac:dyDescent="0.35">
      <c r="A178" s="442" t="str">
        <f t="shared" si="4"/>
        <v>B02.00</v>
      </c>
      <c r="B178" s="247" t="s">
        <v>0</v>
      </c>
      <c r="C178" s="331" t="s">
        <v>899</v>
      </c>
      <c r="D178" s="247" t="s">
        <v>16</v>
      </c>
      <c r="E178" s="247" t="s">
        <v>1212</v>
      </c>
      <c r="F178" s="247" t="s">
        <v>891</v>
      </c>
      <c r="G178" s="250" t="s">
        <v>891</v>
      </c>
      <c r="H178" s="250" t="str">
        <f>+IF(C178="Controlos","Não aplicável",
IFERROR(VLOOKUP(A178&amp;"_"&amp;E178,Testes!A:Z,25,FALSE),"Não aplicável"))</f>
        <v>Não aplicável</v>
      </c>
      <c r="I178" s="250" t="str">
        <f>+IF(C178="Controlos",
IFERROR(VLOOKUP(E178,Controlos!B:J,9,FALSE),"Não aplicável"),
IFERROR(VLOOKUP(A178&amp;"_"&amp;E178,Testes!A:Z,26,FALSE),"Não aplicável"))</f>
        <v>Concluído</v>
      </c>
      <c r="J178" s="250" t="s">
        <v>873</v>
      </c>
      <c r="K178" s="247"/>
      <c r="L178" s="247"/>
      <c r="M178" s="247"/>
      <c r="N178" s="108">
        <f t="shared" si="5"/>
        <v>1</v>
      </c>
    </row>
    <row r="179" spans="1:14" ht="16.5" hidden="1" x14ac:dyDescent="0.35">
      <c r="A179" s="442" t="str">
        <f t="shared" si="4"/>
        <v>B02.00</v>
      </c>
      <c r="B179" s="247" t="s">
        <v>0</v>
      </c>
      <c r="C179" s="331" t="s">
        <v>899</v>
      </c>
      <c r="D179" s="247" t="s">
        <v>16</v>
      </c>
      <c r="E179" s="247" t="s">
        <v>1213</v>
      </c>
      <c r="F179" s="247" t="s">
        <v>891</v>
      </c>
      <c r="G179" s="250" t="s">
        <v>891</v>
      </c>
      <c r="H179" s="250" t="str">
        <f>+IF(C179="Controlos","Não aplicável",
IFERROR(VLOOKUP(A179&amp;"_"&amp;E179,Testes!A:Z,25,FALSE),"Não aplicável"))</f>
        <v>Não aplicável</v>
      </c>
      <c r="I179" s="250" t="str">
        <f>+IF(C179="Controlos",
IFERROR(VLOOKUP(E179,Controlos!B:J,9,FALSE),"Não aplicável"),
IFERROR(VLOOKUP(A179&amp;"_"&amp;E179,Testes!A:Z,26,FALSE),"Não aplicável"))</f>
        <v>Concluído</v>
      </c>
      <c r="J179" s="250" t="s">
        <v>870</v>
      </c>
      <c r="K179" s="247"/>
      <c r="L179" s="247"/>
      <c r="M179" s="247"/>
      <c r="N179" s="108">
        <f t="shared" si="5"/>
        <v>1</v>
      </c>
    </row>
    <row r="180" spans="1:14" ht="16.5" hidden="1" x14ac:dyDescent="0.35">
      <c r="A180" s="442" t="str">
        <f t="shared" si="4"/>
        <v>B02.00</v>
      </c>
      <c r="B180" s="247" t="s">
        <v>0</v>
      </c>
      <c r="C180" s="331" t="s">
        <v>899</v>
      </c>
      <c r="D180" s="247" t="s">
        <v>16</v>
      </c>
      <c r="E180" s="247" t="s">
        <v>1214</v>
      </c>
      <c r="F180" s="247" t="s">
        <v>891</v>
      </c>
      <c r="G180" s="250" t="s">
        <v>891</v>
      </c>
      <c r="H180" s="250" t="str">
        <f>+IF(C180="Controlos","Não aplicável",
IFERROR(VLOOKUP(A180&amp;"_"&amp;E180,Testes!A:Z,25,FALSE),"Não aplicável"))</f>
        <v>Não aplicável</v>
      </c>
      <c r="I180" s="250" t="str">
        <f>+IF(C180="Controlos",
IFERROR(VLOOKUP(E180,Controlos!B:J,9,FALSE),"Não aplicável"),
IFERROR(VLOOKUP(A180&amp;"_"&amp;E180,Testes!A:Z,26,FALSE),"Não aplicável"))</f>
        <v>Concluído</v>
      </c>
      <c r="J180" s="250" t="s">
        <v>144</v>
      </c>
      <c r="K180" s="247"/>
      <c r="L180" s="247"/>
      <c r="M180" s="247"/>
      <c r="N180" s="108">
        <f t="shared" si="5"/>
        <v>0</v>
      </c>
    </row>
    <row r="181" spans="1:14" ht="16.5" hidden="1" x14ac:dyDescent="0.35">
      <c r="A181" s="442" t="str">
        <f t="shared" si="4"/>
        <v>B02.00</v>
      </c>
      <c r="B181" s="247" t="s">
        <v>0</v>
      </c>
      <c r="C181" s="331" t="s">
        <v>899</v>
      </c>
      <c r="D181" s="247" t="s">
        <v>16</v>
      </c>
      <c r="E181" s="247" t="s">
        <v>1215</v>
      </c>
      <c r="F181" s="247" t="s">
        <v>891</v>
      </c>
      <c r="G181" s="250" t="s">
        <v>891</v>
      </c>
      <c r="H181" s="250" t="str">
        <f>+IF(C181="Controlos","Não aplicável",
IFERROR(VLOOKUP(A181&amp;"_"&amp;E181,Testes!A:Z,25,FALSE),"Não aplicável"))</f>
        <v>Não aplicável</v>
      </c>
      <c r="I181" s="250" t="str">
        <f>+IF(C181="Controlos",
IFERROR(VLOOKUP(E181,Controlos!B:J,9,FALSE),"Não aplicável"),
IFERROR(VLOOKUP(A181&amp;"_"&amp;E181,Testes!A:Z,26,FALSE),"Não aplicável"))</f>
        <v>Concluído</v>
      </c>
      <c r="J181" s="250" t="s">
        <v>144</v>
      </c>
      <c r="K181" s="247"/>
      <c r="L181" s="247"/>
      <c r="M181" s="247"/>
      <c r="N181" s="108">
        <f t="shared" si="5"/>
        <v>0</v>
      </c>
    </row>
    <row r="182" spans="1:14" ht="16.5" hidden="1" x14ac:dyDescent="0.35">
      <c r="A182" s="442" t="str">
        <f t="shared" si="4"/>
        <v>B02.00</v>
      </c>
      <c r="B182" s="247" t="s">
        <v>0</v>
      </c>
      <c r="C182" s="331" t="s">
        <v>899</v>
      </c>
      <c r="D182" s="247" t="s">
        <v>16</v>
      </c>
      <c r="E182" s="247" t="s">
        <v>1216</v>
      </c>
      <c r="F182" s="247" t="s">
        <v>891</v>
      </c>
      <c r="G182" s="250" t="s">
        <v>891</v>
      </c>
      <c r="H182" s="250" t="str">
        <f>+IF(C182="Controlos","Não aplicável",
IFERROR(VLOOKUP(A182&amp;"_"&amp;E182,Testes!A:Z,25,FALSE),"Não aplicável"))</f>
        <v>Não aplicável</v>
      </c>
      <c r="I182" s="250" t="str">
        <f>+IF(C182="Controlos",
IFERROR(VLOOKUP(E182,Controlos!B:J,9,FALSE),"Não aplicável"),
IFERROR(VLOOKUP(A182&amp;"_"&amp;E182,Testes!A:Z,26,FALSE),"Não aplicável"))</f>
        <v>Concluído</v>
      </c>
      <c r="J182" s="250" t="s">
        <v>144</v>
      </c>
      <c r="K182" s="247"/>
      <c r="L182" s="247"/>
      <c r="M182" s="247"/>
      <c r="N182" s="108">
        <f t="shared" si="5"/>
        <v>0</v>
      </c>
    </row>
    <row r="183" spans="1:14" ht="16.5" hidden="1" x14ac:dyDescent="0.35">
      <c r="A183" s="442" t="str">
        <f t="shared" si="4"/>
        <v>B02.00</v>
      </c>
      <c r="B183" s="247" t="s">
        <v>0</v>
      </c>
      <c r="C183" s="331" t="s">
        <v>899</v>
      </c>
      <c r="D183" s="247" t="s">
        <v>16</v>
      </c>
      <c r="E183" s="247" t="s">
        <v>1217</v>
      </c>
      <c r="F183" s="247" t="s">
        <v>891</v>
      </c>
      <c r="G183" s="250" t="s">
        <v>891</v>
      </c>
      <c r="H183" s="250" t="str">
        <f>+IF(C183="Controlos","Não aplicável",
IFERROR(VLOOKUP(A183&amp;"_"&amp;E183,Testes!A:Z,25,FALSE),"Não aplicável"))</f>
        <v>Não aplicável</v>
      </c>
      <c r="I183" s="250" t="str">
        <f>+IF(C183="Controlos",
IFERROR(VLOOKUP(E183,Controlos!B:J,9,FALSE),"Não aplicável"),
IFERROR(VLOOKUP(A183&amp;"_"&amp;E183,Testes!A:Z,26,FALSE),"Não aplicável"))</f>
        <v>Concluído</v>
      </c>
      <c r="J183" s="250" t="s">
        <v>144</v>
      </c>
      <c r="K183" s="247"/>
      <c r="L183" s="247"/>
      <c r="M183" s="247"/>
      <c r="N183" s="108">
        <f t="shared" si="5"/>
        <v>0</v>
      </c>
    </row>
    <row r="184" spans="1:14" ht="16.5" hidden="1" x14ac:dyDescent="0.35">
      <c r="A184" s="442" t="str">
        <f t="shared" si="4"/>
        <v>B02.00</v>
      </c>
      <c r="B184" s="247" t="s">
        <v>0</v>
      </c>
      <c r="C184" s="331" t="s">
        <v>899</v>
      </c>
      <c r="D184" s="247" t="s">
        <v>16</v>
      </c>
      <c r="E184" s="247" t="s">
        <v>1218</v>
      </c>
      <c r="F184" s="247" t="s">
        <v>891</v>
      </c>
      <c r="G184" s="250" t="s">
        <v>891</v>
      </c>
      <c r="H184" s="250" t="str">
        <f>+IF(C184="Controlos","Não aplicável",
IFERROR(VLOOKUP(A184&amp;"_"&amp;E184,Testes!A:Z,25,FALSE),"Não aplicável"))</f>
        <v>Não aplicável</v>
      </c>
      <c r="I184" s="250" t="str">
        <f>+IF(C184="Controlos",
IFERROR(VLOOKUP(E184,Controlos!B:J,9,FALSE),"Não aplicável"),
IFERROR(VLOOKUP(A184&amp;"_"&amp;E184,Testes!A:Z,26,FALSE),"Não aplicável"))</f>
        <v>Concluído</v>
      </c>
      <c r="J184" s="250" t="s">
        <v>144</v>
      </c>
      <c r="K184" s="247"/>
      <c r="L184" s="247"/>
      <c r="M184" s="247"/>
      <c r="N184" s="108">
        <f t="shared" si="5"/>
        <v>0</v>
      </c>
    </row>
    <row r="185" spans="1:14" ht="16.5" hidden="1" x14ac:dyDescent="0.35">
      <c r="A185" s="442" t="str">
        <f t="shared" si="4"/>
        <v>B02.00</v>
      </c>
      <c r="B185" s="247" t="s">
        <v>0</v>
      </c>
      <c r="C185" s="331" t="s">
        <v>899</v>
      </c>
      <c r="D185" s="247" t="s">
        <v>16</v>
      </c>
      <c r="E185" s="247" t="s">
        <v>1219</v>
      </c>
      <c r="F185" s="247" t="s">
        <v>891</v>
      </c>
      <c r="G185" s="250" t="s">
        <v>891</v>
      </c>
      <c r="H185" s="250" t="str">
        <f>+IF(C185="Controlos","Não aplicável",
IFERROR(VLOOKUP(A185&amp;"_"&amp;E185,Testes!A:Z,25,FALSE),"Não aplicável"))</f>
        <v>Não aplicável</v>
      </c>
      <c r="I185" s="250" t="str">
        <f>+IF(C185="Controlos",
IFERROR(VLOOKUP(E185,Controlos!B:J,9,FALSE),"Não aplicável"),
IFERROR(VLOOKUP(A185&amp;"_"&amp;E185,Testes!A:Z,26,FALSE),"Não aplicável"))</f>
        <v>Concluído</v>
      </c>
      <c r="J185" s="250" t="s">
        <v>144</v>
      </c>
      <c r="K185" s="247"/>
      <c r="L185" s="247"/>
      <c r="M185" s="247"/>
      <c r="N185" s="108">
        <f t="shared" si="5"/>
        <v>0</v>
      </c>
    </row>
    <row r="186" spans="1:14" ht="16.5" hidden="1" x14ac:dyDescent="0.35">
      <c r="A186" s="442" t="str">
        <f t="shared" si="4"/>
        <v>B02.00</v>
      </c>
      <c r="B186" s="247" t="s">
        <v>0</v>
      </c>
      <c r="C186" s="331" t="s">
        <v>899</v>
      </c>
      <c r="D186" s="247" t="s">
        <v>16</v>
      </c>
      <c r="E186" s="247" t="s">
        <v>1220</v>
      </c>
      <c r="F186" s="247" t="s">
        <v>891</v>
      </c>
      <c r="G186" s="250" t="s">
        <v>891</v>
      </c>
      <c r="H186" s="250" t="str">
        <f>+IF(C186="Controlos","Não aplicável",
IFERROR(VLOOKUP(A186&amp;"_"&amp;E186,Testes!A:Z,25,FALSE),"Não aplicável"))</f>
        <v>Não aplicável</v>
      </c>
      <c r="I186" s="250" t="str">
        <f>+IF(C186="Controlos",
IFERROR(VLOOKUP(E186,Controlos!B:J,9,FALSE),"Não aplicável"),
IFERROR(VLOOKUP(A186&amp;"_"&amp;E186,Testes!A:Z,26,FALSE),"Não aplicável"))</f>
        <v>Concluído</v>
      </c>
      <c r="J186" s="250" t="s">
        <v>144</v>
      </c>
      <c r="K186" s="247"/>
      <c r="L186" s="247"/>
      <c r="M186" s="247"/>
      <c r="N186" s="108">
        <f t="shared" si="5"/>
        <v>0</v>
      </c>
    </row>
    <row r="187" spans="1:14" ht="16.5" hidden="1" x14ac:dyDescent="0.35">
      <c r="A187" s="442" t="str">
        <f t="shared" si="4"/>
        <v>B02.00</v>
      </c>
      <c r="B187" s="247" t="s">
        <v>0</v>
      </c>
      <c r="C187" s="331" t="s">
        <v>899</v>
      </c>
      <c r="D187" s="247" t="s">
        <v>16</v>
      </c>
      <c r="E187" s="247" t="s">
        <v>1221</v>
      </c>
      <c r="F187" s="247" t="s">
        <v>891</v>
      </c>
      <c r="G187" s="250" t="s">
        <v>891</v>
      </c>
      <c r="H187" s="250" t="str">
        <f>+IF(C187="Controlos","Não aplicável",
IFERROR(VLOOKUP(A187&amp;"_"&amp;E187,Testes!A:Z,25,FALSE),"Não aplicável"))</f>
        <v>Não aplicável</v>
      </c>
      <c r="I187" s="250" t="str">
        <f>+IF(C187="Controlos",
IFERROR(VLOOKUP(E187,Controlos!B:J,9,FALSE),"Não aplicável"),
IFERROR(VLOOKUP(A187&amp;"_"&amp;E187,Testes!A:Z,26,FALSE),"Não aplicável"))</f>
        <v>Concluído</v>
      </c>
      <c r="J187" s="250" t="s">
        <v>144</v>
      </c>
      <c r="K187" s="247"/>
      <c r="L187" s="247"/>
      <c r="M187" s="247"/>
      <c r="N187" s="108">
        <f t="shared" si="5"/>
        <v>0</v>
      </c>
    </row>
    <row r="188" spans="1:14" ht="16.5" hidden="1" x14ac:dyDescent="0.35">
      <c r="A188" s="442" t="str">
        <f t="shared" si="4"/>
        <v>B02.00</v>
      </c>
      <c r="B188" s="247" t="s">
        <v>0</v>
      </c>
      <c r="C188" s="331" t="s">
        <v>899</v>
      </c>
      <c r="D188" s="247" t="s">
        <v>16</v>
      </c>
      <c r="E188" s="247" t="s">
        <v>1222</v>
      </c>
      <c r="F188" s="247" t="s">
        <v>891</v>
      </c>
      <c r="G188" s="250" t="s">
        <v>891</v>
      </c>
      <c r="H188" s="250" t="str">
        <f>+IF(C188="Controlos","Não aplicável",
IFERROR(VLOOKUP(A188&amp;"_"&amp;E188,Testes!A:Z,25,FALSE),"Não aplicável"))</f>
        <v>Não aplicável</v>
      </c>
      <c r="I188" s="250" t="str">
        <f>+IF(C188="Controlos",
IFERROR(VLOOKUP(E188,Controlos!B:J,9,FALSE),"Não aplicável"),
IFERROR(VLOOKUP(A188&amp;"_"&amp;E188,Testes!A:Z,26,FALSE),"Não aplicável"))</f>
        <v>Com Incidências</v>
      </c>
      <c r="J188" s="250" t="s">
        <v>870</v>
      </c>
      <c r="K188" s="247"/>
      <c r="L188" s="247"/>
      <c r="M188" s="247"/>
      <c r="N188" s="108">
        <f t="shared" si="5"/>
        <v>0</v>
      </c>
    </row>
    <row r="189" spans="1:14" ht="16.5" hidden="1" x14ac:dyDescent="0.35">
      <c r="A189" s="442" t="str">
        <f t="shared" si="4"/>
        <v>B02.00</v>
      </c>
      <c r="B189" s="247" t="s">
        <v>0</v>
      </c>
      <c r="C189" s="331" t="s">
        <v>899</v>
      </c>
      <c r="D189" s="247" t="s">
        <v>16</v>
      </c>
      <c r="E189" s="247" t="s">
        <v>1223</v>
      </c>
      <c r="F189" s="247" t="s">
        <v>891</v>
      </c>
      <c r="G189" s="250" t="s">
        <v>891</v>
      </c>
      <c r="H189" s="250" t="str">
        <f>+IF(C189="Controlos","Não aplicável",
IFERROR(VLOOKUP(A189&amp;"_"&amp;E189,Testes!A:Z,25,FALSE),"Não aplicável"))</f>
        <v>Não aplicável</v>
      </c>
      <c r="I189" s="250" t="str">
        <f>+IF(C189="Controlos",
IFERROR(VLOOKUP(E189,Controlos!B:J,9,FALSE),"Não aplicável"),
IFERROR(VLOOKUP(A189&amp;"_"&amp;E189,Testes!A:Z,26,FALSE),"Não aplicável"))</f>
        <v>Concluído</v>
      </c>
      <c r="J189" s="250" t="s">
        <v>144</v>
      </c>
      <c r="K189" s="247"/>
      <c r="L189" s="247"/>
      <c r="M189" s="247"/>
      <c r="N189" s="108">
        <f t="shared" si="5"/>
        <v>0</v>
      </c>
    </row>
    <row r="190" spans="1:14" ht="16.5" hidden="1" x14ac:dyDescent="0.35">
      <c r="A190" s="442" t="str">
        <f t="shared" si="4"/>
        <v>B02.00</v>
      </c>
      <c r="B190" s="247" t="s">
        <v>0</v>
      </c>
      <c r="C190" s="331" t="s">
        <v>899</v>
      </c>
      <c r="D190" s="247" t="s">
        <v>16</v>
      </c>
      <c r="E190" s="247" t="s">
        <v>1224</v>
      </c>
      <c r="F190" s="247" t="s">
        <v>891</v>
      </c>
      <c r="G190" s="250" t="s">
        <v>891</v>
      </c>
      <c r="H190" s="250" t="str">
        <f>+IF(C190="Controlos","Não aplicável",
IFERROR(VLOOKUP(A190&amp;"_"&amp;E190,Testes!A:Z,25,FALSE),"Não aplicável"))</f>
        <v>Não aplicável</v>
      </c>
      <c r="I190" s="250" t="str">
        <f>+IF(C190="Controlos",
IFERROR(VLOOKUP(E190,Controlos!B:J,9,FALSE),"Não aplicável"),
IFERROR(VLOOKUP(A190&amp;"_"&amp;E190,Testes!A:Z,26,FALSE),"Não aplicável"))</f>
        <v>Concluído</v>
      </c>
      <c r="J190" s="250" t="s">
        <v>144</v>
      </c>
      <c r="K190" s="247"/>
      <c r="L190" s="247"/>
      <c r="M190" s="247"/>
      <c r="N190" s="108">
        <f t="shared" si="5"/>
        <v>0</v>
      </c>
    </row>
    <row r="191" spans="1:14" ht="16.5" hidden="1" x14ac:dyDescent="0.35">
      <c r="A191" s="442" t="str">
        <f t="shared" si="4"/>
        <v>B02.00</v>
      </c>
      <c r="B191" s="247" t="s">
        <v>0</v>
      </c>
      <c r="C191" s="331" t="s">
        <v>899</v>
      </c>
      <c r="D191" s="247" t="s">
        <v>16</v>
      </c>
      <c r="E191" s="247" t="s">
        <v>1225</v>
      </c>
      <c r="F191" s="247" t="s">
        <v>891</v>
      </c>
      <c r="G191" s="250" t="s">
        <v>891</v>
      </c>
      <c r="H191" s="250" t="str">
        <f>+IF(C191="Controlos","Não aplicável",
IFERROR(VLOOKUP(A191&amp;"_"&amp;E191,Testes!A:Z,25,FALSE),"Não aplicável"))</f>
        <v>Não aplicável</v>
      </c>
      <c r="I191" s="250" t="str">
        <f>+IF(C191="Controlos",
IFERROR(VLOOKUP(E191,Controlos!B:J,9,FALSE),"Não aplicável"),
IFERROR(VLOOKUP(A191&amp;"_"&amp;E191,Testes!A:Z,26,FALSE),"Não aplicável"))</f>
        <v>Concluído</v>
      </c>
      <c r="J191" s="250" t="s">
        <v>144</v>
      </c>
      <c r="K191" s="247"/>
      <c r="L191" s="247"/>
      <c r="M191" s="247"/>
      <c r="N191" s="108">
        <f t="shared" si="5"/>
        <v>0</v>
      </c>
    </row>
    <row r="192" spans="1:14" ht="16.5" hidden="1" x14ac:dyDescent="0.35">
      <c r="A192" s="442" t="str">
        <f t="shared" si="4"/>
        <v>B02.00</v>
      </c>
      <c r="B192" s="247" t="s">
        <v>0</v>
      </c>
      <c r="C192" s="331" t="s">
        <v>899</v>
      </c>
      <c r="D192" s="247" t="s">
        <v>16</v>
      </c>
      <c r="E192" s="247" t="s">
        <v>1226</v>
      </c>
      <c r="F192" s="247" t="s">
        <v>891</v>
      </c>
      <c r="G192" s="250" t="s">
        <v>891</v>
      </c>
      <c r="H192" s="250" t="str">
        <f>+IF(C192="Controlos","Não aplicável",
IFERROR(VLOOKUP(A192&amp;"_"&amp;E192,Testes!A:Z,25,FALSE),"Não aplicável"))</f>
        <v>Não aplicável</v>
      </c>
      <c r="I192" s="250" t="str">
        <f>+IF(C192="Controlos",
IFERROR(VLOOKUP(E192,Controlos!B:J,9,FALSE),"Não aplicável"),
IFERROR(VLOOKUP(A192&amp;"_"&amp;E192,Testes!A:Z,26,FALSE),"Não aplicável"))</f>
        <v>Concluído</v>
      </c>
      <c r="J192" s="250" t="s">
        <v>144</v>
      </c>
      <c r="K192" s="247"/>
      <c r="L192" s="247"/>
      <c r="M192" s="247"/>
      <c r="N192" s="108">
        <f t="shared" si="5"/>
        <v>0</v>
      </c>
    </row>
    <row r="193" spans="1:14" ht="16.5" hidden="1" x14ac:dyDescent="0.35">
      <c r="A193" s="442" t="str">
        <f t="shared" si="4"/>
        <v>B02.00</v>
      </c>
      <c r="B193" s="247" t="s">
        <v>0</v>
      </c>
      <c r="C193" s="331" t="s">
        <v>899</v>
      </c>
      <c r="D193" s="247" t="s">
        <v>16</v>
      </c>
      <c r="E193" s="247" t="s">
        <v>1227</v>
      </c>
      <c r="F193" s="247" t="s">
        <v>891</v>
      </c>
      <c r="G193" s="250" t="s">
        <v>891</v>
      </c>
      <c r="H193" s="250" t="str">
        <f>+IF(C193="Controlos","Não aplicável",
IFERROR(VLOOKUP(A193&amp;"_"&amp;E193,Testes!A:Z,25,FALSE),"Não aplicável"))</f>
        <v>Não aplicável</v>
      </c>
      <c r="I193" s="250" t="str">
        <f>+IF(C193="Controlos",
IFERROR(VLOOKUP(E193,Controlos!B:J,9,FALSE),"Não aplicável"),
IFERROR(VLOOKUP(A193&amp;"_"&amp;E193,Testes!A:Z,26,FALSE),"Não aplicável"))</f>
        <v>Concluído</v>
      </c>
      <c r="J193" s="250" t="s">
        <v>144</v>
      </c>
      <c r="K193" s="247"/>
      <c r="L193" s="247"/>
      <c r="M193" s="247"/>
      <c r="N193" s="108">
        <f t="shared" si="5"/>
        <v>0</v>
      </c>
    </row>
    <row r="194" spans="1:14" ht="16.5" hidden="1" x14ac:dyDescent="0.35">
      <c r="A194" s="442" t="str">
        <f t="shared" si="4"/>
        <v>B02.00</v>
      </c>
      <c r="B194" s="247" t="s">
        <v>0</v>
      </c>
      <c r="C194" s="331" t="s">
        <v>899</v>
      </c>
      <c r="D194" s="247" t="s">
        <v>16</v>
      </c>
      <c r="E194" s="247" t="s">
        <v>1228</v>
      </c>
      <c r="F194" s="247" t="s">
        <v>891</v>
      </c>
      <c r="G194" s="250" t="s">
        <v>891</v>
      </c>
      <c r="H194" s="250" t="str">
        <f>+IF(C194="Controlos","Não aplicável",
IFERROR(VLOOKUP(A194&amp;"_"&amp;E194,Testes!A:Z,25,FALSE),"Não aplicável"))</f>
        <v>Não aplicável</v>
      </c>
      <c r="I194" s="250" t="str">
        <f>+IF(C194="Controlos",
IFERROR(VLOOKUP(E194,Controlos!B:J,9,FALSE),"Não aplicável"),
IFERROR(VLOOKUP(A194&amp;"_"&amp;E194,Testes!A:Z,26,FALSE),"Não aplicável"))</f>
        <v>Concluído</v>
      </c>
      <c r="J194" s="250" t="s">
        <v>144</v>
      </c>
      <c r="K194" s="247"/>
      <c r="L194" s="247"/>
      <c r="M194" s="247"/>
      <c r="N194" s="108">
        <f t="shared" si="5"/>
        <v>0</v>
      </c>
    </row>
    <row r="195" spans="1:14" ht="16.5" hidden="1" x14ac:dyDescent="0.35">
      <c r="A195" s="442" t="str">
        <f t="shared" si="4"/>
        <v>B02.00</v>
      </c>
      <c r="B195" s="247" t="s">
        <v>0</v>
      </c>
      <c r="C195" s="331" t="s">
        <v>899</v>
      </c>
      <c r="D195" s="247" t="s">
        <v>16</v>
      </c>
      <c r="E195" s="247" t="s">
        <v>1229</v>
      </c>
      <c r="F195" s="247" t="s">
        <v>891</v>
      </c>
      <c r="G195" s="250" t="s">
        <v>891</v>
      </c>
      <c r="H195" s="250" t="str">
        <f>+IF(C195="Controlos","Não aplicável",
IFERROR(VLOOKUP(A195&amp;"_"&amp;E195,Testes!A:Z,25,FALSE),"Não aplicável"))</f>
        <v>Não aplicável</v>
      </c>
      <c r="I195" s="250" t="str">
        <f>+IF(C195="Controlos",
IFERROR(VLOOKUP(E195,Controlos!B:J,9,FALSE),"Não aplicável"),
IFERROR(VLOOKUP(A195&amp;"_"&amp;E195,Testes!A:Z,26,FALSE),"Não aplicável"))</f>
        <v>Concluído</v>
      </c>
      <c r="J195" s="250" t="s">
        <v>144</v>
      </c>
      <c r="K195" s="247"/>
      <c r="L195" s="247"/>
      <c r="M195" s="247"/>
      <c r="N195" s="108">
        <f t="shared" si="5"/>
        <v>0</v>
      </c>
    </row>
    <row r="196" spans="1:14" ht="16.5" hidden="1" x14ac:dyDescent="0.35">
      <c r="A196" s="442" t="str">
        <f t="shared" si="4"/>
        <v>B02.00</v>
      </c>
      <c r="B196" s="247" t="s">
        <v>0</v>
      </c>
      <c r="C196" s="331" t="s">
        <v>899</v>
      </c>
      <c r="D196" s="247" t="s">
        <v>16</v>
      </c>
      <c r="E196" s="247" t="s">
        <v>1230</v>
      </c>
      <c r="F196" s="247" t="s">
        <v>891</v>
      </c>
      <c r="G196" s="250" t="s">
        <v>891</v>
      </c>
      <c r="H196" s="250" t="str">
        <f>+IF(C196="Controlos","Não aplicável",
IFERROR(VLOOKUP(A196&amp;"_"&amp;E196,Testes!A:Z,25,FALSE),"Não aplicável"))</f>
        <v>Não aplicável</v>
      </c>
      <c r="I196" s="250" t="str">
        <f>+IF(C196="Controlos",
IFERROR(VLOOKUP(E196,Controlos!B:J,9,FALSE),"Não aplicável"),
IFERROR(VLOOKUP(A196&amp;"_"&amp;E196,Testes!A:Z,26,FALSE),"Não aplicável"))</f>
        <v>Concluído</v>
      </c>
      <c r="J196" s="250" t="s">
        <v>144</v>
      </c>
      <c r="K196" s="247"/>
      <c r="L196" s="247"/>
      <c r="M196" s="247"/>
      <c r="N196" s="108">
        <f t="shared" si="5"/>
        <v>0</v>
      </c>
    </row>
    <row r="197" spans="1:14" ht="16.5" hidden="1" x14ac:dyDescent="0.35">
      <c r="A197" s="442" t="str">
        <f t="shared" si="4"/>
        <v>B02.00</v>
      </c>
      <c r="B197" s="247" t="s">
        <v>0</v>
      </c>
      <c r="C197" s="331" t="s">
        <v>899</v>
      </c>
      <c r="D197" s="247" t="s">
        <v>16</v>
      </c>
      <c r="E197" s="247" t="s">
        <v>1231</v>
      </c>
      <c r="F197" s="247" t="s">
        <v>891</v>
      </c>
      <c r="G197" s="250" t="s">
        <v>891</v>
      </c>
      <c r="H197" s="250" t="str">
        <f>+IF(C197="Controlos","Não aplicável",
IFERROR(VLOOKUP(A197&amp;"_"&amp;E197,Testes!A:Z,25,FALSE),"Não aplicável"))</f>
        <v>Não aplicável</v>
      </c>
      <c r="I197" s="250" t="str">
        <f>+IF(C197="Controlos",
IFERROR(VLOOKUP(E197,Controlos!B:J,9,FALSE),"Não aplicável"),
IFERROR(VLOOKUP(A197&amp;"_"&amp;E197,Testes!A:Z,26,FALSE),"Não aplicável"))</f>
        <v>Concluído</v>
      </c>
      <c r="J197" s="250" t="s">
        <v>144</v>
      </c>
      <c r="K197" s="247"/>
      <c r="L197" s="247"/>
      <c r="M197" s="247"/>
      <c r="N197" s="108">
        <f t="shared" si="5"/>
        <v>0</v>
      </c>
    </row>
    <row r="198" spans="1:14" ht="16.5" hidden="1" x14ac:dyDescent="0.35">
      <c r="A198" s="442" t="str">
        <f t="shared" si="4"/>
        <v>B02.00</v>
      </c>
      <c r="B198" s="247" t="s">
        <v>0</v>
      </c>
      <c r="C198" s="331" t="s">
        <v>899</v>
      </c>
      <c r="D198" s="247" t="s">
        <v>16</v>
      </c>
      <c r="E198" s="247" t="s">
        <v>1232</v>
      </c>
      <c r="F198" s="247" t="s">
        <v>891</v>
      </c>
      <c r="G198" s="250" t="s">
        <v>891</v>
      </c>
      <c r="H198" s="250" t="str">
        <f>+IF(C198="Controlos","Não aplicável",
IFERROR(VLOOKUP(A198&amp;"_"&amp;E198,Testes!A:Z,25,FALSE),"Não aplicável"))</f>
        <v>Não aplicável</v>
      </c>
      <c r="I198" s="250" t="str">
        <f>+IF(C198="Controlos",
IFERROR(VLOOKUP(E198,Controlos!B:J,9,FALSE),"Não aplicável"),
IFERROR(VLOOKUP(A198&amp;"_"&amp;E198,Testes!A:Z,26,FALSE),"Não aplicável"))</f>
        <v>Concluído</v>
      </c>
      <c r="J198" s="250" t="s">
        <v>144</v>
      </c>
      <c r="K198" s="247"/>
      <c r="L198" s="247"/>
      <c r="M198" s="247"/>
      <c r="N198" s="108">
        <f t="shared" si="5"/>
        <v>0</v>
      </c>
    </row>
    <row r="199" spans="1:14" ht="16.5" hidden="1" x14ac:dyDescent="0.35">
      <c r="A199" s="442" t="str">
        <f t="shared" si="4"/>
        <v>B02.00</v>
      </c>
      <c r="B199" s="247" t="s">
        <v>0</v>
      </c>
      <c r="C199" s="331" t="s">
        <v>899</v>
      </c>
      <c r="D199" s="247" t="s">
        <v>16</v>
      </c>
      <c r="E199" s="247" t="s">
        <v>1233</v>
      </c>
      <c r="F199" s="247" t="s">
        <v>891</v>
      </c>
      <c r="G199" s="250" t="s">
        <v>891</v>
      </c>
      <c r="H199" s="250" t="str">
        <f>+IF(C199="Controlos","Não aplicável",
IFERROR(VLOOKUP(A199&amp;"_"&amp;E199,Testes!A:Z,25,FALSE),"Não aplicável"))</f>
        <v>Não aplicável</v>
      </c>
      <c r="I199" s="250" t="str">
        <f>+IF(C199="Controlos",
IFERROR(VLOOKUP(E199,Controlos!B:J,9,FALSE),"Não aplicável"),
IFERROR(VLOOKUP(A199&amp;"_"&amp;E199,Testes!A:Z,26,FALSE),"Não aplicável"))</f>
        <v>Concluído</v>
      </c>
      <c r="J199" s="250" t="s">
        <v>144</v>
      </c>
      <c r="K199" s="247"/>
      <c r="L199" s="247"/>
      <c r="M199" s="247"/>
      <c r="N199" s="108">
        <f t="shared" si="5"/>
        <v>0</v>
      </c>
    </row>
    <row r="200" spans="1:14" ht="16.5" hidden="1" x14ac:dyDescent="0.35">
      <c r="A200" s="442" t="str">
        <f t="shared" ref="A200:A263" si="6">+IF(C200="Loan Tape",LEFT(D200,5),B200)</f>
        <v>B02.00</v>
      </c>
      <c r="B200" s="247" t="s">
        <v>0</v>
      </c>
      <c r="C200" s="331" t="s">
        <v>899</v>
      </c>
      <c r="D200" s="247" t="s">
        <v>16</v>
      </c>
      <c r="E200" s="247" t="s">
        <v>1234</v>
      </c>
      <c r="F200" s="247" t="s">
        <v>891</v>
      </c>
      <c r="G200" s="250" t="s">
        <v>891</v>
      </c>
      <c r="H200" s="250" t="str">
        <f>+IF(C200="Controlos","Não aplicável",
IFERROR(VLOOKUP(A200&amp;"_"&amp;E200,Testes!A:Z,25,FALSE),"Não aplicável"))</f>
        <v>Não aplicável</v>
      </c>
      <c r="I200" s="250" t="str">
        <f>+IF(C200="Controlos",
IFERROR(VLOOKUP(E200,Controlos!B:J,9,FALSE),"Não aplicável"),
IFERROR(VLOOKUP(A200&amp;"_"&amp;E200,Testes!A:Z,26,FALSE),"Não aplicável"))</f>
        <v>Concluído</v>
      </c>
      <c r="J200" s="250" t="s">
        <v>144</v>
      </c>
      <c r="K200" s="247"/>
      <c r="L200" s="247"/>
      <c r="M200" s="247"/>
      <c r="N200" s="108">
        <f t="shared" si="5"/>
        <v>0</v>
      </c>
    </row>
    <row r="201" spans="1:14" ht="16.5" hidden="1" x14ac:dyDescent="0.35">
      <c r="A201" s="442" t="str">
        <f t="shared" si="6"/>
        <v>B02.00</v>
      </c>
      <c r="B201" s="247" t="s">
        <v>0</v>
      </c>
      <c r="C201" s="331" t="s">
        <v>899</v>
      </c>
      <c r="D201" s="247" t="s">
        <v>16</v>
      </c>
      <c r="E201" s="247" t="s">
        <v>1235</v>
      </c>
      <c r="F201" s="247" t="s">
        <v>891</v>
      </c>
      <c r="G201" s="250" t="s">
        <v>891</v>
      </c>
      <c r="H201" s="250" t="str">
        <f>+IF(C201="Controlos","Não aplicável",
IFERROR(VLOOKUP(A201&amp;"_"&amp;E201,Testes!A:Z,25,FALSE),"Não aplicável"))</f>
        <v>Não aplicável</v>
      </c>
      <c r="I201" s="250" t="str">
        <f>+IF(C201="Controlos",
IFERROR(VLOOKUP(E201,Controlos!B:J,9,FALSE),"Não aplicável"),
IFERROR(VLOOKUP(A201&amp;"_"&amp;E201,Testes!A:Z,26,FALSE),"Não aplicável"))</f>
        <v>Concluído</v>
      </c>
      <c r="J201" s="250" t="s">
        <v>144</v>
      </c>
      <c r="K201" s="247"/>
      <c r="L201" s="247"/>
      <c r="M201" s="247"/>
      <c r="N201" s="108">
        <f t="shared" ref="N201:N264" si="7">+IF(I201=J201,0,1)</f>
        <v>0</v>
      </c>
    </row>
    <row r="202" spans="1:14" ht="16.5" hidden="1" x14ac:dyDescent="0.35">
      <c r="A202" s="442" t="str">
        <f t="shared" si="6"/>
        <v>B02.00</v>
      </c>
      <c r="B202" s="247" t="s">
        <v>0</v>
      </c>
      <c r="C202" s="331" t="s">
        <v>899</v>
      </c>
      <c r="D202" s="247" t="s">
        <v>16</v>
      </c>
      <c r="E202" s="247" t="s">
        <v>1236</v>
      </c>
      <c r="F202" s="247" t="s">
        <v>891</v>
      </c>
      <c r="G202" s="250" t="s">
        <v>891</v>
      </c>
      <c r="H202" s="250" t="str">
        <f>+IF(C202="Controlos","Não aplicável",
IFERROR(VLOOKUP(A202&amp;"_"&amp;E202,Testes!A:Z,25,FALSE),"Não aplicável"))</f>
        <v>Não aplicável</v>
      </c>
      <c r="I202" s="250" t="str">
        <f>+IF(C202="Controlos",
IFERROR(VLOOKUP(E202,Controlos!B:J,9,FALSE),"Não aplicável"),
IFERROR(VLOOKUP(A202&amp;"_"&amp;E202,Testes!A:Z,26,FALSE),"Não aplicável"))</f>
        <v>Concluído</v>
      </c>
      <c r="J202" s="250" t="s">
        <v>144</v>
      </c>
      <c r="K202" s="247"/>
      <c r="L202" s="247"/>
      <c r="M202" s="247"/>
      <c r="N202" s="108">
        <f t="shared" si="7"/>
        <v>0</v>
      </c>
    </row>
    <row r="203" spans="1:14" ht="16.5" hidden="1" x14ac:dyDescent="0.35">
      <c r="A203" s="442" t="str">
        <f t="shared" si="6"/>
        <v>B02.00</v>
      </c>
      <c r="B203" s="247" t="s">
        <v>0</v>
      </c>
      <c r="C203" s="331" t="s">
        <v>899</v>
      </c>
      <c r="D203" s="247" t="s">
        <v>16</v>
      </c>
      <c r="E203" s="247" t="s">
        <v>1237</v>
      </c>
      <c r="F203" s="247" t="s">
        <v>891</v>
      </c>
      <c r="G203" s="250" t="s">
        <v>891</v>
      </c>
      <c r="H203" s="250" t="str">
        <f>+IF(C203="Controlos","Não aplicável",
IFERROR(VLOOKUP(A203&amp;"_"&amp;E203,Testes!A:Z,25,FALSE),"Não aplicável"))</f>
        <v>Não aplicável</v>
      </c>
      <c r="I203" s="250" t="str">
        <f>+IF(C203="Controlos",
IFERROR(VLOOKUP(E203,Controlos!B:J,9,FALSE),"Não aplicável"),
IFERROR(VLOOKUP(A203&amp;"_"&amp;E203,Testes!A:Z,26,FALSE),"Não aplicável"))</f>
        <v>Concluído</v>
      </c>
      <c r="J203" s="250" t="s">
        <v>144</v>
      </c>
      <c r="K203" s="247"/>
      <c r="L203" s="247"/>
      <c r="M203" s="247"/>
      <c r="N203" s="108">
        <f t="shared" si="7"/>
        <v>0</v>
      </c>
    </row>
    <row r="204" spans="1:14" ht="16.5" hidden="1" x14ac:dyDescent="0.35">
      <c r="A204" s="442" t="str">
        <f t="shared" si="6"/>
        <v>B02.00</v>
      </c>
      <c r="B204" s="247" t="s">
        <v>0</v>
      </c>
      <c r="C204" s="331" t="s">
        <v>899</v>
      </c>
      <c r="D204" s="247" t="s">
        <v>16</v>
      </c>
      <c r="E204" s="247" t="s">
        <v>1238</v>
      </c>
      <c r="F204" s="247" t="s">
        <v>891</v>
      </c>
      <c r="G204" s="250" t="s">
        <v>891</v>
      </c>
      <c r="H204" s="250" t="str">
        <f>+IF(C204="Controlos","Não aplicável",
IFERROR(VLOOKUP(A204&amp;"_"&amp;E204,Testes!A:Z,25,FALSE),"Não aplicável"))</f>
        <v>Não aplicável</v>
      </c>
      <c r="I204" s="250" t="str">
        <f>+IF(C204="Controlos",
IFERROR(VLOOKUP(E204,Controlos!B:J,9,FALSE),"Não aplicável"),
IFERROR(VLOOKUP(A204&amp;"_"&amp;E204,Testes!A:Z,26,FALSE),"Não aplicável"))</f>
        <v>Concluído</v>
      </c>
      <c r="J204" s="250" t="s">
        <v>144</v>
      </c>
      <c r="K204" s="247"/>
      <c r="L204" s="247"/>
      <c r="M204" s="247"/>
      <c r="N204" s="108">
        <f t="shared" si="7"/>
        <v>0</v>
      </c>
    </row>
    <row r="205" spans="1:14" ht="16.5" hidden="1" x14ac:dyDescent="0.35">
      <c r="A205" s="442" t="str">
        <f t="shared" si="6"/>
        <v>B02.00</v>
      </c>
      <c r="B205" s="247" t="s">
        <v>0</v>
      </c>
      <c r="C205" s="331" t="s">
        <v>899</v>
      </c>
      <c r="D205" s="247" t="s">
        <v>16</v>
      </c>
      <c r="E205" s="247" t="s">
        <v>1239</v>
      </c>
      <c r="F205" s="247" t="s">
        <v>891</v>
      </c>
      <c r="G205" s="250" t="s">
        <v>891</v>
      </c>
      <c r="H205" s="250" t="str">
        <f>+IF(C205="Controlos","Não aplicável",
IFERROR(VLOOKUP(A205&amp;"_"&amp;E205,Testes!A:Z,25,FALSE),"Não aplicável"))</f>
        <v>Não aplicável</v>
      </c>
      <c r="I205" s="250" t="str">
        <f>+IF(C205="Controlos",
IFERROR(VLOOKUP(E205,Controlos!B:J,9,FALSE),"Não aplicável"),
IFERROR(VLOOKUP(A205&amp;"_"&amp;E205,Testes!A:Z,26,FALSE),"Não aplicável"))</f>
        <v>Concluído</v>
      </c>
      <c r="J205" s="250" t="s">
        <v>144</v>
      </c>
      <c r="K205" s="247"/>
      <c r="L205" s="247"/>
      <c r="M205" s="247"/>
      <c r="N205" s="108">
        <f t="shared" si="7"/>
        <v>0</v>
      </c>
    </row>
    <row r="206" spans="1:14" ht="16.5" hidden="1" x14ac:dyDescent="0.35">
      <c r="A206" s="442" t="str">
        <f t="shared" si="6"/>
        <v>B02.00</v>
      </c>
      <c r="B206" s="247" t="s">
        <v>0</v>
      </c>
      <c r="C206" s="331" t="s">
        <v>899</v>
      </c>
      <c r="D206" s="247" t="s">
        <v>16</v>
      </c>
      <c r="E206" s="247" t="s">
        <v>1240</v>
      </c>
      <c r="F206" s="247" t="s">
        <v>891</v>
      </c>
      <c r="G206" s="250" t="s">
        <v>891</v>
      </c>
      <c r="H206" s="250" t="str">
        <f>+IF(C206="Controlos","Não aplicável",
IFERROR(VLOOKUP(A206&amp;"_"&amp;E206,Testes!A:Z,25,FALSE),"Não aplicável"))</f>
        <v>Não aplicável</v>
      </c>
      <c r="I206" s="250" t="str">
        <f>+IF(C206="Controlos",
IFERROR(VLOOKUP(E206,Controlos!B:J,9,FALSE),"Não aplicável"),
IFERROR(VLOOKUP(A206&amp;"_"&amp;E206,Testes!A:Z,26,FALSE),"Não aplicável"))</f>
        <v>Concluído</v>
      </c>
      <c r="J206" s="250" t="s">
        <v>144</v>
      </c>
      <c r="K206" s="247"/>
      <c r="L206" s="247"/>
      <c r="M206" s="247"/>
      <c r="N206" s="108">
        <f t="shared" si="7"/>
        <v>0</v>
      </c>
    </row>
    <row r="207" spans="1:14" ht="16.5" hidden="1" x14ac:dyDescent="0.35">
      <c r="A207" s="442" t="str">
        <f t="shared" si="6"/>
        <v>B02.00</v>
      </c>
      <c r="B207" s="247" t="s">
        <v>0</v>
      </c>
      <c r="C207" s="331" t="s">
        <v>899</v>
      </c>
      <c r="D207" s="247" t="s">
        <v>16</v>
      </c>
      <c r="E207" s="247" t="s">
        <v>1241</v>
      </c>
      <c r="F207" s="247" t="s">
        <v>891</v>
      </c>
      <c r="G207" s="250" t="s">
        <v>891</v>
      </c>
      <c r="H207" s="250" t="str">
        <f>+IF(C207="Controlos","Não aplicável",
IFERROR(VLOOKUP(A207&amp;"_"&amp;E207,Testes!A:Z,25,FALSE),"Não aplicável"))</f>
        <v>Não aplicável</v>
      </c>
      <c r="I207" s="250" t="str">
        <f>+IF(C207="Controlos",
IFERROR(VLOOKUP(E207,Controlos!B:J,9,FALSE),"Não aplicável"),
IFERROR(VLOOKUP(A207&amp;"_"&amp;E207,Testes!A:Z,26,FALSE),"Não aplicável"))</f>
        <v>Concluído</v>
      </c>
      <c r="J207" s="250" t="s">
        <v>144</v>
      </c>
      <c r="K207" s="247"/>
      <c r="L207" s="247"/>
      <c r="M207" s="247"/>
      <c r="N207" s="108">
        <f t="shared" si="7"/>
        <v>0</v>
      </c>
    </row>
    <row r="208" spans="1:14" ht="16.5" hidden="1" x14ac:dyDescent="0.35">
      <c r="A208" s="442" t="str">
        <f t="shared" si="6"/>
        <v>B02.00</v>
      </c>
      <c r="B208" s="247" t="s">
        <v>0</v>
      </c>
      <c r="C208" s="331" t="s">
        <v>899</v>
      </c>
      <c r="D208" s="247" t="s">
        <v>16</v>
      </c>
      <c r="E208" s="247" t="s">
        <v>1242</v>
      </c>
      <c r="F208" s="247" t="s">
        <v>891</v>
      </c>
      <c r="G208" s="250" t="s">
        <v>891</v>
      </c>
      <c r="H208" s="250" t="str">
        <f>+IF(C208="Controlos","Não aplicável",
IFERROR(VLOOKUP(A208&amp;"_"&amp;E208,Testes!A:Z,25,FALSE),"Não aplicável"))</f>
        <v>Não aplicável</v>
      </c>
      <c r="I208" s="250" t="str">
        <f>+IF(C208="Controlos",
IFERROR(VLOOKUP(E208,Controlos!B:J,9,FALSE),"Não aplicável"),
IFERROR(VLOOKUP(A208&amp;"_"&amp;E208,Testes!A:Z,26,FALSE),"Não aplicável"))</f>
        <v>Concluído</v>
      </c>
      <c r="J208" s="250" t="s">
        <v>144</v>
      </c>
      <c r="K208" s="247"/>
      <c r="L208" s="247"/>
      <c r="M208" s="247"/>
      <c r="N208" s="108">
        <f t="shared" si="7"/>
        <v>0</v>
      </c>
    </row>
    <row r="209" spans="1:14" ht="16.5" hidden="1" x14ac:dyDescent="0.35">
      <c r="A209" s="442" t="str">
        <f t="shared" si="6"/>
        <v>B02.00</v>
      </c>
      <c r="B209" s="247" t="s">
        <v>0</v>
      </c>
      <c r="C209" s="331" t="s">
        <v>899</v>
      </c>
      <c r="D209" s="247" t="s">
        <v>16</v>
      </c>
      <c r="E209" s="247" t="s">
        <v>1243</v>
      </c>
      <c r="F209" s="247" t="s">
        <v>891</v>
      </c>
      <c r="G209" s="250" t="s">
        <v>891</v>
      </c>
      <c r="H209" s="250" t="str">
        <f>+IF(C209="Controlos","Não aplicável",
IFERROR(VLOOKUP(A209&amp;"_"&amp;E209,Testes!A:Z,25,FALSE),"Não aplicável"))</f>
        <v>Não aplicável</v>
      </c>
      <c r="I209" s="250" t="str">
        <f>+IF(C209="Controlos",
IFERROR(VLOOKUP(E209,Controlos!B:J,9,FALSE),"Não aplicável"),
IFERROR(VLOOKUP(A209&amp;"_"&amp;E209,Testes!A:Z,26,FALSE),"Não aplicável"))</f>
        <v>Concluído</v>
      </c>
      <c r="J209" s="250" t="s">
        <v>144</v>
      </c>
      <c r="K209" s="247"/>
      <c r="L209" s="247"/>
      <c r="M209" s="247"/>
      <c r="N209" s="108">
        <f t="shared" si="7"/>
        <v>0</v>
      </c>
    </row>
    <row r="210" spans="1:14" ht="16.5" hidden="1" x14ac:dyDescent="0.35">
      <c r="A210" s="442" t="str">
        <f t="shared" si="6"/>
        <v>B02.00</v>
      </c>
      <c r="B210" s="247" t="s">
        <v>0</v>
      </c>
      <c r="C210" s="331" t="s">
        <v>899</v>
      </c>
      <c r="D210" s="247" t="s">
        <v>16</v>
      </c>
      <c r="E210" s="247" t="s">
        <v>1244</v>
      </c>
      <c r="F210" s="247" t="s">
        <v>891</v>
      </c>
      <c r="G210" s="250" t="s">
        <v>891</v>
      </c>
      <c r="H210" s="250" t="str">
        <f>+IF(C210="Controlos","Não aplicável",
IFERROR(VLOOKUP(A210&amp;"_"&amp;E210,Testes!A:Z,25,FALSE),"Não aplicável"))</f>
        <v>Não aplicável</v>
      </c>
      <c r="I210" s="250" t="str">
        <f>+IF(C210="Controlos",
IFERROR(VLOOKUP(E210,Controlos!B:J,9,FALSE),"Não aplicável"),
IFERROR(VLOOKUP(A210&amp;"_"&amp;E210,Testes!A:Z,26,FALSE),"Não aplicável"))</f>
        <v>Concluído</v>
      </c>
      <c r="J210" s="250" t="s">
        <v>144</v>
      </c>
      <c r="K210" s="247"/>
      <c r="L210" s="247"/>
      <c r="M210" s="247"/>
      <c r="N210" s="108">
        <f t="shared" si="7"/>
        <v>0</v>
      </c>
    </row>
    <row r="211" spans="1:14" ht="16.5" hidden="1" x14ac:dyDescent="0.35">
      <c r="A211" s="442" t="str">
        <f t="shared" si="6"/>
        <v>B02.00</v>
      </c>
      <c r="B211" s="247" t="s">
        <v>0</v>
      </c>
      <c r="C211" s="331" t="s">
        <v>899</v>
      </c>
      <c r="D211" s="247" t="s">
        <v>16</v>
      </c>
      <c r="E211" s="247" t="s">
        <v>1245</v>
      </c>
      <c r="F211" s="247" t="s">
        <v>891</v>
      </c>
      <c r="G211" s="250" t="s">
        <v>891</v>
      </c>
      <c r="H211" s="250" t="str">
        <f>+IF(C211="Controlos","Não aplicável",
IFERROR(VLOOKUP(A211&amp;"_"&amp;E211,Testes!A:Z,25,FALSE),"Não aplicável"))</f>
        <v>Não aplicável</v>
      </c>
      <c r="I211" s="250" t="str">
        <f>+IF(C211="Controlos",
IFERROR(VLOOKUP(E211,Controlos!B:J,9,FALSE),"Não aplicável"),
IFERROR(VLOOKUP(A211&amp;"_"&amp;E211,Testes!A:Z,26,FALSE),"Não aplicável"))</f>
        <v>Concluído</v>
      </c>
      <c r="J211" s="250" t="s">
        <v>144</v>
      </c>
      <c r="K211" s="247"/>
      <c r="L211" s="247"/>
      <c r="M211" s="247"/>
      <c r="N211" s="108">
        <f t="shared" si="7"/>
        <v>0</v>
      </c>
    </row>
    <row r="212" spans="1:14" ht="16.5" hidden="1" x14ac:dyDescent="0.35">
      <c r="A212" s="442" t="str">
        <f t="shared" si="6"/>
        <v>B02.00</v>
      </c>
      <c r="B212" s="247" t="s">
        <v>0</v>
      </c>
      <c r="C212" s="331" t="s">
        <v>899</v>
      </c>
      <c r="D212" s="247" t="s">
        <v>16</v>
      </c>
      <c r="E212" s="247" t="s">
        <v>1246</v>
      </c>
      <c r="F212" s="247" t="s">
        <v>891</v>
      </c>
      <c r="G212" s="250" t="s">
        <v>891</v>
      </c>
      <c r="H212" s="250" t="str">
        <f>+IF(C212="Controlos","Não aplicável",
IFERROR(VLOOKUP(A212&amp;"_"&amp;E212,Testes!A:Z,25,FALSE),"Não aplicável"))</f>
        <v>Não aplicável</v>
      </c>
      <c r="I212" s="250" t="str">
        <f>+IF(C212="Controlos",
IFERROR(VLOOKUP(E212,Controlos!B:J,9,FALSE),"Não aplicável"),
IFERROR(VLOOKUP(A212&amp;"_"&amp;E212,Testes!A:Z,26,FALSE),"Não aplicável"))</f>
        <v>Concluído</v>
      </c>
      <c r="J212" s="250" t="s">
        <v>144</v>
      </c>
      <c r="K212" s="247"/>
      <c r="L212" s="247"/>
      <c r="M212" s="247"/>
      <c r="N212" s="108">
        <f t="shared" si="7"/>
        <v>0</v>
      </c>
    </row>
    <row r="213" spans="1:14" ht="16.5" hidden="1" x14ac:dyDescent="0.35">
      <c r="A213" s="442" t="str">
        <f t="shared" si="6"/>
        <v>B02.00</v>
      </c>
      <c r="B213" s="247" t="s">
        <v>0</v>
      </c>
      <c r="C213" s="331" t="s">
        <v>899</v>
      </c>
      <c r="D213" s="247" t="s">
        <v>16</v>
      </c>
      <c r="E213" s="247" t="s">
        <v>1247</v>
      </c>
      <c r="F213" s="247" t="s">
        <v>891</v>
      </c>
      <c r="G213" s="250" t="s">
        <v>891</v>
      </c>
      <c r="H213" s="250" t="str">
        <f>+IF(C213="Controlos","Não aplicável",
IFERROR(VLOOKUP(A213&amp;"_"&amp;E213,Testes!A:Z,25,FALSE),"Não aplicável"))</f>
        <v>Não aplicável</v>
      </c>
      <c r="I213" s="250" t="str">
        <f>+IF(C213="Controlos",
IFERROR(VLOOKUP(E213,Controlos!B:J,9,FALSE),"Não aplicável"),
IFERROR(VLOOKUP(A213&amp;"_"&amp;E213,Testes!A:Z,26,FALSE),"Não aplicável"))</f>
        <v>Com Incidências</v>
      </c>
      <c r="J213" s="250" t="s">
        <v>870</v>
      </c>
      <c r="K213" s="247"/>
      <c r="L213" s="247"/>
      <c r="M213" s="247"/>
      <c r="N213" s="108">
        <f t="shared" si="7"/>
        <v>0</v>
      </c>
    </row>
    <row r="214" spans="1:14" ht="16.5" hidden="1" x14ac:dyDescent="0.35">
      <c r="A214" s="442" t="str">
        <f t="shared" si="6"/>
        <v>B02.00</v>
      </c>
      <c r="B214" s="363" t="s">
        <v>0</v>
      </c>
      <c r="C214" s="364" t="s">
        <v>899</v>
      </c>
      <c r="D214" s="363" t="s">
        <v>16</v>
      </c>
      <c r="E214" s="363" t="s">
        <v>1248</v>
      </c>
      <c r="F214" s="363" t="s">
        <v>891</v>
      </c>
      <c r="G214" s="365" t="s">
        <v>891</v>
      </c>
      <c r="H214" s="250" t="str">
        <f>+IF(C214="Controlos","Não aplicável",
IFERROR(VLOOKUP(A214&amp;"_"&amp;E214,Testes!A:Z,25,FALSE),"Não aplicável"))</f>
        <v>Não aplicável</v>
      </c>
      <c r="I214" s="250" t="str">
        <f>+IF(C214="Controlos",
IFERROR(VLOOKUP(E214,Controlos!B:J,9,FALSE),"Não aplicável"),
IFERROR(VLOOKUP(A214&amp;"_"&amp;E214,Testes!A:Z,26,FALSE),"Não aplicável"))</f>
        <v>Concluído</v>
      </c>
      <c r="J214" s="250" t="s">
        <v>144</v>
      </c>
      <c r="K214" s="247"/>
      <c r="L214" s="363"/>
      <c r="M214" s="363"/>
      <c r="N214" s="108">
        <f t="shared" si="7"/>
        <v>0</v>
      </c>
    </row>
    <row r="215" spans="1:14" ht="16.5" hidden="1" x14ac:dyDescent="0.35">
      <c r="A215" s="442" t="str">
        <f t="shared" si="6"/>
        <v>B02.00</v>
      </c>
      <c r="B215" s="363" t="s">
        <v>0</v>
      </c>
      <c r="C215" s="364" t="s">
        <v>899</v>
      </c>
      <c r="D215" s="363" t="s">
        <v>16</v>
      </c>
      <c r="E215" s="363" t="s">
        <v>1249</v>
      </c>
      <c r="F215" s="363" t="s">
        <v>891</v>
      </c>
      <c r="G215" s="365" t="s">
        <v>891</v>
      </c>
      <c r="H215" s="250" t="str">
        <f>+IF(C215="Controlos","Não aplicável",
IFERROR(VLOOKUP(A215&amp;"_"&amp;E215,Testes!A:Z,25,FALSE),"Não aplicável"))</f>
        <v>Não aplicável</v>
      </c>
      <c r="I215" s="250" t="str">
        <f>+IF(C215="Controlos",
IFERROR(VLOOKUP(E215,Controlos!B:J,9,FALSE),"Não aplicável"),
IFERROR(VLOOKUP(A215&amp;"_"&amp;E215,Testes!A:Z,26,FALSE),"Não aplicável"))</f>
        <v>Concluído</v>
      </c>
      <c r="J215" s="250" t="s">
        <v>144</v>
      </c>
      <c r="K215" s="247"/>
      <c r="L215" s="363"/>
      <c r="M215" s="363"/>
      <c r="N215" s="108">
        <f t="shared" si="7"/>
        <v>0</v>
      </c>
    </row>
    <row r="216" spans="1:14" ht="16.5" hidden="1" x14ac:dyDescent="0.35">
      <c r="A216" s="442" t="str">
        <f t="shared" si="6"/>
        <v>B02.00</v>
      </c>
      <c r="B216" s="247" t="s">
        <v>0</v>
      </c>
      <c r="C216" s="331" t="s">
        <v>899</v>
      </c>
      <c r="D216" s="247" t="s">
        <v>16</v>
      </c>
      <c r="E216" s="247" t="s">
        <v>1109</v>
      </c>
      <c r="F216" s="247" t="s">
        <v>891</v>
      </c>
      <c r="G216" s="250" t="s">
        <v>891</v>
      </c>
      <c r="H216" s="250" t="str">
        <f>+IF(C216="Controlos","Não aplicável",
IFERROR(VLOOKUP(A216&amp;"_"&amp;E216,Testes!A:Z,25,FALSE),"Não aplicável"))</f>
        <v>Não aplicável</v>
      </c>
      <c r="I216" s="250" t="str">
        <f>+IF(C216="Controlos",
IFERROR(VLOOKUP(E216,Controlos!B:J,9,FALSE),"Não aplicável"),
IFERROR(VLOOKUP(A216&amp;"_"&amp;E216,Testes!A:Z,26,FALSE),"Não aplicável"))</f>
        <v>Concluído</v>
      </c>
      <c r="J216" s="250" t="s">
        <v>144</v>
      </c>
      <c r="K216" s="247"/>
      <c r="L216" s="247"/>
      <c r="M216" s="247"/>
      <c r="N216" s="108">
        <f t="shared" si="7"/>
        <v>0</v>
      </c>
    </row>
    <row r="217" spans="1:14" ht="16.5" hidden="1" x14ac:dyDescent="0.35">
      <c r="A217" s="442" t="str">
        <f t="shared" si="6"/>
        <v>B02.00</v>
      </c>
      <c r="B217" s="247" t="s">
        <v>0</v>
      </c>
      <c r="C217" s="331" t="s">
        <v>899</v>
      </c>
      <c r="D217" s="247" t="s">
        <v>16</v>
      </c>
      <c r="E217" s="247" t="s">
        <v>1111</v>
      </c>
      <c r="F217" s="247" t="s">
        <v>891</v>
      </c>
      <c r="G217" s="250" t="s">
        <v>891</v>
      </c>
      <c r="H217" s="250" t="str">
        <f>+IF(C217="Controlos","Não aplicável",
IFERROR(VLOOKUP(A217&amp;"_"&amp;E217,Testes!A:Z,25,FALSE),"Não aplicável"))</f>
        <v>Não aplicável</v>
      </c>
      <c r="I217" s="250" t="str">
        <f>+IF(C217="Controlos",
IFERROR(VLOOKUP(E217,Controlos!B:J,9,FALSE),"Não aplicável"),
IFERROR(VLOOKUP(A217&amp;"_"&amp;E217,Testes!A:Z,26,FALSE),"Não aplicável"))</f>
        <v>Concluído</v>
      </c>
      <c r="J217" s="250" t="s">
        <v>144</v>
      </c>
      <c r="K217" s="247"/>
      <c r="L217" s="247"/>
      <c r="M217" s="247"/>
      <c r="N217" s="108">
        <f t="shared" si="7"/>
        <v>0</v>
      </c>
    </row>
    <row r="218" spans="1:14" ht="16.5" hidden="1" x14ac:dyDescent="0.35">
      <c r="A218" s="442" t="str">
        <f t="shared" si="6"/>
        <v>B02.00</v>
      </c>
      <c r="B218" s="247" t="s">
        <v>0</v>
      </c>
      <c r="C218" s="331" t="s">
        <v>899</v>
      </c>
      <c r="D218" s="247" t="s">
        <v>16</v>
      </c>
      <c r="E218" s="247" t="s">
        <v>1112</v>
      </c>
      <c r="F218" s="247" t="s">
        <v>891</v>
      </c>
      <c r="G218" s="250" t="s">
        <v>891</v>
      </c>
      <c r="H218" s="250" t="str">
        <f>+IF(C218="Controlos","Não aplicável",
IFERROR(VLOOKUP(A218&amp;"_"&amp;E218,Testes!A:Z,25,FALSE),"Não aplicável"))</f>
        <v>Não aplicável</v>
      </c>
      <c r="I218" s="250" t="str">
        <f>+IF(C218="Controlos",
IFERROR(VLOOKUP(E218,Controlos!B:J,9,FALSE),"Não aplicável"),
IFERROR(VLOOKUP(A218&amp;"_"&amp;E218,Testes!A:Z,26,FALSE),"Não aplicável"))</f>
        <v>Concluído</v>
      </c>
      <c r="J218" s="250" t="s">
        <v>144</v>
      </c>
      <c r="K218" s="247"/>
      <c r="L218" s="247"/>
      <c r="M218" s="247"/>
      <c r="N218" s="108">
        <f t="shared" si="7"/>
        <v>0</v>
      </c>
    </row>
    <row r="219" spans="1:14" ht="16.5" hidden="1" x14ac:dyDescent="0.35">
      <c r="A219" s="442" t="str">
        <f t="shared" si="6"/>
        <v>B02.00</v>
      </c>
      <c r="B219" s="247" t="s">
        <v>0</v>
      </c>
      <c r="C219" s="331" t="s">
        <v>899</v>
      </c>
      <c r="D219" s="247" t="s">
        <v>16</v>
      </c>
      <c r="E219" s="247" t="s">
        <v>1113</v>
      </c>
      <c r="F219" s="247" t="s">
        <v>891</v>
      </c>
      <c r="G219" s="250" t="s">
        <v>891</v>
      </c>
      <c r="H219" s="250" t="str">
        <f>+IF(C219="Controlos","Não aplicável",
IFERROR(VLOOKUP(A219&amp;"_"&amp;E219,Testes!A:Z,25,FALSE),"Não aplicável"))</f>
        <v>Não aplicável</v>
      </c>
      <c r="I219" s="250" t="str">
        <f>+IF(C219="Controlos",
IFERROR(VLOOKUP(E219,Controlos!B:J,9,FALSE),"Não aplicável"),
IFERROR(VLOOKUP(A219&amp;"_"&amp;E219,Testes!A:Z,26,FALSE),"Não aplicável"))</f>
        <v>Concluído</v>
      </c>
      <c r="J219" s="250" t="s">
        <v>144</v>
      </c>
      <c r="K219" s="247"/>
      <c r="L219" s="247"/>
      <c r="M219" s="247"/>
      <c r="N219" s="108">
        <f t="shared" si="7"/>
        <v>0</v>
      </c>
    </row>
    <row r="220" spans="1:14" ht="16.5" hidden="1" x14ac:dyDescent="0.35">
      <c r="A220" s="442" t="str">
        <f t="shared" si="6"/>
        <v>B02.00</v>
      </c>
      <c r="B220" s="247" t="s">
        <v>0</v>
      </c>
      <c r="C220" s="331" t="s">
        <v>899</v>
      </c>
      <c r="D220" s="247" t="s">
        <v>16</v>
      </c>
      <c r="E220" s="247" t="s">
        <v>1114</v>
      </c>
      <c r="F220" s="247" t="s">
        <v>891</v>
      </c>
      <c r="G220" s="250" t="s">
        <v>891</v>
      </c>
      <c r="H220" s="250" t="str">
        <f>+IF(C220="Controlos","Não aplicável",
IFERROR(VLOOKUP(A220&amp;"_"&amp;E220,Testes!A:Z,25,FALSE),"Não aplicável"))</f>
        <v>Não aplicável</v>
      </c>
      <c r="I220" s="250" t="str">
        <f>+IF(C220="Controlos",
IFERROR(VLOOKUP(E220,Controlos!B:J,9,FALSE),"Não aplicável"),
IFERROR(VLOOKUP(A220&amp;"_"&amp;E220,Testes!A:Z,26,FALSE),"Não aplicável"))</f>
        <v>Concluído</v>
      </c>
      <c r="J220" s="250" t="s">
        <v>144</v>
      </c>
      <c r="K220" s="247"/>
      <c r="L220" s="247"/>
      <c r="M220" s="247"/>
      <c r="N220" s="108">
        <f t="shared" si="7"/>
        <v>0</v>
      </c>
    </row>
    <row r="221" spans="1:14" ht="16.5" hidden="1" x14ac:dyDescent="0.35">
      <c r="A221" s="442" t="str">
        <f t="shared" si="6"/>
        <v>B02.00</v>
      </c>
      <c r="B221" s="247" t="s">
        <v>0</v>
      </c>
      <c r="C221" s="331" t="s">
        <v>899</v>
      </c>
      <c r="D221" s="247" t="s">
        <v>16</v>
      </c>
      <c r="E221" s="247" t="s">
        <v>1116</v>
      </c>
      <c r="F221" s="247" t="s">
        <v>891</v>
      </c>
      <c r="G221" s="250" t="s">
        <v>891</v>
      </c>
      <c r="H221" s="250" t="str">
        <f>+IF(C221="Controlos","Não aplicável",
IFERROR(VLOOKUP(A221&amp;"_"&amp;E221,Testes!A:Z,25,FALSE),"Não aplicável"))</f>
        <v>Não aplicável</v>
      </c>
      <c r="I221" s="250" t="str">
        <f>+IF(C221="Controlos",
IFERROR(VLOOKUP(E221,Controlos!B:J,9,FALSE),"Não aplicável"),
IFERROR(VLOOKUP(A221&amp;"_"&amp;E221,Testes!A:Z,26,FALSE),"Não aplicável"))</f>
        <v>Concluído</v>
      </c>
      <c r="J221" s="250" t="s">
        <v>873</v>
      </c>
      <c r="K221" s="247"/>
      <c r="L221" s="247"/>
      <c r="M221" s="247"/>
      <c r="N221" s="108">
        <f t="shared" si="7"/>
        <v>1</v>
      </c>
    </row>
    <row r="222" spans="1:14" ht="16.5" hidden="1" x14ac:dyDescent="0.35">
      <c r="A222" s="442" t="str">
        <f t="shared" si="6"/>
        <v>B02.00</v>
      </c>
      <c r="B222" s="247" t="s">
        <v>0</v>
      </c>
      <c r="C222" s="331" t="s">
        <v>899</v>
      </c>
      <c r="D222" s="247" t="s">
        <v>16</v>
      </c>
      <c r="E222" s="247" t="s">
        <v>1117</v>
      </c>
      <c r="F222" s="247" t="s">
        <v>891</v>
      </c>
      <c r="G222" s="250" t="s">
        <v>891</v>
      </c>
      <c r="H222" s="250" t="str">
        <f>+IF(C222="Controlos","Não aplicável",
IFERROR(VLOOKUP(A222&amp;"_"&amp;E222,Testes!A:Z,25,FALSE),"Não aplicável"))</f>
        <v>Não aplicável</v>
      </c>
      <c r="I222" s="250" t="str">
        <f>+IF(C222="Controlos",
IFERROR(VLOOKUP(E222,Controlos!B:J,9,FALSE),"Não aplicável"),
IFERROR(VLOOKUP(A222&amp;"_"&amp;E222,Testes!A:Z,26,FALSE),"Não aplicável"))</f>
        <v>Concluído</v>
      </c>
      <c r="J222" s="250" t="s">
        <v>144</v>
      </c>
      <c r="K222" s="247"/>
      <c r="L222" s="247"/>
      <c r="M222" s="247"/>
      <c r="N222" s="108">
        <f t="shared" si="7"/>
        <v>0</v>
      </c>
    </row>
    <row r="223" spans="1:14" ht="16.5" hidden="1" x14ac:dyDescent="0.35">
      <c r="A223" s="442" t="str">
        <f t="shared" si="6"/>
        <v>B02.00</v>
      </c>
      <c r="B223" s="247" t="s">
        <v>0</v>
      </c>
      <c r="C223" s="331" t="s">
        <v>899</v>
      </c>
      <c r="D223" s="247" t="s">
        <v>16</v>
      </c>
      <c r="E223" s="247" t="s">
        <v>1119</v>
      </c>
      <c r="F223" s="247" t="s">
        <v>891</v>
      </c>
      <c r="G223" s="250" t="s">
        <v>891</v>
      </c>
      <c r="H223" s="250" t="str">
        <f>+IF(C223="Controlos","Não aplicável",
IFERROR(VLOOKUP(A223&amp;"_"&amp;E223,Testes!A:Z,25,FALSE),"Não aplicável"))</f>
        <v>Não aplicável</v>
      </c>
      <c r="I223" s="250" t="str">
        <f>+IF(C223="Controlos",
IFERROR(VLOOKUP(E223,Controlos!B:J,9,FALSE),"Não aplicável"),
IFERROR(VLOOKUP(A223&amp;"_"&amp;E223,Testes!A:Z,26,FALSE),"Não aplicável"))</f>
        <v>Concluído</v>
      </c>
      <c r="J223" s="250" t="s">
        <v>873</v>
      </c>
      <c r="K223" s="247"/>
      <c r="L223" s="247"/>
      <c r="M223" s="247"/>
      <c r="N223" s="108">
        <f t="shared" si="7"/>
        <v>1</v>
      </c>
    </row>
    <row r="224" spans="1:14" ht="16.5" hidden="1" x14ac:dyDescent="0.35">
      <c r="A224" s="442" t="str">
        <f t="shared" si="6"/>
        <v>B02.00</v>
      </c>
      <c r="B224" s="247" t="s">
        <v>0</v>
      </c>
      <c r="C224" s="331" t="s">
        <v>899</v>
      </c>
      <c r="D224" s="247" t="s">
        <v>16</v>
      </c>
      <c r="E224" s="247" t="s">
        <v>1121</v>
      </c>
      <c r="F224" s="247" t="s">
        <v>891</v>
      </c>
      <c r="G224" s="250" t="s">
        <v>891</v>
      </c>
      <c r="H224" s="250" t="str">
        <f>+IF(C224="Controlos","Não aplicável",
IFERROR(VLOOKUP(A224&amp;"_"&amp;E224,Testes!A:Z,25,FALSE),"Não aplicável"))</f>
        <v>Não aplicável</v>
      </c>
      <c r="I224" s="250" t="str">
        <f>+IF(C224="Controlos",
IFERROR(VLOOKUP(E224,Controlos!B:J,9,FALSE),"Não aplicável"),
IFERROR(VLOOKUP(A224&amp;"_"&amp;E224,Testes!A:Z,26,FALSE),"Não aplicável"))</f>
        <v>Concluído</v>
      </c>
      <c r="J224" s="250" t="s">
        <v>873</v>
      </c>
      <c r="K224" s="247"/>
      <c r="L224" s="247"/>
      <c r="M224" s="247"/>
      <c r="N224" s="108">
        <f t="shared" si="7"/>
        <v>1</v>
      </c>
    </row>
    <row r="225" spans="1:14" ht="16.5" hidden="1" x14ac:dyDescent="0.35">
      <c r="A225" s="442" t="str">
        <f t="shared" si="6"/>
        <v>B02.00</v>
      </c>
      <c r="B225" s="247" t="s">
        <v>0</v>
      </c>
      <c r="C225" s="331" t="s">
        <v>899</v>
      </c>
      <c r="D225" s="247" t="s">
        <v>16</v>
      </c>
      <c r="E225" s="247" t="s">
        <v>1122</v>
      </c>
      <c r="F225" s="247" t="s">
        <v>891</v>
      </c>
      <c r="G225" s="250" t="s">
        <v>891</v>
      </c>
      <c r="H225" s="250" t="str">
        <f>+IF(C225="Controlos","Não aplicável",
IFERROR(VLOOKUP(A225&amp;"_"&amp;E225,Testes!A:Z,25,FALSE),"Não aplicável"))</f>
        <v>Não aplicável</v>
      </c>
      <c r="I225" s="250" t="str">
        <f>+IF(C225="Controlos",
IFERROR(VLOOKUP(E225,Controlos!B:J,9,FALSE),"Não aplicável"),
IFERROR(VLOOKUP(A225&amp;"_"&amp;E225,Testes!A:Z,26,FALSE),"Não aplicável"))</f>
        <v>Concluído</v>
      </c>
      <c r="J225" s="250" t="s">
        <v>144</v>
      </c>
      <c r="K225" s="247"/>
      <c r="L225" s="247"/>
      <c r="M225" s="247"/>
      <c r="N225" s="108">
        <f t="shared" si="7"/>
        <v>0</v>
      </c>
    </row>
    <row r="226" spans="1:14" ht="16.5" hidden="1" x14ac:dyDescent="0.35">
      <c r="A226" s="442" t="str">
        <f t="shared" si="6"/>
        <v>B02.00</v>
      </c>
      <c r="B226" s="247" t="s">
        <v>0</v>
      </c>
      <c r="C226" s="331" t="s">
        <v>899</v>
      </c>
      <c r="D226" s="247" t="s">
        <v>16</v>
      </c>
      <c r="E226" s="247" t="s">
        <v>1123</v>
      </c>
      <c r="F226" s="247" t="s">
        <v>891</v>
      </c>
      <c r="G226" s="250" t="s">
        <v>891</v>
      </c>
      <c r="H226" s="250" t="str">
        <f>+IF(C226="Controlos","Não aplicável",
IFERROR(VLOOKUP(A226&amp;"_"&amp;E226,Testes!A:Z,25,FALSE),"Não aplicável"))</f>
        <v>Não aplicável</v>
      </c>
      <c r="I226" s="250" t="str">
        <f>+IF(C226="Controlos",
IFERROR(VLOOKUP(E226,Controlos!B:J,9,FALSE),"Não aplicável"),
IFERROR(VLOOKUP(A226&amp;"_"&amp;E226,Testes!A:Z,26,FALSE),"Não aplicável"))</f>
        <v>Concluído</v>
      </c>
      <c r="J226" s="250" t="s">
        <v>144</v>
      </c>
      <c r="K226" s="247"/>
      <c r="L226" s="247"/>
      <c r="M226" s="247"/>
      <c r="N226" s="108">
        <f t="shared" si="7"/>
        <v>0</v>
      </c>
    </row>
    <row r="227" spans="1:14" ht="16.5" hidden="1" x14ac:dyDescent="0.35">
      <c r="A227" s="442" t="str">
        <f t="shared" si="6"/>
        <v>B02.00</v>
      </c>
      <c r="B227" s="247" t="s">
        <v>0</v>
      </c>
      <c r="C227" s="331" t="s">
        <v>899</v>
      </c>
      <c r="D227" s="247" t="s">
        <v>16</v>
      </c>
      <c r="E227" s="247" t="s">
        <v>1124</v>
      </c>
      <c r="F227" s="247" t="s">
        <v>891</v>
      </c>
      <c r="G227" s="250" t="s">
        <v>891</v>
      </c>
      <c r="H227" s="250" t="str">
        <f>+IF(C227="Controlos","Não aplicável",
IFERROR(VLOOKUP(A227&amp;"_"&amp;E227,Testes!A:Z,25,FALSE),"Não aplicável"))</f>
        <v>Não aplicável</v>
      </c>
      <c r="I227" s="250" t="str">
        <f>+IF(C227="Controlos",
IFERROR(VLOOKUP(E227,Controlos!B:J,9,FALSE),"Não aplicável"),
IFERROR(VLOOKUP(A227&amp;"_"&amp;E227,Testes!A:Z,26,FALSE),"Não aplicável"))</f>
        <v>Concluído</v>
      </c>
      <c r="J227" s="250" t="s">
        <v>144</v>
      </c>
      <c r="K227" s="247"/>
      <c r="L227" s="247"/>
      <c r="M227" s="247"/>
      <c r="N227" s="108">
        <f t="shared" si="7"/>
        <v>0</v>
      </c>
    </row>
    <row r="228" spans="1:14" ht="16.5" hidden="1" x14ac:dyDescent="0.35">
      <c r="A228" s="442" t="str">
        <f t="shared" si="6"/>
        <v>B02.00</v>
      </c>
      <c r="B228" s="247" t="s">
        <v>0</v>
      </c>
      <c r="C228" s="331" t="s">
        <v>899</v>
      </c>
      <c r="D228" s="247" t="s">
        <v>16</v>
      </c>
      <c r="E228" s="247" t="s">
        <v>1125</v>
      </c>
      <c r="F228" s="247" t="s">
        <v>891</v>
      </c>
      <c r="G228" s="250" t="s">
        <v>891</v>
      </c>
      <c r="H228" s="250" t="str">
        <f>+IF(C228="Controlos","Não aplicável",
IFERROR(VLOOKUP(A228&amp;"_"&amp;E228,Testes!A:Z,25,FALSE),"Não aplicável"))</f>
        <v>Não aplicável</v>
      </c>
      <c r="I228" s="250" t="str">
        <f>+IF(C228="Controlos",
IFERROR(VLOOKUP(E228,Controlos!B:J,9,FALSE),"Não aplicável"),
IFERROR(VLOOKUP(A228&amp;"_"&amp;E228,Testes!A:Z,26,FALSE),"Não aplicável"))</f>
        <v>Concluído</v>
      </c>
      <c r="J228" s="250" t="s">
        <v>144</v>
      </c>
      <c r="K228" s="247"/>
      <c r="L228" s="247"/>
      <c r="M228" s="247"/>
      <c r="N228" s="108">
        <f t="shared" si="7"/>
        <v>0</v>
      </c>
    </row>
    <row r="229" spans="1:14" ht="16.5" hidden="1" x14ac:dyDescent="0.35">
      <c r="A229" s="442" t="str">
        <f t="shared" si="6"/>
        <v>B02.00</v>
      </c>
      <c r="B229" s="247" t="s">
        <v>0</v>
      </c>
      <c r="C229" s="331" t="s">
        <v>899</v>
      </c>
      <c r="D229" s="247" t="s">
        <v>16</v>
      </c>
      <c r="E229" s="247" t="s">
        <v>1126</v>
      </c>
      <c r="F229" s="247" t="s">
        <v>891</v>
      </c>
      <c r="G229" s="250" t="s">
        <v>891</v>
      </c>
      <c r="H229" s="250" t="str">
        <f>+IF(C229="Controlos","Não aplicável",
IFERROR(VLOOKUP(A229&amp;"_"&amp;E229,Testes!A:Z,25,FALSE),"Não aplicável"))</f>
        <v>Não aplicável</v>
      </c>
      <c r="I229" s="250" t="str">
        <f>+IF(C229="Controlos",
IFERROR(VLOOKUP(E229,Controlos!B:J,9,FALSE),"Não aplicável"),
IFERROR(VLOOKUP(A229&amp;"_"&amp;E229,Testes!A:Z,26,FALSE),"Não aplicável"))</f>
        <v>Concluído</v>
      </c>
      <c r="J229" s="250" t="s">
        <v>144</v>
      </c>
      <c r="K229" s="247"/>
      <c r="L229" s="247"/>
      <c r="M229" s="247"/>
      <c r="N229" s="108">
        <f t="shared" si="7"/>
        <v>0</v>
      </c>
    </row>
    <row r="230" spans="1:14" ht="16.5" hidden="1" x14ac:dyDescent="0.35">
      <c r="A230" s="442" t="str">
        <f t="shared" si="6"/>
        <v>B02.00</v>
      </c>
      <c r="B230" s="247" t="s">
        <v>0</v>
      </c>
      <c r="C230" s="331" t="s">
        <v>899</v>
      </c>
      <c r="D230" s="247" t="s">
        <v>16</v>
      </c>
      <c r="E230" s="247" t="s">
        <v>1129</v>
      </c>
      <c r="F230" s="247" t="s">
        <v>891</v>
      </c>
      <c r="G230" s="250" t="s">
        <v>891</v>
      </c>
      <c r="H230" s="250" t="str">
        <f>+IF(C230="Controlos","Não aplicável",
IFERROR(VLOOKUP(A230&amp;"_"&amp;E230,Testes!A:Z,25,FALSE),"Não aplicável"))</f>
        <v>Não aplicável</v>
      </c>
      <c r="I230" s="250" t="str">
        <f>+IF(C230="Controlos",
IFERROR(VLOOKUP(E230,Controlos!B:J,9,FALSE),"Não aplicável"),
IFERROR(VLOOKUP(A230&amp;"_"&amp;E230,Testes!A:Z,26,FALSE),"Não aplicável"))</f>
        <v>Concluído</v>
      </c>
      <c r="J230" s="250" t="s">
        <v>144</v>
      </c>
      <c r="K230" s="247"/>
      <c r="L230" s="247"/>
      <c r="M230" s="247"/>
      <c r="N230" s="108">
        <f t="shared" si="7"/>
        <v>0</v>
      </c>
    </row>
    <row r="231" spans="1:14" ht="16.5" hidden="1" x14ac:dyDescent="0.35">
      <c r="A231" s="442" t="str">
        <f t="shared" si="6"/>
        <v>B02.00</v>
      </c>
      <c r="B231" s="247" t="s">
        <v>0</v>
      </c>
      <c r="C231" s="331" t="s">
        <v>899</v>
      </c>
      <c r="D231" s="247" t="s">
        <v>16</v>
      </c>
      <c r="E231" s="247" t="s">
        <v>1130</v>
      </c>
      <c r="F231" s="247" t="s">
        <v>891</v>
      </c>
      <c r="G231" s="250" t="s">
        <v>891</v>
      </c>
      <c r="H231" s="250" t="str">
        <f>+IF(C231="Controlos","Não aplicável",
IFERROR(VLOOKUP(A231&amp;"_"&amp;E231,Testes!A:Z,25,FALSE),"Não aplicável"))</f>
        <v>Não aplicável</v>
      </c>
      <c r="I231" s="250" t="str">
        <f>+IF(C231="Controlos",
IFERROR(VLOOKUP(E231,Controlos!B:J,9,FALSE),"Não aplicável"),
IFERROR(VLOOKUP(A231&amp;"_"&amp;E231,Testes!A:Z,26,FALSE),"Não aplicável"))</f>
        <v>Concluído</v>
      </c>
      <c r="J231" s="250" t="s">
        <v>144</v>
      </c>
      <c r="K231" s="247"/>
      <c r="L231" s="247"/>
      <c r="M231" s="247"/>
      <c r="N231" s="108">
        <f t="shared" si="7"/>
        <v>0</v>
      </c>
    </row>
    <row r="232" spans="1:14" ht="16.5" hidden="1" x14ac:dyDescent="0.35">
      <c r="A232" s="442" t="str">
        <f t="shared" si="6"/>
        <v>B02.00</v>
      </c>
      <c r="B232" s="247" t="s">
        <v>0</v>
      </c>
      <c r="C232" s="331" t="s">
        <v>899</v>
      </c>
      <c r="D232" s="247" t="s">
        <v>16</v>
      </c>
      <c r="E232" s="247" t="s">
        <v>1131</v>
      </c>
      <c r="F232" s="247" t="s">
        <v>891</v>
      </c>
      <c r="G232" s="250" t="s">
        <v>891</v>
      </c>
      <c r="H232" s="250" t="str">
        <f>+IF(C232="Controlos","Não aplicável",
IFERROR(VLOOKUP(A232&amp;"_"&amp;E232,Testes!A:Z,25,FALSE),"Não aplicável"))</f>
        <v>Não aplicável</v>
      </c>
      <c r="I232" s="250" t="str">
        <f>+IF(C232="Controlos",
IFERROR(VLOOKUP(E232,Controlos!B:J,9,FALSE),"Não aplicável"),
IFERROR(VLOOKUP(A232&amp;"_"&amp;E232,Testes!A:Z,26,FALSE),"Não aplicável"))</f>
        <v>Concluído</v>
      </c>
      <c r="J232" s="250" t="s">
        <v>144</v>
      </c>
      <c r="K232" s="247"/>
      <c r="L232" s="247"/>
      <c r="M232" s="247"/>
      <c r="N232" s="108">
        <f t="shared" si="7"/>
        <v>0</v>
      </c>
    </row>
    <row r="233" spans="1:14" ht="16.5" hidden="1" x14ac:dyDescent="0.35">
      <c r="A233" s="442" t="str">
        <f t="shared" si="6"/>
        <v>B02.00</v>
      </c>
      <c r="B233" s="247" t="s">
        <v>0</v>
      </c>
      <c r="C233" s="331" t="s">
        <v>899</v>
      </c>
      <c r="D233" s="247" t="s">
        <v>16</v>
      </c>
      <c r="E233" s="247" t="s">
        <v>1133</v>
      </c>
      <c r="F233" s="247" t="s">
        <v>891</v>
      </c>
      <c r="G233" s="250" t="s">
        <v>891</v>
      </c>
      <c r="H233" s="250" t="str">
        <f>+IF(C233="Controlos","Não aplicável",
IFERROR(VLOOKUP(A233&amp;"_"&amp;E233,Testes!A:Z,25,FALSE),"Não aplicável"))</f>
        <v>Não aplicável</v>
      </c>
      <c r="I233" s="250" t="str">
        <f>+IF(C233="Controlos",
IFERROR(VLOOKUP(E233,Controlos!B:J,9,FALSE),"Não aplicável"),
IFERROR(VLOOKUP(A233&amp;"_"&amp;E233,Testes!A:Z,26,FALSE),"Não aplicável"))</f>
        <v>Concluído</v>
      </c>
      <c r="J233" s="250" t="s">
        <v>144</v>
      </c>
      <c r="K233" s="247"/>
      <c r="L233" s="247"/>
      <c r="M233" s="247"/>
      <c r="N233" s="108">
        <f t="shared" si="7"/>
        <v>0</v>
      </c>
    </row>
    <row r="234" spans="1:14" ht="16.5" hidden="1" x14ac:dyDescent="0.35">
      <c r="A234" s="442" t="str">
        <f t="shared" si="6"/>
        <v>B02.00</v>
      </c>
      <c r="B234" s="247" t="s">
        <v>0</v>
      </c>
      <c r="C234" s="331" t="s">
        <v>899</v>
      </c>
      <c r="D234" s="247" t="s">
        <v>16</v>
      </c>
      <c r="E234" s="247" t="s">
        <v>1134</v>
      </c>
      <c r="F234" s="247" t="s">
        <v>891</v>
      </c>
      <c r="G234" s="250" t="s">
        <v>891</v>
      </c>
      <c r="H234" s="250" t="str">
        <f>+IF(C234="Controlos","Não aplicável",
IFERROR(VLOOKUP(A234&amp;"_"&amp;E234,Testes!A:Z,25,FALSE),"Não aplicável"))</f>
        <v>Não aplicável</v>
      </c>
      <c r="I234" s="250" t="str">
        <f>+IF(C234="Controlos",
IFERROR(VLOOKUP(E234,Controlos!B:J,9,FALSE),"Não aplicável"),
IFERROR(VLOOKUP(A234&amp;"_"&amp;E234,Testes!A:Z,26,FALSE),"Não aplicável"))</f>
        <v>Concluído</v>
      </c>
      <c r="J234" s="250" t="s">
        <v>144</v>
      </c>
      <c r="K234" s="247"/>
      <c r="L234" s="247"/>
      <c r="M234" s="247"/>
      <c r="N234" s="108">
        <f t="shared" si="7"/>
        <v>0</v>
      </c>
    </row>
    <row r="235" spans="1:14" ht="16.5" hidden="1" x14ac:dyDescent="0.35">
      <c r="A235" s="442" t="str">
        <f t="shared" si="6"/>
        <v>B02.00</v>
      </c>
      <c r="B235" s="247" t="s">
        <v>0</v>
      </c>
      <c r="C235" s="331" t="s">
        <v>899</v>
      </c>
      <c r="D235" s="247" t="s">
        <v>16</v>
      </c>
      <c r="E235" s="247" t="s">
        <v>1135</v>
      </c>
      <c r="F235" s="247" t="s">
        <v>891</v>
      </c>
      <c r="G235" s="250" t="s">
        <v>891</v>
      </c>
      <c r="H235" s="250" t="str">
        <f>+IF(C235="Controlos","Não aplicável",
IFERROR(VLOOKUP(A235&amp;"_"&amp;E235,Testes!A:Z,25,FALSE),"Não aplicável"))</f>
        <v>Não aplicável</v>
      </c>
      <c r="I235" s="250" t="str">
        <f>+IF(C235="Controlos",
IFERROR(VLOOKUP(E235,Controlos!B:J,9,FALSE),"Não aplicável"),
IFERROR(VLOOKUP(A235&amp;"_"&amp;E235,Testes!A:Z,26,FALSE),"Não aplicável"))</f>
        <v>Concluído</v>
      </c>
      <c r="J235" s="250" t="s">
        <v>144</v>
      </c>
      <c r="K235" s="247"/>
      <c r="L235" s="247"/>
      <c r="M235" s="247"/>
      <c r="N235" s="108">
        <f t="shared" si="7"/>
        <v>0</v>
      </c>
    </row>
    <row r="236" spans="1:14" ht="16.5" hidden="1" x14ac:dyDescent="0.35">
      <c r="A236" s="442" t="str">
        <f t="shared" si="6"/>
        <v>B02.00</v>
      </c>
      <c r="B236" s="247" t="s">
        <v>0</v>
      </c>
      <c r="C236" s="331" t="s">
        <v>899</v>
      </c>
      <c r="D236" s="247" t="s">
        <v>16</v>
      </c>
      <c r="E236" s="247" t="s">
        <v>1136</v>
      </c>
      <c r="F236" s="247" t="s">
        <v>891</v>
      </c>
      <c r="G236" s="250" t="s">
        <v>891</v>
      </c>
      <c r="H236" s="250" t="str">
        <f>+IF(C236="Controlos","Não aplicável",
IFERROR(VLOOKUP(A236&amp;"_"&amp;E236,Testes!A:Z,25,FALSE),"Não aplicável"))</f>
        <v>Não aplicável</v>
      </c>
      <c r="I236" s="250" t="str">
        <f>+IF(C236="Controlos",
IFERROR(VLOOKUP(E236,Controlos!B:J,9,FALSE),"Não aplicável"),
IFERROR(VLOOKUP(A236&amp;"_"&amp;E236,Testes!A:Z,26,FALSE),"Não aplicável"))</f>
        <v>Concluído</v>
      </c>
      <c r="J236" s="250" t="s">
        <v>144</v>
      </c>
      <c r="K236" s="247"/>
      <c r="L236" s="247"/>
      <c r="M236" s="247"/>
      <c r="N236" s="108">
        <f t="shared" si="7"/>
        <v>0</v>
      </c>
    </row>
    <row r="237" spans="1:14" ht="16.5" hidden="1" x14ac:dyDescent="0.35">
      <c r="A237" s="442" t="str">
        <f t="shared" si="6"/>
        <v>B02.00</v>
      </c>
      <c r="B237" s="247" t="s">
        <v>0</v>
      </c>
      <c r="C237" s="331" t="s">
        <v>899</v>
      </c>
      <c r="D237" s="247" t="s">
        <v>16</v>
      </c>
      <c r="E237" s="247" t="s">
        <v>1137</v>
      </c>
      <c r="F237" s="247" t="s">
        <v>891</v>
      </c>
      <c r="G237" s="250" t="s">
        <v>891</v>
      </c>
      <c r="H237" s="250" t="str">
        <f>+IF(C237="Controlos","Não aplicável",
IFERROR(VLOOKUP(A237&amp;"_"&amp;E237,Testes!A:Z,25,FALSE),"Não aplicável"))</f>
        <v>Não aplicável</v>
      </c>
      <c r="I237" s="250" t="str">
        <f>+IF(C237="Controlos",
IFERROR(VLOOKUP(E237,Controlos!B:J,9,FALSE),"Não aplicável"),
IFERROR(VLOOKUP(A237&amp;"_"&amp;E237,Testes!A:Z,26,FALSE),"Não aplicável"))</f>
        <v>Concluído</v>
      </c>
      <c r="J237" s="250" t="s">
        <v>144</v>
      </c>
      <c r="K237" s="247"/>
      <c r="L237" s="247"/>
      <c r="M237" s="247"/>
      <c r="N237" s="108">
        <f t="shared" si="7"/>
        <v>0</v>
      </c>
    </row>
    <row r="238" spans="1:14" ht="16.5" hidden="1" x14ac:dyDescent="0.35">
      <c r="A238" s="442" t="str">
        <f t="shared" si="6"/>
        <v>B02.00</v>
      </c>
      <c r="B238" s="247" t="s">
        <v>0</v>
      </c>
      <c r="C238" s="331" t="s">
        <v>899</v>
      </c>
      <c r="D238" s="247" t="s">
        <v>16</v>
      </c>
      <c r="E238" s="247" t="s">
        <v>1138</v>
      </c>
      <c r="F238" s="247" t="s">
        <v>891</v>
      </c>
      <c r="G238" s="250" t="s">
        <v>891</v>
      </c>
      <c r="H238" s="250" t="str">
        <f>+IF(C238="Controlos","Não aplicável",
IFERROR(VLOOKUP(A238&amp;"_"&amp;E238,Testes!A:Z,25,FALSE),"Não aplicável"))</f>
        <v>Não aplicável</v>
      </c>
      <c r="I238" s="250" t="str">
        <f>+IF(C238="Controlos",
IFERROR(VLOOKUP(E238,Controlos!B:J,9,FALSE),"Não aplicável"),
IFERROR(VLOOKUP(A238&amp;"_"&amp;E238,Testes!A:Z,26,FALSE),"Não aplicável"))</f>
        <v>Concluído</v>
      </c>
      <c r="J238" s="250" t="s">
        <v>144</v>
      </c>
      <c r="K238" s="247"/>
      <c r="L238" s="247"/>
      <c r="M238" s="247"/>
      <c r="N238" s="108">
        <f t="shared" si="7"/>
        <v>0</v>
      </c>
    </row>
    <row r="239" spans="1:14" ht="16.5" hidden="1" x14ac:dyDescent="0.35">
      <c r="A239" s="442" t="str">
        <f t="shared" si="6"/>
        <v>B02.00</v>
      </c>
      <c r="B239" s="247" t="s">
        <v>0</v>
      </c>
      <c r="C239" s="331" t="s">
        <v>899</v>
      </c>
      <c r="D239" s="247" t="s">
        <v>16</v>
      </c>
      <c r="E239" s="247" t="s">
        <v>1139</v>
      </c>
      <c r="F239" s="247" t="s">
        <v>891</v>
      </c>
      <c r="G239" s="250" t="s">
        <v>891</v>
      </c>
      <c r="H239" s="250" t="str">
        <f>+IF(C239="Controlos","Não aplicável",
IFERROR(VLOOKUP(A239&amp;"_"&amp;E239,Testes!A:Z,25,FALSE),"Não aplicável"))</f>
        <v>Não aplicável</v>
      </c>
      <c r="I239" s="250" t="str">
        <f>+IF(C239="Controlos",
IFERROR(VLOOKUP(E239,Controlos!B:J,9,FALSE),"Não aplicável"),
IFERROR(VLOOKUP(A239&amp;"_"&amp;E239,Testes!A:Z,26,FALSE),"Não aplicável"))</f>
        <v>Concluído</v>
      </c>
      <c r="J239" s="250" t="s">
        <v>144</v>
      </c>
      <c r="K239" s="247"/>
      <c r="L239" s="247"/>
      <c r="M239" s="247"/>
      <c r="N239" s="108">
        <f t="shared" si="7"/>
        <v>0</v>
      </c>
    </row>
    <row r="240" spans="1:14" ht="16.5" hidden="1" x14ac:dyDescent="0.35">
      <c r="A240" s="442" t="str">
        <f t="shared" si="6"/>
        <v>B02.00</v>
      </c>
      <c r="B240" s="247" t="s">
        <v>0</v>
      </c>
      <c r="C240" s="331" t="s">
        <v>899</v>
      </c>
      <c r="D240" s="247" t="s">
        <v>16</v>
      </c>
      <c r="E240" s="247" t="s">
        <v>1140</v>
      </c>
      <c r="F240" s="247" t="s">
        <v>891</v>
      </c>
      <c r="G240" s="250" t="s">
        <v>891</v>
      </c>
      <c r="H240" s="250" t="str">
        <f>+IF(C240="Controlos","Não aplicável",
IFERROR(VLOOKUP(A240&amp;"_"&amp;E240,Testes!A:Z,25,FALSE),"Não aplicável"))</f>
        <v>Não aplicável</v>
      </c>
      <c r="I240" s="250" t="str">
        <f>+IF(C240="Controlos",
IFERROR(VLOOKUP(E240,Controlos!B:J,9,FALSE),"Não aplicável"),
IFERROR(VLOOKUP(A240&amp;"_"&amp;E240,Testes!A:Z,26,FALSE),"Não aplicável"))</f>
        <v>Concluído</v>
      </c>
      <c r="J240" s="250" t="s">
        <v>144</v>
      </c>
      <c r="K240" s="247"/>
      <c r="L240" s="247"/>
      <c r="M240" s="247"/>
      <c r="N240" s="108">
        <f t="shared" si="7"/>
        <v>0</v>
      </c>
    </row>
    <row r="241" spans="1:14" ht="16.5" hidden="1" x14ac:dyDescent="0.35">
      <c r="A241" s="442" t="str">
        <f t="shared" si="6"/>
        <v>B02.00</v>
      </c>
      <c r="B241" s="247" t="s">
        <v>0</v>
      </c>
      <c r="C241" s="331" t="s">
        <v>899</v>
      </c>
      <c r="D241" s="247" t="s">
        <v>16</v>
      </c>
      <c r="E241" s="247" t="s">
        <v>1142</v>
      </c>
      <c r="F241" s="247" t="s">
        <v>891</v>
      </c>
      <c r="G241" s="250" t="s">
        <v>891</v>
      </c>
      <c r="H241" s="250" t="str">
        <f>+IF(C241="Controlos","Não aplicável",
IFERROR(VLOOKUP(A241&amp;"_"&amp;E241,Testes!A:Z,25,FALSE),"Não aplicável"))</f>
        <v>Não aplicável</v>
      </c>
      <c r="I241" s="250" t="str">
        <f>+IF(C241="Controlos",
IFERROR(VLOOKUP(E241,Controlos!B:J,9,FALSE),"Não aplicável"),
IFERROR(VLOOKUP(A241&amp;"_"&amp;E241,Testes!A:Z,26,FALSE),"Não aplicável"))</f>
        <v>Concluído</v>
      </c>
      <c r="J241" s="250" t="s">
        <v>870</v>
      </c>
      <c r="K241" s="247"/>
      <c r="L241" s="247"/>
      <c r="M241" s="247"/>
      <c r="N241" s="108">
        <f t="shared" si="7"/>
        <v>1</v>
      </c>
    </row>
    <row r="242" spans="1:14" ht="16.5" hidden="1" x14ac:dyDescent="0.35">
      <c r="A242" s="442" t="str">
        <f t="shared" si="6"/>
        <v>B02.00</v>
      </c>
      <c r="B242" s="247" t="s">
        <v>0</v>
      </c>
      <c r="C242" s="331" t="s">
        <v>899</v>
      </c>
      <c r="D242" s="247" t="s">
        <v>16</v>
      </c>
      <c r="E242" s="247" t="s">
        <v>1143</v>
      </c>
      <c r="F242" s="247" t="s">
        <v>891</v>
      </c>
      <c r="G242" s="250" t="s">
        <v>891</v>
      </c>
      <c r="H242" s="250" t="str">
        <f>+IF(C242="Controlos","Não aplicável",
IFERROR(VLOOKUP(A242&amp;"_"&amp;E242,Testes!A:Z,25,FALSE),"Não aplicável"))</f>
        <v>Não aplicável</v>
      </c>
      <c r="I242" s="250" t="str">
        <f>+IF(C242="Controlos",
IFERROR(VLOOKUP(E242,Controlos!B:J,9,FALSE),"Não aplicável"),
IFERROR(VLOOKUP(A242&amp;"_"&amp;E242,Testes!A:Z,26,FALSE),"Não aplicável"))</f>
        <v>Concluído</v>
      </c>
      <c r="J242" s="250" t="s">
        <v>873</v>
      </c>
      <c r="K242" s="247"/>
      <c r="L242" s="247"/>
      <c r="M242" s="247"/>
      <c r="N242" s="108">
        <f t="shared" si="7"/>
        <v>1</v>
      </c>
    </row>
    <row r="243" spans="1:14" ht="16.5" hidden="1" x14ac:dyDescent="0.35">
      <c r="A243" s="442" t="str">
        <f t="shared" si="6"/>
        <v>B02.00</v>
      </c>
      <c r="B243" s="247" t="s">
        <v>0</v>
      </c>
      <c r="C243" s="331" t="s">
        <v>899</v>
      </c>
      <c r="D243" s="247" t="s">
        <v>16</v>
      </c>
      <c r="E243" s="247" t="s">
        <v>1144</v>
      </c>
      <c r="F243" s="247" t="s">
        <v>891</v>
      </c>
      <c r="G243" s="250" t="s">
        <v>891</v>
      </c>
      <c r="H243" s="250" t="str">
        <f>+IF(C243="Controlos","Não aplicável",
IFERROR(VLOOKUP(A243&amp;"_"&amp;E243,Testes!A:Z,25,FALSE),"Não aplicável"))</f>
        <v>Não aplicável</v>
      </c>
      <c r="I243" s="250" t="str">
        <f>+IF(C243="Controlos",
IFERROR(VLOOKUP(E243,Controlos!B:J,9,FALSE),"Não aplicável"),
IFERROR(VLOOKUP(A243&amp;"_"&amp;E243,Testes!A:Z,26,FALSE),"Não aplicável"))</f>
        <v>Concluído</v>
      </c>
      <c r="J243" s="250" t="s">
        <v>144</v>
      </c>
      <c r="K243" s="247"/>
      <c r="L243" s="247"/>
      <c r="M243" s="247"/>
      <c r="N243" s="108">
        <f t="shared" si="7"/>
        <v>0</v>
      </c>
    </row>
    <row r="244" spans="1:14" ht="16.5" hidden="1" x14ac:dyDescent="0.35">
      <c r="A244" s="442" t="str">
        <f t="shared" si="6"/>
        <v>B02.00</v>
      </c>
      <c r="B244" s="247" t="s">
        <v>0</v>
      </c>
      <c r="C244" s="331" t="s">
        <v>899</v>
      </c>
      <c r="D244" s="247" t="s">
        <v>16</v>
      </c>
      <c r="E244" s="247" t="s">
        <v>1147</v>
      </c>
      <c r="F244" s="247" t="s">
        <v>891</v>
      </c>
      <c r="G244" s="250" t="s">
        <v>891</v>
      </c>
      <c r="H244" s="250" t="str">
        <f>+IF(C244="Controlos","Não aplicável",
IFERROR(VLOOKUP(A244&amp;"_"&amp;E244,Testes!A:Z,25,FALSE),"Não aplicável"))</f>
        <v>Não aplicável</v>
      </c>
      <c r="I244" s="250" t="str">
        <f>+IF(C244="Controlos",
IFERROR(VLOOKUP(E244,Controlos!B:J,9,FALSE),"Não aplicável"),
IFERROR(VLOOKUP(A244&amp;"_"&amp;E244,Testes!A:Z,26,FALSE),"Não aplicável"))</f>
        <v>Em curso</v>
      </c>
      <c r="J244" s="250" t="s">
        <v>231</v>
      </c>
      <c r="K244" s="247"/>
      <c r="L244" s="247"/>
      <c r="M244" s="247"/>
      <c r="N244" s="108">
        <f t="shared" si="7"/>
        <v>0</v>
      </c>
    </row>
    <row r="245" spans="1:14" ht="16.5" hidden="1" x14ac:dyDescent="0.35">
      <c r="A245" s="442" t="str">
        <f t="shared" si="6"/>
        <v>B02.00</v>
      </c>
      <c r="B245" s="247" t="s">
        <v>0</v>
      </c>
      <c r="C245" s="331" t="s">
        <v>899</v>
      </c>
      <c r="D245" s="247" t="s">
        <v>16</v>
      </c>
      <c r="E245" s="247" t="s">
        <v>1148</v>
      </c>
      <c r="F245" s="247" t="s">
        <v>891</v>
      </c>
      <c r="G245" s="250" t="s">
        <v>891</v>
      </c>
      <c r="H245" s="250" t="str">
        <f>+IF(C245="Controlos","Não aplicável",
IFERROR(VLOOKUP(A245&amp;"_"&amp;E245,Testes!A:Z,25,FALSE),"Não aplicável"))</f>
        <v>Não aplicável</v>
      </c>
      <c r="I245" s="250" t="str">
        <f>+IF(C245="Controlos",
IFERROR(VLOOKUP(E245,Controlos!B:J,9,FALSE),"Não aplicável"),
IFERROR(VLOOKUP(A245&amp;"_"&amp;E245,Testes!A:Z,26,FALSE),"Não aplicável"))</f>
        <v>Em curso</v>
      </c>
      <c r="J245" s="250" t="s">
        <v>231</v>
      </c>
      <c r="K245" s="247"/>
      <c r="L245" s="247"/>
      <c r="M245" s="247"/>
      <c r="N245" s="108">
        <f t="shared" si="7"/>
        <v>0</v>
      </c>
    </row>
    <row r="246" spans="1:14" ht="16.5" hidden="1" x14ac:dyDescent="0.35">
      <c r="A246" s="442" t="str">
        <f t="shared" si="6"/>
        <v>B02.00</v>
      </c>
      <c r="B246" s="247" t="s">
        <v>0</v>
      </c>
      <c r="C246" s="331" t="s">
        <v>899</v>
      </c>
      <c r="D246" s="247" t="s">
        <v>16</v>
      </c>
      <c r="E246" s="247" t="s">
        <v>1115</v>
      </c>
      <c r="F246" s="247" t="s">
        <v>891</v>
      </c>
      <c r="G246" s="250" t="s">
        <v>891</v>
      </c>
      <c r="H246" s="250" t="str">
        <f>+IF(C246="Controlos","Não aplicável",
IFERROR(VLOOKUP(A246&amp;"_"&amp;E246,Testes!A:Z,25,FALSE),"Não aplicável"))</f>
        <v>Não aplicável</v>
      </c>
      <c r="I246" s="250" t="str">
        <f>+IF(C246="Controlos",
IFERROR(VLOOKUP(E246,Controlos!B:J,9,FALSE),"Não aplicável"),
IFERROR(VLOOKUP(A246&amp;"_"&amp;E246,Testes!A:Z,26,FALSE),"Não aplicável"))</f>
        <v>Concluído</v>
      </c>
      <c r="J246" s="250" t="s">
        <v>144</v>
      </c>
      <c r="K246" s="247"/>
      <c r="L246" s="247"/>
      <c r="M246" s="247"/>
      <c r="N246" s="108">
        <f t="shared" si="7"/>
        <v>0</v>
      </c>
    </row>
    <row r="247" spans="1:14" ht="16.5" hidden="1" x14ac:dyDescent="0.35">
      <c r="A247" s="442" t="str">
        <f t="shared" si="6"/>
        <v>B02.00</v>
      </c>
      <c r="B247" s="247" t="s">
        <v>0</v>
      </c>
      <c r="C247" s="331" t="s">
        <v>899</v>
      </c>
      <c r="D247" s="247" t="s">
        <v>16</v>
      </c>
      <c r="E247" s="247" t="s">
        <v>1118</v>
      </c>
      <c r="F247" s="247" t="s">
        <v>891</v>
      </c>
      <c r="G247" s="250" t="s">
        <v>891</v>
      </c>
      <c r="H247" s="250" t="str">
        <f>+IF(C247="Controlos","Não aplicável",
IFERROR(VLOOKUP(A247&amp;"_"&amp;E247,Testes!A:Z,25,FALSE),"Não aplicável"))</f>
        <v>Não aplicável</v>
      </c>
      <c r="I247" s="250" t="str">
        <f>+IF(C247="Controlos",
IFERROR(VLOOKUP(E247,Controlos!B:J,9,FALSE),"Não aplicável"),
IFERROR(VLOOKUP(A247&amp;"_"&amp;E247,Testes!A:Z,26,FALSE),"Não aplicável"))</f>
        <v>Concluído</v>
      </c>
      <c r="J247" s="250" t="s">
        <v>144</v>
      </c>
      <c r="K247" s="247"/>
      <c r="L247" s="247"/>
      <c r="M247" s="247"/>
      <c r="N247" s="108">
        <f t="shared" si="7"/>
        <v>0</v>
      </c>
    </row>
    <row r="248" spans="1:14" ht="16.5" hidden="1" x14ac:dyDescent="0.35">
      <c r="A248" s="442" t="str">
        <f t="shared" si="6"/>
        <v>B02.00</v>
      </c>
      <c r="B248" s="247" t="s">
        <v>0</v>
      </c>
      <c r="C248" s="331" t="s">
        <v>899</v>
      </c>
      <c r="D248" s="247" t="s">
        <v>16</v>
      </c>
      <c r="E248" s="247" t="s">
        <v>1120</v>
      </c>
      <c r="F248" s="247" t="s">
        <v>891</v>
      </c>
      <c r="G248" s="250" t="s">
        <v>891</v>
      </c>
      <c r="H248" s="250" t="str">
        <f>+IF(C248="Controlos","Não aplicável",
IFERROR(VLOOKUP(A248&amp;"_"&amp;E248,Testes!A:Z,25,FALSE),"Não aplicável"))</f>
        <v>Não aplicável</v>
      </c>
      <c r="I248" s="250" t="str">
        <f>+IF(C248="Controlos",
IFERROR(VLOOKUP(E248,Controlos!B:J,9,FALSE),"Não aplicável"),
IFERROR(VLOOKUP(A248&amp;"_"&amp;E248,Testes!A:Z,26,FALSE),"Não aplicável"))</f>
        <v>Concluído</v>
      </c>
      <c r="J248" s="250" t="s">
        <v>873</v>
      </c>
      <c r="K248" s="247"/>
      <c r="L248" s="247"/>
      <c r="M248" s="247"/>
      <c r="N248" s="108">
        <f t="shared" si="7"/>
        <v>1</v>
      </c>
    </row>
    <row r="249" spans="1:14" ht="16.5" hidden="1" x14ac:dyDescent="0.35">
      <c r="A249" s="442" t="str">
        <f t="shared" si="6"/>
        <v>B02.00</v>
      </c>
      <c r="B249" s="247" t="s">
        <v>0</v>
      </c>
      <c r="C249" s="331" t="s">
        <v>899</v>
      </c>
      <c r="D249" s="247" t="s">
        <v>16</v>
      </c>
      <c r="E249" s="247" t="s">
        <v>1127</v>
      </c>
      <c r="F249" s="247" t="s">
        <v>891</v>
      </c>
      <c r="G249" s="250" t="s">
        <v>891</v>
      </c>
      <c r="H249" s="250" t="str">
        <f>+IF(C249="Controlos","Não aplicável",
IFERROR(VLOOKUP(A249&amp;"_"&amp;E249,Testes!A:Z,25,FALSE),"Não aplicável"))</f>
        <v>Não aplicável</v>
      </c>
      <c r="I249" s="250" t="str">
        <f>+IF(C249="Controlos",
IFERROR(VLOOKUP(E249,Controlos!B:J,9,FALSE),"Não aplicável"),
IFERROR(VLOOKUP(A249&amp;"_"&amp;E249,Testes!A:Z,26,FALSE),"Não aplicável"))</f>
        <v>Concluído</v>
      </c>
      <c r="J249" s="250" t="s">
        <v>144</v>
      </c>
      <c r="K249" s="247"/>
      <c r="L249" s="247"/>
      <c r="M249" s="247"/>
      <c r="N249" s="108">
        <f t="shared" si="7"/>
        <v>0</v>
      </c>
    </row>
    <row r="250" spans="1:14" ht="16.5" hidden="1" x14ac:dyDescent="0.35">
      <c r="A250" s="442" t="str">
        <f t="shared" si="6"/>
        <v>B02.00</v>
      </c>
      <c r="B250" s="247" t="s">
        <v>0</v>
      </c>
      <c r="C250" s="331" t="s">
        <v>899</v>
      </c>
      <c r="D250" s="247" t="s">
        <v>16</v>
      </c>
      <c r="E250" s="247" t="s">
        <v>1128</v>
      </c>
      <c r="F250" s="247" t="s">
        <v>891</v>
      </c>
      <c r="G250" s="250" t="s">
        <v>891</v>
      </c>
      <c r="H250" s="250" t="str">
        <f>+IF(C250="Controlos","Não aplicável",
IFERROR(VLOOKUP(A250&amp;"_"&amp;E250,Testes!A:Z,25,FALSE),"Não aplicável"))</f>
        <v>Não aplicável</v>
      </c>
      <c r="I250" s="250" t="str">
        <f>+IF(C250="Controlos",
IFERROR(VLOOKUP(E250,Controlos!B:J,9,FALSE),"Não aplicável"),
IFERROR(VLOOKUP(A250&amp;"_"&amp;E250,Testes!A:Z,26,FALSE),"Não aplicável"))</f>
        <v>Concluído</v>
      </c>
      <c r="J250" s="250" t="s">
        <v>144</v>
      </c>
      <c r="K250" s="247"/>
      <c r="L250" s="247"/>
      <c r="M250" s="247"/>
      <c r="N250" s="108">
        <f t="shared" si="7"/>
        <v>0</v>
      </c>
    </row>
    <row r="251" spans="1:14" ht="16.5" hidden="1" x14ac:dyDescent="0.35">
      <c r="A251" s="442" t="str">
        <f t="shared" si="6"/>
        <v>B02.00</v>
      </c>
      <c r="B251" s="247" t="s">
        <v>0</v>
      </c>
      <c r="C251" s="331" t="s">
        <v>899</v>
      </c>
      <c r="D251" s="247" t="s">
        <v>16</v>
      </c>
      <c r="E251" s="247" t="s">
        <v>1132</v>
      </c>
      <c r="F251" s="247" t="s">
        <v>891</v>
      </c>
      <c r="G251" s="250" t="s">
        <v>891</v>
      </c>
      <c r="H251" s="250" t="str">
        <f>+IF(C251="Controlos","Não aplicável",
IFERROR(VLOOKUP(A251&amp;"_"&amp;E251,Testes!A:Z,25,FALSE),"Não aplicável"))</f>
        <v>Não aplicável</v>
      </c>
      <c r="I251" s="250" t="str">
        <f>+IF(C251="Controlos",
IFERROR(VLOOKUP(E251,Controlos!B:J,9,FALSE),"Não aplicável"),
IFERROR(VLOOKUP(A251&amp;"_"&amp;E251,Testes!A:Z,26,FALSE),"Não aplicável"))</f>
        <v>Concluído</v>
      </c>
      <c r="J251" s="250" t="s">
        <v>144</v>
      </c>
      <c r="K251" s="247"/>
      <c r="L251" s="247"/>
      <c r="M251" s="247"/>
      <c r="N251" s="108">
        <f t="shared" si="7"/>
        <v>0</v>
      </c>
    </row>
    <row r="252" spans="1:14" ht="16.5" hidden="1" x14ac:dyDescent="0.35">
      <c r="A252" s="442" t="str">
        <f t="shared" si="6"/>
        <v>B02.00</v>
      </c>
      <c r="B252" s="247" t="s">
        <v>0</v>
      </c>
      <c r="C252" s="331" t="s">
        <v>899</v>
      </c>
      <c r="D252" s="247" t="s">
        <v>16</v>
      </c>
      <c r="E252" s="247" t="s">
        <v>1141</v>
      </c>
      <c r="F252" s="247" t="s">
        <v>891</v>
      </c>
      <c r="G252" s="250" t="s">
        <v>891</v>
      </c>
      <c r="H252" s="250" t="str">
        <f>+IF(C252="Controlos","Não aplicável",
IFERROR(VLOOKUP(A252&amp;"_"&amp;E252,Testes!A:Z,25,FALSE),"Não aplicável"))</f>
        <v>Não aplicável</v>
      </c>
      <c r="I252" s="250" t="str">
        <f>+IF(C252="Controlos",
IFERROR(VLOOKUP(E252,Controlos!B:J,9,FALSE),"Não aplicável"),
IFERROR(VLOOKUP(A252&amp;"_"&amp;E252,Testes!A:Z,26,FALSE),"Não aplicável"))</f>
        <v>Concluído</v>
      </c>
      <c r="J252" s="250" t="s">
        <v>144</v>
      </c>
      <c r="K252" s="247"/>
      <c r="L252" s="247"/>
      <c r="M252" s="247"/>
      <c r="N252" s="108">
        <f t="shared" si="7"/>
        <v>0</v>
      </c>
    </row>
    <row r="253" spans="1:14" ht="16.5" hidden="1" x14ac:dyDescent="0.35">
      <c r="A253" s="442" t="str">
        <f t="shared" si="6"/>
        <v>B02.00</v>
      </c>
      <c r="B253" s="247" t="s">
        <v>0</v>
      </c>
      <c r="C253" s="331" t="s">
        <v>899</v>
      </c>
      <c r="D253" s="247" t="s">
        <v>16</v>
      </c>
      <c r="E253" s="247" t="s">
        <v>1145</v>
      </c>
      <c r="F253" s="247" t="s">
        <v>891</v>
      </c>
      <c r="G253" s="250" t="s">
        <v>891</v>
      </c>
      <c r="H253" s="250" t="str">
        <f>+IF(C253="Controlos","Não aplicável",
IFERROR(VLOOKUP(A253&amp;"_"&amp;E253,Testes!A:Z,25,FALSE),"Não aplicável"))</f>
        <v>Não aplicável</v>
      </c>
      <c r="I253" s="250" t="str">
        <f>+IF(C253="Controlos",
IFERROR(VLOOKUP(E253,Controlos!B:J,9,FALSE),"Não aplicável"),
IFERROR(VLOOKUP(A253&amp;"_"&amp;E253,Testes!A:Z,26,FALSE),"Não aplicável"))</f>
        <v>Concluído</v>
      </c>
      <c r="J253" s="250" t="s">
        <v>870</v>
      </c>
      <c r="K253" s="247"/>
      <c r="L253" s="247"/>
      <c r="M253" s="247"/>
      <c r="N253" s="108">
        <f t="shared" si="7"/>
        <v>1</v>
      </c>
    </row>
    <row r="254" spans="1:14" ht="16.5" hidden="1" x14ac:dyDescent="0.35">
      <c r="A254" s="442" t="str">
        <f t="shared" si="6"/>
        <v>B02.00</v>
      </c>
      <c r="B254" s="247" t="s">
        <v>0</v>
      </c>
      <c r="C254" s="331" t="s">
        <v>899</v>
      </c>
      <c r="D254" s="247" t="s">
        <v>16</v>
      </c>
      <c r="E254" s="247" t="s">
        <v>1146</v>
      </c>
      <c r="F254" s="247" t="s">
        <v>891</v>
      </c>
      <c r="G254" s="250" t="s">
        <v>891</v>
      </c>
      <c r="H254" s="250" t="str">
        <f>+IF(C254="Controlos","Não aplicável",
IFERROR(VLOOKUP(A254&amp;"_"&amp;E254,Testes!A:Z,25,FALSE),"Não aplicável"))</f>
        <v>Não aplicável</v>
      </c>
      <c r="I254" s="250" t="str">
        <f>+IF(C254="Controlos",
IFERROR(VLOOKUP(E254,Controlos!B:J,9,FALSE),"Não aplicável"),
IFERROR(VLOOKUP(A254&amp;"_"&amp;E254,Testes!A:Z,26,FALSE),"Não aplicável"))</f>
        <v>Concluído</v>
      </c>
      <c r="J254" s="250" t="s">
        <v>144</v>
      </c>
      <c r="K254" s="247"/>
      <c r="L254" s="247"/>
      <c r="M254" s="247"/>
      <c r="N254" s="108">
        <f t="shared" si="7"/>
        <v>0</v>
      </c>
    </row>
    <row r="255" spans="1:14" ht="16.5" hidden="1" x14ac:dyDescent="0.35">
      <c r="A255" s="442" t="str">
        <f t="shared" si="6"/>
        <v>B02.00</v>
      </c>
      <c r="B255" s="247" t="s">
        <v>0</v>
      </c>
      <c r="C255" s="331" t="s">
        <v>899</v>
      </c>
      <c r="D255" s="247" t="s">
        <v>16</v>
      </c>
      <c r="E255" s="247" t="s">
        <v>1150</v>
      </c>
      <c r="F255" s="247" t="s">
        <v>891</v>
      </c>
      <c r="G255" s="250" t="s">
        <v>891</v>
      </c>
      <c r="H255" s="250" t="str">
        <f>+IF(C255="Controlos","Não aplicável",
IFERROR(VLOOKUP(A255&amp;"_"&amp;E255,Testes!A:Z,25,FALSE),"Não aplicável"))</f>
        <v>Não aplicável</v>
      </c>
      <c r="I255" s="250" t="str">
        <f>+IF(C255="Controlos",
IFERROR(VLOOKUP(E255,Controlos!B:J,9,FALSE),"Não aplicável"),
IFERROR(VLOOKUP(A255&amp;"_"&amp;E255,Testes!A:Z,26,FALSE),"Não aplicável"))</f>
        <v>Concluído</v>
      </c>
      <c r="J255" s="250" t="s">
        <v>144</v>
      </c>
      <c r="K255" s="247"/>
      <c r="L255" s="247"/>
      <c r="M255" s="247"/>
      <c r="N255" s="108">
        <f t="shared" si="7"/>
        <v>0</v>
      </c>
    </row>
    <row r="256" spans="1:14" ht="16.5" hidden="1" x14ac:dyDescent="0.35">
      <c r="A256" s="442" t="str">
        <f t="shared" si="6"/>
        <v>B02.00</v>
      </c>
      <c r="B256" s="247" t="s">
        <v>0</v>
      </c>
      <c r="C256" s="331" t="s">
        <v>899</v>
      </c>
      <c r="D256" s="247" t="s">
        <v>16</v>
      </c>
      <c r="E256" s="247" t="s">
        <v>1149</v>
      </c>
      <c r="F256" s="247" t="s">
        <v>891</v>
      </c>
      <c r="G256" s="250" t="s">
        <v>891</v>
      </c>
      <c r="H256" s="250" t="str">
        <f>+IF(C256="Controlos","Não aplicável",
IFERROR(VLOOKUP(A256&amp;"_"&amp;E256,Testes!A:Z,25,FALSE),"Não aplicável"))</f>
        <v>Não aplicável</v>
      </c>
      <c r="I256" s="250" t="str">
        <f>+IF(C256="Controlos",
IFERROR(VLOOKUP(E256,Controlos!B:J,9,FALSE),"Não aplicável"),
IFERROR(VLOOKUP(A256&amp;"_"&amp;E256,Testes!A:Z,26,FALSE),"Não aplicável"))</f>
        <v>Concluído</v>
      </c>
      <c r="J256" s="250" t="s">
        <v>144</v>
      </c>
      <c r="K256" s="247"/>
      <c r="L256" s="247"/>
      <c r="M256" s="247"/>
      <c r="N256" s="108">
        <f t="shared" si="7"/>
        <v>0</v>
      </c>
    </row>
    <row r="257" spans="1:14" ht="16.5" hidden="1" x14ac:dyDescent="0.35">
      <c r="A257" s="442" t="str">
        <f t="shared" si="6"/>
        <v>B02.00</v>
      </c>
      <c r="B257" s="247" t="s">
        <v>0</v>
      </c>
      <c r="C257" s="331" t="s">
        <v>899</v>
      </c>
      <c r="D257" s="247" t="s">
        <v>16</v>
      </c>
      <c r="E257" s="247" t="s">
        <v>1152</v>
      </c>
      <c r="F257" s="247" t="s">
        <v>891</v>
      </c>
      <c r="G257" s="250" t="s">
        <v>891</v>
      </c>
      <c r="H257" s="250" t="str">
        <f>+IF(C257="Controlos","Não aplicável",
IFERROR(VLOOKUP(A257&amp;"_"&amp;E257,Testes!A:Z,25,FALSE),"Não aplicável"))</f>
        <v>Não aplicável</v>
      </c>
      <c r="I257" s="250" t="str">
        <f>+IF(C257="Controlos",
IFERROR(VLOOKUP(E257,Controlos!B:J,9,FALSE),"Não aplicável"),
IFERROR(VLOOKUP(A257&amp;"_"&amp;E257,Testes!A:Z,26,FALSE),"Não aplicável"))</f>
        <v>Concluído</v>
      </c>
      <c r="J257" s="250" t="s">
        <v>873</v>
      </c>
      <c r="K257" s="247"/>
      <c r="L257" s="247"/>
      <c r="M257" s="247"/>
      <c r="N257" s="108">
        <f t="shared" si="7"/>
        <v>1</v>
      </c>
    </row>
    <row r="258" spans="1:14" ht="16.5" hidden="1" x14ac:dyDescent="0.35">
      <c r="A258" s="442" t="str">
        <f t="shared" si="6"/>
        <v>B02.00</v>
      </c>
      <c r="B258" s="247" t="s">
        <v>0</v>
      </c>
      <c r="C258" s="331" t="s">
        <v>899</v>
      </c>
      <c r="D258" s="247" t="s">
        <v>16</v>
      </c>
      <c r="E258" s="247" t="s">
        <v>1354</v>
      </c>
      <c r="F258" s="247" t="s">
        <v>891</v>
      </c>
      <c r="G258" s="250" t="s">
        <v>891</v>
      </c>
      <c r="H258" s="250" t="str">
        <f>+IF(C258="Controlos","Não aplicável",
IFERROR(VLOOKUP(A258&amp;"_"&amp;E258,Testes!A:Z,25,FALSE),"Não aplicável"))</f>
        <v>Não aplicável</v>
      </c>
      <c r="I258" s="250" t="str">
        <f>+IF(C258="Controlos",
IFERROR(VLOOKUP(E258,Controlos!B:J,9,FALSE),"Não aplicável"),
IFERROR(VLOOKUP(A258&amp;"_"&amp;E258,Testes!A:Z,26,FALSE),"Não aplicável"))</f>
        <v>Concluído</v>
      </c>
      <c r="J258" s="250" t="s">
        <v>873</v>
      </c>
      <c r="K258" s="247"/>
      <c r="L258" s="247"/>
      <c r="M258" s="247"/>
      <c r="N258" s="108">
        <f t="shared" si="7"/>
        <v>1</v>
      </c>
    </row>
    <row r="259" spans="1:14" ht="16.5" hidden="1" x14ac:dyDescent="0.35">
      <c r="A259" s="442" t="str">
        <f t="shared" si="6"/>
        <v>B02.00</v>
      </c>
      <c r="B259" s="247" t="s">
        <v>0</v>
      </c>
      <c r="C259" s="331" t="s">
        <v>899</v>
      </c>
      <c r="D259" s="247" t="s">
        <v>16</v>
      </c>
      <c r="E259" s="247" t="s">
        <v>1355</v>
      </c>
      <c r="F259" s="247" t="s">
        <v>891</v>
      </c>
      <c r="G259" s="250" t="s">
        <v>891</v>
      </c>
      <c r="H259" s="250" t="str">
        <f>+IF(C259="Controlos","Não aplicável",
IFERROR(VLOOKUP(A259&amp;"_"&amp;E259,Testes!A:Z,25,FALSE),"Não aplicável"))</f>
        <v>Não aplicável</v>
      </c>
      <c r="I259" s="250" t="str">
        <f>+IF(C259="Controlos",
IFERROR(VLOOKUP(E259,Controlos!B:J,9,FALSE),"Não aplicável"),
IFERROR(VLOOKUP(A259&amp;"_"&amp;E259,Testes!A:Z,26,FALSE),"Não aplicável"))</f>
        <v>Concluído</v>
      </c>
      <c r="J259" s="250" t="s">
        <v>873</v>
      </c>
      <c r="K259" s="247"/>
      <c r="L259" s="247"/>
      <c r="M259" s="247"/>
      <c r="N259" s="108">
        <f t="shared" si="7"/>
        <v>1</v>
      </c>
    </row>
    <row r="260" spans="1:14" ht="16.5" hidden="1" x14ac:dyDescent="0.35">
      <c r="A260" s="442" t="str">
        <f t="shared" si="6"/>
        <v>B02.00</v>
      </c>
      <c r="B260" s="247" t="s">
        <v>0</v>
      </c>
      <c r="C260" s="331" t="s">
        <v>899</v>
      </c>
      <c r="D260" s="247" t="s">
        <v>16</v>
      </c>
      <c r="E260" s="247" t="s">
        <v>1356</v>
      </c>
      <c r="F260" s="247" t="s">
        <v>891</v>
      </c>
      <c r="G260" s="250" t="s">
        <v>891</v>
      </c>
      <c r="H260" s="250" t="str">
        <f>+IF(C260="Controlos","Não aplicável",
IFERROR(VLOOKUP(A260&amp;"_"&amp;E260,Testes!A:Z,25,FALSE),"Não aplicável"))</f>
        <v>Não aplicável</v>
      </c>
      <c r="I260" s="250" t="str">
        <f>+IF(C260="Controlos",
IFERROR(VLOOKUP(E260,Controlos!B:J,9,FALSE),"Não aplicável"),
IFERROR(VLOOKUP(A260&amp;"_"&amp;E260,Testes!A:Z,26,FALSE),"Não aplicável"))</f>
        <v>Com Incidências</v>
      </c>
      <c r="J260" s="250" t="s">
        <v>873</v>
      </c>
      <c r="K260" s="247"/>
      <c r="L260" s="247"/>
      <c r="M260" s="247"/>
      <c r="N260" s="108">
        <f t="shared" si="7"/>
        <v>1</v>
      </c>
    </row>
    <row r="261" spans="1:14" ht="16.5" hidden="1" x14ac:dyDescent="0.35">
      <c r="A261" s="442" t="str">
        <f t="shared" si="6"/>
        <v>B02.00</v>
      </c>
      <c r="B261" s="247" t="s">
        <v>0</v>
      </c>
      <c r="C261" s="331" t="s">
        <v>899</v>
      </c>
      <c r="D261" s="247" t="s">
        <v>16</v>
      </c>
      <c r="E261" s="247" t="s">
        <v>1357</v>
      </c>
      <c r="F261" s="247" t="s">
        <v>891</v>
      </c>
      <c r="G261" s="250" t="s">
        <v>891</v>
      </c>
      <c r="H261" s="250" t="str">
        <f>+IF(C261="Controlos","Não aplicável",
IFERROR(VLOOKUP(A261&amp;"_"&amp;E261,Testes!A:Z,25,FALSE),"Não aplicável"))</f>
        <v>Não aplicável</v>
      </c>
      <c r="I261" s="250" t="str">
        <f>+IF(C261="Controlos",
IFERROR(VLOOKUP(E261,Controlos!B:J,9,FALSE),"Não aplicável"),
IFERROR(VLOOKUP(A261&amp;"_"&amp;E261,Testes!A:Z,26,FALSE),"Não aplicável"))</f>
        <v>Concluído</v>
      </c>
      <c r="J261" s="250" t="s">
        <v>873</v>
      </c>
      <c r="K261" s="247"/>
      <c r="L261" s="247"/>
      <c r="M261" s="247"/>
      <c r="N261" s="108">
        <f t="shared" si="7"/>
        <v>1</v>
      </c>
    </row>
    <row r="262" spans="1:14" ht="16.5" hidden="1" x14ac:dyDescent="0.35">
      <c r="A262" s="442" t="str">
        <f t="shared" si="6"/>
        <v>B02.00</v>
      </c>
      <c r="B262" s="247" t="s">
        <v>0</v>
      </c>
      <c r="C262" s="331" t="s">
        <v>899</v>
      </c>
      <c r="D262" s="247" t="s">
        <v>16</v>
      </c>
      <c r="E262" s="247" t="s">
        <v>1155</v>
      </c>
      <c r="F262" s="247" t="s">
        <v>891</v>
      </c>
      <c r="G262" s="250" t="s">
        <v>891</v>
      </c>
      <c r="H262" s="250" t="str">
        <f>+IF(C262="Controlos","Não aplicável",
IFERROR(VLOOKUP(A262&amp;"_"&amp;E262,Testes!A:Z,25,FALSE),"Não aplicável"))</f>
        <v>Não aplicável</v>
      </c>
      <c r="I262" s="250" t="str">
        <f>+IF(C262="Controlos",
IFERROR(VLOOKUP(E262,Controlos!B:J,9,FALSE),"Não aplicável"),
IFERROR(VLOOKUP(A262&amp;"_"&amp;E262,Testes!A:Z,26,FALSE),"Não aplicável"))</f>
        <v>Concluído</v>
      </c>
      <c r="J262" s="250" t="s">
        <v>870</v>
      </c>
      <c r="K262" s="247"/>
      <c r="L262" s="247"/>
      <c r="M262" s="247"/>
      <c r="N262" s="108">
        <f t="shared" si="7"/>
        <v>1</v>
      </c>
    </row>
    <row r="263" spans="1:14" ht="16.5" hidden="1" x14ac:dyDescent="0.35">
      <c r="A263" s="442" t="str">
        <f t="shared" si="6"/>
        <v>B02.00</v>
      </c>
      <c r="B263" s="247" t="s">
        <v>0</v>
      </c>
      <c r="C263" s="331" t="s">
        <v>899</v>
      </c>
      <c r="D263" s="247" t="s">
        <v>16</v>
      </c>
      <c r="E263" s="247" t="s">
        <v>1156</v>
      </c>
      <c r="F263" s="247" t="s">
        <v>891</v>
      </c>
      <c r="G263" s="250" t="s">
        <v>891</v>
      </c>
      <c r="H263" s="250" t="str">
        <f>+IF(C263="Controlos","Não aplicável",
IFERROR(VLOOKUP(A263&amp;"_"&amp;E263,Testes!A:Z,25,FALSE),"Não aplicável"))</f>
        <v>Não aplicável</v>
      </c>
      <c r="I263" s="250" t="str">
        <f>+IF(C263="Controlos",
IFERROR(VLOOKUP(E263,Controlos!B:J,9,FALSE),"Não aplicável"),
IFERROR(VLOOKUP(A263&amp;"_"&amp;E263,Testes!A:Z,26,FALSE),"Não aplicável"))</f>
        <v>Concluído</v>
      </c>
      <c r="J263" s="250" t="s">
        <v>144</v>
      </c>
      <c r="K263" s="247"/>
      <c r="L263" s="247"/>
      <c r="M263" s="247"/>
      <c r="N263" s="108">
        <f t="shared" si="7"/>
        <v>0</v>
      </c>
    </row>
    <row r="264" spans="1:14" ht="16.5" hidden="1" x14ac:dyDescent="0.35">
      <c r="A264" s="442" t="str">
        <f t="shared" ref="A264:A327" si="8">+IF(C264="Loan Tape",LEFT(D264,5),B264)</f>
        <v>B02.00</v>
      </c>
      <c r="B264" s="247" t="s">
        <v>0</v>
      </c>
      <c r="C264" s="331" t="s">
        <v>899</v>
      </c>
      <c r="D264" s="247" t="s">
        <v>16</v>
      </c>
      <c r="E264" s="247" t="s">
        <v>1358</v>
      </c>
      <c r="F264" s="247" t="s">
        <v>891</v>
      </c>
      <c r="G264" s="250" t="s">
        <v>891</v>
      </c>
      <c r="H264" s="250" t="str">
        <f>+IF(C264="Controlos","Não aplicável",
IFERROR(VLOOKUP(A264&amp;"_"&amp;E264,Testes!A:Z,25,FALSE),"Não aplicável"))</f>
        <v>Não aplicável</v>
      </c>
      <c r="I264" s="250" t="str">
        <f>+IF(C264="Controlos",
IFERROR(VLOOKUP(E264,Controlos!B:J,9,FALSE),"Não aplicável"),
IFERROR(VLOOKUP(A264&amp;"_"&amp;E264,Testes!A:Z,26,FALSE),"Não aplicável"))</f>
        <v>Concluído</v>
      </c>
      <c r="J264" s="250" t="s">
        <v>144</v>
      </c>
      <c r="K264" s="247"/>
      <c r="L264" s="247"/>
      <c r="M264" s="247"/>
      <c r="N264" s="108">
        <f t="shared" si="7"/>
        <v>0</v>
      </c>
    </row>
    <row r="265" spans="1:14" ht="16.5" hidden="1" x14ac:dyDescent="0.35">
      <c r="A265" s="442" t="str">
        <f t="shared" si="8"/>
        <v>B02.00</v>
      </c>
      <c r="B265" s="247" t="s">
        <v>0</v>
      </c>
      <c r="C265" s="331" t="s">
        <v>899</v>
      </c>
      <c r="D265" s="247" t="s">
        <v>16</v>
      </c>
      <c r="E265" s="247" t="s">
        <v>1359</v>
      </c>
      <c r="F265" s="247" t="s">
        <v>891</v>
      </c>
      <c r="G265" s="250" t="s">
        <v>891</v>
      </c>
      <c r="H265" s="250" t="str">
        <f>+IF(C265="Controlos","Não aplicável",
IFERROR(VLOOKUP(A265&amp;"_"&amp;E265,Testes!A:Z,25,FALSE),"Não aplicável"))</f>
        <v>Não aplicável</v>
      </c>
      <c r="I265" s="250" t="str">
        <f>+IF(C265="Controlos",
IFERROR(VLOOKUP(E265,Controlos!B:J,9,FALSE),"Não aplicável"),
IFERROR(VLOOKUP(A265&amp;"_"&amp;E265,Testes!A:Z,26,FALSE),"Não aplicável"))</f>
        <v>Concluído</v>
      </c>
      <c r="J265" s="250" t="s">
        <v>144</v>
      </c>
      <c r="K265" s="247"/>
      <c r="L265" s="247"/>
      <c r="M265" s="247"/>
      <c r="N265" s="108">
        <f t="shared" ref="N265:N328" si="9">+IF(I265=J265,0,1)</f>
        <v>0</v>
      </c>
    </row>
    <row r="266" spans="1:14" ht="16.5" hidden="1" x14ac:dyDescent="0.35">
      <c r="A266" s="442" t="str">
        <f t="shared" si="8"/>
        <v>B02.00</v>
      </c>
      <c r="B266" s="247" t="s">
        <v>0</v>
      </c>
      <c r="C266" s="331" t="s">
        <v>899</v>
      </c>
      <c r="D266" s="247" t="s">
        <v>16</v>
      </c>
      <c r="E266" s="247" t="s">
        <v>1360</v>
      </c>
      <c r="F266" s="247" t="s">
        <v>891</v>
      </c>
      <c r="G266" s="250" t="s">
        <v>891</v>
      </c>
      <c r="H266" s="250" t="str">
        <f>+IF(C266="Controlos","Não aplicável",
IFERROR(VLOOKUP(A266&amp;"_"&amp;E266,Testes!A:Z,25,FALSE),"Não aplicável"))</f>
        <v>Não aplicável</v>
      </c>
      <c r="I266" s="250" t="str">
        <f>+IF(C266="Controlos",
IFERROR(VLOOKUP(E266,Controlos!B:J,9,FALSE),"Não aplicável"),
IFERROR(VLOOKUP(A266&amp;"_"&amp;E266,Testes!A:Z,26,FALSE),"Não aplicável"))</f>
        <v>Com Incidências</v>
      </c>
      <c r="J266" s="250" t="s">
        <v>870</v>
      </c>
      <c r="K266" s="247"/>
      <c r="L266" s="247"/>
      <c r="M266" s="247"/>
      <c r="N266" s="108">
        <f t="shared" si="9"/>
        <v>0</v>
      </c>
    </row>
    <row r="267" spans="1:14" ht="16.5" hidden="1" x14ac:dyDescent="0.35">
      <c r="A267" s="442" t="str">
        <f t="shared" si="8"/>
        <v>B02.00</v>
      </c>
      <c r="B267" s="247" t="s">
        <v>0</v>
      </c>
      <c r="C267" s="331" t="s">
        <v>899</v>
      </c>
      <c r="D267" s="247" t="s">
        <v>16</v>
      </c>
      <c r="E267" s="247" t="s">
        <v>1361</v>
      </c>
      <c r="F267" s="247" t="s">
        <v>891</v>
      </c>
      <c r="G267" s="250" t="s">
        <v>891</v>
      </c>
      <c r="H267" s="250" t="str">
        <f>+IF(C267="Controlos","Não aplicável",
IFERROR(VLOOKUP(A267&amp;"_"&amp;E267,Testes!A:Z,25,FALSE),"Não aplicável"))</f>
        <v>Não aplicável</v>
      </c>
      <c r="I267" s="250" t="str">
        <f>+IF(C267="Controlos",
IFERROR(VLOOKUP(E267,Controlos!B:J,9,FALSE),"Não aplicável"),
IFERROR(VLOOKUP(A267&amp;"_"&amp;E267,Testes!A:Z,26,FALSE),"Não aplicável"))</f>
        <v>Em curso</v>
      </c>
      <c r="J267" s="250" t="s">
        <v>231</v>
      </c>
      <c r="K267" s="247"/>
      <c r="L267" s="247"/>
      <c r="M267" s="247"/>
      <c r="N267" s="108">
        <f t="shared" si="9"/>
        <v>0</v>
      </c>
    </row>
    <row r="268" spans="1:14" ht="16.5" hidden="1" x14ac:dyDescent="0.35">
      <c r="A268" s="442" t="str">
        <f t="shared" si="8"/>
        <v>B02.00</v>
      </c>
      <c r="B268" s="247" t="s">
        <v>0</v>
      </c>
      <c r="C268" s="331" t="s">
        <v>899</v>
      </c>
      <c r="D268" s="247" t="s">
        <v>16</v>
      </c>
      <c r="E268" s="247" t="s">
        <v>1362</v>
      </c>
      <c r="F268" s="247" t="s">
        <v>891</v>
      </c>
      <c r="G268" s="250" t="s">
        <v>891</v>
      </c>
      <c r="H268" s="250" t="str">
        <f>+IF(C268="Controlos","Não aplicável",
IFERROR(VLOOKUP(A268&amp;"_"&amp;E268,Testes!A:Z,25,FALSE),"Não aplicável"))</f>
        <v>Não aplicável</v>
      </c>
      <c r="I268" s="250" t="str">
        <f>+IF(C268="Controlos",
IFERROR(VLOOKUP(E268,Controlos!B:J,9,FALSE),"Não aplicável"),
IFERROR(VLOOKUP(A268&amp;"_"&amp;E268,Testes!A:Z,26,FALSE),"Não aplicável"))</f>
        <v>Concluído</v>
      </c>
      <c r="J268" s="250" t="s">
        <v>144</v>
      </c>
      <c r="K268" s="247"/>
      <c r="L268" s="247"/>
      <c r="M268" s="247"/>
      <c r="N268" s="108">
        <f t="shared" si="9"/>
        <v>0</v>
      </c>
    </row>
    <row r="269" spans="1:14" ht="16.5" hidden="1" x14ac:dyDescent="0.35">
      <c r="A269" s="442" t="str">
        <f t="shared" si="8"/>
        <v>B02.00</v>
      </c>
      <c r="B269" s="247" t="s">
        <v>0</v>
      </c>
      <c r="C269" s="331" t="s">
        <v>899</v>
      </c>
      <c r="D269" s="247" t="s">
        <v>16</v>
      </c>
      <c r="E269" s="247" t="s">
        <v>1363</v>
      </c>
      <c r="F269" s="247" t="s">
        <v>891</v>
      </c>
      <c r="G269" s="250" t="s">
        <v>891</v>
      </c>
      <c r="H269" s="250" t="str">
        <f>+IF(C269="Controlos","Não aplicável",
IFERROR(VLOOKUP(A269&amp;"_"&amp;E269,Testes!A:Z,25,FALSE),"Não aplicável"))</f>
        <v>Não aplicável</v>
      </c>
      <c r="I269" s="250" t="str">
        <f>+IF(C269="Controlos",
IFERROR(VLOOKUP(E269,Controlos!B:J,9,FALSE),"Não aplicável"),
IFERROR(VLOOKUP(A269&amp;"_"&amp;E269,Testes!A:Z,26,FALSE),"Não aplicável"))</f>
        <v>Em curso</v>
      </c>
      <c r="J269" s="250" t="s">
        <v>231</v>
      </c>
      <c r="K269" s="247"/>
      <c r="L269" s="247"/>
      <c r="M269" s="247"/>
      <c r="N269" s="108">
        <f t="shared" si="9"/>
        <v>0</v>
      </c>
    </row>
    <row r="270" spans="1:14" ht="16.5" hidden="1" x14ac:dyDescent="0.35">
      <c r="A270" s="442" t="str">
        <f t="shared" si="8"/>
        <v>B02.00</v>
      </c>
      <c r="B270" s="247" t="s">
        <v>0</v>
      </c>
      <c r="C270" s="331" t="s">
        <v>899</v>
      </c>
      <c r="D270" s="247" t="s">
        <v>16</v>
      </c>
      <c r="E270" s="247" t="s">
        <v>1364</v>
      </c>
      <c r="F270" s="247" t="s">
        <v>891</v>
      </c>
      <c r="G270" s="250" t="s">
        <v>891</v>
      </c>
      <c r="H270" s="250" t="str">
        <f>+IF(C270="Controlos","Não aplicável",
IFERROR(VLOOKUP(A270&amp;"_"&amp;E270,Testes!A:Z,25,FALSE),"Não aplicável"))</f>
        <v>Não aplicável</v>
      </c>
      <c r="I270" s="250" t="str">
        <f>+IF(C270="Controlos",
IFERROR(VLOOKUP(E270,Controlos!B:J,9,FALSE),"Não aplicável"),
IFERROR(VLOOKUP(A270&amp;"_"&amp;E270,Testes!A:Z,26,FALSE),"Não aplicável"))</f>
        <v>Concluído</v>
      </c>
      <c r="J270" s="250" t="s">
        <v>144</v>
      </c>
      <c r="K270" s="247"/>
      <c r="L270" s="247"/>
      <c r="M270" s="247"/>
      <c r="N270" s="108">
        <f t="shared" si="9"/>
        <v>0</v>
      </c>
    </row>
    <row r="271" spans="1:14" ht="16.5" hidden="1" x14ac:dyDescent="0.35">
      <c r="A271" s="442" t="str">
        <f t="shared" si="8"/>
        <v>B02.00</v>
      </c>
      <c r="B271" s="247" t="s">
        <v>0</v>
      </c>
      <c r="C271" s="331" t="s">
        <v>899</v>
      </c>
      <c r="D271" s="247" t="s">
        <v>16</v>
      </c>
      <c r="E271" s="247" t="s">
        <v>1365</v>
      </c>
      <c r="F271" s="247" t="s">
        <v>891</v>
      </c>
      <c r="G271" s="250" t="s">
        <v>891</v>
      </c>
      <c r="H271" s="250" t="str">
        <f>+IF(C271="Controlos","Não aplicável",
IFERROR(VLOOKUP(A271&amp;"_"&amp;E271,Testes!A:Z,25,FALSE),"Não aplicável"))</f>
        <v>Não aplicável</v>
      </c>
      <c r="I271" s="250" t="str">
        <f>+IF(C271="Controlos",
IFERROR(VLOOKUP(E271,Controlos!B:J,9,FALSE),"Não aplicável"),
IFERROR(VLOOKUP(A271&amp;"_"&amp;E271,Testes!A:Z,26,FALSE),"Não aplicável"))</f>
        <v>Em curso</v>
      </c>
      <c r="J271" s="250" t="s">
        <v>231</v>
      </c>
      <c r="K271" s="247"/>
      <c r="L271" s="247"/>
      <c r="M271" s="247"/>
      <c r="N271" s="108">
        <f t="shared" si="9"/>
        <v>0</v>
      </c>
    </row>
    <row r="272" spans="1:14" ht="16.5" hidden="1" x14ac:dyDescent="0.35">
      <c r="A272" s="442" t="str">
        <f t="shared" si="8"/>
        <v>B02.00</v>
      </c>
      <c r="B272" s="247" t="s">
        <v>0</v>
      </c>
      <c r="C272" s="331" t="s">
        <v>899</v>
      </c>
      <c r="D272" s="247" t="s">
        <v>16</v>
      </c>
      <c r="E272" s="247" t="s">
        <v>1157</v>
      </c>
      <c r="F272" s="247" t="s">
        <v>891</v>
      </c>
      <c r="G272" s="250" t="s">
        <v>891</v>
      </c>
      <c r="H272" s="250" t="str">
        <f>+IF(C272="Controlos","Não aplicável",
IFERROR(VLOOKUP(A272&amp;"_"&amp;E272,Testes!A:Z,25,FALSE),"Não aplicável"))</f>
        <v>Não aplicável</v>
      </c>
      <c r="I272" s="250" t="str">
        <f>+IF(C272="Controlos",
IFERROR(VLOOKUP(E272,Controlos!B:J,9,FALSE),"Não aplicável"),
IFERROR(VLOOKUP(A272&amp;"_"&amp;E272,Testes!A:Z,26,FALSE),"Não aplicável"))</f>
        <v>Concluído</v>
      </c>
      <c r="J272" s="250" t="s">
        <v>144</v>
      </c>
      <c r="K272" s="247"/>
      <c r="L272" s="247"/>
      <c r="M272" s="247"/>
      <c r="N272" s="108">
        <f t="shared" si="9"/>
        <v>0</v>
      </c>
    </row>
    <row r="273" spans="1:14" ht="16.5" hidden="1" x14ac:dyDescent="0.35">
      <c r="A273" s="442" t="str">
        <f t="shared" si="8"/>
        <v>B02.00</v>
      </c>
      <c r="B273" s="247" t="s">
        <v>0</v>
      </c>
      <c r="C273" s="331" t="s">
        <v>899</v>
      </c>
      <c r="D273" s="247" t="s">
        <v>16</v>
      </c>
      <c r="E273" s="247" t="s">
        <v>1158</v>
      </c>
      <c r="F273" s="247" t="s">
        <v>891</v>
      </c>
      <c r="G273" s="250" t="s">
        <v>891</v>
      </c>
      <c r="H273" s="250" t="str">
        <f>+IF(C273="Controlos","Não aplicável",
IFERROR(VLOOKUP(A273&amp;"_"&amp;E273,Testes!A:Z,25,FALSE),"Não aplicável"))</f>
        <v>Não aplicável</v>
      </c>
      <c r="I273" s="250" t="str">
        <f>+IF(C273="Controlos",
IFERROR(VLOOKUP(E273,Controlos!B:J,9,FALSE),"Não aplicável"),
IFERROR(VLOOKUP(A273&amp;"_"&amp;E273,Testes!A:Z,26,FALSE),"Não aplicável"))</f>
        <v>Concluído</v>
      </c>
      <c r="J273" s="250" t="s">
        <v>144</v>
      </c>
      <c r="K273" s="247"/>
      <c r="L273" s="247"/>
      <c r="M273" s="247"/>
      <c r="N273" s="108">
        <f t="shared" si="9"/>
        <v>0</v>
      </c>
    </row>
    <row r="274" spans="1:14" ht="16.5" hidden="1" x14ac:dyDescent="0.35">
      <c r="A274" s="442" t="str">
        <f t="shared" si="8"/>
        <v>B02.00</v>
      </c>
      <c r="B274" s="247" t="s">
        <v>0</v>
      </c>
      <c r="C274" s="331" t="s">
        <v>899</v>
      </c>
      <c r="D274" s="247" t="s">
        <v>16</v>
      </c>
      <c r="E274" s="247" t="s">
        <v>1159</v>
      </c>
      <c r="F274" s="247" t="s">
        <v>891</v>
      </c>
      <c r="G274" s="250" t="s">
        <v>891</v>
      </c>
      <c r="H274" s="250" t="str">
        <f>+IF(C274="Controlos","Não aplicável",
IFERROR(VLOOKUP(A274&amp;"_"&amp;E274,Testes!A:Z,25,FALSE),"Não aplicável"))</f>
        <v>Não aplicável</v>
      </c>
      <c r="I274" s="250" t="str">
        <f>+IF(C274="Controlos",
IFERROR(VLOOKUP(E274,Controlos!B:J,9,FALSE),"Não aplicável"),
IFERROR(VLOOKUP(A274&amp;"_"&amp;E274,Testes!A:Z,26,FALSE),"Não aplicável"))</f>
        <v>Concluído</v>
      </c>
      <c r="J274" s="250" t="s">
        <v>144</v>
      </c>
      <c r="K274" s="247"/>
      <c r="L274" s="247"/>
      <c r="M274" s="247"/>
      <c r="N274" s="108">
        <f t="shared" si="9"/>
        <v>0</v>
      </c>
    </row>
    <row r="275" spans="1:14" ht="16.5" hidden="1" x14ac:dyDescent="0.35">
      <c r="A275" s="442" t="str">
        <f t="shared" si="8"/>
        <v>B02.00</v>
      </c>
      <c r="B275" s="247" t="s">
        <v>0</v>
      </c>
      <c r="C275" s="331" t="s">
        <v>899</v>
      </c>
      <c r="D275" s="247" t="s">
        <v>16</v>
      </c>
      <c r="E275" s="247" t="s">
        <v>1160</v>
      </c>
      <c r="F275" s="247" t="s">
        <v>891</v>
      </c>
      <c r="G275" s="250" t="s">
        <v>891</v>
      </c>
      <c r="H275" s="250" t="str">
        <f>+IF(C275="Controlos","Não aplicável",
IFERROR(VLOOKUP(A275&amp;"_"&amp;E275,Testes!A:Z,25,FALSE),"Não aplicável"))</f>
        <v>Não aplicável</v>
      </c>
      <c r="I275" s="250" t="str">
        <f>+IF(C275="Controlos",
IFERROR(VLOOKUP(E275,Controlos!B:J,9,FALSE),"Não aplicável"),
IFERROR(VLOOKUP(A275&amp;"_"&amp;E275,Testes!A:Z,26,FALSE),"Não aplicável"))</f>
        <v>Concluído</v>
      </c>
      <c r="J275" s="250" t="s">
        <v>144</v>
      </c>
      <c r="K275" s="247"/>
      <c r="L275" s="247"/>
      <c r="M275" s="247"/>
      <c r="N275" s="108">
        <f t="shared" si="9"/>
        <v>0</v>
      </c>
    </row>
    <row r="276" spans="1:14" ht="16.5" hidden="1" x14ac:dyDescent="0.35">
      <c r="A276" s="442" t="str">
        <f t="shared" si="8"/>
        <v>B02.00</v>
      </c>
      <c r="B276" s="247" t="s">
        <v>0</v>
      </c>
      <c r="C276" s="331" t="s">
        <v>899</v>
      </c>
      <c r="D276" s="247" t="s">
        <v>16</v>
      </c>
      <c r="E276" s="247" t="s">
        <v>1366</v>
      </c>
      <c r="F276" s="247" t="s">
        <v>891</v>
      </c>
      <c r="G276" s="250" t="s">
        <v>891</v>
      </c>
      <c r="H276" s="250" t="str">
        <f>+IF(C276="Controlos","Não aplicável",
IFERROR(VLOOKUP(A276&amp;"_"&amp;E276,Testes!A:Z,25,FALSE),"Não aplicável"))</f>
        <v>Não aplicável</v>
      </c>
      <c r="I276" s="250" t="str">
        <f>+IF(C276="Controlos",
IFERROR(VLOOKUP(E276,Controlos!B:J,9,FALSE),"Não aplicável"),
IFERROR(VLOOKUP(A276&amp;"_"&amp;E276,Testes!A:Z,26,FALSE),"Não aplicável"))</f>
        <v>Concluído</v>
      </c>
      <c r="J276" s="250" t="s">
        <v>144</v>
      </c>
      <c r="K276" s="247"/>
      <c r="L276" s="247"/>
      <c r="M276" s="247"/>
      <c r="N276" s="108">
        <f t="shared" si="9"/>
        <v>0</v>
      </c>
    </row>
    <row r="277" spans="1:14" ht="16.5" hidden="1" x14ac:dyDescent="0.35">
      <c r="A277" s="442" t="str">
        <f t="shared" si="8"/>
        <v>B02.00</v>
      </c>
      <c r="B277" s="247" t="s">
        <v>0</v>
      </c>
      <c r="C277" s="331" t="s">
        <v>899</v>
      </c>
      <c r="D277" s="247" t="s">
        <v>16</v>
      </c>
      <c r="E277" s="247" t="s">
        <v>1367</v>
      </c>
      <c r="F277" s="247" t="s">
        <v>891</v>
      </c>
      <c r="G277" s="250" t="s">
        <v>891</v>
      </c>
      <c r="H277" s="250" t="str">
        <f>+IF(C277="Controlos","Não aplicável",
IFERROR(VLOOKUP(A277&amp;"_"&amp;E277,Testes!A:Z,25,FALSE),"Não aplicável"))</f>
        <v>Não aplicável</v>
      </c>
      <c r="I277" s="250" t="str">
        <f>+IF(C277="Controlos",
IFERROR(VLOOKUP(E277,Controlos!B:J,9,FALSE),"Não aplicável"),
IFERROR(VLOOKUP(A277&amp;"_"&amp;E277,Testes!A:Z,26,FALSE),"Não aplicável"))</f>
        <v>Concluído</v>
      </c>
      <c r="J277" s="250" t="s">
        <v>144</v>
      </c>
      <c r="K277" s="247"/>
      <c r="L277" s="247"/>
      <c r="M277" s="247"/>
      <c r="N277" s="108">
        <f t="shared" si="9"/>
        <v>0</v>
      </c>
    </row>
    <row r="278" spans="1:14" ht="16.5" hidden="1" x14ac:dyDescent="0.35">
      <c r="A278" s="442" t="str">
        <f t="shared" si="8"/>
        <v>B02.00</v>
      </c>
      <c r="B278" s="247" t="s">
        <v>0</v>
      </c>
      <c r="C278" s="331" t="s">
        <v>899</v>
      </c>
      <c r="D278" s="247" t="s">
        <v>16</v>
      </c>
      <c r="E278" s="247" t="s">
        <v>1368</v>
      </c>
      <c r="F278" s="247" t="s">
        <v>891</v>
      </c>
      <c r="G278" s="250" t="s">
        <v>891</v>
      </c>
      <c r="H278" s="250" t="str">
        <f>+IF(C278="Controlos","Não aplicável",
IFERROR(VLOOKUP(A278&amp;"_"&amp;E278,Testes!A:Z,25,FALSE),"Não aplicável"))</f>
        <v>Não aplicável</v>
      </c>
      <c r="I278" s="250" t="str">
        <f>+IF(C278="Controlos",
IFERROR(VLOOKUP(E278,Controlos!B:J,9,FALSE),"Não aplicável"),
IFERROR(VLOOKUP(A278&amp;"_"&amp;E278,Testes!A:Z,26,FALSE),"Não aplicável"))</f>
        <v>Concluído</v>
      </c>
      <c r="J278" s="250" t="s">
        <v>144</v>
      </c>
      <c r="K278" s="247"/>
      <c r="L278" s="247"/>
      <c r="M278" s="247"/>
      <c r="N278" s="108">
        <f t="shared" si="9"/>
        <v>0</v>
      </c>
    </row>
    <row r="279" spans="1:14" ht="16.5" hidden="1" x14ac:dyDescent="0.35">
      <c r="A279" s="442" t="str">
        <f t="shared" si="8"/>
        <v>B02.00</v>
      </c>
      <c r="B279" s="247" t="s">
        <v>0</v>
      </c>
      <c r="C279" s="331" t="s">
        <v>899</v>
      </c>
      <c r="D279" s="247" t="s">
        <v>16</v>
      </c>
      <c r="E279" s="247" t="s">
        <v>1369</v>
      </c>
      <c r="F279" s="247" t="s">
        <v>891</v>
      </c>
      <c r="G279" s="250" t="s">
        <v>891</v>
      </c>
      <c r="H279" s="250" t="str">
        <f>+IF(C279="Controlos","Não aplicável",
IFERROR(VLOOKUP(A279&amp;"_"&amp;E279,Testes!A:Z,25,FALSE),"Não aplicável"))</f>
        <v>Não aplicável</v>
      </c>
      <c r="I279" s="250" t="str">
        <f>+IF(C279="Controlos",
IFERROR(VLOOKUP(E279,Controlos!B:J,9,FALSE),"Não aplicável"),
IFERROR(VLOOKUP(A279&amp;"_"&amp;E279,Testes!A:Z,26,FALSE),"Não aplicável"))</f>
        <v>Concluído</v>
      </c>
      <c r="J279" s="250" t="s">
        <v>144</v>
      </c>
      <c r="K279" s="247"/>
      <c r="L279" s="247"/>
      <c r="M279" s="247"/>
      <c r="N279" s="108">
        <f t="shared" si="9"/>
        <v>0</v>
      </c>
    </row>
    <row r="280" spans="1:14" ht="16.5" hidden="1" x14ac:dyDescent="0.35">
      <c r="A280" s="442" t="str">
        <f t="shared" si="8"/>
        <v>B02.00</v>
      </c>
      <c r="B280" s="247" t="s">
        <v>0</v>
      </c>
      <c r="C280" s="331" t="s">
        <v>899</v>
      </c>
      <c r="D280" s="247" t="s">
        <v>16</v>
      </c>
      <c r="E280" s="247" t="s">
        <v>1161</v>
      </c>
      <c r="F280" s="247" t="s">
        <v>891</v>
      </c>
      <c r="G280" s="250" t="s">
        <v>891</v>
      </c>
      <c r="H280" s="250" t="str">
        <f>+IF(C280="Controlos","Não aplicável",
IFERROR(VLOOKUP(A280&amp;"_"&amp;E280,Testes!A:Z,25,FALSE),"Não aplicável"))</f>
        <v>Não aplicável</v>
      </c>
      <c r="I280" s="250" t="str">
        <f>+IF(C280="Controlos",
IFERROR(VLOOKUP(E280,Controlos!B:J,9,FALSE),"Não aplicável"),
IFERROR(VLOOKUP(A280&amp;"_"&amp;E280,Testes!A:Z,26,FALSE),"Não aplicável"))</f>
        <v>Concluído</v>
      </c>
      <c r="J280" s="250" t="s">
        <v>144</v>
      </c>
      <c r="K280" s="247"/>
      <c r="L280" s="247"/>
      <c r="M280" s="247"/>
      <c r="N280" s="108">
        <f t="shared" si="9"/>
        <v>0</v>
      </c>
    </row>
    <row r="281" spans="1:14" ht="16.5" hidden="1" x14ac:dyDescent="0.35">
      <c r="A281" s="442" t="str">
        <f t="shared" si="8"/>
        <v>B02.00</v>
      </c>
      <c r="B281" s="247" t="s">
        <v>0</v>
      </c>
      <c r="C281" s="331" t="s">
        <v>899</v>
      </c>
      <c r="D281" s="247" t="s">
        <v>16</v>
      </c>
      <c r="E281" s="247" t="s">
        <v>1162</v>
      </c>
      <c r="F281" s="247" t="s">
        <v>891</v>
      </c>
      <c r="G281" s="250" t="s">
        <v>891</v>
      </c>
      <c r="H281" s="250" t="str">
        <f>+IF(C281="Controlos","Não aplicável",
IFERROR(VLOOKUP(A281&amp;"_"&amp;E281,Testes!A:Z,25,FALSE),"Não aplicável"))</f>
        <v>Não aplicável</v>
      </c>
      <c r="I281" s="250" t="str">
        <f>+IF(C281="Controlos",
IFERROR(VLOOKUP(E281,Controlos!B:J,9,FALSE),"Não aplicável"),
IFERROR(VLOOKUP(A281&amp;"_"&amp;E281,Testes!A:Z,26,FALSE),"Não aplicável"))</f>
        <v>Concluído</v>
      </c>
      <c r="J281" s="250" t="s">
        <v>144</v>
      </c>
      <c r="K281" s="247"/>
      <c r="L281" s="247"/>
      <c r="M281" s="247"/>
      <c r="N281" s="108">
        <f t="shared" si="9"/>
        <v>0</v>
      </c>
    </row>
    <row r="282" spans="1:14" ht="16.5" hidden="1" x14ac:dyDescent="0.35">
      <c r="A282" s="442" t="str">
        <f t="shared" si="8"/>
        <v>B02.00</v>
      </c>
      <c r="B282" s="247" t="s">
        <v>0</v>
      </c>
      <c r="C282" s="331" t="s">
        <v>899</v>
      </c>
      <c r="D282" s="247" t="s">
        <v>16</v>
      </c>
      <c r="E282" s="247" t="s">
        <v>1163</v>
      </c>
      <c r="F282" s="247" t="s">
        <v>891</v>
      </c>
      <c r="G282" s="250" t="s">
        <v>891</v>
      </c>
      <c r="H282" s="250" t="str">
        <f>+IF(C282="Controlos","Não aplicável",
IFERROR(VLOOKUP(A282&amp;"_"&amp;E282,Testes!A:Z,25,FALSE),"Não aplicável"))</f>
        <v>Não aplicável</v>
      </c>
      <c r="I282" s="250" t="str">
        <f>+IF(C282="Controlos",
IFERROR(VLOOKUP(E282,Controlos!B:J,9,FALSE),"Não aplicável"),
IFERROR(VLOOKUP(A282&amp;"_"&amp;E282,Testes!A:Z,26,FALSE),"Não aplicável"))</f>
        <v>Concluído</v>
      </c>
      <c r="J282" s="250" t="s">
        <v>144</v>
      </c>
      <c r="K282" s="247"/>
      <c r="L282" s="247"/>
      <c r="M282" s="247"/>
      <c r="N282" s="108">
        <f t="shared" si="9"/>
        <v>0</v>
      </c>
    </row>
    <row r="283" spans="1:14" ht="16.5" hidden="1" x14ac:dyDescent="0.35">
      <c r="A283" s="442" t="str">
        <f t="shared" si="8"/>
        <v>B02.00</v>
      </c>
      <c r="B283" s="247" t="s">
        <v>0</v>
      </c>
      <c r="C283" s="331" t="s">
        <v>899</v>
      </c>
      <c r="D283" s="247" t="s">
        <v>16</v>
      </c>
      <c r="E283" s="247" t="s">
        <v>1164</v>
      </c>
      <c r="F283" s="247" t="s">
        <v>891</v>
      </c>
      <c r="G283" s="250" t="s">
        <v>891</v>
      </c>
      <c r="H283" s="250" t="str">
        <f>+IF(C283="Controlos","Não aplicável",
IFERROR(VLOOKUP(A283&amp;"_"&amp;E283,Testes!A:Z,25,FALSE),"Não aplicável"))</f>
        <v>Não aplicável</v>
      </c>
      <c r="I283" s="250" t="str">
        <f>+IF(C283="Controlos",
IFERROR(VLOOKUP(E283,Controlos!B:J,9,FALSE),"Não aplicável"),
IFERROR(VLOOKUP(A283&amp;"_"&amp;E283,Testes!A:Z,26,FALSE),"Não aplicável"))</f>
        <v>Concluído</v>
      </c>
      <c r="J283" s="250" t="s">
        <v>144</v>
      </c>
      <c r="K283" s="247"/>
      <c r="L283" s="247"/>
      <c r="M283" s="247"/>
      <c r="N283" s="108">
        <f t="shared" si="9"/>
        <v>0</v>
      </c>
    </row>
    <row r="284" spans="1:14" ht="16.5" hidden="1" x14ac:dyDescent="0.35">
      <c r="A284" s="442" t="str">
        <f t="shared" si="8"/>
        <v>B02.00</v>
      </c>
      <c r="B284" s="247" t="s">
        <v>0</v>
      </c>
      <c r="C284" s="331" t="s">
        <v>899</v>
      </c>
      <c r="D284" s="247" t="s">
        <v>16</v>
      </c>
      <c r="E284" s="247" t="s">
        <v>1165</v>
      </c>
      <c r="F284" s="247" t="s">
        <v>891</v>
      </c>
      <c r="G284" s="250" t="s">
        <v>891</v>
      </c>
      <c r="H284" s="250" t="str">
        <f>+IF(C284="Controlos","Não aplicável",
IFERROR(VLOOKUP(A284&amp;"_"&amp;E284,Testes!A:Z,25,FALSE),"Não aplicável"))</f>
        <v>Não aplicável</v>
      </c>
      <c r="I284" s="250" t="str">
        <f>+IF(C284="Controlos",
IFERROR(VLOOKUP(E284,Controlos!B:J,9,FALSE),"Não aplicável"),
IFERROR(VLOOKUP(A284&amp;"_"&amp;E284,Testes!A:Z,26,FALSE),"Não aplicável"))</f>
        <v>Concluído</v>
      </c>
      <c r="J284" s="250" t="s">
        <v>144</v>
      </c>
      <c r="K284" s="247"/>
      <c r="L284" s="247"/>
      <c r="M284" s="247"/>
      <c r="N284" s="108">
        <f t="shared" si="9"/>
        <v>0</v>
      </c>
    </row>
    <row r="285" spans="1:14" ht="16.5" hidden="1" x14ac:dyDescent="0.35">
      <c r="A285" s="442" t="str">
        <f t="shared" si="8"/>
        <v>B02.00</v>
      </c>
      <c r="B285" s="247" t="s">
        <v>0</v>
      </c>
      <c r="C285" s="331" t="s">
        <v>899</v>
      </c>
      <c r="D285" s="247" t="s">
        <v>16</v>
      </c>
      <c r="E285" s="247" t="s">
        <v>1166</v>
      </c>
      <c r="F285" s="247" t="s">
        <v>891</v>
      </c>
      <c r="G285" s="250" t="s">
        <v>891</v>
      </c>
      <c r="H285" s="250" t="str">
        <f>+IF(C285="Controlos","Não aplicável",
IFERROR(VLOOKUP(A285&amp;"_"&amp;E285,Testes!A:Z,25,FALSE),"Não aplicável"))</f>
        <v>Não aplicável</v>
      </c>
      <c r="I285" s="250" t="str">
        <f>+IF(C285="Controlos",
IFERROR(VLOOKUP(E285,Controlos!B:J,9,FALSE),"Não aplicável"),
IFERROR(VLOOKUP(A285&amp;"_"&amp;E285,Testes!A:Z,26,FALSE),"Não aplicável"))</f>
        <v>Concluído</v>
      </c>
      <c r="J285" s="250" t="s">
        <v>144</v>
      </c>
      <c r="K285" s="247"/>
      <c r="L285" s="247"/>
      <c r="M285" s="247"/>
      <c r="N285" s="108">
        <f t="shared" si="9"/>
        <v>0</v>
      </c>
    </row>
    <row r="286" spans="1:14" ht="16.5" hidden="1" x14ac:dyDescent="0.35">
      <c r="A286" s="442" t="str">
        <f t="shared" si="8"/>
        <v>B02.00</v>
      </c>
      <c r="B286" s="247" t="s">
        <v>0</v>
      </c>
      <c r="C286" s="331" t="s">
        <v>899</v>
      </c>
      <c r="D286" s="247" t="s">
        <v>16</v>
      </c>
      <c r="E286" s="247" t="s">
        <v>1167</v>
      </c>
      <c r="F286" s="247" t="s">
        <v>891</v>
      </c>
      <c r="G286" s="250" t="s">
        <v>891</v>
      </c>
      <c r="H286" s="250" t="str">
        <f>+IF(C286="Controlos","Não aplicável",
IFERROR(VLOOKUP(A286&amp;"_"&amp;E286,Testes!A:Z,25,FALSE),"Não aplicável"))</f>
        <v>Não aplicável</v>
      </c>
      <c r="I286" s="250" t="str">
        <f>+IF(C286="Controlos",
IFERROR(VLOOKUP(E286,Controlos!B:J,9,FALSE),"Não aplicável"),
IFERROR(VLOOKUP(A286&amp;"_"&amp;E286,Testes!A:Z,26,FALSE),"Não aplicável"))</f>
        <v>Concluído</v>
      </c>
      <c r="J286" s="250" t="s">
        <v>144</v>
      </c>
      <c r="K286" s="247"/>
      <c r="L286" s="247"/>
      <c r="M286" s="247"/>
      <c r="N286" s="108">
        <f t="shared" si="9"/>
        <v>0</v>
      </c>
    </row>
    <row r="287" spans="1:14" ht="16.5" hidden="1" x14ac:dyDescent="0.35">
      <c r="A287" s="442" t="str">
        <f t="shared" si="8"/>
        <v>B02.00</v>
      </c>
      <c r="B287" s="247" t="s">
        <v>0</v>
      </c>
      <c r="C287" s="331" t="s">
        <v>899</v>
      </c>
      <c r="D287" s="247" t="s">
        <v>16</v>
      </c>
      <c r="E287" s="247" t="s">
        <v>1168</v>
      </c>
      <c r="F287" s="247" t="s">
        <v>891</v>
      </c>
      <c r="G287" s="250" t="s">
        <v>891</v>
      </c>
      <c r="H287" s="250" t="str">
        <f>+IF(C287="Controlos","Não aplicável",
IFERROR(VLOOKUP(A287&amp;"_"&amp;E287,Testes!A:Z,25,FALSE),"Não aplicável"))</f>
        <v>Não aplicável</v>
      </c>
      <c r="I287" s="250" t="str">
        <f>+IF(C287="Controlos",
IFERROR(VLOOKUP(E287,Controlos!B:J,9,FALSE),"Não aplicável"),
IFERROR(VLOOKUP(A287&amp;"_"&amp;E287,Testes!A:Z,26,FALSE),"Não aplicável"))</f>
        <v>Concluído</v>
      </c>
      <c r="J287" s="250" t="s">
        <v>144</v>
      </c>
      <c r="K287" s="247"/>
      <c r="L287" s="247"/>
      <c r="M287" s="247"/>
      <c r="N287" s="108">
        <f t="shared" si="9"/>
        <v>0</v>
      </c>
    </row>
    <row r="288" spans="1:14" ht="16.5" hidden="1" x14ac:dyDescent="0.35">
      <c r="A288" s="442" t="str">
        <f t="shared" si="8"/>
        <v>B02.00</v>
      </c>
      <c r="B288" s="247" t="s">
        <v>0</v>
      </c>
      <c r="C288" s="331" t="s">
        <v>899</v>
      </c>
      <c r="D288" s="247" t="s">
        <v>16</v>
      </c>
      <c r="E288" s="247" t="s">
        <v>1151</v>
      </c>
      <c r="F288" s="247" t="s">
        <v>891</v>
      </c>
      <c r="G288" s="250" t="s">
        <v>891</v>
      </c>
      <c r="H288" s="250" t="str">
        <f>+IF(C288="Controlos","Não aplicável",
IFERROR(VLOOKUP(A288&amp;"_"&amp;E288,Testes!A:Z,25,FALSE),"Não aplicável"))</f>
        <v>Não aplicável</v>
      </c>
      <c r="I288" s="250" t="str">
        <f>+IF(C288="Controlos",
IFERROR(VLOOKUP(E288,Controlos!B:J,9,FALSE),"Não aplicável"),
IFERROR(VLOOKUP(A288&amp;"_"&amp;E288,Testes!A:Z,26,FALSE),"Não aplicável"))</f>
        <v>Concluído</v>
      </c>
      <c r="J288" s="250" t="s">
        <v>144</v>
      </c>
      <c r="K288" s="247"/>
      <c r="L288" s="247"/>
      <c r="M288" s="247"/>
      <c r="N288" s="108">
        <f t="shared" si="9"/>
        <v>0</v>
      </c>
    </row>
    <row r="289" spans="1:14" ht="16.5" hidden="1" x14ac:dyDescent="0.35">
      <c r="A289" s="442" t="str">
        <f t="shared" si="8"/>
        <v>B02.00</v>
      </c>
      <c r="B289" s="247" t="s">
        <v>0</v>
      </c>
      <c r="C289" s="331" t="s">
        <v>899</v>
      </c>
      <c r="D289" s="247" t="s">
        <v>16</v>
      </c>
      <c r="E289" s="247" t="s">
        <v>1153</v>
      </c>
      <c r="F289" s="247" t="s">
        <v>891</v>
      </c>
      <c r="G289" s="250" t="s">
        <v>891</v>
      </c>
      <c r="H289" s="250" t="str">
        <f>+IF(C289="Controlos","Não aplicável",
IFERROR(VLOOKUP(A289&amp;"_"&amp;E289,Testes!A:Z,25,FALSE),"Não aplicável"))</f>
        <v>Não aplicável</v>
      </c>
      <c r="I289" s="250" t="str">
        <f>+IF(C289="Controlos",
IFERROR(VLOOKUP(E289,Controlos!B:J,9,FALSE),"Não aplicável"),
IFERROR(VLOOKUP(A289&amp;"_"&amp;E289,Testes!A:Z,26,FALSE),"Não aplicável"))</f>
        <v>Concluído</v>
      </c>
      <c r="J289" s="250" t="s">
        <v>144</v>
      </c>
      <c r="K289" s="247"/>
      <c r="L289" s="247"/>
      <c r="M289" s="247"/>
      <c r="N289" s="108">
        <f t="shared" si="9"/>
        <v>0</v>
      </c>
    </row>
    <row r="290" spans="1:14" ht="16.5" hidden="1" x14ac:dyDescent="0.35">
      <c r="A290" s="442" t="str">
        <f t="shared" si="8"/>
        <v>B02.00</v>
      </c>
      <c r="B290" s="247" t="s">
        <v>0</v>
      </c>
      <c r="C290" s="331" t="s">
        <v>899</v>
      </c>
      <c r="D290" s="247" t="s">
        <v>16</v>
      </c>
      <c r="E290" s="247" t="s">
        <v>1154</v>
      </c>
      <c r="F290" s="247" t="s">
        <v>891</v>
      </c>
      <c r="G290" s="250" t="s">
        <v>891</v>
      </c>
      <c r="H290" s="250" t="str">
        <f>+IF(C290="Controlos","Não aplicável",
IFERROR(VLOOKUP(A290&amp;"_"&amp;E290,Testes!A:Z,25,FALSE),"Não aplicável"))</f>
        <v>Não aplicável</v>
      </c>
      <c r="I290" s="250" t="str">
        <f>+IF(C290="Controlos",
IFERROR(VLOOKUP(E290,Controlos!B:J,9,FALSE),"Não aplicável"),
IFERROR(VLOOKUP(A290&amp;"_"&amp;E290,Testes!A:Z,26,FALSE),"Não aplicável"))</f>
        <v>Concluído</v>
      </c>
      <c r="J290" s="250" t="s">
        <v>144</v>
      </c>
      <c r="K290" s="247"/>
      <c r="L290" s="247"/>
      <c r="M290" s="247"/>
      <c r="N290" s="108">
        <f t="shared" si="9"/>
        <v>0</v>
      </c>
    </row>
    <row r="291" spans="1:14" ht="16.5" hidden="1" x14ac:dyDescent="0.35">
      <c r="A291" s="442" t="str">
        <f t="shared" si="8"/>
        <v>B05.00</v>
      </c>
      <c r="B291" s="247" t="s">
        <v>813</v>
      </c>
      <c r="C291" s="247" t="s">
        <v>812</v>
      </c>
      <c r="D291" s="247" t="s">
        <v>831</v>
      </c>
      <c r="E291" s="247" t="s">
        <v>17</v>
      </c>
      <c r="F291" s="247" t="s">
        <v>143</v>
      </c>
      <c r="G291" s="250" t="s">
        <v>144</v>
      </c>
      <c r="H291" s="250" t="str">
        <f>+IF(C291="Controlos","Não aplicável",
IFERROR(VLOOKUP(A291&amp;"_"&amp;E291,Testes!A:Z,25,FALSE),"Não aplicável"))</f>
        <v>Concluído</v>
      </c>
      <c r="I291" s="250" t="str">
        <f>+IF(C291="Controlos",
IFERROR(VLOOKUP(E291,Controlos!B:J,9,FALSE),"Não aplicável"),
IFERROR(VLOOKUP(A291&amp;"_"&amp;E291,Testes!A:Z,26,FALSE),"Não aplicável"))</f>
        <v>Concluído</v>
      </c>
      <c r="J291" s="250" t="s">
        <v>144</v>
      </c>
      <c r="K291" s="247"/>
      <c r="L291" s="247"/>
      <c r="M291" s="247"/>
      <c r="N291" s="108">
        <f t="shared" si="9"/>
        <v>0</v>
      </c>
    </row>
    <row r="292" spans="1:14" ht="16.5" hidden="1" x14ac:dyDescent="0.35">
      <c r="A292" s="442" t="str">
        <f t="shared" si="8"/>
        <v>B05.00</v>
      </c>
      <c r="B292" s="247" t="s">
        <v>813</v>
      </c>
      <c r="C292" s="247" t="s">
        <v>812</v>
      </c>
      <c r="D292" s="247" t="s">
        <v>831</v>
      </c>
      <c r="E292" s="247" t="s">
        <v>817</v>
      </c>
      <c r="F292" s="247" t="s">
        <v>154</v>
      </c>
      <c r="G292" s="250" t="s">
        <v>144</v>
      </c>
      <c r="H292" s="250" t="str">
        <f>+IF(C292="Controlos","Não aplicável",
IFERROR(VLOOKUP(A292&amp;"_"&amp;E292,Testes!A:Z,25,FALSE),"Não aplicável"))</f>
        <v>Concluído</v>
      </c>
      <c r="I292" s="250" t="str">
        <f>+IF(C292="Controlos",
IFERROR(VLOOKUP(E292,Controlos!B:J,9,FALSE),"Não aplicável"),
IFERROR(VLOOKUP(A292&amp;"_"&amp;E292,Testes!A:Z,26,FALSE),"Não aplicável"))</f>
        <v>Concluído</v>
      </c>
      <c r="J292" s="250" t="s">
        <v>144</v>
      </c>
      <c r="K292" s="247"/>
      <c r="L292" s="247"/>
      <c r="M292" s="247"/>
      <c r="N292" s="108">
        <f t="shared" si="9"/>
        <v>0</v>
      </c>
    </row>
    <row r="293" spans="1:14" ht="16.5" hidden="1" x14ac:dyDescent="0.35">
      <c r="A293" s="442" t="str">
        <f t="shared" si="8"/>
        <v>B05.00</v>
      </c>
      <c r="B293" s="247" t="s">
        <v>813</v>
      </c>
      <c r="C293" s="247" t="s">
        <v>812</v>
      </c>
      <c r="D293" s="247" t="s">
        <v>831</v>
      </c>
      <c r="E293" s="247" t="s">
        <v>818</v>
      </c>
      <c r="F293" s="247" t="s">
        <v>143</v>
      </c>
      <c r="G293" s="250" t="s">
        <v>144</v>
      </c>
      <c r="H293" s="250" t="str">
        <f>+IF(C293="Controlos","Não aplicável",
IFERROR(VLOOKUP(A293&amp;"_"&amp;E293,Testes!A:Z,25,FALSE),"Não aplicável"))</f>
        <v>Concluído</v>
      </c>
      <c r="I293" s="250" t="str">
        <f>+IF(C293="Controlos",
IFERROR(VLOOKUP(E293,Controlos!B:J,9,FALSE),"Não aplicável"),
IFERROR(VLOOKUP(A293&amp;"_"&amp;E293,Testes!A:Z,26,FALSE),"Não aplicável"))</f>
        <v>Concluído</v>
      </c>
      <c r="J293" s="250" t="s">
        <v>144</v>
      </c>
      <c r="K293" s="247"/>
      <c r="L293" s="247"/>
      <c r="M293" s="247"/>
      <c r="N293" s="108">
        <f t="shared" si="9"/>
        <v>0</v>
      </c>
    </row>
    <row r="294" spans="1:14" ht="16.5" hidden="1" x14ac:dyDescent="0.35">
      <c r="A294" s="442" t="str">
        <f t="shared" si="8"/>
        <v>B05.00</v>
      </c>
      <c r="B294" s="247" t="s">
        <v>813</v>
      </c>
      <c r="C294" s="247" t="s">
        <v>812</v>
      </c>
      <c r="D294" s="247" t="s">
        <v>831</v>
      </c>
      <c r="E294" s="247" t="s">
        <v>819</v>
      </c>
      <c r="F294" s="247" t="s">
        <v>143</v>
      </c>
      <c r="G294" s="250" t="s">
        <v>144</v>
      </c>
      <c r="H294" s="250" t="str">
        <f>+IF(C294="Controlos","Não aplicável",
IFERROR(VLOOKUP(A294&amp;"_"&amp;E294,Testes!A:Z,25,FALSE),"Não aplicável"))</f>
        <v>Concluído</v>
      </c>
      <c r="I294" s="250" t="str">
        <f>+IF(C294="Controlos",
IFERROR(VLOOKUP(E294,Controlos!B:J,9,FALSE),"Não aplicável"),
IFERROR(VLOOKUP(A294&amp;"_"&amp;E294,Testes!A:Z,26,FALSE),"Não aplicável"))</f>
        <v>Concluído</v>
      </c>
      <c r="J294" s="250" t="s">
        <v>144</v>
      </c>
      <c r="K294" s="247"/>
      <c r="L294" s="247"/>
      <c r="M294" s="247"/>
      <c r="N294" s="108">
        <f t="shared" si="9"/>
        <v>0</v>
      </c>
    </row>
    <row r="295" spans="1:14" ht="16.5" hidden="1" x14ac:dyDescent="0.35">
      <c r="A295" s="442" t="str">
        <f t="shared" si="8"/>
        <v>B05.00</v>
      </c>
      <c r="B295" s="247" t="s">
        <v>813</v>
      </c>
      <c r="C295" s="247" t="s">
        <v>812</v>
      </c>
      <c r="D295" s="247" t="s">
        <v>831</v>
      </c>
      <c r="E295" s="247" t="s">
        <v>820</v>
      </c>
      <c r="F295" s="247" t="s">
        <v>143</v>
      </c>
      <c r="G295" s="250" t="s">
        <v>144</v>
      </c>
      <c r="H295" s="250" t="str">
        <f>+IF(C295="Controlos","Não aplicável",
IFERROR(VLOOKUP(A295&amp;"_"&amp;E295,Testes!A:Z,25,FALSE),"Não aplicável"))</f>
        <v>Concluído</v>
      </c>
      <c r="I295" s="250" t="str">
        <f>+IF(C295="Controlos",
IFERROR(VLOOKUP(E295,Controlos!B:J,9,FALSE),"Não aplicável"),
IFERROR(VLOOKUP(A295&amp;"_"&amp;E295,Testes!A:Z,26,FALSE),"Não aplicável"))</f>
        <v>Concluído</v>
      </c>
      <c r="J295" s="250" t="s">
        <v>144</v>
      </c>
      <c r="K295" s="247"/>
      <c r="L295" s="247"/>
      <c r="M295" s="247"/>
      <c r="N295" s="108">
        <f t="shared" si="9"/>
        <v>0</v>
      </c>
    </row>
    <row r="296" spans="1:14" ht="16.5" hidden="1" x14ac:dyDescent="0.35">
      <c r="A296" s="442" t="str">
        <f t="shared" si="8"/>
        <v>B05.00</v>
      </c>
      <c r="B296" s="247" t="s">
        <v>813</v>
      </c>
      <c r="C296" s="247" t="s">
        <v>812</v>
      </c>
      <c r="D296" s="247" t="s">
        <v>831</v>
      </c>
      <c r="E296" s="247" t="s">
        <v>821</v>
      </c>
      <c r="F296" s="247" t="s">
        <v>154</v>
      </c>
      <c r="G296" s="250" t="s">
        <v>144</v>
      </c>
      <c r="H296" s="250" t="str">
        <f>+IF(C296="Controlos","Não aplicável",
IFERROR(VLOOKUP(A296&amp;"_"&amp;E296,Testes!A:Z,25,FALSE),"Não aplicável"))</f>
        <v>Concluído</v>
      </c>
      <c r="I296" s="250" t="str">
        <f>+IF(C296="Controlos",
IFERROR(VLOOKUP(E296,Controlos!B:J,9,FALSE),"Não aplicável"),
IFERROR(VLOOKUP(A296&amp;"_"&amp;E296,Testes!A:Z,26,FALSE),"Não aplicável"))</f>
        <v>Concluído</v>
      </c>
      <c r="J296" s="250" t="s">
        <v>144</v>
      </c>
      <c r="K296" s="247"/>
      <c r="L296" s="247"/>
      <c r="M296" s="247"/>
      <c r="N296" s="108">
        <f t="shared" si="9"/>
        <v>0</v>
      </c>
    </row>
    <row r="297" spans="1:14" ht="16.5" hidden="1" x14ac:dyDescent="0.35">
      <c r="A297" s="442" t="str">
        <f t="shared" si="8"/>
        <v>B05.00</v>
      </c>
      <c r="B297" s="247" t="s">
        <v>813</v>
      </c>
      <c r="C297" s="247" t="s">
        <v>812</v>
      </c>
      <c r="D297" s="247" t="s">
        <v>831</v>
      </c>
      <c r="E297" s="247" t="s">
        <v>822</v>
      </c>
      <c r="F297" s="247" t="s">
        <v>176</v>
      </c>
      <c r="G297" s="250" t="s">
        <v>144</v>
      </c>
      <c r="H297" s="250" t="str">
        <f>+IF(C297="Controlos","Não aplicável",
IFERROR(VLOOKUP(A297&amp;"_"&amp;E297,Testes!A:Z,25,FALSE),"Não aplicável"))</f>
        <v>Não Concluído</v>
      </c>
      <c r="I297" s="250" t="str">
        <f>+IF(C297="Controlos",
IFERROR(VLOOKUP(E297,Controlos!B:J,9,FALSE),"Não aplicável"),
IFERROR(VLOOKUP(A297&amp;"_"&amp;E297,Testes!A:Z,26,FALSE),"Não aplicável"))</f>
        <v>Pendente de desenvolv.</v>
      </c>
      <c r="J297" s="250" t="s">
        <v>873</v>
      </c>
      <c r="K297" s="247"/>
      <c r="L297" s="247"/>
      <c r="M297" s="247"/>
      <c r="N297" s="108">
        <f t="shared" si="9"/>
        <v>0</v>
      </c>
    </row>
    <row r="298" spans="1:14" ht="16.5" hidden="1" x14ac:dyDescent="0.35">
      <c r="A298" s="442" t="str">
        <f t="shared" si="8"/>
        <v>B05.00</v>
      </c>
      <c r="B298" s="247" t="s">
        <v>813</v>
      </c>
      <c r="C298" s="247" t="s">
        <v>812</v>
      </c>
      <c r="D298" s="247" t="s">
        <v>831</v>
      </c>
      <c r="E298" s="247" t="s">
        <v>823</v>
      </c>
      <c r="F298" s="247" t="s">
        <v>143</v>
      </c>
      <c r="G298" s="250" t="s">
        <v>144</v>
      </c>
      <c r="H298" s="250" t="str">
        <f>+IF(C298="Controlos","Não aplicável",
IFERROR(VLOOKUP(A298&amp;"_"&amp;E298,Testes!A:Z,25,FALSE),"Não aplicável"))</f>
        <v>Concluído</v>
      </c>
      <c r="I298" s="250" t="str">
        <f>+IF(C298="Controlos",
IFERROR(VLOOKUP(E298,Controlos!B:J,9,FALSE),"Não aplicável"),
IFERROR(VLOOKUP(A298&amp;"_"&amp;E298,Testes!A:Z,26,FALSE),"Não aplicável"))</f>
        <v>Concluído</v>
      </c>
      <c r="J298" s="250" t="s">
        <v>144</v>
      </c>
      <c r="K298" s="247"/>
      <c r="L298" s="247"/>
      <c r="M298" s="247"/>
      <c r="N298" s="108">
        <f t="shared" si="9"/>
        <v>0</v>
      </c>
    </row>
    <row r="299" spans="1:14" ht="16.5" hidden="1" x14ac:dyDescent="0.35">
      <c r="A299" s="442" t="str">
        <f t="shared" si="8"/>
        <v>B05.00</v>
      </c>
      <c r="B299" s="247" t="s">
        <v>813</v>
      </c>
      <c r="C299" s="247" t="s">
        <v>812</v>
      </c>
      <c r="D299" s="247" t="s">
        <v>831</v>
      </c>
      <c r="E299" s="247" t="s">
        <v>824</v>
      </c>
      <c r="F299" s="247" t="s">
        <v>143</v>
      </c>
      <c r="G299" s="250" t="s">
        <v>144</v>
      </c>
      <c r="H299" s="250" t="str">
        <f>+IF(C299="Controlos","Não aplicável",
IFERROR(VLOOKUP(A299&amp;"_"&amp;E299,Testes!A:Z,25,FALSE),"Não aplicável"))</f>
        <v>Concluído</v>
      </c>
      <c r="I299" s="250" t="str">
        <f>+IF(C299="Controlos",
IFERROR(VLOOKUP(E299,Controlos!B:J,9,FALSE),"Não aplicável"),
IFERROR(VLOOKUP(A299&amp;"_"&amp;E299,Testes!A:Z,26,FALSE),"Não aplicável"))</f>
        <v>Concluído</v>
      </c>
      <c r="J299" s="250" t="s">
        <v>144</v>
      </c>
      <c r="K299" s="247"/>
      <c r="L299" s="247"/>
      <c r="M299" s="247"/>
      <c r="N299" s="108">
        <f t="shared" si="9"/>
        <v>0</v>
      </c>
    </row>
    <row r="300" spans="1:14" ht="16.5" hidden="1" x14ac:dyDescent="0.35">
      <c r="A300" s="442" t="str">
        <f t="shared" si="8"/>
        <v>B05.00</v>
      </c>
      <c r="B300" s="247" t="s">
        <v>813</v>
      </c>
      <c r="C300" s="247" t="s">
        <v>812</v>
      </c>
      <c r="D300" s="247" t="s">
        <v>831</v>
      </c>
      <c r="E300" s="247" t="s">
        <v>825</v>
      </c>
      <c r="F300" s="247" t="s">
        <v>231</v>
      </c>
      <c r="G300" s="250" t="s">
        <v>198</v>
      </c>
      <c r="H300" s="250" t="str">
        <f>+IF(C300="Controlos","Não aplicável",
IFERROR(VLOOKUP(A300&amp;"_"&amp;E300,Testes!A:Z,25,FALSE),"Não aplicável"))</f>
        <v>Concluído</v>
      </c>
      <c r="I300" s="250" t="str">
        <f>+IF(C300="Controlos",
IFERROR(VLOOKUP(E300,Controlos!B:J,9,FALSE),"Não aplicável"),
IFERROR(VLOOKUP(A300&amp;"_"&amp;E300,Testes!A:Z,26,FALSE),"Não aplicável"))</f>
        <v>Concluído</v>
      </c>
      <c r="J300" s="250" t="s">
        <v>144</v>
      </c>
      <c r="K300" s="247"/>
      <c r="L300" s="247"/>
      <c r="M300" s="247"/>
      <c r="N300" s="108">
        <f t="shared" si="9"/>
        <v>0</v>
      </c>
    </row>
    <row r="301" spans="1:14" ht="16.5" hidden="1" x14ac:dyDescent="0.35">
      <c r="A301" s="442" t="str">
        <f t="shared" si="8"/>
        <v>B05.00</v>
      </c>
      <c r="B301" s="247" t="s">
        <v>813</v>
      </c>
      <c r="C301" s="247" t="s">
        <v>812</v>
      </c>
      <c r="D301" s="247" t="s">
        <v>831</v>
      </c>
      <c r="E301" s="247" t="s">
        <v>826</v>
      </c>
      <c r="F301" s="247" t="s">
        <v>143</v>
      </c>
      <c r="G301" s="250" t="s">
        <v>144</v>
      </c>
      <c r="H301" s="250" t="str">
        <f>+IF(C301="Controlos","Não aplicável",
IFERROR(VLOOKUP(A301&amp;"_"&amp;E301,Testes!A:Z,25,FALSE),"Não aplicável"))</f>
        <v>Concluído</v>
      </c>
      <c r="I301" s="250" t="str">
        <f>+IF(C301="Controlos",
IFERROR(VLOOKUP(E301,Controlos!B:J,9,FALSE),"Não aplicável"),
IFERROR(VLOOKUP(A301&amp;"_"&amp;E301,Testes!A:Z,26,FALSE),"Não aplicável"))</f>
        <v>Concluído</v>
      </c>
      <c r="J301" s="250" t="s">
        <v>144</v>
      </c>
      <c r="K301" s="247"/>
      <c r="L301" s="247"/>
      <c r="M301" s="247"/>
      <c r="N301" s="108">
        <f t="shared" si="9"/>
        <v>0</v>
      </c>
    </row>
    <row r="302" spans="1:14" ht="16.5" hidden="1" x14ac:dyDescent="0.35">
      <c r="A302" s="442" t="str">
        <f t="shared" si="8"/>
        <v>B05.00</v>
      </c>
      <c r="B302" s="247" t="s">
        <v>813</v>
      </c>
      <c r="C302" s="247" t="s">
        <v>812</v>
      </c>
      <c r="D302" s="247" t="s">
        <v>831</v>
      </c>
      <c r="E302" s="247" t="s">
        <v>827</v>
      </c>
      <c r="F302" s="247" t="s">
        <v>143</v>
      </c>
      <c r="G302" s="250" t="s">
        <v>144</v>
      </c>
      <c r="H302" s="250" t="str">
        <f>+IF(C302="Controlos","Não aplicável",
IFERROR(VLOOKUP(A302&amp;"_"&amp;E302,Testes!A:Z,25,FALSE),"Não aplicável"))</f>
        <v>Concluído</v>
      </c>
      <c r="I302" s="250" t="str">
        <f>+IF(C302="Controlos",
IFERROR(VLOOKUP(E302,Controlos!B:J,9,FALSE),"Não aplicável"),
IFERROR(VLOOKUP(A302&amp;"_"&amp;E302,Testes!A:Z,26,FALSE),"Não aplicável"))</f>
        <v>Concluído</v>
      </c>
      <c r="J302" s="250" t="s">
        <v>144</v>
      </c>
      <c r="K302" s="247"/>
      <c r="L302" s="247"/>
      <c r="M302" s="247"/>
      <c r="N302" s="108">
        <f t="shared" si="9"/>
        <v>0</v>
      </c>
    </row>
    <row r="303" spans="1:14" ht="16.5" hidden="1" x14ac:dyDescent="0.35">
      <c r="A303" s="442" t="str">
        <f t="shared" si="8"/>
        <v>B05.00</v>
      </c>
      <c r="B303" s="247" t="s">
        <v>813</v>
      </c>
      <c r="C303" s="247" t="s">
        <v>812</v>
      </c>
      <c r="D303" s="247" t="s">
        <v>831</v>
      </c>
      <c r="E303" s="247" t="s">
        <v>828</v>
      </c>
      <c r="F303" s="247" t="s">
        <v>143</v>
      </c>
      <c r="G303" s="250" t="s">
        <v>144</v>
      </c>
      <c r="H303" s="250" t="str">
        <f>+IF(C303="Controlos","Não aplicável",
IFERROR(VLOOKUP(A303&amp;"_"&amp;E303,Testes!A:Z,25,FALSE),"Não aplicável"))</f>
        <v>Concluído</v>
      </c>
      <c r="I303" s="250" t="str">
        <f>+IF(C303="Controlos",
IFERROR(VLOOKUP(E303,Controlos!B:J,9,FALSE),"Não aplicável"),
IFERROR(VLOOKUP(A303&amp;"_"&amp;E303,Testes!A:Z,26,FALSE),"Não aplicável"))</f>
        <v>Concluído</v>
      </c>
      <c r="J303" s="250" t="s">
        <v>144</v>
      </c>
      <c r="K303" s="247"/>
      <c r="L303" s="247"/>
      <c r="M303" s="247"/>
      <c r="N303" s="108">
        <f t="shared" si="9"/>
        <v>0</v>
      </c>
    </row>
    <row r="304" spans="1:14" ht="16.5" hidden="1" x14ac:dyDescent="0.35">
      <c r="A304" s="442" t="str">
        <f t="shared" si="8"/>
        <v>B05.00</v>
      </c>
      <c r="B304" s="247" t="s">
        <v>813</v>
      </c>
      <c r="C304" s="247" t="s">
        <v>812</v>
      </c>
      <c r="D304" s="247" t="s">
        <v>831</v>
      </c>
      <c r="E304" s="247" t="s">
        <v>829</v>
      </c>
      <c r="F304" s="247" t="s">
        <v>143</v>
      </c>
      <c r="G304" s="250" t="s">
        <v>144</v>
      </c>
      <c r="H304" s="250" t="str">
        <f>+IF(C304="Controlos","Não aplicável",
IFERROR(VLOOKUP(A304&amp;"_"&amp;E304,Testes!A:Z,25,FALSE),"Não aplicável"))</f>
        <v>Concluído</v>
      </c>
      <c r="I304" s="250" t="str">
        <f>+IF(C304="Controlos",
IFERROR(VLOOKUP(E304,Controlos!B:J,9,FALSE),"Não aplicável"),
IFERROR(VLOOKUP(A304&amp;"_"&amp;E304,Testes!A:Z,26,FALSE),"Não aplicável"))</f>
        <v>Concluído</v>
      </c>
      <c r="J304" s="250" t="s">
        <v>144</v>
      </c>
      <c r="K304" s="247"/>
      <c r="L304" s="247"/>
      <c r="M304" s="247"/>
      <c r="N304" s="108">
        <f t="shared" si="9"/>
        <v>0</v>
      </c>
    </row>
    <row r="305" spans="1:14" ht="16.5" hidden="1" x14ac:dyDescent="0.35">
      <c r="A305" s="442" t="str">
        <f t="shared" si="8"/>
        <v>B05.00</v>
      </c>
      <c r="B305" s="247" t="s">
        <v>813</v>
      </c>
      <c r="C305" s="247" t="s">
        <v>812</v>
      </c>
      <c r="D305" s="247" t="s">
        <v>831</v>
      </c>
      <c r="E305" s="247" t="s">
        <v>830</v>
      </c>
      <c r="F305" s="247" t="s">
        <v>143</v>
      </c>
      <c r="G305" s="250" t="s">
        <v>144</v>
      </c>
      <c r="H305" s="250" t="str">
        <f>+IF(C305="Controlos","Não aplicável",
IFERROR(VLOOKUP(A305&amp;"_"&amp;E305,Testes!A:Z,25,FALSE),"Não aplicável"))</f>
        <v>Concluído</v>
      </c>
      <c r="I305" s="250" t="str">
        <f>+IF(C305="Controlos",
IFERROR(VLOOKUP(E305,Controlos!B:J,9,FALSE),"Não aplicável"),
IFERROR(VLOOKUP(A305&amp;"_"&amp;E305,Testes!A:Z,26,FALSE),"Não aplicável"))</f>
        <v>Concluído</v>
      </c>
      <c r="J305" s="250" t="s">
        <v>144</v>
      </c>
      <c r="K305" s="247"/>
      <c r="L305" s="247"/>
      <c r="M305" s="247"/>
      <c r="N305" s="108">
        <f t="shared" si="9"/>
        <v>0</v>
      </c>
    </row>
    <row r="306" spans="1:14" ht="16.5" hidden="1" x14ac:dyDescent="0.35">
      <c r="A306" s="442" t="str">
        <f t="shared" si="8"/>
        <v>B05.00</v>
      </c>
      <c r="B306" s="247" t="s">
        <v>813</v>
      </c>
      <c r="C306" s="364" t="s">
        <v>899</v>
      </c>
      <c r="D306" s="363" t="s">
        <v>831</v>
      </c>
      <c r="E306" s="363" t="s">
        <v>1095</v>
      </c>
      <c r="F306" s="363" t="s">
        <v>891</v>
      </c>
      <c r="G306" s="365" t="s">
        <v>891</v>
      </c>
      <c r="H306" s="250" t="str">
        <f>+IF(C306="Controlos","Não aplicável",
IFERROR(VLOOKUP(A306&amp;"_"&amp;E306,Testes!A:Z,25,FALSE),"Não aplicável"))</f>
        <v>Não aplicável</v>
      </c>
      <c r="I306" s="250" t="str">
        <f>+IF(C306="Controlos",
IFERROR(VLOOKUP(E306,Controlos!B:J,9,FALSE),"Não aplicável"),
IFERROR(VLOOKUP(A306&amp;"_"&amp;E306,Testes!A:Z,26,FALSE),"Não aplicável"))</f>
        <v>Concluído</v>
      </c>
      <c r="J306" s="250" t="s">
        <v>144</v>
      </c>
      <c r="K306" s="247"/>
      <c r="L306" s="363"/>
      <c r="M306" s="363"/>
      <c r="N306" s="108">
        <f t="shared" si="9"/>
        <v>0</v>
      </c>
    </row>
    <row r="307" spans="1:14" ht="16.5" hidden="1" x14ac:dyDescent="0.35">
      <c r="A307" s="442" t="str">
        <f t="shared" si="8"/>
        <v>B05.00</v>
      </c>
      <c r="B307" s="247" t="s">
        <v>813</v>
      </c>
      <c r="C307" s="364" t="s">
        <v>899</v>
      </c>
      <c r="D307" s="363" t="s">
        <v>831</v>
      </c>
      <c r="E307" s="363" t="s">
        <v>1096</v>
      </c>
      <c r="F307" s="363" t="s">
        <v>891</v>
      </c>
      <c r="G307" s="365" t="s">
        <v>891</v>
      </c>
      <c r="H307" s="250" t="str">
        <f>+IF(C307="Controlos","Não aplicável",
IFERROR(VLOOKUP(A307&amp;"_"&amp;E307,Testes!A:Z,25,FALSE),"Não aplicável"))</f>
        <v>Não aplicável</v>
      </c>
      <c r="I307" s="250" t="str">
        <f>+IF(C307="Controlos",
IFERROR(VLOOKUP(E307,Controlos!B:J,9,FALSE),"Não aplicável"),
IFERROR(VLOOKUP(A307&amp;"_"&amp;E307,Testes!A:Z,26,FALSE),"Não aplicável"))</f>
        <v>Concluído</v>
      </c>
      <c r="J307" s="250" t="s">
        <v>144</v>
      </c>
      <c r="K307" s="247"/>
      <c r="L307" s="363"/>
      <c r="M307" s="363"/>
      <c r="N307" s="108">
        <f t="shared" si="9"/>
        <v>0</v>
      </c>
    </row>
    <row r="308" spans="1:14" ht="16.5" hidden="1" x14ac:dyDescent="0.35">
      <c r="A308" s="442" t="str">
        <f t="shared" si="8"/>
        <v>B05.00</v>
      </c>
      <c r="B308" s="247" t="s">
        <v>813</v>
      </c>
      <c r="C308" s="364" t="s">
        <v>899</v>
      </c>
      <c r="D308" s="363" t="s">
        <v>831</v>
      </c>
      <c r="E308" s="363" t="s">
        <v>1097</v>
      </c>
      <c r="F308" s="363" t="s">
        <v>891</v>
      </c>
      <c r="G308" s="365" t="s">
        <v>891</v>
      </c>
      <c r="H308" s="250" t="str">
        <f>+IF(C308="Controlos","Não aplicável",
IFERROR(VLOOKUP(A308&amp;"_"&amp;E308,Testes!A:Z,25,FALSE),"Não aplicável"))</f>
        <v>Não aplicável</v>
      </c>
      <c r="I308" s="250" t="str">
        <f>+IF(C308="Controlos",
IFERROR(VLOOKUP(E308,Controlos!B:J,9,FALSE),"Não aplicável"),
IFERROR(VLOOKUP(A308&amp;"_"&amp;E308,Testes!A:Z,26,FALSE),"Não aplicável"))</f>
        <v>Concluído</v>
      </c>
      <c r="J308" s="250" t="s">
        <v>144</v>
      </c>
      <c r="K308" s="247"/>
      <c r="L308" s="363"/>
      <c r="M308" s="363"/>
      <c r="N308" s="108">
        <f t="shared" si="9"/>
        <v>0</v>
      </c>
    </row>
    <row r="309" spans="1:14" ht="16.5" hidden="1" x14ac:dyDescent="0.35">
      <c r="A309" s="442" t="str">
        <f t="shared" si="8"/>
        <v>B05.00</v>
      </c>
      <c r="B309" s="247" t="s">
        <v>813</v>
      </c>
      <c r="C309" s="364" t="s">
        <v>899</v>
      </c>
      <c r="D309" s="363" t="s">
        <v>831</v>
      </c>
      <c r="E309" s="363" t="s">
        <v>1098</v>
      </c>
      <c r="F309" s="363" t="s">
        <v>891</v>
      </c>
      <c r="G309" s="365" t="s">
        <v>891</v>
      </c>
      <c r="H309" s="250" t="str">
        <f>+IF(C309="Controlos","Não aplicável",
IFERROR(VLOOKUP(A309&amp;"_"&amp;E309,Testes!A:Z,25,FALSE),"Não aplicável"))</f>
        <v>Não aplicável</v>
      </c>
      <c r="I309" s="250" t="str">
        <f>+IF(C309="Controlos",
IFERROR(VLOOKUP(E309,Controlos!B:J,9,FALSE),"Não aplicável"),
IFERROR(VLOOKUP(A309&amp;"_"&amp;E309,Testes!A:Z,26,FALSE),"Não aplicável"))</f>
        <v>Concluído</v>
      </c>
      <c r="J309" s="250" t="s">
        <v>144</v>
      </c>
      <c r="K309" s="247"/>
      <c r="L309" s="363"/>
      <c r="M309" s="363"/>
      <c r="N309" s="108">
        <f t="shared" si="9"/>
        <v>0</v>
      </c>
    </row>
    <row r="310" spans="1:14" ht="16.5" hidden="1" x14ac:dyDescent="0.35">
      <c r="A310" s="442" t="str">
        <f t="shared" si="8"/>
        <v>B05.00</v>
      </c>
      <c r="B310" s="247" t="s">
        <v>813</v>
      </c>
      <c r="C310" s="364" t="s">
        <v>899</v>
      </c>
      <c r="D310" s="363" t="s">
        <v>831</v>
      </c>
      <c r="E310" s="363" t="s">
        <v>1099</v>
      </c>
      <c r="F310" s="363" t="s">
        <v>891</v>
      </c>
      <c r="G310" s="365" t="s">
        <v>891</v>
      </c>
      <c r="H310" s="250" t="str">
        <f>+IF(C310="Controlos","Não aplicável",
IFERROR(VLOOKUP(A310&amp;"_"&amp;E310,Testes!A:Z,25,FALSE),"Não aplicável"))</f>
        <v>Não aplicável</v>
      </c>
      <c r="I310" s="250" t="str">
        <f>+IF(C310="Controlos",
IFERROR(VLOOKUP(E310,Controlos!B:J,9,FALSE),"Não aplicável"),
IFERROR(VLOOKUP(A310&amp;"_"&amp;E310,Testes!A:Z,26,FALSE),"Não aplicável"))</f>
        <v>Concluído</v>
      </c>
      <c r="J310" s="250" t="s">
        <v>144</v>
      </c>
      <c r="K310" s="247"/>
      <c r="L310" s="363"/>
      <c r="M310" s="363"/>
      <c r="N310" s="108">
        <f t="shared" si="9"/>
        <v>0</v>
      </c>
    </row>
    <row r="311" spans="1:14" ht="16.5" hidden="1" x14ac:dyDescent="0.35">
      <c r="A311" s="442" t="str">
        <f t="shared" si="8"/>
        <v>B05.00</v>
      </c>
      <c r="B311" s="247" t="s">
        <v>813</v>
      </c>
      <c r="C311" s="364" t="s">
        <v>899</v>
      </c>
      <c r="D311" s="363" t="s">
        <v>831</v>
      </c>
      <c r="E311" s="363" t="s">
        <v>1100</v>
      </c>
      <c r="F311" s="363" t="s">
        <v>891</v>
      </c>
      <c r="G311" s="365" t="s">
        <v>891</v>
      </c>
      <c r="H311" s="250" t="str">
        <f>+IF(C311="Controlos","Não aplicável",
IFERROR(VLOOKUP(A311&amp;"_"&amp;E311,Testes!A:Z,25,FALSE),"Não aplicável"))</f>
        <v>Não aplicável</v>
      </c>
      <c r="I311" s="250" t="str">
        <f>+IF(C311="Controlos",
IFERROR(VLOOKUP(E311,Controlos!B:J,9,FALSE),"Não aplicável"),
IFERROR(VLOOKUP(A311&amp;"_"&amp;E311,Testes!A:Z,26,FALSE),"Não aplicável"))</f>
        <v>Concluído</v>
      </c>
      <c r="J311" s="250" t="s">
        <v>144</v>
      </c>
      <c r="K311" s="247"/>
      <c r="L311" s="363"/>
      <c r="M311" s="363"/>
      <c r="N311" s="108">
        <f t="shared" si="9"/>
        <v>0</v>
      </c>
    </row>
    <row r="312" spans="1:14" ht="16.5" hidden="1" x14ac:dyDescent="0.35">
      <c r="A312" s="442" t="str">
        <f t="shared" si="8"/>
        <v>B05.00</v>
      </c>
      <c r="B312" s="247" t="s">
        <v>813</v>
      </c>
      <c r="C312" s="364" t="s">
        <v>899</v>
      </c>
      <c r="D312" s="363" t="s">
        <v>831</v>
      </c>
      <c r="E312" s="363" t="s">
        <v>1101</v>
      </c>
      <c r="F312" s="363" t="s">
        <v>891</v>
      </c>
      <c r="G312" s="365" t="s">
        <v>891</v>
      </c>
      <c r="H312" s="250" t="str">
        <f>+IF(C312="Controlos","Não aplicável",
IFERROR(VLOOKUP(A312&amp;"_"&amp;E312,Testes!A:Z,25,FALSE),"Não aplicável"))</f>
        <v>Não aplicável</v>
      </c>
      <c r="I312" s="250" t="str">
        <f>+IF(C312="Controlos",
IFERROR(VLOOKUP(E312,Controlos!B:J,9,FALSE),"Não aplicável"),
IFERROR(VLOOKUP(A312&amp;"_"&amp;E312,Testes!A:Z,26,FALSE),"Não aplicável"))</f>
        <v>Pendente de desenvolv.</v>
      </c>
      <c r="J312" s="250" t="s">
        <v>873</v>
      </c>
      <c r="K312" s="247"/>
      <c r="L312" s="363"/>
      <c r="M312" s="363"/>
      <c r="N312" s="108">
        <f t="shared" si="9"/>
        <v>0</v>
      </c>
    </row>
    <row r="313" spans="1:14" ht="16.5" hidden="1" x14ac:dyDescent="0.35">
      <c r="A313" s="442" t="str">
        <f t="shared" si="8"/>
        <v>B05.00</v>
      </c>
      <c r="B313" s="247" t="s">
        <v>813</v>
      </c>
      <c r="C313" s="364" t="s">
        <v>899</v>
      </c>
      <c r="D313" s="363" t="s">
        <v>831</v>
      </c>
      <c r="E313" s="363" t="s">
        <v>1102</v>
      </c>
      <c r="F313" s="363" t="s">
        <v>891</v>
      </c>
      <c r="G313" s="365" t="s">
        <v>891</v>
      </c>
      <c r="H313" s="250" t="str">
        <f>+IF(C313="Controlos","Não aplicável",
IFERROR(VLOOKUP(A313&amp;"_"&amp;E313,Testes!A:Z,25,FALSE),"Não aplicável"))</f>
        <v>Não aplicável</v>
      </c>
      <c r="I313" s="250" t="str">
        <f>+IF(C313="Controlos",
IFERROR(VLOOKUP(E313,Controlos!B:J,9,FALSE),"Não aplicável"),
IFERROR(VLOOKUP(A313&amp;"_"&amp;E313,Testes!A:Z,26,FALSE),"Não aplicável"))</f>
        <v>Concluído</v>
      </c>
      <c r="J313" s="250" t="s">
        <v>144</v>
      </c>
      <c r="K313" s="247"/>
      <c r="L313" s="363"/>
      <c r="M313" s="363"/>
      <c r="N313" s="108">
        <f t="shared" si="9"/>
        <v>0</v>
      </c>
    </row>
    <row r="314" spans="1:14" ht="16.5" hidden="1" x14ac:dyDescent="0.35">
      <c r="A314" s="442" t="str">
        <f t="shared" si="8"/>
        <v>B05.00</v>
      </c>
      <c r="B314" s="247" t="s">
        <v>813</v>
      </c>
      <c r="C314" s="364" t="s">
        <v>899</v>
      </c>
      <c r="D314" s="363" t="s">
        <v>831</v>
      </c>
      <c r="E314" s="363" t="s">
        <v>1103</v>
      </c>
      <c r="F314" s="363" t="s">
        <v>891</v>
      </c>
      <c r="G314" s="365" t="s">
        <v>891</v>
      </c>
      <c r="H314" s="250" t="str">
        <f>+IF(C314="Controlos","Não aplicável",
IFERROR(VLOOKUP(A314&amp;"_"&amp;E314,Testes!A:Z,25,FALSE),"Não aplicável"))</f>
        <v>Não aplicável</v>
      </c>
      <c r="I314" s="250" t="str">
        <f>+IF(C314="Controlos",
IFERROR(VLOOKUP(E314,Controlos!B:J,9,FALSE),"Não aplicável"),
IFERROR(VLOOKUP(A314&amp;"_"&amp;E314,Testes!A:Z,26,FALSE),"Não aplicável"))</f>
        <v>Concluído</v>
      </c>
      <c r="J314" s="250" t="s">
        <v>144</v>
      </c>
      <c r="K314" s="247"/>
      <c r="L314" s="363"/>
      <c r="M314" s="363"/>
      <c r="N314" s="108">
        <f t="shared" si="9"/>
        <v>0</v>
      </c>
    </row>
    <row r="315" spans="1:14" ht="16.5" hidden="1" x14ac:dyDescent="0.35">
      <c r="A315" s="442" t="str">
        <f t="shared" si="8"/>
        <v>B05.00</v>
      </c>
      <c r="B315" s="247" t="s">
        <v>813</v>
      </c>
      <c r="C315" s="364" t="s">
        <v>899</v>
      </c>
      <c r="D315" s="363" t="s">
        <v>831</v>
      </c>
      <c r="E315" s="363" t="s">
        <v>1104</v>
      </c>
      <c r="F315" s="363" t="s">
        <v>891</v>
      </c>
      <c r="G315" s="365" t="s">
        <v>891</v>
      </c>
      <c r="H315" s="250" t="str">
        <f>+IF(C315="Controlos","Não aplicável",
IFERROR(VLOOKUP(A315&amp;"_"&amp;E315,Testes!A:Z,25,FALSE),"Não aplicável"))</f>
        <v>Não aplicável</v>
      </c>
      <c r="I315" s="250" t="str">
        <f>+IF(C315="Controlos",
IFERROR(VLOOKUP(E315,Controlos!B:J,9,FALSE),"Não aplicável"),
IFERROR(VLOOKUP(A315&amp;"_"&amp;E315,Testes!A:Z,26,FALSE),"Não aplicável"))</f>
        <v>Concluído</v>
      </c>
      <c r="J315" s="250" t="s">
        <v>144</v>
      </c>
      <c r="K315" s="247"/>
      <c r="L315" s="363"/>
      <c r="M315" s="363"/>
      <c r="N315" s="108">
        <f t="shared" si="9"/>
        <v>0</v>
      </c>
    </row>
    <row r="316" spans="1:14" ht="16.5" hidden="1" x14ac:dyDescent="0.35">
      <c r="A316" s="442" t="str">
        <f t="shared" si="8"/>
        <v>B05.00</v>
      </c>
      <c r="B316" s="247" t="s">
        <v>813</v>
      </c>
      <c r="C316" s="364" t="s">
        <v>899</v>
      </c>
      <c r="D316" s="363" t="s">
        <v>831</v>
      </c>
      <c r="E316" s="363" t="s">
        <v>1105</v>
      </c>
      <c r="F316" s="363" t="s">
        <v>891</v>
      </c>
      <c r="G316" s="365" t="s">
        <v>891</v>
      </c>
      <c r="H316" s="250" t="str">
        <f>+IF(C316="Controlos","Não aplicável",
IFERROR(VLOOKUP(A316&amp;"_"&amp;E316,Testes!A:Z,25,FALSE),"Não aplicável"))</f>
        <v>Não aplicável</v>
      </c>
      <c r="I316" s="250" t="str">
        <f>+IF(C316="Controlos",
IFERROR(VLOOKUP(E316,Controlos!B:J,9,FALSE),"Não aplicável"),
IFERROR(VLOOKUP(A316&amp;"_"&amp;E316,Testes!A:Z,26,FALSE),"Não aplicável"))</f>
        <v>Concluído</v>
      </c>
      <c r="J316" s="250" t="s">
        <v>144</v>
      </c>
      <c r="K316" s="247"/>
      <c r="L316" s="363"/>
      <c r="M316" s="363"/>
      <c r="N316" s="108">
        <f t="shared" si="9"/>
        <v>0</v>
      </c>
    </row>
    <row r="317" spans="1:14" ht="16.5" hidden="1" x14ac:dyDescent="0.35">
      <c r="A317" s="442" t="str">
        <f t="shared" si="8"/>
        <v>B05.00</v>
      </c>
      <c r="B317" s="247" t="s">
        <v>813</v>
      </c>
      <c r="C317" s="364" t="s">
        <v>899</v>
      </c>
      <c r="D317" s="363" t="s">
        <v>831</v>
      </c>
      <c r="E317" s="363" t="s">
        <v>1106</v>
      </c>
      <c r="F317" s="363" t="s">
        <v>891</v>
      </c>
      <c r="G317" s="365" t="s">
        <v>891</v>
      </c>
      <c r="H317" s="250" t="str">
        <f>+IF(C317="Controlos","Não aplicável",
IFERROR(VLOOKUP(A317&amp;"_"&amp;E317,Testes!A:Z,25,FALSE),"Não aplicável"))</f>
        <v>Não aplicável</v>
      </c>
      <c r="I317" s="250" t="str">
        <f>+IF(C317="Controlos",
IFERROR(VLOOKUP(E317,Controlos!B:J,9,FALSE),"Não aplicável"),
IFERROR(VLOOKUP(A317&amp;"_"&amp;E317,Testes!A:Z,26,FALSE),"Não aplicável"))</f>
        <v>Concluído</v>
      </c>
      <c r="J317" s="250" t="s">
        <v>144</v>
      </c>
      <c r="K317" s="247"/>
      <c r="L317" s="363"/>
      <c r="M317" s="363"/>
      <c r="N317" s="108">
        <f t="shared" si="9"/>
        <v>0</v>
      </c>
    </row>
    <row r="318" spans="1:14" ht="16.5" hidden="1" x14ac:dyDescent="0.35">
      <c r="A318" s="442" t="str">
        <f t="shared" si="8"/>
        <v>B05.00</v>
      </c>
      <c r="B318" s="247" t="s">
        <v>813</v>
      </c>
      <c r="C318" s="364" t="s">
        <v>899</v>
      </c>
      <c r="D318" s="363" t="s">
        <v>831</v>
      </c>
      <c r="E318" s="363" t="s">
        <v>1107</v>
      </c>
      <c r="F318" s="363" t="s">
        <v>891</v>
      </c>
      <c r="G318" s="365" t="s">
        <v>891</v>
      </c>
      <c r="H318" s="250" t="str">
        <f>+IF(C318="Controlos","Não aplicável",
IFERROR(VLOOKUP(A318&amp;"_"&amp;E318,Testes!A:Z,25,FALSE),"Não aplicável"))</f>
        <v>Não aplicável</v>
      </c>
      <c r="I318" s="250" t="str">
        <f>+IF(C318="Controlos",
IFERROR(VLOOKUP(E318,Controlos!B:J,9,FALSE),"Não aplicável"),
IFERROR(VLOOKUP(A318&amp;"_"&amp;E318,Testes!A:Z,26,FALSE),"Não aplicável"))</f>
        <v>Com Incidências</v>
      </c>
      <c r="J318" s="250" t="s">
        <v>870</v>
      </c>
      <c r="K318" s="247"/>
      <c r="L318" s="363"/>
      <c r="M318" s="363"/>
      <c r="N318" s="108">
        <f t="shared" si="9"/>
        <v>0</v>
      </c>
    </row>
    <row r="319" spans="1:14" ht="16.5" hidden="1" x14ac:dyDescent="0.35">
      <c r="A319" s="442" t="str">
        <f t="shared" si="8"/>
        <v>B05.00</v>
      </c>
      <c r="B319" s="247" t="s">
        <v>813</v>
      </c>
      <c r="C319" s="364" t="s">
        <v>899</v>
      </c>
      <c r="D319" s="363" t="s">
        <v>831</v>
      </c>
      <c r="E319" s="363" t="s">
        <v>1108</v>
      </c>
      <c r="F319" s="363" t="s">
        <v>891</v>
      </c>
      <c r="G319" s="365" t="s">
        <v>891</v>
      </c>
      <c r="H319" s="250" t="str">
        <f>+IF(C319="Controlos","Não aplicável",
IFERROR(VLOOKUP(A319&amp;"_"&amp;E319,Testes!A:Z,25,FALSE),"Não aplicável"))</f>
        <v>Não aplicável</v>
      </c>
      <c r="I319" s="250" t="str">
        <f>+IF(C319="Controlos",
IFERROR(VLOOKUP(E319,Controlos!B:J,9,FALSE),"Não aplicável"),
IFERROR(VLOOKUP(A319&amp;"_"&amp;E319,Testes!A:Z,26,FALSE),"Não aplicável"))</f>
        <v>Com Incidências</v>
      </c>
      <c r="J319" s="250" t="s">
        <v>870</v>
      </c>
      <c r="K319" s="247"/>
      <c r="L319" s="363"/>
      <c r="M319" s="363"/>
      <c r="N319" s="108">
        <f t="shared" si="9"/>
        <v>0</v>
      </c>
    </row>
    <row r="320" spans="1:14" ht="16.5" hidden="1" x14ac:dyDescent="0.35">
      <c r="A320" s="442" t="str">
        <f t="shared" si="8"/>
        <v>B05.00</v>
      </c>
      <c r="B320" s="247" t="s">
        <v>813</v>
      </c>
      <c r="C320" s="364" t="s">
        <v>899</v>
      </c>
      <c r="D320" s="363" t="s">
        <v>831</v>
      </c>
      <c r="E320" s="363" t="s">
        <v>1089</v>
      </c>
      <c r="F320" s="363" t="s">
        <v>891</v>
      </c>
      <c r="G320" s="365" t="s">
        <v>891</v>
      </c>
      <c r="H320" s="250" t="str">
        <f>+IF(C320="Controlos","Não aplicável",
IFERROR(VLOOKUP(A320&amp;"_"&amp;E320,Testes!A:Z,25,FALSE),"Não aplicável"))</f>
        <v>Não aplicável</v>
      </c>
      <c r="I320" s="250" t="str">
        <f>+IF(C320="Controlos",
IFERROR(VLOOKUP(E320,Controlos!B:J,9,FALSE),"Não aplicável"),
IFERROR(VLOOKUP(A320&amp;"_"&amp;E320,Testes!A:Z,26,FALSE),"Não aplicável"))</f>
        <v>Concluído</v>
      </c>
      <c r="J320" s="250" t="s">
        <v>144</v>
      </c>
      <c r="K320" s="247"/>
      <c r="L320" s="363"/>
      <c r="M320" s="363"/>
      <c r="N320" s="108">
        <f t="shared" si="9"/>
        <v>0</v>
      </c>
    </row>
    <row r="321" spans="1:14" ht="16.5" hidden="1" x14ac:dyDescent="0.35">
      <c r="A321" s="442" t="str">
        <f t="shared" si="8"/>
        <v>B05.00</v>
      </c>
      <c r="B321" s="247" t="s">
        <v>813</v>
      </c>
      <c r="C321" s="364" t="s">
        <v>899</v>
      </c>
      <c r="D321" s="363" t="s">
        <v>831</v>
      </c>
      <c r="E321" s="363" t="s">
        <v>1091</v>
      </c>
      <c r="F321" s="363" t="s">
        <v>891</v>
      </c>
      <c r="G321" s="365" t="s">
        <v>891</v>
      </c>
      <c r="H321" s="250" t="str">
        <f>+IF(C321="Controlos","Não aplicável",
IFERROR(VLOOKUP(A321&amp;"_"&amp;E321,Testes!A:Z,25,FALSE),"Não aplicável"))</f>
        <v>Não aplicável</v>
      </c>
      <c r="I321" s="250" t="str">
        <f>+IF(C321="Controlos",
IFERROR(VLOOKUP(E321,Controlos!B:J,9,FALSE),"Não aplicável"),
IFERROR(VLOOKUP(A321&amp;"_"&amp;E321,Testes!A:Z,26,FALSE),"Não aplicável"))</f>
        <v>Concluído</v>
      </c>
      <c r="J321" s="250" t="s">
        <v>144</v>
      </c>
      <c r="K321" s="247"/>
      <c r="L321" s="363"/>
      <c r="M321" s="363"/>
      <c r="N321" s="108">
        <f t="shared" si="9"/>
        <v>0</v>
      </c>
    </row>
    <row r="322" spans="1:14" ht="16.5" hidden="1" x14ac:dyDescent="0.35">
      <c r="A322" s="442" t="str">
        <f t="shared" si="8"/>
        <v>B05.00</v>
      </c>
      <c r="B322" s="247" t="s">
        <v>813</v>
      </c>
      <c r="C322" s="364" t="s">
        <v>899</v>
      </c>
      <c r="D322" s="363" t="s">
        <v>831</v>
      </c>
      <c r="E322" s="363" t="s">
        <v>1092</v>
      </c>
      <c r="F322" s="363" t="s">
        <v>891</v>
      </c>
      <c r="G322" s="365" t="s">
        <v>891</v>
      </c>
      <c r="H322" s="250" t="str">
        <f>+IF(C322="Controlos","Não aplicável",
IFERROR(VLOOKUP(A322&amp;"_"&amp;E322,Testes!A:Z,25,FALSE),"Não aplicável"))</f>
        <v>Não aplicável</v>
      </c>
      <c r="I322" s="250" t="str">
        <f>+IF(C322="Controlos",
IFERROR(VLOOKUP(E322,Controlos!B:J,9,FALSE),"Não aplicável"),
IFERROR(VLOOKUP(A322&amp;"_"&amp;E322,Testes!A:Z,26,FALSE),"Não aplicável"))</f>
        <v>Concluído</v>
      </c>
      <c r="J322" s="250" t="s">
        <v>144</v>
      </c>
      <c r="K322" s="247"/>
      <c r="L322" s="363"/>
      <c r="M322" s="363"/>
      <c r="N322" s="108">
        <f t="shared" si="9"/>
        <v>0</v>
      </c>
    </row>
    <row r="323" spans="1:14" ht="16.5" hidden="1" x14ac:dyDescent="0.35">
      <c r="A323" s="442" t="str">
        <f t="shared" si="8"/>
        <v>B05.00</v>
      </c>
      <c r="B323" s="247" t="s">
        <v>813</v>
      </c>
      <c r="C323" s="364" t="s">
        <v>899</v>
      </c>
      <c r="D323" s="363" t="s">
        <v>831</v>
      </c>
      <c r="E323" s="363" t="s">
        <v>1093</v>
      </c>
      <c r="F323" s="363" t="s">
        <v>891</v>
      </c>
      <c r="G323" s="365" t="s">
        <v>891</v>
      </c>
      <c r="H323" s="250" t="str">
        <f>+IF(C323="Controlos","Não aplicável",
IFERROR(VLOOKUP(A323&amp;"_"&amp;E323,Testes!A:Z,25,FALSE),"Não aplicável"))</f>
        <v>Não aplicável</v>
      </c>
      <c r="I323" s="250" t="str">
        <f>+IF(C323="Controlos",
IFERROR(VLOOKUP(E323,Controlos!B:J,9,FALSE),"Não aplicável"),
IFERROR(VLOOKUP(A323&amp;"_"&amp;E323,Testes!A:Z,26,FALSE),"Não aplicável"))</f>
        <v>Pendente de desenvolv.</v>
      </c>
      <c r="J323" s="250" t="s">
        <v>873</v>
      </c>
      <c r="K323" s="247"/>
      <c r="L323" s="363"/>
      <c r="M323" s="363"/>
      <c r="N323" s="108">
        <f t="shared" si="9"/>
        <v>0</v>
      </c>
    </row>
    <row r="324" spans="1:14" ht="16.5" hidden="1" x14ac:dyDescent="0.35">
      <c r="A324" s="442" t="str">
        <f t="shared" si="8"/>
        <v>B05.00</v>
      </c>
      <c r="B324" s="247" t="s">
        <v>813</v>
      </c>
      <c r="C324" s="364" t="s">
        <v>899</v>
      </c>
      <c r="D324" s="363" t="s">
        <v>831</v>
      </c>
      <c r="E324" s="363" t="s">
        <v>1094</v>
      </c>
      <c r="F324" s="363" t="s">
        <v>891</v>
      </c>
      <c r="G324" s="365" t="s">
        <v>891</v>
      </c>
      <c r="H324" s="250" t="str">
        <f>+IF(C324="Controlos","Não aplicável",
IFERROR(VLOOKUP(A324&amp;"_"&amp;E324,Testes!A:Z,25,FALSE),"Não aplicável"))</f>
        <v>Não aplicável</v>
      </c>
      <c r="I324" s="250" t="str">
        <f>+IF(C324="Controlos",
IFERROR(VLOOKUP(E324,Controlos!B:J,9,FALSE),"Não aplicável"),
IFERROR(VLOOKUP(A324&amp;"_"&amp;E324,Testes!A:Z,26,FALSE),"Não aplicável"))</f>
        <v>Concluído</v>
      </c>
      <c r="J324" s="250" t="s">
        <v>144</v>
      </c>
      <c r="K324" s="247"/>
      <c r="L324" s="363"/>
      <c r="M324" s="363"/>
      <c r="N324" s="108">
        <f t="shared" si="9"/>
        <v>0</v>
      </c>
    </row>
    <row r="325" spans="1:14" ht="16.5" hidden="1" x14ac:dyDescent="0.35">
      <c r="A325" s="442" t="str">
        <f t="shared" si="8"/>
        <v>B90.00</v>
      </c>
      <c r="B325" s="247" t="s">
        <v>832</v>
      </c>
      <c r="C325" s="247" t="s">
        <v>812</v>
      </c>
      <c r="D325" s="247" t="s">
        <v>848</v>
      </c>
      <c r="E325" s="491" t="s">
        <v>17</v>
      </c>
      <c r="F325" s="247" t="s">
        <v>143</v>
      </c>
      <c r="G325" s="250" t="s">
        <v>144</v>
      </c>
      <c r="H325" s="250" t="str">
        <f>+IF(C325="Controlos","Não aplicável",
IFERROR(VLOOKUP(A325&amp;"_"&amp;E325,Testes!A:Z,25,FALSE),"Não aplicável"))</f>
        <v>Concluído</v>
      </c>
      <c r="I325" s="250" t="str">
        <f>+IF(C325="Controlos",
IFERROR(VLOOKUP(E325,Controlos!B:J,9,FALSE),"Não aplicável"),
IFERROR(VLOOKUP(A325&amp;"_"&amp;E325,Testes!A:Z,26,FALSE),"Não aplicável"))</f>
        <v>Com incidências</v>
      </c>
      <c r="J325" s="250" t="s">
        <v>911</v>
      </c>
      <c r="K325" s="247"/>
      <c r="L325" s="247"/>
      <c r="M325" s="247"/>
      <c r="N325" s="108">
        <f t="shared" si="9"/>
        <v>0</v>
      </c>
    </row>
    <row r="326" spans="1:14" ht="16.5" hidden="1" x14ac:dyDescent="0.35">
      <c r="A326" s="442" t="str">
        <f t="shared" si="8"/>
        <v>B90.00</v>
      </c>
      <c r="B326" s="247" t="s">
        <v>832</v>
      </c>
      <c r="C326" s="247" t="s">
        <v>812</v>
      </c>
      <c r="D326" s="247" t="s">
        <v>848</v>
      </c>
      <c r="E326" s="247" t="s">
        <v>838</v>
      </c>
      <c r="F326" s="247" t="s">
        <v>143</v>
      </c>
      <c r="G326" s="250" t="s">
        <v>144</v>
      </c>
      <c r="H326" s="250" t="str">
        <f>+IF(C326="Controlos","Não aplicável",
IFERROR(VLOOKUP(A326&amp;"_"&amp;E326,Testes!A:Z,25,FALSE),"Não aplicável"))</f>
        <v>Concluído</v>
      </c>
      <c r="I326" s="250" t="str">
        <f>+IF(C326="Controlos",
IFERROR(VLOOKUP(E326,Controlos!B:J,9,FALSE),"Não aplicável"),
IFERROR(VLOOKUP(A326&amp;"_"&amp;E326,Testes!A:Z,26,FALSE),"Não aplicável"))</f>
        <v>Concluído</v>
      </c>
      <c r="J326" s="250" t="s">
        <v>144</v>
      </c>
      <c r="K326" s="247"/>
      <c r="L326" s="247"/>
      <c r="M326" s="247"/>
      <c r="N326" s="108">
        <f t="shared" si="9"/>
        <v>0</v>
      </c>
    </row>
    <row r="327" spans="1:14" ht="16.5" hidden="1" x14ac:dyDescent="0.35">
      <c r="A327" s="442" t="str">
        <f t="shared" si="8"/>
        <v>B90.00</v>
      </c>
      <c r="B327" s="247" t="s">
        <v>832</v>
      </c>
      <c r="C327" s="247" t="s">
        <v>812</v>
      </c>
      <c r="D327" s="247" t="s">
        <v>848</v>
      </c>
      <c r="E327" s="247" t="s">
        <v>839</v>
      </c>
      <c r="F327" s="247" t="s">
        <v>143</v>
      </c>
      <c r="G327" s="250" t="s">
        <v>144</v>
      </c>
      <c r="H327" s="250" t="str">
        <f>+IF(C327="Controlos","Não aplicável",
IFERROR(VLOOKUP(A327&amp;"_"&amp;E327,Testes!A:Z,25,FALSE),"Não aplicável"))</f>
        <v>Concluído</v>
      </c>
      <c r="I327" s="250" t="str">
        <f>+IF(C327="Controlos",
IFERROR(VLOOKUP(E327,Controlos!B:J,9,FALSE),"Não aplicável"),
IFERROR(VLOOKUP(A327&amp;"_"&amp;E327,Testes!A:Z,26,FALSE),"Não aplicável"))</f>
        <v>Concluído</v>
      </c>
      <c r="J327" s="250" t="s">
        <v>144</v>
      </c>
      <c r="K327" s="247"/>
      <c r="L327" s="247"/>
      <c r="M327" s="247"/>
      <c r="N327" s="108">
        <f t="shared" si="9"/>
        <v>0</v>
      </c>
    </row>
    <row r="328" spans="1:14" ht="16.5" x14ac:dyDescent="0.35">
      <c r="A328" s="442" t="str">
        <f t="shared" ref="A328:A350" si="10">+IF(C328="Loan Tape",LEFT(D328,5),B328)</f>
        <v>B90.00</v>
      </c>
      <c r="B328" s="247" t="s">
        <v>832</v>
      </c>
      <c r="C328" s="247" t="s">
        <v>812</v>
      </c>
      <c r="D328" s="247" t="s">
        <v>848</v>
      </c>
      <c r="E328" s="491" t="s">
        <v>840</v>
      </c>
      <c r="F328" s="247" t="s">
        <v>176</v>
      </c>
      <c r="G328" s="250" t="s">
        <v>144</v>
      </c>
      <c r="H328" s="250" t="str">
        <f>+IF(C328="Controlos","Não aplicável",
IFERROR(VLOOKUP(A328&amp;"_"&amp;E328,Testes!A:Z,25,FALSE),"Não aplicável"))</f>
        <v>Concluído</v>
      </c>
      <c r="I328" s="250" t="str">
        <f>+IF(C328="Controlos",
IFERROR(VLOOKUP(E328,Controlos!B:J,9,FALSE),"Não aplicável"),
IFERROR(VLOOKUP(A328&amp;"_"&amp;E328,Testes!A:Z,26,FALSE),"Não aplicável"))</f>
        <v>Com incidências</v>
      </c>
      <c r="J328" s="250" t="s">
        <v>873</v>
      </c>
      <c r="K328" s="247"/>
      <c r="L328" s="247"/>
      <c r="M328" s="247"/>
      <c r="N328" s="108">
        <f t="shared" si="9"/>
        <v>1</v>
      </c>
    </row>
    <row r="329" spans="1:14" ht="16.5" x14ac:dyDescent="0.35">
      <c r="A329" s="442" t="str">
        <f t="shared" si="10"/>
        <v>B90.00</v>
      </c>
      <c r="B329" s="247" t="s">
        <v>832</v>
      </c>
      <c r="C329" s="247" t="s">
        <v>812</v>
      </c>
      <c r="D329" s="247" t="s">
        <v>848</v>
      </c>
      <c r="E329" s="247" t="s">
        <v>841</v>
      </c>
      <c r="F329" s="247" t="s">
        <v>154</v>
      </c>
      <c r="G329" s="250" t="s">
        <v>144</v>
      </c>
      <c r="H329" s="250" t="str">
        <f>+IF(C329="Controlos","Não aplicável",
IFERROR(VLOOKUP(A329&amp;"_"&amp;E329,Testes!A:Z,25,FALSE),"Não aplicável"))</f>
        <v>Concluído</v>
      </c>
      <c r="I329" s="250" t="str">
        <f>+IF(C329="Controlos",
IFERROR(VLOOKUP(E329,Controlos!B:J,9,FALSE),"Não aplicável"),
IFERROR(VLOOKUP(A329&amp;"_"&amp;E329,Testes!A:Z,26,FALSE),"Não aplicável"))</f>
        <v>Com incidências</v>
      </c>
      <c r="J329" s="250" t="s">
        <v>144</v>
      </c>
      <c r="K329" s="247"/>
      <c r="L329" s="247"/>
      <c r="M329" s="247"/>
      <c r="N329" s="108">
        <f t="shared" ref="N329:N350" si="11">+IF(I329=J329,0,1)</f>
        <v>1</v>
      </c>
    </row>
    <row r="330" spans="1:14" ht="16.5" hidden="1" x14ac:dyDescent="0.35">
      <c r="A330" s="442" t="str">
        <f t="shared" si="10"/>
        <v>B90.00</v>
      </c>
      <c r="B330" s="247" t="s">
        <v>832</v>
      </c>
      <c r="C330" s="247" t="s">
        <v>812</v>
      </c>
      <c r="D330" s="247" t="s">
        <v>848</v>
      </c>
      <c r="E330" s="247" t="s">
        <v>842</v>
      </c>
      <c r="F330" s="247" t="s">
        <v>154</v>
      </c>
      <c r="G330" s="250" t="s">
        <v>144</v>
      </c>
      <c r="H330" s="250" t="str">
        <f>+IF(C330="Controlos","Não aplicável",
IFERROR(VLOOKUP(A330&amp;"_"&amp;E330,Testes!A:Z,25,FALSE),"Não aplicável"))</f>
        <v>Concluído</v>
      </c>
      <c r="I330" s="250" t="str">
        <f>+IF(C330="Controlos",
IFERROR(VLOOKUP(E330,Controlos!B:J,9,FALSE),"Não aplicável"),
IFERROR(VLOOKUP(A330&amp;"_"&amp;E330,Testes!A:Z,26,FALSE),"Não aplicável"))</f>
        <v>Concluído</v>
      </c>
      <c r="J330" s="250" t="s">
        <v>144</v>
      </c>
      <c r="K330" s="247"/>
      <c r="L330" s="247"/>
      <c r="M330" s="247"/>
      <c r="N330" s="108">
        <f t="shared" si="11"/>
        <v>0</v>
      </c>
    </row>
    <row r="331" spans="1:14" ht="16.5" hidden="1" x14ac:dyDescent="0.35">
      <c r="A331" s="442" t="str">
        <f t="shared" si="10"/>
        <v>B90.00</v>
      </c>
      <c r="B331" s="247" t="s">
        <v>832</v>
      </c>
      <c r="C331" s="247" t="s">
        <v>812</v>
      </c>
      <c r="D331" s="247" t="s">
        <v>848</v>
      </c>
      <c r="E331" s="247" t="s">
        <v>843</v>
      </c>
      <c r="F331" s="247" t="s">
        <v>143</v>
      </c>
      <c r="G331" s="250" t="s">
        <v>144</v>
      </c>
      <c r="H331" s="250" t="str">
        <f>+IF(C331="Controlos","Não aplicável",
IFERROR(VLOOKUP(A331&amp;"_"&amp;E331,Testes!A:Z,25,FALSE),"Não aplicável"))</f>
        <v>Concluído</v>
      </c>
      <c r="I331" s="250" t="str">
        <f>+IF(C331="Controlos",
IFERROR(VLOOKUP(E331,Controlos!B:J,9,FALSE),"Não aplicável"),
IFERROR(VLOOKUP(A331&amp;"_"&amp;E331,Testes!A:Z,26,FALSE),"Não aplicável"))</f>
        <v>Concluído</v>
      </c>
      <c r="J331" s="250" t="s">
        <v>144</v>
      </c>
      <c r="K331" s="247"/>
      <c r="L331" s="247"/>
      <c r="M331" s="247"/>
      <c r="N331" s="108">
        <f t="shared" si="11"/>
        <v>0</v>
      </c>
    </row>
    <row r="332" spans="1:14" ht="16.5" hidden="1" x14ac:dyDescent="0.35">
      <c r="A332" s="442" t="str">
        <f t="shared" si="10"/>
        <v>B90.00</v>
      </c>
      <c r="B332" s="247" t="s">
        <v>832</v>
      </c>
      <c r="C332" s="247" t="s">
        <v>812</v>
      </c>
      <c r="D332" s="247" t="s">
        <v>848</v>
      </c>
      <c r="E332" s="247" t="s">
        <v>844</v>
      </c>
      <c r="F332" s="247" t="s">
        <v>154</v>
      </c>
      <c r="G332" s="250" t="s">
        <v>144</v>
      </c>
      <c r="H332" s="250" t="str">
        <f>+IF(C332="Controlos","Não aplicável",
IFERROR(VLOOKUP(A332&amp;"_"&amp;E332,Testes!A:Z,25,FALSE),"Não aplicável"))</f>
        <v>Concluído</v>
      </c>
      <c r="I332" s="250" t="str">
        <f>+IF(C332="Controlos",
IFERROR(VLOOKUP(E332,Controlos!B:J,9,FALSE),"Não aplicável"),
IFERROR(VLOOKUP(A332&amp;"_"&amp;E332,Testes!A:Z,26,FALSE),"Não aplicável"))</f>
        <v>Concluído</v>
      </c>
      <c r="J332" s="250" t="s">
        <v>144</v>
      </c>
      <c r="K332" s="247"/>
      <c r="L332" s="247"/>
      <c r="M332" s="247"/>
      <c r="N332" s="108">
        <f t="shared" si="11"/>
        <v>0</v>
      </c>
    </row>
    <row r="333" spans="1:14" ht="16.5" hidden="1" x14ac:dyDescent="0.35">
      <c r="A333" s="442" t="str">
        <f t="shared" si="10"/>
        <v>B90.00</v>
      </c>
      <c r="B333" s="247" t="s">
        <v>832</v>
      </c>
      <c r="C333" s="247" t="s">
        <v>812</v>
      </c>
      <c r="D333" s="247" t="s">
        <v>848</v>
      </c>
      <c r="E333" s="247" t="s">
        <v>845</v>
      </c>
      <c r="F333" s="247" t="s">
        <v>796</v>
      </c>
      <c r="G333" s="250" t="s">
        <v>198</v>
      </c>
      <c r="H333" s="250" t="str">
        <f>+IF(C333="Controlos","Não aplicável",
IFERROR(VLOOKUP(A333&amp;"_"&amp;E333,Testes!A:Z,25,FALSE),"Não aplicável"))</f>
        <v>Concluído</v>
      </c>
      <c r="I333" s="250" t="str">
        <f>+IF(C333="Controlos",
IFERROR(VLOOKUP(E333,Controlos!B:J,9,FALSE),"Não aplicável"),
IFERROR(VLOOKUP(A333&amp;"_"&amp;E333,Testes!A:Z,26,FALSE),"Não aplicável"))</f>
        <v>Concluído</v>
      </c>
      <c r="J333" s="250" t="s">
        <v>144</v>
      </c>
      <c r="K333" s="247"/>
      <c r="L333" s="247"/>
      <c r="M333" s="247"/>
      <c r="N333" s="108">
        <f t="shared" si="11"/>
        <v>0</v>
      </c>
    </row>
    <row r="334" spans="1:14" ht="16.5" hidden="1" x14ac:dyDescent="0.35">
      <c r="A334" s="442" t="str">
        <f t="shared" si="10"/>
        <v>B90.00</v>
      </c>
      <c r="B334" s="247" t="s">
        <v>832</v>
      </c>
      <c r="C334" s="247" t="s">
        <v>812</v>
      </c>
      <c r="D334" s="247" t="s">
        <v>848</v>
      </c>
      <c r="E334" s="247" t="s">
        <v>846</v>
      </c>
      <c r="F334" s="247" t="s">
        <v>231</v>
      </c>
      <c r="G334" s="250" t="s">
        <v>198</v>
      </c>
      <c r="H334" s="250" t="str">
        <f>+IF(C334="Controlos","Não aplicável",
IFERROR(VLOOKUP(A334&amp;"_"&amp;E334,Testes!A:Z,25,FALSE),"Não aplicável"))</f>
        <v>Concluído</v>
      </c>
      <c r="I334" s="250" t="str">
        <f>+IF(C334="Controlos",
IFERROR(VLOOKUP(E334,Controlos!B:J,9,FALSE),"Não aplicável"),
IFERROR(VLOOKUP(A334&amp;"_"&amp;E334,Testes!A:Z,26,FALSE),"Não aplicável"))</f>
        <v>Concluído</v>
      </c>
      <c r="J334" s="250" t="s">
        <v>144</v>
      </c>
      <c r="K334" s="247"/>
      <c r="L334" s="247"/>
      <c r="M334" s="247"/>
      <c r="N334" s="108">
        <f t="shared" si="11"/>
        <v>0</v>
      </c>
    </row>
    <row r="335" spans="1:14" ht="16.5" x14ac:dyDescent="0.35">
      <c r="A335" s="442" t="str">
        <f t="shared" si="10"/>
        <v>B90.00</v>
      </c>
      <c r="B335" s="247" t="s">
        <v>832</v>
      </c>
      <c r="C335" s="247" t="s">
        <v>812</v>
      </c>
      <c r="D335" s="247" t="s">
        <v>848</v>
      </c>
      <c r="E335" s="491" t="s">
        <v>847</v>
      </c>
      <c r="F335" s="247" t="s">
        <v>143</v>
      </c>
      <c r="G335" s="250" t="s">
        <v>144</v>
      </c>
      <c r="H335" s="250" t="str">
        <f>+IF(C335="Controlos","Não aplicável",
IFERROR(VLOOKUP(A335&amp;"_"&amp;E335,Testes!A:Z,25,FALSE),"Não aplicável"))</f>
        <v>Concluído</v>
      </c>
      <c r="I335" s="250" t="str">
        <f>+IF(C335="Controlos",
IFERROR(VLOOKUP(E335,Controlos!B:J,9,FALSE),"Não aplicável"),
IFERROR(VLOOKUP(A335&amp;"_"&amp;E335,Testes!A:Z,26,FALSE),"Não aplicável"))</f>
        <v>Com incidências</v>
      </c>
      <c r="J335" s="250" t="s">
        <v>873</v>
      </c>
      <c r="K335" s="247"/>
      <c r="L335" s="247"/>
      <c r="M335" s="247"/>
      <c r="N335" s="108">
        <f t="shared" si="11"/>
        <v>1</v>
      </c>
    </row>
    <row r="336" spans="1:14" ht="16.5" hidden="1" x14ac:dyDescent="0.35">
      <c r="A336" s="442" t="str">
        <f t="shared" si="10"/>
        <v>B90.00</v>
      </c>
      <c r="B336" s="247" t="s">
        <v>832</v>
      </c>
      <c r="C336" s="364" t="s">
        <v>899</v>
      </c>
      <c r="D336" s="363" t="s">
        <v>848</v>
      </c>
      <c r="E336" s="363" t="s">
        <v>1255</v>
      </c>
      <c r="F336" s="363" t="s">
        <v>891</v>
      </c>
      <c r="G336" s="365" t="s">
        <v>891</v>
      </c>
      <c r="H336" s="250" t="str">
        <f>+IF(C336="Controlos","Não aplicável",
IFERROR(VLOOKUP(A336&amp;"_"&amp;E336,Testes!A:Z,25,FALSE),"Não aplicável"))</f>
        <v>Não aplicável</v>
      </c>
      <c r="I336" s="250" t="str">
        <f>+IF(C336="Controlos",
IFERROR(VLOOKUP(E336,Controlos!B:J,9,FALSE),"Não aplicável"),
IFERROR(VLOOKUP(A336&amp;"_"&amp;E336,Testes!A:Z,26,FALSE),"Não aplicável"))</f>
        <v>Concluído</v>
      </c>
      <c r="J336" s="250" t="s">
        <v>144</v>
      </c>
      <c r="K336" s="247"/>
      <c r="L336" s="363"/>
      <c r="M336" s="363"/>
      <c r="N336" s="108">
        <f t="shared" si="11"/>
        <v>0</v>
      </c>
    </row>
    <row r="337" spans="1:14" ht="16.5" hidden="1" x14ac:dyDescent="0.35">
      <c r="A337" s="442" t="str">
        <f t="shared" si="10"/>
        <v>B90.00</v>
      </c>
      <c r="B337" s="247" t="s">
        <v>832</v>
      </c>
      <c r="C337" s="364" t="s">
        <v>899</v>
      </c>
      <c r="D337" s="363" t="s">
        <v>848</v>
      </c>
      <c r="E337" s="363" t="s">
        <v>1256</v>
      </c>
      <c r="F337" s="363" t="s">
        <v>891</v>
      </c>
      <c r="G337" s="365" t="s">
        <v>891</v>
      </c>
      <c r="H337" s="250" t="str">
        <f>+IF(C337="Controlos","Não aplicável",
IFERROR(VLOOKUP(A337&amp;"_"&amp;E337,Testes!A:Z,25,FALSE),"Não aplicável"))</f>
        <v>Não aplicável</v>
      </c>
      <c r="I337" s="250" t="str">
        <f>+IF(C337="Controlos",
IFERROR(VLOOKUP(E337,Controlos!B:J,9,FALSE),"Não aplicável"),
IFERROR(VLOOKUP(A337&amp;"_"&amp;E337,Testes!A:Z,26,FALSE),"Não aplicável"))</f>
        <v>Concluído</v>
      </c>
      <c r="J337" s="250" t="s">
        <v>144</v>
      </c>
      <c r="K337" s="247"/>
      <c r="L337" s="363"/>
      <c r="M337" s="363"/>
      <c r="N337" s="108">
        <f t="shared" si="11"/>
        <v>0</v>
      </c>
    </row>
    <row r="338" spans="1:14" ht="16.5" hidden="1" x14ac:dyDescent="0.35">
      <c r="A338" s="442" t="str">
        <f t="shared" si="10"/>
        <v>B90.00</v>
      </c>
      <c r="B338" s="247" t="s">
        <v>832</v>
      </c>
      <c r="C338" s="364" t="s">
        <v>899</v>
      </c>
      <c r="D338" s="363" t="s">
        <v>848</v>
      </c>
      <c r="E338" s="363" t="s">
        <v>1257</v>
      </c>
      <c r="F338" s="363" t="s">
        <v>891</v>
      </c>
      <c r="G338" s="365" t="s">
        <v>891</v>
      </c>
      <c r="H338" s="250" t="str">
        <f>+IF(C338="Controlos","Não aplicável",
IFERROR(VLOOKUP(A338&amp;"_"&amp;E338,Testes!A:Z,25,FALSE),"Não aplicável"))</f>
        <v>Não aplicável</v>
      </c>
      <c r="I338" s="250" t="str">
        <f>+IF(C338="Controlos",
IFERROR(VLOOKUP(E338,Controlos!B:J,9,FALSE),"Não aplicável"),
IFERROR(VLOOKUP(A338&amp;"_"&amp;E338,Testes!A:Z,26,FALSE),"Não aplicável"))</f>
        <v>Concluído</v>
      </c>
      <c r="J338" s="250" t="s">
        <v>144</v>
      </c>
      <c r="K338" s="247"/>
      <c r="L338" s="363"/>
      <c r="M338" s="363"/>
      <c r="N338" s="108">
        <f t="shared" si="11"/>
        <v>0</v>
      </c>
    </row>
    <row r="339" spans="1:14" ht="16.5" hidden="1" x14ac:dyDescent="0.35">
      <c r="A339" s="442" t="str">
        <f t="shared" si="10"/>
        <v>B90.00</v>
      </c>
      <c r="B339" s="247" t="s">
        <v>832</v>
      </c>
      <c r="C339" s="364" t="s">
        <v>899</v>
      </c>
      <c r="D339" s="363" t="s">
        <v>848</v>
      </c>
      <c r="E339" s="363" t="s">
        <v>1258</v>
      </c>
      <c r="F339" s="363" t="s">
        <v>891</v>
      </c>
      <c r="G339" s="365" t="s">
        <v>891</v>
      </c>
      <c r="H339" s="250" t="str">
        <f>+IF(C339="Controlos","Não aplicável",
IFERROR(VLOOKUP(A339&amp;"_"&amp;E339,Testes!A:Z,25,FALSE),"Não aplicável"))</f>
        <v>Não aplicável</v>
      </c>
      <c r="I339" s="250" t="str">
        <f>+IF(C339="Controlos",
IFERROR(VLOOKUP(E339,Controlos!B:J,9,FALSE),"Não aplicável"),
IFERROR(VLOOKUP(A339&amp;"_"&amp;E339,Testes!A:Z,26,FALSE),"Não aplicável"))</f>
        <v>Concluído</v>
      </c>
      <c r="J339" s="250" t="s">
        <v>873</v>
      </c>
      <c r="K339" s="247"/>
      <c r="L339" s="363"/>
      <c r="M339" s="363"/>
      <c r="N339" s="108">
        <f t="shared" si="11"/>
        <v>1</v>
      </c>
    </row>
    <row r="340" spans="1:14" ht="16.5" hidden="1" x14ac:dyDescent="0.35">
      <c r="A340" s="442" t="str">
        <f t="shared" si="10"/>
        <v>B90.00</v>
      </c>
      <c r="B340" s="247" t="s">
        <v>832</v>
      </c>
      <c r="C340" s="364" t="s">
        <v>899</v>
      </c>
      <c r="D340" s="363" t="s">
        <v>848</v>
      </c>
      <c r="E340" s="363" t="s">
        <v>1259</v>
      </c>
      <c r="F340" s="363" t="s">
        <v>891</v>
      </c>
      <c r="G340" s="365" t="s">
        <v>891</v>
      </c>
      <c r="H340" s="250" t="str">
        <f>+IF(C340="Controlos","Não aplicável",
IFERROR(VLOOKUP(A340&amp;"_"&amp;E340,Testes!A:Z,25,FALSE),"Não aplicável"))</f>
        <v>Não aplicável</v>
      </c>
      <c r="I340" s="250" t="str">
        <f>+IF(C340="Controlos",
IFERROR(VLOOKUP(E340,Controlos!B:J,9,FALSE),"Não aplicável"),
IFERROR(VLOOKUP(A340&amp;"_"&amp;E340,Testes!A:Z,26,FALSE),"Não aplicável"))</f>
        <v>Com Incidências</v>
      </c>
      <c r="J340" s="250" t="s">
        <v>870</v>
      </c>
      <c r="K340" s="247"/>
      <c r="L340" s="363"/>
      <c r="M340" s="363"/>
      <c r="N340" s="108">
        <f t="shared" si="11"/>
        <v>0</v>
      </c>
    </row>
    <row r="341" spans="1:14" ht="16.5" hidden="1" x14ac:dyDescent="0.35">
      <c r="A341" s="442" t="str">
        <f t="shared" si="10"/>
        <v>B90.00</v>
      </c>
      <c r="B341" s="247" t="s">
        <v>832</v>
      </c>
      <c r="C341" s="364" t="s">
        <v>899</v>
      </c>
      <c r="D341" s="363" t="s">
        <v>848</v>
      </c>
      <c r="E341" s="363" t="s">
        <v>1260</v>
      </c>
      <c r="F341" s="363" t="s">
        <v>891</v>
      </c>
      <c r="G341" s="365" t="s">
        <v>891</v>
      </c>
      <c r="H341" s="250" t="str">
        <f>+IF(C341="Controlos","Não aplicável",
IFERROR(VLOOKUP(A341&amp;"_"&amp;E341,Testes!A:Z,25,FALSE),"Não aplicável"))</f>
        <v>Não aplicável</v>
      </c>
      <c r="I341" s="250" t="str">
        <f>+IF(C341="Controlos",
IFERROR(VLOOKUP(E341,Controlos!B:J,9,FALSE),"Não aplicável"),
IFERROR(VLOOKUP(A341&amp;"_"&amp;E341,Testes!A:Z,26,FALSE),"Não aplicável"))</f>
        <v>Concluído</v>
      </c>
      <c r="J341" s="250" t="s">
        <v>144</v>
      </c>
      <c r="K341" s="247"/>
      <c r="L341" s="363"/>
      <c r="M341" s="363"/>
      <c r="N341" s="108">
        <f t="shared" si="11"/>
        <v>0</v>
      </c>
    </row>
    <row r="342" spans="1:14" ht="16.5" hidden="1" x14ac:dyDescent="0.35">
      <c r="A342" s="442" t="str">
        <f t="shared" si="10"/>
        <v>B90.00</v>
      </c>
      <c r="B342" s="247" t="s">
        <v>832</v>
      </c>
      <c r="C342" s="364" t="s">
        <v>899</v>
      </c>
      <c r="D342" s="363" t="s">
        <v>848</v>
      </c>
      <c r="E342" s="363" t="s">
        <v>1261</v>
      </c>
      <c r="F342" s="363" t="s">
        <v>891</v>
      </c>
      <c r="G342" s="365" t="s">
        <v>891</v>
      </c>
      <c r="H342" s="250" t="str">
        <f>+IF(C342="Controlos","Não aplicável",
IFERROR(VLOOKUP(A342&amp;"_"&amp;E342,Testes!A:Z,25,FALSE),"Não aplicável"))</f>
        <v>Não aplicável</v>
      </c>
      <c r="I342" s="250" t="str">
        <f>+IF(C342="Controlos",
IFERROR(VLOOKUP(E342,Controlos!B:J,9,FALSE),"Não aplicável"),
IFERROR(VLOOKUP(A342&amp;"_"&amp;E342,Testes!A:Z,26,FALSE),"Não aplicável"))</f>
        <v>Concluído</v>
      </c>
      <c r="J342" s="250" t="s">
        <v>144</v>
      </c>
      <c r="K342" s="247"/>
      <c r="L342" s="363"/>
      <c r="M342" s="363"/>
      <c r="N342" s="108">
        <f t="shared" si="11"/>
        <v>0</v>
      </c>
    </row>
    <row r="343" spans="1:14" ht="16.5" hidden="1" x14ac:dyDescent="0.35">
      <c r="A343" s="442" t="str">
        <f t="shared" si="10"/>
        <v>B90.00</v>
      </c>
      <c r="B343" s="247" t="s">
        <v>832</v>
      </c>
      <c r="C343" s="364" t="s">
        <v>899</v>
      </c>
      <c r="D343" s="363" t="s">
        <v>848</v>
      </c>
      <c r="E343" s="363" t="s">
        <v>1262</v>
      </c>
      <c r="F343" s="363" t="s">
        <v>891</v>
      </c>
      <c r="G343" s="365" t="s">
        <v>891</v>
      </c>
      <c r="H343" s="250" t="str">
        <f>+IF(C343="Controlos","Não aplicável",
IFERROR(VLOOKUP(A343&amp;"_"&amp;E343,Testes!A:Z,25,FALSE),"Não aplicável"))</f>
        <v>Não aplicável</v>
      </c>
      <c r="I343" s="250" t="str">
        <f>+IF(C343="Controlos",
IFERROR(VLOOKUP(E343,Controlos!B:J,9,FALSE),"Não aplicável"),
IFERROR(VLOOKUP(A343&amp;"_"&amp;E343,Testes!A:Z,26,FALSE),"Não aplicável"))</f>
        <v>Concluído</v>
      </c>
      <c r="J343" s="250" t="s">
        <v>144</v>
      </c>
      <c r="K343" s="247"/>
      <c r="L343" s="363"/>
      <c r="M343" s="363"/>
      <c r="N343" s="108">
        <f t="shared" si="11"/>
        <v>0</v>
      </c>
    </row>
    <row r="344" spans="1:14" ht="16.5" hidden="1" x14ac:dyDescent="0.35">
      <c r="A344" s="442" t="str">
        <f t="shared" si="10"/>
        <v>B90.00</v>
      </c>
      <c r="B344" s="247" t="s">
        <v>832</v>
      </c>
      <c r="C344" s="364" t="s">
        <v>899</v>
      </c>
      <c r="D344" s="363" t="s">
        <v>848</v>
      </c>
      <c r="E344" s="363" t="s">
        <v>1263</v>
      </c>
      <c r="F344" s="363" t="s">
        <v>891</v>
      </c>
      <c r="G344" s="365" t="s">
        <v>891</v>
      </c>
      <c r="H344" s="250" t="str">
        <f>+IF(C344="Controlos","Não aplicável",
IFERROR(VLOOKUP(A344&amp;"_"&amp;E344,Testes!A:Z,25,FALSE),"Não aplicável"))</f>
        <v>Não aplicável</v>
      </c>
      <c r="I344" s="250" t="str">
        <f>+IF(C344="Controlos",
IFERROR(VLOOKUP(E344,Controlos!B:J,9,FALSE),"Não aplicável"),
IFERROR(VLOOKUP(A344&amp;"_"&amp;E344,Testes!A:Z,26,FALSE),"Não aplicável"))</f>
        <v>Concluído</v>
      </c>
      <c r="J344" s="250" t="s">
        <v>144</v>
      </c>
      <c r="K344" s="247"/>
      <c r="L344" s="363"/>
      <c r="M344" s="363"/>
      <c r="N344" s="108">
        <f t="shared" si="11"/>
        <v>0</v>
      </c>
    </row>
    <row r="345" spans="1:14" ht="16.5" hidden="1" x14ac:dyDescent="0.35">
      <c r="A345" s="442" t="str">
        <f t="shared" si="10"/>
        <v>B90.00</v>
      </c>
      <c r="B345" s="247" t="s">
        <v>832</v>
      </c>
      <c r="C345" s="364" t="s">
        <v>899</v>
      </c>
      <c r="D345" s="363" t="s">
        <v>848</v>
      </c>
      <c r="E345" s="363" t="s">
        <v>1264</v>
      </c>
      <c r="F345" s="363" t="s">
        <v>891</v>
      </c>
      <c r="G345" s="365" t="s">
        <v>891</v>
      </c>
      <c r="H345" s="250" t="str">
        <f>+IF(C345="Controlos","Não aplicável",
IFERROR(VLOOKUP(A345&amp;"_"&amp;E345,Testes!A:Z,25,FALSE),"Não aplicável"))</f>
        <v>Não aplicável</v>
      </c>
      <c r="I345" s="250" t="str">
        <f>+IF(C345="Controlos",
IFERROR(VLOOKUP(E345,Controlos!B:J,9,FALSE),"Não aplicável"),
IFERROR(VLOOKUP(A345&amp;"_"&amp;E345,Testes!A:Z,26,FALSE),"Não aplicável"))</f>
        <v>Com Incidências</v>
      </c>
      <c r="J345" s="250" t="s">
        <v>870</v>
      </c>
      <c r="K345" s="247"/>
      <c r="L345" s="363"/>
      <c r="M345" s="363"/>
      <c r="N345" s="108">
        <f t="shared" si="11"/>
        <v>0</v>
      </c>
    </row>
    <row r="346" spans="1:14" ht="16.5" hidden="1" x14ac:dyDescent="0.35">
      <c r="A346" s="442" t="str">
        <f t="shared" si="10"/>
        <v>B90.00</v>
      </c>
      <c r="B346" s="247" t="s">
        <v>832</v>
      </c>
      <c r="C346" s="364" t="s">
        <v>899</v>
      </c>
      <c r="D346" s="363" t="s">
        <v>848</v>
      </c>
      <c r="E346" s="363" t="s">
        <v>1265</v>
      </c>
      <c r="F346" s="363" t="s">
        <v>891</v>
      </c>
      <c r="G346" s="365" t="s">
        <v>891</v>
      </c>
      <c r="H346" s="250" t="str">
        <f>+IF(C346="Controlos","Não aplicável",
IFERROR(VLOOKUP(A346&amp;"_"&amp;E346,Testes!A:Z,25,FALSE),"Não aplicável"))</f>
        <v>Não aplicável</v>
      </c>
      <c r="I346" s="250" t="str">
        <f>+IF(C346="Controlos",
IFERROR(VLOOKUP(E346,Controlos!B:J,9,FALSE),"Não aplicável"),
IFERROR(VLOOKUP(A346&amp;"_"&amp;E346,Testes!A:Z,26,FALSE),"Não aplicável"))</f>
        <v>Concluído</v>
      </c>
      <c r="J346" s="250" t="s">
        <v>873</v>
      </c>
      <c r="K346" s="247"/>
      <c r="L346" s="363"/>
      <c r="M346" s="363"/>
      <c r="N346" s="108">
        <f t="shared" si="11"/>
        <v>1</v>
      </c>
    </row>
    <row r="347" spans="1:14" ht="16.5" hidden="1" x14ac:dyDescent="0.35">
      <c r="A347" s="442" t="str">
        <f t="shared" si="10"/>
        <v>B90.00</v>
      </c>
      <c r="B347" s="247" t="s">
        <v>832</v>
      </c>
      <c r="C347" s="364" t="s">
        <v>899</v>
      </c>
      <c r="D347" s="363" t="s">
        <v>848</v>
      </c>
      <c r="E347" s="363" t="s">
        <v>1250</v>
      </c>
      <c r="F347" s="363" t="s">
        <v>891</v>
      </c>
      <c r="G347" s="365" t="s">
        <v>891</v>
      </c>
      <c r="H347" s="250" t="str">
        <f>+IF(C347="Controlos","Não aplicável",
IFERROR(VLOOKUP(A347&amp;"_"&amp;E347,Testes!A:Z,25,FALSE),"Não aplicável"))</f>
        <v>Não aplicável</v>
      </c>
      <c r="I347" s="250" t="str">
        <f>+IF(C347="Controlos",
IFERROR(VLOOKUP(E347,Controlos!B:J,9,FALSE),"Não aplicável"),
IFERROR(VLOOKUP(A347&amp;"_"&amp;E347,Testes!A:Z,26,FALSE),"Não aplicável"))</f>
        <v>Concluído</v>
      </c>
      <c r="J347" s="250" t="s">
        <v>873</v>
      </c>
      <c r="K347" s="247"/>
      <c r="L347" s="363"/>
      <c r="M347" s="363"/>
      <c r="N347" s="108">
        <f t="shared" si="11"/>
        <v>1</v>
      </c>
    </row>
    <row r="348" spans="1:14" ht="16.5" hidden="1" x14ac:dyDescent="0.35">
      <c r="A348" s="442" t="str">
        <f t="shared" si="10"/>
        <v>B90.00</v>
      </c>
      <c r="B348" s="247" t="s">
        <v>832</v>
      </c>
      <c r="C348" s="364" t="s">
        <v>899</v>
      </c>
      <c r="D348" s="363" t="s">
        <v>848</v>
      </c>
      <c r="E348" s="363" t="s">
        <v>1252</v>
      </c>
      <c r="F348" s="363" t="s">
        <v>891</v>
      </c>
      <c r="G348" s="365" t="s">
        <v>891</v>
      </c>
      <c r="H348" s="250" t="str">
        <f>+IF(C348="Controlos","Não aplicável",
IFERROR(VLOOKUP(A348&amp;"_"&amp;E348,Testes!A:Z,25,FALSE),"Não aplicável"))</f>
        <v>Não aplicável</v>
      </c>
      <c r="I348" s="250" t="str">
        <f>+IF(C348="Controlos",
IFERROR(VLOOKUP(E348,Controlos!B:J,9,FALSE),"Não aplicável"),
IFERROR(VLOOKUP(A348&amp;"_"&amp;E348,Testes!A:Z,26,FALSE),"Não aplicável"))</f>
        <v>Concluído</v>
      </c>
      <c r="J348" s="250" t="s">
        <v>873</v>
      </c>
      <c r="K348" s="247"/>
      <c r="L348" s="363"/>
      <c r="M348" s="363"/>
      <c r="N348" s="108">
        <f t="shared" si="11"/>
        <v>1</v>
      </c>
    </row>
    <row r="349" spans="1:14" ht="16.5" hidden="1" x14ac:dyDescent="0.35">
      <c r="A349" s="442" t="str">
        <f t="shared" si="10"/>
        <v>B90.00</v>
      </c>
      <c r="B349" s="247" t="s">
        <v>832</v>
      </c>
      <c r="C349" s="364" t="s">
        <v>899</v>
      </c>
      <c r="D349" s="363" t="s">
        <v>848</v>
      </c>
      <c r="E349" s="363" t="s">
        <v>1253</v>
      </c>
      <c r="F349" s="363" t="s">
        <v>891</v>
      </c>
      <c r="G349" s="365" t="s">
        <v>891</v>
      </c>
      <c r="H349" s="250" t="str">
        <f>+IF(C349="Controlos","Não aplicável",
IFERROR(VLOOKUP(A349&amp;"_"&amp;E349,Testes!A:Z,25,FALSE),"Não aplicável"))</f>
        <v>Não aplicável</v>
      </c>
      <c r="I349" s="250" t="str">
        <f>+IF(C349="Controlos",
IFERROR(VLOOKUP(E349,Controlos!B:J,9,FALSE),"Não aplicável"),
IFERROR(VLOOKUP(A349&amp;"_"&amp;E349,Testes!A:Z,26,FALSE),"Não aplicável"))</f>
        <v>Concluído</v>
      </c>
      <c r="J349" s="250" t="s">
        <v>144</v>
      </c>
      <c r="K349" s="247"/>
      <c r="L349" s="363"/>
      <c r="M349" s="363"/>
      <c r="N349" s="108">
        <f t="shared" si="11"/>
        <v>0</v>
      </c>
    </row>
    <row r="350" spans="1:14" ht="16.5" hidden="1" x14ac:dyDescent="0.35">
      <c r="A350" s="442" t="str">
        <f t="shared" si="10"/>
        <v>B90.00</v>
      </c>
      <c r="B350" s="247" t="s">
        <v>832</v>
      </c>
      <c r="C350" s="364" t="s">
        <v>899</v>
      </c>
      <c r="D350" s="363" t="s">
        <v>848</v>
      </c>
      <c r="E350" s="363" t="s">
        <v>1254</v>
      </c>
      <c r="F350" s="363" t="s">
        <v>891</v>
      </c>
      <c r="G350" s="365" t="s">
        <v>891</v>
      </c>
      <c r="H350" s="250" t="str">
        <f>+IF(C350="Controlos","Não aplicável",
IFERROR(VLOOKUP(A350&amp;"_"&amp;E350,Testes!A:Z,25,FALSE),"Não aplicável"))</f>
        <v>Não aplicável</v>
      </c>
      <c r="I350" s="250" t="str">
        <f>+IF(C350="Controlos",
IFERROR(VLOOKUP(E350,Controlos!B:J,9,FALSE),"Não aplicável"),
IFERROR(VLOOKUP(A350&amp;"_"&amp;E350,Testes!A:Z,26,FALSE),"Não aplicável"))</f>
        <v>Com Incidências</v>
      </c>
      <c r="J350" s="250" t="s">
        <v>870</v>
      </c>
      <c r="K350" s="247"/>
      <c r="L350" s="363"/>
      <c r="M350" s="363"/>
      <c r="N350" s="108">
        <f t="shared" si="11"/>
        <v>0</v>
      </c>
    </row>
    <row r="351" spans="1:14" ht="16.5" x14ac:dyDescent="0.35">
      <c r="B351" s="247"/>
      <c r="C351" s="364"/>
      <c r="D351" s="363"/>
      <c r="E351" s="363"/>
      <c r="F351" s="363"/>
      <c r="G351" s="365"/>
      <c r="H351" s="250"/>
      <c r="I351" s="250"/>
      <c r="J351" s="365"/>
      <c r="K351" s="247"/>
      <c r="L351" s="363"/>
      <c r="M351" s="363"/>
    </row>
    <row r="352" spans="1:14" ht="16.5" x14ac:dyDescent="0.35">
      <c r="B352" s="247"/>
      <c r="C352" s="364"/>
      <c r="D352" s="363"/>
      <c r="E352" s="363"/>
      <c r="F352" s="363"/>
      <c r="G352" s="365"/>
      <c r="H352" s="250"/>
      <c r="I352" s="250"/>
      <c r="J352" s="365"/>
      <c r="K352" s="247"/>
      <c r="L352" s="363"/>
      <c r="M352" s="363"/>
    </row>
    <row r="353" spans="2:13" ht="16.5" x14ac:dyDescent="0.35">
      <c r="B353" s="247"/>
      <c r="C353" s="364"/>
      <c r="D353" s="363"/>
      <c r="E353" s="363"/>
      <c r="F353" s="363"/>
      <c r="G353" s="365"/>
      <c r="H353" s="250"/>
      <c r="I353" s="250"/>
      <c r="J353" s="365"/>
      <c r="K353" s="247"/>
      <c r="L353" s="363"/>
      <c r="M353" s="363"/>
    </row>
    <row r="354" spans="2:13" ht="16.5" x14ac:dyDescent="0.35">
      <c r="B354" s="247"/>
      <c r="C354" s="364"/>
      <c r="D354" s="363"/>
      <c r="E354" s="363"/>
      <c r="F354" s="363"/>
      <c r="G354" s="365"/>
      <c r="H354" s="250"/>
      <c r="I354" s="250"/>
      <c r="J354" s="365"/>
      <c r="K354" s="247"/>
      <c r="L354" s="363"/>
      <c r="M354" s="363"/>
    </row>
    <row r="355" spans="2:13" ht="16.5" x14ac:dyDescent="0.35">
      <c r="B355" s="247"/>
      <c r="C355" s="364"/>
      <c r="D355" s="363"/>
      <c r="E355" s="363"/>
      <c r="F355" s="363"/>
      <c r="G355" s="365"/>
      <c r="H355" s="250"/>
      <c r="I355" s="250"/>
      <c r="J355" s="365"/>
      <c r="K355" s="247"/>
      <c r="L355" s="363"/>
      <c r="M355" s="363"/>
    </row>
    <row r="356" spans="2:13" ht="16.5" x14ac:dyDescent="0.35">
      <c r="B356" s="247"/>
      <c r="C356" s="364"/>
      <c r="D356" s="363"/>
      <c r="E356" s="363"/>
      <c r="F356" s="363"/>
      <c r="G356" s="365"/>
      <c r="H356" s="250"/>
      <c r="I356" s="250"/>
      <c r="J356" s="365"/>
      <c r="K356" s="247"/>
      <c r="L356" s="363"/>
      <c r="M356" s="363"/>
    </row>
    <row r="357" spans="2:13" ht="16.5" x14ac:dyDescent="0.35">
      <c r="B357" s="247"/>
      <c r="C357" s="364"/>
      <c r="D357" s="363"/>
      <c r="E357" s="363"/>
      <c r="F357" s="363"/>
      <c r="G357" s="365"/>
      <c r="H357" s="250"/>
      <c r="I357" s="250"/>
      <c r="J357" s="365"/>
      <c r="K357" s="247"/>
      <c r="L357" s="363"/>
      <c r="M357" s="363"/>
    </row>
    <row r="358" spans="2:13" ht="16.5" x14ac:dyDescent="0.35">
      <c r="B358" s="247"/>
      <c r="C358" s="364"/>
      <c r="D358" s="363"/>
      <c r="E358" s="363"/>
      <c r="F358" s="363"/>
      <c r="G358" s="365"/>
      <c r="H358" s="250"/>
      <c r="I358" s="250"/>
      <c r="J358" s="365"/>
      <c r="K358" s="247"/>
      <c r="L358" s="363"/>
      <c r="M358" s="363"/>
    </row>
    <row r="359" spans="2:13" ht="16.5" x14ac:dyDescent="0.35">
      <c r="B359" s="247"/>
      <c r="C359" s="364"/>
      <c r="D359" s="363"/>
      <c r="E359" s="363"/>
      <c r="F359" s="363"/>
      <c r="G359" s="365"/>
      <c r="H359" s="250"/>
      <c r="I359" s="250"/>
      <c r="J359" s="365"/>
      <c r="K359" s="247"/>
      <c r="L359" s="363"/>
      <c r="M359" s="363"/>
    </row>
    <row r="360" spans="2:13" ht="16.5" x14ac:dyDescent="0.35">
      <c r="B360" s="247"/>
      <c r="C360" s="364"/>
      <c r="D360" s="363"/>
      <c r="E360" s="363"/>
      <c r="F360" s="363"/>
      <c r="G360" s="365"/>
      <c r="H360" s="250"/>
      <c r="I360" s="250"/>
      <c r="J360" s="365"/>
      <c r="K360" s="247"/>
      <c r="L360" s="363"/>
      <c r="M360" s="363"/>
    </row>
    <row r="361" spans="2:13" ht="16.5" x14ac:dyDescent="0.35">
      <c r="B361" s="247"/>
      <c r="C361" s="364"/>
      <c r="D361" s="363"/>
      <c r="E361" s="363"/>
      <c r="F361" s="363"/>
      <c r="G361" s="365"/>
      <c r="H361" s="250"/>
      <c r="I361" s="250"/>
      <c r="J361" s="365"/>
      <c r="K361" s="247"/>
      <c r="L361" s="363"/>
      <c r="M361" s="363"/>
    </row>
    <row r="362" spans="2:13" ht="16.5" x14ac:dyDescent="0.35">
      <c r="B362" s="247"/>
      <c r="C362" s="364"/>
      <c r="D362" s="363"/>
      <c r="E362" s="363"/>
      <c r="F362" s="363"/>
      <c r="G362" s="365"/>
      <c r="H362" s="250"/>
      <c r="I362" s="250"/>
      <c r="J362" s="365"/>
      <c r="K362" s="247"/>
      <c r="L362" s="363"/>
      <c r="M362" s="363"/>
    </row>
    <row r="363" spans="2:13" ht="16.5" x14ac:dyDescent="0.35">
      <c r="B363" s="247"/>
      <c r="C363" s="364"/>
      <c r="D363" s="363"/>
      <c r="E363" s="363"/>
      <c r="F363" s="363"/>
      <c r="G363" s="365"/>
      <c r="H363" s="250"/>
      <c r="I363" s="250"/>
      <c r="J363" s="365"/>
      <c r="K363" s="247"/>
      <c r="L363" s="363"/>
      <c r="M363" s="363"/>
    </row>
    <row r="364" spans="2:13" ht="16.5" x14ac:dyDescent="0.35">
      <c r="B364" s="247"/>
      <c r="C364" s="364"/>
      <c r="D364" s="363"/>
      <c r="E364" s="363"/>
      <c r="F364" s="363"/>
      <c r="G364" s="365"/>
      <c r="H364" s="250"/>
      <c r="I364" s="250"/>
      <c r="J364" s="365"/>
      <c r="K364" s="247"/>
      <c r="L364" s="363"/>
      <c r="M364" s="363"/>
    </row>
    <row r="365" spans="2:13" ht="16.5" x14ac:dyDescent="0.35">
      <c r="B365" s="247"/>
      <c r="C365" s="364"/>
      <c r="D365" s="363"/>
      <c r="E365" s="363"/>
      <c r="F365" s="363"/>
      <c r="G365" s="365"/>
      <c r="H365" s="250"/>
      <c r="I365" s="250"/>
      <c r="J365" s="365"/>
      <c r="K365" s="247"/>
      <c r="L365" s="363"/>
      <c r="M365" s="363"/>
    </row>
    <row r="366" spans="2:13" ht="16.5" x14ac:dyDescent="0.35">
      <c r="B366" s="247"/>
      <c r="C366" s="364"/>
      <c r="D366" s="363"/>
      <c r="E366" s="363"/>
      <c r="F366" s="363"/>
      <c r="G366" s="365"/>
      <c r="H366" s="250"/>
      <c r="I366" s="250"/>
      <c r="J366" s="365"/>
      <c r="K366" s="247"/>
      <c r="L366" s="363"/>
      <c r="M366" s="363"/>
    </row>
    <row r="367" spans="2:13" ht="16.5" x14ac:dyDescent="0.35">
      <c r="B367" s="247"/>
      <c r="C367" s="364"/>
      <c r="D367" s="363"/>
      <c r="E367" s="363"/>
      <c r="F367" s="363"/>
      <c r="G367" s="365"/>
      <c r="H367" s="250"/>
      <c r="I367" s="250"/>
      <c r="J367" s="365"/>
      <c r="K367" s="247"/>
      <c r="L367" s="363"/>
      <c r="M367" s="363"/>
    </row>
    <row r="368" spans="2:13" ht="16.5" x14ac:dyDescent="0.35">
      <c r="B368" s="247"/>
      <c r="C368" s="364"/>
      <c r="D368" s="363"/>
      <c r="E368" s="363"/>
      <c r="F368" s="363"/>
      <c r="G368" s="365"/>
      <c r="H368" s="250"/>
      <c r="I368" s="250"/>
      <c r="J368" s="365"/>
      <c r="K368" s="247"/>
      <c r="L368" s="363"/>
      <c r="M368" s="363"/>
    </row>
    <row r="369" spans="2:13" ht="16.5" x14ac:dyDescent="0.35">
      <c r="B369" s="247"/>
      <c r="C369" s="364"/>
      <c r="D369" s="363"/>
      <c r="E369" s="363"/>
      <c r="F369" s="363"/>
      <c r="G369" s="365"/>
      <c r="H369" s="250"/>
      <c r="I369" s="250"/>
      <c r="J369" s="365"/>
      <c r="K369" s="247"/>
      <c r="L369" s="363"/>
      <c r="M369" s="363"/>
    </row>
    <row r="370" spans="2:13" ht="16.5" x14ac:dyDescent="0.35">
      <c r="B370" s="247"/>
      <c r="C370" s="364"/>
      <c r="D370" s="363"/>
      <c r="E370" s="363"/>
      <c r="F370" s="363"/>
      <c r="G370" s="365"/>
      <c r="H370" s="250"/>
      <c r="I370" s="250"/>
      <c r="J370" s="365"/>
      <c r="K370" s="247"/>
      <c r="L370" s="363"/>
      <c r="M370" s="363"/>
    </row>
    <row r="371" spans="2:13" ht="16.5" x14ac:dyDescent="0.35">
      <c r="B371" s="247"/>
      <c r="C371" s="364"/>
      <c r="D371" s="363"/>
      <c r="E371" s="363"/>
      <c r="F371" s="363"/>
      <c r="G371" s="365"/>
      <c r="H371" s="250"/>
      <c r="I371" s="250"/>
      <c r="J371" s="365"/>
      <c r="K371" s="247"/>
      <c r="L371" s="363"/>
      <c r="M371" s="363"/>
    </row>
    <row r="372" spans="2:13" ht="16.5" x14ac:dyDescent="0.35">
      <c r="B372" s="247"/>
      <c r="C372" s="364"/>
      <c r="D372" s="363"/>
      <c r="E372" s="363"/>
      <c r="F372" s="363"/>
      <c r="G372" s="365"/>
      <c r="H372" s="250"/>
      <c r="I372" s="250"/>
      <c r="J372" s="365"/>
      <c r="K372" s="247"/>
      <c r="L372" s="363"/>
      <c r="M372" s="363"/>
    </row>
    <row r="373" spans="2:13" ht="16.5" x14ac:dyDescent="0.35">
      <c r="B373" s="247"/>
      <c r="C373" s="364"/>
      <c r="D373" s="363"/>
      <c r="E373" s="363"/>
      <c r="F373" s="363"/>
      <c r="G373" s="365"/>
      <c r="H373" s="250"/>
      <c r="I373" s="250"/>
      <c r="J373" s="365"/>
      <c r="K373" s="247"/>
      <c r="L373" s="363"/>
      <c r="M373" s="363"/>
    </row>
    <row r="374" spans="2:13" ht="16.5" x14ac:dyDescent="0.35">
      <c r="B374" s="247"/>
      <c r="C374" s="364"/>
      <c r="D374" s="363"/>
      <c r="E374" s="363"/>
      <c r="F374" s="363"/>
      <c r="G374" s="365"/>
      <c r="H374" s="250"/>
      <c r="I374" s="250"/>
      <c r="J374" s="365"/>
      <c r="K374" s="247"/>
      <c r="L374" s="363"/>
      <c r="M374" s="363"/>
    </row>
    <row r="375" spans="2:13" ht="16.5" x14ac:dyDescent="0.35">
      <c r="B375" s="247"/>
      <c r="C375" s="364"/>
      <c r="D375" s="363"/>
      <c r="E375" s="363"/>
      <c r="F375" s="363"/>
      <c r="G375" s="365"/>
      <c r="H375" s="250"/>
      <c r="I375" s="250"/>
      <c r="J375" s="365"/>
      <c r="K375" s="247"/>
      <c r="L375" s="363"/>
      <c r="M375" s="363"/>
    </row>
    <row r="376" spans="2:13" ht="16.5" x14ac:dyDescent="0.35">
      <c r="B376" s="247"/>
      <c r="C376" s="364"/>
      <c r="D376" s="363"/>
      <c r="E376" s="363"/>
      <c r="F376" s="363"/>
      <c r="G376" s="365"/>
      <c r="H376" s="250"/>
      <c r="I376" s="250"/>
      <c r="J376" s="365"/>
      <c r="K376" s="247"/>
      <c r="L376" s="363"/>
      <c r="M376" s="363"/>
    </row>
    <row r="377" spans="2:13" ht="16.5" x14ac:dyDescent="0.35">
      <c r="B377" s="247"/>
      <c r="C377" s="364"/>
      <c r="D377" s="363"/>
      <c r="E377" s="363"/>
      <c r="F377" s="363"/>
      <c r="G377" s="365"/>
      <c r="H377" s="250"/>
      <c r="I377" s="250"/>
      <c r="J377" s="365"/>
      <c r="K377" s="247"/>
      <c r="L377" s="363"/>
      <c r="M377" s="363"/>
    </row>
    <row r="378" spans="2:13" ht="16.5" x14ac:dyDescent="0.35">
      <c r="B378" s="247"/>
      <c r="C378" s="364"/>
      <c r="D378" s="363"/>
      <c r="E378" s="363"/>
      <c r="F378" s="363"/>
      <c r="G378" s="365"/>
      <c r="H378" s="250"/>
      <c r="I378" s="250"/>
      <c r="J378" s="365"/>
      <c r="K378" s="247"/>
      <c r="L378" s="363"/>
      <c r="M378" s="363"/>
    </row>
    <row r="379" spans="2:13" ht="16.5" x14ac:dyDescent="0.35">
      <c r="B379" s="247"/>
      <c r="C379" s="364"/>
      <c r="D379" s="363"/>
      <c r="E379" s="363"/>
      <c r="F379" s="363"/>
      <c r="G379" s="365"/>
      <c r="H379" s="250"/>
      <c r="I379" s="250"/>
      <c r="J379" s="365"/>
      <c r="K379" s="247"/>
      <c r="L379" s="363"/>
      <c r="M379" s="363"/>
    </row>
    <row r="380" spans="2:13" ht="16.5" x14ac:dyDescent="0.35">
      <c r="B380" s="247"/>
      <c r="C380" s="364"/>
      <c r="D380" s="363"/>
      <c r="E380" s="363"/>
      <c r="F380" s="363"/>
      <c r="G380" s="365"/>
      <c r="H380" s="250"/>
      <c r="I380" s="250"/>
      <c r="J380" s="365"/>
      <c r="K380" s="247"/>
      <c r="L380" s="363"/>
      <c r="M380" s="363"/>
    </row>
    <row r="381" spans="2:13" ht="16.5" x14ac:dyDescent="0.35">
      <c r="B381" s="247"/>
      <c r="C381" s="364"/>
      <c r="D381" s="363"/>
      <c r="E381" s="363"/>
      <c r="F381" s="363"/>
      <c r="G381" s="365"/>
      <c r="H381" s="250"/>
      <c r="I381" s="250"/>
      <c r="J381" s="365"/>
      <c r="K381" s="247"/>
      <c r="L381" s="363"/>
      <c r="M381" s="363"/>
    </row>
    <row r="382" spans="2:13" ht="16.5" x14ac:dyDescent="0.35">
      <c r="B382" s="247"/>
      <c r="C382" s="364"/>
      <c r="D382" s="363"/>
      <c r="E382" s="363"/>
      <c r="F382" s="363"/>
      <c r="G382" s="365"/>
      <c r="H382" s="250"/>
      <c r="I382" s="250"/>
      <c r="J382" s="365"/>
      <c r="K382" s="247"/>
      <c r="L382" s="363"/>
      <c r="M382" s="363"/>
    </row>
    <row r="383" spans="2:13" ht="16.5" x14ac:dyDescent="0.35">
      <c r="B383" s="247"/>
      <c r="C383" s="364"/>
      <c r="D383" s="363"/>
      <c r="E383" s="363"/>
      <c r="F383" s="363"/>
      <c r="G383" s="365"/>
      <c r="H383" s="250"/>
      <c r="I383" s="250"/>
      <c r="J383" s="365"/>
      <c r="K383" s="247"/>
      <c r="L383" s="363"/>
      <c r="M383" s="363"/>
    </row>
    <row r="384" spans="2:13" ht="16.5" x14ac:dyDescent="0.35">
      <c r="B384" s="247"/>
      <c r="C384" s="364"/>
      <c r="D384" s="363"/>
      <c r="E384" s="363"/>
      <c r="F384" s="363"/>
      <c r="G384" s="365"/>
      <c r="H384" s="250"/>
      <c r="I384" s="250"/>
      <c r="J384" s="365"/>
      <c r="K384" s="247"/>
      <c r="L384" s="363"/>
      <c r="M384" s="363"/>
    </row>
    <row r="385" spans="2:13" ht="16.5" x14ac:dyDescent="0.35">
      <c r="B385" s="247"/>
      <c r="C385" s="364"/>
      <c r="D385" s="363"/>
      <c r="E385" s="363"/>
      <c r="F385" s="363"/>
      <c r="G385" s="365"/>
      <c r="H385" s="250"/>
      <c r="I385" s="250"/>
      <c r="J385" s="365"/>
      <c r="K385" s="247"/>
      <c r="L385" s="363"/>
      <c r="M385" s="363"/>
    </row>
    <row r="386" spans="2:13" ht="16.5" x14ac:dyDescent="0.35">
      <c r="B386" s="247"/>
      <c r="C386" s="364"/>
      <c r="D386" s="363"/>
      <c r="E386" s="363"/>
      <c r="F386" s="363"/>
      <c r="G386" s="365"/>
      <c r="H386" s="250"/>
      <c r="I386" s="250"/>
      <c r="J386" s="365"/>
      <c r="K386" s="247"/>
      <c r="L386" s="363"/>
      <c r="M386" s="363"/>
    </row>
    <row r="387" spans="2:13" ht="16.5" x14ac:dyDescent="0.35">
      <c r="B387" s="247"/>
      <c r="C387" s="364"/>
      <c r="D387" s="363"/>
      <c r="E387" s="363"/>
      <c r="F387" s="363"/>
      <c r="G387" s="365"/>
      <c r="H387" s="250"/>
      <c r="I387" s="250"/>
      <c r="J387" s="365"/>
      <c r="K387" s="247"/>
      <c r="L387" s="363"/>
      <c r="M387" s="363"/>
    </row>
    <row r="388" spans="2:13" ht="16.5" x14ac:dyDescent="0.35">
      <c r="B388" s="247"/>
      <c r="C388" s="364"/>
      <c r="D388" s="363"/>
      <c r="E388" s="363"/>
      <c r="F388" s="363"/>
      <c r="G388" s="365"/>
      <c r="H388" s="250"/>
      <c r="I388" s="250"/>
      <c r="J388" s="365"/>
      <c r="K388" s="247"/>
      <c r="L388" s="363"/>
      <c r="M388" s="363"/>
    </row>
    <row r="389" spans="2:13" ht="16.5" x14ac:dyDescent="0.35">
      <c r="B389" s="247"/>
      <c r="C389" s="364"/>
      <c r="D389" s="363"/>
      <c r="E389" s="363"/>
      <c r="F389" s="363"/>
      <c r="G389" s="365"/>
      <c r="H389" s="250"/>
      <c r="I389" s="250"/>
      <c r="J389" s="365"/>
      <c r="K389" s="247"/>
      <c r="L389" s="363"/>
      <c r="M389" s="363"/>
    </row>
    <row r="390" spans="2:13" ht="16.5" x14ac:dyDescent="0.35">
      <c r="B390" s="247"/>
      <c r="C390" s="364"/>
      <c r="D390" s="363"/>
      <c r="E390" s="363"/>
      <c r="F390" s="363"/>
      <c r="G390" s="365"/>
      <c r="H390" s="250"/>
      <c r="I390" s="250"/>
      <c r="J390" s="365"/>
      <c r="K390" s="247"/>
      <c r="L390" s="363"/>
      <c r="M390" s="363"/>
    </row>
    <row r="391" spans="2:13" ht="16.5" x14ac:dyDescent="0.35">
      <c r="B391" s="247"/>
      <c r="C391" s="364"/>
      <c r="D391" s="363"/>
      <c r="E391" s="363"/>
      <c r="F391" s="363"/>
      <c r="G391" s="365"/>
      <c r="H391" s="250"/>
      <c r="I391" s="250"/>
      <c r="J391" s="365"/>
      <c r="K391" s="247"/>
      <c r="L391" s="363"/>
      <c r="M391" s="363"/>
    </row>
    <row r="392" spans="2:13" ht="16.5" x14ac:dyDescent="0.35">
      <c r="B392" s="247"/>
      <c r="C392" s="364"/>
      <c r="D392" s="363"/>
      <c r="E392" s="363"/>
      <c r="F392" s="363"/>
      <c r="G392" s="365"/>
      <c r="H392" s="250"/>
      <c r="I392" s="250"/>
      <c r="J392" s="365"/>
      <c r="K392" s="247"/>
      <c r="L392" s="363"/>
      <c r="M392" s="363"/>
    </row>
    <row r="393" spans="2:13" ht="16.5" x14ac:dyDescent="0.35">
      <c r="B393" s="247"/>
      <c r="C393" s="364"/>
      <c r="D393" s="363"/>
      <c r="E393" s="363"/>
      <c r="F393" s="363"/>
      <c r="G393" s="365"/>
      <c r="H393" s="250"/>
      <c r="I393" s="250"/>
      <c r="J393" s="365"/>
      <c r="K393" s="247"/>
      <c r="L393" s="363"/>
      <c r="M393" s="363"/>
    </row>
    <row r="394" spans="2:13" ht="16.5" x14ac:dyDescent="0.35">
      <c r="B394" s="247"/>
      <c r="C394" s="364"/>
      <c r="D394" s="363"/>
      <c r="E394" s="363"/>
      <c r="F394" s="363"/>
      <c r="G394" s="365"/>
      <c r="H394" s="250"/>
      <c r="I394" s="250"/>
      <c r="J394" s="365"/>
      <c r="K394" s="247"/>
      <c r="L394" s="363"/>
      <c r="M394" s="363"/>
    </row>
    <row r="395" spans="2:13" ht="16.5" x14ac:dyDescent="0.35">
      <c r="B395" s="247"/>
      <c r="C395" s="364"/>
      <c r="D395" s="363"/>
      <c r="E395" s="363"/>
      <c r="F395" s="363"/>
      <c r="G395" s="365"/>
      <c r="H395" s="250"/>
      <c r="I395" s="250"/>
      <c r="J395" s="365"/>
      <c r="K395" s="247"/>
      <c r="L395" s="363"/>
      <c r="M395" s="363"/>
    </row>
    <row r="396" spans="2:13" ht="16.5" x14ac:dyDescent="0.35">
      <c r="B396" s="247"/>
      <c r="C396" s="364"/>
      <c r="D396" s="363"/>
      <c r="E396" s="363"/>
      <c r="F396" s="363"/>
      <c r="G396" s="365"/>
      <c r="H396" s="250"/>
      <c r="I396" s="250"/>
      <c r="J396" s="365"/>
      <c r="K396" s="247"/>
      <c r="L396" s="363"/>
      <c r="M396" s="363"/>
    </row>
    <row r="397" spans="2:13" ht="16.5" x14ac:dyDescent="0.35">
      <c r="B397" s="247"/>
      <c r="C397" s="364"/>
      <c r="D397" s="363"/>
      <c r="E397" s="363"/>
      <c r="F397" s="363"/>
      <c r="G397" s="365"/>
      <c r="H397" s="250"/>
      <c r="I397" s="250"/>
      <c r="J397" s="365"/>
      <c r="K397" s="247"/>
      <c r="L397" s="363"/>
      <c r="M397" s="363"/>
    </row>
    <row r="398" spans="2:13" ht="16.5" x14ac:dyDescent="0.35">
      <c r="B398" s="247"/>
      <c r="C398" s="364"/>
      <c r="D398" s="363"/>
      <c r="E398" s="363"/>
      <c r="F398" s="363"/>
      <c r="G398" s="365"/>
      <c r="H398" s="250"/>
      <c r="I398" s="250"/>
      <c r="J398" s="365"/>
      <c r="K398" s="247"/>
      <c r="L398" s="363"/>
      <c r="M398" s="363"/>
    </row>
  </sheetData>
  <autoFilter ref="A7:AI350" xr:uid="{00000000-0001-0000-0000-000000000000}">
    <filterColumn colId="2">
      <filters>
        <filter val="Loan Tape"/>
        <filter val="Tabela Output"/>
      </filters>
    </filterColumn>
    <filterColumn colId="13">
      <filters>
        <filter val="1"/>
      </filters>
    </filterColumn>
  </autoFilter>
  <sortState xmlns:xlrd2="http://schemas.microsoft.com/office/spreadsheetml/2017/richdata2" ref="A8:M350">
    <sortCondition ref="D8:D350"/>
    <sortCondition ref="E8:E350"/>
  </sortState>
  <conditionalFormatting sqref="G8:J398">
    <cfRule type="cellIs" dxfId="10" priority="1" operator="equal">
      <formula>"Pendente de desenvolv."</formula>
    </cfRule>
    <cfRule type="cellIs" dxfId="9" priority="2" operator="equal">
      <formula>"Com incidências"</formula>
    </cfRule>
    <cfRule type="cellIs" dxfId="8" priority="3" operator="equal">
      <formula>"Não Concluído"</formula>
    </cfRule>
    <cfRule type="cellIs" dxfId="7" priority="4" operator="equal">
      <formula>"Por iniciar"</formula>
    </cfRule>
    <cfRule type="cellIs" dxfId="6" priority="5" operator="equal">
      <formula>"Em curso"</formula>
    </cfRule>
    <cfRule type="cellIs" dxfId="5" priority="6" operator="equal">
      <formula>"Concluído"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1177E11-089B-4540-AEE4-04ECB504E887}">
          <x14:formula1>
            <xm:f>Aux!$B$18:$B$21</xm:f>
          </x14:formula1>
          <xm:sqref>G8:H1048576</xm:sqref>
        </x14:dataValidation>
        <x14:dataValidation type="list" allowBlank="1" showInputMessage="1" showErrorMessage="1" xr:uid="{090E3AEB-AA03-4FD8-B4BC-C5DCC4365A56}">
          <x14:formula1>
            <xm:f>Aux!$B$9:$B$15</xm:f>
          </x14:formula1>
          <xm:sqref>F8:F1048576</xm:sqref>
        </x14:dataValidation>
        <x14:dataValidation type="list" allowBlank="1" showInputMessage="1" showErrorMessage="1" xr:uid="{8C70074A-63AE-46CC-9F28-1D92D4068A49}">
          <x14:formula1>
            <xm:f>Aux!$B$24:$B$29</xm:f>
          </x14:formula1>
          <xm:sqref>I8:J350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E7E1-463A-41B0-BD42-C161FE592FEA}">
  <sheetPr>
    <tabColor theme="7" tint="0.79998168889431442"/>
  </sheetPr>
  <dimension ref="A1:AD29"/>
  <sheetViews>
    <sheetView showGridLines="0" zoomScale="150" zoomScaleNormal="150" workbookViewId="0"/>
  </sheetViews>
  <sheetFormatPr defaultColWidth="0" defaultRowHeight="14.5" x14ac:dyDescent="0.35"/>
  <cols>
    <col min="1" max="1" width="3.54296875" customWidth="1"/>
    <col min="2" max="2" width="12.453125" bestFit="1" customWidth="1"/>
    <col min="3" max="3" width="13.54296875" bestFit="1" customWidth="1"/>
    <col min="4" max="4" width="25.54296875" bestFit="1" customWidth="1"/>
    <col min="5" max="5" width="27.453125" bestFit="1" customWidth="1"/>
    <col min="6" max="6" width="27.453125" customWidth="1"/>
    <col min="7" max="7" width="12.54296875" bestFit="1" customWidth="1"/>
    <col min="8" max="8" width="15.54296875" customWidth="1"/>
    <col min="9" max="9" width="24.453125" customWidth="1"/>
    <col min="10" max="10" width="18.453125" bestFit="1" customWidth="1"/>
    <col min="11" max="11" width="21.54296875" bestFit="1" customWidth="1"/>
    <col min="12" max="12" width="15.453125" bestFit="1" customWidth="1"/>
    <col min="13" max="13" width="12.453125" bestFit="1" customWidth="1"/>
    <col min="14" max="14" width="3.54296875" customWidth="1"/>
    <col min="15" max="15" width="24.54296875" hidden="1" customWidth="1"/>
    <col min="16" max="16" width="23.54296875" hidden="1" customWidth="1"/>
    <col min="17" max="17" width="32.54296875" hidden="1" customWidth="1"/>
    <col min="18" max="18" width="22" hidden="1" customWidth="1"/>
    <col min="19" max="19" width="15.54296875" hidden="1" customWidth="1"/>
    <col min="20" max="20" width="10.453125" hidden="1" customWidth="1"/>
    <col min="21" max="21" width="14.453125" hidden="1" customWidth="1"/>
    <col min="22" max="22" width="14.54296875" hidden="1" customWidth="1"/>
    <col min="23" max="23" width="6.453125" hidden="1" customWidth="1"/>
    <col min="24" max="24" width="3.54296875" hidden="1" customWidth="1"/>
    <col min="25" max="30" width="0" hidden="1" customWidth="1"/>
    <col min="31" max="16384" width="8.54296875" hidden="1"/>
  </cols>
  <sheetData>
    <row r="1" spans="1:23" s="2" customFormat="1" ht="10.4" customHeight="1" x14ac:dyDescent="0.55000000000000004">
      <c r="A1" s="1"/>
      <c r="B1" s="1"/>
      <c r="C1" s="1"/>
      <c r="D1" s="1"/>
      <c r="E1" s="1"/>
      <c r="F1" s="1"/>
      <c r="G1" s="1"/>
      <c r="H1" s="1"/>
      <c r="I1" s="1"/>
      <c r="J1" s="1"/>
      <c r="K1" s="1"/>
      <c r="L1" s="1"/>
      <c r="M1" s="1"/>
      <c r="N1" s="1"/>
      <c r="O1"/>
      <c r="P1"/>
      <c r="Q1"/>
      <c r="R1"/>
      <c r="S1"/>
      <c r="T1"/>
      <c r="U1"/>
      <c r="V1"/>
      <c r="W1"/>
    </row>
    <row r="2" spans="1:23" s="2" customFormat="1" ht="13.4" customHeight="1" x14ac:dyDescent="0.55000000000000004">
      <c r="A2" s="1"/>
      <c r="B2" s="1"/>
      <c r="C2" s="1"/>
      <c r="D2" s="1"/>
      <c r="E2" s="1"/>
      <c r="F2" s="1"/>
      <c r="G2" s="1"/>
      <c r="H2" s="1"/>
      <c r="I2" s="1"/>
      <c r="J2" s="1"/>
      <c r="K2" s="1"/>
      <c r="L2" s="1"/>
      <c r="M2" s="1"/>
      <c r="N2" s="1"/>
      <c r="O2"/>
      <c r="P2"/>
      <c r="Q2"/>
      <c r="R2"/>
      <c r="S2"/>
      <c r="T2"/>
      <c r="U2"/>
      <c r="V2"/>
      <c r="W2"/>
    </row>
    <row r="3" spans="1:23" s="2" customFormat="1" ht="13.4" customHeight="1" x14ac:dyDescent="0.55000000000000004">
      <c r="A3" s="1"/>
      <c r="B3" s="1"/>
      <c r="C3" s="1"/>
      <c r="D3" s="1"/>
      <c r="E3" s="1"/>
      <c r="F3" s="1"/>
      <c r="G3" s="1"/>
      <c r="H3" s="1"/>
      <c r="I3" s="1"/>
      <c r="J3" s="1"/>
      <c r="K3" s="1"/>
      <c r="L3" s="1"/>
      <c r="M3" s="1"/>
      <c r="N3" s="1"/>
      <c r="O3"/>
      <c r="P3"/>
      <c r="Q3"/>
      <c r="R3"/>
      <c r="S3"/>
      <c r="T3"/>
      <c r="U3"/>
      <c r="V3"/>
      <c r="W3"/>
    </row>
    <row r="4" spans="1:23" s="2" customFormat="1" ht="10.4" customHeight="1" x14ac:dyDescent="0.55000000000000004">
      <c r="A4" s="1"/>
      <c r="B4" s="1"/>
      <c r="C4" s="1"/>
      <c r="D4" s="1"/>
      <c r="E4" s="1"/>
      <c r="F4" s="1"/>
      <c r="G4" s="1"/>
      <c r="H4" s="1"/>
      <c r="I4" s="1"/>
      <c r="J4" s="1"/>
      <c r="K4" s="1"/>
      <c r="L4" s="1"/>
      <c r="M4" s="1"/>
      <c r="N4" s="1"/>
      <c r="O4"/>
      <c r="P4"/>
      <c r="Q4"/>
      <c r="R4"/>
      <c r="S4"/>
      <c r="T4"/>
      <c r="U4"/>
      <c r="V4"/>
      <c r="W4"/>
    </row>
    <row r="5" spans="1:23" s="2" customFormat="1" ht="2.9" customHeight="1" x14ac:dyDescent="0.55000000000000004">
      <c r="A5" s="3"/>
      <c r="B5" s="3"/>
      <c r="C5" s="3"/>
      <c r="D5" s="3"/>
      <c r="E5" s="3"/>
      <c r="F5" s="3"/>
      <c r="G5" s="3"/>
      <c r="H5" s="3"/>
      <c r="I5" s="3"/>
      <c r="J5" s="3"/>
      <c r="K5" s="3"/>
      <c r="L5" s="3"/>
      <c r="M5" s="3"/>
      <c r="N5" s="3"/>
      <c r="O5"/>
      <c r="P5"/>
      <c r="Q5"/>
      <c r="R5"/>
      <c r="S5"/>
      <c r="T5"/>
      <c r="U5"/>
      <c r="V5"/>
      <c r="W5"/>
    </row>
    <row r="7" spans="1:23" x14ac:dyDescent="0.35">
      <c r="B7" s="105" t="s">
        <v>602</v>
      </c>
      <c r="C7" s="106"/>
      <c r="D7" s="106"/>
    </row>
    <row r="8" spans="1:23" ht="5.15" customHeight="1" x14ac:dyDescent="0.35"/>
    <row r="9" spans="1:23" x14ac:dyDescent="0.35">
      <c r="B9" t="s">
        <v>154</v>
      </c>
    </row>
    <row r="10" spans="1:23" x14ac:dyDescent="0.35">
      <c r="B10" t="s">
        <v>215</v>
      </c>
    </row>
    <row r="11" spans="1:23" x14ac:dyDescent="0.35">
      <c r="B11" t="s">
        <v>176</v>
      </c>
    </row>
    <row r="12" spans="1:23" x14ac:dyDescent="0.35">
      <c r="B12" t="s">
        <v>603</v>
      </c>
    </row>
    <row r="13" spans="1:23" x14ac:dyDescent="0.35">
      <c r="B13" t="s">
        <v>604</v>
      </c>
    </row>
    <row r="14" spans="1:23" x14ac:dyDescent="0.35">
      <c r="B14" t="s">
        <v>891</v>
      </c>
    </row>
    <row r="15" spans="1:23" x14ac:dyDescent="0.35">
      <c r="B15" t="s">
        <v>231</v>
      </c>
    </row>
    <row r="17" spans="2:4" x14ac:dyDescent="0.35">
      <c r="B17" s="105" t="s">
        <v>606</v>
      </c>
      <c r="C17" s="104"/>
      <c r="D17" s="104"/>
    </row>
    <row r="18" spans="2:4" x14ac:dyDescent="0.35">
      <c r="B18" t="s">
        <v>231</v>
      </c>
    </row>
    <row r="19" spans="2:4" x14ac:dyDescent="0.35">
      <c r="B19" t="s">
        <v>144</v>
      </c>
    </row>
    <row r="20" spans="2:4" x14ac:dyDescent="0.35">
      <c r="B20" t="s">
        <v>891</v>
      </c>
    </row>
    <row r="21" spans="2:4" x14ac:dyDescent="0.35">
      <c r="B21" t="s">
        <v>850</v>
      </c>
    </row>
    <row r="23" spans="2:4" x14ac:dyDescent="0.35">
      <c r="B23" s="105" t="s">
        <v>849</v>
      </c>
      <c r="C23" s="104"/>
      <c r="D23" s="104"/>
    </row>
    <row r="24" spans="2:4" x14ac:dyDescent="0.35">
      <c r="B24" t="s">
        <v>231</v>
      </c>
    </row>
    <row r="25" spans="2:4" x14ac:dyDescent="0.35">
      <c r="B25" t="s">
        <v>796</v>
      </c>
    </row>
    <row r="26" spans="2:4" x14ac:dyDescent="0.35">
      <c r="B26" t="s">
        <v>144</v>
      </c>
    </row>
    <row r="27" spans="2:4" x14ac:dyDescent="0.35">
      <c r="B27" t="s">
        <v>870</v>
      </c>
    </row>
    <row r="28" spans="2:4" x14ac:dyDescent="0.35">
      <c r="B28" t="s">
        <v>891</v>
      </c>
    </row>
    <row r="29" spans="2:4" x14ac:dyDescent="0.35">
      <c r="B29" t="s">
        <v>873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F3D6-7CFF-4352-A73A-E1CB1E93E2A2}">
  <sheetPr>
    <tabColor rgb="FFFF0000"/>
  </sheetPr>
  <dimension ref="A1"/>
  <sheetViews>
    <sheetView showGridLines="0" showRowColHeaders="0" topLeftCell="XFD1048576" workbookViewId="0">
      <selection sqref="A1:XFD1048576"/>
    </sheetView>
  </sheetViews>
  <sheetFormatPr defaultColWidth="0" defaultRowHeight="14.5" zeroHeight="1" x14ac:dyDescent="0.35"/>
  <cols>
    <col min="1" max="16384" width="8.9062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E3E8F-2C93-4CFC-87E9-07B62A099076}">
  <sheetPr filterMode="1"/>
  <dimension ref="A1:U101"/>
  <sheetViews>
    <sheetView zoomScale="70" zoomScaleNormal="70" workbookViewId="0">
      <pane xSplit="5" ySplit="4" topLeftCell="M14" activePane="bottomRight" state="frozen"/>
      <selection activeCell="J4" sqref="J4"/>
      <selection pane="topRight" activeCell="J4" sqref="J4"/>
      <selection pane="bottomLeft" activeCell="J4" sqref="J4"/>
      <selection pane="bottomRight" activeCell="N91" sqref="N91"/>
    </sheetView>
  </sheetViews>
  <sheetFormatPr defaultColWidth="9.08984375" defaultRowHeight="12.75" customHeight="1" x14ac:dyDescent="0.5"/>
  <cols>
    <col min="1" max="1" width="12.54296875" style="7" customWidth="1"/>
    <col min="2" max="2" width="4.90625" style="7" bestFit="1" customWidth="1"/>
    <col min="3" max="3" width="7.54296875" style="7" customWidth="1"/>
    <col min="4" max="4" width="8.54296875" style="7" customWidth="1"/>
    <col min="5" max="5" width="76.90625" style="7" customWidth="1"/>
    <col min="6" max="6" width="10.453125" style="10" customWidth="1"/>
    <col min="7" max="7" width="10" style="10" customWidth="1"/>
    <col min="8" max="8" width="2.453125" style="7" customWidth="1"/>
    <col min="9" max="9" width="6.08984375" style="9" customWidth="1"/>
    <col min="10" max="10" width="15.54296875" style="9" customWidth="1"/>
    <col min="11" max="12" width="16.54296875" style="9" customWidth="1"/>
    <col min="13" max="13" width="52" style="99" customWidth="1"/>
    <col min="14" max="14" width="23.90625" style="99" customWidth="1"/>
    <col min="15" max="15" width="45.453125" style="99" customWidth="1"/>
    <col min="16" max="16" width="27.453125" style="99" customWidth="1"/>
    <col min="17" max="18" width="14.54296875" style="103" customWidth="1"/>
    <col min="19" max="19" width="25.08984375" style="103" customWidth="1"/>
    <col min="20" max="20" width="0" style="7" hidden="1" customWidth="1"/>
    <col min="21" max="16384" width="9.08984375" style="7"/>
  </cols>
  <sheetData>
    <row r="1" spans="1:21" ht="20.25" customHeight="1" thickBot="1" x14ac:dyDescent="0.55000000000000004">
      <c r="A1" s="402" t="s">
        <v>114</v>
      </c>
      <c r="B1" s="403"/>
      <c r="C1" s="403"/>
      <c r="D1" s="403"/>
      <c r="E1" s="403"/>
      <c r="F1" s="404"/>
      <c r="G1" s="404"/>
      <c r="H1" s="403"/>
      <c r="I1" s="403"/>
      <c r="J1" s="403"/>
      <c r="K1" s="403"/>
      <c r="L1" s="403"/>
      <c r="M1" s="403"/>
      <c r="N1" s="403"/>
      <c r="O1" s="403"/>
      <c r="P1" s="403"/>
      <c r="Q1" s="403"/>
      <c r="R1" s="403"/>
      <c r="S1" s="403"/>
    </row>
    <row r="2" spans="1:21" ht="21" customHeight="1" thickBot="1" x14ac:dyDescent="0.55000000000000004">
      <c r="A2" s="405" t="s">
        <v>115</v>
      </c>
      <c r="B2" s="406"/>
      <c r="C2" s="406"/>
      <c r="D2" s="406"/>
      <c r="E2" s="406"/>
      <c r="F2" s="407"/>
      <c r="G2" s="408"/>
      <c r="H2" s="8"/>
      <c r="I2" s="409" t="s">
        <v>116</v>
      </c>
      <c r="J2" s="410"/>
      <c r="K2" s="410"/>
      <c r="L2" s="410"/>
      <c r="M2" s="410"/>
      <c r="N2" s="410"/>
      <c r="O2" s="410"/>
      <c r="P2" s="411"/>
      <c r="Q2" s="9"/>
      <c r="R2" s="9"/>
    </row>
    <row r="3" spans="1:21" ht="20.25" customHeight="1" thickBot="1" x14ac:dyDescent="0.55000000000000004">
      <c r="A3" s="11"/>
      <c r="B3" s="12"/>
      <c r="C3" s="12"/>
      <c r="D3" s="12"/>
      <c r="E3" s="12"/>
      <c r="F3" s="13"/>
      <c r="G3" s="14"/>
      <c r="H3" s="8"/>
      <c r="I3" s="412" t="s">
        <v>117</v>
      </c>
      <c r="J3" s="413"/>
      <c r="K3" s="413"/>
      <c r="L3" s="413"/>
      <c r="M3" s="414"/>
      <c r="N3" s="415" t="s">
        <v>118</v>
      </c>
      <c r="O3" s="416"/>
      <c r="P3" s="417" t="s">
        <v>119</v>
      </c>
      <c r="Q3" s="15"/>
      <c r="R3" s="15"/>
      <c r="S3" s="195"/>
    </row>
    <row r="4" spans="1:21" ht="62.25" customHeight="1" thickBot="1" x14ac:dyDescent="0.55000000000000004">
      <c r="A4" s="16" t="s">
        <v>120</v>
      </c>
      <c r="B4" s="17" t="s">
        <v>121</v>
      </c>
      <c r="C4" s="17" t="s">
        <v>122</v>
      </c>
      <c r="D4" s="17" t="s">
        <v>123</v>
      </c>
      <c r="E4" s="17" t="s">
        <v>124</v>
      </c>
      <c r="F4" s="18" t="s">
        <v>125</v>
      </c>
      <c r="G4" s="19" t="s">
        <v>126</v>
      </c>
      <c r="H4" s="8"/>
      <c r="I4" s="20" t="s">
        <v>127</v>
      </c>
      <c r="J4" s="21" t="s">
        <v>128</v>
      </c>
      <c r="K4" s="322" t="s">
        <v>129</v>
      </c>
      <c r="L4" s="322" t="s">
        <v>130</v>
      </c>
      <c r="M4" s="323" t="s">
        <v>131</v>
      </c>
      <c r="N4" s="22" t="s">
        <v>128</v>
      </c>
      <c r="O4" s="23" t="s">
        <v>131</v>
      </c>
      <c r="P4" s="418"/>
      <c r="Q4" s="24" t="s">
        <v>132</v>
      </c>
      <c r="R4" s="376" t="s">
        <v>133</v>
      </c>
      <c r="S4" s="377" t="s">
        <v>923</v>
      </c>
    </row>
    <row r="5" spans="1:21" ht="97.4" hidden="1" customHeight="1" x14ac:dyDescent="0.5">
      <c r="A5" s="26" t="s">
        <v>134</v>
      </c>
      <c r="B5" s="27" t="s">
        <v>135</v>
      </c>
      <c r="C5" s="28" t="s">
        <v>136</v>
      </c>
      <c r="D5" s="28" t="s">
        <v>137</v>
      </c>
      <c r="E5" s="29" t="s">
        <v>138</v>
      </c>
      <c r="F5" s="30"/>
      <c r="G5" s="31"/>
      <c r="H5" s="10"/>
      <c r="I5" s="32" t="s">
        <v>139</v>
      </c>
      <c r="J5" s="33"/>
      <c r="K5" s="33"/>
      <c r="L5" s="33"/>
      <c r="M5" s="324"/>
      <c r="N5" s="325" t="s">
        <v>140</v>
      </c>
      <c r="O5" s="34" t="s">
        <v>141</v>
      </c>
      <c r="P5" s="326" t="s">
        <v>142</v>
      </c>
      <c r="Q5" s="35" t="s">
        <v>143</v>
      </c>
      <c r="R5" s="378" t="s">
        <v>144</v>
      </c>
      <c r="S5" s="379" t="s">
        <v>924</v>
      </c>
      <c r="T5" s="7" t="str">
        <f t="shared" ref="T5:T26" si="0">IF(SEARCH(B5,N5,4),"ok","nok")</f>
        <v>ok</v>
      </c>
    </row>
    <row r="6" spans="1:21" ht="70.5" hidden="1" customHeight="1" x14ac:dyDescent="0.5">
      <c r="A6" s="38" t="s">
        <v>145</v>
      </c>
      <c r="B6" s="39" t="s">
        <v>146</v>
      </c>
      <c r="C6" s="40" t="s">
        <v>147</v>
      </c>
      <c r="D6" s="40" t="s">
        <v>148</v>
      </c>
      <c r="E6" s="41" t="s">
        <v>149</v>
      </c>
      <c r="F6" s="42"/>
      <c r="G6" s="43"/>
      <c r="H6" s="10"/>
      <c r="I6" s="44" t="s">
        <v>139</v>
      </c>
      <c r="J6" s="45" t="s">
        <v>150</v>
      </c>
      <c r="K6" s="45"/>
      <c r="L6" s="45" t="str" cm="1">
        <f t="array" ref="L6">_xlfn.SWITCH(C6,"Numeric","999999999999999","String","Not applicable","Date","0001-01-01")</f>
        <v>Not applicable</v>
      </c>
      <c r="M6" s="46"/>
      <c r="N6" s="47" t="s">
        <v>151</v>
      </c>
      <c r="O6" s="46" t="s">
        <v>152</v>
      </c>
      <c r="P6" s="48" t="s">
        <v>153</v>
      </c>
      <c r="Q6" s="35" t="s">
        <v>154</v>
      </c>
      <c r="R6" s="378" t="s">
        <v>144</v>
      </c>
      <c r="S6" s="379" t="s">
        <v>924</v>
      </c>
      <c r="T6" s="7" t="str">
        <f t="shared" si="0"/>
        <v>ok</v>
      </c>
    </row>
    <row r="7" spans="1:21" ht="162.75" hidden="1" customHeight="1" x14ac:dyDescent="0.5">
      <c r="A7" s="38" t="s">
        <v>155</v>
      </c>
      <c r="B7" s="39" t="s">
        <v>156</v>
      </c>
      <c r="C7" s="40" t="s">
        <v>147</v>
      </c>
      <c r="D7" s="40" t="s">
        <v>148</v>
      </c>
      <c r="E7" s="41" t="s">
        <v>157</v>
      </c>
      <c r="F7" s="42"/>
      <c r="G7" s="43"/>
      <c r="H7" s="10"/>
      <c r="I7" s="44" t="s">
        <v>139</v>
      </c>
      <c r="J7" s="45" t="s">
        <v>158</v>
      </c>
      <c r="K7" s="45"/>
      <c r="L7" s="45" t="str" cm="1">
        <f t="array" ref="L7">_xlfn.SWITCH(C7,"Numeric","999999999999999","String","Not applicable","Date","0001-01-01")</f>
        <v>Not applicable</v>
      </c>
      <c r="M7" s="49"/>
      <c r="N7" s="44" t="s">
        <v>159</v>
      </c>
      <c r="O7" s="46" t="s">
        <v>158</v>
      </c>
      <c r="P7" s="48" t="s">
        <v>153</v>
      </c>
      <c r="Q7" s="35" t="s">
        <v>154</v>
      </c>
      <c r="R7" s="378" t="s">
        <v>144</v>
      </c>
      <c r="S7" s="379" t="s">
        <v>924</v>
      </c>
      <c r="T7" s="7" t="str">
        <f t="shared" si="0"/>
        <v>ok</v>
      </c>
    </row>
    <row r="8" spans="1:21" ht="168" hidden="1" customHeight="1" x14ac:dyDescent="0.5">
      <c r="A8" s="38" t="s">
        <v>160</v>
      </c>
      <c r="B8" s="50" t="s">
        <v>161</v>
      </c>
      <c r="C8" s="40" t="s">
        <v>147</v>
      </c>
      <c r="D8" s="40" t="s">
        <v>162</v>
      </c>
      <c r="E8" s="41" t="s">
        <v>163</v>
      </c>
      <c r="F8" s="42"/>
      <c r="G8" s="43"/>
      <c r="H8" s="10"/>
      <c r="I8" s="44" t="s">
        <v>139</v>
      </c>
      <c r="J8" s="45"/>
      <c r="K8" s="45"/>
      <c r="L8" s="45"/>
      <c r="M8" s="51"/>
      <c r="N8" s="44" t="s">
        <v>164</v>
      </c>
      <c r="O8" s="46" t="s">
        <v>165</v>
      </c>
      <c r="P8" s="52" t="s">
        <v>166</v>
      </c>
      <c r="Q8" s="35" t="s">
        <v>143</v>
      </c>
      <c r="R8" s="378" t="s">
        <v>144</v>
      </c>
      <c r="S8" s="380" t="s">
        <v>924</v>
      </c>
      <c r="T8" s="7" t="str">
        <f t="shared" si="0"/>
        <v>ok</v>
      </c>
    </row>
    <row r="9" spans="1:21" ht="190.5" hidden="1" customHeight="1" x14ac:dyDescent="0.5">
      <c r="A9" s="38" t="s">
        <v>167</v>
      </c>
      <c r="B9" s="39">
        <v>50</v>
      </c>
      <c r="C9" s="53" t="s">
        <v>136</v>
      </c>
      <c r="D9" s="53" t="s">
        <v>168</v>
      </c>
      <c r="E9" s="41" t="s">
        <v>169</v>
      </c>
      <c r="F9" s="54" t="s">
        <v>170</v>
      </c>
      <c r="G9" s="43"/>
      <c r="H9" s="10"/>
      <c r="I9" s="44" t="s">
        <v>171</v>
      </c>
      <c r="J9" s="45" t="s">
        <v>172</v>
      </c>
      <c r="K9" s="45"/>
      <c r="L9" s="45" t="str" cm="1">
        <f t="array" ref="L9">_xlfn.SWITCH(C9,"Numeric","999999999999999","String","Not applicable","Date","0001-01-01")</f>
        <v>999999999999999</v>
      </c>
      <c r="M9" s="49" t="s">
        <v>173</v>
      </c>
      <c r="N9" s="44" t="s">
        <v>174</v>
      </c>
      <c r="O9" s="49" t="s">
        <v>172</v>
      </c>
      <c r="P9" s="52" t="s">
        <v>175</v>
      </c>
      <c r="Q9" s="35" t="s">
        <v>176</v>
      </c>
      <c r="R9" s="378" t="s">
        <v>144</v>
      </c>
      <c r="S9" s="380" t="s">
        <v>924</v>
      </c>
      <c r="T9" s="7" t="str">
        <f t="shared" si="0"/>
        <v>ok</v>
      </c>
      <c r="U9" s="10"/>
    </row>
    <row r="10" spans="1:21" ht="96.75" hidden="1" customHeight="1" x14ac:dyDescent="0.5">
      <c r="A10" s="38" t="s">
        <v>177</v>
      </c>
      <c r="B10" s="39" t="s">
        <v>178</v>
      </c>
      <c r="C10" s="53" t="s">
        <v>136</v>
      </c>
      <c r="D10" s="53" t="s">
        <v>168</v>
      </c>
      <c r="E10" s="41" t="s">
        <v>179</v>
      </c>
      <c r="F10" s="54" t="s">
        <v>170</v>
      </c>
      <c r="G10" s="43"/>
      <c r="H10" s="10"/>
      <c r="I10" s="44" t="s">
        <v>171</v>
      </c>
      <c r="J10" s="45" t="s">
        <v>180</v>
      </c>
      <c r="K10" s="45"/>
      <c r="L10" s="45" t="str" cm="1">
        <f t="array" ref="L10">_xlfn.SWITCH(C10,"Numeric","999999999999999","String","Not applicable","Date","0001-01-01")</f>
        <v>999999999999999</v>
      </c>
      <c r="M10" s="46" t="s">
        <v>181</v>
      </c>
      <c r="N10" s="44" t="s">
        <v>182</v>
      </c>
      <c r="O10" s="49" t="s">
        <v>180</v>
      </c>
      <c r="P10" s="52" t="s">
        <v>175</v>
      </c>
      <c r="Q10" s="35" t="s">
        <v>176</v>
      </c>
      <c r="R10" s="378" t="s">
        <v>144</v>
      </c>
      <c r="S10" s="380" t="s">
        <v>924</v>
      </c>
      <c r="T10" s="7" t="str">
        <f t="shared" si="0"/>
        <v>ok</v>
      </c>
      <c r="U10" s="10"/>
    </row>
    <row r="11" spans="1:21" ht="94.5" hidden="1" customHeight="1" x14ac:dyDescent="0.5">
      <c r="A11" s="38" t="s">
        <v>183</v>
      </c>
      <c r="B11" s="55" t="s">
        <v>184</v>
      </c>
      <c r="C11" s="40" t="s">
        <v>147</v>
      </c>
      <c r="D11" s="40" t="s">
        <v>185</v>
      </c>
      <c r="E11" s="41" t="s">
        <v>186</v>
      </c>
      <c r="F11" s="54" t="s">
        <v>187</v>
      </c>
      <c r="G11" s="43"/>
      <c r="H11" s="10"/>
      <c r="I11" s="44" t="s">
        <v>139</v>
      </c>
      <c r="J11" s="45" t="s">
        <v>188</v>
      </c>
      <c r="K11" s="45"/>
      <c r="L11" s="45" t="s">
        <v>189</v>
      </c>
      <c r="M11" s="46"/>
      <c r="N11" s="44" t="s">
        <v>190</v>
      </c>
      <c r="O11" s="46" t="s">
        <v>188</v>
      </c>
      <c r="P11" s="48" t="s">
        <v>153</v>
      </c>
      <c r="Q11" s="35" t="s">
        <v>154</v>
      </c>
      <c r="R11" s="378" t="s">
        <v>144</v>
      </c>
      <c r="S11" s="380" t="s">
        <v>924</v>
      </c>
      <c r="T11" s="7" t="str">
        <f t="shared" si="0"/>
        <v>ok</v>
      </c>
    </row>
    <row r="12" spans="1:21" ht="155.25" hidden="1" customHeight="1" x14ac:dyDescent="0.5">
      <c r="A12" s="38" t="s">
        <v>191</v>
      </c>
      <c r="B12" s="39">
        <v>80</v>
      </c>
      <c r="C12" s="53" t="s">
        <v>136</v>
      </c>
      <c r="D12" s="53" t="s">
        <v>168</v>
      </c>
      <c r="E12" s="41" t="s">
        <v>192</v>
      </c>
      <c r="F12" s="54"/>
      <c r="G12" s="43"/>
      <c r="H12" s="10"/>
      <c r="I12" s="44" t="s">
        <v>171</v>
      </c>
      <c r="J12" s="45" t="s">
        <v>193</v>
      </c>
      <c r="K12" s="45"/>
      <c r="L12" s="45" t="str" cm="1">
        <f t="array" ref="L12">_xlfn.SWITCH(C12,"Numeric","999999999999999","String","Not applicable","Date","0001-01-01")</f>
        <v>999999999999999</v>
      </c>
      <c r="M12" s="327" t="s">
        <v>194</v>
      </c>
      <c r="N12" s="44" t="s">
        <v>195</v>
      </c>
      <c r="O12" s="46" t="s">
        <v>196</v>
      </c>
      <c r="P12" s="52" t="s">
        <v>197</v>
      </c>
      <c r="Q12" s="35" t="s">
        <v>176</v>
      </c>
      <c r="R12" s="378" t="s">
        <v>198</v>
      </c>
      <c r="S12" s="380" t="s">
        <v>924</v>
      </c>
      <c r="T12" s="381" t="str">
        <f t="shared" si="0"/>
        <v>ok</v>
      </c>
    </row>
    <row r="13" spans="1:21" ht="83.25" hidden="1" customHeight="1" x14ac:dyDescent="0.5">
      <c r="A13" s="38" t="s">
        <v>199</v>
      </c>
      <c r="B13" s="39" t="s">
        <v>200</v>
      </c>
      <c r="C13" s="53" t="s">
        <v>136</v>
      </c>
      <c r="D13" s="53" t="s">
        <v>168</v>
      </c>
      <c r="E13" s="41" t="s">
        <v>201</v>
      </c>
      <c r="F13" s="54" t="s">
        <v>170</v>
      </c>
      <c r="G13" s="43"/>
      <c r="H13" s="10"/>
      <c r="I13" s="44" t="s">
        <v>171</v>
      </c>
      <c r="J13" s="45" t="s">
        <v>202</v>
      </c>
      <c r="K13" s="45"/>
      <c r="L13" s="45" t="str" cm="1">
        <f t="array" ref="L13">_xlfn.SWITCH(C13,"Numeric","999999999999999","String","Not applicable","Date","0001-01-01")</f>
        <v>999999999999999</v>
      </c>
      <c r="M13" s="56" t="s">
        <v>203</v>
      </c>
      <c r="N13" s="57" t="s">
        <v>204</v>
      </c>
      <c r="O13" s="56" t="s">
        <v>205</v>
      </c>
      <c r="P13" s="58" t="s">
        <v>206</v>
      </c>
      <c r="Q13" s="35" t="s">
        <v>176</v>
      </c>
      <c r="R13" s="378" t="s">
        <v>198</v>
      </c>
      <c r="S13" s="380" t="s">
        <v>924</v>
      </c>
      <c r="T13" s="7" t="str">
        <f t="shared" si="0"/>
        <v>ok</v>
      </c>
    </row>
    <row r="14" spans="1:21" ht="135.75" customHeight="1" x14ac:dyDescent="0.5">
      <c r="A14" s="38" t="s">
        <v>207</v>
      </c>
      <c r="B14" s="39">
        <v>100</v>
      </c>
      <c r="C14" s="53" t="s">
        <v>136</v>
      </c>
      <c r="D14" s="53" t="s">
        <v>168</v>
      </c>
      <c r="E14" s="41" t="s">
        <v>208</v>
      </c>
      <c r="F14" s="54" t="s">
        <v>170</v>
      </c>
      <c r="G14" s="43" t="s">
        <v>209</v>
      </c>
      <c r="H14" s="10"/>
      <c r="I14" s="44" t="s">
        <v>171</v>
      </c>
      <c r="J14" s="59" t="s">
        <v>210</v>
      </c>
      <c r="K14" s="59"/>
      <c r="L14" s="45" t="str" cm="1">
        <f t="array" ref="L14">_xlfn.SWITCH(C14,"Numeric","999999999999999","String","Not applicable","Date","0001-01-01")</f>
        <v>999999999999999</v>
      </c>
      <c r="M14" s="56" t="s">
        <v>211</v>
      </c>
      <c r="N14" s="57" t="s">
        <v>212</v>
      </c>
      <c r="O14" s="56" t="s">
        <v>213</v>
      </c>
      <c r="P14" s="58" t="s">
        <v>214</v>
      </c>
      <c r="Q14" s="35" t="s">
        <v>215</v>
      </c>
      <c r="R14" s="378" t="s">
        <v>144</v>
      </c>
      <c r="S14" s="380" t="s">
        <v>925</v>
      </c>
      <c r="T14" s="381" t="str">
        <f t="shared" si="0"/>
        <v>ok</v>
      </c>
      <c r="U14" s="37"/>
    </row>
    <row r="15" spans="1:21" ht="141" hidden="1" customHeight="1" x14ac:dyDescent="0.5">
      <c r="A15" s="38" t="s">
        <v>216</v>
      </c>
      <c r="B15" s="39">
        <v>110</v>
      </c>
      <c r="C15" s="53" t="s">
        <v>136</v>
      </c>
      <c r="D15" s="53" t="s">
        <v>168</v>
      </c>
      <c r="E15" s="41" t="s">
        <v>217</v>
      </c>
      <c r="F15" s="54" t="s">
        <v>170</v>
      </c>
      <c r="G15" s="43" t="s">
        <v>209</v>
      </c>
      <c r="H15" s="10"/>
      <c r="I15" s="44" t="s">
        <v>139</v>
      </c>
      <c r="J15" s="45"/>
      <c r="K15" s="45"/>
      <c r="L15" s="45"/>
      <c r="M15" s="56"/>
      <c r="N15" s="57" t="s">
        <v>218</v>
      </c>
      <c r="O15" s="56" t="s">
        <v>219</v>
      </c>
      <c r="P15" s="58" t="s">
        <v>220</v>
      </c>
      <c r="Q15" s="35" t="s">
        <v>143</v>
      </c>
      <c r="R15" s="378" t="s">
        <v>144</v>
      </c>
      <c r="S15" s="380" t="s">
        <v>924</v>
      </c>
      <c r="T15" s="381" t="str">
        <f t="shared" si="0"/>
        <v>ok</v>
      </c>
    </row>
    <row r="16" spans="1:21" ht="165" hidden="1" customHeight="1" x14ac:dyDescent="0.5">
      <c r="A16" s="38" t="s">
        <v>221</v>
      </c>
      <c r="B16" s="39" t="s">
        <v>222</v>
      </c>
      <c r="C16" s="53" t="s">
        <v>136</v>
      </c>
      <c r="D16" s="53" t="s">
        <v>168</v>
      </c>
      <c r="E16" s="41" t="s">
        <v>223</v>
      </c>
      <c r="F16" s="42" t="s">
        <v>170</v>
      </c>
      <c r="G16" s="43"/>
      <c r="H16" s="10"/>
      <c r="I16" s="44" t="s">
        <v>139</v>
      </c>
      <c r="J16" s="45"/>
      <c r="K16" s="45"/>
      <c r="L16" s="45"/>
      <c r="M16" s="49"/>
      <c r="N16" s="57" t="s">
        <v>224</v>
      </c>
      <c r="O16" s="49" t="s">
        <v>225</v>
      </c>
      <c r="P16" s="52" t="s">
        <v>226</v>
      </c>
      <c r="Q16" s="35" t="s">
        <v>143</v>
      </c>
      <c r="R16" s="378" t="s">
        <v>198</v>
      </c>
      <c r="S16" s="380" t="s">
        <v>925</v>
      </c>
      <c r="T16" s="7" t="str">
        <f t="shared" si="0"/>
        <v>ok</v>
      </c>
    </row>
    <row r="17" spans="1:21" ht="127.5" hidden="1" customHeight="1" x14ac:dyDescent="0.5">
      <c r="A17" s="111" t="s">
        <v>609</v>
      </c>
      <c r="B17" s="39" t="s">
        <v>227</v>
      </c>
      <c r="C17" s="53" t="s">
        <v>136</v>
      </c>
      <c r="D17" s="53" t="s">
        <v>168</v>
      </c>
      <c r="E17" s="41" t="s">
        <v>228</v>
      </c>
      <c r="F17" s="42"/>
      <c r="G17" s="43"/>
      <c r="H17" s="10"/>
      <c r="I17" s="44" t="s">
        <v>139</v>
      </c>
      <c r="J17" s="45"/>
      <c r="K17" s="45"/>
      <c r="L17" s="45"/>
      <c r="M17" s="49"/>
      <c r="N17" s="57" t="s">
        <v>229</v>
      </c>
      <c r="O17" s="49" t="s">
        <v>230</v>
      </c>
      <c r="P17" s="52" t="s">
        <v>884</v>
      </c>
      <c r="Q17" s="35" t="s">
        <v>143</v>
      </c>
      <c r="R17" s="378" t="s">
        <v>198</v>
      </c>
      <c r="S17" s="380" t="s">
        <v>925</v>
      </c>
      <c r="T17" s="7" t="str">
        <f t="shared" si="0"/>
        <v>ok</v>
      </c>
      <c r="U17" s="10"/>
    </row>
    <row r="18" spans="1:21" ht="192" hidden="1" customHeight="1" x14ac:dyDescent="0.5">
      <c r="A18" s="38" t="s">
        <v>232</v>
      </c>
      <c r="B18" s="39" t="s">
        <v>233</v>
      </c>
      <c r="C18" s="40" t="s">
        <v>147</v>
      </c>
      <c r="D18" s="40" t="s">
        <v>234</v>
      </c>
      <c r="E18" s="41" t="s">
        <v>235</v>
      </c>
      <c r="F18" s="42"/>
      <c r="G18" s="43"/>
      <c r="H18" s="10"/>
      <c r="I18" s="44" t="s">
        <v>139</v>
      </c>
      <c r="J18" s="45" t="s">
        <v>236</v>
      </c>
      <c r="K18" s="45"/>
      <c r="L18" s="45" t="str" cm="1">
        <f t="array" ref="L18">_xlfn.SWITCH(C18,"Numeric","999999999999999","String","Not applicable","Date","0001-01-01")</f>
        <v>Not applicable</v>
      </c>
      <c r="M18" s="49" t="s">
        <v>237</v>
      </c>
      <c r="N18" s="57" t="s">
        <v>238</v>
      </c>
      <c r="O18" s="49" t="s">
        <v>236</v>
      </c>
      <c r="P18" s="48" t="s">
        <v>239</v>
      </c>
      <c r="Q18" s="35" t="s">
        <v>154</v>
      </c>
      <c r="R18" s="378" t="s">
        <v>144</v>
      </c>
      <c r="S18" s="380" t="s">
        <v>924</v>
      </c>
      <c r="T18" s="7" t="str">
        <f t="shared" si="0"/>
        <v>ok</v>
      </c>
    </row>
    <row r="19" spans="1:21" ht="69" hidden="1" customHeight="1" x14ac:dyDescent="0.5">
      <c r="A19" s="38" t="s">
        <v>240</v>
      </c>
      <c r="B19" s="39" t="s">
        <v>241</v>
      </c>
      <c r="C19" s="40" t="s">
        <v>147</v>
      </c>
      <c r="D19" s="40" t="s">
        <v>148</v>
      </c>
      <c r="E19" s="41" t="s">
        <v>242</v>
      </c>
      <c r="F19" s="42"/>
      <c r="G19" s="43"/>
      <c r="H19" s="10"/>
      <c r="I19" s="44" t="s">
        <v>139</v>
      </c>
      <c r="J19" s="45"/>
      <c r="K19" s="45"/>
      <c r="L19" s="45"/>
      <c r="M19" s="49"/>
      <c r="N19" s="57" t="s">
        <v>243</v>
      </c>
      <c r="O19" s="46" t="s">
        <v>244</v>
      </c>
      <c r="P19" s="48" t="s">
        <v>245</v>
      </c>
      <c r="Q19" s="35" t="s">
        <v>143</v>
      </c>
      <c r="R19" s="378" t="s">
        <v>144</v>
      </c>
      <c r="S19" s="380" t="s">
        <v>924</v>
      </c>
      <c r="T19" s="7" t="str">
        <f t="shared" si="0"/>
        <v>ok</v>
      </c>
    </row>
    <row r="20" spans="1:21" ht="66.75" hidden="1" customHeight="1" x14ac:dyDescent="0.5">
      <c r="A20" s="38" t="s">
        <v>246</v>
      </c>
      <c r="B20" s="39" t="s">
        <v>247</v>
      </c>
      <c r="C20" s="40" t="s">
        <v>147</v>
      </c>
      <c r="D20" s="40" t="s">
        <v>248</v>
      </c>
      <c r="E20" s="41" t="s">
        <v>249</v>
      </c>
      <c r="F20" s="42"/>
      <c r="G20" s="43"/>
      <c r="H20" s="10"/>
      <c r="I20" s="44" t="s">
        <v>139</v>
      </c>
      <c r="J20" s="45"/>
      <c r="K20" s="45"/>
      <c r="L20" s="45"/>
      <c r="M20" s="49"/>
      <c r="N20" s="44" t="s">
        <v>250</v>
      </c>
      <c r="O20" s="46" t="s">
        <v>244</v>
      </c>
      <c r="P20" s="48" t="s">
        <v>610</v>
      </c>
      <c r="Q20" s="35" t="s">
        <v>143</v>
      </c>
      <c r="R20" s="378" t="s">
        <v>144</v>
      </c>
      <c r="S20" s="380" t="s">
        <v>924</v>
      </c>
      <c r="T20" s="7" t="str">
        <f t="shared" si="0"/>
        <v>ok</v>
      </c>
    </row>
    <row r="21" spans="1:21" ht="115.5" hidden="1" customHeight="1" x14ac:dyDescent="0.5">
      <c r="A21" s="38" t="s">
        <v>251</v>
      </c>
      <c r="B21" s="39" t="s">
        <v>252</v>
      </c>
      <c r="C21" s="53" t="s">
        <v>136</v>
      </c>
      <c r="D21" s="40" t="s">
        <v>137</v>
      </c>
      <c r="E21" s="41" t="s">
        <v>253</v>
      </c>
      <c r="F21" s="42"/>
      <c r="G21" s="43"/>
      <c r="H21" s="10"/>
      <c r="I21" s="44" t="s">
        <v>171</v>
      </c>
      <c r="J21" s="45" t="s">
        <v>254</v>
      </c>
      <c r="K21" s="45"/>
      <c r="L21" s="45" t="str" cm="1">
        <f t="array" ref="L21">_xlfn.SWITCH(C21,"Numeric","999999999999999","String","Not applicable","Date","0001-01-01")</f>
        <v>999999999999999</v>
      </c>
      <c r="M21" s="49" t="s">
        <v>255</v>
      </c>
      <c r="N21" s="44" t="s">
        <v>256</v>
      </c>
      <c r="O21" s="49" t="s">
        <v>254</v>
      </c>
      <c r="P21" s="52" t="s">
        <v>257</v>
      </c>
      <c r="Q21" s="35" t="s">
        <v>176</v>
      </c>
      <c r="R21" s="378" t="s">
        <v>144</v>
      </c>
      <c r="S21" s="380" t="s">
        <v>924</v>
      </c>
      <c r="T21" s="7" t="str">
        <f t="shared" si="0"/>
        <v>ok</v>
      </c>
    </row>
    <row r="22" spans="1:21" ht="162" hidden="1" customHeight="1" x14ac:dyDescent="0.5">
      <c r="A22" s="38" t="s">
        <v>258</v>
      </c>
      <c r="B22" s="39" t="s">
        <v>259</v>
      </c>
      <c r="C22" s="53" t="s">
        <v>136</v>
      </c>
      <c r="D22" s="53" t="s">
        <v>168</v>
      </c>
      <c r="E22" s="41" t="s">
        <v>260</v>
      </c>
      <c r="F22" s="54" t="s">
        <v>170</v>
      </c>
      <c r="G22" s="43"/>
      <c r="H22" s="10"/>
      <c r="I22" s="44" t="s">
        <v>139</v>
      </c>
      <c r="J22" s="45"/>
      <c r="K22" s="45"/>
      <c r="L22" s="45"/>
      <c r="M22" s="49"/>
      <c r="N22" s="44" t="s">
        <v>261</v>
      </c>
      <c r="O22" s="49" t="s">
        <v>262</v>
      </c>
      <c r="P22" s="52" t="s">
        <v>263</v>
      </c>
      <c r="Q22" s="35" t="s">
        <v>143</v>
      </c>
      <c r="R22" s="378" t="s">
        <v>144</v>
      </c>
      <c r="S22" s="380" t="s">
        <v>924</v>
      </c>
      <c r="T22" s="7" t="str">
        <f t="shared" si="0"/>
        <v>ok</v>
      </c>
    </row>
    <row r="23" spans="1:21" ht="163.5" hidden="1" customHeight="1" x14ac:dyDescent="0.5">
      <c r="A23" s="38" t="s">
        <v>264</v>
      </c>
      <c r="B23" s="39">
        <v>162</v>
      </c>
      <c r="C23" s="40" t="s">
        <v>147</v>
      </c>
      <c r="D23" s="40" t="s">
        <v>265</v>
      </c>
      <c r="E23" s="41" t="s">
        <v>266</v>
      </c>
      <c r="F23" s="42"/>
      <c r="G23" s="43"/>
      <c r="H23" s="10"/>
      <c r="I23" s="44" t="s">
        <v>139</v>
      </c>
      <c r="J23" s="45" t="s">
        <v>254</v>
      </c>
      <c r="K23" s="45"/>
      <c r="L23" s="45" t="str" cm="1">
        <f t="array" ref="L23">_xlfn.SWITCH(C23,"Numeric","999999999999999","String","Not applicable","Date","0001-01-01")</f>
        <v>Not applicable</v>
      </c>
      <c r="M23" s="49"/>
      <c r="N23" s="44" t="s">
        <v>267</v>
      </c>
      <c r="O23" s="49" t="s">
        <v>254</v>
      </c>
      <c r="P23" s="52" t="s">
        <v>268</v>
      </c>
      <c r="Q23" s="35" t="s">
        <v>143</v>
      </c>
      <c r="R23" s="378" t="s">
        <v>144</v>
      </c>
      <c r="S23" s="380" t="s">
        <v>924</v>
      </c>
      <c r="T23" s="7" t="str">
        <f t="shared" si="0"/>
        <v>ok</v>
      </c>
    </row>
    <row r="24" spans="1:21" ht="99.75" hidden="1" customHeight="1" x14ac:dyDescent="0.5">
      <c r="A24" s="38" t="s">
        <v>269</v>
      </c>
      <c r="B24" s="39" t="s">
        <v>270</v>
      </c>
      <c r="C24" s="53" t="s">
        <v>271</v>
      </c>
      <c r="D24" s="53" t="s">
        <v>272</v>
      </c>
      <c r="E24" s="41" t="s">
        <v>273</v>
      </c>
      <c r="F24" s="42"/>
      <c r="G24" s="43"/>
      <c r="H24" s="10"/>
      <c r="I24" s="44" t="s">
        <v>139</v>
      </c>
      <c r="J24" s="45" t="s">
        <v>274</v>
      </c>
      <c r="K24" s="45"/>
      <c r="L24" s="45" t="str" cm="1">
        <f t="array" ref="L24">_xlfn.SWITCH(C24,"Numeric","999999999999999","String","Not applicable","Date","0001-01-01")</f>
        <v>0001-01-01</v>
      </c>
      <c r="M24" s="49" t="s">
        <v>275</v>
      </c>
      <c r="N24" s="44" t="s">
        <v>276</v>
      </c>
      <c r="O24" s="49" t="s">
        <v>274</v>
      </c>
      <c r="P24" s="52" t="s">
        <v>277</v>
      </c>
      <c r="Q24" s="35" t="s">
        <v>154</v>
      </c>
      <c r="R24" s="378" t="s">
        <v>144</v>
      </c>
      <c r="S24" s="380" t="s">
        <v>924</v>
      </c>
      <c r="T24" s="7" t="str">
        <f t="shared" si="0"/>
        <v>ok</v>
      </c>
    </row>
    <row r="25" spans="1:21" ht="180" hidden="1" customHeight="1" x14ac:dyDescent="0.5">
      <c r="A25" s="38" t="s">
        <v>278</v>
      </c>
      <c r="B25" s="55" t="s">
        <v>279</v>
      </c>
      <c r="C25" s="53" t="s">
        <v>271</v>
      </c>
      <c r="D25" s="53" t="s">
        <v>272</v>
      </c>
      <c r="E25" s="41" t="s">
        <v>280</v>
      </c>
      <c r="F25" s="54" t="s">
        <v>281</v>
      </c>
      <c r="G25" s="60" t="s">
        <v>209</v>
      </c>
      <c r="H25" s="10"/>
      <c r="I25" s="44" t="s">
        <v>171</v>
      </c>
      <c r="J25" s="45" t="s">
        <v>282</v>
      </c>
      <c r="K25" s="45"/>
      <c r="L25" s="45" t="str" cm="1">
        <f t="array" ref="L25">_xlfn.SWITCH(C25,"Numeric","999999999999999","String","Not applicable","Date","0001-01-01")</f>
        <v>0001-01-01</v>
      </c>
      <c r="M25" s="49" t="s">
        <v>283</v>
      </c>
      <c r="N25" s="44" t="s">
        <v>284</v>
      </c>
      <c r="O25" s="49" t="s">
        <v>282</v>
      </c>
      <c r="P25" s="52" t="s">
        <v>285</v>
      </c>
      <c r="Q25" s="35" t="s">
        <v>176</v>
      </c>
      <c r="R25" s="378" t="s">
        <v>144</v>
      </c>
      <c r="S25" s="380" t="s">
        <v>924</v>
      </c>
      <c r="T25" s="7" t="str">
        <f t="shared" si="0"/>
        <v>ok</v>
      </c>
    </row>
    <row r="26" spans="1:21" ht="121.5" hidden="1" customHeight="1" x14ac:dyDescent="0.5">
      <c r="A26" s="38" t="s">
        <v>286</v>
      </c>
      <c r="B26" s="39" t="s">
        <v>287</v>
      </c>
      <c r="C26" s="53" t="s">
        <v>271</v>
      </c>
      <c r="D26" s="53" t="s">
        <v>272</v>
      </c>
      <c r="E26" s="41" t="s">
        <v>288</v>
      </c>
      <c r="F26" s="54" t="s">
        <v>289</v>
      </c>
      <c r="G26" s="43"/>
      <c r="H26" s="10"/>
      <c r="I26" s="44" t="s">
        <v>139</v>
      </c>
      <c r="J26" s="45"/>
      <c r="K26" s="45"/>
      <c r="L26" s="45"/>
      <c r="M26" s="49"/>
      <c r="N26" s="44" t="s">
        <v>290</v>
      </c>
      <c r="O26" s="49" t="s">
        <v>291</v>
      </c>
      <c r="P26" s="52" t="s">
        <v>292</v>
      </c>
      <c r="Q26" s="35" t="s">
        <v>143</v>
      </c>
      <c r="R26" s="378" t="s">
        <v>144</v>
      </c>
      <c r="S26" s="380" t="s">
        <v>924</v>
      </c>
      <c r="T26" s="7" t="str">
        <f t="shared" si="0"/>
        <v>ok</v>
      </c>
      <c r="U26" s="37"/>
    </row>
    <row r="27" spans="1:21" ht="147" hidden="1" customHeight="1" x14ac:dyDescent="0.5">
      <c r="A27" s="38" t="s">
        <v>293</v>
      </c>
      <c r="B27" s="55" t="s">
        <v>294</v>
      </c>
      <c r="C27" s="53" t="s">
        <v>271</v>
      </c>
      <c r="D27" s="53" t="s">
        <v>272</v>
      </c>
      <c r="E27" s="41" t="s">
        <v>295</v>
      </c>
      <c r="F27" s="54" t="s">
        <v>281</v>
      </c>
      <c r="G27" s="43"/>
      <c r="H27" s="10"/>
      <c r="I27" s="44" t="s">
        <v>139</v>
      </c>
      <c r="J27" s="45"/>
      <c r="K27" s="45"/>
      <c r="L27" s="45"/>
      <c r="M27" s="49"/>
      <c r="N27" s="44" t="s">
        <v>296</v>
      </c>
      <c r="O27" s="49" t="s">
        <v>297</v>
      </c>
      <c r="P27" s="52" t="s">
        <v>298</v>
      </c>
      <c r="Q27" s="35" t="s">
        <v>143</v>
      </c>
      <c r="R27" s="378" t="s">
        <v>144</v>
      </c>
      <c r="S27" s="380" t="s">
        <v>924</v>
      </c>
      <c r="T27" s="37" t="s">
        <v>299</v>
      </c>
      <c r="U27" s="37"/>
    </row>
    <row r="28" spans="1:21" ht="131.25" hidden="1" customHeight="1" x14ac:dyDescent="0.5">
      <c r="A28" s="38" t="s">
        <v>300</v>
      </c>
      <c r="B28" s="55" t="s">
        <v>301</v>
      </c>
      <c r="C28" s="53" t="s">
        <v>271</v>
      </c>
      <c r="D28" s="53" t="s">
        <v>272</v>
      </c>
      <c r="E28" s="41" t="s">
        <v>302</v>
      </c>
      <c r="F28" s="54" t="s">
        <v>281</v>
      </c>
      <c r="G28" s="43"/>
      <c r="H28" s="10"/>
      <c r="I28" s="44" t="s">
        <v>139</v>
      </c>
      <c r="J28" s="45" t="s">
        <v>291</v>
      </c>
      <c r="K28" s="45"/>
      <c r="L28" s="45" t="str" cm="1">
        <f t="array" ref="L28">_xlfn.SWITCH(C28,"Numeric","999999999999999","String","Not applicable","Date","0001-01-01")</f>
        <v>0001-01-01</v>
      </c>
      <c r="M28" s="46" t="s">
        <v>303</v>
      </c>
      <c r="N28" s="44" t="s">
        <v>304</v>
      </c>
      <c r="O28" s="46" t="s">
        <v>291</v>
      </c>
      <c r="P28" s="52" t="s">
        <v>305</v>
      </c>
      <c r="Q28" s="35" t="s">
        <v>154</v>
      </c>
      <c r="R28" s="378" t="s">
        <v>144</v>
      </c>
      <c r="S28" s="380" t="s">
        <v>924</v>
      </c>
      <c r="T28" s="7" t="str">
        <f t="shared" ref="T28:T85" si="1">IF(SEARCH(B28,N28,4),"ok","nok")</f>
        <v>ok</v>
      </c>
    </row>
    <row r="29" spans="1:21" ht="88.5" hidden="1" customHeight="1" x14ac:dyDescent="0.5">
      <c r="A29" s="38" t="s">
        <v>306</v>
      </c>
      <c r="B29" s="39" t="s">
        <v>307</v>
      </c>
      <c r="C29" s="40" t="s">
        <v>147</v>
      </c>
      <c r="D29" s="53" t="s">
        <v>308</v>
      </c>
      <c r="E29" s="41" t="s">
        <v>309</v>
      </c>
      <c r="F29" s="54" t="s">
        <v>310</v>
      </c>
      <c r="G29" s="43"/>
      <c r="H29" s="10"/>
      <c r="I29" s="44" t="s">
        <v>139</v>
      </c>
      <c r="J29" s="45" t="s">
        <v>311</v>
      </c>
      <c r="K29" s="45"/>
      <c r="L29" s="45" t="s">
        <v>312</v>
      </c>
      <c r="M29" s="49"/>
      <c r="N29" s="44" t="s">
        <v>313</v>
      </c>
      <c r="O29" s="49" t="s">
        <v>311</v>
      </c>
      <c r="P29" s="52" t="s">
        <v>277</v>
      </c>
      <c r="Q29" s="35" t="s">
        <v>154</v>
      </c>
      <c r="R29" s="378" t="s">
        <v>144</v>
      </c>
      <c r="S29" s="380" t="s">
        <v>924</v>
      </c>
      <c r="T29" s="7" t="str">
        <f t="shared" si="1"/>
        <v>ok</v>
      </c>
    </row>
    <row r="30" spans="1:21" ht="177.75" hidden="1" customHeight="1" x14ac:dyDescent="0.5">
      <c r="A30" s="38" t="s">
        <v>314</v>
      </c>
      <c r="B30" s="55" t="s">
        <v>315</v>
      </c>
      <c r="C30" s="40" t="s">
        <v>147</v>
      </c>
      <c r="D30" s="40" t="s">
        <v>234</v>
      </c>
      <c r="E30" s="41" t="s">
        <v>316</v>
      </c>
      <c r="F30" s="54" t="s">
        <v>317</v>
      </c>
      <c r="G30" s="43"/>
      <c r="H30" s="10"/>
      <c r="I30" s="44" t="s">
        <v>139</v>
      </c>
      <c r="J30" s="45"/>
      <c r="K30" s="45"/>
      <c r="L30" s="45"/>
      <c r="M30" s="49"/>
      <c r="N30" s="44" t="s">
        <v>318</v>
      </c>
      <c r="O30" s="49" t="s">
        <v>319</v>
      </c>
      <c r="P30" s="52" t="s">
        <v>320</v>
      </c>
      <c r="Q30" s="35" t="s">
        <v>143</v>
      </c>
      <c r="R30" s="378" t="s">
        <v>144</v>
      </c>
      <c r="S30" s="380" t="s">
        <v>924</v>
      </c>
      <c r="T30" s="7" t="str">
        <f t="shared" si="1"/>
        <v>ok</v>
      </c>
    </row>
    <row r="31" spans="1:21" ht="119.25" hidden="1" customHeight="1" x14ac:dyDescent="0.5">
      <c r="A31" s="38" t="s">
        <v>321</v>
      </c>
      <c r="B31" s="55" t="s">
        <v>322</v>
      </c>
      <c r="C31" s="40" t="s">
        <v>147</v>
      </c>
      <c r="D31" s="40" t="s">
        <v>234</v>
      </c>
      <c r="E31" s="41" t="s">
        <v>323</v>
      </c>
      <c r="F31" s="61"/>
      <c r="G31" s="62"/>
      <c r="H31" s="10"/>
      <c r="I31" s="44" t="s">
        <v>139</v>
      </c>
      <c r="J31" s="45"/>
      <c r="K31" s="45"/>
      <c r="L31" s="45"/>
      <c r="M31" s="49"/>
      <c r="N31" s="44" t="s">
        <v>324</v>
      </c>
      <c r="O31" s="49" t="s">
        <v>325</v>
      </c>
      <c r="P31" s="52" t="s">
        <v>320</v>
      </c>
      <c r="Q31" s="35" t="s">
        <v>143</v>
      </c>
      <c r="R31" s="378" t="s">
        <v>144</v>
      </c>
      <c r="S31" s="380" t="s">
        <v>924</v>
      </c>
      <c r="T31" s="7" t="str">
        <f t="shared" si="1"/>
        <v>ok</v>
      </c>
    </row>
    <row r="32" spans="1:21" ht="276" hidden="1" customHeight="1" x14ac:dyDescent="0.5">
      <c r="A32" s="38" t="s">
        <v>326</v>
      </c>
      <c r="B32" s="39" t="s">
        <v>327</v>
      </c>
      <c r="C32" s="40" t="s">
        <v>147</v>
      </c>
      <c r="D32" s="40" t="s">
        <v>234</v>
      </c>
      <c r="E32" s="63" t="s">
        <v>328</v>
      </c>
      <c r="F32" s="64" t="s">
        <v>329</v>
      </c>
      <c r="G32" s="65" t="s">
        <v>329</v>
      </c>
      <c r="H32" s="66"/>
      <c r="I32" s="44" t="s">
        <v>139</v>
      </c>
      <c r="J32" s="45"/>
      <c r="K32" s="45"/>
      <c r="L32" s="45"/>
      <c r="M32" s="49"/>
      <c r="N32" s="44" t="s">
        <v>330</v>
      </c>
      <c r="O32" s="328" t="s">
        <v>331</v>
      </c>
      <c r="P32" s="48" t="s">
        <v>611</v>
      </c>
      <c r="Q32" s="35" t="s">
        <v>143</v>
      </c>
      <c r="R32" s="378" t="s">
        <v>144</v>
      </c>
      <c r="S32" s="380" t="s">
        <v>924</v>
      </c>
      <c r="T32" s="7" t="str">
        <f t="shared" si="1"/>
        <v>ok</v>
      </c>
    </row>
    <row r="33" spans="1:21" ht="78.75" hidden="1" customHeight="1" x14ac:dyDescent="0.5">
      <c r="A33" s="38" t="s">
        <v>332</v>
      </c>
      <c r="B33" s="39" t="s">
        <v>333</v>
      </c>
      <c r="C33" s="53" t="s">
        <v>136</v>
      </c>
      <c r="D33" s="53" t="s">
        <v>168</v>
      </c>
      <c r="E33" s="63" t="s">
        <v>334</v>
      </c>
      <c r="F33" s="64" t="s">
        <v>329</v>
      </c>
      <c r="G33" s="65" t="s">
        <v>329</v>
      </c>
      <c r="H33" s="66"/>
      <c r="I33" s="44" t="s">
        <v>139</v>
      </c>
      <c r="J33" s="45"/>
      <c r="K33" s="45"/>
      <c r="L33" s="45"/>
      <c r="M33" s="49"/>
      <c r="N33" s="44" t="s">
        <v>335</v>
      </c>
      <c r="O33" s="46" t="s">
        <v>336</v>
      </c>
      <c r="P33" s="48" t="s">
        <v>610</v>
      </c>
      <c r="Q33" s="35" t="s">
        <v>143</v>
      </c>
      <c r="R33" s="378" t="s">
        <v>144</v>
      </c>
      <c r="S33" s="380" t="s">
        <v>924</v>
      </c>
      <c r="T33" s="7" t="str">
        <f t="shared" si="1"/>
        <v>ok</v>
      </c>
    </row>
    <row r="34" spans="1:21" ht="104.25" hidden="1" customHeight="1" x14ac:dyDescent="0.5">
      <c r="A34" s="38" t="s">
        <v>337</v>
      </c>
      <c r="B34" s="39" t="s">
        <v>338</v>
      </c>
      <c r="C34" s="53" t="s">
        <v>136</v>
      </c>
      <c r="D34" s="53" t="s">
        <v>168</v>
      </c>
      <c r="E34" s="63" t="s">
        <v>339</v>
      </c>
      <c r="F34" s="64" t="s">
        <v>329</v>
      </c>
      <c r="G34" s="65" t="s">
        <v>329</v>
      </c>
      <c r="H34" s="66"/>
      <c r="I34" s="44" t="s">
        <v>139</v>
      </c>
      <c r="J34" s="45"/>
      <c r="K34" s="45"/>
      <c r="L34" s="45"/>
      <c r="M34" s="49"/>
      <c r="N34" s="44" t="s">
        <v>340</v>
      </c>
      <c r="O34" s="49" t="s">
        <v>262</v>
      </c>
      <c r="P34" s="48" t="s">
        <v>610</v>
      </c>
      <c r="Q34" s="35" t="s">
        <v>143</v>
      </c>
      <c r="R34" s="378" t="s">
        <v>144</v>
      </c>
      <c r="S34" s="380" t="s">
        <v>924</v>
      </c>
      <c r="T34" s="7" t="str">
        <f t="shared" si="1"/>
        <v>ok</v>
      </c>
    </row>
    <row r="35" spans="1:21" ht="67.5" hidden="1" customHeight="1" x14ac:dyDescent="0.5">
      <c r="A35" s="38" t="s">
        <v>341</v>
      </c>
      <c r="B35" s="39" t="s">
        <v>342</v>
      </c>
      <c r="C35" s="40" t="s">
        <v>147</v>
      </c>
      <c r="D35" s="40" t="s">
        <v>248</v>
      </c>
      <c r="E35" s="63" t="s">
        <v>343</v>
      </c>
      <c r="F35" s="64" t="s">
        <v>329</v>
      </c>
      <c r="G35" s="65" t="s">
        <v>329</v>
      </c>
      <c r="H35" s="66"/>
      <c r="I35" s="44" t="s">
        <v>139</v>
      </c>
      <c r="J35" s="45"/>
      <c r="K35" s="45"/>
      <c r="L35" s="45"/>
      <c r="M35" s="49"/>
      <c r="N35" s="44" t="s">
        <v>344</v>
      </c>
      <c r="O35" s="67" t="s">
        <v>345</v>
      </c>
      <c r="P35" s="52" t="s">
        <v>346</v>
      </c>
      <c r="Q35" s="35" t="s">
        <v>143</v>
      </c>
      <c r="R35" s="378" t="s">
        <v>144</v>
      </c>
      <c r="S35" s="380" t="s">
        <v>924</v>
      </c>
      <c r="T35" s="7" t="str">
        <f t="shared" si="1"/>
        <v>ok</v>
      </c>
    </row>
    <row r="36" spans="1:21" ht="67.5" hidden="1" customHeight="1" x14ac:dyDescent="0.5">
      <c r="A36" s="38" t="s">
        <v>347</v>
      </c>
      <c r="B36" s="39" t="s">
        <v>348</v>
      </c>
      <c r="C36" s="40" t="s">
        <v>147</v>
      </c>
      <c r="D36" s="40" t="s">
        <v>248</v>
      </c>
      <c r="E36" s="63" t="s">
        <v>349</v>
      </c>
      <c r="F36" s="64" t="s">
        <v>329</v>
      </c>
      <c r="G36" s="65" t="s">
        <v>329</v>
      </c>
      <c r="H36" s="66"/>
      <c r="I36" s="44" t="s">
        <v>139</v>
      </c>
      <c r="J36" s="45"/>
      <c r="K36" s="45"/>
      <c r="L36" s="45"/>
      <c r="M36" s="49"/>
      <c r="N36" s="44" t="s">
        <v>350</v>
      </c>
      <c r="O36" s="67" t="s">
        <v>345</v>
      </c>
      <c r="P36" s="52" t="s">
        <v>346</v>
      </c>
      <c r="Q36" s="35" t="s">
        <v>143</v>
      </c>
      <c r="R36" s="378" t="s">
        <v>144</v>
      </c>
      <c r="S36" s="380" t="s">
        <v>924</v>
      </c>
      <c r="T36" s="7" t="str">
        <f t="shared" si="1"/>
        <v>ok</v>
      </c>
    </row>
    <row r="37" spans="1:21" ht="113.25" hidden="1" customHeight="1" x14ac:dyDescent="0.5">
      <c r="A37" s="38" t="s">
        <v>351</v>
      </c>
      <c r="B37" s="39" t="s">
        <v>352</v>
      </c>
      <c r="C37" s="53" t="s">
        <v>136</v>
      </c>
      <c r="D37" s="53" t="s">
        <v>168</v>
      </c>
      <c r="E37" s="63" t="s">
        <v>353</v>
      </c>
      <c r="F37" s="64" t="s">
        <v>329</v>
      </c>
      <c r="G37" s="65" t="s">
        <v>329</v>
      </c>
      <c r="H37" s="66"/>
      <c r="I37" s="44" t="s">
        <v>139</v>
      </c>
      <c r="J37" s="45"/>
      <c r="K37" s="45"/>
      <c r="L37" s="45"/>
      <c r="M37" s="46"/>
      <c r="N37" s="47" t="s">
        <v>354</v>
      </c>
      <c r="O37" s="46" t="s">
        <v>262</v>
      </c>
      <c r="P37" s="52" t="s">
        <v>355</v>
      </c>
      <c r="Q37" s="35" t="s">
        <v>143</v>
      </c>
      <c r="R37" s="378" t="s">
        <v>144</v>
      </c>
      <c r="S37" s="380" t="s">
        <v>924</v>
      </c>
      <c r="T37" s="7" t="str">
        <f t="shared" si="1"/>
        <v>ok</v>
      </c>
    </row>
    <row r="38" spans="1:21" ht="93" hidden="1" customHeight="1" x14ac:dyDescent="0.5">
      <c r="A38" s="38" t="s">
        <v>356</v>
      </c>
      <c r="B38" s="39" t="s">
        <v>357</v>
      </c>
      <c r="C38" s="40" t="s">
        <v>147</v>
      </c>
      <c r="D38" s="40" t="s">
        <v>234</v>
      </c>
      <c r="E38" s="63" t="s">
        <v>358</v>
      </c>
      <c r="F38" s="64" t="s">
        <v>329</v>
      </c>
      <c r="G38" s="65" t="s">
        <v>329</v>
      </c>
      <c r="H38" s="66"/>
      <c r="I38" s="44" t="s">
        <v>139</v>
      </c>
      <c r="J38" s="45"/>
      <c r="K38" s="45"/>
      <c r="L38" s="45"/>
      <c r="M38" s="49"/>
      <c r="N38" s="44" t="s">
        <v>359</v>
      </c>
      <c r="O38" s="328" t="s">
        <v>360</v>
      </c>
      <c r="P38" s="48" t="s">
        <v>612</v>
      </c>
      <c r="Q38" s="35" t="s">
        <v>143</v>
      </c>
      <c r="R38" s="378" t="s">
        <v>144</v>
      </c>
      <c r="S38" s="380" t="s">
        <v>924</v>
      </c>
      <c r="T38" s="7" t="str">
        <f t="shared" si="1"/>
        <v>ok</v>
      </c>
    </row>
    <row r="39" spans="1:21" ht="147" hidden="1" customHeight="1" x14ac:dyDescent="0.5">
      <c r="A39" s="38" t="s">
        <v>361</v>
      </c>
      <c r="B39" s="39" t="s">
        <v>362</v>
      </c>
      <c r="C39" s="53" t="s">
        <v>136</v>
      </c>
      <c r="D39" s="53" t="s">
        <v>168</v>
      </c>
      <c r="E39" s="63" t="s">
        <v>363</v>
      </c>
      <c r="F39" s="64" t="s">
        <v>329</v>
      </c>
      <c r="G39" s="65" t="s">
        <v>329</v>
      </c>
      <c r="H39" s="66"/>
      <c r="I39" s="44" t="s">
        <v>139</v>
      </c>
      <c r="J39" s="45"/>
      <c r="K39" s="45"/>
      <c r="L39" s="45"/>
      <c r="M39" s="46"/>
      <c r="N39" s="47" t="s">
        <v>364</v>
      </c>
      <c r="O39" s="49" t="s">
        <v>262</v>
      </c>
      <c r="P39" s="48" t="s">
        <v>610</v>
      </c>
      <c r="Q39" s="35" t="s">
        <v>143</v>
      </c>
      <c r="R39" s="378" t="s">
        <v>144</v>
      </c>
      <c r="S39" s="380" t="s">
        <v>924</v>
      </c>
      <c r="T39" s="7" t="str">
        <f t="shared" si="1"/>
        <v>ok</v>
      </c>
    </row>
    <row r="40" spans="1:21" ht="70.5" hidden="1" customHeight="1" x14ac:dyDescent="0.5">
      <c r="A40" s="38" t="s">
        <v>365</v>
      </c>
      <c r="B40" s="39" t="s">
        <v>366</v>
      </c>
      <c r="C40" s="53" t="s">
        <v>136</v>
      </c>
      <c r="D40" s="53" t="s">
        <v>168</v>
      </c>
      <c r="E40" s="63" t="s">
        <v>367</v>
      </c>
      <c r="F40" s="64" t="s">
        <v>329</v>
      </c>
      <c r="G40" s="68" t="s">
        <v>209</v>
      </c>
      <c r="H40" s="66"/>
      <c r="I40" s="44" t="s">
        <v>139</v>
      </c>
      <c r="J40" s="45"/>
      <c r="K40" s="45"/>
      <c r="L40" s="45"/>
      <c r="M40" s="46"/>
      <c r="N40" s="47" t="s">
        <v>368</v>
      </c>
      <c r="O40" s="49" t="s">
        <v>262</v>
      </c>
      <c r="P40" s="48" t="s">
        <v>610</v>
      </c>
      <c r="Q40" s="35" t="s">
        <v>143</v>
      </c>
      <c r="R40" s="378" t="s">
        <v>144</v>
      </c>
      <c r="S40" s="380" t="s">
        <v>924</v>
      </c>
      <c r="T40" s="7" t="str">
        <f t="shared" si="1"/>
        <v>ok</v>
      </c>
    </row>
    <row r="41" spans="1:21" ht="85.5" hidden="1" customHeight="1" x14ac:dyDescent="0.5">
      <c r="A41" s="38" t="s">
        <v>369</v>
      </c>
      <c r="B41" s="39" t="s">
        <v>370</v>
      </c>
      <c r="C41" s="40" t="s">
        <v>147</v>
      </c>
      <c r="D41" s="40" t="s">
        <v>148</v>
      </c>
      <c r="E41" s="63" t="s">
        <v>371</v>
      </c>
      <c r="F41" s="64" t="s">
        <v>329</v>
      </c>
      <c r="G41" s="65" t="s">
        <v>329</v>
      </c>
      <c r="H41" s="66"/>
      <c r="I41" s="44" t="s">
        <v>139</v>
      </c>
      <c r="J41" s="45"/>
      <c r="K41" s="45"/>
      <c r="L41" s="45"/>
      <c r="M41" s="49"/>
      <c r="N41" s="44" t="s">
        <v>372</v>
      </c>
      <c r="O41" s="46" t="s">
        <v>244</v>
      </c>
      <c r="P41" s="48" t="s">
        <v>610</v>
      </c>
      <c r="Q41" s="35" t="s">
        <v>143</v>
      </c>
      <c r="R41" s="378" t="s">
        <v>144</v>
      </c>
      <c r="S41" s="380" t="s">
        <v>924</v>
      </c>
      <c r="T41" s="7" t="str">
        <f t="shared" si="1"/>
        <v>ok</v>
      </c>
    </row>
    <row r="42" spans="1:21" ht="117.75" hidden="1" customHeight="1" x14ac:dyDescent="0.5">
      <c r="A42" s="38" t="s">
        <v>373</v>
      </c>
      <c r="B42" s="39" t="s">
        <v>374</v>
      </c>
      <c r="C42" s="40" t="s">
        <v>147</v>
      </c>
      <c r="D42" s="40" t="s">
        <v>234</v>
      </c>
      <c r="E42" s="63" t="s">
        <v>375</v>
      </c>
      <c r="F42" s="69" t="s">
        <v>317</v>
      </c>
      <c r="G42" s="70" t="s">
        <v>209</v>
      </c>
      <c r="H42" s="66"/>
      <c r="I42" s="44" t="s">
        <v>139</v>
      </c>
      <c r="J42" s="45"/>
      <c r="K42" s="45"/>
      <c r="L42" s="45"/>
      <c r="M42" s="49"/>
      <c r="N42" s="44" t="s">
        <v>376</v>
      </c>
      <c r="O42" s="46" t="s">
        <v>244</v>
      </c>
      <c r="P42" s="48" t="s">
        <v>610</v>
      </c>
      <c r="Q42" s="35" t="s">
        <v>143</v>
      </c>
      <c r="R42" s="378" t="s">
        <v>144</v>
      </c>
      <c r="S42" s="380" t="s">
        <v>924</v>
      </c>
      <c r="T42" s="7" t="str">
        <f t="shared" si="1"/>
        <v>ok</v>
      </c>
    </row>
    <row r="43" spans="1:21" ht="55.5" hidden="1" customHeight="1" x14ac:dyDescent="0.5">
      <c r="A43" s="38" t="s">
        <v>377</v>
      </c>
      <c r="B43" s="39" t="s">
        <v>378</v>
      </c>
      <c r="C43" s="40" t="s">
        <v>147</v>
      </c>
      <c r="D43" s="40" t="s">
        <v>148</v>
      </c>
      <c r="E43" s="63" t="s">
        <v>379</v>
      </c>
      <c r="F43" s="64" t="s">
        <v>329</v>
      </c>
      <c r="G43" s="65" t="s">
        <v>329</v>
      </c>
      <c r="H43" s="66"/>
      <c r="I43" s="44" t="s">
        <v>139</v>
      </c>
      <c r="J43" s="45"/>
      <c r="K43" s="45"/>
      <c r="L43" s="45"/>
      <c r="M43" s="49"/>
      <c r="N43" s="44" t="s">
        <v>380</v>
      </c>
      <c r="O43" s="46" t="s">
        <v>244</v>
      </c>
      <c r="P43" s="48" t="s">
        <v>610</v>
      </c>
      <c r="Q43" s="35" t="s">
        <v>143</v>
      </c>
      <c r="R43" s="378" t="s">
        <v>144</v>
      </c>
      <c r="S43" s="380" t="s">
        <v>924</v>
      </c>
      <c r="T43" s="7" t="str">
        <f t="shared" si="1"/>
        <v>ok</v>
      </c>
    </row>
    <row r="44" spans="1:21" ht="244.5" hidden="1" customHeight="1" x14ac:dyDescent="0.5">
      <c r="A44" s="38" t="s">
        <v>381</v>
      </c>
      <c r="B44" s="39" t="s">
        <v>382</v>
      </c>
      <c r="C44" s="40" t="s">
        <v>147</v>
      </c>
      <c r="D44" s="40" t="s">
        <v>234</v>
      </c>
      <c r="E44" s="63" t="s">
        <v>383</v>
      </c>
      <c r="F44" s="64" t="s">
        <v>329</v>
      </c>
      <c r="G44" s="65" t="s">
        <v>329</v>
      </c>
      <c r="H44" s="66"/>
      <c r="I44" s="44" t="s">
        <v>171</v>
      </c>
      <c r="J44" s="45" t="s">
        <v>384</v>
      </c>
      <c r="K44" s="45"/>
      <c r="L44" s="45" t="str" cm="1">
        <f t="array" ref="L44">_xlfn.SWITCH(C44,"Numeric","999999999999999","String","Not applicable","Date","0001-01-01")</f>
        <v>Not applicable</v>
      </c>
      <c r="M44" s="49" t="s">
        <v>385</v>
      </c>
      <c r="N44" s="44" t="s">
        <v>386</v>
      </c>
      <c r="O44" s="49" t="s">
        <v>384</v>
      </c>
      <c r="P44" s="52" t="s">
        <v>885</v>
      </c>
      <c r="Q44" s="35" t="s">
        <v>176</v>
      </c>
      <c r="R44" s="378" t="s">
        <v>198</v>
      </c>
      <c r="S44" s="380" t="s">
        <v>924</v>
      </c>
      <c r="T44" s="7" t="str">
        <f t="shared" si="1"/>
        <v>ok</v>
      </c>
    </row>
    <row r="45" spans="1:21" ht="129.75" hidden="1" customHeight="1" x14ac:dyDescent="0.5">
      <c r="A45" s="71" t="s">
        <v>387</v>
      </c>
      <c r="B45" s="39">
        <v>370</v>
      </c>
      <c r="C45" s="53" t="s">
        <v>136</v>
      </c>
      <c r="D45" s="53" t="s">
        <v>168</v>
      </c>
      <c r="E45" s="63" t="s">
        <v>388</v>
      </c>
      <c r="F45" s="64" t="s">
        <v>329</v>
      </c>
      <c r="G45" s="65" t="s">
        <v>329</v>
      </c>
      <c r="H45" s="66"/>
      <c r="I45" s="44" t="s">
        <v>171</v>
      </c>
      <c r="J45" s="45" t="s">
        <v>389</v>
      </c>
      <c r="K45" s="45"/>
      <c r="L45" s="45" t="str" cm="1">
        <f t="array" ref="L45">_xlfn.SWITCH(C45,"Numeric","999999999999999","String","Not applicable","Date","0001-01-01")</f>
        <v>999999999999999</v>
      </c>
      <c r="M45" s="49" t="s">
        <v>390</v>
      </c>
      <c r="N45" s="44" t="s">
        <v>391</v>
      </c>
      <c r="O45" s="49" t="s">
        <v>389</v>
      </c>
      <c r="P45" s="52" t="s">
        <v>392</v>
      </c>
      <c r="Q45" s="35" t="s">
        <v>176</v>
      </c>
      <c r="R45" s="378" t="s">
        <v>144</v>
      </c>
      <c r="S45" s="380" t="s">
        <v>924</v>
      </c>
      <c r="T45" s="7" t="str">
        <f t="shared" si="1"/>
        <v>ok</v>
      </c>
    </row>
    <row r="46" spans="1:21" ht="117.75" hidden="1" customHeight="1" x14ac:dyDescent="0.5">
      <c r="A46" s="71" t="s">
        <v>393</v>
      </c>
      <c r="B46" s="39" t="s">
        <v>394</v>
      </c>
      <c r="C46" s="53" t="s">
        <v>136</v>
      </c>
      <c r="D46" s="53" t="s">
        <v>168</v>
      </c>
      <c r="E46" s="63" t="s">
        <v>395</v>
      </c>
      <c r="F46" s="64" t="s">
        <v>329</v>
      </c>
      <c r="G46" s="65" t="s">
        <v>329</v>
      </c>
      <c r="H46" s="66"/>
      <c r="I46" s="44" t="s">
        <v>171</v>
      </c>
      <c r="J46" s="45" t="s">
        <v>396</v>
      </c>
      <c r="K46" s="45"/>
      <c r="L46" s="45" t="str" cm="1">
        <f t="array" ref="L46">_xlfn.SWITCH(C46,"Numeric","999999999999999","String","Not applicable","Date","0001-01-01")</f>
        <v>999999999999999</v>
      </c>
      <c r="M46" s="49" t="s">
        <v>397</v>
      </c>
      <c r="N46" s="44" t="s">
        <v>398</v>
      </c>
      <c r="O46" s="49" t="s">
        <v>396</v>
      </c>
      <c r="P46" s="52" t="s">
        <v>399</v>
      </c>
      <c r="Q46" s="35" t="s">
        <v>176</v>
      </c>
      <c r="R46" s="378" t="s">
        <v>144</v>
      </c>
      <c r="S46" s="380" t="s">
        <v>924</v>
      </c>
      <c r="T46" s="7" t="str">
        <f t="shared" si="1"/>
        <v>ok</v>
      </c>
    </row>
    <row r="47" spans="1:21" ht="153" hidden="1" customHeight="1" x14ac:dyDescent="0.5">
      <c r="A47" s="71" t="s">
        <v>400</v>
      </c>
      <c r="B47" s="39">
        <v>390</v>
      </c>
      <c r="C47" s="53" t="s">
        <v>136</v>
      </c>
      <c r="D47" s="53" t="s">
        <v>137</v>
      </c>
      <c r="E47" s="63" t="s">
        <v>401</v>
      </c>
      <c r="F47" s="64" t="s">
        <v>329</v>
      </c>
      <c r="G47" s="65" t="s">
        <v>329</v>
      </c>
      <c r="H47" s="66"/>
      <c r="I47" s="44" t="s">
        <v>139</v>
      </c>
      <c r="J47" s="45"/>
      <c r="K47" s="45"/>
      <c r="L47" s="45"/>
      <c r="M47" s="49"/>
      <c r="N47" s="44" t="s">
        <v>402</v>
      </c>
      <c r="O47" s="49" t="s">
        <v>886</v>
      </c>
      <c r="P47" s="52" t="s">
        <v>926</v>
      </c>
      <c r="Q47" s="35" t="s">
        <v>143</v>
      </c>
      <c r="R47" s="378" t="s">
        <v>198</v>
      </c>
      <c r="S47" s="380" t="s">
        <v>924</v>
      </c>
      <c r="T47" s="7" t="str">
        <f t="shared" si="1"/>
        <v>ok</v>
      </c>
      <c r="U47" s="10"/>
    </row>
    <row r="48" spans="1:21" ht="135" hidden="1" customHeight="1" x14ac:dyDescent="0.5">
      <c r="A48" s="71" t="s">
        <v>403</v>
      </c>
      <c r="B48" s="39" t="s">
        <v>404</v>
      </c>
      <c r="C48" s="53" t="s">
        <v>136</v>
      </c>
      <c r="D48" s="53" t="s">
        <v>137</v>
      </c>
      <c r="E48" s="63" t="s">
        <v>405</v>
      </c>
      <c r="F48" s="64" t="s">
        <v>329</v>
      </c>
      <c r="G48" s="65" t="s">
        <v>329</v>
      </c>
      <c r="H48" s="66"/>
      <c r="I48" s="44" t="s">
        <v>139</v>
      </c>
      <c r="J48" s="45"/>
      <c r="K48" s="45"/>
      <c r="L48" s="45"/>
      <c r="M48" s="49"/>
      <c r="N48" s="44" t="s">
        <v>406</v>
      </c>
      <c r="O48" s="49" t="s">
        <v>887</v>
      </c>
      <c r="P48" s="52" t="s">
        <v>888</v>
      </c>
      <c r="Q48" s="35" t="s">
        <v>143</v>
      </c>
      <c r="R48" s="378" t="s">
        <v>198</v>
      </c>
      <c r="S48" s="380" t="s">
        <v>924</v>
      </c>
      <c r="T48" s="7" t="str">
        <f t="shared" si="1"/>
        <v>ok</v>
      </c>
      <c r="U48" s="10"/>
    </row>
    <row r="49" spans="1:21" ht="205.5" hidden="1" customHeight="1" x14ac:dyDescent="0.5">
      <c r="A49" s="71" t="s">
        <v>407</v>
      </c>
      <c r="B49" s="39" t="s">
        <v>408</v>
      </c>
      <c r="C49" s="53" t="s">
        <v>136</v>
      </c>
      <c r="D49" s="53" t="s">
        <v>409</v>
      </c>
      <c r="E49" s="63" t="s">
        <v>410</v>
      </c>
      <c r="F49" s="64" t="s">
        <v>329</v>
      </c>
      <c r="G49" s="65" t="s">
        <v>329</v>
      </c>
      <c r="H49" s="66"/>
      <c r="I49" s="44" t="s">
        <v>139</v>
      </c>
      <c r="J49" s="45"/>
      <c r="K49" s="45"/>
      <c r="L49" s="45"/>
      <c r="M49" s="49"/>
      <c r="N49" s="44" t="s">
        <v>411</v>
      </c>
      <c r="O49" s="49" t="s">
        <v>889</v>
      </c>
      <c r="P49" s="52" t="s">
        <v>927</v>
      </c>
      <c r="Q49" s="35" t="s">
        <v>143</v>
      </c>
      <c r="R49" s="378" t="s">
        <v>198</v>
      </c>
      <c r="S49" s="380" t="s">
        <v>925</v>
      </c>
      <c r="T49" s="7" t="str">
        <f t="shared" si="1"/>
        <v>ok</v>
      </c>
      <c r="U49" s="10"/>
    </row>
    <row r="50" spans="1:21" ht="153.75" hidden="1" customHeight="1" x14ac:dyDescent="0.5">
      <c r="A50" s="71" t="s">
        <v>412</v>
      </c>
      <c r="B50" s="39" t="s">
        <v>413</v>
      </c>
      <c r="C50" s="53" t="s">
        <v>136</v>
      </c>
      <c r="D50" s="53" t="s">
        <v>409</v>
      </c>
      <c r="E50" s="63" t="s">
        <v>414</v>
      </c>
      <c r="F50" s="64" t="s">
        <v>329</v>
      </c>
      <c r="G50" s="65" t="s">
        <v>329</v>
      </c>
      <c r="H50" s="66"/>
      <c r="I50" s="44" t="s">
        <v>139</v>
      </c>
      <c r="J50" s="45"/>
      <c r="K50" s="45"/>
      <c r="L50" s="45"/>
      <c r="M50" s="49"/>
      <c r="N50" s="44" t="s">
        <v>415</v>
      </c>
      <c r="O50" s="49" t="s">
        <v>416</v>
      </c>
      <c r="P50" s="52" t="s">
        <v>417</v>
      </c>
      <c r="Q50" s="35" t="s">
        <v>143</v>
      </c>
      <c r="R50" s="378" t="s">
        <v>144</v>
      </c>
      <c r="S50" s="380" t="s">
        <v>924</v>
      </c>
      <c r="T50" s="7" t="str">
        <f t="shared" si="1"/>
        <v>ok</v>
      </c>
      <c r="U50" s="10"/>
    </row>
    <row r="51" spans="1:21" ht="87" hidden="1" customHeight="1" x14ac:dyDescent="0.5">
      <c r="A51" s="71" t="s">
        <v>418</v>
      </c>
      <c r="B51" s="39" t="s">
        <v>419</v>
      </c>
      <c r="C51" s="53" t="s">
        <v>136</v>
      </c>
      <c r="D51" s="53" t="s">
        <v>409</v>
      </c>
      <c r="E51" s="63" t="s">
        <v>420</v>
      </c>
      <c r="F51" s="64" t="s">
        <v>329</v>
      </c>
      <c r="G51" s="65" t="s">
        <v>329</v>
      </c>
      <c r="H51" s="66"/>
      <c r="I51" s="44" t="s">
        <v>139</v>
      </c>
      <c r="J51" s="45"/>
      <c r="K51" s="45"/>
      <c r="L51" s="45"/>
      <c r="M51" s="49"/>
      <c r="N51" s="44" t="s">
        <v>421</v>
      </c>
      <c r="O51" s="49" t="s">
        <v>262</v>
      </c>
      <c r="P51" s="52" t="s">
        <v>422</v>
      </c>
      <c r="Q51" s="35" t="s">
        <v>143</v>
      </c>
      <c r="R51" s="378" t="s">
        <v>144</v>
      </c>
      <c r="S51" s="380" t="s">
        <v>924</v>
      </c>
      <c r="T51" s="7" t="str">
        <f t="shared" si="1"/>
        <v>ok</v>
      </c>
      <c r="U51" s="10"/>
    </row>
    <row r="52" spans="1:21" ht="165" hidden="1" customHeight="1" x14ac:dyDescent="0.5">
      <c r="A52" s="71" t="s">
        <v>423</v>
      </c>
      <c r="B52" s="39" t="s">
        <v>424</v>
      </c>
      <c r="C52" s="53" t="s">
        <v>136</v>
      </c>
      <c r="D52" s="53" t="s">
        <v>168</v>
      </c>
      <c r="E52" s="63" t="s">
        <v>425</v>
      </c>
      <c r="F52" s="72" t="s">
        <v>170</v>
      </c>
      <c r="G52" s="65" t="s">
        <v>329</v>
      </c>
      <c r="H52" s="66"/>
      <c r="I52" s="44" t="s">
        <v>139</v>
      </c>
      <c r="J52" s="45"/>
      <c r="K52" s="45"/>
      <c r="L52" s="45"/>
      <c r="M52" s="49"/>
      <c r="N52" s="44" t="s">
        <v>426</v>
      </c>
      <c r="O52" s="49" t="s">
        <v>262</v>
      </c>
      <c r="P52" s="52" t="s">
        <v>427</v>
      </c>
      <c r="Q52" s="35" t="s">
        <v>143</v>
      </c>
      <c r="R52" s="378" t="s">
        <v>144</v>
      </c>
      <c r="S52" s="380" t="s">
        <v>924</v>
      </c>
      <c r="T52" s="7" t="str">
        <f t="shared" si="1"/>
        <v>ok</v>
      </c>
    </row>
    <row r="53" spans="1:21" ht="114.75" hidden="1" customHeight="1" x14ac:dyDescent="0.5">
      <c r="A53" s="71" t="s">
        <v>428</v>
      </c>
      <c r="B53" s="39" t="s">
        <v>429</v>
      </c>
      <c r="C53" s="53" t="s">
        <v>136</v>
      </c>
      <c r="D53" s="53" t="s">
        <v>168</v>
      </c>
      <c r="E53" s="63" t="s">
        <v>430</v>
      </c>
      <c r="F53" s="72" t="s">
        <v>170</v>
      </c>
      <c r="G53" s="65" t="s">
        <v>329</v>
      </c>
      <c r="H53" s="66"/>
      <c r="I53" s="44" t="s">
        <v>139</v>
      </c>
      <c r="J53" s="45"/>
      <c r="K53" s="45"/>
      <c r="L53" s="45"/>
      <c r="M53" s="49"/>
      <c r="N53" s="44" t="s">
        <v>431</v>
      </c>
      <c r="O53" s="49" t="s">
        <v>262</v>
      </c>
      <c r="P53" s="52" t="s">
        <v>427</v>
      </c>
      <c r="Q53" s="35" t="s">
        <v>143</v>
      </c>
      <c r="R53" s="378" t="s">
        <v>144</v>
      </c>
      <c r="S53" s="380" t="s">
        <v>924</v>
      </c>
      <c r="T53" s="7" t="str">
        <f t="shared" si="1"/>
        <v>ok</v>
      </c>
    </row>
    <row r="54" spans="1:21" ht="165" hidden="1" customHeight="1" x14ac:dyDescent="0.5">
      <c r="A54" s="71" t="s">
        <v>432</v>
      </c>
      <c r="B54" s="39" t="s">
        <v>433</v>
      </c>
      <c r="C54" s="40" t="s">
        <v>147</v>
      </c>
      <c r="D54" s="40" t="s">
        <v>234</v>
      </c>
      <c r="E54" s="63" t="s">
        <v>434</v>
      </c>
      <c r="F54" s="72" t="s">
        <v>317</v>
      </c>
      <c r="G54" s="65" t="s">
        <v>329</v>
      </c>
      <c r="H54" s="66"/>
      <c r="I54" s="44" t="s">
        <v>139</v>
      </c>
      <c r="J54" s="45"/>
      <c r="K54" s="45"/>
      <c r="L54" s="45"/>
      <c r="M54" s="49"/>
      <c r="N54" s="44" t="s">
        <v>435</v>
      </c>
      <c r="O54" s="46" t="s">
        <v>244</v>
      </c>
      <c r="P54" s="52" t="s">
        <v>436</v>
      </c>
      <c r="Q54" s="35" t="s">
        <v>143</v>
      </c>
      <c r="R54" s="378" t="s">
        <v>144</v>
      </c>
      <c r="S54" s="380" t="s">
        <v>924</v>
      </c>
      <c r="T54" s="7" t="str">
        <f t="shared" si="1"/>
        <v>ok</v>
      </c>
    </row>
    <row r="55" spans="1:21" ht="195.75" hidden="1" customHeight="1" x14ac:dyDescent="0.5">
      <c r="A55" s="38" t="s">
        <v>437</v>
      </c>
      <c r="B55" s="39" t="s">
        <v>438</v>
      </c>
      <c r="C55" s="53" t="s">
        <v>136</v>
      </c>
      <c r="D55" s="53" t="s">
        <v>439</v>
      </c>
      <c r="E55" s="63" t="s">
        <v>440</v>
      </c>
      <c r="F55" s="73" t="s">
        <v>441</v>
      </c>
      <c r="G55" s="74" t="s">
        <v>329</v>
      </c>
      <c r="H55" s="66"/>
      <c r="I55" s="44" t="s">
        <v>139</v>
      </c>
      <c r="J55" s="45"/>
      <c r="K55" s="45"/>
      <c r="L55" s="75"/>
      <c r="M55" s="49"/>
      <c r="N55" s="44" t="s">
        <v>442</v>
      </c>
      <c r="O55" s="49" t="s">
        <v>443</v>
      </c>
      <c r="P55" s="52" t="s">
        <v>444</v>
      </c>
      <c r="Q55" s="35" t="s">
        <v>143</v>
      </c>
      <c r="R55" s="378" t="s">
        <v>144</v>
      </c>
      <c r="S55" s="380" t="s">
        <v>924</v>
      </c>
      <c r="T55" s="7" t="str">
        <f t="shared" si="1"/>
        <v>ok</v>
      </c>
    </row>
    <row r="56" spans="1:21" ht="291.75" hidden="1" customHeight="1" x14ac:dyDescent="0.5">
      <c r="A56" s="38" t="s">
        <v>445</v>
      </c>
      <c r="B56" s="39" t="s">
        <v>446</v>
      </c>
      <c r="C56" s="40" t="s">
        <v>147</v>
      </c>
      <c r="D56" s="40" t="s">
        <v>265</v>
      </c>
      <c r="E56" s="63" t="s">
        <v>447</v>
      </c>
      <c r="F56" s="76" t="s">
        <v>329</v>
      </c>
      <c r="G56" s="74" t="s">
        <v>329</v>
      </c>
      <c r="H56" s="66"/>
      <c r="I56" s="44" t="s">
        <v>171</v>
      </c>
      <c r="J56" s="45" t="s">
        <v>448</v>
      </c>
      <c r="K56" s="45"/>
      <c r="L56" s="45" t="str" cm="1">
        <f t="array" ref="L56">_xlfn.SWITCH(C56,"Numeric","999999999999999","String","Not applicable","Date","0001-01-01")</f>
        <v>Not applicable</v>
      </c>
      <c r="M56" s="49" t="s">
        <v>449</v>
      </c>
      <c r="N56" s="44" t="s">
        <v>450</v>
      </c>
      <c r="O56" s="49" t="s">
        <v>448</v>
      </c>
      <c r="P56" s="52" t="s">
        <v>451</v>
      </c>
      <c r="Q56" s="35" t="s">
        <v>176</v>
      </c>
      <c r="R56" s="378" t="s">
        <v>144</v>
      </c>
      <c r="S56" s="380" t="s">
        <v>924</v>
      </c>
      <c r="T56" s="7" t="str">
        <f t="shared" si="1"/>
        <v>ok</v>
      </c>
    </row>
    <row r="57" spans="1:21" ht="101.25" hidden="1" customHeight="1" x14ac:dyDescent="0.5">
      <c r="A57" s="38" t="s">
        <v>452</v>
      </c>
      <c r="B57" s="39" t="s">
        <v>453</v>
      </c>
      <c r="C57" s="40" t="s">
        <v>147</v>
      </c>
      <c r="D57" s="40" t="s">
        <v>148</v>
      </c>
      <c r="E57" s="63" t="s">
        <v>454</v>
      </c>
      <c r="F57" s="76" t="s">
        <v>329</v>
      </c>
      <c r="G57" s="74" t="s">
        <v>329</v>
      </c>
      <c r="H57" s="66"/>
      <c r="I57" s="44" t="s">
        <v>171</v>
      </c>
      <c r="J57" s="45" t="s">
        <v>455</v>
      </c>
      <c r="K57" s="45"/>
      <c r="L57" s="45" t="str" cm="1">
        <f t="array" ref="L57">_xlfn.SWITCH(C57,"Numeric","999999999999999","String","Not applicable","Date","0001-01-01")</f>
        <v>Not applicable</v>
      </c>
      <c r="M57" s="46" t="s">
        <v>456</v>
      </c>
      <c r="N57" s="44" t="s">
        <v>457</v>
      </c>
      <c r="O57" s="49" t="s">
        <v>455</v>
      </c>
      <c r="P57" s="52" t="s">
        <v>451</v>
      </c>
      <c r="Q57" s="35" t="s">
        <v>176</v>
      </c>
      <c r="R57" s="378" t="s">
        <v>144</v>
      </c>
      <c r="S57" s="380" t="s">
        <v>924</v>
      </c>
      <c r="T57" s="7" t="str">
        <f t="shared" si="1"/>
        <v>ok</v>
      </c>
    </row>
    <row r="58" spans="1:21" ht="77.25" hidden="1" customHeight="1" x14ac:dyDescent="0.5">
      <c r="A58" s="38" t="s">
        <v>458</v>
      </c>
      <c r="B58" s="39" t="s">
        <v>459</v>
      </c>
      <c r="C58" s="40" t="s">
        <v>147</v>
      </c>
      <c r="D58" s="40" t="s">
        <v>148</v>
      </c>
      <c r="E58" s="63" t="s">
        <v>460</v>
      </c>
      <c r="F58" s="76" t="s">
        <v>329</v>
      </c>
      <c r="G58" s="74" t="s">
        <v>329</v>
      </c>
      <c r="H58" s="66"/>
      <c r="I58" s="44" t="s">
        <v>139</v>
      </c>
      <c r="J58" s="45"/>
      <c r="K58" s="45"/>
      <c r="L58" s="45"/>
      <c r="M58" s="49"/>
      <c r="N58" s="44" t="s">
        <v>461</v>
      </c>
      <c r="O58" s="46" t="s">
        <v>244</v>
      </c>
      <c r="P58" s="52" t="s">
        <v>462</v>
      </c>
      <c r="Q58" s="35" t="s">
        <v>143</v>
      </c>
      <c r="R58" s="378" t="s">
        <v>144</v>
      </c>
      <c r="S58" s="380" t="s">
        <v>924</v>
      </c>
      <c r="T58" s="7" t="str">
        <f t="shared" si="1"/>
        <v>ok</v>
      </c>
    </row>
    <row r="59" spans="1:21" ht="168.75" hidden="1" customHeight="1" x14ac:dyDescent="0.5">
      <c r="A59" s="38" t="s">
        <v>463</v>
      </c>
      <c r="B59" s="39" t="s">
        <v>464</v>
      </c>
      <c r="C59" s="40" t="s">
        <v>147</v>
      </c>
      <c r="D59" s="40" t="s">
        <v>148</v>
      </c>
      <c r="E59" s="63" t="s">
        <v>465</v>
      </c>
      <c r="F59" s="73" t="s">
        <v>317</v>
      </c>
      <c r="G59" s="74" t="s">
        <v>329</v>
      </c>
      <c r="H59" s="66"/>
      <c r="I59" s="44" t="s">
        <v>171</v>
      </c>
      <c r="J59" s="45" t="s">
        <v>466</v>
      </c>
      <c r="K59" s="45"/>
      <c r="L59" s="45" t="str" cm="1">
        <f t="array" ref="L59">_xlfn.SWITCH(C59,"Numeric","999999999999999","String","Not applicable","Date","0001-01-01")</f>
        <v>Not applicable</v>
      </c>
      <c r="M59" s="49" t="s">
        <v>467</v>
      </c>
      <c r="N59" s="44" t="s">
        <v>468</v>
      </c>
      <c r="O59" s="49" t="s">
        <v>466</v>
      </c>
      <c r="P59" s="52" t="s">
        <v>451</v>
      </c>
      <c r="Q59" s="35" t="s">
        <v>176</v>
      </c>
      <c r="R59" s="378" t="s">
        <v>144</v>
      </c>
      <c r="S59" s="380" t="s">
        <v>924</v>
      </c>
      <c r="T59" s="7" t="str">
        <f t="shared" si="1"/>
        <v>ok</v>
      </c>
    </row>
    <row r="60" spans="1:21" ht="143.25" hidden="1" customHeight="1" x14ac:dyDescent="0.5">
      <c r="A60" s="38" t="s">
        <v>469</v>
      </c>
      <c r="B60" s="77" t="s">
        <v>470</v>
      </c>
      <c r="C60" s="78" t="s">
        <v>147</v>
      </c>
      <c r="D60" s="78" t="s">
        <v>148</v>
      </c>
      <c r="E60" s="79" t="s">
        <v>471</v>
      </c>
      <c r="F60" s="80" t="s">
        <v>317</v>
      </c>
      <c r="G60" s="74" t="s">
        <v>329</v>
      </c>
      <c r="H60" s="66"/>
      <c r="I60" s="44" t="s">
        <v>171</v>
      </c>
      <c r="J60" s="45" t="s">
        <v>472</v>
      </c>
      <c r="K60" s="45"/>
      <c r="L60" s="45" t="str" cm="1">
        <f t="array" ref="L60">_xlfn.SWITCH(C60,"Numeric","999999999999999","String","Not applicable","Date","0001-01-01")</f>
        <v>Not applicable</v>
      </c>
      <c r="M60" s="49" t="s">
        <v>473</v>
      </c>
      <c r="N60" s="44" t="s">
        <v>474</v>
      </c>
      <c r="O60" s="49" t="s">
        <v>472</v>
      </c>
      <c r="P60" s="52" t="s">
        <v>451</v>
      </c>
      <c r="Q60" s="35" t="s">
        <v>176</v>
      </c>
      <c r="R60" s="378" t="s">
        <v>144</v>
      </c>
      <c r="S60" s="380" t="s">
        <v>924</v>
      </c>
      <c r="T60" s="7" t="str">
        <f t="shared" si="1"/>
        <v>ok</v>
      </c>
    </row>
    <row r="61" spans="1:21" ht="227.25" hidden="1" customHeight="1" x14ac:dyDescent="0.5">
      <c r="A61" s="81" t="s">
        <v>475</v>
      </c>
      <c r="B61" s="39" t="s">
        <v>476</v>
      </c>
      <c r="C61" s="40" t="s">
        <v>147</v>
      </c>
      <c r="D61" s="40" t="s">
        <v>148</v>
      </c>
      <c r="E61" s="41" t="s">
        <v>477</v>
      </c>
      <c r="F61" s="73" t="s">
        <v>317</v>
      </c>
      <c r="G61" s="82" t="s">
        <v>329</v>
      </c>
      <c r="H61" s="66"/>
      <c r="I61" s="44" t="s">
        <v>139</v>
      </c>
      <c r="J61" s="45"/>
      <c r="K61" s="45"/>
      <c r="L61" s="45"/>
      <c r="M61" s="49"/>
      <c r="N61" s="44" t="s">
        <v>478</v>
      </c>
      <c r="O61" s="46" t="s">
        <v>244</v>
      </c>
      <c r="P61" s="52" t="s">
        <v>479</v>
      </c>
      <c r="Q61" s="35" t="s">
        <v>143</v>
      </c>
      <c r="R61" s="378" t="s">
        <v>144</v>
      </c>
      <c r="S61" s="380" t="s">
        <v>924</v>
      </c>
      <c r="T61" s="7" t="str">
        <f t="shared" si="1"/>
        <v>ok</v>
      </c>
    </row>
    <row r="62" spans="1:21" ht="102.75" hidden="1" customHeight="1" x14ac:dyDescent="0.5">
      <c r="A62" s="38" t="s">
        <v>480</v>
      </c>
      <c r="B62" s="27" t="s">
        <v>481</v>
      </c>
      <c r="C62" s="28" t="s">
        <v>147</v>
      </c>
      <c r="D62" s="28" t="s">
        <v>148</v>
      </c>
      <c r="E62" s="83" t="s">
        <v>482</v>
      </c>
      <c r="F62" s="84" t="s">
        <v>317</v>
      </c>
      <c r="G62" s="74" t="s">
        <v>329</v>
      </c>
      <c r="H62" s="66"/>
      <c r="I62" s="44" t="s">
        <v>139</v>
      </c>
      <c r="J62" s="45"/>
      <c r="K62" s="45"/>
      <c r="L62" s="45"/>
      <c r="M62" s="49"/>
      <c r="N62" s="44" t="s">
        <v>483</v>
      </c>
      <c r="O62" s="46" t="s">
        <v>244</v>
      </c>
      <c r="P62" s="52" t="s">
        <v>479</v>
      </c>
      <c r="Q62" s="35" t="s">
        <v>143</v>
      </c>
      <c r="R62" s="378" t="s">
        <v>144</v>
      </c>
      <c r="S62" s="380" t="s">
        <v>924</v>
      </c>
      <c r="T62" s="7" t="str">
        <f t="shared" si="1"/>
        <v>ok</v>
      </c>
    </row>
    <row r="63" spans="1:21" ht="105.75" hidden="1" customHeight="1" x14ac:dyDescent="0.5">
      <c r="A63" s="38" t="s">
        <v>484</v>
      </c>
      <c r="B63" s="39" t="s">
        <v>485</v>
      </c>
      <c r="C63" s="40" t="s">
        <v>147</v>
      </c>
      <c r="D63" s="40" t="s">
        <v>148</v>
      </c>
      <c r="E63" s="63" t="s">
        <v>486</v>
      </c>
      <c r="F63" s="73" t="s">
        <v>317</v>
      </c>
      <c r="G63" s="74" t="s">
        <v>329</v>
      </c>
      <c r="H63" s="66"/>
      <c r="I63" s="44" t="s">
        <v>139</v>
      </c>
      <c r="J63" s="45" t="s">
        <v>448</v>
      </c>
      <c r="K63" s="45"/>
      <c r="L63" s="45" t="str" cm="1">
        <f t="array" ref="L63">_xlfn.SWITCH(C63,"Numeric","999999999999999","String","Not applicable","Date","0001-01-01")</f>
        <v>Not applicable</v>
      </c>
      <c r="M63" s="49"/>
      <c r="N63" s="44" t="s">
        <v>487</v>
      </c>
      <c r="O63" s="49" t="s">
        <v>448</v>
      </c>
      <c r="P63" s="52" t="s">
        <v>488</v>
      </c>
      <c r="Q63" s="35" t="s">
        <v>143</v>
      </c>
      <c r="R63" s="378" t="s">
        <v>144</v>
      </c>
      <c r="S63" s="380" t="s">
        <v>924</v>
      </c>
      <c r="T63" s="7" t="str">
        <f t="shared" si="1"/>
        <v>ok</v>
      </c>
    </row>
    <row r="64" spans="1:21" ht="135" hidden="1" customHeight="1" x14ac:dyDescent="0.5">
      <c r="A64" s="38" t="s">
        <v>489</v>
      </c>
      <c r="B64" s="39" t="s">
        <v>490</v>
      </c>
      <c r="C64" s="40" t="s">
        <v>147</v>
      </c>
      <c r="D64" s="40" t="s">
        <v>148</v>
      </c>
      <c r="E64" s="63" t="s">
        <v>491</v>
      </c>
      <c r="F64" s="73" t="s">
        <v>317</v>
      </c>
      <c r="G64" s="74" t="s">
        <v>329</v>
      </c>
      <c r="H64" s="66"/>
      <c r="I64" s="44" t="s">
        <v>139</v>
      </c>
      <c r="J64" s="45" t="s">
        <v>455</v>
      </c>
      <c r="K64" s="45"/>
      <c r="L64" s="45" t="str" cm="1">
        <f t="array" ref="L64">_xlfn.SWITCH(C64,"Numeric","999999999999999","String","Not applicable","Date","0001-01-01")</f>
        <v>Not applicable</v>
      </c>
      <c r="M64" s="49"/>
      <c r="N64" s="44" t="s">
        <v>492</v>
      </c>
      <c r="O64" s="49" t="s">
        <v>455</v>
      </c>
      <c r="P64" s="52" t="s">
        <v>493</v>
      </c>
      <c r="Q64" s="35" t="s">
        <v>143</v>
      </c>
      <c r="R64" s="378" t="s">
        <v>144</v>
      </c>
      <c r="S64" s="380" t="s">
        <v>924</v>
      </c>
      <c r="T64" s="7" t="str">
        <f t="shared" si="1"/>
        <v>ok</v>
      </c>
    </row>
    <row r="65" spans="1:21" ht="145.5" hidden="1" customHeight="1" x14ac:dyDescent="0.5">
      <c r="A65" s="38" t="s">
        <v>494</v>
      </c>
      <c r="B65" s="39" t="s">
        <v>495</v>
      </c>
      <c r="C65" s="40" t="s">
        <v>147</v>
      </c>
      <c r="D65" s="40" t="s">
        <v>148</v>
      </c>
      <c r="E65" s="63" t="s">
        <v>496</v>
      </c>
      <c r="F65" s="72" t="s">
        <v>317</v>
      </c>
      <c r="G65" s="65" t="s">
        <v>329</v>
      </c>
      <c r="H65" s="66"/>
      <c r="I65" s="44" t="s">
        <v>139</v>
      </c>
      <c r="J65" s="45" t="s">
        <v>448</v>
      </c>
      <c r="K65" s="45"/>
      <c r="L65" s="45" t="str" cm="1">
        <f t="array" ref="L65">_xlfn.SWITCH(C65,"Numeric","999999999999999","String","Not applicable","Date","0001-01-01")</f>
        <v>Not applicable</v>
      </c>
      <c r="M65" s="49" t="s">
        <v>275</v>
      </c>
      <c r="N65" s="44" t="s">
        <v>497</v>
      </c>
      <c r="O65" s="49" t="s">
        <v>448</v>
      </c>
      <c r="P65" s="52" t="s">
        <v>498</v>
      </c>
      <c r="Q65" s="35" t="s">
        <v>143</v>
      </c>
      <c r="R65" s="378" t="s">
        <v>144</v>
      </c>
      <c r="S65" s="380" t="s">
        <v>924</v>
      </c>
      <c r="T65" s="7" t="str">
        <f t="shared" si="1"/>
        <v>ok</v>
      </c>
    </row>
    <row r="66" spans="1:21" ht="83.25" hidden="1" customHeight="1" x14ac:dyDescent="0.5">
      <c r="A66" s="38" t="s">
        <v>499</v>
      </c>
      <c r="B66" s="39" t="s">
        <v>500</v>
      </c>
      <c r="C66" s="40" t="s">
        <v>147</v>
      </c>
      <c r="D66" s="40" t="s">
        <v>148</v>
      </c>
      <c r="E66" s="63" t="s">
        <v>501</v>
      </c>
      <c r="F66" s="72" t="s">
        <v>317</v>
      </c>
      <c r="G66" s="65" t="s">
        <v>329</v>
      </c>
      <c r="H66" s="66"/>
      <c r="I66" s="44" t="s">
        <v>139</v>
      </c>
      <c r="J66" s="45" t="s">
        <v>455</v>
      </c>
      <c r="K66" s="45"/>
      <c r="L66" s="45" t="str" cm="1">
        <f t="array" ref="L66">_xlfn.SWITCH(C66,"Numeric","999999999999999","String","Not applicable","Date","0001-01-01")</f>
        <v>Not applicable</v>
      </c>
      <c r="M66" s="49"/>
      <c r="N66" s="44" t="s">
        <v>502</v>
      </c>
      <c r="O66" s="49" t="s">
        <v>455</v>
      </c>
      <c r="P66" s="52" t="s">
        <v>503</v>
      </c>
      <c r="Q66" s="35" t="s">
        <v>143</v>
      </c>
      <c r="R66" s="378" t="s">
        <v>144</v>
      </c>
      <c r="S66" s="380" t="s">
        <v>924</v>
      </c>
      <c r="T66" s="7" t="str">
        <f t="shared" si="1"/>
        <v>ok</v>
      </c>
    </row>
    <row r="67" spans="1:21" ht="130.5" hidden="1" customHeight="1" x14ac:dyDescent="0.5">
      <c r="A67" s="38" t="s">
        <v>504</v>
      </c>
      <c r="B67" s="39" t="s">
        <v>505</v>
      </c>
      <c r="C67" s="40" t="s">
        <v>147</v>
      </c>
      <c r="D67" s="40" t="s">
        <v>148</v>
      </c>
      <c r="E67" s="63" t="s">
        <v>506</v>
      </c>
      <c r="F67" s="72" t="s">
        <v>317</v>
      </c>
      <c r="G67" s="65" t="s">
        <v>329</v>
      </c>
      <c r="H67" s="66"/>
      <c r="I67" s="44" t="s">
        <v>139</v>
      </c>
      <c r="J67" s="45"/>
      <c r="K67" s="45"/>
      <c r="L67" s="45"/>
      <c r="M67" s="49"/>
      <c r="N67" s="44" t="s">
        <v>507</v>
      </c>
      <c r="O67" s="46" t="s">
        <v>244</v>
      </c>
      <c r="P67" s="52" t="s">
        <v>508</v>
      </c>
      <c r="Q67" s="35" t="s">
        <v>143</v>
      </c>
      <c r="R67" s="378" t="s">
        <v>144</v>
      </c>
      <c r="S67" s="380" t="s">
        <v>924</v>
      </c>
      <c r="T67" s="7" t="str">
        <f t="shared" si="1"/>
        <v>ok</v>
      </c>
    </row>
    <row r="68" spans="1:21" ht="85.5" hidden="1" customHeight="1" x14ac:dyDescent="0.5">
      <c r="A68" s="38" t="s">
        <v>509</v>
      </c>
      <c r="B68" s="39" t="s">
        <v>510</v>
      </c>
      <c r="C68" s="40" t="s">
        <v>147</v>
      </c>
      <c r="D68" s="40" t="s">
        <v>148</v>
      </c>
      <c r="E68" s="63" t="s">
        <v>511</v>
      </c>
      <c r="F68" s="72" t="s">
        <v>317</v>
      </c>
      <c r="G68" s="65" t="s">
        <v>329</v>
      </c>
      <c r="H68" s="66"/>
      <c r="I68" s="44" t="s">
        <v>139</v>
      </c>
      <c r="J68" s="45"/>
      <c r="K68" s="45"/>
      <c r="L68" s="45"/>
      <c r="M68" s="49"/>
      <c r="N68" s="44" t="s">
        <v>512</v>
      </c>
      <c r="O68" s="46" t="s">
        <v>244</v>
      </c>
      <c r="P68" s="52" t="s">
        <v>508</v>
      </c>
      <c r="Q68" s="35" t="s">
        <v>143</v>
      </c>
      <c r="R68" s="378" t="s">
        <v>144</v>
      </c>
      <c r="S68" s="380" t="s">
        <v>924</v>
      </c>
      <c r="T68" s="7" t="str">
        <f t="shared" si="1"/>
        <v>ok</v>
      </c>
    </row>
    <row r="69" spans="1:21" ht="114" hidden="1" customHeight="1" x14ac:dyDescent="0.5">
      <c r="A69" s="38" t="s">
        <v>513</v>
      </c>
      <c r="B69" s="39" t="s">
        <v>514</v>
      </c>
      <c r="C69" s="40" t="s">
        <v>147</v>
      </c>
      <c r="D69" s="40" t="s">
        <v>148</v>
      </c>
      <c r="E69" s="63" t="s">
        <v>515</v>
      </c>
      <c r="F69" s="72" t="s">
        <v>317</v>
      </c>
      <c r="G69" s="65" t="s">
        <v>329</v>
      </c>
      <c r="H69" s="66"/>
      <c r="I69" s="44" t="s">
        <v>139</v>
      </c>
      <c r="J69" s="45"/>
      <c r="K69" s="45"/>
      <c r="L69" s="45"/>
      <c r="M69" s="49"/>
      <c r="N69" s="44" t="s">
        <v>516</v>
      </c>
      <c r="O69" s="46" t="s">
        <v>244</v>
      </c>
      <c r="P69" s="52" t="s">
        <v>508</v>
      </c>
      <c r="Q69" s="35" t="s">
        <v>143</v>
      </c>
      <c r="R69" s="378" t="s">
        <v>144</v>
      </c>
      <c r="S69" s="380" t="s">
        <v>924</v>
      </c>
      <c r="T69" s="7" t="str">
        <f t="shared" si="1"/>
        <v>ok</v>
      </c>
    </row>
    <row r="70" spans="1:21" ht="90.75" hidden="1" customHeight="1" x14ac:dyDescent="0.5">
      <c r="A70" s="38" t="s">
        <v>517</v>
      </c>
      <c r="B70" s="39" t="s">
        <v>518</v>
      </c>
      <c r="C70" s="40" t="s">
        <v>147</v>
      </c>
      <c r="D70" s="40" t="s">
        <v>148</v>
      </c>
      <c r="E70" s="63" t="s">
        <v>519</v>
      </c>
      <c r="F70" s="72" t="s">
        <v>317</v>
      </c>
      <c r="G70" s="65" t="s">
        <v>329</v>
      </c>
      <c r="H70" s="66"/>
      <c r="I70" s="44" t="s">
        <v>139</v>
      </c>
      <c r="J70" s="45"/>
      <c r="K70" s="45"/>
      <c r="L70" s="45"/>
      <c r="M70" s="49"/>
      <c r="N70" s="44" t="s">
        <v>520</v>
      </c>
      <c r="O70" s="46" t="s">
        <v>244</v>
      </c>
      <c r="P70" s="52" t="s">
        <v>508</v>
      </c>
      <c r="Q70" s="35" t="s">
        <v>143</v>
      </c>
      <c r="R70" s="378" t="s">
        <v>144</v>
      </c>
      <c r="S70" s="380" t="s">
        <v>924</v>
      </c>
      <c r="T70" s="7" t="str">
        <f t="shared" si="1"/>
        <v>ok</v>
      </c>
    </row>
    <row r="71" spans="1:21" ht="241.5" hidden="1" customHeight="1" x14ac:dyDescent="0.5">
      <c r="A71" s="38" t="s">
        <v>521</v>
      </c>
      <c r="B71" s="39" t="s">
        <v>522</v>
      </c>
      <c r="C71" s="40" t="s">
        <v>147</v>
      </c>
      <c r="D71" s="40" t="s">
        <v>234</v>
      </c>
      <c r="E71" s="63" t="s">
        <v>523</v>
      </c>
      <c r="F71" s="73" t="s">
        <v>317</v>
      </c>
      <c r="G71" s="74" t="s">
        <v>329</v>
      </c>
      <c r="H71" s="66"/>
      <c r="I71" s="44" t="s">
        <v>171</v>
      </c>
      <c r="J71" s="45" t="s">
        <v>524</v>
      </c>
      <c r="K71" s="45"/>
      <c r="L71" s="45" t="str" cm="1">
        <f t="array" ref="L71">_xlfn.SWITCH(C71,"Numeric","999999999999999","String","Not applicable","Date","0001-01-01")</f>
        <v>Not applicable</v>
      </c>
      <c r="M71" s="49" t="s">
        <v>525</v>
      </c>
      <c r="N71" s="44" t="s">
        <v>526</v>
      </c>
      <c r="O71" s="49" t="s">
        <v>524</v>
      </c>
      <c r="P71" s="52" t="s">
        <v>527</v>
      </c>
      <c r="Q71" s="35" t="s">
        <v>176</v>
      </c>
      <c r="R71" s="378" t="s">
        <v>144</v>
      </c>
      <c r="S71" s="380" t="s">
        <v>924</v>
      </c>
      <c r="T71" s="7" t="str">
        <f t="shared" si="1"/>
        <v>ok</v>
      </c>
    </row>
    <row r="72" spans="1:21" ht="88.5" hidden="1" customHeight="1" x14ac:dyDescent="0.5">
      <c r="A72" s="38" t="s">
        <v>528</v>
      </c>
      <c r="B72" s="39" t="s">
        <v>529</v>
      </c>
      <c r="C72" s="53" t="s">
        <v>136</v>
      </c>
      <c r="D72" s="53" t="s">
        <v>168</v>
      </c>
      <c r="E72" s="63" t="s">
        <v>530</v>
      </c>
      <c r="F72" s="73" t="s">
        <v>170</v>
      </c>
      <c r="G72" s="74" t="s">
        <v>329</v>
      </c>
      <c r="H72" s="66"/>
      <c r="I72" s="44" t="s">
        <v>171</v>
      </c>
      <c r="J72" s="45" t="s">
        <v>531</v>
      </c>
      <c r="K72" s="45"/>
      <c r="L72" s="45" t="str" cm="1">
        <f t="array" ref="L72">_xlfn.SWITCH(C72,"Numeric","999999999999999","String","Not applicable","Date","0001-01-01")</f>
        <v>999999999999999</v>
      </c>
      <c r="M72" s="49" t="s">
        <v>532</v>
      </c>
      <c r="N72" s="44" t="s">
        <v>533</v>
      </c>
      <c r="O72" s="49" t="s">
        <v>531</v>
      </c>
      <c r="P72" s="52" t="s">
        <v>527</v>
      </c>
      <c r="Q72" s="35" t="s">
        <v>176</v>
      </c>
      <c r="R72" s="378" t="s">
        <v>144</v>
      </c>
      <c r="S72" s="380" t="s">
        <v>925</v>
      </c>
      <c r="T72" s="7" t="str">
        <f t="shared" si="1"/>
        <v>ok</v>
      </c>
    </row>
    <row r="73" spans="1:21" ht="409.5" hidden="1" x14ac:dyDescent="0.5">
      <c r="A73" s="38" t="s">
        <v>534</v>
      </c>
      <c r="B73" s="39" t="s">
        <v>535</v>
      </c>
      <c r="C73" s="40" t="s">
        <v>147</v>
      </c>
      <c r="D73" s="40" t="s">
        <v>234</v>
      </c>
      <c r="E73" s="63" t="s">
        <v>536</v>
      </c>
      <c r="F73" s="73" t="s">
        <v>317</v>
      </c>
      <c r="G73" s="74" t="s">
        <v>329</v>
      </c>
      <c r="H73" s="66"/>
      <c r="I73" s="44" t="s">
        <v>139</v>
      </c>
      <c r="J73" s="45" t="s">
        <v>524</v>
      </c>
      <c r="K73" s="45"/>
      <c r="L73" s="45" t="str" cm="1">
        <f t="array" ref="L73">_xlfn.SWITCH(C73,"Numeric","999999999999999","String","Not applicable","Date","0001-01-01")</f>
        <v>Not applicable</v>
      </c>
      <c r="M73" s="49"/>
      <c r="N73" s="44" t="s">
        <v>537</v>
      </c>
      <c r="O73" s="49" t="s">
        <v>524</v>
      </c>
      <c r="P73" s="52" t="s">
        <v>538</v>
      </c>
      <c r="Q73" s="35" t="s">
        <v>143</v>
      </c>
      <c r="R73" s="378" t="s">
        <v>144</v>
      </c>
      <c r="S73" s="380" t="s">
        <v>924</v>
      </c>
      <c r="T73" s="7" t="str">
        <f t="shared" si="1"/>
        <v>ok</v>
      </c>
      <c r="U73" s="37"/>
    </row>
    <row r="74" spans="1:21" ht="106.5" hidden="1" customHeight="1" x14ac:dyDescent="0.5">
      <c r="A74" s="38" t="s">
        <v>539</v>
      </c>
      <c r="B74" s="39" t="s">
        <v>540</v>
      </c>
      <c r="C74" s="53" t="s">
        <v>136</v>
      </c>
      <c r="D74" s="53" t="s">
        <v>168</v>
      </c>
      <c r="E74" s="63" t="s">
        <v>541</v>
      </c>
      <c r="F74" s="72" t="s">
        <v>170</v>
      </c>
      <c r="G74" s="65" t="s">
        <v>329</v>
      </c>
      <c r="H74" s="66"/>
      <c r="I74" s="44" t="s">
        <v>139</v>
      </c>
      <c r="J74" s="45" t="s">
        <v>531</v>
      </c>
      <c r="K74" s="45"/>
      <c r="L74" s="45" t="str" cm="1">
        <f t="array" ref="L74">_xlfn.SWITCH(C74,"Numeric","999999999999999","String","Not applicable","Date","0001-01-01")</f>
        <v>999999999999999</v>
      </c>
      <c r="M74" s="49"/>
      <c r="N74" s="44" t="s">
        <v>542</v>
      </c>
      <c r="O74" s="49" t="s">
        <v>531</v>
      </c>
      <c r="P74" s="52" t="s">
        <v>543</v>
      </c>
      <c r="Q74" s="35" t="s">
        <v>143</v>
      </c>
      <c r="R74" s="378" t="s">
        <v>144</v>
      </c>
      <c r="S74" s="380" t="s">
        <v>925</v>
      </c>
      <c r="T74" s="7" t="str">
        <f t="shared" si="1"/>
        <v>ok</v>
      </c>
      <c r="U74" s="37"/>
    </row>
    <row r="75" spans="1:21" ht="74.25" hidden="1" customHeight="1" x14ac:dyDescent="0.5">
      <c r="A75" s="71" t="s">
        <v>544</v>
      </c>
      <c r="B75" s="39" t="s">
        <v>545</v>
      </c>
      <c r="C75" s="53" t="s">
        <v>136</v>
      </c>
      <c r="D75" s="53" t="s">
        <v>168</v>
      </c>
      <c r="E75" s="63" t="s">
        <v>546</v>
      </c>
      <c r="F75" s="64" t="s">
        <v>329</v>
      </c>
      <c r="G75" s="65" t="s">
        <v>329</v>
      </c>
      <c r="H75" s="66"/>
      <c r="I75" s="44" t="s">
        <v>139</v>
      </c>
      <c r="J75" s="45"/>
      <c r="K75" s="45"/>
      <c r="L75" s="45"/>
      <c r="M75" s="49"/>
      <c r="N75" s="44" t="s">
        <v>547</v>
      </c>
      <c r="O75" s="49" t="s">
        <v>219</v>
      </c>
      <c r="P75" s="52" t="s">
        <v>548</v>
      </c>
      <c r="Q75" s="35" t="s">
        <v>143</v>
      </c>
      <c r="R75" s="378" t="s">
        <v>144</v>
      </c>
      <c r="S75" s="380" t="s">
        <v>924</v>
      </c>
      <c r="T75" s="7" t="str">
        <f t="shared" si="1"/>
        <v>ok</v>
      </c>
    </row>
    <row r="76" spans="1:21" ht="60" hidden="1" customHeight="1" x14ac:dyDescent="0.5">
      <c r="A76" s="71" t="s">
        <v>549</v>
      </c>
      <c r="B76" s="39" t="s">
        <v>550</v>
      </c>
      <c r="C76" s="40" t="s">
        <v>147</v>
      </c>
      <c r="D76" s="40" t="s">
        <v>148</v>
      </c>
      <c r="E76" s="63" t="s">
        <v>551</v>
      </c>
      <c r="F76" s="72" t="s">
        <v>317</v>
      </c>
      <c r="G76" s="65" t="s">
        <v>329</v>
      </c>
      <c r="H76" s="66"/>
      <c r="I76" s="44" t="s">
        <v>139</v>
      </c>
      <c r="J76" s="45"/>
      <c r="K76" s="45"/>
      <c r="L76" s="45"/>
      <c r="M76" s="49"/>
      <c r="N76" s="44" t="s">
        <v>552</v>
      </c>
      <c r="O76" s="46" t="s">
        <v>244</v>
      </c>
      <c r="P76" s="52" t="s">
        <v>553</v>
      </c>
      <c r="Q76" s="35" t="s">
        <v>143</v>
      </c>
      <c r="R76" s="378" t="s">
        <v>144</v>
      </c>
      <c r="S76" s="380" t="s">
        <v>924</v>
      </c>
      <c r="T76" s="7" t="str">
        <f t="shared" si="1"/>
        <v>ok</v>
      </c>
    </row>
    <row r="77" spans="1:21" ht="63" hidden="1" customHeight="1" x14ac:dyDescent="0.5">
      <c r="A77" s="71" t="s">
        <v>554</v>
      </c>
      <c r="B77" s="39" t="s">
        <v>555</v>
      </c>
      <c r="C77" s="40" t="s">
        <v>147</v>
      </c>
      <c r="D77" s="40" t="s">
        <v>148</v>
      </c>
      <c r="E77" s="63" t="s">
        <v>556</v>
      </c>
      <c r="F77" s="72" t="s">
        <v>317</v>
      </c>
      <c r="G77" s="65" t="s">
        <v>329</v>
      </c>
      <c r="H77" s="66"/>
      <c r="I77" s="44" t="s">
        <v>139</v>
      </c>
      <c r="J77" s="45"/>
      <c r="K77" s="45"/>
      <c r="L77" s="45"/>
      <c r="M77" s="49"/>
      <c r="N77" s="44" t="s">
        <v>557</v>
      </c>
      <c r="O77" s="46" t="s">
        <v>244</v>
      </c>
      <c r="P77" s="52" t="s">
        <v>553</v>
      </c>
      <c r="Q77" s="35" t="s">
        <v>143</v>
      </c>
      <c r="R77" s="378" t="s">
        <v>144</v>
      </c>
      <c r="S77" s="380" t="s">
        <v>924</v>
      </c>
      <c r="T77" s="7" t="str">
        <f t="shared" si="1"/>
        <v>ok</v>
      </c>
    </row>
    <row r="78" spans="1:21" ht="219.75" hidden="1" customHeight="1" x14ac:dyDescent="0.5">
      <c r="A78" s="71" t="s">
        <v>558</v>
      </c>
      <c r="B78" s="39" t="s">
        <v>559</v>
      </c>
      <c r="C78" s="40" t="s">
        <v>147</v>
      </c>
      <c r="D78" s="40" t="s">
        <v>234</v>
      </c>
      <c r="E78" s="63" t="s">
        <v>560</v>
      </c>
      <c r="F78" s="72" t="s">
        <v>317</v>
      </c>
      <c r="G78" s="65" t="s">
        <v>329</v>
      </c>
      <c r="H78" s="66"/>
      <c r="I78" s="44" t="s">
        <v>139</v>
      </c>
      <c r="J78" s="45"/>
      <c r="K78" s="45"/>
      <c r="L78" s="45"/>
      <c r="M78" s="49"/>
      <c r="N78" s="44" t="s">
        <v>561</v>
      </c>
      <c r="O78" s="49" t="s">
        <v>244</v>
      </c>
      <c r="P78" s="52" t="s">
        <v>553</v>
      </c>
      <c r="Q78" s="35" t="s">
        <v>143</v>
      </c>
      <c r="R78" s="378" t="s">
        <v>144</v>
      </c>
      <c r="S78" s="380" t="s">
        <v>924</v>
      </c>
      <c r="T78" s="7" t="str">
        <f t="shared" si="1"/>
        <v>ok</v>
      </c>
    </row>
    <row r="79" spans="1:21" ht="65.25" hidden="1" customHeight="1" x14ac:dyDescent="0.5">
      <c r="A79" s="38" t="s">
        <v>562</v>
      </c>
      <c r="B79" s="39" t="s">
        <v>563</v>
      </c>
      <c r="C79" s="40" t="s">
        <v>147</v>
      </c>
      <c r="D79" s="40" t="s">
        <v>248</v>
      </c>
      <c r="E79" s="63" t="s">
        <v>564</v>
      </c>
      <c r="F79" s="72" t="s">
        <v>317</v>
      </c>
      <c r="G79" s="65" t="s">
        <v>329</v>
      </c>
      <c r="H79" s="66"/>
      <c r="I79" s="44" t="s">
        <v>139</v>
      </c>
      <c r="J79" s="45"/>
      <c r="K79" s="45"/>
      <c r="L79" s="45"/>
      <c r="M79" s="49"/>
      <c r="N79" s="44" t="s">
        <v>565</v>
      </c>
      <c r="O79" s="49" t="s">
        <v>345</v>
      </c>
      <c r="P79" s="52" t="s">
        <v>566</v>
      </c>
      <c r="Q79" s="35" t="s">
        <v>143</v>
      </c>
      <c r="R79" s="378" t="s">
        <v>144</v>
      </c>
      <c r="S79" s="380" t="s">
        <v>924</v>
      </c>
      <c r="T79" s="7" t="str">
        <f t="shared" si="1"/>
        <v>ok</v>
      </c>
    </row>
    <row r="80" spans="1:21" ht="90.75" hidden="1" customHeight="1" x14ac:dyDescent="0.5">
      <c r="A80" s="85" t="s">
        <v>567</v>
      </c>
      <c r="B80" s="39" t="s">
        <v>568</v>
      </c>
      <c r="C80" s="53" t="s">
        <v>136</v>
      </c>
      <c r="D80" s="53" t="s">
        <v>168</v>
      </c>
      <c r="E80" s="63" t="s">
        <v>569</v>
      </c>
      <c r="F80" s="64" t="s">
        <v>329</v>
      </c>
      <c r="G80" s="65" t="s">
        <v>329</v>
      </c>
      <c r="H80" s="66"/>
      <c r="I80" s="44" t="s">
        <v>139</v>
      </c>
      <c r="J80" s="45" t="s">
        <v>570</v>
      </c>
      <c r="K80" s="45"/>
      <c r="L80" s="45" t="str" cm="1">
        <f t="array" ref="L80">_xlfn.SWITCH(C80,"Numeric","999999999999999","String","Not applicable","Date","0001-01-01")</f>
        <v>999999999999999</v>
      </c>
      <c r="M80" s="56"/>
      <c r="N80" s="44" t="s">
        <v>571</v>
      </c>
      <c r="O80" s="56" t="s">
        <v>572</v>
      </c>
      <c r="P80" s="58" t="s">
        <v>427</v>
      </c>
      <c r="Q80" s="35" t="s">
        <v>154</v>
      </c>
      <c r="R80" s="378" t="s">
        <v>144</v>
      </c>
      <c r="S80" s="380" t="s">
        <v>925</v>
      </c>
      <c r="T80" s="7" t="str">
        <f t="shared" si="1"/>
        <v>ok</v>
      </c>
      <c r="U80" s="10" t="s">
        <v>928</v>
      </c>
    </row>
    <row r="81" spans="1:20" ht="166.5" hidden="1" customHeight="1" x14ac:dyDescent="0.5">
      <c r="A81" s="85" t="s">
        <v>573</v>
      </c>
      <c r="B81" s="39" t="s">
        <v>574</v>
      </c>
      <c r="C81" s="40" t="s">
        <v>147</v>
      </c>
      <c r="D81" s="40" t="s">
        <v>234</v>
      </c>
      <c r="E81" s="63" t="s">
        <v>575</v>
      </c>
      <c r="F81" s="64" t="s">
        <v>329</v>
      </c>
      <c r="G81" s="65" t="s">
        <v>329</v>
      </c>
      <c r="H81" s="66"/>
      <c r="I81" s="44" t="s">
        <v>139</v>
      </c>
      <c r="J81" s="45" t="s">
        <v>576</v>
      </c>
      <c r="K81" s="45"/>
      <c r="L81" s="45" t="str" cm="1">
        <f t="array" ref="L81">_xlfn.SWITCH(C81,"Numeric","999999999999999","String","Not applicable","Date","0001-01-01")</f>
        <v>Not applicable</v>
      </c>
      <c r="M81" s="49" t="s">
        <v>577</v>
      </c>
      <c r="N81" s="44" t="s">
        <v>578</v>
      </c>
      <c r="O81" s="49" t="s">
        <v>576</v>
      </c>
      <c r="P81" s="52" t="s">
        <v>579</v>
      </c>
      <c r="Q81" s="35" t="s">
        <v>154</v>
      </c>
      <c r="R81" s="378" t="s">
        <v>144</v>
      </c>
      <c r="S81" s="380" t="s">
        <v>924</v>
      </c>
      <c r="T81" s="7" t="str">
        <f t="shared" si="1"/>
        <v>ok</v>
      </c>
    </row>
    <row r="82" spans="1:20" ht="243.75" hidden="1" customHeight="1" x14ac:dyDescent="0.5">
      <c r="A82" s="85" t="s">
        <v>580</v>
      </c>
      <c r="B82" s="39" t="s">
        <v>581</v>
      </c>
      <c r="C82" s="53" t="s">
        <v>136</v>
      </c>
      <c r="D82" s="53" t="s">
        <v>168</v>
      </c>
      <c r="E82" s="63" t="s">
        <v>582</v>
      </c>
      <c r="F82" s="64" t="s">
        <v>329</v>
      </c>
      <c r="G82" s="65" t="s">
        <v>329</v>
      </c>
      <c r="H82" s="66"/>
      <c r="I82" s="44" t="s">
        <v>139</v>
      </c>
      <c r="J82" s="45"/>
      <c r="K82" s="45"/>
      <c r="L82" s="45"/>
      <c r="M82" s="56"/>
      <c r="N82" s="44" t="s">
        <v>583</v>
      </c>
      <c r="O82" s="56" t="s">
        <v>262</v>
      </c>
      <c r="P82" s="58" t="s">
        <v>584</v>
      </c>
      <c r="Q82" s="35" t="s">
        <v>143</v>
      </c>
      <c r="R82" s="378" t="s">
        <v>144</v>
      </c>
      <c r="S82" s="380" t="s">
        <v>924</v>
      </c>
      <c r="T82" s="7" t="str">
        <f t="shared" si="1"/>
        <v>ok</v>
      </c>
    </row>
    <row r="83" spans="1:20" ht="94.5" hidden="1" customHeight="1" x14ac:dyDescent="0.5">
      <c r="A83" s="85" t="s">
        <v>585</v>
      </c>
      <c r="B83" s="39" t="s">
        <v>586</v>
      </c>
      <c r="C83" s="40" t="s">
        <v>147</v>
      </c>
      <c r="D83" s="40" t="s">
        <v>148</v>
      </c>
      <c r="E83" s="63" t="s">
        <v>587</v>
      </c>
      <c r="F83" s="64" t="s">
        <v>329</v>
      </c>
      <c r="G83" s="65" t="s">
        <v>329</v>
      </c>
      <c r="H83" s="66"/>
      <c r="I83" s="44" t="s">
        <v>139</v>
      </c>
      <c r="J83" s="45"/>
      <c r="K83" s="45"/>
      <c r="L83" s="45"/>
      <c r="M83" s="49"/>
      <c r="N83" s="44" t="s">
        <v>588</v>
      </c>
      <c r="O83" s="46" t="s">
        <v>244</v>
      </c>
      <c r="P83" s="52" t="s">
        <v>589</v>
      </c>
      <c r="Q83" s="35" t="s">
        <v>143</v>
      </c>
      <c r="R83" s="378" t="s">
        <v>144</v>
      </c>
      <c r="S83" s="380" t="s">
        <v>924</v>
      </c>
      <c r="T83" s="7" t="str">
        <f t="shared" si="1"/>
        <v>ok</v>
      </c>
    </row>
    <row r="84" spans="1:20" ht="126.75" hidden="1" customHeight="1" x14ac:dyDescent="0.5">
      <c r="A84" s="85" t="s">
        <v>590</v>
      </c>
      <c r="B84" s="39" t="s">
        <v>591</v>
      </c>
      <c r="C84" s="40" t="s">
        <v>147</v>
      </c>
      <c r="D84" s="40" t="s">
        <v>248</v>
      </c>
      <c r="E84" s="63" t="s">
        <v>592</v>
      </c>
      <c r="F84" s="64" t="s">
        <v>329</v>
      </c>
      <c r="G84" s="65" t="s">
        <v>329</v>
      </c>
      <c r="H84" s="66"/>
      <c r="I84" s="44" t="s">
        <v>139</v>
      </c>
      <c r="J84" s="45"/>
      <c r="K84" s="45"/>
      <c r="L84" s="45"/>
      <c r="M84" s="49"/>
      <c r="N84" s="44" t="s">
        <v>593</v>
      </c>
      <c r="O84" s="49" t="s">
        <v>345</v>
      </c>
      <c r="P84" s="52" t="s">
        <v>594</v>
      </c>
      <c r="Q84" s="35" t="s">
        <v>143</v>
      </c>
      <c r="R84" s="378" t="s">
        <v>144</v>
      </c>
      <c r="S84" s="380" t="s">
        <v>924</v>
      </c>
      <c r="T84" s="7" t="str">
        <f t="shared" si="1"/>
        <v>ok</v>
      </c>
    </row>
    <row r="85" spans="1:20" ht="84.75" hidden="1" customHeight="1" thickBot="1" x14ac:dyDescent="0.55000000000000004">
      <c r="A85" s="86" t="s">
        <v>595</v>
      </c>
      <c r="B85" s="87" t="s">
        <v>596</v>
      </c>
      <c r="C85" s="88" t="s">
        <v>147</v>
      </c>
      <c r="D85" s="88" t="s">
        <v>248</v>
      </c>
      <c r="E85" s="89" t="s">
        <v>597</v>
      </c>
      <c r="F85" s="90" t="s">
        <v>329</v>
      </c>
      <c r="G85" s="91" t="s">
        <v>329</v>
      </c>
      <c r="H85" s="66"/>
      <c r="I85" s="92" t="s">
        <v>139</v>
      </c>
      <c r="J85" s="93"/>
      <c r="K85" s="93"/>
      <c r="L85" s="93"/>
      <c r="M85" s="94"/>
      <c r="N85" s="92" t="s">
        <v>598</v>
      </c>
      <c r="O85" s="94" t="s">
        <v>599</v>
      </c>
      <c r="P85" s="95" t="s">
        <v>600</v>
      </c>
      <c r="Q85" s="35" t="s">
        <v>143</v>
      </c>
      <c r="R85" s="378" t="s">
        <v>144</v>
      </c>
      <c r="S85" s="380" t="s">
        <v>924</v>
      </c>
      <c r="T85" s="7" t="str">
        <f t="shared" si="1"/>
        <v>ok</v>
      </c>
    </row>
    <row r="86" spans="1:20" s="96" customFormat="1" ht="16.5" x14ac:dyDescent="0.5">
      <c r="F86" s="97"/>
      <c r="G86" s="97"/>
      <c r="I86" s="98">
        <f>COUNTIF(I5:I85,"Não")</f>
        <v>65</v>
      </c>
      <c r="J86" s="99"/>
      <c r="K86" s="99"/>
      <c r="L86" s="99"/>
      <c r="M86" s="100"/>
      <c r="N86" s="100"/>
      <c r="O86" s="100"/>
      <c r="P86" s="100"/>
      <c r="Q86" s="101"/>
      <c r="R86" s="101"/>
      <c r="S86" s="101"/>
    </row>
    <row r="87" spans="1:20" s="96" customFormat="1" ht="16.5" x14ac:dyDescent="0.5">
      <c r="F87" s="97"/>
      <c r="G87" s="97"/>
      <c r="I87" s="102"/>
      <c r="J87" s="102"/>
      <c r="K87" s="102"/>
      <c r="L87" s="102"/>
      <c r="M87" s="100"/>
      <c r="N87" s="100"/>
      <c r="O87" s="100"/>
      <c r="P87" s="100"/>
      <c r="Q87" s="101"/>
      <c r="R87" s="101"/>
      <c r="S87" s="101"/>
    </row>
    <row r="88" spans="1:20" s="96" customFormat="1" ht="16.5" x14ac:dyDescent="0.5">
      <c r="F88" s="97"/>
      <c r="G88" s="97"/>
      <c r="I88" s="102"/>
      <c r="J88" s="102"/>
      <c r="K88" s="102"/>
      <c r="L88" s="102"/>
      <c r="M88" s="100"/>
      <c r="N88" s="100"/>
      <c r="O88" s="100"/>
      <c r="P88" s="100"/>
      <c r="Q88" s="101"/>
      <c r="R88" s="101"/>
      <c r="S88" s="101"/>
    </row>
    <row r="89" spans="1:20" s="96" customFormat="1" ht="16.5" x14ac:dyDescent="0.5">
      <c r="F89" s="97"/>
      <c r="G89" s="97"/>
      <c r="I89" s="102"/>
      <c r="J89" s="102"/>
      <c r="K89" s="102"/>
      <c r="L89" s="102"/>
      <c r="M89" s="100"/>
      <c r="N89" s="100"/>
      <c r="O89" s="100"/>
      <c r="P89" s="100"/>
      <c r="Q89" s="101"/>
      <c r="R89" s="101"/>
      <c r="S89" s="101"/>
    </row>
    <row r="90" spans="1:20" s="96" customFormat="1" ht="16.5" x14ac:dyDescent="0.5">
      <c r="F90" s="97"/>
      <c r="G90" s="97"/>
      <c r="I90" s="102"/>
      <c r="J90" s="102"/>
      <c r="K90" s="102"/>
      <c r="L90" s="102"/>
      <c r="M90" s="100"/>
      <c r="N90" s="100"/>
      <c r="O90" s="100"/>
      <c r="P90" s="100"/>
      <c r="Q90" s="101"/>
      <c r="R90" s="101"/>
      <c r="S90" s="101"/>
    </row>
    <row r="91" spans="1:20" s="96" customFormat="1" ht="16.5" x14ac:dyDescent="0.5">
      <c r="F91" s="97"/>
      <c r="G91" s="97"/>
      <c r="I91" s="102"/>
      <c r="J91" s="102"/>
      <c r="K91" s="102"/>
      <c r="L91" s="102"/>
      <c r="M91" s="100"/>
      <c r="N91" s="100"/>
      <c r="O91" s="100"/>
      <c r="P91" s="100"/>
      <c r="Q91" s="101"/>
      <c r="R91" s="101"/>
      <c r="S91" s="101"/>
    </row>
    <row r="92" spans="1:20" s="96" customFormat="1" ht="16.5" x14ac:dyDescent="0.5">
      <c r="F92" s="97"/>
      <c r="G92" s="97"/>
      <c r="I92" s="102"/>
      <c r="J92" s="102"/>
      <c r="K92" s="102"/>
      <c r="L92" s="102"/>
      <c r="M92" s="100"/>
      <c r="N92" s="100"/>
      <c r="O92" s="100"/>
      <c r="P92" s="100"/>
      <c r="Q92" s="101"/>
      <c r="R92" s="101"/>
      <c r="S92" s="101"/>
    </row>
    <row r="93" spans="1:20" s="96" customFormat="1" ht="16.5" x14ac:dyDescent="0.5">
      <c r="F93" s="97"/>
      <c r="G93" s="97"/>
      <c r="I93" s="102"/>
      <c r="J93" s="102"/>
      <c r="K93" s="102"/>
      <c r="L93" s="102"/>
      <c r="M93" s="100"/>
      <c r="N93" s="100"/>
      <c r="O93" s="100"/>
      <c r="P93" s="100"/>
      <c r="Q93" s="101"/>
      <c r="R93" s="101"/>
      <c r="S93" s="101"/>
    </row>
    <row r="94" spans="1:20" s="96" customFormat="1" ht="16.5" x14ac:dyDescent="0.5">
      <c r="F94" s="97"/>
      <c r="G94" s="97"/>
      <c r="I94" s="102"/>
      <c r="J94" s="102"/>
      <c r="K94" s="102"/>
      <c r="L94" s="102"/>
      <c r="M94" s="100"/>
      <c r="N94" s="100"/>
      <c r="O94" s="100"/>
      <c r="P94" s="100"/>
      <c r="Q94" s="101"/>
      <c r="R94" s="101"/>
      <c r="S94" s="101"/>
    </row>
    <row r="95" spans="1:20" s="96" customFormat="1" ht="16.5" x14ac:dyDescent="0.5">
      <c r="F95" s="97"/>
      <c r="G95" s="97"/>
      <c r="I95" s="102"/>
      <c r="J95" s="102"/>
      <c r="K95" s="102"/>
      <c r="L95" s="102"/>
      <c r="M95" s="100"/>
      <c r="N95" s="100"/>
      <c r="O95" s="100"/>
      <c r="P95" s="100"/>
      <c r="Q95" s="101"/>
      <c r="R95" s="101"/>
      <c r="S95" s="101"/>
    </row>
    <row r="96" spans="1:20" s="96" customFormat="1" ht="16.5" x14ac:dyDescent="0.5">
      <c r="F96" s="97"/>
      <c r="G96" s="97"/>
      <c r="I96" s="102"/>
      <c r="J96" s="102"/>
      <c r="K96" s="102"/>
      <c r="L96" s="102"/>
      <c r="M96" s="100"/>
      <c r="N96" s="100"/>
      <c r="O96" s="100"/>
      <c r="P96" s="100"/>
      <c r="Q96" s="101"/>
      <c r="R96" s="101"/>
      <c r="S96" s="101"/>
    </row>
    <row r="97" spans="6:19" s="96" customFormat="1" ht="16.5" x14ac:dyDescent="0.5">
      <c r="F97" s="97"/>
      <c r="G97" s="97"/>
      <c r="I97" s="102"/>
      <c r="J97" s="102"/>
      <c r="K97" s="102"/>
      <c r="L97" s="102"/>
      <c r="M97" s="100"/>
      <c r="N97" s="100"/>
      <c r="O97" s="100"/>
      <c r="P97" s="100"/>
      <c r="Q97" s="101"/>
      <c r="R97" s="101"/>
      <c r="S97" s="101"/>
    </row>
    <row r="98" spans="6:19" s="96" customFormat="1" ht="16.5" x14ac:dyDescent="0.5">
      <c r="F98" s="97"/>
      <c r="G98" s="97"/>
      <c r="I98" s="102"/>
      <c r="J98" s="102"/>
      <c r="K98" s="102"/>
      <c r="L98" s="102"/>
      <c r="M98" s="100"/>
      <c r="N98" s="100"/>
      <c r="O98" s="100"/>
      <c r="P98" s="100"/>
      <c r="Q98" s="101"/>
      <c r="R98" s="101"/>
      <c r="S98" s="101"/>
    </row>
    <row r="99" spans="6:19" s="96" customFormat="1" ht="16.5" x14ac:dyDescent="0.5">
      <c r="F99" s="97"/>
      <c r="G99" s="97"/>
      <c r="I99" s="102"/>
      <c r="J99" s="102"/>
      <c r="K99" s="102"/>
      <c r="L99" s="102"/>
      <c r="M99" s="100"/>
      <c r="N99" s="100"/>
      <c r="O99" s="100"/>
      <c r="P99" s="100"/>
      <c r="Q99" s="101"/>
      <c r="R99" s="101"/>
      <c r="S99" s="101"/>
    </row>
    <row r="100" spans="6:19" s="96" customFormat="1" ht="16.5" x14ac:dyDescent="0.5">
      <c r="F100" s="97"/>
      <c r="G100" s="97"/>
      <c r="I100" s="102"/>
      <c r="J100" s="102"/>
      <c r="K100" s="102"/>
      <c r="L100" s="102"/>
      <c r="M100" s="100"/>
      <c r="N100" s="100"/>
      <c r="O100" s="100"/>
      <c r="P100" s="100"/>
      <c r="Q100" s="101"/>
      <c r="R100" s="101"/>
      <c r="S100" s="101"/>
    </row>
    <row r="101" spans="6:19" s="96" customFormat="1" ht="16.5" x14ac:dyDescent="0.5">
      <c r="F101" s="97"/>
      <c r="G101" s="97"/>
      <c r="I101" s="102"/>
      <c r="J101" s="102"/>
      <c r="K101" s="102"/>
      <c r="L101" s="102"/>
      <c r="M101" s="100"/>
      <c r="N101" s="100"/>
      <c r="O101" s="100"/>
      <c r="P101" s="100"/>
      <c r="Q101" s="101"/>
      <c r="R101" s="101"/>
      <c r="S101" s="101"/>
    </row>
  </sheetData>
  <autoFilter ref="A4:U85" xr:uid="{00000000-0001-0000-0300-000000000000}">
    <filterColumn colId="13">
      <filters>
        <filter val="out_b0200_main_liabilities.0100_accrd_intrst_instrmnt"/>
      </filters>
    </filterColumn>
  </autoFilter>
  <dataValidations count="1">
    <dataValidation allowBlank="1" showInputMessage="1" showErrorMessage="1" sqref="J87:L1048576 J5:K43 L5:L85 O10" xr:uid="{BA8A2987-148E-44B4-AAD7-5E8A36E316AE}"/>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2788-759F-4ACA-9351-C5C9DC53C09C}">
  <sheetPr filterMode="1"/>
  <dimension ref="A1:AI20"/>
  <sheetViews>
    <sheetView zoomScale="70" zoomScaleNormal="80" workbookViewId="0">
      <pane xSplit="5" ySplit="4" topLeftCell="H14" activePane="bottomRight" state="frozen"/>
      <selection activeCell="J4" sqref="J4"/>
      <selection pane="topRight" activeCell="J4" sqref="J4"/>
      <selection pane="bottomLeft" activeCell="J4" sqref="J4"/>
      <selection pane="bottomRight" activeCell="J14" sqref="J14"/>
    </sheetView>
  </sheetViews>
  <sheetFormatPr defaultColWidth="9.08984375" defaultRowHeight="12.75" customHeight="1" x14ac:dyDescent="0.5"/>
  <cols>
    <col min="1" max="1" width="14.54296875" style="116" customWidth="1"/>
    <col min="2" max="2" width="5" style="116" customWidth="1"/>
    <col min="3" max="3" width="6.90625" style="116" customWidth="1"/>
    <col min="4" max="4" width="9.08984375" style="116" customWidth="1"/>
    <col min="5" max="5" width="54.453125" style="116" customWidth="1"/>
    <col min="6" max="6" width="14.453125" style="116" customWidth="1"/>
    <col min="7" max="7" width="13.54296875" style="116" customWidth="1"/>
    <col min="8" max="8" width="2.90625" style="116" customWidth="1"/>
    <col min="9" max="9" width="7.08984375" style="192" customWidth="1"/>
    <col min="10" max="11" width="15.08984375" style="192" customWidth="1"/>
    <col min="12" max="12" width="16.54296875" style="192" customWidth="1"/>
    <col min="13" max="13" width="35.08984375" style="116" customWidth="1"/>
    <col min="14" max="14" width="24.90625" style="116" customWidth="1"/>
    <col min="15" max="15" width="40.453125" style="116" customWidth="1"/>
    <col min="16" max="16" width="32.54296875" style="191" customWidth="1"/>
    <col min="17" max="18" width="17" style="114" customWidth="1"/>
    <col min="19" max="19" width="15.54296875" style="116" hidden="1" customWidth="1"/>
    <col min="20" max="20" width="14.453125" style="116" hidden="1" customWidth="1"/>
    <col min="21" max="21" width="12.54296875" style="116" hidden="1" customWidth="1"/>
    <col min="22" max="22" width="15.08984375" style="116" hidden="1" customWidth="1"/>
    <col min="23" max="23" width="15.90625" style="116" hidden="1" customWidth="1"/>
    <col min="24" max="24" width="7.90625" style="116" hidden="1" customWidth="1"/>
    <col min="25" max="25" width="6.54296875" style="116" hidden="1" customWidth="1"/>
    <col min="26" max="26" width="10.54296875" style="116" hidden="1" customWidth="1"/>
    <col min="27" max="33" width="9.08984375" style="116" hidden="1" customWidth="1"/>
    <col min="34" max="34" width="14.08984375" style="191" customWidth="1"/>
    <col min="35" max="35" width="24.08984375" style="114" customWidth="1"/>
    <col min="36" max="16384" width="9.08984375" style="116"/>
  </cols>
  <sheetData>
    <row r="1" spans="1:35" s="113" customFormat="1" ht="21" customHeight="1" thickBot="1" x14ac:dyDescent="0.55000000000000004">
      <c r="A1" s="419" t="s">
        <v>613</v>
      </c>
      <c r="B1" s="419"/>
      <c r="C1" s="419"/>
      <c r="D1" s="419"/>
      <c r="E1" s="419"/>
      <c r="F1" s="419"/>
      <c r="G1" s="419"/>
      <c r="H1" s="419"/>
      <c r="I1" s="419"/>
      <c r="J1" s="419"/>
      <c r="K1" s="419"/>
      <c r="L1" s="419"/>
      <c r="M1" s="419"/>
      <c r="N1" s="419"/>
      <c r="O1" s="419"/>
      <c r="P1" s="419"/>
      <c r="Q1" s="419"/>
      <c r="R1" s="112"/>
      <c r="AH1" s="98"/>
      <c r="AI1" s="114"/>
    </row>
    <row r="2" spans="1:35" ht="17.25" customHeight="1" thickBot="1" x14ac:dyDescent="0.55000000000000004">
      <c r="A2" s="420" t="s">
        <v>115</v>
      </c>
      <c r="B2" s="421"/>
      <c r="C2" s="421"/>
      <c r="D2" s="421"/>
      <c r="E2" s="421"/>
      <c r="F2" s="421"/>
      <c r="G2" s="422"/>
      <c r="H2" s="8"/>
      <c r="I2" s="426" t="s">
        <v>614</v>
      </c>
      <c r="J2" s="427"/>
      <c r="K2" s="427"/>
      <c r="L2" s="427"/>
      <c r="M2" s="427"/>
      <c r="N2" s="427"/>
      <c r="O2" s="427"/>
      <c r="P2" s="428"/>
      <c r="S2" s="548" t="s">
        <v>615</v>
      </c>
      <c r="T2" s="549"/>
      <c r="U2" s="549"/>
      <c r="V2" s="549"/>
      <c r="W2" s="549"/>
      <c r="X2" s="549"/>
      <c r="Y2" s="549"/>
      <c r="Z2" s="549"/>
      <c r="AA2" s="549"/>
      <c r="AB2" s="549"/>
      <c r="AC2" s="549"/>
      <c r="AD2" s="549"/>
      <c r="AE2" s="549"/>
      <c r="AF2" s="549"/>
      <c r="AG2" s="550"/>
    </row>
    <row r="3" spans="1:35" ht="17.25" customHeight="1" thickBot="1" x14ac:dyDescent="0.55000000000000004">
      <c r="A3" s="423"/>
      <c r="B3" s="424"/>
      <c r="C3" s="424"/>
      <c r="D3" s="424"/>
      <c r="E3" s="424"/>
      <c r="F3" s="424"/>
      <c r="G3" s="425"/>
      <c r="H3" s="8"/>
      <c r="I3" s="429" t="s">
        <v>117</v>
      </c>
      <c r="J3" s="430"/>
      <c r="K3" s="430"/>
      <c r="L3" s="430"/>
      <c r="M3" s="431"/>
      <c r="N3" s="432" t="s">
        <v>118</v>
      </c>
      <c r="O3" s="433"/>
      <c r="P3" s="434" t="s">
        <v>119</v>
      </c>
      <c r="S3" s="117"/>
      <c r="T3" s="117"/>
      <c r="U3" s="117"/>
      <c r="V3" s="118"/>
      <c r="W3" s="118"/>
      <c r="X3" s="118"/>
      <c r="Y3" s="118"/>
      <c r="Z3" s="118"/>
      <c r="AA3" s="118"/>
      <c r="AB3" s="118"/>
      <c r="AC3" s="118"/>
      <c r="AD3" s="118"/>
      <c r="AE3" s="118"/>
      <c r="AF3" s="118"/>
      <c r="AG3" s="119"/>
    </row>
    <row r="4" spans="1:35" ht="59.25" customHeight="1" thickBot="1" x14ac:dyDescent="0.55000000000000004">
      <c r="A4" s="16" t="s">
        <v>120</v>
      </c>
      <c r="B4" s="17" t="s">
        <v>121</v>
      </c>
      <c r="C4" s="17" t="s">
        <v>122</v>
      </c>
      <c r="D4" s="17" t="s">
        <v>123</v>
      </c>
      <c r="E4" s="17" t="s">
        <v>124</v>
      </c>
      <c r="F4" s="120" t="s">
        <v>125</v>
      </c>
      <c r="G4" s="121" t="s">
        <v>126</v>
      </c>
      <c r="H4" s="122"/>
      <c r="I4" s="20" t="s">
        <v>127</v>
      </c>
      <c r="J4" s="123" t="s">
        <v>128</v>
      </c>
      <c r="K4" s="123" t="s">
        <v>129</v>
      </c>
      <c r="L4" s="123" t="s">
        <v>130</v>
      </c>
      <c r="M4" s="124" t="s">
        <v>131</v>
      </c>
      <c r="N4" s="125" t="s">
        <v>128</v>
      </c>
      <c r="O4" s="23" t="s">
        <v>131</v>
      </c>
      <c r="P4" s="418"/>
      <c r="Q4" s="24" t="s">
        <v>132</v>
      </c>
      <c r="R4" s="25" t="s">
        <v>133</v>
      </c>
      <c r="S4" s="126" t="s">
        <v>616</v>
      </c>
      <c r="T4" s="126" t="s">
        <v>617</v>
      </c>
      <c r="U4" s="126" t="s">
        <v>618</v>
      </c>
      <c r="V4" s="127" t="s">
        <v>619</v>
      </c>
      <c r="W4" s="127" t="s">
        <v>620</v>
      </c>
      <c r="X4" s="127" t="s">
        <v>621</v>
      </c>
      <c r="Y4" s="127" t="s">
        <v>622</v>
      </c>
      <c r="Z4" s="127" t="s">
        <v>623</v>
      </c>
      <c r="AA4" s="127" t="s">
        <v>624</v>
      </c>
      <c r="AB4" s="127" t="s">
        <v>625</v>
      </c>
      <c r="AC4" s="127" t="s">
        <v>626</v>
      </c>
      <c r="AD4" s="127" t="s">
        <v>627</v>
      </c>
      <c r="AE4" s="127" t="s">
        <v>628</v>
      </c>
      <c r="AF4" s="127" t="s">
        <v>629</v>
      </c>
      <c r="AG4" s="128" t="s">
        <v>630</v>
      </c>
      <c r="AH4" s="115" t="s">
        <v>631</v>
      </c>
      <c r="AI4" s="382" t="s">
        <v>923</v>
      </c>
    </row>
    <row r="5" spans="1:35" ht="112.5" hidden="1" customHeight="1" x14ac:dyDescent="0.5">
      <c r="A5" s="26" t="s">
        <v>134</v>
      </c>
      <c r="B5" s="129" t="s">
        <v>135</v>
      </c>
      <c r="C5" s="130" t="s">
        <v>136</v>
      </c>
      <c r="D5" s="130" t="s">
        <v>137</v>
      </c>
      <c r="E5" s="131" t="s">
        <v>138</v>
      </c>
      <c r="F5" s="132"/>
      <c r="G5" s="133"/>
      <c r="H5" s="134"/>
      <c r="I5" s="135" t="s">
        <v>139</v>
      </c>
      <c r="J5" s="136"/>
      <c r="K5" s="136"/>
      <c r="L5" s="137"/>
      <c r="M5" s="138"/>
      <c r="N5" s="139" t="s">
        <v>632</v>
      </c>
      <c r="O5" s="383" t="s">
        <v>633</v>
      </c>
      <c r="P5" s="140" t="s">
        <v>634</v>
      </c>
      <c r="Q5" s="35" t="s">
        <v>143</v>
      </c>
      <c r="R5" s="36" t="s">
        <v>144</v>
      </c>
      <c r="S5" s="141"/>
      <c r="T5" s="141"/>
      <c r="U5" s="141"/>
      <c r="V5" s="142"/>
      <c r="W5" s="143"/>
      <c r="X5" s="142" t="s">
        <v>635</v>
      </c>
      <c r="Y5" s="384" t="s">
        <v>135</v>
      </c>
      <c r="Z5" s="142" t="s">
        <v>636</v>
      </c>
      <c r="AA5" s="144"/>
      <c r="AB5" s="144"/>
      <c r="AC5" s="145" t="s">
        <v>637</v>
      </c>
      <c r="AD5" s="145"/>
      <c r="AE5" s="142" t="s">
        <v>638</v>
      </c>
      <c r="AF5" s="146"/>
      <c r="AG5" s="147" t="s">
        <v>635</v>
      </c>
      <c r="AH5" s="385" t="s">
        <v>639</v>
      </c>
      <c r="AI5" s="386" t="s">
        <v>924</v>
      </c>
    </row>
    <row r="6" spans="1:35" ht="128.25" hidden="1" customHeight="1" x14ac:dyDescent="0.5">
      <c r="A6" s="38" t="s">
        <v>640</v>
      </c>
      <c r="B6" s="50" t="s">
        <v>146</v>
      </c>
      <c r="C6" s="148" t="s">
        <v>147</v>
      </c>
      <c r="D6" s="148" t="s">
        <v>148</v>
      </c>
      <c r="E6" s="149" t="s">
        <v>641</v>
      </c>
      <c r="F6" s="150"/>
      <c r="G6" s="151"/>
      <c r="H6" s="134"/>
      <c r="I6" s="152" t="s">
        <v>139</v>
      </c>
      <c r="J6" s="153" t="s">
        <v>642</v>
      </c>
      <c r="K6" s="153"/>
      <c r="L6" s="154" t="str" cm="1">
        <f t="array" ref="L6">_xlfn.SWITCH(C6,"Numeric","999999999999999","String","Not applicable","Date","0001-01-01")</f>
        <v>Not applicable</v>
      </c>
      <c r="M6" s="155"/>
      <c r="N6" s="156" t="s">
        <v>643</v>
      </c>
      <c r="O6" s="46" t="s">
        <v>644</v>
      </c>
      <c r="P6" s="140" t="s">
        <v>645</v>
      </c>
      <c r="Q6" s="35" t="s">
        <v>154</v>
      </c>
      <c r="R6" s="36" t="s">
        <v>144</v>
      </c>
      <c r="S6" s="157" t="s">
        <v>646</v>
      </c>
      <c r="T6" s="157" t="s">
        <v>647</v>
      </c>
      <c r="U6" s="157" t="s">
        <v>638</v>
      </c>
      <c r="V6" s="158" t="s">
        <v>648</v>
      </c>
      <c r="W6" s="384" t="s">
        <v>649</v>
      </c>
      <c r="X6" s="142" t="s">
        <v>650</v>
      </c>
      <c r="Y6" s="387" t="s">
        <v>146</v>
      </c>
      <c r="Z6" s="142" t="s">
        <v>651</v>
      </c>
      <c r="AA6" s="144"/>
      <c r="AB6" s="144"/>
      <c r="AC6" s="145" t="s">
        <v>637</v>
      </c>
      <c r="AD6" s="145"/>
      <c r="AE6" s="142" t="s">
        <v>638</v>
      </c>
      <c r="AF6" s="146"/>
      <c r="AG6" s="147" t="s">
        <v>635</v>
      </c>
      <c r="AH6" s="385" t="s">
        <v>639</v>
      </c>
      <c r="AI6" s="386" t="s">
        <v>924</v>
      </c>
    </row>
    <row r="7" spans="1:35" ht="231.75" hidden="1" customHeight="1" x14ac:dyDescent="0.5">
      <c r="A7" s="38" t="s">
        <v>306</v>
      </c>
      <c r="B7" s="50" t="s">
        <v>156</v>
      </c>
      <c r="C7" s="148" t="s">
        <v>147</v>
      </c>
      <c r="D7" s="53" t="s">
        <v>308</v>
      </c>
      <c r="E7" s="149" t="s">
        <v>652</v>
      </c>
      <c r="F7" s="150"/>
      <c r="G7" s="151"/>
      <c r="H7" s="134"/>
      <c r="I7" s="152" t="s">
        <v>139</v>
      </c>
      <c r="J7" s="153"/>
      <c r="K7" s="153"/>
      <c r="L7" s="154"/>
      <c r="M7" s="155"/>
      <c r="N7" s="156" t="s">
        <v>653</v>
      </c>
      <c r="O7" s="46" t="s">
        <v>654</v>
      </c>
      <c r="P7" s="140" t="s">
        <v>655</v>
      </c>
      <c r="Q7" s="35" t="s">
        <v>143</v>
      </c>
      <c r="R7" s="36" t="s">
        <v>144</v>
      </c>
      <c r="S7" s="157" t="s">
        <v>646</v>
      </c>
      <c r="T7" s="157" t="s">
        <v>647</v>
      </c>
      <c r="U7" s="157" t="s">
        <v>638</v>
      </c>
      <c r="V7" s="142" t="s">
        <v>646</v>
      </c>
      <c r="W7" s="388" t="s">
        <v>656</v>
      </c>
      <c r="X7" s="142" t="s">
        <v>657</v>
      </c>
      <c r="Y7" s="387" t="s">
        <v>156</v>
      </c>
      <c r="Z7" s="142" t="s">
        <v>651</v>
      </c>
      <c r="AA7" s="144"/>
      <c r="AB7" s="144"/>
      <c r="AC7" s="145" t="s">
        <v>637</v>
      </c>
      <c r="AD7" s="145"/>
      <c r="AE7" s="142" t="s">
        <v>638</v>
      </c>
      <c r="AF7" s="146"/>
      <c r="AG7" s="147" t="s">
        <v>635</v>
      </c>
      <c r="AH7" s="385" t="s">
        <v>639</v>
      </c>
      <c r="AI7" s="386" t="s">
        <v>924</v>
      </c>
    </row>
    <row r="8" spans="1:35" ht="88.5" hidden="1" customHeight="1" x14ac:dyDescent="0.5">
      <c r="A8" s="38" t="s">
        <v>658</v>
      </c>
      <c r="B8" s="50" t="s">
        <v>161</v>
      </c>
      <c r="C8" s="148" t="s">
        <v>147</v>
      </c>
      <c r="D8" s="40" t="s">
        <v>248</v>
      </c>
      <c r="E8" s="149" t="s">
        <v>659</v>
      </c>
      <c r="F8" s="150"/>
      <c r="G8" s="151"/>
      <c r="H8" s="134"/>
      <c r="I8" s="152" t="s">
        <v>139</v>
      </c>
      <c r="J8" s="153"/>
      <c r="K8" s="153"/>
      <c r="L8" s="154"/>
      <c r="M8" s="155"/>
      <c r="N8" s="156" t="s">
        <v>660</v>
      </c>
      <c r="O8" s="46" t="s">
        <v>345</v>
      </c>
      <c r="P8" s="140" t="s">
        <v>661</v>
      </c>
      <c r="Q8" s="35" t="s">
        <v>143</v>
      </c>
      <c r="R8" s="36" t="s">
        <v>144</v>
      </c>
      <c r="S8" s="157" t="s">
        <v>646</v>
      </c>
      <c r="T8" s="157" t="s">
        <v>647</v>
      </c>
      <c r="U8" s="157" t="s">
        <v>638</v>
      </c>
      <c r="V8" s="158" t="s">
        <v>648</v>
      </c>
      <c r="W8" s="389" t="s">
        <v>662</v>
      </c>
      <c r="X8" s="142" t="s">
        <v>663</v>
      </c>
      <c r="Y8" s="387" t="s">
        <v>161</v>
      </c>
      <c r="Z8" s="142" t="s">
        <v>651</v>
      </c>
      <c r="AA8" s="144"/>
      <c r="AB8" s="144"/>
      <c r="AC8" s="145" t="s">
        <v>637</v>
      </c>
      <c r="AD8" s="145"/>
      <c r="AE8" s="142" t="s">
        <v>638</v>
      </c>
      <c r="AF8" s="146"/>
      <c r="AG8" s="147" t="s">
        <v>635</v>
      </c>
      <c r="AH8" s="385" t="s">
        <v>639</v>
      </c>
      <c r="AI8" s="386" t="s">
        <v>924</v>
      </c>
    </row>
    <row r="9" spans="1:35" ht="151.5" hidden="1" customHeight="1" x14ac:dyDescent="0.5">
      <c r="A9" s="38" t="s">
        <v>664</v>
      </c>
      <c r="B9" s="50" t="s">
        <v>665</v>
      </c>
      <c r="C9" s="148" t="s">
        <v>147</v>
      </c>
      <c r="D9" s="148" t="s">
        <v>666</v>
      </c>
      <c r="E9" s="149" t="s">
        <v>667</v>
      </c>
      <c r="F9" s="150"/>
      <c r="G9" s="151"/>
      <c r="H9" s="134"/>
      <c r="I9" s="152" t="s">
        <v>139</v>
      </c>
      <c r="J9" s="153"/>
      <c r="K9" s="153"/>
      <c r="L9" s="154"/>
      <c r="M9" s="159"/>
      <c r="N9" s="160" t="s">
        <v>668</v>
      </c>
      <c r="O9" s="46" t="s">
        <v>669</v>
      </c>
      <c r="P9" s="140" t="s">
        <v>670</v>
      </c>
      <c r="Q9" s="35" t="s">
        <v>143</v>
      </c>
      <c r="R9" s="36" t="s">
        <v>144</v>
      </c>
      <c r="S9" s="157" t="s">
        <v>646</v>
      </c>
      <c r="T9" s="157" t="s">
        <v>647</v>
      </c>
      <c r="U9" s="157" t="s">
        <v>638</v>
      </c>
      <c r="V9" s="158" t="s">
        <v>648</v>
      </c>
      <c r="W9" s="143" t="s">
        <v>671</v>
      </c>
      <c r="X9" s="142" t="s">
        <v>672</v>
      </c>
      <c r="Y9" s="387" t="s">
        <v>665</v>
      </c>
      <c r="Z9" s="142" t="s">
        <v>651</v>
      </c>
      <c r="AA9" s="144"/>
      <c r="AB9" s="144"/>
      <c r="AC9" s="145" t="s">
        <v>637</v>
      </c>
      <c r="AD9" s="145"/>
      <c r="AE9" s="142" t="s">
        <v>638</v>
      </c>
      <c r="AF9" s="146"/>
      <c r="AG9" s="147" t="s">
        <v>635</v>
      </c>
      <c r="AH9" s="385" t="s">
        <v>639</v>
      </c>
      <c r="AI9" s="386" t="s">
        <v>924</v>
      </c>
    </row>
    <row r="10" spans="1:35" ht="150.75" hidden="1" customHeight="1" x14ac:dyDescent="0.5">
      <c r="A10" s="38" t="s">
        <v>673</v>
      </c>
      <c r="B10" s="50" t="s">
        <v>178</v>
      </c>
      <c r="C10" s="148" t="s">
        <v>136</v>
      </c>
      <c r="D10" s="161" t="s">
        <v>168</v>
      </c>
      <c r="E10" s="149" t="s">
        <v>674</v>
      </c>
      <c r="F10" s="150"/>
      <c r="G10" s="151"/>
      <c r="H10" s="134"/>
      <c r="I10" s="152" t="s">
        <v>139</v>
      </c>
      <c r="J10" s="153" t="s">
        <v>675</v>
      </c>
      <c r="K10" s="153"/>
      <c r="L10" s="154" t="str" cm="1">
        <f t="array" ref="L10">_xlfn.SWITCH(C10,"Numeric","999999999999999","String","Not applicable","Date","0001-01-01")</f>
        <v>999999999999999</v>
      </c>
      <c r="M10" s="162"/>
      <c r="N10" s="163" t="s">
        <v>676</v>
      </c>
      <c r="O10" s="46" t="s">
        <v>675</v>
      </c>
      <c r="P10" s="140" t="s">
        <v>677</v>
      </c>
      <c r="Q10" s="35" t="s">
        <v>154</v>
      </c>
      <c r="R10" s="36" t="s">
        <v>144</v>
      </c>
      <c r="S10" s="157" t="s">
        <v>646</v>
      </c>
      <c r="T10" s="157" t="s">
        <v>647</v>
      </c>
      <c r="U10" s="157" t="s">
        <v>638</v>
      </c>
      <c r="V10" s="158" t="s">
        <v>648</v>
      </c>
      <c r="W10" s="390" t="s">
        <v>678</v>
      </c>
      <c r="X10" s="142" t="s">
        <v>679</v>
      </c>
      <c r="Y10" s="387" t="s">
        <v>178</v>
      </c>
      <c r="Z10" s="142" t="s">
        <v>680</v>
      </c>
      <c r="AA10" s="144"/>
      <c r="AB10" s="144"/>
      <c r="AC10" s="145" t="s">
        <v>637</v>
      </c>
      <c r="AD10" s="145"/>
      <c r="AE10" s="142" t="s">
        <v>638</v>
      </c>
      <c r="AF10" s="146"/>
      <c r="AG10" s="147" t="s">
        <v>635</v>
      </c>
      <c r="AH10" s="385" t="s">
        <v>639</v>
      </c>
      <c r="AI10" s="386"/>
    </row>
    <row r="11" spans="1:35" ht="181.5" hidden="1" customHeight="1" x14ac:dyDescent="0.5">
      <c r="A11" s="38" t="s">
        <v>681</v>
      </c>
      <c r="B11" s="50" t="s">
        <v>184</v>
      </c>
      <c r="C11" s="148" t="s">
        <v>147</v>
      </c>
      <c r="D11" s="148" t="s">
        <v>666</v>
      </c>
      <c r="E11" s="149" t="s">
        <v>682</v>
      </c>
      <c r="F11" s="150"/>
      <c r="G11" s="151"/>
      <c r="H11" s="134"/>
      <c r="I11" s="152" t="s">
        <v>171</v>
      </c>
      <c r="J11" s="153" t="s">
        <v>683</v>
      </c>
      <c r="K11" s="153"/>
      <c r="L11" s="154" t="str" cm="1">
        <f t="array" ref="L11">_xlfn.SWITCH(C11,"Numeric","999999999999999","String","Not applicable","Date","0001-01-01")</f>
        <v>Not applicable</v>
      </c>
      <c r="M11" s="162" t="s">
        <v>684</v>
      </c>
      <c r="N11" s="163" t="s">
        <v>685</v>
      </c>
      <c r="O11" s="164" t="s">
        <v>686</v>
      </c>
      <c r="P11" s="140" t="s">
        <v>687</v>
      </c>
      <c r="Q11" s="35" t="s">
        <v>176</v>
      </c>
      <c r="R11" s="36" t="s">
        <v>198</v>
      </c>
      <c r="S11" s="157" t="s">
        <v>646</v>
      </c>
      <c r="T11" s="157" t="s">
        <v>647</v>
      </c>
      <c r="U11" s="157" t="s">
        <v>638</v>
      </c>
      <c r="V11" s="158" t="s">
        <v>648</v>
      </c>
      <c r="W11" s="391" t="s">
        <v>688</v>
      </c>
      <c r="X11" s="142" t="s">
        <v>689</v>
      </c>
      <c r="Y11" s="387" t="s">
        <v>184</v>
      </c>
      <c r="Z11" s="142" t="s">
        <v>651</v>
      </c>
      <c r="AA11" s="144"/>
      <c r="AB11" s="144"/>
      <c r="AC11" s="145" t="s">
        <v>637</v>
      </c>
      <c r="AD11" s="145"/>
      <c r="AE11" s="142" t="s">
        <v>638</v>
      </c>
      <c r="AF11" s="146"/>
      <c r="AG11" s="147" t="s">
        <v>635</v>
      </c>
      <c r="AH11" s="385" t="s">
        <v>639</v>
      </c>
      <c r="AI11" s="386" t="s">
        <v>924</v>
      </c>
    </row>
    <row r="12" spans="1:35" ht="133.5" hidden="1" customHeight="1" x14ac:dyDescent="0.5">
      <c r="A12" s="38" t="s">
        <v>690</v>
      </c>
      <c r="B12" s="50" t="s">
        <v>691</v>
      </c>
      <c r="C12" s="148" t="s">
        <v>136</v>
      </c>
      <c r="D12" s="161" t="s">
        <v>168</v>
      </c>
      <c r="E12" s="149" t="s">
        <v>692</v>
      </c>
      <c r="F12" s="150"/>
      <c r="G12" s="151"/>
      <c r="H12" s="134"/>
      <c r="I12" s="152" t="s">
        <v>139</v>
      </c>
      <c r="J12" s="153"/>
      <c r="K12" s="153"/>
      <c r="L12" s="154"/>
      <c r="M12" s="159"/>
      <c r="N12" s="165" t="s">
        <v>693</v>
      </c>
      <c r="O12" s="46" t="s">
        <v>694</v>
      </c>
      <c r="P12" s="166" t="s">
        <v>695</v>
      </c>
      <c r="Q12" s="35" t="s">
        <v>143</v>
      </c>
      <c r="R12" s="36" t="s">
        <v>144</v>
      </c>
      <c r="S12" s="157" t="s">
        <v>646</v>
      </c>
      <c r="T12" s="157" t="s">
        <v>647</v>
      </c>
      <c r="U12" s="157" t="s">
        <v>638</v>
      </c>
      <c r="V12" s="158" t="s">
        <v>648</v>
      </c>
      <c r="W12" s="391" t="s">
        <v>696</v>
      </c>
      <c r="X12" s="142" t="s">
        <v>697</v>
      </c>
      <c r="Y12" s="387" t="s">
        <v>691</v>
      </c>
      <c r="Z12" s="142" t="s">
        <v>680</v>
      </c>
      <c r="AA12" s="144"/>
      <c r="AB12" s="144"/>
      <c r="AC12" s="145" t="s">
        <v>637</v>
      </c>
      <c r="AD12" s="145"/>
      <c r="AE12" s="142" t="s">
        <v>638</v>
      </c>
      <c r="AF12" s="146"/>
      <c r="AG12" s="147" t="s">
        <v>635</v>
      </c>
      <c r="AH12" s="385" t="s">
        <v>698</v>
      </c>
      <c r="AI12" s="386" t="s">
        <v>924</v>
      </c>
    </row>
    <row r="13" spans="1:35" ht="249" hidden="1" customHeight="1" x14ac:dyDescent="0.5">
      <c r="A13" s="38" t="s">
        <v>699</v>
      </c>
      <c r="B13" s="50" t="s">
        <v>200</v>
      </c>
      <c r="C13" s="148" t="s">
        <v>147</v>
      </c>
      <c r="D13" s="161" t="s">
        <v>265</v>
      </c>
      <c r="E13" s="149" t="s">
        <v>700</v>
      </c>
      <c r="F13" s="150"/>
      <c r="G13" s="151"/>
      <c r="H13" s="134"/>
      <c r="I13" s="152" t="s">
        <v>139</v>
      </c>
      <c r="J13" s="153"/>
      <c r="K13" s="153"/>
      <c r="L13" s="154"/>
      <c r="M13" s="162" t="s">
        <v>701</v>
      </c>
      <c r="N13" s="160" t="s">
        <v>702</v>
      </c>
      <c r="O13" s="34" t="s">
        <v>703</v>
      </c>
      <c r="P13" s="392" t="s">
        <v>704</v>
      </c>
      <c r="Q13" s="35" t="s">
        <v>143</v>
      </c>
      <c r="R13" s="36" t="s">
        <v>144</v>
      </c>
      <c r="S13" s="157" t="s">
        <v>646</v>
      </c>
      <c r="T13" s="157" t="s">
        <v>647</v>
      </c>
      <c r="U13" s="157" t="s">
        <v>638</v>
      </c>
      <c r="V13" s="158" t="s">
        <v>648</v>
      </c>
      <c r="W13" s="391" t="s">
        <v>705</v>
      </c>
      <c r="X13" s="142" t="s">
        <v>706</v>
      </c>
      <c r="Y13" s="387" t="s">
        <v>200</v>
      </c>
      <c r="Z13" s="142" t="s">
        <v>651</v>
      </c>
      <c r="AA13" s="144"/>
      <c r="AB13" s="144"/>
      <c r="AC13" s="145" t="s">
        <v>637</v>
      </c>
      <c r="AD13" s="145"/>
      <c r="AE13" s="142" t="s">
        <v>638</v>
      </c>
      <c r="AF13" s="146"/>
      <c r="AG13" s="147" t="s">
        <v>635</v>
      </c>
      <c r="AH13" s="385" t="s">
        <v>639</v>
      </c>
      <c r="AI13" s="386" t="s">
        <v>924</v>
      </c>
    </row>
    <row r="14" spans="1:35" ht="114" customHeight="1" x14ac:dyDescent="0.5">
      <c r="A14" s="38" t="s">
        <v>707</v>
      </c>
      <c r="B14" s="50" t="s">
        <v>708</v>
      </c>
      <c r="C14" s="161" t="s">
        <v>271</v>
      </c>
      <c r="D14" s="161" t="s">
        <v>272</v>
      </c>
      <c r="E14" s="149" t="s">
        <v>709</v>
      </c>
      <c r="F14" s="150"/>
      <c r="G14" s="151"/>
      <c r="H14" s="134"/>
      <c r="I14" s="152" t="s">
        <v>139</v>
      </c>
      <c r="J14" s="153" t="s">
        <v>710</v>
      </c>
      <c r="K14" s="153"/>
      <c r="L14" s="154" t="str" cm="1">
        <f t="array" ref="L14">_xlfn.SWITCH(C14,"Numeric","999999999999999","String","Not applicable","Date","0001-01-01")</f>
        <v>0001-01-01</v>
      </c>
      <c r="M14" s="159"/>
      <c r="N14" s="160" t="s">
        <v>711</v>
      </c>
      <c r="O14" s="46" t="s">
        <v>710</v>
      </c>
      <c r="P14" s="166" t="s">
        <v>929</v>
      </c>
      <c r="Q14" s="35" t="s">
        <v>154</v>
      </c>
      <c r="R14" s="36" t="s">
        <v>198</v>
      </c>
      <c r="S14" s="157" t="s">
        <v>646</v>
      </c>
      <c r="T14" s="157" t="s">
        <v>647</v>
      </c>
      <c r="U14" s="157" t="s">
        <v>638</v>
      </c>
      <c r="V14" s="158" t="s">
        <v>648</v>
      </c>
      <c r="W14" s="390" t="s">
        <v>712</v>
      </c>
      <c r="X14" s="142" t="s">
        <v>713</v>
      </c>
      <c r="Y14" s="387" t="s">
        <v>708</v>
      </c>
      <c r="Z14" s="142" t="s">
        <v>651</v>
      </c>
      <c r="AA14" s="144"/>
      <c r="AB14" s="144"/>
      <c r="AC14" s="145" t="s">
        <v>637</v>
      </c>
      <c r="AD14" s="145"/>
      <c r="AE14" s="142" t="s">
        <v>638</v>
      </c>
      <c r="AF14" s="146"/>
      <c r="AG14" s="147" t="s">
        <v>635</v>
      </c>
      <c r="AH14" s="385" t="s">
        <v>639</v>
      </c>
      <c r="AI14" s="386" t="s">
        <v>924</v>
      </c>
    </row>
    <row r="15" spans="1:35" ht="144.75" hidden="1" customHeight="1" x14ac:dyDescent="0.5">
      <c r="A15" s="38" t="s">
        <v>714</v>
      </c>
      <c r="B15" s="50" t="s">
        <v>715</v>
      </c>
      <c r="C15" s="148" t="s">
        <v>147</v>
      </c>
      <c r="D15" s="148" t="s">
        <v>148</v>
      </c>
      <c r="E15" s="149" t="s">
        <v>716</v>
      </c>
      <c r="F15" s="150"/>
      <c r="G15" s="151"/>
      <c r="H15" s="134"/>
      <c r="I15" s="152" t="s">
        <v>139</v>
      </c>
      <c r="J15" s="153"/>
      <c r="K15" s="153"/>
      <c r="L15" s="154"/>
      <c r="M15" s="159"/>
      <c r="N15" s="160" t="s">
        <v>717</v>
      </c>
      <c r="O15" s="46" t="s">
        <v>244</v>
      </c>
      <c r="P15" s="167" t="s">
        <v>718</v>
      </c>
      <c r="Q15" s="35" t="s">
        <v>143</v>
      </c>
      <c r="R15" s="36" t="s">
        <v>144</v>
      </c>
      <c r="S15" s="157" t="s">
        <v>646</v>
      </c>
      <c r="T15" s="157" t="s">
        <v>647</v>
      </c>
      <c r="U15" s="157" t="s">
        <v>638</v>
      </c>
      <c r="V15" s="158" t="s">
        <v>648</v>
      </c>
      <c r="W15" s="391" t="s">
        <v>719</v>
      </c>
      <c r="X15" s="142" t="s">
        <v>720</v>
      </c>
      <c r="Y15" s="387" t="s">
        <v>715</v>
      </c>
      <c r="Z15" s="142" t="s">
        <v>651</v>
      </c>
      <c r="AA15" s="144"/>
      <c r="AB15" s="144"/>
      <c r="AC15" s="145" t="s">
        <v>637</v>
      </c>
      <c r="AD15" s="145"/>
      <c r="AE15" s="142" t="s">
        <v>638</v>
      </c>
      <c r="AF15" s="146"/>
      <c r="AG15" s="147" t="s">
        <v>635</v>
      </c>
      <c r="AH15" s="385" t="s">
        <v>721</v>
      </c>
      <c r="AI15" s="386" t="s">
        <v>924</v>
      </c>
    </row>
    <row r="16" spans="1:35" ht="156" hidden="1" customHeight="1" x14ac:dyDescent="0.5">
      <c r="A16" s="38" t="s">
        <v>722</v>
      </c>
      <c r="B16" s="50" t="s">
        <v>222</v>
      </c>
      <c r="C16" s="148" t="s">
        <v>147</v>
      </c>
      <c r="D16" s="148" t="s">
        <v>148</v>
      </c>
      <c r="E16" s="149" t="s">
        <v>723</v>
      </c>
      <c r="F16" s="150"/>
      <c r="G16" s="151"/>
      <c r="H16" s="134"/>
      <c r="I16" s="152" t="s">
        <v>139</v>
      </c>
      <c r="J16" s="153"/>
      <c r="K16" s="153"/>
      <c r="L16" s="154"/>
      <c r="M16" s="159"/>
      <c r="N16" s="160" t="s">
        <v>724</v>
      </c>
      <c r="O16" s="46" t="s">
        <v>244</v>
      </c>
      <c r="P16" s="166" t="s">
        <v>725</v>
      </c>
      <c r="Q16" s="35" t="s">
        <v>143</v>
      </c>
      <c r="R16" s="36" t="s">
        <v>144</v>
      </c>
      <c r="S16" s="157" t="s">
        <v>646</v>
      </c>
      <c r="T16" s="157" t="s">
        <v>647</v>
      </c>
      <c r="U16" s="157" t="s">
        <v>638</v>
      </c>
      <c r="V16" s="168" t="s">
        <v>648</v>
      </c>
      <c r="W16" s="391" t="s">
        <v>726</v>
      </c>
      <c r="X16" s="142" t="s">
        <v>720</v>
      </c>
      <c r="Y16" s="387" t="s">
        <v>222</v>
      </c>
      <c r="Z16" s="142" t="s">
        <v>651</v>
      </c>
      <c r="AA16" s="144"/>
      <c r="AB16" s="144"/>
      <c r="AC16" s="145" t="s">
        <v>637</v>
      </c>
      <c r="AD16" s="145"/>
      <c r="AE16" s="142" t="s">
        <v>638</v>
      </c>
      <c r="AF16" s="146"/>
      <c r="AG16" s="147" t="s">
        <v>635</v>
      </c>
      <c r="AH16" s="385" t="s">
        <v>698</v>
      </c>
      <c r="AI16" s="386" t="s">
        <v>924</v>
      </c>
    </row>
    <row r="17" spans="1:35" ht="217.5" hidden="1" customHeight="1" x14ac:dyDescent="0.5">
      <c r="A17" s="71" t="s">
        <v>894</v>
      </c>
      <c r="B17" s="169" t="s">
        <v>227</v>
      </c>
      <c r="C17" s="148" t="s">
        <v>147</v>
      </c>
      <c r="D17" s="148" t="s">
        <v>666</v>
      </c>
      <c r="E17" s="149" t="s">
        <v>727</v>
      </c>
      <c r="F17" s="150"/>
      <c r="G17" s="151"/>
      <c r="H17" s="134"/>
      <c r="I17" s="152" t="s">
        <v>139</v>
      </c>
      <c r="J17" s="153"/>
      <c r="K17" s="153"/>
      <c r="L17" s="154"/>
      <c r="M17" s="159"/>
      <c r="N17" s="160" t="s">
        <v>728</v>
      </c>
      <c r="O17" s="46" t="s">
        <v>244</v>
      </c>
      <c r="P17" s="140" t="s">
        <v>729</v>
      </c>
      <c r="Q17" s="35" t="s">
        <v>143</v>
      </c>
      <c r="R17" s="36" t="s">
        <v>144</v>
      </c>
      <c r="S17" s="157" t="s">
        <v>646</v>
      </c>
      <c r="T17" s="157" t="s">
        <v>647</v>
      </c>
      <c r="U17" s="157" t="s">
        <v>638</v>
      </c>
      <c r="V17" s="170" t="s">
        <v>648</v>
      </c>
      <c r="W17" s="143" t="s">
        <v>730</v>
      </c>
      <c r="X17" s="142" t="s">
        <v>720</v>
      </c>
      <c r="Y17" s="393" t="s">
        <v>227</v>
      </c>
      <c r="Z17" s="142" t="s">
        <v>651</v>
      </c>
      <c r="AA17" s="144"/>
      <c r="AB17" s="144"/>
      <c r="AC17" s="146" t="s">
        <v>637</v>
      </c>
      <c r="AD17" s="146"/>
      <c r="AE17" s="142" t="s">
        <v>638</v>
      </c>
      <c r="AF17" s="146"/>
      <c r="AG17" s="147" t="s">
        <v>635</v>
      </c>
      <c r="AH17" s="385" t="s">
        <v>698</v>
      </c>
      <c r="AI17" s="386" t="s">
        <v>924</v>
      </c>
    </row>
    <row r="18" spans="1:35" ht="192.75" hidden="1" customHeight="1" x14ac:dyDescent="0.5">
      <c r="A18" s="38" t="s">
        <v>731</v>
      </c>
      <c r="B18" s="50" t="s">
        <v>233</v>
      </c>
      <c r="C18" s="161" t="s">
        <v>271</v>
      </c>
      <c r="D18" s="161" t="s">
        <v>272</v>
      </c>
      <c r="E18" s="149" t="s">
        <v>732</v>
      </c>
      <c r="F18" s="150"/>
      <c r="G18" s="151"/>
      <c r="H18" s="134"/>
      <c r="I18" s="152" t="s">
        <v>139</v>
      </c>
      <c r="J18" s="153"/>
      <c r="K18" s="153"/>
      <c r="L18" s="154"/>
      <c r="M18" s="159"/>
      <c r="N18" s="160" t="s">
        <v>733</v>
      </c>
      <c r="O18" s="46" t="s">
        <v>734</v>
      </c>
      <c r="P18" s="167" t="s">
        <v>895</v>
      </c>
      <c r="Q18" s="35" t="s">
        <v>143</v>
      </c>
      <c r="R18" s="36" t="s">
        <v>144</v>
      </c>
      <c r="S18" s="157" t="s">
        <v>646</v>
      </c>
      <c r="T18" s="157" t="s">
        <v>647</v>
      </c>
      <c r="U18" s="157" t="s">
        <v>638</v>
      </c>
      <c r="V18" s="158" t="s">
        <v>648</v>
      </c>
      <c r="W18" s="391" t="s">
        <v>735</v>
      </c>
      <c r="X18" s="142" t="s">
        <v>720</v>
      </c>
      <c r="Y18" s="387" t="s">
        <v>233</v>
      </c>
      <c r="Z18" s="142" t="s">
        <v>651</v>
      </c>
      <c r="AA18" s="144"/>
      <c r="AB18" s="144"/>
      <c r="AC18" s="145" t="s">
        <v>637</v>
      </c>
      <c r="AD18" s="145"/>
      <c r="AE18" s="142" t="s">
        <v>638</v>
      </c>
      <c r="AF18" s="146"/>
      <c r="AG18" s="147" t="s">
        <v>635</v>
      </c>
      <c r="AH18" s="385" t="s">
        <v>698</v>
      </c>
      <c r="AI18" s="386" t="s">
        <v>924</v>
      </c>
    </row>
    <row r="19" spans="1:35" ht="280.5" hidden="1" customHeight="1" thickBot="1" x14ac:dyDescent="0.55000000000000004">
      <c r="A19" s="171" t="s">
        <v>736</v>
      </c>
      <c r="B19" s="172" t="s">
        <v>247</v>
      </c>
      <c r="C19" s="173" t="s">
        <v>147</v>
      </c>
      <c r="D19" s="173" t="s">
        <v>666</v>
      </c>
      <c r="E19" s="174" t="s">
        <v>737</v>
      </c>
      <c r="F19" s="175"/>
      <c r="G19" s="176"/>
      <c r="H19" s="134"/>
      <c r="I19" s="177" t="s">
        <v>139</v>
      </c>
      <c r="J19" s="178"/>
      <c r="K19" s="178"/>
      <c r="L19" s="179"/>
      <c r="M19" s="180"/>
      <c r="N19" s="181" t="s">
        <v>738</v>
      </c>
      <c r="O19" s="182" t="s">
        <v>244</v>
      </c>
      <c r="P19" s="183" t="s">
        <v>739</v>
      </c>
      <c r="Q19" s="35" t="s">
        <v>143</v>
      </c>
      <c r="R19" s="36" t="s">
        <v>144</v>
      </c>
      <c r="S19" s="157" t="s">
        <v>646</v>
      </c>
      <c r="T19" s="157" t="s">
        <v>647</v>
      </c>
      <c r="U19" s="157" t="s">
        <v>638</v>
      </c>
      <c r="V19" s="184" t="s">
        <v>648</v>
      </c>
      <c r="W19" s="394" t="s">
        <v>740</v>
      </c>
      <c r="X19" s="185" t="s">
        <v>720</v>
      </c>
      <c r="Y19" s="395" t="s">
        <v>247</v>
      </c>
      <c r="Z19" s="185" t="s">
        <v>651</v>
      </c>
      <c r="AA19" s="186"/>
      <c r="AB19" s="186"/>
      <c r="AC19" s="187" t="s">
        <v>637</v>
      </c>
      <c r="AD19" s="187"/>
      <c r="AE19" s="185" t="s">
        <v>638</v>
      </c>
      <c r="AF19" s="188"/>
      <c r="AG19" s="189" t="s">
        <v>635</v>
      </c>
      <c r="AH19" s="385" t="s">
        <v>698</v>
      </c>
      <c r="AI19" s="386" t="s">
        <v>924</v>
      </c>
    </row>
    <row r="20" spans="1:35" ht="16.5" x14ac:dyDescent="0.5">
      <c r="I20" s="190"/>
      <c r="J20" s="190"/>
      <c r="K20" s="190"/>
      <c r="L20" s="190"/>
    </row>
  </sheetData>
  <autoFilter ref="A4:AI19" xr:uid="{00000000-0001-0000-0400-000000000000}">
    <filterColumn colId="13">
      <filters>
        <filter val="out_b0500_guarantees.0100_dt_mtrty_clltrl"/>
      </filters>
    </filterColumn>
  </autoFilter>
  <mergeCells count="1">
    <mergeCell ref="S2:AG2"/>
  </mergeCells>
  <dataValidations count="1">
    <dataValidation allowBlank="1" showInputMessage="1" showErrorMessage="1" sqref="J5:L19" xr:uid="{112EBB13-973A-4AE7-B233-82D98A325195}"/>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8C5FB-4A5F-4517-8B24-1C593FDEB09A}">
  <dimension ref="A1:AI15"/>
  <sheetViews>
    <sheetView zoomScale="70" zoomScaleNormal="80" workbookViewId="0">
      <pane xSplit="5" ySplit="4" topLeftCell="H8" activePane="bottomRight" state="frozen"/>
      <selection pane="topRight"/>
      <selection pane="bottomLeft"/>
      <selection pane="bottomRight" activeCell="P9" sqref="P9"/>
    </sheetView>
  </sheetViews>
  <sheetFormatPr defaultColWidth="9.453125" defaultRowHeight="39.75" customHeight="1" x14ac:dyDescent="0.5"/>
  <cols>
    <col min="1" max="1" width="11.54296875" style="116" customWidth="1"/>
    <col min="2" max="2" width="4.54296875" style="116" customWidth="1"/>
    <col min="3" max="3" width="7.453125" style="116" customWidth="1"/>
    <col min="4" max="4" width="8.453125" style="116" customWidth="1"/>
    <col min="5" max="5" width="73.453125" style="116" customWidth="1"/>
    <col min="6" max="6" width="14.453125" style="116" customWidth="1"/>
    <col min="7" max="7" width="14.54296875" style="116" customWidth="1"/>
    <col min="8" max="8" width="1.453125" style="134" customWidth="1"/>
    <col min="9" max="9" width="6.453125" style="190" customWidth="1"/>
    <col min="10" max="10" width="14.453125" style="190" customWidth="1"/>
    <col min="11" max="11" width="12.453125" style="190" customWidth="1"/>
    <col min="12" max="12" width="13.453125" style="190" customWidth="1"/>
    <col min="13" max="13" width="32.54296875" style="116" customWidth="1"/>
    <col min="14" max="14" width="18.54296875" style="116" customWidth="1"/>
    <col min="15" max="15" width="55.453125" style="116" customWidth="1"/>
    <col min="16" max="16" width="31.453125" style="116" customWidth="1"/>
    <col min="17" max="19" width="15.453125" style="114" customWidth="1"/>
    <col min="20" max="20" width="16" style="116" hidden="1" customWidth="1"/>
    <col min="21" max="22" width="14.453125" style="116" hidden="1" customWidth="1"/>
    <col min="23" max="23" width="15.54296875" style="116" hidden="1" customWidth="1"/>
    <col min="24" max="24" width="26.54296875" style="116" hidden="1" customWidth="1"/>
    <col min="25" max="25" width="7.54296875" style="116" hidden="1" customWidth="1"/>
    <col min="26" max="26" width="7.453125" style="116" hidden="1" customWidth="1"/>
    <col min="27" max="27" width="11.453125" style="116" hidden="1" customWidth="1"/>
    <col min="28" max="28" width="8.453125" style="116" hidden="1" customWidth="1"/>
    <col min="29" max="29" width="6.54296875" style="116" hidden="1" customWidth="1"/>
    <col min="30" max="30" width="6.453125" style="116" hidden="1" customWidth="1"/>
    <col min="31" max="31" width="8.453125" style="116" hidden="1" customWidth="1"/>
    <col min="32" max="32" width="9.453125" style="116" hidden="1" customWidth="1"/>
    <col min="33" max="33" width="7.453125" style="116" hidden="1" customWidth="1"/>
    <col min="34" max="34" width="8.54296875" style="116" hidden="1" customWidth="1"/>
    <col min="35" max="35" width="13" style="134" hidden="1" customWidth="1"/>
    <col min="36" max="16384" width="9.453125" style="116"/>
  </cols>
  <sheetData>
    <row r="1" spans="1:35" s="113" customFormat="1" ht="19.5" customHeight="1" thickBot="1" x14ac:dyDescent="0.55000000000000004">
      <c r="A1" s="551" t="s">
        <v>741</v>
      </c>
      <c r="B1" s="551"/>
      <c r="C1" s="551"/>
      <c r="D1" s="551"/>
      <c r="E1" s="551"/>
      <c r="F1" s="551"/>
      <c r="G1" s="551"/>
      <c r="H1" s="551"/>
      <c r="I1" s="551"/>
      <c r="J1" s="551"/>
      <c r="K1" s="551"/>
      <c r="L1" s="551"/>
      <c r="M1" s="551"/>
      <c r="N1" s="551"/>
      <c r="O1" s="551"/>
      <c r="P1" s="551"/>
      <c r="Q1" s="551"/>
      <c r="R1" s="112"/>
      <c r="S1" s="112"/>
      <c r="AI1" s="193"/>
    </row>
    <row r="2" spans="1:35" ht="22.5" customHeight="1" thickBot="1" x14ac:dyDescent="0.55000000000000004">
      <c r="A2" s="552" t="s">
        <v>115</v>
      </c>
      <c r="B2" s="553"/>
      <c r="C2" s="553"/>
      <c r="D2" s="553"/>
      <c r="E2" s="553"/>
      <c r="F2" s="553"/>
      <c r="G2" s="554"/>
      <c r="H2" s="194"/>
      <c r="I2" s="555" t="s">
        <v>614</v>
      </c>
      <c r="J2" s="556"/>
      <c r="K2" s="556"/>
      <c r="L2" s="556"/>
      <c r="M2" s="556"/>
      <c r="N2" s="556"/>
      <c r="O2" s="556"/>
      <c r="P2" s="557"/>
      <c r="Q2" s="195"/>
      <c r="R2" s="195"/>
      <c r="S2" s="195"/>
      <c r="T2" s="558" t="s">
        <v>615</v>
      </c>
      <c r="U2" s="558"/>
      <c r="V2" s="558"/>
      <c r="W2" s="559"/>
      <c r="X2" s="559"/>
      <c r="Y2" s="559"/>
      <c r="Z2" s="559"/>
      <c r="AA2" s="559"/>
      <c r="AB2" s="559"/>
      <c r="AC2" s="559"/>
      <c r="AD2" s="559"/>
      <c r="AE2" s="559"/>
      <c r="AF2" s="559"/>
      <c r="AG2" s="559"/>
      <c r="AH2" s="560"/>
    </row>
    <row r="3" spans="1:35" ht="22.5" customHeight="1" thickBot="1" x14ac:dyDescent="0.55000000000000004">
      <c r="A3" s="196"/>
      <c r="B3" s="13"/>
      <c r="C3" s="13"/>
      <c r="D3" s="13"/>
      <c r="E3" s="13"/>
      <c r="F3" s="13"/>
      <c r="G3" s="14"/>
      <c r="H3" s="194"/>
      <c r="I3" s="561" t="s">
        <v>117</v>
      </c>
      <c r="J3" s="562"/>
      <c r="K3" s="563"/>
      <c r="L3" s="563"/>
      <c r="M3" s="564"/>
      <c r="N3" s="565" t="s">
        <v>118</v>
      </c>
      <c r="O3" s="563"/>
      <c r="P3" s="566" t="s">
        <v>119</v>
      </c>
      <c r="Q3" s="195"/>
      <c r="R3" s="195"/>
      <c r="S3" s="195"/>
      <c r="T3" s="197"/>
      <c r="U3" s="197"/>
      <c r="V3" s="197"/>
      <c r="W3" s="198"/>
      <c r="X3" s="198"/>
      <c r="Y3" s="198"/>
      <c r="Z3" s="198"/>
      <c r="AA3" s="198"/>
      <c r="AB3" s="198"/>
      <c r="AC3" s="198"/>
      <c r="AD3" s="198"/>
      <c r="AE3" s="198"/>
      <c r="AF3" s="198"/>
      <c r="AG3" s="198"/>
      <c r="AH3" s="199"/>
    </row>
    <row r="4" spans="1:35" ht="50.25" customHeight="1" thickBot="1" x14ac:dyDescent="0.55000000000000004">
      <c r="A4" s="200" t="s">
        <v>120</v>
      </c>
      <c r="B4" s="201" t="s">
        <v>121</v>
      </c>
      <c r="C4" s="201" t="s">
        <v>122</v>
      </c>
      <c r="D4" s="201" t="s">
        <v>123</v>
      </c>
      <c r="E4" s="201" t="s">
        <v>124</v>
      </c>
      <c r="F4" s="202" t="s">
        <v>125</v>
      </c>
      <c r="G4" s="203" t="s">
        <v>126</v>
      </c>
      <c r="H4" s="122"/>
      <c r="I4" s="20" t="s">
        <v>127</v>
      </c>
      <c r="J4" s="123" t="s">
        <v>128</v>
      </c>
      <c r="K4" s="123" t="s">
        <v>129</v>
      </c>
      <c r="L4" s="123" t="s">
        <v>130</v>
      </c>
      <c r="M4" s="124" t="s">
        <v>131</v>
      </c>
      <c r="N4" s="125" t="s">
        <v>128</v>
      </c>
      <c r="O4" s="23" t="s">
        <v>131</v>
      </c>
      <c r="P4" s="567"/>
      <c r="Q4" s="24" t="s">
        <v>132</v>
      </c>
      <c r="R4" s="376" t="s">
        <v>133</v>
      </c>
      <c r="S4" s="377" t="s">
        <v>923</v>
      </c>
      <c r="T4" s="126" t="s">
        <v>616</v>
      </c>
      <c r="U4" s="126" t="s">
        <v>617</v>
      </c>
      <c r="V4" s="126" t="s">
        <v>618</v>
      </c>
      <c r="W4" s="127" t="s">
        <v>619</v>
      </c>
      <c r="X4" s="127" t="s">
        <v>620</v>
      </c>
      <c r="Y4" s="127" t="s">
        <v>621</v>
      </c>
      <c r="Z4" s="127" t="s">
        <v>622</v>
      </c>
      <c r="AA4" s="127" t="s">
        <v>623</v>
      </c>
      <c r="AB4" s="127" t="s">
        <v>624</v>
      </c>
      <c r="AC4" s="127" t="s">
        <v>625</v>
      </c>
      <c r="AD4" s="127" t="s">
        <v>626</v>
      </c>
      <c r="AE4" s="127" t="s">
        <v>627</v>
      </c>
      <c r="AF4" s="127" t="s">
        <v>628</v>
      </c>
      <c r="AG4" s="127" t="s">
        <v>629</v>
      </c>
      <c r="AH4" s="128" t="s">
        <v>630</v>
      </c>
      <c r="AI4" s="204" t="s">
        <v>742</v>
      </c>
    </row>
    <row r="5" spans="1:35" ht="102" customHeight="1" x14ac:dyDescent="0.5">
      <c r="A5" s="38" t="s">
        <v>134</v>
      </c>
      <c r="B5" s="50" t="s">
        <v>135</v>
      </c>
      <c r="C5" s="148" t="s">
        <v>136</v>
      </c>
      <c r="D5" s="40" t="s">
        <v>137</v>
      </c>
      <c r="E5" s="205" t="s">
        <v>743</v>
      </c>
      <c r="F5" s="206"/>
      <c r="G5" s="207"/>
      <c r="I5" s="208" t="s">
        <v>139</v>
      </c>
      <c r="J5" s="33"/>
      <c r="K5" s="33"/>
      <c r="L5" s="33"/>
      <c r="M5" s="209"/>
      <c r="N5" s="210" t="s">
        <v>744</v>
      </c>
      <c r="O5" s="34" t="s">
        <v>745</v>
      </c>
      <c r="P5" s="52" t="s">
        <v>746</v>
      </c>
      <c r="Q5" s="35" t="s">
        <v>143</v>
      </c>
      <c r="R5" s="211" t="s">
        <v>144</v>
      </c>
      <c r="S5" s="386" t="s">
        <v>924</v>
      </c>
      <c r="T5" s="157"/>
      <c r="U5" s="141"/>
      <c r="V5" s="141"/>
      <c r="W5" s="146"/>
      <c r="X5" s="142"/>
      <c r="Y5" s="142" t="s">
        <v>635</v>
      </c>
      <c r="Z5" s="142" t="s">
        <v>135</v>
      </c>
      <c r="AA5" s="142" t="s">
        <v>636</v>
      </c>
      <c r="AB5" s="144"/>
      <c r="AC5" s="144"/>
      <c r="AD5" s="142" t="s">
        <v>637</v>
      </c>
      <c r="AE5" s="142"/>
      <c r="AF5" s="142" t="s">
        <v>747</v>
      </c>
      <c r="AG5" s="144"/>
      <c r="AH5" s="212" t="s">
        <v>635</v>
      </c>
      <c r="AI5" s="213" t="s">
        <v>748</v>
      </c>
    </row>
    <row r="6" spans="1:35" ht="159.75" customHeight="1" x14ac:dyDescent="0.5">
      <c r="A6" s="38" t="s">
        <v>749</v>
      </c>
      <c r="B6" s="50" t="s">
        <v>750</v>
      </c>
      <c r="C6" s="148" t="s">
        <v>147</v>
      </c>
      <c r="D6" s="40" t="s">
        <v>234</v>
      </c>
      <c r="E6" s="214" t="s">
        <v>751</v>
      </c>
      <c r="F6" s="206"/>
      <c r="G6" s="207"/>
      <c r="I6" s="215" t="s">
        <v>139</v>
      </c>
      <c r="J6" s="45"/>
      <c r="K6" s="45"/>
      <c r="L6" s="45"/>
      <c r="M6" s="216"/>
      <c r="N6" s="217" t="s">
        <v>752</v>
      </c>
      <c r="O6" s="56" t="s">
        <v>753</v>
      </c>
      <c r="P6" s="52" t="s">
        <v>746</v>
      </c>
      <c r="Q6" s="35" t="s">
        <v>143</v>
      </c>
      <c r="R6" s="211" t="s">
        <v>144</v>
      </c>
      <c r="S6" s="386" t="s">
        <v>924</v>
      </c>
      <c r="T6" s="157"/>
      <c r="U6" s="157"/>
      <c r="V6" s="396"/>
      <c r="W6" s="146" t="s">
        <v>1</v>
      </c>
      <c r="X6" s="227" t="s">
        <v>647</v>
      </c>
      <c r="Y6" s="142" t="s">
        <v>650</v>
      </c>
      <c r="Z6" s="142" t="s">
        <v>750</v>
      </c>
      <c r="AA6" s="142" t="s">
        <v>651</v>
      </c>
      <c r="AB6" s="144"/>
      <c r="AC6" s="144"/>
      <c r="AD6" s="142" t="s">
        <v>637</v>
      </c>
      <c r="AE6" s="142"/>
      <c r="AF6" s="142" t="s">
        <v>747</v>
      </c>
      <c r="AG6" s="144"/>
      <c r="AH6" s="212" t="s">
        <v>635</v>
      </c>
      <c r="AI6" s="213" t="s">
        <v>748</v>
      </c>
    </row>
    <row r="7" spans="1:35" ht="274.5" customHeight="1" x14ac:dyDescent="0.5">
      <c r="A7" s="397" t="s">
        <v>155</v>
      </c>
      <c r="B7" s="230" t="s">
        <v>146</v>
      </c>
      <c r="C7" s="231" t="s">
        <v>147</v>
      </c>
      <c r="D7" s="78" t="s">
        <v>148</v>
      </c>
      <c r="E7" s="218" t="s">
        <v>754</v>
      </c>
      <c r="F7" s="219"/>
      <c r="G7" s="220"/>
      <c r="H7" s="193"/>
      <c r="I7" s="215" t="s">
        <v>139</v>
      </c>
      <c r="J7" s="45"/>
      <c r="K7" s="45"/>
      <c r="L7" s="45"/>
      <c r="M7" s="216"/>
      <c r="N7" s="217" t="s">
        <v>755</v>
      </c>
      <c r="O7" s="56" t="s">
        <v>756</v>
      </c>
      <c r="P7" s="52" t="s">
        <v>746</v>
      </c>
      <c r="Q7" s="35" t="s">
        <v>143</v>
      </c>
      <c r="R7" s="211" t="s">
        <v>144</v>
      </c>
      <c r="S7" s="386" t="s">
        <v>924</v>
      </c>
      <c r="T7" s="221" t="s">
        <v>646</v>
      </c>
      <c r="U7" s="221" t="s">
        <v>647</v>
      </c>
      <c r="V7" s="221" t="s">
        <v>757</v>
      </c>
      <c r="W7" s="222" t="s">
        <v>646</v>
      </c>
      <c r="X7" s="398" t="s">
        <v>4</v>
      </c>
      <c r="Y7" s="222" t="s">
        <v>657</v>
      </c>
      <c r="Z7" s="222" t="s">
        <v>146</v>
      </c>
      <c r="AA7" s="222" t="s">
        <v>651</v>
      </c>
      <c r="AB7" s="223"/>
      <c r="AC7" s="223"/>
      <c r="AD7" s="222" t="s">
        <v>637</v>
      </c>
      <c r="AE7" s="222"/>
      <c r="AF7" s="222" t="s">
        <v>747</v>
      </c>
      <c r="AG7" s="223"/>
      <c r="AH7" s="224" t="s">
        <v>635</v>
      </c>
      <c r="AI7" s="225" t="s">
        <v>748</v>
      </c>
    </row>
    <row r="8" spans="1:35" ht="125.25" customHeight="1" x14ac:dyDescent="0.5">
      <c r="A8" s="38" t="s">
        <v>758</v>
      </c>
      <c r="B8" s="39" t="s">
        <v>156</v>
      </c>
      <c r="C8" s="148" t="s">
        <v>147</v>
      </c>
      <c r="D8" s="40" t="s">
        <v>234</v>
      </c>
      <c r="E8" s="214" t="s">
        <v>759</v>
      </c>
      <c r="F8" s="206"/>
      <c r="G8" s="207"/>
      <c r="I8" s="215" t="s">
        <v>171</v>
      </c>
      <c r="J8" s="45" t="s">
        <v>760</v>
      </c>
      <c r="K8" s="45"/>
      <c r="L8" s="45" t="str" cm="1">
        <f t="array" ref="L8">_xlfn.SWITCH(C8,"Numeric","999999999999999","String","Not applicable","Date","0001-01-01")</f>
        <v>Not applicable</v>
      </c>
      <c r="M8" s="155" t="s">
        <v>761</v>
      </c>
      <c r="N8" s="156" t="s">
        <v>762</v>
      </c>
      <c r="O8" s="46" t="s">
        <v>760</v>
      </c>
      <c r="P8" s="48" t="s">
        <v>763</v>
      </c>
      <c r="Q8" s="226" t="s">
        <v>176</v>
      </c>
      <c r="R8" s="399" t="s">
        <v>198</v>
      </c>
      <c r="S8" s="386" t="s">
        <v>924</v>
      </c>
      <c r="T8" s="157"/>
      <c r="U8" s="157"/>
      <c r="V8" s="396"/>
      <c r="W8" s="384" t="s">
        <v>764</v>
      </c>
      <c r="X8" s="227" t="s">
        <v>765</v>
      </c>
      <c r="Y8" s="142" t="s">
        <v>663</v>
      </c>
      <c r="Z8" s="142" t="s">
        <v>156</v>
      </c>
      <c r="AA8" s="142" t="s">
        <v>651</v>
      </c>
      <c r="AB8" s="144"/>
      <c r="AC8" s="144"/>
      <c r="AD8" s="142" t="s">
        <v>637</v>
      </c>
      <c r="AE8" s="142"/>
      <c r="AF8" s="142" t="s">
        <v>747</v>
      </c>
      <c r="AG8" s="144"/>
      <c r="AH8" s="212" t="s">
        <v>635</v>
      </c>
      <c r="AI8" s="213" t="s">
        <v>748</v>
      </c>
    </row>
    <row r="9" spans="1:35" ht="102" customHeight="1" x14ac:dyDescent="0.5">
      <c r="A9" s="38" t="s">
        <v>766</v>
      </c>
      <c r="B9" s="39" t="s">
        <v>161</v>
      </c>
      <c r="C9" s="148" t="s">
        <v>147</v>
      </c>
      <c r="D9" s="40" t="s">
        <v>148</v>
      </c>
      <c r="E9" s="214" t="s">
        <v>767</v>
      </c>
      <c r="F9" s="54" t="s">
        <v>317</v>
      </c>
      <c r="G9" s="207"/>
      <c r="I9" s="215" t="s">
        <v>139</v>
      </c>
      <c r="J9" s="45" t="s">
        <v>768</v>
      </c>
      <c r="K9" s="45"/>
      <c r="L9" s="45" t="str" cm="1">
        <f t="array" ref="L9">_xlfn.SWITCH(C9,"Numeric","999999999999999","String","Not applicable","Date","0001-01-01")</f>
        <v>Not applicable</v>
      </c>
      <c r="M9" s="155"/>
      <c r="N9" s="156" t="s">
        <v>769</v>
      </c>
      <c r="O9" s="46" t="s">
        <v>770</v>
      </c>
      <c r="P9" s="48" t="s">
        <v>771</v>
      </c>
      <c r="Q9" s="35" t="s">
        <v>154</v>
      </c>
      <c r="R9" s="399" t="s">
        <v>198</v>
      </c>
      <c r="S9" s="386" t="s">
        <v>924</v>
      </c>
      <c r="T9" s="157"/>
      <c r="U9" s="157"/>
      <c r="V9" s="396"/>
      <c r="W9" s="384" t="s">
        <v>764</v>
      </c>
      <c r="X9" s="229" t="s">
        <v>772</v>
      </c>
      <c r="Y9" s="142" t="s">
        <v>672</v>
      </c>
      <c r="Z9" s="142" t="s">
        <v>161</v>
      </c>
      <c r="AA9" s="142" t="s">
        <v>651</v>
      </c>
      <c r="AB9" s="144"/>
      <c r="AC9" s="144"/>
      <c r="AD9" s="142" t="s">
        <v>637</v>
      </c>
      <c r="AE9" s="142"/>
      <c r="AF9" s="142" t="s">
        <v>747</v>
      </c>
      <c r="AG9" s="144"/>
      <c r="AH9" s="212" t="s">
        <v>635</v>
      </c>
      <c r="AI9" s="213" t="s">
        <v>748</v>
      </c>
    </row>
    <row r="10" spans="1:35" ht="175.5" customHeight="1" x14ac:dyDescent="0.5">
      <c r="A10" s="38" t="s">
        <v>773</v>
      </c>
      <c r="B10" s="39" t="s">
        <v>665</v>
      </c>
      <c r="C10" s="148" t="s">
        <v>147</v>
      </c>
      <c r="D10" s="40" t="s">
        <v>148</v>
      </c>
      <c r="E10" s="214" t="s">
        <v>774</v>
      </c>
      <c r="F10" s="54" t="s">
        <v>317</v>
      </c>
      <c r="G10" s="207"/>
      <c r="I10" s="215" t="s">
        <v>139</v>
      </c>
      <c r="J10" s="45" t="s">
        <v>775</v>
      </c>
      <c r="K10" s="45"/>
      <c r="L10" s="45" t="str" cm="1">
        <f t="array" ref="L10">_xlfn.SWITCH(C10,"Numeric","999999999999999","String","Not applicable","Date","0001-01-01")</f>
        <v>Not applicable</v>
      </c>
      <c r="M10" s="155"/>
      <c r="N10" s="156" t="s">
        <v>776</v>
      </c>
      <c r="O10" s="327" t="s">
        <v>777</v>
      </c>
      <c r="P10" s="48" t="s">
        <v>778</v>
      </c>
      <c r="Q10" s="35" t="s">
        <v>154</v>
      </c>
      <c r="R10" s="399" t="s">
        <v>198</v>
      </c>
      <c r="S10" s="386" t="s">
        <v>924</v>
      </c>
      <c r="T10" s="157"/>
      <c r="U10" s="157"/>
      <c r="V10" s="396"/>
      <c r="W10" s="384" t="s">
        <v>764</v>
      </c>
      <c r="X10" s="384" t="s">
        <v>779</v>
      </c>
      <c r="Y10" s="142" t="s">
        <v>679</v>
      </c>
      <c r="Z10" s="142" t="s">
        <v>665</v>
      </c>
      <c r="AA10" s="142" t="s">
        <v>651</v>
      </c>
      <c r="AB10" s="144"/>
      <c r="AC10" s="144"/>
      <c r="AD10" s="142" t="s">
        <v>637</v>
      </c>
      <c r="AE10" s="142"/>
      <c r="AF10" s="142" t="s">
        <v>747</v>
      </c>
      <c r="AG10" s="144"/>
      <c r="AH10" s="212" t="s">
        <v>635</v>
      </c>
      <c r="AI10" s="213" t="s">
        <v>748</v>
      </c>
    </row>
    <row r="11" spans="1:35" ht="112.5" customHeight="1" x14ac:dyDescent="0.5">
      <c r="A11" s="38" t="s">
        <v>780</v>
      </c>
      <c r="B11" s="39" t="s">
        <v>178</v>
      </c>
      <c r="C11" s="148" t="s">
        <v>147</v>
      </c>
      <c r="D11" s="228" t="s">
        <v>162</v>
      </c>
      <c r="E11" s="214" t="s">
        <v>781</v>
      </c>
      <c r="F11" s="54" t="s">
        <v>317</v>
      </c>
      <c r="G11" s="207"/>
      <c r="I11" s="215" t="s">
        <v>139</v>
      </c>
      <c r="J11" s="45" t="s">
        <v>782</v>
      </c>
      <c r="K11" s="45"/>
      <c r="L11" s="45" t="str" cm="1">
        <f t="array" ref="L11">_xlfn.SWITCH(C11,"Numeric","999999999999999","String","Not applicable","Date","0001-01-01")</f>
        <v>Not applicable</v>
      </c>
      <c r="M11" s="155" t="s">
        <v>275</v>
      </c>
      <c r="N11" s="156" t="s">
        <v>783</v>
      </c>
      <c r="O11" s="327" t="s">
        <v>784</v>
      </c>
      <c r="P11" s="48" t="s">
        <v>785</v>
      </c>
      <c r="Q11" s="35" t="s">
        <v>143</v>
      </c>
      <c r="R11" s="399" t="s">
        <v>198</v>
      </c>
      <c r="S11" s="386" t="s">
        <v>924</v>
      </c>
      <c r="T11" s="157"/>
      <c r="U11" s="157"/>
      <c r="V11" s="396"/>
      <c r="W11" s="384" t="s">
        <v>764</v>
      </c>
      <c r="X11" s="229" t="s">
        <v>786</v>
      </c>
      <c r="Y11" s="142" t="s">
        <v>689</v>
      </c>
      <c r="Z11" s="142" t="s">
        <v>178</v>
      </c>
      <c r="AA11" s="142" t="s">
        <v>651</v>
      </c>
      <c r="AB11" s="144"/>
      <c r="AC11" s="144"/>
      <c r="AD11" s="142" t="s">
        <v>637</v>
      </c>
      <c r="AE11" s="142"/>
      <c r="AF11" s="142" t="s">
        <v>747</v>
      </c>
      <c r="AG11" s="144"/>
      <c r="AH11" s="212" t="s">
        <v>635</v>
      </c>
      <c r="AI11" s="213" t="s">
        <v>748</v>
      </c>
    </row>
    <row r="12" spans="1:35" ht="127.5" customHeight="1" x14ac:dyDescent="0.5">
      <c r="A12" s="38" t="s">
        <v>787</v>
      </c>
      <c r="B12" s="39" t="s">
        <v>184</v>
      </c>
      <c r="C12" s="148" t="s">
        <v>147</v>
      </c>
      <c r="D12" s="40" t="s">
        <v>148</v>
      </c>
      <c r="E12" s="214" t="s">
        <v>788</v>
      </c>
      <c r="F12" s="54" t="s">
        <v>317</v>
      </c>
      <c r="G12" s="207"/>
      <c r="I12" s="215" t="s">
        <v>139</v>
      </c>
      <c r="J12" s="45" t="s">
        <v>789</v>
      </c>
      <c r="K12" s="45"/>
      <c r="L12" s="45"/>
      <c r="M12" s="155" t="s">
        <v>275</v>
      </c>
      <c r="N12" s="156" t="s">
        <v>790</v>
      </c>
      <c r="O12" s="327" t="s">
        <v>791</v>
      </c>
      <c r="P12" s="48" t="s">
        <v>785</v>
      </c>
      <c r="Q12" s="226" t="s">
        <v>154</v>
      </c>
      <c r="R12" s="399" t="s">
        <v>198</v>
      </c>
      <c r="S12" s="386" t="s">
        <v>924</v>
      </c>
      <c r="T12" s="157"/>
      <c r="U12" s="157"/>
      <c r="V12" s="396"/>
      <c r="W12" s="384" t="s">
        <v>764</v>
      </c>
      <c r="X12" s="229" t="s">
        <v>792</v>
      </c>
      <c r="Y12" s="142" t="s">
        <v>697</v>
      </c>
      <c r="Z12" s="142" t="s">
        <v>184</v>
      </c>
      <c r="AA12" s="142" t="s">
        <v>651</v>
      </c>
      <c r="AB12" s="144"/>
      <c r="AC12" s="144"/>
      <c r="AD12" s="142" t="s">
        <v>637</v>
      </c>
      <c r="AE12" s="142"/>
      <c r="AF12" s="142" t="s">
        <v>747</v>
      </c>
      <c r="AG12" s="144"/>
      <c r="AH12" s="212" t="s">
        <v>635</v>
      </c>
      <c r="AI12" s="213" t="s">
        <v>748</v>
      </c>
    </row>
    <row r="13" spans="1:35" ht="191.25" customHeight="1" x14ac:dyDescent="0.5">
      <c r="A13" s="38" t="s">
        <v>793</v>
      </c>
      <c r="B13" s="39" t="s">
        <v>691</v>
      </c>
      <c r="C13" s="148" t="s">
        <v>147</v>
      </c>
      <c r="D13" s="40" t="s">
        <v>234</v>
      </c>
      <c r="E13" s="214" t="s">
        <v>794</v>
      </c>
      <c r="F13" s="54" t="s">
        <v>317</v>
      </c>
      <c r="G13" s="207"/>
      <c r="I13" s="215" t="s">
        <v>171</v>
      </c>
      <c r="J13" s="45" t="s">
        <v>896</v>
      </c>
      <c r="K13" s="45"/>
      <c r="L13" s="45" t="s">
        <v>890</v>
      </c>
      <c r="M13" s="216" t="s">
        <v>930</v>
      </c>
      <c r="N13" s="156" t="s">
        <v>795</v>
      </c>
      <c r="O13" s="46" t="s">
        <v>896</v>
      </c>
      <c r="P13" s="48" t="s">
        <v>931</v>
      </c>
      <c r="Q13" s="226" t="s">
        <v>176</v>
      </c>
      <c r="R13" s="399" t="s">
        <v>198</v>
      </c>
      <c r="S13" s="386" t="s">
        <v>924</v>
      </c>
      <c r="T13" s="157"/>
      <c r="U13" s="157"/>
      <c r="V13" s="396"/>
      <c r="W13" s="142" t="s">
        <v>646</v>
      </c>
      <c r="X13" s="229" t="s">
        <v>797</v>
      </c>
      <c r="Y13" s="142" t="s">
        <v>706</v>
      </c>
      <c r="Z13" s="142" t="s">
        <v>691</v>
      </c>
      <c r="AA13" s="142" t="s">
        <v>651</v>
      </c>
      <c r="AB13" s="144"/>
      <c r="AC13" s="144"/>
      <c r="AD13" s="142" t="s">
        <v>637</v>
      </c>
      <c r="AE13" s="142"/>
      <c r="AF13" s="142" t="s">
        <v>747</v>
      </c>
      <c r="AG13" s="144"/>
      <c r="AH13" s="212" t="s">
        <v>635</v>
      </c>
      <c r="AI13" s="213" t="s">
        <v>748</v>
      </c>
    </row>
    <row r="14" spans="1:35" ht="110.25" customHeight="1" x14ac:dyDescent="0.5">
      <c r="A14" s="38" t="s">
        <v>798</v>
      </c>
      <c r="B14" s="39" t="s">
        <v>200</v>
      </c>
      <c r="C14" s="148" t="s">
        <v>147</v>
      </c>
      <c r="D14" s="40" t="s">
        <v>799</v>
      </c>
      <c r="E14" s="214" t="s">
        <v>800</v>
      </c>
      <c r="F14" s="54" t="s">
        <v>801</v>
      </c>
      <c r="G14" s="207"/>
      <c r="I14" s="215" t="s">
        <v>139</v>
      </c>
      <c r="J14" s="45" t="s">
        <v>802</v>
      </c>
      <c r="K14" s="45"/>
      <c r="L14" s="45">
        <v>99</v>
      </c>
      <c r="M14" s="155"/>
      <c r="N14" s="156" t="s">
        <v>803</v>
      </c>
      <c r="O14" s="46" t="s">
        <v>897</v>
      </c>
      <c r="P14" s="48" t="s">
        <v>804</v>
      </c>
      <c r="Q14" s="226" t="s">
        <v>154</v>
      </c>
      <c r="R14" s="399" t="s">
        <v>198</v>
      </c>
      <c r="S14" s="386" t="s">
        <v>924</v>
      </c>
      <c r="T14" s="157"/>
      <c r="U14" s="157"/>
      <c r="V14" s="396"/>
      <c r="W14" s="384" t="s">
        <v>764</v>
      </c>
      <c r="X14" s="384" t="s">
        <v>805</v>
      </c>
      <c r="Y14" s="142" t="s">
        <v>713</v>
      </c>
      <c r="Z14" s="142" t="s">
        <v>200</v>
      </c>
      <c r="AA14" s="142" t="s">
        <v>651</v>
      </c>
      <c r="AB14" s="144"/>
      <c r="AC14" s="144"/>
      <c r="AD14" s="142" t="s">
        <v>637</v>
      </c>
      <c r="AE14" s="142"/>
      <c r="AF14" s="142" t="s">
        <v>747</v>
      </c>
      <c r="AG14" s="144"/>
      <c r="AH14" s="212" t="s">
        <v>635</v>
      </c>
      <c r="AI14" s="213" t="s">
        <v>748</v>
      </c>
    </row>
    <row r="15" spans="1:35" ht="240" customHeight="1" x14ac:dyDescent="0.5">
      <c r="A15" s="397" t="s">
        <v>898</v>
      </c>
      <c r="B15" s="230" t="s">
        <v>708</v>
      </c>
      <c r="C15" s="231" t="s">
        <v>136</v>
      </c>
      <c r="D15" s="232" t="s">
        <v>168</v>
      </c>
      <c r="E15" s="218" t="s">
        <v>806</v>
      </c>
      <c r="F15" s="233"/>
      <c r="G15" s="234"/>
      <c r="H15" s="235"/>
      <c r="I15" s="215" t="s">
        <v>139</v>
      </c>
      <c r="J15" s="45" t="s">
        <v>807</v>
      </c>
      <c r="K15" s="236"/>
      <c r="L15" s="236"/>
      <c r="M15" s="216"/>
      <c r="N15" s="237" t="s">
        <v>808</v>
      </c>
      <c r="O15" s="238" t="s">
        <v>809</v>
      </c>
      <c r="P15" s="239" t="s">
        <v>810</v>
      </c>
      <c r="Q15" s="35" t="s">
        <v>143</v>
      </c>
      <c r="R15" s="211" t="s">
        <v>198</v>
      </c>
      <c r="S15" s="386" t="s">
        <v>925</v>
      </c>
      <c r="T15" s="240" t="s">
        <v>646</v>
      </c>
      <c r="U15" s="240" t="s">
        <v>647</v>
      </c>
      <c r="V15" s="240" t="s">
        <v>757</v>
      </c>
      <c r="W15" s="400" t="s">
        <v>2</v>
      </c>
      <c r="X15" s="401" t="s">
        <v>811</v>
      </c>
      <c r="Y15" s="241" t="s">
        <v>720</v>
      </c>
      <c r="Z15" s="241" t="s">
        <v>708</v>
      </c>
      <c r="AA15" s="241" t="s">
        <v>680</v>
      </c>
      <c r="AB15" s="242"/>
      <c r="AC15" s="242"/>
      <c r="AD15" s="241" t="s">
        <v>637</v>
      </c>
      <c r="AE15" s="241"/>
      <c r="AF15" s="241" t="s">
        <v>747</v>
      </c>
      <c r="AG15" s="242"/>
      <c r="AH15" s="243" t="s">
        <v>635</v>
      </c>
      <c r="AI15" s="244" t="s">
        <v>796</v>
      </c>
    </row>
  </sheetData>
  <autoFilter ref="A4:AI4" xr:uid="{00000000-0001-0000-0800-000000000000}"/>
  <mergeCells count="7">
    <mergeCell ref="A1:Q1"/>
    <mergeCell ref="A2:G2"/>
    <mergeCell ref="I2:P2"/>
    <mergeCell ref="T2:AH2"/>
    <mergeCell ref="I3:M3"/>
    <mergeCell ref="N3:O3"/>
    <mergeCell ref="P3:P4"/>
  </mergeCells>
  <dataValidations count="1">
    <dataValidation allowBlank="1" showInputMessage="1" showErrorMessage="1" sqref="J5:L15" xr:uid="{D9B8BEB4-BD39-4BB3-AF61-AA3D22194C7E}"/>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F86E-E14D-4D7B-B7D3-07D5EAC519E7}">
  <sheetPr>
    <tabColor rgb="FFFF0000"/>
  </sheetPr>
  <dimension ref="A1"/>
  <sheetViews>
    <sheetView topLeftCell="XFD1048576" workbookViewId="0">
      <selection activeCell="L1" sqref="A1:XFD1048576"/>
    </sheetView>
  </sheetViews>
  <sheetFormatPr defaultColWidth="0" defaultRowHeight="14.5" zeroHeight="1" x14ac:dyDescent="0.35"/>
  <cols>
    <col min="1" max="16384" width="8.90625" hidden="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FCEDC-A611-4610-BB2C-E533AD60A3CB}">
  <sheetPr filterMode="1"/>
  <dimension ref="A1:AA154"/>
  <sheetViews>
    <sheetView showGridLines="0" zoomScale="70" zoomScaleNormal="70" workbookViewId="0">
      <selection activeCell="C102" sqref="C102"/>
    </sheetView>
  </sheetViews>
  <sheetFormatPr defaultColWidth="0" defaultRowHeight="14.5" x14ac:dyDescent="0.35"/>
  <cols>
    <col min="1" max="1" width="3.90625" customWidth="1"/>
    <col min="2" max="2" width="20.90625" customWidth="1"/>
    <col min="3" max="3" width="43.54296875" customWidth="1"/>
    <col min="4" max="4" width="26.453125" bestFit="1" customWidth="1"/>
    <col min="5" max="5" width="23.54296875" bestFit="1" customWidth="1"/>
    <col min="6" max="6" width="31.453125" bestFit="1" customWidth="1"/>
    <col min="7" max="7" width="30.453125" bestFit="1" customWidth="1"/>
    <col min="8" max="8" width="26.453125" bestFit="1" customWidth="1"/>
    <col min="9" max="9" width="20.90625" customWidth="1"/>
    <col min="10" max="10" width="22.453125" bestFit="1" customWidth="1"/>
    <col min="11" max="13" width="20.90625" customWidth="1"/>
    <col min="14" max="14" width="30.54296875" bestFit="1" customWidth="1"/>
    <col min="15" max="15" width="26.90625" bestFit="1" customWidth="1"/>
    <col min="16" max="26" width="20.90625" customWidth="1"/>
    <col min="27" max="27" width="3.90625" customWidth="1"/>
    <col min="28" max="16384" width="8.90625" hidden="1"/>
  </cols>
  <sheetData>
    <row r="1" spans="1:26" ht="30" customHeight="1" x14ac:dyDescent="0.35">
      <c r="A1" s="437" t="s">
        <v>1087</v>
      </c>
      <c r="B1" s="439" t="s">
        <v>914</v>
      </c>
      <c r="C1" s="440" t="s">
        <v>915</v>
      </c>
      <c r="D1" s="440" t="s">
        <v>916</v>
      </c>
      <c r="E1" s="440" t="s">
        <v>917</v>
      </c>
      <c r="F1" s="440" t="s">
        <v>1268</v>
      </c>
      <c r="G1" s="440" t="s">
        <v>1269</v>
      </c>
      <c r="H1" s="440" t="s">
        <v>1270</v>
      </c>
      <c r="I1" s="440" t="s">
        <v>932</v>
      </c>
      <c r="J1" s="440" t="s">
        <v>1271</v>
      </c>
      <c r="K1" s="440" t="s">
        <v>1272</v>
      </c>
      <c r="L1" s="440" t="s">
        <v>1273</v>
      </c>
      <c r="M1" s="440" t="s">
        <v>1274</v>
      </c>
      <c r="N1" s="440" t="s">
        <v>1275</v>
      </c>
      <c r="O1" s="440" t="s">
        <v>1276</v>
      </c>
      <c r="P1" s="440" t="s">
        <v>918</v>
      </c>
      <c r="Q1" s="440" t="s">
        <v>1277</v>
      </c>
      <c r="R1" s="440" t="s">
        <v>1278</v>
      </c>
      <c r="S1" s="440" t="s">
        <v>919</v>
      </c>
      <c r="T1" s="440" t="s">
        <v>1279</v>
      </c>
      <c r="U1" s="440" t="s">
        <v>1280</v>
      </c>
      <c r="V1" s="440" t="s">
        <v>1281</v>
      </c>
      <c r="W1" s="440" t="s">
        <v>1282</v>
      </c>
      <c r="X1" s="440" t="s">
        <v>920</v>
      </c>
      <c r="Y1" s="440" t="s">
        <v>933</v>
      </c>
      <c r="Z1" s="440" t="s">
        <v>934</v>
      </c>
    </row>
    <row r="2" spans="1:26" ht="14.4" hidden="1" customHeight="1" x14ac:dyDescent="0.35">
      <c r="A2" s="437" t="str">
        <f>+B2&amp;"_"&amp;C2</f>
        <v>B02.00_0010_ROW_NMBR</v>
      </c>
      <c r="B2" s="368" t="s">
        <v>0</v>
      </c>
      <c r="C2" s="369" t="s">
        <v>935</v>
      </c>
      <c r="D2" s="370">
        <v>17</v>
      </c>
      <c r="E2" s="371" t="s">
        <v>1414</v>
      </c>
      <c r="F2" s="372">
        <v>9</v>
      </c>
      <c r="G2" s="435" t="s">
        <v>1415</v>
      </c>
      <c r="H2" s="372">
        <v>2</v>
      </c>
      <c r="I2" s="372">
        <v>9</v>
      </c>
      <c r="J2" s="435" t="s">
        <v>1415</v>
      </c>
      <c r="K2" s="372">
        <v>0</v>
      </c>
      <c r="L2" s="435" t="s">
        <v>1415</v>
      </c>
      <c r="M2" s="370">
        <v>0</v>
      </c>
      <c r="N2" s="435" t="s">
        <v>1415</v>
      </c>
      <c r="O2" s="372">
        <v>0</v>
      </c>
      <c r="P2" s="373">
        <v>0</v>
      </c>
      <c r="Q2" s="435" t="s">
        <v>1415</v>
      </c>
      <c r="R2" s="372">
        <v>0</v>
      </c>
      <c r="S2" s="373">
        <v>0</v>
      </c>
      <c r="T2" s="370" t="s">
        <v>635</v>
      </c>
      <c r="U2" s="370" t="s">
        <v>697</v>
      </c>
      <c r="V2" s="370">
        <v>0</v>
      </c>
      <c r="W2" s="370">
        <v>0</v>
      </c>
      <c r="X2" s="436" t="s">
        <v>1416</v>
      </c>
      <c r="Y2" s="436" t="s">
        <v>144</v>
      </c>
      <c r="Z2" s="374" t="s">
        <v>911</v>
      </c>
    </row>
    <row r="3" spans="1:26" hidden="1" x14ac:dyDescent="0.35">
      <c r="A3" s="437" t="str">
        <f t="shared" ref="A3:A66" si="0">+B3&amp;"_"&amp;C3</f>
        <v>B02.00_0020_UNIQ_ID</v>
      </c>
      <c r="B3" s="368" t="s">
        <v>0</v>
      </c>
      <c r="C3" s="369" t="s">
        <v>936</v>
      </c>
      <c r="D3" s="370">
        <v>23</v>
      </c>
      <c r="E3" s="371" t="s">
        <v>1414</v>
      </c>
      <c r="F3" s="372">
        <v>9</v>
      </c>
      <c r="G3" s="435" t="s">
        <v>1415</v>
      </c>
      <c r="H3" s="372">
        <v>0</v>
      </c>
      <c r="I3" s="372">
        <v>9</v>
      </c>
      <c r="J3" s="435" t="s">
        <v>1415</v>
      </c>
      <c r="K3" s="372">
        <v>0</v>
      </c>
      <c r="L3" s="435" t="s">
        <v>1415</v>
      </c>
      <c r="M3" s="370">
        <v>0</v>
      </c>
      <c r="N3" s="435" t="s">
        <v>1415</v>
      </c>
      <c r="O3" s="372">
        <v>0</v>
      </c>
      <c r="P3" s="373">
        <v>0</v>
      </c>
      <c r="Q3" s="435" t="s">
        <v>1415</v>
      </c>
      <c r="R3" s="372">
        <v>0</v>
      </c>
      <c r="S3" s="373">
        <v>0</v>
      </c>
      <c r="T3" s="370" t="s">
        <v>1284</v>
      </c>
      <c r="U3" s="370" t="s">
        <v>1285</v>
      </c>
      <c r="V3" s="370">
        <v>0</v>
      </c>
      <c r="W3" s="370">
        <v>0</v>
      </c>
      <c r="X3" s="436"/>
      <c r="Y3" s="436" t="s">
        <v>144</v>
      </c>
      <c r="Z3" s="374" t="s">
        <v>144</v>
      </c>
    </row>
    <row r="4" spans="1:26" hidden="1" x14ac:dyDescent="0.35">
      <c r="A4" s="437" t="str">
        <f t="shared" si="0"/>
        <v>B02.00_0030_UNIQ_ID_KNWN_CNTRPRTY</v>
      </c>
      <c r="B4" s="368" t="s">
        <v>0</v>
      </c>
      <c r="C4" s="369" t="s">
        <v>937</v>
      </c>
      <c r="D4" s="370">
        <v>17</v>
      </c>
      <c r="E4" s="371" t="s">
        <v>1414</v>
      </c>
      <c r="F4" s="372">
        <v>9</v>
      </c>
      <c r="G4" s="435" t="s">
        <v>1415</v>
      </c>
      <c r="H4" s="372">
        <v>0</v>
      </c>
      <c r="I4" s="372">
        <v>9</v>
      </c>
      <c r="J4" s="435" t="s">
        <v>1415</v>
      </c>
      <c r="K4" s="372">
        <v>0</v>
      </c>
      <c r="L4" s="435" t="s">
        <v>1415</v>
      </c>
      <c r="M4" s="370">
        <v>0</v>
      </c>
      <c r="N4" s="435" t="s">
        <v>1415</v>
      </c>
      <c r="O4" s="372">
        <v>0</v>
      </c>
      <c r="P4" s="373">
        <v>0</v>
      </c>
      <c r="Q4" s="435" t="s">
        <v>1415</v>
      </c>
      <c r="R4" s="372">
        <v>0</v>
      </c>
      <c r="S4" s="373">
        <v>0</v>
      </c>
      <c r="T4" s="370" t="s">
        <v>1286</v>
      </c>
      <c r="U4" s="370" t="s">
        <v>1287</v>
      </c>
      <c r="V4" s="370">
        <v>0</v>
      </c>
      <c r="W4" s="370">
        <v>0</v>
      </c>
      <c r="X4" s="436"/>
      <c r="Y4" s="436" t="s">
        <v>144</v>
      </c>
      <c r="Z4" s="374" t="s">
        <v>144</v>
      </c>
    </row>
    <row r="5" spans="1:26" hidden="1" x14ac:dyDescent="0.35">
      <c r="A5" s="437" t="str">
        <f t="shared" si="0"/>
        <v>B02.00_0040_TYP_UNIQ_ID_KNWN_CNTRPRTY</v>
      </c>
      <c r="B5" s="368" t="s">
        <v>0</v>
      </c>
      <c r="C5" s="369" t="s">
        <v>938</v>
      </c>
      <c r="D5" s="370">
        <v>17</v>
      </c>
      <c r="E5" s="371" t="s">
        <v>1414</v>
      </c>
      <c r="F5" s="372">
        <v>9</v>
      </c>
      <c r="G5" s="435" t="s">
        <v>1415</v>
      </c>
      <c r="H5" s="372">
        <v>0</v>
      </c>
      <c r="I5" s="372">
        <v>9</v>
      </c>
      <c r="J5" s="435" t="s">
        <v>1415</v>
      </c>
      <c r="K5" s="372">
        <v>0</v>
      </c>
      <c r="L5" s="435" t="s">
        <v>1415</v>
      </c>
      <c r="M5" s="370">
        <v>0</v>
      </c>
      <c r="N5" s="435" t="s">
        <v>1415</v>
      </c>
      <c r="O5" s="372">
        <v>0</v>
      </c>
      <c r="P5" s="373">
        <v>0</v>
      </c>
      <c r="Q5" s="435" t="s">
        <v>1415</v>
      </c>
      <c r="R5" s="372">
        <v>0</v>
      </c>
      <c r="S5" s="373">
        <v>0</v>
      </c>
      <c r="T5" s="370" t="s">
        <v>1058</v>
      </c>
      <c r="U5" s="370" t="s">
        <v>1058</v>
      </c>
      <c r="V5" s="370">
        <v>0</v>
      </c>
      <c r="W5" s="370">
        <v>0</v>
      </c>
      <c r="X5" s="436"/>
      <c r="Y5" s="436" t="s">
        <v>144</v>
      </c>
      <c r="Z5" s="374" t="s">
        <v>144</v>
      </c>
    </row>
    <row r="6" spans="1:26" hidden="1" x14ac:dyDescent="0.35">
      <c r="A6" s="437" t="str">
        <f t="shared" si="0"/>
        <v>B02.00_0050_ORGNL_AMNT_EUR</v>
      </c>
      <c r="B6" s="368" t="s">
        <v>0</v>
      </c>
      <c r="C6" s="369" t="s">
        <v>939</v>
      </c>
      <c r="D6" s="370">
        <v>17</v>
      </c>
      <c r="E6" s="371" t="s">
        <v>1414</v>
      </c>
      <c r="F6" s="372">
        <v>9</v>
      </c>
      <c r="G6" s="435" t="s">
        <v>1415</v>
      </c>
      <c r="H6" s="372">
        <v>0</v>
      </c>
      <c r="I6" s="372">
        <v>9</v>
      </c>
      <c r="J6" s="435" t="s">
        <v>1415</v>
      </c>
      <c r="K6" s="372">
        <v>0</v>
      </c>
      <c r="L6" s="435" t="s">
        <v>1415</v>
      </c>
      <c r="M6" s="370">
        <v>0</v>
      </c>
      <c r="N6" s="435" t="s">
        <v>1415</v>
      </c>
      <c r="O6" s="372">
        <v>0</v>
      </c>
      <c r="P6" s="373">
        <v>0</v>
      </c>
      <c r="Q6" s="435" t="s">
        <v>1415</v>
      </c>
      <c r="R6" s="372">
        <v>0</v>
      </c>
      <c r="S6" s="373">
        <v>0</v>
      </c>
      <c r="T6" s="370" t="s">
        <v>1288</v>
      </c>
      <c r="U6" s="370" t="s">
        <v>1289</v>
      </c>
      <c r="V6" s="370">
        <v>0</v>
      </c>
      <c r="W6" s="370">
        <v>0</v>
      </c>
      <c r="X6" s="436"/>
      <c r="Y6" s="436" t="s">
        <v>144</v>
      </c>
      <c r="Z6" s="374" t="s">
        <v>144</v>
      </c>
    </row>
    <row r="7" spans="1:26" hidden="1" x14ac:dyDescent="0.35">
      <c r="A7" s="437" t="str">
        <f t="shared" si="0"/>
        <v>B02.00_0060_ORGNL_AMNT_FX</v>
      </c>
      <c r="B7" s="368" t="s">
        <v>0</v>
      </c>
      <c r="C7" s="369" t="s">
        <v>940</v>
      </c>
      <c r="D7" s="370">
        <v>17</v>
      </c>
      <c r="E7" s="371" t="s">
        <v>1414</v>
      </c>
      <c r="F7" s="372">
        <v>9</v>
      </c>
      <c r="G7" s="435" t="s">
        <v>1415</v>
      </c>
      <c r="H7" s="372">
        <v>0</v>
      </c>
      <c r="I7" s="372">
        <v>9</v>
      </c>
      <c r="J7" s="435" t="s">
        <v>1415</v>
      </c>
      <c r="K7" s="372">
        <v>0</v>
      </c>
      <c r="L7" s="435" t="s">
        <v>1415</v>
      </c>
      <c r="M7" s="370">
        <v>0</v>
      </c>
      <c r="N7" s="435" t="s">
        <v>1415</v>
      </c>
      <c r="O7" s="372">
        <v>0</v>
      </c>
      <c r="P7" s="373">
        <v>0</v>
      </c>
      <c r="Q7" s="435" t="s">
        <v>1415</v>
      </c>
      <c r="R7" s="372">
        <v>0</v>
      </c>
      <c r="S7" s="373">
        <v>0</v>
      </c>
      <c r="T7" s="370" t="s">
        <v>1290</v>
      </c>
      <c r="U7" s="370" t="s">
        <v>1290</v>
      </c>
      <c r="V7" s="370">
        <v>0</v>
      </c>
      <c r="W7" s="370">
        <v>0</v>
      </c>
      <c r="X7" s="436"/>
      <c r="Y7" s="436" t="s">
        <v>144</v>
      </c>
      <c r="Z7" s="374" t="s">
        <v>144</v>
      </c>
    </row>
    <row r="8" spans="1:26" hidden="1" x14ac:dyDescent="0.35">
      <c r="A8" s="437" t="str">
        <f t="shared" si="0"/>
        <v>B02.00_0070_CNTRCT_CRRNCY</v>
      </c>
      <c r="B8" s="368" t="s">
        <v>0</v>
      </c>
      <c r="C8" s="369" t="s">
        <v>941</v>
      </c>
      <c r="D8" s="370">
        <v>17</v>
      </c>
      <c r="E8" s="371" t="s">
        <v>1414</v>
      </c>
      <c r="F8" s="372">
        <v>9</v>
      </c>
      <c r="G8" s="435" t="s">
        <v>1415</v>
      </c>
      <c r="H8" s="372">
        <v>0</v>
      </c>
      <c r="I8" s="372">
        <v>9</v>
      </c>
      <c r="J8" s="435" t="s">
        <v>1415</v>
      </c>
      <c r="K8" s="372">
        <v>0</v>
      </c>
      <c r="L8" s="435" t="s">
        <v>1415</v>
      </c>
      <c r="M8" s="370">
        <v>0</v>
      </c>
      <c r="N8" s="435" t="s">
        <v>1415</v>
      </c>
      <c r="O8" s="372">
        <v>0</v>
      </c>
      <c r="P8" s="373">
        <v>0</v>
      </c>
      <c r="Q8" s="435" t="s">
        <v>1415</v>
      </c>
      <c r="R8" s="372">
        <v>0</v>
      </c>
      <c r="S8" s="373">
        <v>0</v>
      </c>
      <c r="T8" s="370" t="s">
        <v>1291</v>
      </c>
      <c r="U8" s="370" t="s">
        <v>1291</v>
      </c>
      <c r="V8" s="370">
        <v>0</v>
      </c>
      <c r="W8" s="370">
        <v>0</v>
      </c>
      <c r="X8" s="436"/>
      <c r="Y8" s="436" t="s">
        <v>144</v>
      </c>
      <c r="Z8" s="374" t="s">
        <v>144</v>
      </c>
    </row>
    <row r="9" spans="1:26" hidden="1" x14ac:dyDescent="0.35">
      <c r="A9" s="437" t="str">
        <f t="shared" si="0"/>
        <v>B02.00_0080_OTSTNDNG_PRNCPL_AMNT</v>
      </c>
      <c r="B9" s="368" t="s">
        <v>0</v>
      </c>
      <c r="C9" s="369" t="s">
        <v>942</v>
      </c>
      <c r="D9" s="370">
        <v>18</v>
      </c>
      <c r="E9" s="371" t="s">
        <v>1414</v>
      </c>
      <c r="F9" s="372">
        <v>9</v>
      </c>
      <c r="G9" s="435" t="s">
        <v>1415</v>
      </c>
      <c r="H9" s="372">
        <v>0</v>
      </c>
      <c r="I9" s="372">
        <v>9</v>
      </c>
      <c r="J9" s="435" t="s">
        <v>1415</v>
      </c>
      <c r="K9" s="372">
        <v>0</v>
      </c>
      <c r="L9" s="435" t="s">
        <v>1415</v>
      </c>
      <c r="M9" s="370">
        <v>0</v>
      </c>
      <c r="N9" s="435" t="s">
        <v>1415</v>
      </c>
      <c r="O9" s="372">
        <v>0</v>
      </c>
      <c r="P9" s="373">
        <v>0</v>
      </c>
      <c r="Q9" s="435" t="s">
        <v>1415</v>
      </c>
      <c r="R9" s="372">
        <v>0</v>
      </c>
      <c r="S9" s="373">
        <v>0</v>
      </c>
      <c r="T9" s="370" t="s">
        <v>1288</v>
      </c>
      <c r="U9" s="370" t="s">
        <v>1381</v>
      </c>
      <c r="V9" s="370">
        <v>0</v>
      </c>
      <c r="W9" s="370">
        <v>8</v>
      </c>
      <c r="X9" s="436"/>
      <c r="Y9" s="436" t="s">
        <v>144</v>
      </c>
      <c r="Z9" s="374" t="s">
        <v>144</v>
      </c>
    </row>
    <row r="10" spans="1:26" hidden="1" x14ac:dyDescent="0.35">
      <c r="A10" s="437" t="str">
        <f t="shared" si="0"/>
        <v>B02.00_0090_PRTN_AMNT_RPRTNG_ENTTY</v>
      </c>
      <c r="B10" s="368" t="s">
        <v>0</v>
      </c>
      <c r="C10" s="369" t="s">
        <v>943</v>
      </c>
      <c r="D10" s="370">
        <v>23</v>
      </c>
      <c r="E10" s="371" t="s">
        <v>1414</v>
      </c>
      <c r="F10" s="372">
        <v>9</v>
      </c>
      <c r="G10" s="435" t="s">
        <v>1415</v>
      </c>
      <c r="H10" s="372">
        <v>0</v>
      </c>
      <c r="I10" s="372">
        <v>9</v>
      </c>
      <c r="J10" s="435" t="s">
        <v>1415</v>
      </c>
      <c r="K10" s="372">
        <v>0</v>
      </c>
      <c r="L10" s="435" t="s">
        <v>1415</v>
      </c>
      <c r="M10" s="370">
        <v>0</v>
      </c>
      <c r="N10" s="435" t="s">
        <v>1415</v>
      </c>
      <c r="O10" s="372">
        <v>0</v>
      </c>
      <c r="P10" s="373">
        <v>0</v>
      </c>
      <c r="Q10" s="435" t="s">
        <v>1415</v>
      </c>
      <c r="R10" s="372">
        <v>0</v>
      </c>
      <c r="S10" s="373">
        <v>0</v>
      </c>
      <c r="T10" s="370" t="s">
        <v>1292</v>
      </c>
      <c r="U10" s="370" t="s">
        <v>1417</v>
      </c>
      <c r="V10" s="370">
        <v>8</v>
      </c>
      <c r="W10" s="370">
        <v>8</v>
      </c>
      <c r="X10" s="436"/>
      <c r="Y10" s="436" t="s">
        <v>144</v>
      </c>
      <c r="Z10" s="374" t="s">
        <v>144</v>
      </c>
    </row>
    <row r="11" spans="1:26" hidden="1" x14ac:dyDescent="0.35">
      <c r="A11" s="437" t="str">
        <f t="shared" si="0"/>
        <v>B02.00_0100_ACCRD_INTRST_INSTRMNT</v>
      </c>
      <c r="B11" s="368" t="s">
        <v>0</v>
      </c>
      <c r="C11" s="369" t="s">
        <v>944</v>
      </c>
      <c r="D11" s="370">
        <v>23</v>
      </c>
      <c r="E11" s="371" t="s">
        <v>1414</v>
      </c>
      <c r="F11" s="372">
        <v>9</v>
      </c>
      <c r="G11" s="435" t="s">
        <v>1415</v>
      </c>
      <c r="H11" s="372">
        <v>4</v>
      </c>
      <c r="I11" s="372">
        <v>9</v>
      </c>
      <c r="J11" s="435" t="s">
        <v>1415</v>
      </c>
      <c r="K11" s="372">
        <v>0</v>
      </c>
      <c r="L11" s="435" t="s">
        <v>1415</v>
      </c>
      <c r="M11" s="370">
        <v>0</v>
      </c>
      <c r="N11" s="435" t="s">
        <v>1415</v>
      </c>
      <c r="O11" s="372">
        <v>0</v>
      </c>
      <c r="P11" s="373">
        <v>0</v>
      </c>
      <c r="Q11" s="435" t="s">
        <v>1415</v>
      </c>
      <c r="R11" s="372">
        <v>0</v>
      </c>
      <c r="S11" s="373">
        <v>0</v>
      </c>
      <c r="T11" s="370" t="s">
        <v>1292</v>
      </c>
      <c r="U11" s="370" t="s">
        <v>1292</v>
      </c>
      <c r="V11" s="370">
        <v>0</v>
      </c>
      <c r="W11" s="370">
        <v>0</v>
      </c>
      <c r="X11" s="436" t="s">
        <v>1293</v>
      </c>
      <c r="Y11" s="436" t="s">
        <v>144</v>
      </c>
      <c r="Z11" s="374" t="s">
        <v>911</v>
      </c>
    </row>
    <row r="12" spans="1:26" hidden="1" x14ac:dyDescent="0.35">
      <c r="A12" s="437" t="str">
        <f t="shared" si="0"/>
        <v>B02.00_0110_APPLCBL_FEES_CHARGES</v>
      </c>
      <c r="B12" s="368" t="s">
        <v>0</v>
      </c>
      <c r="C12" s="369" t="s">
        <v>945</v>
      </c>
      <c r="D12" s="370">
        <v>17</v>
      </c>
      <c r="E12" s="371" t="s">
        <v>1414</v>
      </c>
      <c r="F12" s="372">
        <v>9</v>
      </c>
      <c r="G12" s="435" t="s">
        <v>1415</v>
      </c>
      <c r="H12" s="372">
        <v>0</v>
      </c>
      <c r="I12" s="372">
        <v>9</v>
      </c>
      <c r="J12" s="435" t="s">
        <v>1415</v>
      </c>
      <c r="K12" s="372">
        <v>0</v>
      </c>
      <c r="L12" s="435" t="s">
        <v>1415</v>
      </c>
      <c r="M12" s="370">
        <v>0</v>
      </c>
      <c r="N12" s="435" t="s">
        <v>1415</v>
      </c>
      <c r="O12" s="372">
        <v>0</v>
      </c>
      <c r="P12" s="373">
        <v>0</v>
      </c>
      <c r="Q12" s="435" t="s">
        <v>1415</v>
      </c>
      <c r="R12" s="372">
        <v>0</v>
      </c>
      <c r="S12" s="373">
        <v>0</v>
      </c>
      <c r="T12" s="370" t="s">
        <v>1292</v>
      </c>
      <c r="U12" s="370" t="s">
        <v>1292</v>
      </c>
      <c r="V12" s="370">
        <v>0</v>
      </c>
      <c r="W12" s="370">
        <v>0</v>
      </c>
      <c r="X12" s="436"/>
      <c r="Y12" s="436" t="s">
        <v>144</v>
      </c>
      <c r="Z12" s="374" t="s">
        <v>144</v>
      </c>
    </row>
    <row r="13" spans="1:26" hidden="1" x14ac:dyDescent="0.35">
      <c r="A13" s="437" t="str">
        <f t="shared" si="0"/>
        <v>B02.00_0120_OTSTNDNG_AMNT</v>
      </c>
      <c r="B13" s="368" t="s">
        <v>0</v>
      </c>
      <c r="C13" s="369" t="s">
        <v>946</v>
      </c>
      <c r="D13" s="370">
        <v>18</v>
      </c>
      <c r="E13" s="371" t="s">
        <v>1414</v>
      </c>
      <c r="F13" s="372">
        <v>9</v>
      </c>
      <c r="G13" s="435" t="s">
        <v>1415</v>
      </c>
      <c r="H13" s="372">
        <v>4</v>
      </c>
      <c r="I13" s="372">
        <v>9</v>
      </c>
      <c r="J13" s="435" t="s">
        <v>1415</v>
      </c>
      <c r="K13" s="372">
        <v>0</v>
      </c>
      <c r="L13" s="435" t="s">
        <v>1415</v>
      </c>
      <c r="M13" s="370">
        <v>0</v>
      </c>
      <c r="N13" s="435" t="s">
        <v>1415</v>
      </c>
      <c r="O13" s="372">
        <v>0</v>
      </c>
      <c r="P13" s="373">
        <v>0</v>
      </c>
      <c r="Q13" s="435" t="s">
        <v>1415</v>
      </c>
      <c r="R13" s="372">
        <v>0</v>
      </c>
      <c r="S13" s="373">
        <v>0</v>
      </c>
      <c r="T13" s="370" t="s">
        <v>1288</v>
      </c>
      <c r="U13" s="370" t="s">
        <v>1381</v>
      </c>
      <c r="V13" s="370">
        <v>8</v>
      </c>
      <c r="W13" s="370">
        <v>8</v>
      </c>
      <c r="X13" s="436"/>
      <c r="Y13" s="436" t="s">
        <v>144</v>
      </c>
      <c r="Z13" s="374" t="s">
        <v>911</v>
      </c>
    </row>
    <row r="14" spans="1:26" hidden="1" x14ac:dyDescent="0.35">
      <c r="A14" s="437" t="str">
        <f t="shared" si="0"/>
        <v>B02.00_0130_RLVNT_AMNT_WDC</v>
      </c>
      <c r="B14" s="368" t="s">
        <v>0</v>
      </c>
      <c r="C14" s="369" t="s">
        <v>947</v>
      </c>
      <c r="D14" s="370">
        <v>29</v>
      </c>
      <c r="E14" s="371" t="s">
        <v>1414</v>
      </c>
      <c r="F14" s="372">
        <v>9</v>
      </c>
      <c r="G14" s="435" t="s">
        <v>1415</v>
      </c>
      <c r="H14" s="372">
        <v>4</v>
      </c>
      <c r="I14" s="372">
        <v>9</v>
      </c>
      <c r="J14" s="435" t="s">
        <v>1415</v>
      </c>
      <c r="K14" s="372">
        <v>0</v>
      </c>
      <c r="L14" s="435" t="s">
        <v>1415</v>
      </c>
      <c r="M14" s="370">
        <v>0</v>
      </c>
      <c r="N14" s="435" t="s">
        <v>1415</v>
      </c>
      <c r="O14" s="372">
        <v>0</v>
      </c>
      <c r="P14" s="373">
        <v>0</v>
      </c>
      <c r="Q14" s="435" t="s">
        <v>1415</v>
      </c>
      <c r="R14" s="372">
        <v>0</v>
      </c>
      <c r="S14" s="373">
        <v>0</v>
      </c>
      <c r="T14" s="370" t="s">
        <v>1288</v>
      </c>
      <c r="U14" s="370" t="s">
        <v>1381</v>
      </c>
      <c r="V14" s="370">
        <v>8</v>
      </c>
      <c r="W14" s="370">
        <v>8</v>
      </c>
      <c r="X14" s="436"/>
      <c r="Y14" s="436" t="s">
        <v>144</v>
      </c>
      <c r="Z14" s="374" t="s">
        <v>911</v>
      </c>
    </row>
    <row r="15" spans="1:26" hidden="1" x14ac:dyDescent="0.35">
      <c r="A15" s="437" t="str">
        <f t="shared" si="0"/>
        <v>B02.00_0140_NTR_LBLTY</v>
      </c>
      <c r="B15" s="368" t="s">
        <v>0</v>
      </c>
      <c r="C15" s="369" t="s">
        <v>948</v>
      </c>
      <c r="D15" s="370">
        <v>23</v>
      </c>
      <c r="E15" s="371" t="s">
        <v>1414</v>
      </c>
      <c r="F15" s="372">
        <v>9</v>
      </c>
      <c r="G15" s="435" t="s">
        <v>1415</v>
      </c>
      <c r="H15" s="372">
        <v>0</v>
      </c>
      <c r="I15" s="372">
        <v>9</v>
      </c>
      <c r="J15" s="435" t="s">
        <v>1415</v>
      </c>
      <c r="K15" s="372">
        <v>0</v>
      </c>
      <c r="L15" s="435" t="s">
        <v>1415</v>
      </c>
      <c r="M15" s="370">
        <v>0</v>
      </c>
      <c r="N15" s="435" t="s">
        <v>1415</v>
      </c>
      <c r="O15" s="372">
        <v>0</v>
      </c>
      <c r="P15" s="373">
        <v>0</v>
      </c>
      <c r="Q15" s="435" t="s">
        <v>1415</v>
      </c>
      <c r="R15" s="372">
        <v>0</v>
      </c>
      <c r="S15" s="373">
        <v>0</v>
      </c>
      <c r="T15" s="370" t="s">
        <v>1418</v>
      </c>
      <c r="U15" s="370" t="s">
        <v>1294</v>
      </c>
      <c r="V15" s="370">
        <v>4</v>
      </c>
      <c r="W15" s="370">
        <v>4</v>
      </c>
      <c r="X15" s="436" t="s">
        <v>1295</v>
      </c>
      <c r="Y15" s="436" t="s">
        <v>144</v>
      </c>
      <c r="Z15" s="374" t="s">
        <v>144</v>
      </c>
    </row>
    <row r="16" spans="1:26" hidden="1" x14ac:dyDescent="0.35">
      <c r="A16" s="437" t="str">
        <f t="shared" si="0"/>
        <v>B02.00_0141_NTR_LBLTY_OTHR</v>
      </c>
      <c r="B16" s="368" t="s">
        <v>0</v>
      </c>
      <c r="C16" s="369" t="s">
        <v>949</v>
      </c>
      <c r="D16" s="370">
        <v>17</v>
      </c>
      <c r="E16" s="371" t="s">
        <v>1414</v>
      </c>
      <c r="F16" s="372">
        <v>9</v>
      </c>
      <c r="G16" s="435" t="s">
        <v>1415</v>
      </c>
      <c r="H16" s="372">
        <v>0</v>
      </c>
      <c r="I16" s="372">
        <v>9</v>
      </c>
      <c r="J16" s="435" t="s">
        <v>1415</v>
      </c>
      <c r="K16" s="372">
        <v>0</v>
      </c>
      <c r="L16" s="435" t="s">
        <v>1415</v>
      </c>
      <c r="M16" s="370">
        <v>0</v>
      </c>
      <c r="N16" s="435" t="s">
        <v>1415</v>
      </c>
      <c r="O16" s="372">
        <v>0</v>
      </c>
      <c r="P16" s="373">
        <v>0</v>
      </c>
      <c r="Q16" s="435" t="s">
        <v>1415</v>
      </c>
      <c r="R16" s="372">
        <v>9</v>
      </c>
      <c r="S16" s="373">
        <v>1</v>
      </c>
      <c r="T16" s="370" t="s">
        <v>890</v>
      </c>
      <c r="U16" s="370" t="s">
        <v>890</v>
      </c>
      <c r="V16" s="370">
        <v>0</v>
      </c>
      <c r="W16" s="370">
        <v>8</v>
      </c>
      <c r="X16" s="436"/>
      <c r="Y16" s="436" t="s">
        <v>144</v>
      </c>
      <c r="Z16" s="374" t="s">
        <v>144</v>
      </c>
    </row>
    <row r="17" spans="1:26" hidden="1" x14ac:dyDescent="0.35">
      <c r="A17" s="437" t="str">
        <f t="shared" si="0"/>
        <v>B02.00_0150_FLG_STRCTRLLY_SBRDNTD</v>
      </c>
      <c r="B17" s="368" t="s">
        <v>0</v>
      </c>
      <c r="C17" s="369" t="s">
        <v>950</v>
      </c>
      <c r="D17" s="370">
        <v>17</v>
      </c>
      <c r="E17" s="371" t="s">
        <v>1414</v>
      </c>
      <c r="F17" s="372">
        <v>9</v>
      </c>
      <c r="G17" s="435" t="s">
        <v>1415</v>
      </c>
      <c r="H17" s="372">
        <v>0</v>
      </c>
      <c r="I17" s="372">
        <v>9</v>
      </c>
      <c r="J17" s="435" t="s">
        <v>1415</v>
      </c>
      <c r="K17" s="372">
        <v>0</v>
      </c>
      <c r="L17" s="435" t="s">
        <v>1415</v>
      </c>
      <c r="M17" s="370">
        <v>0</v>
      </c>
      <c r="N17" s="435" t="s">
        <v>1415</v>
      </c>
      <c r="O17" s="372">
        <v>0</v>
      </c>
      <c r="P17" s="373">
        <v>0</v>
      </c>
      <c r="Q17" s="435" t="s">
        <v>1415</v>
      </c>
      <c r="R17" s="372">
        <v>9</v>
      </c>
      <c r="S17" s="373">
        <v>1</v>
      </c>
      <c r="T17" s="370" t="s">
        <v>890</v>
      </c>
      <c r="U17" s="370" t="s">
        <v>890</v>
      </c>
      <c r="V17" s="370">
        <v>0</v>
      </c>
      <c r="W17" s="370">
        <v>8</v>
      </c>
      <c r="X17" s="436"/>
      <c r="Y17" s="436" t="s">
        <v>144</v>
      </c>
      <c r="Z17" s="374" t="s">
        <v>144</v>
      </c>
    </row>
    <row r="18" spans="1:26" hidden="1" x14ac:dyDescent="0.35">
      <c r="A18" s="437" t="str">
        <f t="shared" si="0"/>
        <v>B02.00_0160_RANK_INSOLV</v>
      </c>
      <c r="B18" s="368" t="s">
        <v>0</v>
      </c>
      <c r="C18" s="369" t="s">
        <v>951</v>
      </c>
      <c r="D18" s="370">
        <v>17</v>
      </c>
      <c r="E18" s="371" t="s">
        <v>1414</v>
      </c>
      <c r="F18" s="372">
        <v>9</v>
      </c>
      <c r="G18" s="435" t="s">
        <v>1415</v>
      </c>
      <c r="H18" s="372">
        <v>0</v>
      </c>
      <c r="I18" s="372">
        <v>9</v>
      </c>
      <c r="J18" s="435" t="s">
        <v>1415</v>
      </c>
      <c r="K18" s="372">
        <v>0</v>
      </c>
      <c r="L18" s="435" t="s">
        <v>1415</v>
      </c>
      <c r="M18" s="370">
        <v>0</v>
      </c>
      <c r="N18" s="435" t="s">
        <v>1415</v>
      </c>
      <c r="O18" s="372">
        <v>0</v>
      </c>
      <c r="P18" s="373">
        <v>0</v>
      </c>
      <c r="Q18" s="435" t="s">
        <v>1415</v>
      </c>
      <c r="R18" s="372">
        <v>0</v>
      </c>
      <c r="S18" s="373">
        <v>0</v>
      </c>
      <c r="T18" s="370" t="s">
        <v>635</v>
      </c>
      <c r="U18" s="370" t="s">
        <v>697</v>
      </c>
      <c r="V18" s="370">
        <v>0</v>
      </c>
      <c r="W18" s="370">
        <v>0</v>
      </c>
      <c r="X18" s="436"/>
      <c r="Y18" s="436" t="s">
        <v>144</v>
      </c>
      <c r="Z18" s="374" t="s">
        <v>144</v>
      </c>
    </row>
    <row r="19" spans="1:26" hidden="1" x14ac:dyDescent="0.35">
      <c r="A19" s="437" t="str">
        <f t="shared" si="0"/>
        <v>B02.00_0161_CNTRCTL_SBRDNTN</v>
      </c>
      <c r="B19" s="368" t="s">
        <v>0</v>
      </c>
      <c r="C19" s="369" t="s">
        <v>952</v>
      </c>
      <c r="D19" s="370">
        <v>17</v>
      </c>
      <c r="E19" s="371" t="s">
        <v>1414</v>
      </c>
      <c r="F19" s="372">
        <v>9</v>
      </c>
      <c r="G19" s="435" t="s">
        <v>1415</v>
      </c>
      <c r="H19" s="372">
        <v>0</v>
      </c>
      <c r="I19" s="372">
        <v>9</v>
      </c>
      <c r="J19" s="435" t="s">
        <v>1415</v>
      </c>
      <c r="K19" s="372">
        <v>0</v>
      </c>
      <c r="L19" s="435" t="s">
        <v>1415</v>
      </c>
      <c r="M19" s="370">
        <v>0</v>
      </c>
      <c r="N19" s="435" t="s">
        <v>1415</v>
      </c>
      <c r="O19" s="372">
        <v>0</v>
      </c>
      <c r="P19" s="373">
        <v>0</v>
      </c>
      <c r="Q19" s="435" t="s">
        <v>1415</v>
      </c>
      <c r="R19" s="372">
        <v>0</v>
      </c>
      <c r="S19" s="373">
        <v>0</v>
      </c>
      <c r="T19" s="370" t="s">
        <v>1290</v>
      </c>
      <c r="U19" s="370" t="s">
        <v>1290</v>
      </c>
      <c r="V19" s="370">
        <v>0</v>
      </c>
      <c r="W19" s="370">
        <v>0</v>
      </c>
      <c r="X19" s="436"/>
      <c r="Y19" s="436" t="s">
        <v>144</v>
      </c>
      <c r="Z19" s="374" t="s">
        <v>144</v>
      </c>
    </row>
    <row r="20" spans="1:26" hidden="1" x14ac:dyDescent="0.35">
      <c r="A20" s="437" t="str">
        <f t="shared" si="0"/>
        <v>B02.00_0162_BAIL_IN_CASCADE</v>
      </c>
      <c r="B20" s="368" t="s">
        <v>0</v>
      </c>
      <c r="C20" s="369" t="s">
        <v>953</v>
      </c>
      <c r="D20" s="370">
        <v>17</v>
      </c>
      <c r="E20" s="371" t="s">
        <v>1414</v>
      </c>
      <c r="F20" s="372">
        <v>9</v>
      </c>
      <c r="G20" s="435" t="s">
        <v>1415</v>
      </c>
      <c r="H20" s="372">
        <v>0</v>
      </c>
      <c r="I20" s="372">
        <v>9</v>
      </c>
      <c r="J20" s="435" t="s">
        <v>1415</v>
      </c>
      <c r="K20" s="372">
        <v>0</v>
      </c>
      <c r="L20" s="435" t="s">
        <v>1415</v>
      </c>
      <c r="M20" s="370">
        <v>0</v>
      </c>
      <c r="N20" s="435" t="s">
        <v>1415</v>
      </c>
      <c r="O20" s="372">
        <v>0</v>
      </c>
      <c r="P20" s="373">
        <v>0</v>
      </c>
      <c r="Q20" s="435" t="s">
        <v>1415</v>
      </c>
      <c r="R20" s="372">
        <v>0</v>
      </c>
      <c r="S20" s="373">
        <v>0</v>
      </c>
      <c r="T20" s="370" t="s">
        <v>635</v>
      </c>
      <c r="U20" s="370" t="s">
        <v>697</v>
      </c>
      <c r="V20" s="370">
        <v>0</v>
      </c>
      <c r="W20" s="370">
        <v>0</v>
      </c>
      <c r="X20" s="436"/>
      <c r="Y20" s="436" t="s">
        <v>144</v>
      </c>
      <c r="Z20" s="374" t="s">
        <v>144</v>
      </c>
    </row>
    <row r="21" spans="1:26" hidden="1" x14ac:dyDescent="0.35">
      <c r="A21" s="437" t="str">
        <f t="shared" si="0"/>
        <v>B02.00_0170_DT_INCPTN</v>
      </c>
      <c r="B21" s="368" t="s">
        <v>0</v>
      </c>
      <c r="C21" s="369" t="s">
        <v>954</v>
      </c>
      <c r="D21" s="370">
        <v>17</v>
      </c>
      <c r="E21" s="371" t="s">
        <v>1414</v>
      </c>
      <c r="F21" s="372">
        <v>9</v>
      </c>
      <c r="G21" s="435" t="s">
        <v>1415</v>
      </c>
      <c r="H21" s="372">
        <v>0</v>
      </c>
      <c r="I21" s="372">
        <v>9</v>
      </c>
      <c r="J21" s="435" t="s">
        <v>1415</v>
      </c>
      <c r="K21" s="372">
        <v>0</v>
      </c>
      <c r="L21" s="435" t="s">
        <v>1415</v>
      </c>
      <c r="M21" s="370">
        <v>0</v>
      </c>
      <c r="N21" s="435" t="s">
        <v>1415</v>
      </c>
      <c r="O21" s="372">
        <v>0</v>
      </c>
      <c r="P21" s="373">
        <v>0</v>
      </c>
      <c r="Q21" s="435" t="s">
        <v>1415</v>
      </c>
      <c r="R21" s="372">
        <v>0</v>
      </c>
      <c r="S21" s="373">
        <v>0</v>
      </c>
      <c r="T21" s="370" t="s">
        <v>1296</v>
      </c>
      <c r="U21" s="370" t="s">
        <v>1297</v>
      </c>
      <c r="V21" s="370">
        <v>0</v>
      </c>
      <c r="W21" s="370">
        <v>0</v>
      </c>
      <c r="X21" s="436"/>
      <c r="Y21" s="436" t="s">
        <v>144</v>
      </c>
      <c r="Z21" s="374" t="s">
        <v>144</v>
      </c>
    </row>
    <row r="22" spans="1:26" hidden="1" x14ac:dyDescent="0.35">
      <c r="A22" s="437" t="str">
        <f t="shared" si="0"/>
        <v>B02.00_0180_DT_NXT_INTRST_PYMNT</v>
      </c>
      <c r="B22" s="368" t="s">
        <v>0</v>
      </c>
      <c r="C22" s="369" t="s">
        <v>955</v>
      </c>
      <c r="D22" s="370">
        <v>23</v>
      </c>
      <c r="E22" s="371" t="s">
        <v>1414</v>
      </c>
      <c r="F22" s="372">
        <v>9</v>
      </c>
      <c r="G22" s="435" t="s">
        <v>1419</v>
      </c>
      <c r="H22" s="372">
        <v>5</v>
      </c>
      <c r="I22" s="372">
        <v>9</v>
      </c>
      <c r="J22" s="435" t="s">
        <v>1419</v>
      </c>
      <c r="K22" s="372">
        <v>0</v>
      </c>
      <c r="L22" s="435" t="s">
        <v>1419</v>
      </c>
      <c r="M22" s="370">
        <v>0</v>
      </c>
      <c r="N22" s="435" t="s">
        <v>1419</v>
      </c>
      <c r="O22" s="372">
        <v>0</v>
      </c>
      <c r="P22" s="373">
        <v>0</v>
      </c>
      <c r="Q22" s="435" t="s">
        <v>1419</v>
      </c>
      <c r="R22" s="372">
        <v>0</v>
      </c>
      <c r="S22" s="373">
        <v>0</v>
      </c>
      <c r="T22" s="370" t="s">
        <v>909</v>
      </c>
      <c r="U22" s="370" t="s">
        <v>909</v>
      </c>
      <c r="V22" s="370">
        <v>1</v>
      </c>
      <c r="W22" s="370">
        <v>1</v>
      </c>
      <c r="X22" s="436"/>
      <c r="Y22" s="436" t="s">
        <v>144</v>
      </c>
      <c r="Z22" s="374" t="s">
        <v>911</v>
      </c>
    </row>
    <row r="23" spans="1:26" hidden="1" x14ac:dyDescent="0.35">
      <c r="A23" s="437" t="str">
        <f t="shared" si="0"/>
        <v>B02.00_0190_DT_NXT_RDMPTN_PYMNT</v>
      </c>
      <c r="B23" s="368" t="s">
        <v>0</v>
      </c>
      <c r="C23" s="369" t="s">
        <v>956</v>
      </c>
      <c r="D23" s="370">
        <v>28</v>
      </c>
      <c r="E23" s="371" t="s">
        <v>1414</v>
      </c>
      <c r="F23" s="372">
        <v>9</v>
      </c>
      <c r="G23" s="435" t="s">
        <v>1415</v>
      </c>
      <c r="H23" s="372">
        <v>0</v>
      </c>
      <c r="I23" s="372">
        <v>9</v>
      </c>
      <c r="J23" s="435" t="s">
        <v>1415</v>
      </c>
      <c r="K23" s="372">
        <v>0</v>
      </c>
      <c r="L23" s="435" t="s">
        <v>1415</v>
      </c>
      <c r="M23" s="370">
        <v>0</v>
      </c>
      <c r="N23" s="435" t="s">
        <v>1415</v>
      </c>
      <c r="O23" s="372">
        <v>0</v>
      </c>
      <c r="P23" s="373">
        <v>0</v>
      </c>
      <c r="Q23" s="435" t="s">
        <v>1415</v>
      </c>
      <c r="R23" s="372">
        <v>0</v>
      </c>
      <c r="S23" s="373">
        <v>0</v>
      </c>
      <c r="T23" s="370" t="s">
        <v>1298</v>
      </c>
      <c r="U23" s="370" t="s">
        <v>1406</v>
      </c>
      <c r="V23" s="370">
        <v>0</v>
      </c>
      <c r="W23" s="370">
        <v>0</v>
      </c>
      <c r="X23" s="436" t="s">
        <v>1373</v>
      </c>
      <c r="Y23" s="436" t="s">
        <v>144</v>
      </c>
      <c r="Z23" s="374" t="s">
        <v>144</v>
      </c>
    </row>
    <row r="24" spans="1:26" hidden="1" x14ac:dyDescent="0.35">
      <c r="A24" s="437" t="str">
        <f t="shared" si="0"/>
        <v>B02.00_0200_DT_ERLST_RDMPTN</v>
      </c>
      <c r="B24" s="368" t="s">
        <v>0</v>
      </c>
      <c r="C24" s="369" t="s">
        <v>921</v>
      </c>
      <c r="D24" s="370">
        <v>23</v>
      </c>
      <c r="E24" s="371" t="s">
        <v>1414</v>
      </c>
      <c r="F24" s="372">
        <v>9</v>
      </c>
      <c r="G24" s="435" t="s">
        <v>1415</v>
      </c>
      <c r="H24" s="372">
        <v>0</v>
      </c>
      <c r="I24" s="372">
        <v>9</v>
      </c>
      <c r="J24" s="435" t="s">
        <v>1415</v>
      </c>
      <c r="K24" s="372">
        <v>0</v>
      </c>
      <c r="L24" s="435" t="s">
        <v>1415</v>
      </c>
      <c r="M24" s="370">
        <v>0</v>
      </c>
      <c r="N24" s="435" t="s">
        <v>1415</v>
      </c>
      <c r="O24" s="372">
        <v>0</v>
      </c>
      <c r="P24" s="373">
        <v>0</v>
      </c>
      <c r="Q24" s="435" t="s">
        <v>1415</v>
      </c>
      <c r="R24" s="372">
        <v>9</v>
      </c>
      <c r="S24" s="373">
        <v>1</v>
      </c>
      <c r="T24" s="370" t="s">
        <v>1407</v>
      </c>
      <c r="U24" s="370" t="s">
        <v>1407</v>
      </c>
      <c r="V24" s="370">
        <v>0</v>
      </c>
      <c r="W24" s="370">
        <v>0</v>
      </c>
      <c r="X24" s="436"/>
      <c r="Y24" s="436" t="s">
        <v>144</v>
      </c>
      <c r="Z24" s="374" t="s">
        <v>144</v>
      </c>
    </row>
    <row r="25" spans="1:26" hidden="1" x14ac:dyDescent="0.35">
      <c r="A25" s="437" t="str">
        <f t="shared" si="0"/>
        <v>B02.00_0210_DT_LGL_FNL_MTRTY</v>
      </c>
      <c r="B25" s="368" t="s">
        <v>0</v>
      </c>
      <c r="C25" s="369" t="s">
        <v>957</v>
      </c>
      <c r="D25" s="370">
        <v>23</v>
      </c>
      <c r="E25" s="371" t="s">
        <v>1414</v>
      </c>
      <c r="F25" s="372">
        <v>9</v>
      </c>
      <c r="G25" s="435" t="s">
        <v>1415</v>
      </c>
      <c r="H25" s="372">
        <v>0</v>
      </c>
      <c r="I25" s="372">
        <v>9</v>
      </c>
      <c r="J25" s="435" t="s">
        <v>1415</v>
      </c>
      <c r="K25" s="372">
        <v>0</v>
      </c>
      <c r="L25" s="435" t="s">
        <v>1415</v>
      </c>
      <c r="M25" s="370">
        <v>0</v>
      </c>
      <c r="N25" s="435" t="s">
        <v>1415</v>
      </c>
      <c r="O25" s="372">
        <v>0</v>
      </c>
      <c r="P25" s="373">
        <v>0</v>
      </c>
      <c r="Q25" s="435" t="s">
        <v>1415</v>
      </c>
      <c r="R25" s="372">
        <v>0</v>
      </c>
      <c r="S25" s="373">
        <v>0</v>
      </c>
      <c r="T25" s="370" t="s">
        <v>1298</v>
      </c>
      <c r="U25" s="370" t="s">
        <v>1406</v>
      </c>
      <c r="V25" s="370">
        <v>0</v>
      </c>
      <c r="W25" s="370">
        <v>0</v>
      </c>
      <c r="X25" s="436" t="s">
        <v>1300</v>
      </c>
      <c r="Y25" s="436" t="s">
        <v>144</v>
      </c>
      <c r="Z25" s="374" t="s">
        <v>144</v>
      </c>
    </row>
    <row r="26" spans="1:26" hidden="1" x14ac:dyDescent="0.35">
      <c r="A26" s="437" t="str">
        <f t="shared" si="0"/>
        <v>B02.00_0220_GOVERNING_LAW</v>
      </c>
      <c r="B26" s="368" t="s">
        <v>0</v>
      </c>
      <c r="C26" s="369" t="s">
        <v>958</v>
      </c>
      <c r="D26" s="370">
        <v>22</v>
      </c>
      <c r="E26" s="371" t="s">
        <v>1414</v>
      </c>
      <c r="F26" s="372">
        <v>9</v>
      </c>
      <c r="G26" s="435" t="s">
        <v>1420</v>
      </c>
      <c r="H26" s="372">
        <v>0</v>
      </c>
      <c r="I26" s="372">
        <v>9</v>
      </c>
      <c r="J26" s="435" t="s">
        <v>1420</v>
      </c>
      <c r="K26" s="372">
        <v>0</v>
      </c>
      <c r="L26" s="435" t="s">
        <v>1420</v>
      </c>
      <c r="M26" s="370">
        <v>0</v>
      </c>
      <c r="N26" s="435" t="s">
        <v>1420</v>
      </c>
      <c r="O26" s="372">
        <v>0</v>
      </c>
      <c r="P26" s="373">
        <v>0</v>
      </c>
      <c r="Q26" s="435" t="s">
        <v>1420</v>
      </c>
      <c r="R26" s="372">
        <v>0</v>
      </c>
      <c r="S26" s="373">
        <v>0</v>
      </c>
      <c r="T26" s="370" t="s">
        <v>1301</v>
      </c>
      <c r="U26" s="370" t="s">
        <v>1301</v>
      </c>
      <c r="V26" s="370">
        <v>0</v>
      </c>
      <c r="W26" s="370">
        <v>0</v>
      </c>
      <c r="X26" s="436"/>
      <c r="Y26" s="436" t="s">
        <v>144</v>
      </c>
      <c r="Z26" s="374" t="s">
        <v>144</v>
      </c>
    </row>
    <row r="27" spans="1:26" hidden="1" x14ac:dyDescent="0.35">
      <c r="A27" s="437" t="str">
        <f t="shared" si="0"/>
        <v>B02.00_0230_BAIL_IN_RCGNTN_CLS</v>
      </c>
      <c r="B27" s="368" t="s">
        <v>0</v>
      </c>
      <c r="C27" s="369" t="s">
        <v>959</v>
      </c>
      <c r="D27" s="370">
        <v>17</v>
      </c>
      <c r="E27" s="371" t="s">
        <v>1414</v>
      </c>
      <c r="F27" s="372">
        <v>9</v>
      </c>
      <c r="G27" s="435" t="s">
        <v>1415</v>
      </c>
      <c r="H27" s="372">
        <v>0</v>
      </c>
      <c r="I27" s="372">
        <v>9</v>
      </c>
      <c r="J27" s="435" t="s">
        <v>1415</v>
      </c>
      <c r="K27" s="372">
        <v>0</v>
      </c>
      <c r="L27" s="435" t="s">
        <v>1415</v>
      </c>
      <c r="M27" s="370">
        <v>9</v>
      </c>
      <c r="N27" s="435" t="s">
        <v>1415</v>
      </c>
      <c r="O27" s="372">
        <v>0</v>
      </c>
      <c r="P27" s="373">
        <v>0</v>
      </c>
      <c r="Q27" s="435" t="s">
        <v>1415</v>
      </c>
      <c r="R27" s="372">
        <v>0</v>
      </c>
      <c r="S27" s="373">
        <v>0</v>
      </c>
      <c r="T27" s="370" t="s">
        <v>1302</v>
      </c>
      <c r="U27" s="370" t="s">
        <v>1302</v>
      </c>
      <c r="V27" s="370">
        <v>0</v>
      </c>
      <c r="W27" s="370">
        <v>0</v>
      </c>
      <c r="X27" s="436" t="s">
        <v>1421</v>
      </c>
      <c r="Y27" s="436" t="s">
        <v>144</v>
      </c>
      <c r="Z27" s="374" t="s">
        <v>144</v>
      </c>
    </row>
    <row r="28" spans="1:26" hidden="1" x14ac:dyDescent="0.35">
      <c r="A28" s="437" t="str">
        <f t="shared" si="0"/>
        <v>B02.00_0240_ZERO_COUPON</v>
      </c>
      <c r="B28" s="368" t="s">
        <v>0</v>
      </c>
      <c r="C28" s="369" t="s">
        <v>960</v>
      </c>
      <c r="D28" s="370">
        <v>17</v>
      </c>
      <c r="E28" s="371" t="s">
        <v>1414</v>
      </c>
      <c r="F28" s="372">
        <v>9</v>
      </c>
      <c r="G28" s="435" t="s">
        <v>1415</v>
      </c>
      <c r="H28" s="372">
        <v>0</v>
      </c>
      <c r="I28" s="372">
        <v>9</v>
      </c>
      <c r="J28" s="435" t="s">
        <v>1415</v>
      </c>
      <c r="K28" s="372">
        <v>0</v>
      </c>
      <c r="L28" s="435" t="s">
        <v>1415</v>
      </c>
      <c r="M28" s="370">
        <v>0</v>
      </c>
      <c r="N28" s="435" t="s">
        <v>1415</v>
      </c>
      <c r="O28" s="372">
        <v>0</v>
      </c>
      <c r="P28" s="373">
        <v>0</v>
      </c>
      <c r="Q28" s="435" t="s">
        <v>1415</v>
      </c>
      <c r="R28" s="372">
        <v>0</v>
      </c>
      <c r="S28" s="373">
        <v>0</v>
      </c>
      <c r="T28" s="370" t="s">
        <v>1303</v>
      </c>
      <c r="U28" s="370" t="s">
        <v>1303</v>
      </c>
      <c r="V28" s="370">
        <v>0</v>
      </c>
      <c r="W28" s="370">
        <v>0</v>
      </c>
      <c r="X28" s="436"/>
      <c r="Y28" s="436" t="s">
        <v>144</v>
      </c>
      <c r="Z28" s="374" t="s">
        <v>144</v>
      </c>
    </row>
    <row r="29" spans="1:26" hidden="1" x14ac:dyDescent="0.35">
      <c r="A29" s="437" t="str">
        <f t="shared" si="0"/>
        <v>B02.00_0250_STRCTRD_PRDCT</v>
      </c>
      <c r="B29" s="368" t="s">
        <v>0</v>
      </c>
      <c r="C29" s="369" t="s">
        <v>961</v>
      </c>
      <c r="D29" s="370">
        <v>17</v>
      </c>
      <c r="E29" s="371" t="s">
        <v>1414</v>
      </c>
      <c r="F29" s="372">
        <v>9</v>
      </c>
      <c r="G29" s="435" t="s">
        <v>1415</v>
      </c>
      <c r="H29" s="372">
        <v>0</v>
      </c>
      <c r="I29" s="372">
        <v>9</v>
      </c>
      <c r="J29" s="435" t="s">
        <v>1415</v>
      </c>
      <c r="K29" s="372">
        <v>0</v>
      </c>
      <c r="L29" s="435" t="s">
        <v>1415</v>
      </c>
      <c r="M29" s="370">
        <v>9</v>
      </c>
      <c r="N29" s="435" t="s">
        <v>1415</v>
      </c>
      <c r="O29" s="372">
        <v>0</v>
      </c>
      <c r="P29" s="373">
        <v>0</v>
      </c>
      <c r="Q29" s="435" t="s">
        <v>1415</v>
      </c>
      <c r="R29" s="372">
        <v>0</v>
      </c>
      <c r="S29" s="373">
        <v>0</v>
      </c>
      <c r="T29" s="370" t="s">
        <v>1304</v>
      </c>
      <c r="U29" s="370" t="s">
        <v>1304</v>
      </c>
      <c r="V29" s="370">
        <v>0</v>
      </c>
      <c r="W29" s="370">
        <v>0</v>
      </c>
      <c r="X29" s="436" t="s">
        <v>1422</v>
      </c>
      <c r="Y29" s="436" t="s">
        <v>144</v>
      </c>
      <c r="Z29" s="374" t="s">
        <v>144</v>
      </c>
    </row>
    <row r="30" spans="1:26" hidden="1" x14ac:dyDescent="0.35">
      <c r="A30" s="437" t="str">
        <f t="shared" si="0"/>
        <v>B02.00_0260_GRNTD_MIN_AMNT_STRCTRD_PRDCT</v>
      </c>
      <c r="B30" s="368" t="s">
        <v>0</v>
      </c>
      <c r="C30" s="369" t="s">
        <v>962</v>
      </c>
      <c r="D30" s="370">
        <v>17</v>
      </c>
      <c r="E30" s="371" t="s">
        <v>1414</v>
      </c>
      <c r="F30" s="372">
        <v>9</v>
      </c>
      <c r="G30" s="435" t="s">
        <v>1415</v>
      </c>
      <c r="H30" s="372">
        <v>0</v>
      </c>
      <c r="I30" s="372">
        <v>9</v>
      </c>
      <c r="J30" s="435" t="s">
        <v>1415</v>
      </c>
      <c r="K30" s="372">
        <v>0</v>
      </c>
      <c r="L30" s="435" t="s">
        <v>1415</v>
      </c>
      <c r="M30" s="370">
        <v>0</v>
      </c>
      <c r="N30" s="435" t="s">
        <v>1415</v>
      </c>
      <c r="O30" s="372">
        <v>0</v>
      </c>
      <c r="P30" s="373">
        <v>0</v>
      </c>
      <c r="Q30" s="435" t="s">
        <v>1415</v>
      </c>
      <c r="R30" s="372">
        <v>0</v>
      </c>
      <c r="S30" s="373">
        <v>0</v>
      </c>
      <c r="T30" s="370" t="s">
        <v>1290</v>
      </c>
      <c r="U30" s="370" t="s">
        <v>1290</v>
      </c>
      <c r="V30" s="370">
        <v>0</v>
      </c>
      <c r="W30" s="370">
        <v>0</v>
      </c>
      <c r="X30" s="436"/>
      <c r="Y30" s="436" t="s">
        <v>144</v>
      </c>
      <c r="Z30" s="374" t="s">
        <v>144</v>
      </c>
    </row>
    <row r="31" spans="1:26" hidden="1" x14ac:dyDescent="0.35">
      <c r="A31" s="437" t="str">
        <f t="shared" si="0"/>
        <v>B02.00_0270_FV_AMNT_STRCTRD_PRDCT</v>
      </c>
      <c r="B31" s="368" t="s">
        <v>0</v>
      </c>
      <c r="C31" s="369" t="s">
        <v>963</v>
      </c>
      <c r="D31" s="370">
        <v>17</v>
      </c>
      <c r="E31" s="371" t="s">
        <v>1414</v>
      </c>
      <c r="F31" s="372">
        <v>9</v>
      </c>
      <c r="G31" s="435" t="s">
        <v>1415</v>
      </c>
      <c r="H31" s="372">
        <v>0</v>
      </c>
      <c r="I31" s="372">
        <v>9</v>
      </c>
      <c r="J31" s="435" t="s">
        <v>1415</v>
      </c>
      <c r="K31" s="372">
        <v>0</v>
      </c>
      <c r="L31" s="435" t="s">
        <v>1415</v>
      </c>
      <c r="M31" s="370">
        <v>0</v>
      </c>
      <c r="N31" s="435" t="s">
        <v>1415</v>
      </c>
      <c r="O31" s="372">
        <v>0</v>
      </c>
      <c r="P31" s="373">
        <v>0</v>
      </c>
      <c r="Q31" s="435" t="s">
        <v>1415</v>
      </c>
      <c r="R31" s="372">
        <v>0</v>
      </c>
      <c r="S31" s="373">
        <v>0</v>
      </c>
      <c r="T31" s="370" t="s">
        <v>1290</v>
      </c>
      <c r="U31" s="370" t="s">
        <v>1290</v>
      </c>
      <c r="V31" s="370">
        <v>0</v>
      </c>
      <c r="W31" s="370">
        <v>0</v>
      </c>
      <c r="X31" s="436"/>
      <c r="Y31" s="436" t="s">
        <v>144</v>
      </c>
      <c r="Z31" s="374" t="s">
        <v>144</v>
      </c>
    </row>
    <row r="32" spans="1:26" hidden="1" x14ac:dyDescent="0.35">
      <c r="A32" s="437" t="str">
        <f t="shared" si="0"/>
        <v>B02.00_0280_FLG_NCNP_DPSTS</v>
      </c>
      <c r="B32" s="368" t="s">
        <v>0</v>
      </c>
      <c r="C32" s="369" t="s">
        <v>964</v>
      </c>
      <c r="D32" s="370">
        <v>17</v>
      </c>
      <c r="E32" s="371" t="s">
        <v>1414</v>
      </c>
      <c r="F32" s="372">
        <v>9</v>
      </c>
      <c r="G32" s="435" t="s">
        <v>1415</v>
      </c>
      <c r="H32" s="372">
        <v>0</v>
      </c>
      <c r="I32" s="372">
        <v>9</v>
      </c>
      <c r="J32" s="435" t="s">
        <v>1415</v>
      </c>
      <c r="K32" s="372">
        <v>0</v>
      </c>
      <c r="L32" s="435" t="s">
        <v>1415</v>
      </c>
      <c r="M32" s="370">
        <v>0</v>
      </c>
      <c r="N32" s="435" t="s">
        <v>1415</v>
      </c>
      <c r="O32" s="372">
        <v>0</v>
      </c>
      <c r="P32" s="373">
        <v>0</v>
      </c>
      <c r="Q32" s="435" t="s">
        <v>1415</v>
      </c>
      <c r="R32" s="372">
        <v>0</v>
      </c>
      <c r="S32" s="373">
        <v>0</v>
      </c>
      <c r="T32" s="370" t="s">
        <v>1305</v>
      </c>
      <c r="U32" s="370" t="s">
        <v>1305</v>
      </c>
      <c r="V32" s="370">
        <v>0</v>
      </c>
      <c r="W32" s="370">
        <v>0</v>
      </c>
      <c r="X32" s="436"/>
      <c r="Y32" s="436" t="s">
        <v>144</v>
      </c>
      <c r="Z32" s="374" t="s">
        <v>144</v>
      </c>
    </row>
    <row r="33" spans="1:26" hidden="1" x14ac:dyDescent="0.35">
      <c r="A33" s="437" t="str">
        <f t="shared" si="0"/>
        <v>B02.00_0290_FLG_NCBP_DPSTS</v>
      </c>
      <c r="B33" s="368" t="s">
        <v>0</v>
      </c>
      <c r="C33" s="369" t="s">
        <v>965</v>
      </c>
      <c r="D33" s="370">
        <v>17</v>
      </c>
      <c r="E33" s="371" t="s">
        <v>1414</v>
      </c>
      <c r="F33" s="372">
        <v>9</v>
      </c>
      <c r="G33" s="435" t="s">
        <v>1415</v>
      </c>
      <c r="H33" s="372">
        <v>0</v>
      </c>
      <c r="I33" s="372">
        <v>9</v>
      </c>
      <c r="J33" s="435" t="s">
        <v>1415</v>
      </c>
      <c r="K33" s="372">
        <v>0</v>
      </c>
      <c r="L33" s="435" t="s">
        <v>1415</v>
      </c>
      <c r="M33" s="370">
        <v>0</v>
      </c>
      <c r="N33" s="435" t="s">
        <v>1415</v>
      </c>
      <c r="O33" s="372">
        <v>0</v>
      </c>
      <c r="P33" s="373">
        <v>0</v>
      </c>
      <c r="Q33" s="435" t="s">
        <v>1415</v>
      </c>
      <c r="R33" s="372">
        <v>0</v>
      </c>
      <c r="S33" s="373">
        <v>0</v>
      </c>
      <c r="T33" s="370" t="s">
        <v>1305</v>
      </c>
      <c r="U33" s="370" t="s">
        <v>1305</v>
      </c>
      <c r="V33" s="370">
        <v>0</v>
      </c>
      <c r="W33" s="370">
        <v>0</v>
      </c>
      <c r="X33" s="436"/>
      <c r="Y33" s="436" t="s">
        <v>144</v>
      </c>
      <c r="Z33" s="374" t="s">
        <v>144</v>
      </c>
    </row>
    <row r="34" spans="1:26" hidden="1" x14ac:dyDescent="0.35">
      <c r="A34" s="437" t="str">
        <f t="shared" si="0"/>
        <v>B02.00_0300_AMNT_CVRD_ELGBL_DPSTS</v>
      </c>
      <c r="B34" s="368" t="s">
        <v>0</v>
      </c>
      <c r="C34" s="369" t="s">
        <v>966</v>
      </c>
      <c r="D34" s="370">
        <v>17</v>
      </c>
      <c r="E34" s="371" t="s">
        <v>1414</v>
      </c>
      <c r="F34" s="372">
        <v>9</v>
      </c>
      <c r="G34" s="435" t="s">
        <v>1415</v>
      </c>
      <c r="H34" s="372">
        <v>0</v>
      </c>
      <c r="I34" s="372">
        <v>9</v>
      </c>
      <c r="J34" s="435" t="s">
        <v>1415</v>
      </c>
      <c r="K34" s="372">
        <v>0</v>
      </c>
      <c r="L34" s="435" t="s">
        <v>1415</v>
      </c>
      <c r="M34" s="370">
        <v>0</v>
      </c>
      <c r="N34" s="435" t="s">
        <v>1415</v>
      </c>
      <c r="O34" s="372">
        <v>0</v>
      </c>
      <c r="P34" s="373">
        <v>0</v>
      </c>
      <c r="Q34" s="435" t="s">
        <v>1415</v>
      </c>
      <c r="R34" s="372">
        <v>0</v>
      </c>
      <c r="S34" s="373">
        <v>0</v>
      </c>
      <c r="T34" s="370" t="s">
        <v>1290</v>
      </c>
      <c r="U34" s="370" t="s">
        <v>1290</v>
      </c>
      <c r="V34" s="370">
        <v>0</v>
      </c>
      <c r="W34" s="370">
        <v>0</v>
      </c>
      <c r="X34" s="436"/>
      <c r="Y34" s="436" t="s">
        <v>144</v>
      </c>
      <c r="Z34" s="374" t="s">
        <v>144</v>
      </c>
    </row>
    <row r="35" spans="1:26" hidden="1" x14ac:dyDescent="0.35">
      <c r="A35" s="437" t="str">
        <f t="shared" si="0"/>
        <v>B02.00_0310_FLG_CLLTRL_AGRMNTS</v>
      </c>
      <c r="B35" s="368" t="s">
        <v>0</v>
      </c>
      <c r="C35" s="369" t="s">
        <v>1372</v>
      </c>
      <c r="D35" s="370">
        <v>10</v>
      </c>
      <c r="E35" s="371" t="s">
        <v>1085</v>
      </c>
      <c r="F35" s="372">
        <v>8</v>
      </c>
      <c r="G35" s="435" t="s">
        <v>1283</v>
      </c>
      <c r="H35" s="372">
        <v>0</v>
      </c>
      <c r="I35" s="372">
        <v>8</v>
      </c>
      <c r="J35" s="435" t="s">
        <v>1283</v>
      </c>
      <c r="K35" s="372">
        <v>0</v>
      </c>
      <c r="L35" s="435" t="s">
        <v>1283</v>
      </c>
      <c r="M35" s="370">
        <v>0</v>
      </c>
      <c r="N35" s="435" t="s">
        <v>1283</v>
      </c>
      <c r="O35" s="372">
        <v>0</v>
      </c>
      <c r="P35" s="373">
        <v>0</v>
      </c>
      <c r="Q35" s="435" t="s">
        <v>1283</v>
      </c>
      <c r="R35" s="372">
        <v>0</v>
      </c>
      <c r="S35" s="373">
        <v>0</v>
      </c>
      <c r="T35" s="370" t="s">
        <v>909</v>
      </c>
      <c r="U35" s="370" t="s">
        <v>909</v>
      </c>
      <c r="V35" s="370">
        <v>0</v>
      </c>
      <c r="W35" s="370">
        <v>0</v>
      </c>
      <c r="X35" s="436"/>
      <c r="Y35" s="436" t="s">
        <v>144</v>
      </c>
      <c r="Z35" s="374" t="s">
        <v>144</v>
      </c>
    </row>
    <row r="36" spans="1:26" hidden="1" x14ac:dyDescent="0.35">
      <c r="A36" s="437" t="str">
        <f t="shared" si="0"/>
        <v>B02.00_0320_AMNT_CLLTRL</v>
      </c>
      <c r="B36" s="368" t="s">
        <v>0</v>
      </c>
      <c r="C36" s="369" t="s">
        <v>967</v>
      </c>
      <c r="D36" s="370">
        <v>17</v>
      </c>
      <c r="E36" s="371" t="s">
        <v>1414</v>
      </c>
      <c r="F36" s="372">
        <v>9</v>
      </c>
      <c r="G36" s="435" t="s">
        <v>1415</v>
      </c>
      <c r="H36" s="372">
        <v>0</v>
      </c>
      <c r="I36" s="372">
        <v>9</v>
      </c>
      <c r="J36" s="435" t="s">
        <v>1415</v>
      </c>
      <c r="K36" s="372">
        <v>0</v>
      </c>
      <c r="L36" s="435" t="s">
        <v>1415</v>
      </c>
      <c r="M36" s="370">
        <v>0</v>
      </c>
      <c r="N36" s="435" t="s">
        <v>1415</v>
      </c>
      <c r="O36" s="372">
        <v>0</v>
      </c>
      <c r="P36" s="373">
        <v>0</v>
      </c>
      <c r="Q36" s="435" t="s">
        <v>1415</v>
      </c>
      <c r="R36" s="372">
        <v>0</v>
      </c>
      <c r="S36" s="373">
        <v>0</v>
      </c>
      <c r="T36" s="370" t="s">
        <v>1290</v>
      </c>
      <c r="U36" s="370" t="s">
        <v>1290</v>
      </c>
      <c r="V36" s="370">
        <v>0</v>
      </c>
      <c r="W36" s="370">
        <v>0</v>
      </c>
      <c r="X36" s="436"/>
      <c r="Y36" s="436" t="s">
        <v>144</v>
      </c>
      <c r="Z36" s="374" t="s">
        <v>144</v>
      </c>
    </row>
    <row r="37" spans="1:26" hidden="1" x14ac:dyDescent="0.35">
      <c r="A37" s="437" t="str">
        <f t="shared" si="0"/>
        <v>B02.00_0330_AMNT_UNCLLTRLZD</v>
      </c>
      <c r="B37" s="368" t="s">
        <v>0</v>
      </c>
      <c r="C37" s="369" t="s">
        <v>968</v>
      </c>
      <c r="D37" s="370">
        <v>17</v>
      </c>
      <c r="E37" s="371" t="s">
        <v>1414</v>
      </c>
      <c r="F37" s="372">
        <v>9</v>
      </c>
      <c r="G37" s="435" t="s">
        <v>1415</v>
      </c>
      <c r="H37" s="372">
        <v>0</v>
      </c>
      <c r="I37" s="372">
        <v>9</v>
      </c>
      <c r="J37" s="435" t="s">
        <v>1415</v>
      </c>
      <c r="K37" s="372">
        <v>0</v>
      </c>
      <c r="L37" s="435" t="s">
        <v>1415</v>
      </c>
      <c r="M37" s="370">
        <v>0</v>
      </c>
      <c r="N37" s="435" t="s">
        <v>1415</v>
      </c>
      <c r="O37" s="372">
        <v>0</v>
      </c>
      <c r="P37" s="373">
        <v>0</v>
      </c>
      <c r="Q37" s="435" t="s">
        <v>1415</v>
      </c>
      <c r="R37" s="372">
        <v>0</v>
      </c>
      <c r="S37" s="373">
        <v>0</v>
      </c>
      <c r="T37" s="370" t="s">
        <v>1290</v>
      </c>
      <c r="U37" s="370" t="s">
        <v>1290</v>
      </c>
      <c r="V37" s="370">
        <v>0</v>
      </c>
      <c r="W37" s="370">
        <v>0</v>
      </c>
      <c r="X37" s="436"/>
      <c r="Y37" s="436" t="s">
        <v>144</v>
      </c>
      <c r="Z37" s="374" t="s">
        <v>144</v>
      </c>
    </row>
    <row r="38" spans="1:26" hidden="1" x14ac:dyDescent="0.35">
      <c r="A38" s="437" t="str">
        <f t="shared" si="0"/>
        <v>B02.00_0340_ID_CLLTRL</v>
      </c>
      <c r="B38" s="368" t="s">
        <v>0</v>
      </c>
      <c r="C38" s="369" t="s">
        <v>969</v>
      </c>
      <c r="D38" s="370">
        <v>17</v>
      </c>
      <c r="E38" s="371" t="s">
        <v>1414</v>
      </c>
      <c r="F38" s="372">
        <v>9</v>
      </c>
      <c r="G38" s="435" t="s">
        <v>1415</v>
      </c>
      <c r="H38" s="372">
        <v>0</v>
      </c>
      <c r="I38" s="372">
        <v>9</v>
      </c>
      <c r="J38" s="435" t="s">
        <v>1415</v>
      </c>
      <c r="K38" s="372">
        <v>0</v>
      </c>
      <c r="L38" s="435" t="s">
        <v>1415</v>
      </c>
      <c r="M38" s="370">
        <v>0</v>
      </c>
      <c r="N38" s="435" t="s">
        <v>1415</v>
      </c>
      <c r="O38" s="372">
        <v>0</v>
      </c>
      <c r="P38" s="373">
        <v>0</v>
      </c>
      <c r="Q38" s="435" t="s">
        <v>1415</v>
      </c>
      <c r="R38" s="372">
        <v>9</v>
      </c>
      <c r="S38" s="373">
        <v>1</v>
      </c>
      <c r="T38" s="370" t="s">
        <v>890</v>
      </c>
      <c r="U38" s="370" t="s">
        <v>890</v>
      </c>
      <c r="V38" s="370">
        <v>0</v>
      </c>
      <c r="W38" s="370">
        <v>8</v>
      </c>
      <c r="X38" s="436"/>
      <c r="Y38" s="436" t="s">
        <v>144</v>
      </c>
      <c r="Z38" s="374" t="s">
        <v>144</v>
      </c>
    </row>
    <row r="39" spans="1:26" hidden="1" x14ac:dyDescent="0.35">
      <c r="A39" s="437" t="str">
        <f t="shared" si="0"/>
        <v>B02.00_0350_TYP_CLLTRL</v>
      </c>
      <c r="B39" s="368" t="s">
        <v>0</v>
      </c>
      <c r="C39" s="369" t="s">
        <v>970</v>
      </c>
      <c r="D39" s="370">
        <v>17</v>
      </c>
      <c r="E39" s="371" t="s">
        <v>1414</v>
      </c>
      <c r="F39" s="372">
        <v>9</v>
      </c>
      <c r="G39" s="435" t="s">
        <v>1415</v>
      </c>
      <c r="H39" s="372">
        <v>0</v>
      </c>
      <c r="I39" s="372">
        <v>9</v>
      </c>
      <c r="J39" s="435" t="s">
        <v>1415</v>
      </c>
      <c r="K39" s="372">
        <v>0</v>
      </c>
      <c r="L39" s="435" t="s">
        <v>1415</v>
      </c>
      <c r="M39" s="370">
        <v>0</v>
      </c>
      <c r="N39" s="435" t="s">
        <v>1415</v>
      </c>
      <c r="O39" s="372">
        <v>0</v>
      </c>
      <c r="P39" s="373">
        <v>0</v>
      </c>
      <c r="Q39" s="435" t="s">
        <v>1415</v>
      </c>
      <c r="R39" s="372">
        <v>9</v>
      </c>
      <c r="S39" s="373">
        <v>1</v>
      </c>
      <c r="T39" s="370" t="s">
        <v>890</v>
      </c>
      <c r="U39" s="370" t="s">
        <v>890</v>
      </c>
      <c r="V39" s="370">
        <v>0</v>
      </c>
      <c r="W39" s="370">
        <v>0</v>
      </c>
      <c r="X39" s="436"/>
      <c r="Y39" s="436" t="s">
        <v>144</v>
      </c>
      <c r="Z39" s="374" t="s">
        <v>144</v>
      </c>
    </row>
    <row r="40" spans="1:26" hidden="1" x14ac:dyDescent="0.35">
      <c r="A40" s="437" t="str">
        <f t="shared" si="0"/>
        <v>B02.00_0351_TYP_CLLTRL_OTHR</v>
      </c>
      <c r="B40" s="368" t="s">
        <v>0</v>
      </c>
      <c r="C40" s="369" t="s">
        <v>971</v>
      </c>
      <c r="D40" s="370">
        <v>17</v>
      </c>
      <c r="E40" s="371" t="s">
        <v>1414</v>
      </c>
      <c r="F40" s="372">
        <v>9</v>
      </c>
      <c r="G40" s="435" t="s">
        <v>1415</v>
      </c>
      <c r="H40" s="372">
        <v>0</v>
      </c>
      <c r="I40" s="372">
        <v>9</v>
      </c>
      <c r="J40" s="435" t="s">
        <v>1415</v>
      </c>
      <c r="K40" s="372">
        <v>0</v>
      </c>
      <c r="L40" s="435" t="s">
        <v>1415</v>
      </c>
      <c r="M40" s="370">
        <v>0</v>
      </c>
      <c r="N40" s="435" t="s">
        <v>1415</v>
      </c>
      <c r="O40" s="372">
        <v>0</v>
      </c>
      <c r="P40" s="373">
        <v>0</v>
      </c>
      <c r="Q40" s="435" t="s">
        <v>1415</v>
      </c>
      <c r="R40" s="372">
        <v>9</v>
      </c>
      <c r="S40" s="373">
        <v>1</v>
      </c>
      <c r="T40" s="370" t="s">
        <v>890</v>
      </c>
      <c r="U40" s="370" t="s">
        <v>890</v>
      </c>
      <c r="V40" s="370">
        <v>0</v>
      </c>
      <c r="W40" s="370">
        <v>8</v>
      </c>
      <c r="X40" s="436"/>
      <c r="Y40" s="436" t="s">
        <v>144</v>
      </c>
      <c r="Z40" s="374" t="s">
        <v>144</v>
      </c>
    </row>
    <row r="41" spans="1:26" hidden="1" x14ac:dyDescent="0.35">
      <c r="A41" s="437" t="str">
        <f t="shared" si="0"/>
        <v>B02.00_0360_TRDNG_MTHD</v>
      </c>
      <c r="B41" s="368" t="s">
        <v>0</v>
      </c>
      <c r="C41" s="369" t="s">
        <v>972</v>
      </c>
      <c r="D41" s="370">
        <v>18</v>
      </c>
      <c r="E41" s="371" t="s">
        <v>1414</v>
      </c>
      <c r="F41" s="372">
        <v>9</v>
      </c>
      <c r="G41" s="435" t="s">
        <v>1415</v>
      </c>
      <c r="H41" s="372">
        <v>0</v>
      </c>
      <c r="I41" s="372">
        <v>9</v>
      </c>
      <c r="J41" s="435" t="s">
        <v>1415</v>
      </c>
      <c r="K41" s="372">
        <v>0</v>
      </c>
      <c r="L41" s="435" t="s">
        <v>1415</v>
      </c>
      <c r="M41" s="370">
        <v>0</v>
      </c>
      <c r="N41" s="435" t="s">
        <v>1415</v>
      </c>
      <c r="O41" s="372">
        <v>0</v>
      </c>
      <c r="P41" s="373">
        <v>0</v>
      </c>
      <c r="Q41" s="435" t="s">
        <v>1415</v>
      </c>
      <c r="R41" s="372">
        <v>0</v>
      </c>
      <c r="S41" s="373">
        <v>0</v>
      </c>
      <c r="T41" s="370" t="s">
        <v>1382</v>
      </c>
      <c r="U41" s="370" t="s">
        <v>1383</v>
      </c>
      <c r="V41" s="370">
        <v>0</v>
      </c>
      <c r="W41" s="370">
        <v>0</v>
      </c>
      <c r="X41" s="436"/>
      <c r="Y41" s="436" t="s">
        <v>144</v>
      </c>
      <c r="Z41" s="374" t="s">
        <v>144</v>
      </c>
    </row>
    <row r="42" spans="1:26" hidden="1" x14ac:dyDescent="0.35">
      <c r="A42" s="437" t="str">
        <f t="shared" si="0"/>
        <v>B02.00_0370_AMNT_SCRTY_EUR</v>
      </c>
      <c r="B42" s="368" t="s">
        <v>0</v>
      </c>
      <c r="C42" s="369" t="s">
        <v>973</v>
      </c>
      <c r="D42" s="370">
        <v>23</v>
      </c>
      <c r="E42" s="371" t="s">
        <v>1414</v>
      </c>
      <c r="F42" s="372">
        <v>9</v>
      </c>
      <c r="G42" s="435" t="s">
        <v>1415</v>
      </c>
      <c r="H42" s="372">
        <v>0</v>
      </c>
      <c r="I42" s="372">
        <v>9</v>
      </c>
      <c r="J42" s="435" t="s">
        <v>1415</v>
      </c>
      <c r="K42" s="372">
        <v>0</v>
      </c>
      <c r="L42" s="435" t="s">
        <v>1415</v>
      </c>
      <c r="M42" s="370">
        <v>0</v>
      </c>
      <c r="N42" s="435" t="s">
        <v>1415</v>
      </c>
      <c r="O42" s="372">
        <v>0</v>
      </c>
      <c r="P42" s="373">
        <v>0</v>
      </c>
      <c r="Q42" s="435" t="s">
        <v>1415</v>
      </c>
      <c r="R42" s="372">
        <v>0</v>
      </c>
      <c r="S42" s="373">
        <v>0</v>
      </c>
      <c r="T42" s="370" t="s">
        <v>1306</v>
      </c>
      <c r="U42" s="370" t="s">
        <v>1307</v>
      </c>
      <c r="V42" s="370">
        <v>0</v>
      </c>
      <c r="W42" s="370">
        <v>0</v>
      </c>
      <c r="X42" s="436"/>
      <c r="Y42" s="436" t="s">
        <v>144</v>
      </c>
      <c r="Z42" s="374" t="s">
        <v>144</v>
      </c>
    </row>
    <row r="43" spans="1:26" hidden="1" x14ac:dyDescent="0.35">
      <c r="A43" s="437" t="str">
        <f t="shared" si="0"/>
        <v>B02.00_0380_AMNT_SCRTY_FX</v>
      </c>
      <c r="B43" s="368" t="s">
        <v>0</v>
      </c>
      <c r="C43" s="369" t="s">
        <v>974</v>
      </c>
      <c r="D43" s="370">
        <v>17</v>
      </c>
      <c r="E43" s="371" t="s">
        <v>1414</v>
      </c>
      <c r="F43" s="372">
        <v>9</v>
      </c>
      <c r="G43" s="435" t="s">
        <v>1415</v>
      </c>
      <c r="H43" s="372">
        <v>0</v>
      </c>
      <c r="I43" s="372">
        <v>9</v>
      </c>
      <c r="J43" s="435" t="s">
        <v>1415</v>
      </c>
      <c r="K43" s="372">
        <v>0</v>
      </c>
      <c r="L43" s="435" t="s">
        <v>1415</v>
      </c>
      <c r="M43" s="370">
        <v>0</v>
      </c>
      <c r="N43" s="435" t="s">
        <v>1415</v>
      </c>
      <c r="O43" s="372">
        <v>0</v>
      </c>
      <c r="P43" s="373">
        <v>0</v>
      </c>
      <c r="Q43" s="435" t="s">
        <v>1415</v>
      </c>
      <c r="R43" s="372">
        <v>0</v>
      </c>
      <c r="S43" s="373">
        <v>0</v>
      </c>
      <c r="T43" s="370" t="s">
        <v>1306</v>
      </c>
      <c r="U43" s="370" t="s">
        <v>1307</v>
      </c>
      <c r="V43" s="370">
        <v>0</v>
      </c>
      <c r="W43" s="370">
        <v>0</v>
      </c>
      <c r="X43" s="436"/>
      <c r="Y43" s="436" t="s">
        <v>144</v>
      </c>
      <c r="Z43" s="374" t="s">
        <v>144</v>
      </c>
    </row>
    <row r="44" spans="1:26" hidden="1" x14ac:dyDescent="0.35">
      <c r="A44" s="437" t="str">
        <f t="shared" si="0"/>
        <v>B02.00_0390_NMBR_SCRTS_NOT_RPRTNG_ENTTY</v>
      </c>
      <c r="B44" s="368" t="s">
        <v>0</v>
      </c>
      <c r="C44" s="369" t="s">
        <v>975</v>
      </c>
      <c r="D44" s="370">
        <v>18</v>
      </c>
      <c r="E44" s="371" t="s">
        <v>1414</v>
      </c>
      <c r="F44" s="372">
        <v>9</v>
      </c>
      <c r="G44" s="435" t="s">
        <v>1415</v>
      </c>
      <c r="H44" s="372">
        <v>0</v>
      </c>
      <c r="I44" s="372">
        <v>9</v>
      </c>
      <c r="J44" s="435" t="s">
        <v>1415</v>
      </c>
      <c r="K44" s="372">
        <v>0</v>
      </c>
      <c r="L44" s="435" t="s">
        <v>1415</v>
      </c>
      <c r="M44" s="370">
        <v>0</v>
      </c>
      <c r="N44" s="435" t="s">
        <v>1415</v>
      </c>
      <c r="O44" s="372">
        <v>0</v>
      </c>
      <c r="P44" s="373">
        <v>0</v>
      </c>
      <c r="Q44" s="435" t="s">
        <v>1415</v>
      </c>
      <c r="R44" s="372">
        <v>0</v>
      </c>
      <c r="S44" s="373">
        <v>0</v>
      </c>
      <c r="T44" s="370">
        <v>2000</v>
      </c>
      <c r="U44" s="370">
        <v>1385452938</v>
      </c>
      <c r="V44" s="370">
        <v>8</v>
      </c>
      <c r="W44" s="370">
        <v>8</v>
      </c>
      <c r="X44" s="436"/>
      <c r="Y44" s="436" t="s">
        <v>144</v>
      </c>
      <c r="Z44" s="374" t="s">
        <v>144</v>
      </c>
    </row>
    <row r="45" spans="1:26" hidden="1" x14ac:dyDescent="0.35">
      <c r="A45" s="437" t="str">
        <f t="shared" si="0"/>
        <v>B02.00_0391_NMBR_SCRTS_RPRTNG_ENTTY</v>
      </c>
      <c r="B45" s="368" t="s">
        <v>0</v>
      </c>
      <c r="C45" s="369" t="s">
        <v>976</v>
      </c>
      <c r="D45" s="370">
        <v>23</v>
      </c>
      <c r="E45" s="371" t="s">
        <v>1414</v>
      </c>
      <c r="F45" s="372">
        <v>9</v>
      </c>
      <c r="G45" s="435" t="s">
        <v>1415</v>
      </c>
      <c r="H45" s="372">
        <v>0</v>
      </c>
      <c r="I45" s="372">
        <v>9</v>
      </c>
      <c r="J45" s="435" t="s">
        <v>1415</v>
      </c>
      <c r="K45" s="372">
        <v>0</v>
      </c>
      <c r="L45" s="435" t="s">
        <v>1415</v>
      </c>
      <c r="M45" s="370">
        <v>0</v>
      </c>
      <c r="N45" s="435" t="s">
        <v>1415</v>
      </c>
      <c r="O45" s="372">
        <v>0</v>
      </c>
      <c r="P45" s="373">
        <v>0</v>
      </c>
      <c r="Q45" s="435" t="s">
        <v>1415</v>
      </c>
      <c r="R45" s="372">
        <v>0</v>
      </c>
      <c r="S45" s="373">
        <v>0</v>
      </c>
      <c r="T45" s="370" t="s">
        <v>1332</v>
      </c>
      <c r="U45" s="370" t="s">
        <v>1423</v>
      </c>
      <c r="V45" s="370">
        <v>8</v>
      </c>
      <c r="W45" s="370">
        <v>8</v>
      </c>
      <c r="X45" s="436"/>
      <c r="Y45" s="436" t="s">
        <v>144</v>
      </c>
      <c r="Z45" s="374" t="s">
        <v>144</v>
      </c>
    </row>
    <row r="46" spans="1:26" hidden="1" x14ac:dyDescent="0.35">
      <c r="A46" s="437" t="str">
        <f t="shared" si="0"/>
        <v>B02.00_0400_ACCRD_INTRST_SCRTY</v>
      </c>
      <c r="B46" s="368" t="s">
        <v>0</v>
      </c>
      <c r="C46" s="369" t="s">
        <v>977</v>
      </c>
      <c r="D46" s="370">
        <v>18</v>
      </c>
      <c r="E46" s="371" t="s">
        <v>1414</v>
      </c>
      <c r="F46" s="372">
        <v>9</v>
      </c>
      <c r="G46" s="435" t="s">
        <v>1415</v>
      </c>
      <c r="H46" s="372">
        <v>4</v>
      </c>
      <c r="I46" s="372">
        <v>9</v>
      </c>
      <c r="J46" s="435" t="s">
        <v>1415</v>
      </c>
      <c r="K46" s="372">
        <v>0</v>
      </c>
      <c r="L46" s="435" t="s">
        <v>1415</v>
      </c>
      <c r="M46" s="370">
        <v>0</v>
      </c>
      <c r="N46" s="435" t="s">
        <v>1415</v>
      </c>
      <c r="O46" s="372">
        <v>0</v>
      </c>
      <c r="P46" s="373">
        <v>0</v>
      </c>
      <c r="Q46" s="435" t="s">
        <v>1415</v>
      </c>
      <c r="R46" s="372">
        <v>0</v>
      </c>
      <c r="S46" s="373">
        <v>0</v>
      </c>
      <c r="T46" s="370" t="s">
        <v>1308</v>
      </c>
      <c r="U46" s="370" t="s">
        <v>1308</v>
      </c>
      <c r="V46" s="370">
        <v>8</v>
      </c>
      <c r="W46" s="370">
        <v>8</v>
      </c>
      <c r="X46" s="436"/>
      <c r="Y46" s="436" t="s">
        <v>144</v>
      </c>
      <c r="Z46" s="374" t="s">
        <v>911</v>
      </c>
    </row>
    <row r="47" spans="1:26" hidden="1" x14ac:dyDescent="0.35">
      <c r="A47" s="437" t="str">
        <f t="shared" si="0"/>
        <v>B02.00_0410_FEES_CHARGES_SCRTY</v>
      </c>
      <c r="B47" s="368" t="s">
        <v>0</v>
      </c>
      <c r="C47" s="369" t="s">
        <v>978</v>
      </c>
      <c r="D47" s="370">
        <v>17</v>
      </c>
      <c r="E47" s="371" t="s">
        <v>1414</v>
      </c>
      <c r="F47" s="372">
        <v>9</v>
      </c>
      <c r="G47" s="435" t="s">
        <v>1415</v>
      </c>
      <c r="H47" s="372">
        <v>0</v>
      </c>
      <c r="I47" s="372">
        <v>9</v>
      </c>
      <c r="J47" s="435" t="s">
        <v>1415</v>
      </c>
      <c r="K47" s="372">
        <v>0</v>
      </c>
      <c r="L47" s="435" t="s">
        <v>1415</v>
      </c>
      <c r="M47" s="370">
        <v>0</v>
      </c>
      <c r="N47" s="435" t="s">
        <v>1415</v>
      </c>
      <c r="O47" s="372">
        <v>0</v>
      </c>
      <c r="P47" s="373">
        <v>0</v>
      </c>
      <c r="Q47" s="435" t="s">
        <v>1415</v>
      </c>
      <c r="R47" s="372">
        <v>0</v>
      </c>
      <c r="S47" s="373">
        <v>0</v>
      </c>
      <c r="T47" s="370" t="s">
        <v>1308</v>
      </c>
      <c r="U47" s="370" t="s">
        <v>1308</v>
      </c>
      <c r="V47" s="370">
        <v>0</v>
      </c>
      <c r="W47" s="370">
        <v>0</v>
      </c>
      <c r="X47" s="436"/>
      <c r="Y47" s="436" t="s">
        <v>144</v>
      </c>
      <c r="Z47" s="374" t="s">
        <v>144</v>
      </c>
    </row>
    <row r="48" spans="1:26" hidden="1" x14ac:dyDescent="0.35">
      <c r="A48" s="437" t="str">
        <f t="shared" si="0"/>
        <v>B02.00_0420_FV_AMNT_SCRTY</v>
      </c>
      <c r="B48" s="368" t="s">
        <v>0</v>
      </c>
      <c r="C48" s="369" t="s">
        <v>979</v>
      </c>
      <c r="D48" s="370">
        <v>17</v>
      </c>
      <c r="E48" s="371" t="s">
        <v>1414</v>
      </c>
      <c r="F48" s="372">
        <v>9</v>
      </c>
      <c r="G48" s="435" t="s">
        <v>1415</v>
      </c>
      <c r="H48" s="372">
        <v>0</v>
      </c>
      <c r="I48" s="372">
        <v>9</v>
      </c>
      <c r="J48" s="435" t="s">
        <v>1415</v>
      </c>
      <c r="K48" s="372">
        <v>0</v>
      </c>
      <c r="L48" s="435" t="s">
        <v>1415</v>
      </c>
      <c r="M48" s="370">
        <v>0</v>
      </c>
      <c r="N48" s="435" t="s">
        <v>1415</v>
      </c>
      <c r="O48" s="372">
        <v>0</v>
      </c>
      <c r="P48" s="373">
        <v>0</v>
      </c>
      <c r="Q48" s="435" t="s">
        <v>1415</v>
      </c>
      <c r="R48" s="372">
        <v>0</v>
      </c>
      <c r="S48" s="373">
        <v>0</v>
      </c>
      <c r="T48" s="370" t="s">
        <v>1309</v>
      </c>
      <c r="U48" s="370" t="s">
        <v>1309</v>
      </c>
      <c r="V48" s="370">
        <v>0</v>
      </c>
      <c r="W48" s="370">
        <v>0</v>
      </c>
      <c r="X48" s="436"/>
      <c r="Y48" s="436" t="s">
        <v>144</v>
      </c>
      <c r="Z48" s="374" t="s">
        <v>144</v>
      </c>
    </row>
    <row r="49" spans="1:26" hidden="1" x14ac:dyDescent="0.35">
      <c r="A49" s="437" t="str">
        <f t="shared" si="0"/>
        <v>B02.00_0430_PRNCPL_AMNT_GLBL_NT_EUR</v>
      </c>
      <c r="B49" s="368" t="s">
        <v>0</v>
      </c>
      <c r="C49" s="369" t="s">
        <v>980</v>
      </c>
      <c r="D49" s="370">
        <v>17</v>
      </c>
      <c r="E49" s="371" t="s">
        <v>1414</v>
      </c>
      <c r="F49" s="372">
        <v>9</v>
      </c>
      <c r="G49" s="435" t="s">
        <v>1415</v>
      </c>
      <c r="H49" s="372">
        <v>0</v>
      </c>
      <c r="I49" s="372">
        <v>9</v>
      </c>
      <c r="J49" s="435" t="s">
        <v>1415</v>
      </c>
      <c r="K49" s="372">
        <v>0</v>
      </c>
      <c r="L49" s="435" t="s">
        <v>1415</v>
      </c>
      <c r="M49" s="370">
        <v>0</v>
      </c>
      <c r="N49" s="435" t="s">
        <v>1415</v>
      </c>
      <c r="O49" s="372">
        <v>0</v>
      </c>
      <c r="P49" s="373">
        <v>0</v>
      </c>
      <c r="Q49" s="435" t="s">
        <v>1415</v>
      </c>
      <c r="R49" s="372">
        <v>0</v>
      </c>
      <c r="S49" s="373">
        <v>0</v>
      </c>
      <c r="T49" s="370" t="s">
        <v>1290</v>
      </c>
      <c r="U49" s="370" t="s">
        <v>1290</v>
      </c>
      <c r="V49" s="370">
        <v>0</v>
      </c>
      <c r="W49" s="370">
        <v>0</v>
      </c>
      <c r="X49" s="436"/>
      <c r="Y49" s="436" t="s">
        <v>144</v>
      </c>
      <c r="Z49" s="374" t="s">
        <v>144</v>
      </c>
    </row>
    <row r="50" spans="1:26" hidden="1" x14ac:dyDescent="0.35">
      <c r="A50" s="437" t="str">
        <f t="shared" si="0"/>
        <v>B02.00_0431_PRNCPL_AMNT_GLBL_NT_FX</v>
      </c>
      <c r="B50" s="368" t="s">
        <v>0</v>
      </c>
      <c r="C50" s="369" t="s">
        <v>981</v>
      </c>
      <c r="D50" s="370">
        <v>17</v>
      </c>
      <c r="E50" s="371" t="s">
        <v>1414</v>
      </c>
      <c r="F50" s="372">
        <v>9</v>
      </c>
      <c r="G50" s="435" t="s">
        <v>1415</v>
      </c>
      <c r="H50" s="372">
        <v>0</v>
      </c>
      <c r="I50" s="372">
        <v>9</v>
      </c>
      <c r="J50" s="435" t="s">
        <v>1415</v>
      </c>
      <c r="K50" s="372">
        <v>0</v>
      </c>
      <c r="L50" s="435" t="s">
        <v>1415</v>
      </c>
      <c r="M50" s="370">
        <v>0</v>
      </c>
      <c r="N50" s="435" t="s">
        <v>1415</v>
      </c>
      <c r="O50" s="372">
        <v>0</v>
      </c>
      <c r="P50" s="373">
        <v>0</v>
      </c>
      <c r="Q50" s="435" t="s">
        <v>1415</v>
      </c>
      <c r="R50" s="372">
        <v>0</v>
      </c>
      <c r="S50" s="373">
        <v>0</v>
      </c>
      <c r="T50" s="370" t="s">
        <v>1290</v>
      </c>
      <c r="U50" s="370" t="s">
        <v>1290</v>
      </c>
      <c r="V50" s="370">
        <v>0</v>
      </c>
      <c r="W50" s="370">
        <v>0</v>
      </c>
      <c r="X50" s="436"/>
      <c r="Y50" s="436" t="s">
        <v>144</v>
      </c>
      <c r="Z50" s="374" t="s">
        <v>144</v>
      </c>
    </row>
    <row r="51" spans="1:26" hidden="1" x14ac:dyDescent="0.35">
      <c r="A51" s="437" t="str">
        <f t="shared" si="0"/>
        <v>B02.00_0440_NTR_GLBL_NT</v>
      </c>
      <c r="B51" s="368" t="s">
        <v>0</v>
      </c>
      <c r="C51" s="369" t="s">
        <v>982</v>
      </c>
      <c r="D51" s="370">
        <v>17</v>
      </c>
      <c r="E51" s="371" t="s">
        <v>1414</v>
      </c>
      <c r="F51" s="372">
        <v>9</v>
      </c>
      <c r="G51" s="435" t="s">
        <v>1415</v>
      </c>
      <c r="H51" s="372">
        <v>0</v>
      </c>
      <c r="I51" s="372">
        <v>9</v>
      </c>
      <c r="J51" s="435" t="s">
        <v>1415</v>
      </c>
      <c r="K51" s="372">
        <v>0</v>
      </c>
      <c r="L51" s="435" t="s">
        <v>1415</v>
      </c>
      <c r="M51" s="370">
        <v>0</v>
      </c>
      <c r="N51" s="435" t="s">
        <v>1415</v>
      </c>
      <c r="O51" s="372">
        <v>0</v>
      </c>
      <c r="P51" s="373">
        <v>0</v>
      </c>
      <c r="Q51" s="435" t="s">
        <v>1415</v>
      </c>
      <c r="R51" s="372">
        <v>9</v>
      </c>
      <c r="S51" s="373">
        <v>1</v>
      </c>
      <c r="T51" s="370" t="s">
        <v>890</v>
      </c>
      <c r="U51" s="370" t="s">
        <v>890</v>
      </c>
      <c r="V51" s="370">
        <v>0</v>
      </c>
      <c r="W51" s="370">
        <v>0</v>
      </c>
      <c r="X51" s="436"/>
      <c r="Y51" s="436" t="s">
        <v>144</v>
      </c>
      <c r="Z51" s="374" t="s">
        <v>144</v>
      </c>
    </row>
    <row r="52" spans="1:26" hidden="1" x14ac:dyDescent="0.35">
      <c r="A52" s="437" t="str">
        <f t="shared" si="0"/>
        <v>B02.00_0450_CRRNT_POOL_FCTR</v>
      </c>
      <c r="B52" s="368" t="s">
        <v>0</v>
      </c>
      <c r="C52" s="369" t="s">
        <v>983</v>
      </c>
      <c r="D52" s="370">
        <v>17</v>
      </c>
      <c r="E52" s="371" t="s">
        <v>1414</v>
      </c>
      <c r="F52" s="372">
        <v>9</v>
      </c>
      <c r="G52" s="435" t="s">
        <v>1415</v>
      </c>
      <c r="H52" s="372">
        <v>0</v>
      </c>
      <c r="I52" s="372">
        <v>9</v>
      </c>
      <c r="J52" s="435" t="s">
        <v>1415</v>
      </c>
      <c r="K52" s="372">
        <v>0</v>
      </c>
      <c r="L52" s="435" t="s">
        <v>1415</v>
      </c>
      <c r="M52" s="370">
        <v>0</v>
      </c>
      <c r="N52" s="435" t="s">
        <v>1415</v>
      </c>
      <c r="O52" s="372">
        <v>0</v>
      </c>
      <c r="P52" s="373">
        <v>0</v>
      </c>
      <c r="Q52" s="435" t="s">
        <v>1415</v>
      </c>
      <c r="R52" s="372">
        <v>9</v>
      </c>
      <c r="S52" s="373">
        <v>1</v>
      </c>
      <c r="T52" s="370" t="s">
        <v>1310</v>
      </c>
      <c r="U52" s="370" t="s">
        <v>1310</v>
      </c>
      <c r="V52" s="370">
        <v>0</v>
      </c>
      <c r="W52" s="370">
        <v>0</v>
      </c>
      <c r="X52" s="436"/>
      <c r="Y52" s="436" t="s">
        <v>144</v>
      </c>
      <c r="Z52" s="374" t="s">
        <v>144</v>
      </c>
    </row>
    <row r="53" spans="1:26" hidden="1" x14ac:dyDescent="0.35">
      <c r="A53" s="437" t="str">
        <f t="shared" si="0"/>
        <v>B02.00_0460_CSD</v>
      </c>
      <c r="B53" s="368" t="s">
        <v>0</v>
      </c>
      <c r="C53" s="369" t="s">
        <v>984</v>
      </c>
      <c r="D53" s="370">
        <v>17</v>
      </c>
      <c r="E53" s="371" t="s">
        <v>1414</v>
      </c>
      <c r="F53" s="372">
        <v>9</v>
      </c>
      <c r="G53" s="435" t="s">
        <v>1415</v>
      </c>
      <c r="H53" s="372">
        <v>0</v>
      </c>
      <c r="I53" s="372">
        <v>9</v>
      </c>
      <c r="J53" s="435" t="s">
        <v>1415</v>
      </c>
      <c r="K53" s="372">
        <v>0</v>
      </c>
      <c r="L53" s="435" t="s">
        <v>1415</v>
      </c>
      <c r="M53" s="370">
        <v>9</v>
      </c>
      <c r="N53" s="435" t="s">
        <v>1415</v>
      </c>
      <c r="O53" s="372">
        <v>0</v>
      </c>
      <c r="P53" s="373">
        <v>0</v>
      </c>
      <c r="Q53" s="435" t="s">
        <v>1415</v>
      </c>
      <c r="R53" s="372">
        <v>0</v>
      </c>
      <c r="S53" s="373">
        <v>0</v>
      </c>
      <c r="T53" s="370" t="s">
        <v>1311</v>
      </c>
      <c r="U53" s="370" t="s">
        <v>1311</v>
      </c>
      <c r="V53" s="370">
        <v>0</v>
      </c>
      <c r="W53" s="370">
        <v>0</v>
      </c>
      <c r="X53" s="436" t="s">
        <v>1424</v>
      </c>
      <c r="Y53" s="436" t="s">
        <v>144</v>
      </c>
      <c r="Z53" s="374" t="s">
        <v>144</v>
      </c>
    </row>
    <row r="54" spans="1:26" hidden="1" x14ac:dyDescent="0.35">
      <c r="A54" s="437" t="str">
        <f t="shared" si="0"/>
        <v>B02.00_0461_CSD_LEI</v>
      </c>
      <c r="B54" s="368" t="s">
        <v>0</v>
      </c>
      <c r="C54" s="369" t="s">
        <v>985</v>
      </c>
      <c r="D54" s="370">
        <v>17</v>
      </c>
      <c r="E54" s="371" t="s">
        <v>1414</v>
      </c>
      <c r="F54" s="372">
        <v>9</v>
      </c>
      <c r="G54" s="435" t="s">
        <v>1415</v>
      </c>
      <c r="H54" s="372">
        <v>0</v>
      </c>
      <c r="I54" s="372">
        <v>9</v>
      </c>
      <c r="J54" s="435" t="s">
        <v>1415</v>
      </c>
      <c r="K54" s="372">
        <v>0</v>
      </c>
      <c r="L54" s="435" t="s">
        <v>1415</v>
      </c>
      <c r="M54" s="370">
        <v>0</v>
      </c>
      <c r="N54" s="435" t="s">
        <v>1415</v>
      </c>
      <c r="O54" s="372">
        <v>0</v>
      </c>
      <c r="P54" s="373">
        <v>0</v>
      </c>
      <c r="Q54" s="435" t="s">
        <v>1415</v>
      </c>
      <c r="R54" s="372">
        <v>0</v>
      </c>
      <c r="S54" s="373">
        <v>0</v>
      </c>
      <c r="T54" s="370" t="s">
        <v>1312</v>
      </c>
      <c r="U54" s="370" t="s">
        <v>1312</v>
      </c>
      <c r="V54" s="370">
        <v>0</v>
      </c>
      <c r="W54" s="370">
        <v>0</v>
      </c>
      <c r="X54" s="436"/>
      <c r="Y54" s="436" t="s">
        <v>144</v>
      </c>
      <c r="Z54" s="374" t="s">
        <v>144</v>
      </c>
    </row>
    <row r="55" spans="1:26" hidden="1" x14ac:dyDescent="0.35">
      <c r="A55" s="437" t="str">
        <f t="shared" si="0"/>
        <v>B02.00_0462_CSD_OTHR</v>
      </c>
      <c r="B55" s="368" t="s">
        <v>0</v>
      </c>
      <c r="C55" s="369" t="s">
        <v>986</v>
      </c>
      <c r="D55" s="370">
        <v>17</v>
      </c>
      <c r="E55" s="371" t="s">
        <v>1414</v>
      </c>
      <c r="F55" s="372">
        <v>9</v>
      </c>
      <c r="G55" s="435" t="s">
        <v>1415</v>
      </c>
      <c r="H55" s="372">
        <v>0</v>
      </c>
      <c r="I55" s="372">
        <v>9</v>
      </c>
      <c r="J55" s="435" t="s">
        <v>1415</v>
      </c>
      <c r="K55" s="372">
        <v>0</v>
      </c>
      <c r="L55" s="435" t="s">
        <v>1415</v>
      </c>
      <c r="M55" s="370">
        <v>0</v>
      </c>
      <c r="N55" s="435" t="s">
        <v>1415</v>
      </c>
      <c r="O55" s="372">
        <v>0</v>
      </c>
      <c r="P55" s="373">
        <v>0</v>
      </c>
      <c r="Q55" s="435" t="s">
        <v>1415</v>
      </c>
      <c r="R55" s="372">
        <v>9</v>
      </c>
      <c r="S55" s="373">
        <v>1</v>
      </c>
      <c r="T55" s="370" t="s">
        <v>890</v>
      </c>
      <c r="U55" s="370" t="s">
        <v>890</v>
      </c>
      <c r="V55" s="370">
        <v>0</v>
      </c>
      <c r="W55" s="370">
        <v>8</v>
      </c>
      <c r="X55" s="436"/>
      <c r="Y55" s="436" t="s">
        <v>144</v>
      </c>
      <c r="Z55" s="374" t="s">
        <v>144</v>
      </c>
    </row>
    <row r="56" spans="1:26" hidden="1" x14ac:dyDescent="0.35">
      <c r="A56" s="437" t="str">
        <f t="shared" si="0"/>
        <v>B02.00_0470_PYNG_AGNT</v>
      </c>
      <c r="B56" s="368" t="s">
        <v>0</v>
      </c>
      <c r="C56" s="369" t="s">
        <v>987</v>
      </c>
      <c r="D56" s="370">
        <v>17</v>
      </c>
      <c r="E56" s="371" t="s">
        <v>1414</v>
      </c>
      <c r="F56" s="372">
        <v>9</v>
      </c>
      <c r="G56" s="435" t="s">
        <v>1415</v>
      </c>
      <c r="H56" s="372">
        <v>0</v>
      </c>
      <c r="I56" s="372">
        <v>9</v>
      </c>
      <c r="J56" s="435" t="s">
        <v>1415</v>
      </c>
      <c r="K56" s="372">
        <v>0</v>
      </c>
      <c r="L56" s="435" t="s">
        <v>1415</v>
      </c>
      <c r="M56" s="370">
        <v>0</v>
      </c>
      <c r="N56" s="435" t="s">
        <v>1415</v>
      </c>
      <c r="O56" s="372">
        <v>0</v>
      </c>
      <c r="P56" s="373">
        <v>0</v>
      </c>
      <c r="Q56" s="435" t="s">
        <v>1415</v>
      </c>
      <c r="R56" s="372">
        <v>0</v>
      </c>
      <c r="S56" s="373">
        <v>0</v>
      </c>
      <c r="T56" s="370" t="s">
        <v>1313</v>
      </c>
      <c r="U56" s="370" t="s">
        <v>1313</v>
      </c>
      <c r="V56" s="370">
        <v>0</v>
      </c>
      <c r="W56" s="370">
        <v>0</v>
      </c>
      <c r="X56" s="436"/>
      <c r="Y56" s="436" t="s">
        <v>144</v>
      </c>
      <c r="Z56" s="374" t="s">
        <v>144</v>
      </c>
    </row>
    <row r="57" spans="1:26" hidden="1" x14ac:dyDescent="0.35">
      <c r="A57" s="437" t="str">
        <f t="shared" si="0"/>
        <v>B02.00_0471_PYNG_AGNT_LEI</v>
      </c>
      <c r="B57" s="368" t="s">
        <v>0</v>
      </c>
      <c r="C57" s="369" t="s">
        <v>988</v>
      </c>
      <c r="D57" s="370">
        <v>17</v>
      </c>
      <c r="E57" s="371" t="s">
        <v>1414</v>
      </c>
      <c r="F57" s="372">
        <v>9</v>
      </c>
      <c r="G57" s="435" t="s">
        <v>1415</v>
      </c>
      <c r="H57" s="372">
        <v>0</v>
      </c>
      <c r="I57" s="372">
        <v>9</v>
      </c>
      <c r="J57" s="435" t="s">
        <v>1415</v>
      </c>
      <c r="K57" s="372">
        <v>0</v>
      </c>
      <c r="L57" s="435" t="s">
        <v>1415</v>
      </c>
      <c r="M57" s="370">
        <v>0</v>
      </c>
      <c r="N57" s="435" t="s">
        <v>1415</v>
      </c>
      <c r="O57" s="372">
        <v>0</v>
      </c>
      <c r="P57" s="373">
        <v>0</v>
      </c>
      <c r="Q57" s="435" t="s">
        <v>1415</v>
      </c>
      <c r="R57" s="372">
        <v>0</v>
      </c>
      <c r="S57" s="373">
        <v>0</v>
      </c>
      <c r="T57" s="370" t="s">
        <v>1314</v>
      </c>
      <c r="U57" s="370" t="s">
        <v>1314</v>
      </c>
      <c r="V57" s="370">
        <v>0</v>
      </c>
      <c r="W57" s="370">
        <v>0</v>
      </c>
      <c r="X57" s="436"/>
      <c r="Y57" s="436" t="s">
        <v>144</v>
      </c>
      <c r="Z57" s="374" t="s">
        <v>144</v>
      </c>
    </row>
    <row r="58" spans="1:26" hidden="1" x14ac:dyDescent="0.35">
      <c r="A58" s="437" t="str">
        <f t="shared" si="0"/>
        <v>B02.00_0480_TRDNG_VN</v>
      </c>
      <c r="B58" s="368" t="s">
        <v>0</v>
      </c>
      <c r="C58" s="369" t="s">
        <v>989</v>
      </c>
      <c r="D58" s="370">
        <v>17</v>
      </c>
      <c r="E58" s="371" t="s">
        <v>1414</v>
      </c>
      <c r="F58" s="372">
        <v>9</v>
      </c>
      <c r="G58" s="435" t="s">
        <v>1415</v>
      </c>
      <c r="H58" s="372">
        <v>0</v>
      </c>
      <c r="I58" s="372">
        <v>9</v>
      </c>
      <c r="J58" s="435" t="s">
        <v>1415</v>
      </c>
      <c r="K58" s="372">
        <v>0</v>
      </c>
      <c r="L58" s="435" t="s">
        <v>1415</v>
      </c>
      <c r="M58" s="370">
        <v>0</v>
      </c>
      <c r="N58" s="435" t="s">
        <v>1415</v>
      </c>
      <c r="O58" s="372">
        <v>0</v>
      </c>
      <c r="P58" s="373">
        <v>0</v>
      </c>
      <c r="Q58" s="435" t="s">
        <v>1415</v>
      </c>
      <c r="R58" s="372">
        <v>9</v>
      </c>
      <c r="S58" s="373">
        <v>1</v>
      </c>
      <c r="T58" s="370" t="s">
        <v>890</v>
      </c>
      <c r="U58" s="370" t="s">
        <v>890</v>
      </c>
      <c r="V58" s="370">
        <v>0</v>
      </c>
      <c r="W58" s="370">
        <v>0</v>
      </c>
      <c r="X58" s="436"/>
      <c r="Y58" s="436" t="s">
        <v>144</v>
      </c>
      <c r="Z58" s="374" t="s">
        <v>144</v>
      </c>
    </row>
    <row r="59" spans="1:26" hidden="1" x14ac:dyDescent="0.35">
      <c r="A59" s="437" t="str">
        <f t="shared" si="0"/>
        <v>B02.00_0481_TRDNG_VN_LEI</v>
      </c>
      <c r="B59" s="368" t="s">
        <v>0</v>
      </c>
      <c r="C59" s="369" t="s">
        <v>990</v>
      </c>
      <c r="D59" s="370">
        <v>17</v>
      </c>
      <c r="E59" s="371" t="s">
        <v>1414</v>
      </c>
      <c r="F59" s="372">
        <v>9</v>
      </c>
      <c r="G59" s="435" t="s">
        <v>1415</v>
      </c>
      <c r="H59" s="372">
        <v>0</v>
      </c>
      <c r="I59" s="372">
        <v>9</v>
      </c>
      <c r="J59" s="435" t="s">
        <v>1415</v>
      </c>
      <c r="K59" s="372">
        <v>0</v>
      </c>
      <c r="L59" s="435" t="s">
        <v>1415</v>
      </c>
      <c r="M59" s="370">
        <v>0</v>
      </c>
      <c r="N59" s="435" t="s">
        <v>1415</v>
      </c>
      <c r="O59" s="372">
        <v>0</v>
      </c>
      <c r="P59" s="373">
        <v>0</v>
      </c>
      <c r="Q59" s="435" t="s">
        <v>1415</v>
      </c>
      <c r="R59" s="372">
        <v>9</v>
      </c>
      <c r="S59" s="373">
        <v>1</v>
      </c>
      <c r="T59" s="370" t="s">
        <v>890</v>
      </c>
      <c r="U59" s="370" t="s">
        <v>890</v>
      </c>
      <c r="V59" s="370">
        <v>0</v>
      </c>
      <c r="W59" s="370">
        <v>0</v>
      </c>
      <c r="X59" s="436"/>
      <c r="Y59" s="436" t="s">
        <v>144</v>
      </c>
      <c r="Z59" s="374" t="s">
        <v>144</v>
      </c>
    </row>
    <row r="60" spans="1:26" hidden="1" x14ac:dyDescent="0.35">
      <c r="A60" s="437" t="str">
        <f t="shared" si="0"/>
        <v>B02.00_0490_RGSTRR</v>
      </c>
      <c r="B60" s="368" t="s">
        <v>0</v>
      </c>
      <c r="C60" s="369" t="s">
        <v>991</v>
      </c>
      <c r="D60" s="370">
        <v>16</v>
      </c>
      <c r="E60" s="371" t="s">
        <v>1414</v>
      </c>
      <c r="F60" s="372">
        <v>9</v>
      </c>
      <c r="G60" s="435" t="s">
        <v>1415</v>
      </c>
      <c r="H60" s="372">
        <v>0</v>
      </c>
      <c r="I60" s="372">
        <v>9</v>
      </c>
      <c r="J60" s="435" t="s">
        <v>1415</v>
      </c>
      <c r="K60" s="372">
        <v>0</v>
      </c>
      <c r="L60" s="435" t="s">
        <v>1415</v>
      </c>
      <c r="M60" s="370">
        <v>9</v>
      </c>
      <c r="N60" s="435" t="s">
        <v>1415</v>
      </c>
      <c r="O60" s="372">
        <v>0</v>
      </c>
      <c r="P60" s="373">
        <v>0</v>
      </c>
      <c r="Q60" s="435" t="s">
        <v>1415</v>
      </c>
      <c r="R60" s="372">
        <v>0</v>
      </c>
      <c r="S60" s="373">
        <v>0</v>
      </c>
      <c r="T60" s="370" t="s">
        <v>1311</v>
      </c>
      <c r="U60" s="370" t="s">
        <v>1311</v>
      </c>
      <c r="V60" s="370">
        <v>0</v>
      </c>
      <c r="W60" s="370">
        <v>0</v>
      </c>
      <c r="X60" s="436" t="s">
        <v>1424</v>
      </c>
      <c r="Y60" s="436" t="s">
        <v>144</v>
      </c>
      <c r="Z60" s="374" t="s">
        <v>144</v>
      </c>
    </row>
    <row r="61" spans="1:26" hidden="1" x14ac:dyDescent="0.35">
      <c r="A61" s="437" t="str">
        <f t="shared" si="0"/>
        <v>B02.00_0491_RGSTRR_LEI</v>
      </c>
      <c r="B61" s="368" t="s">
        <v>0</v>
      </c>
      <c r="C61" s="369" t="s">
        <v>992</v>
      </c>
      <c r="D61" s="370">
        <v>17</v>
      </c>
      <c r="E61" s="371" t="s">
        <v>1414</v>
      </c>
      <c r="F61" s="372">
        <v>9</v>
      </c>
      <c r="G61" s="435" t="s">
        <v>1415</v>
      </c>
      <c r="H61" s="372">
        <v>0</v>
      </c>
      <c r="I61" s="372">
        <v>9</v>
      </c>
      <c r="J61" s="435" t="s">
        <v>1415</v>
      </c>
      <c r="K61" s="372">
        <v>0</v>
      </c>
      <c r="L61" s="435" t="s">
        <v>1415</v>
      </c>
      <c r="M61" s="370">
        <v>0</v>
      </c>
      <c r="N61" s="435" t="s">
        <v>1415</v>
      </c>
      <c r="O61" s="372">
        <v>0</v>
      </c>
      <c r="P61" s="373">
        <v>0</v>
      </c>
      <c r="Q61" s="435" t="s">
        <v>1415</v>
      </c>
      <c r="R61" s="372">
        <v>0</v>
      </c>
      <c r="S61" s="373">
        <v>0</v>
      </c>
      <c r="T61" s="370" t="s">
        <v>1312</v>
      </c>
      <c r="U61" s="370" t="s">
        <v>1312</v>
      </c>
      <c r="V61" s="370">
        <v>0</v>
      </c>
      <c r="W61" s="370">
        <v>0</v>
      </c>
      <c r="X61" s="436"/>
      <c r="Y61" s="436" t="s">
        <v>144</v>
      </c>
      <c r="Z61" s="374" t="s">
        <v>144</v>
      </c>
    </row>
    <row r="62" spans="1:26" hidden="1" x14ac:dyDescent="0.35">
      <c r="A62" s="437" t="str">
        <f t="shared" si="0"/>
        <v>B02.00_0500_NNA</v>
      </c>
      <c r="B62" s="368" t="s">
        <v>0</v>
      </c>
      <c r="C62" s="369" t="s">
        <v>993</v>
      </c>
      <c r="D62" s="370">
        <v>17</v>
      </c>
      <c r="E62" s="371" t="s">
        <v>1414</v>
      </c>
      <c r="F62" s="372">
        <v>9</v>
      </c>
      <c r="G62" s="435" t="s">
        <v>1415</v>
      </c>
      <c r="H62" s="372">
        <v>0</v>
      </c>
      <c r="I62" s="372">
        <v>9</v>
      </c>
      <c r="J62" s="435" t="s">
        <v>1415</v>
      </c>
      <c r="K62" s="372">
        <v>0</v>
      </c>
      <c r="L62" s="435" t="s">
        <v>1415</v>
      </c>
      <c r="M62" s="370">
        <v>9</v>
      </c>
      <c r="N62" s="435" t="s">
        <v>1415</v>
      </c>
      <c r="O62" s="372">
        <v>0</v>
      </c>
      <c r="P62" s="373">
        <v>0</v>
      </c>
      <c r="Q62" s="435" t="s">
        <v>1415</v>
      </c>
      <c r="R62" s="372">
        <v>0</v>
      </c>
      <c r="S62" s="373">
        <v>0</v>
      </c>
      <c r="T62" s="370" t="s">
        <v>1311</v>
      </c>
      <c r="U62" s="370" t="s">
        <v>1311</v>
      </c>
      <c r="V62" s="370">
        <v>0</v>
      </c>
      <c r="W62" s="370">
        <v>0</v>
      </c>
      <c r="X62" s="436" t="s">
        <v>1424</v>
      </c>
      <c r="Y62" s="436" t="s">
        <v>144</v>
      </c>
      <c r="Z62" s="374" t="s">
        <v>144</v>
      </c>
    </row>
    <row r="63" spans="1:26" hidden="1" x14ac:dyDescent="0.35">
      <c r="A63" s="437" t="str">
        <f t="shared" si="0"/>
        <v>B02.00_0501_NNA_LEI</v>
      </c>
      <c r="B63" s="368" t="s">
        <v>0</v>
      </c>
      <c r="C63" s="369" t="s">
        <v>994</v>
      </c>
      <c r="D63" s="370">
        <v>17</v>
      </c>
      <c r="E63" s="371" t="s">
        <v>1414</v>
      </c>
      <c r="F63" s="372">
        <v>9</v>
      </c>
      <c r="G63" s="435" t="s">
        <v>1415</v>
      </c>
      <c r="H63" s="372">
        <v>0</v>
      </c>
      <c r="I63" s="372">
        <v>9</v>
      </c>
      <c r="J63" s="435" t="s">
        <v>1415</v>
      </c>
      <c r="K63" s="372">
        <v>0</v>
      </c>
      <c r="L63" s="435" t="s">
        <v>1415</v>
      </c>
      <c r="M63" s="370">
        <v>0</v>
      </c>
      <c r="N63" s="435" t="s">
        <v>1415</v>
      </c>
      <c r="O63" s="372">
        <v>0</v>
      </c>
      <c r="P63" s="373">
        <v>0</v>
      </c>
      <c r="Q63" s="435" t="s">
        <v>1415</v>
      </c>
      <c r="R63" s="372">
        <v>0</v>
      </c>
      <c r="S63" s="373">
        <v>0</v>
      </c>
      <c r="T63" s="370" t="s">
        <v>1312</v>
      </c>
      <c r="U63" s="370" t="s">
        <v>1312</v>
      </c>
      <c r="V63" s="370">
        <v>0</v>
      </c>
      <c r="W63" s="370">
        <v>0</v>
      </c>
      <c r="X63" s="436"/>
      <c r="Y63" s="436" t="s">
        <v>144</v>
      </c>
      <c r="Z63" s="374" t="s">
        <v>144</v>
      </c>
    </row>
    <row r="64" spans="1:26" hidden="1" x14ac:dyDescent="0.35">
      <c r="A64" s="437" t="str">
        <f t="shared" si="0"/>
        <v>B02.00_0510_CMMN_DPSTRY</v>
      </c>
      <c r="B64" s="368" t="s">
        <v>0</v>
      </c>
      <c r="C64" s="369" t="s">
        <v>995</v>
      </c>
      <c r="D64" s="370">
        <v>17</v>
      </c>
      <c r="E64" s="371" t="s">
        <v>1414</v>
      </c>
      <c r="F64" s="372">
        <v>9</v>
      </c>
      <c r="G64" s="435" t="s">
        <v>1415</v>
      </c>
      <c r="H64" s="372">
        <v>0</v>
      </c>
      <c r="I64" s="372">
        <v>9</v>
      </c>
      <c r="J64" s="435" t="s">
        <v>1415</v>
      </c>
      <c r="K64" s="372">
        <v>0</v>
      </c>
      <c r="L64" s="435" t="s">
        <v>1415</v>
      </c>
      <c r="M64" s="370">
        <v>0</v>
      </c>
      <c r="N64" s="435" t="s">
        <v>1415</v>
      </c>
      <c r="O64" s="372">
        <v>0</v>
      </c>
      <c r="P64" s="373">
        <v>0</v>
      </c>
      <c r="Q64" s="435" t="s">
        <v>1415</v>
      </c>
      <c r="R64" s="372">
        <v>9</v>
      </c>
      <c r="S64" s="373">
        <v>1</v>
      </c>
      <c r="T64" s="370" t="s">
        <v>890</v>
      </c>
      <c r="U64" s="370" t="s">
        <v>890</v>
      </c>
      <c r="V64" s="370">
        <v>0</v>
      </c>
      <c r="W64" s="370">
        <v>0</v>
      </c>
      <c r="X64" s="436"/>
      <c r="Y64" s="436" t="s">
        <v>144</v>
      </c>
      <c r="Z64" s="374" t="s">
        <v>144</v>
      </c>
    </row>
    <row r="65" spans="1:26" hidden="1" x14ac:dyDescent="0.35">
      <c r="A65" s="437" t="str">
        <f t="shared" si="0"/>
        <v>B02.00_0511_CMMN_DPSTRY_LEI</v>
      </c>
      <c r="B65" s="368" t="s">
        <v>0</v>
      </c>
      <c r="C65" s="369" t="s">
        <v>996</v>
      </c>
      <c r="D65" s="370">
        <v>17</v>
      </c>
      <c r="E65" s="371" t="s">
        <v>1414</v>
      </c>
      <c r="F65" s="372">
        <v>9</v>
      </c>
      <c r="G65" s="435" t="s">
        <v>1415</v>
      </c>
      <c r="H65" s="372">
        <v>0</v>
      </c>
      <c r="I65" s="372">
        <v>9</v>
      </c>
      <c r="J65" s="435" t="s">
        <v>1415</v>
      </c>
      <c r="K65" s="372">
        <v>0</v>
      </c>
      <c r="L65" s="435" t="s">
        <v>1415</v>
      </c>
      <c r="M65" s="370">
        <v>0</v>
      </c>
      <c r="N65" s="435" t="s">
        <v>1415</v>
      </c>
      <c r="O65" s="372">
        <v>0</v>
      </c>
      <c r="P65" s="373">
        <v>0</v>
      </c>
      <c r="Q65" s="435" t="s">
        <v>1415</v>
      </c>
      <c r="R65" s="372">
        <v>9</v>
      </c>
      <c r="S65" s="373">
        <v>1</v>
      </c>
      <c r="T65" s="370" t="s">
        <v>890</v>
      </c>
      <c r="U65" s="370" t="s">
        <v>890</v>
      </c>
      <c r="V65" s="370">
        <v>0</v>
      </c>
      <c r="W65" s="370">
        <v>0</v>
      </c>
      <c r="X65" s="436"/>
      <c r="Y65" s="436" t="s">
        <v>144</v>
      </c>
      <c r="Z65" s="374" t="s">
        <v>144</v>
      </c>
    </row>
    <row r="66" spans="1:26" hidden="1" x14ac:dyDescent="0.35">
      <c r="A66" s="437" t="str">
        <f t="shared" si="0"/>
        <v>B02.00_0520_CMMN_SRVC_PRVDR</v>
      </c>
      <c r="B66" s="368" t="s">
        <v>0</v>
      </c>
      <c r="C66" s="369" t="s">
        <v>997</v>
      </c>
      <c r="D66" s="370">
        <v>17</v>
      </c>
      <c r="E66" s="371" t="s">
        <v>1414</v>
      </c>
      <c r="F66" s="372">
        <v>9</v>
      </c>
      <c r="G66" s="435" t="s">
        <v>1415</v>
      </c>
      <c r="H66" s="372">
        <v>0</v>
      </c>
      <c r="I66" s="372">
        <v>9</v>
      </c>
      <c r="J66" s="435" t="s">
        <v>1415</v>
      </c>
      <c r="K66" s="372">
        <v>0</v>
      </c>
      <c r="L66" s="435" t="s">
        <v>1415</v>
      </c>
      <c r="M66" s="370">
        <v>0</v>
      </c>
      <c r="N66" s="435" t="s">
        <v>1415</v>
      </c>
      <c r="O66" s="372">
        <v>0</v>
      </c>
      <c r="P66" s="373">
        <v>0</v>
      </c>
      <c r="Q66" s="435" t="s">
        <v>1415</v>
      </c>
      <c r="R66" s="372">
        <v>9</v>
      </c>
      <c r="S66" s="373">
        <v>1</v>
      </c>
      <c r="T66" s="370" t="s">
        <v>890</v>
      </c>
      <c r="U66" s="370" t="s">
        <v>890</v>
      </c>
      <c r="V66" s="370">
        <v>0</v>
      </c>
      <c r="W66" s="370">
        <v>0</v>
      </c>
      <c r="X66" s="436"/>
      <c r="Y66" s="436" t="s">
        <v>144</v>
      </c>
      <c r="Z66" s="374" t="s">
        <v>144</v>
      </c>
    </row>
    <row r="67" spans="1:26" hidden="1" x14ac:dyDescent="0.35">
      <c r="A67" s="437" t="str">
        <f t="shared" ref="A67:A130" si="1">+B67&amp;"_"&amp;C67</f>
        <v>B02.00_0521_CMMN_SRVC_PRVDR_LEI</v>
      </c>
      <c r="B67" s="368" t="s">
        <v>0</v>
      </c>
      <c r="C67" s="369" t="s">
        <v>998</v>
      </c>
      <c r="D67" s="370">
        <v>17</v>
      </c>
      <c r="E67" s="371" t="s">
        <v>1414</v>
      </c>
      <c r="F67" s="372">
        <v>9</v>
      </c>
      <c r="G67" s="435" t="s">
        <v>1415</v>
      </c>
      <c r="H67" s="372">
        <v>0</v>
      </c>
      <c r="I67" s="372">
        <v>9</v>
      </c>
      <c r="J67" s="435" t="s">
        <v>1415</v>
      </c>
      <c r="K67" s="372">
        <v>0</v>
      </c>
      <c r="L67" s="435" t="s">
        <v>1415</v>
      </c>
      <c r="M67" s="370">
        <v>0</v>
      </c>
      <c r="N67" s="435" t="s">
        <v>1415</v>
      </c>
      <c r="O67" s="372">
        <v>0</v>
      </c>
      <c r="P67" s="373">
        <v>0</v>
      </c>
      <c r="Q67" s="435" t="s">
        <v>1415</v>
      </c>
      <c r="R67" s="372">
        <v>9</v>
      </c>
      <c r="S67" s="373">
        <v>1</v>
      </c>
      <c r="T67" s="370" t="s">
        <v>890</v>
      </c>
      <c r="U67" s="370" t="s">
        <v>890</v>
      </c>
      <c r="V67" s="370">
        <v>0</v>
      </c>
      <c r="W67" s="370">
        <v>0</v>
      </c>
      <c r="X67" s="436"/>
      <c r="Y67" s="436" t="s">
        <v>144</v>
      </c>
      <c r="Z67" s="374" t="s">
        <v>144</v>
      </c>
    </row>
    <row r="68" spans="1:26" hidden="1" x14ac:dyDescent="0.35">
      <c r="A68" s="437" t="str">
        <f t="shared" si="1"/>
        <v>B02.00_0530_TYP_OWN_FNDS_IND_LVL</v>
      </c>
      <c r="B68" s="368" t="s">
        <v>0</v>
      </c>
      <c r="C68" s="369" t="s">
        <v>999</v>
      </c>
      <c r="D68" s="370">
        <v>23</v>
      </c>
      <c r="E68" s="371" t="s">
        <v>1414</v>
      </c>
      <c r="F68" s="372">
        <v>9</v>
      </c>
      <c r="G68" s="435" t="s">
        <v>1415</v>
      </c>
      <c r="H68" s="372">
        <v>0</v>
      </c>
      <c r="I68" s="372">
        <v>9</v>
      </c>
      <c r="J68" s="435" t="s">
        <v>1415</v>
      </c>
      <c r="K68" s="372">
        <v>0</v>
      </c>
      <c r="L68" s="435" t="s">
        <v>1415</v>
      </c>
      <c r="M68" s="370">
        <v>0</v>
      </c>
      <c r="N68" s="435" t="s">
        <v>1415</v>
      </c>
      <c r="O68" s="372">
        <v>0</v>
      </c>
      <c r="P68" s="373">
        <v>0</v>
      </c>
      <c r="Q68" s="435" t="s">
        <v>1415</v>
      </c>
      <c r="R68" s="372">
        <v>0</v>
      </c>
      <c r="S68" s="373">
        <v>0</v>
      </c>
      <c r="T68" s="370" t="s">
        <v>1315</v>
      </c>
      <c r="U68" s="370" t="s">
        <v>1408</v>
      </c>
      <c r="V68" s="370">
        <v>0</v>
      </c>
      <c r="W68" s="370">
        <v>0</v>
      </c>
      <c r="X68" s="436" t="s">
        <v>1316</v>
      </c>
      <c r="Y68" s="436" t="s">
        <v>144</v>
      </c>
      <c r="Z68" s="374" t="s">
        <v>144</v>
      </c>
    </row>
    <row r="69" spans="1:26" hidden="1" x14ac:dyDescent="0.35">
      <c r="A69" s="437" t="str">
        <f t="shared" si="1"/>
        <v>B02.00_0540_ELGBL_AMNT_OWN_FNDS_IND_LVL</v>
      </c>
      <c r="B69" s="368" t="s">
        <v>0</v>
      </c>
      <c r="C69" s="369" t="s">
        <v>1000</v>
      </c>
      <c r="D69" s="370">
        <v>17</v>
      </c>
      <c r="E69" s="371" t="s">
        <v>1414</v>
      </c>
      <c r="F69" s="372">
        <v>9</v>
      </c>
      <c r="G69" s="435" t="s">
        <v>1415</v>
      </c>
      <c r="H69" s="372">
        <v>0</v>
      </c>
      <c r="I69" s="372">
        <v>9</v>
      </c>
      <c r="J69" s="435" t="s">
        <v>1415</v>
      </c>
      <c r="K69" s="372">
        <v>0</v>
      </c>
      <c r="L69" s="435" t="s">
        <v>1415</v>
      </c>
      <c r="M69" s="370">
        <v>0</v>
      </c>
      <c r="N69" s="435" t="s">
        <v>1415</v>
      </c>
      <c r="O69" s="372">
        <v>0</v>
      </c>
      <c r="P69" s="373">
        <v>0</v>
      </c>
      <c r="Q69" s="435" t="s">
        <v>1415</v>
      </c>
      <c r="R69" s="372">
        <v>0</v>
      </c>
      <c r="S69" s="373">
        <v>0</v>
      </c>
      <c r="T69" s="370" t="s">
        <v>1292</v>
      </c>
      <c r="U69" s="370" t="s">
        <v>1317</v>
      </c>
      <c r="V69" s="370">
        <v>0</v>
      </c>
      <c r="W69" s="370">
        <v>0</v>
      </c>
      <c r="X69" s="436"/>
      <c r="Y69" s="436" t="s">
        <v>144</v>
      </c>
      <c r="Z69" s="374" t="s">
        <v>144</v>
      </c>
    </row>
    <row r="70" spans="1:26" hidden="1" x14ac:dyDescent="0.35">
      <c r="A70" s="437" t="str">
        <f t="shared" si="1"/>
        <v>B02.00_0550_TYP_OWN_FNDS_CNSLDTD_LVL</v>
      </c>
      <c r="B70" s="368" t="s">
        <v>0</v>
      </c>
      <c r="C70" s="369" t="s">
        <v>1001</v>
      </c>
      <c r="D70" s="370">
        <v>23</v>
      </c>
      <c r="E70" s="371" t="s">
        <v>1414</v>
      </c>
      <c r="F70" s="372">
        <v>9</v>
      </c>
      <c r="G70" s="435" t="s">
        <v>1415</v>
      </c>
      <c r="H70" s="372">
        <v>0</v>
      </c>
      <c r="I70" s="372">
        <v>9</v>
      </c>
      <c r="J70" s="435" t="s">
        <v>1415</v>
      </c>
      <c r="K70" s="372">
        <v>0</v>
      </c>
      <c r="L70" s="435" t="s">
        <v>1415</v>
      </c>
      <c r="M70" s="370">
        <v>0</v>
      </c>
      <c r="N70" s="435" t="s">
        <v>1415</v>
      </c>
      <c r="O70" s="372">
        <v>0</v>
      </c>
      <c r="P70" s="373">
        <v>0</v>
      </c>
      <c r="Q70" s="435" t="s">
        <v>1415</v>
      </c>
      <c r="R70" s="372">
        <v>0</v>
      </c>
      <c r="S70" s="373">
        <v>0</v>
      </c>
      <c r="T70" s="370" t="s">
        <v>1315</v>
      </c>
      <c r="U70" s="370" t="s">
        <v>1408</v>
      </c>
      <c r="V70" s="370">
        <v>0</v>
      </c>
      <c r="W70" s="370">
        <v>0</v>
      </c>
      <c r="X70" s="436" t="s">
        <v>1316</v>
      </c>
      <c r="Y70" s="436" t="s">
        <v>144</v>
      </c>
      <c r="Z70" s="374" t="s">
        <v>144</v>
      </c>
    </row>
    <row r="71" spans="1:26" hidden="1" x14ac:dyDescent="0.35">
      <c r="A71" s="437" t="str">
        <f t="shared" si="1"/>
        <v>B02.00_0560_ELGBL_AMNT_OWN_FNDS_CNSLDTD_LVL</v>
      </c>
      <c r="B71" s="368" t="s">
        <v>0</v>
      </c>
      <c r="C71" s="369" t="s">
        <v>1002</v>
      </c>
      <c r="D71" s="370">
        <v>17</v>
      </c>
      <c r="E71" s="371" t="s">
        <v>1414</v>
      </c>
      <c r="F71" s="372">
        <v>9</v>
      </c>
      <c r="G71" s="435" t="s">
        <v>1415</v>
      </c>
      <c r="H71" s="372">
        <v>0</v>
      </c>
      <c r="I71" s="372">
        <v>9</v>
      </c>
      <c r="J71" s="435" t="s">
        <v>1415</v>
      </c>
      <c r="K71" s="372">
        <v>0</v>
      </c>
      <c r="L71" s="435" t="s">
        <v>1415</v>
      </c>
      <c r="M71" s="370">
        <v>0</v>
      </c>
      <c r="N71" s="435" t="s">
        <v>1415</v>
      </c>
      <c r="O71" s="372">
        <v>0</v>
      </c>
      <c r="P71" s="373">
        <v>0</v>
      </c>
      <c r="Q71" s="435" t="s">
        <v>1415</v>
      </c>
      <c r="R71" s="372">
        <v>0</v>
      </c>
      <c r="S71" s="373">
        <v>0</v>
      </c>
      <c r="T71" s="370" t="s">
        <v>1292</v>
      </c>
      <c r="U71" s="370" t="s">
        <v>1317</v>
      </c>
      <c r="V71" s="370">
        <v>0</v>
      </c>
      <c r="W71" s="370">
        <v>0</v>
      </c>
      <c r="X71" s="436"/>
      <c r="Y71" s="436" t="s">
        <v>144</v>
      </c>
      <c r="Z71" s="374" t="s">
        <v>144</v>
      </c>
    </row>
    <row r="72" spans="1:26" hidden="1" x14ac:dyDescent="0.35">
      <c r="A72" s="437" t="str">
        <f t="shared" si="1"/>
        <v>B02.00_0570_AMNT_SCRTY_INTRST_PRVDD</v>
      </c>
      <c r="B72" s="368" t="s">
        <v>0</v>
      </c>
      <c r="C72" s="369" t="s">
        <v>1003</v>
      </c>
      <c r="D72" s="370">
        <v>17</v>
      </c>
      <c r="E72" s="371" t="s">
        <v>1414</v>
      </c>
      <c r="F72" s="372">
        <v>9</v>
      </c>
      <c r="G72" s="435" t="s">
        <v>1415</v>
      </c>
      <c r="H72" s="372">
        <v>0</v>
      </c>
      <c r="I72" s="372">
        <v>9</v>
      </c>
      <c r="J72" s="435" t="s">
        <v>1415</v>
      </c>
      <c r="K72" s="372">
        <v>0</v>
      </c>
      <c r="L72" s="435" t="s">
        <v>1415</v>
      </c>
      <c r="M72" s="370">
        <v>0</v>
      </c>
      <c r="N72" s="435" t="s">
        <v>1415</v>
      </c>
      <c r="O72" s="372">
        <v>0</v>
      </c>
      <c r="P72" s="373">
        <v>0</v>
      </c>
      <c r="Q72" s="435" t="s">
        <v>1415</v>
      </c>
      <c r="R72" s="372">
        <v>0</v>
      </c>
      <c r="S72" s="373">
        <v>0</v>
      </c>
      <c r="T72" s="370" t="s">
        <v>1292</v>
      </c>
      <c r="U72" s="370" t="s">
        <v>1292</v>
      </c>
      <c r="V72" s="370">
        <v>0</v>
      </c>
      <c r="W72" s="370">
        <v>0</v>
      </c>
      <c r="X72" s="436"/>
      <c r="Y72" s="436" t="s">
        <v>144</v>
      </c>
      <c r="Z72" s="374" t="s">
        <v>144</v>
      </c>
    </row>
    <row r="73" spans="1:26" hidden="1" x14ac:dyDescent="0.35">
      <c r="A73" s="437" t="str">
        <f t="shared" si="1"/>
        <v>B02.00_0580_SCRTY_INTRST_PRVDR</v>
      </c>
      <c r="B73" s="368" t="s">
        <v>0</v>
      </c>
      <c r="C73" s="369" t="s">
        <v>1004</v>
      </c>
      <c r="D73" s="370">
        <v>17</v>
      </c>
      <c r="E73" s="371" t="s">
        <v>1414</v>
      </c>
      <c r="F73" s="372">
        <v>9</v>
      </c>
      <c r="G73" s="435" t="s">
        <v>1415</v>
      </c>
      <c r="H73" s="372">
        <v>0</v>
      </c>
      <c r="I73" s="372">
        <v>9</v>
      </c>
      <c r="J73" s="435" t="s">
        <v>1415</v>
      </c>
      <c r="K73" s="372">
        <v>0</v>
      </c>
      <c r="L73" s="435" t="s">
        <v>1415</v>
      </c>
      <c r="M73" s="370">
        <v>0</v>
      </c>
      <c r="N73" s="435" t="s">
        <v>1415</v>
      </c>
      <c r="O73" s="372">
        <v>0</v>
      </c>
      <c r="P73" s="373">
        <v>0</v>
      </c>
      <c r="Q73" s="435" t="s">
        <v>1415</v>
      </c>
      <c r="R73" s="372">
        <v>9</v>
      </c>
      <c r="S73" s="373">
        <v>1</v>
      </c>
      <c r="T73" s="370" t="s">
        <v>890</v>
      </c>
      <c r="U73" s="370" t="s">
        <v>890</v>
      </c>
      <c r="V73" s="370">
        <v>0</v>
      </c>
      <c r="W73" s="370">
        <v>0</v>
      </c>
      <c r="X73" s="436"/>
      <c r="Y73" s="436" t="s">
        <v>144</v>
      </c>
      <c r="Z73" s="374" t="s">
        <v>144</v>
      </c>
    </row>
    <row r="74" spans="1:26" hidden="1" x14ac:dyDescent="0.35">
      <c r="A74" s="437" t="str">
        <f t="shared" si="1"/>
        <v>B02.00_0581_SCRTY_INTRST_PRVDR_LEI</v>
      </c>
      <c r="B74" s="368" t="s">
        <v>0</v>
      </c>
      <c r="C74" s="369" t="s">
        <v>1005</v>
      </c>
      <c r="D74" s="370">
        <v>17</v>
      </c>
      <c r="E74" s="371" t="s">
        <v>1414</v>
      </c>
      <c r="F74" s="372">
        <v>9</v>
      </c>
      <c r="G74" s="435" t="s">
        <v>1415</v>
      </c>
      <c r="H74" s="372">
        <v>0</v>
      </c>
      <c r="I74" s="372">
        <v>9</v>
      </c>
      <c r="J74" s="435" t="s">
        <v>1415</v>
      </c>
      <c r="K74" s="372">
        <v>0</v>
      </c>
      <c r="L74" s="435" t="s">
        <v>1415</v>
      </c>
      <c r="M74" s="370">
        <v>0</v>
      </c>
      <c r="N74" s="435" t="s">
        <v>1415</v>
      </c>
      <c r="O74" s="372">
        <v>0</v>
      </c>
      <c r="P74" s="373">
        <v>0</v>
      </c>
      <c r="Q74" s="435" t="s">
        <v>1415</v>
      </c>
      <c r="R74" s="372">
        <v>9</v>
      </c>
      <c r="S74" s="373">
        <v>1</v>
      </c>
      <c r="T74" s="370" t="s">
        <v>890</v>
      </c>
      <c r="U74" s="370" t="s">
        <v>890</v>
      </c>
      <c r="V74" s="370">
        <v>0</v>
      </c>
      <c r="W74" s="370">
        <v>0</v>
      </c>
      <c r="X74" s="436"/>
      <c r="Y74" s="436" t="s">
        <v>144</v>
      </c>
      <c r="Z74" s="374" t="s">
        <v>144</v>
      </c>
    </row>
    <row r="75" spans="1:26" hidden="1" x14ac:dyDescent="0.35">
      <c r="A75" s="437" t="str">
        <f t="shared" si="1"/>
        <v>B02.00_0590_TYP_SCRTY_INTRST_PRVDD</v>
      </c>
      <c r="B75" s="368" t="s">
        <v>0</v>
      </c>
      <c r="C75" s="369" t="s">
        <v>1006</v>
      </c>
      <c r="D75" s="370">
        <v>17</v>
      </c>
      <c r="E75" s="371" t="s">
        <v>1414</v>
      </c>
      <c r="F75" s="372">
        <v>9</v>
      </c>
      <c r="G75" s="435" t="s">
        <v>1415</v>
      </c>
      <c r="H75" s="372">
        <v>0</v>
      </c>
      <c r="I75" s="372">
        <v>9</v>
      </c>
      <c r="J75" s="435" t="s">
        <v>1415</v>
      </c>
      <c r="K75" s="372">
        <v>0</v>
      </c>
      <c r="L75" s="435" t="s">
        <v>1415</v>
      </c>
      <c r="M75" s="370">
        <v>0</v>
      </c>
      <c r="N75" s="435" t="s">
        <v>1415</v>
      </c>
      <c r="O75" s="372">
        <v>0</v>
      </c>
      <c r="P75" s="373">
        <v>0</v>
      </c>
      <c r="Q75" s="435" t="s">
        <v>1415</v>
      </c>
      <c r="R75" s="372">
        <v>9</v>
      </c>
      <c r="S75" s="373">
        <v>1</v>
      </c>
      <c r="T75" s="370" t="s">
        <v>890</v>
      </c>
      <c r="U75" s="370" t="s">
        <v>890</v>
      </c>
      <c r="V75" s="370">
        <v>0</v>
      </c>
      <c r="W75" s="370">
        <v>0</v>
      </c>
      <c r="X75" s="436"/>
      <c r="Y75" s="436" t="s">
        <v>144</v>
      </c>
      <c r="Z75" s="374" t="s">
        <v>144</v>
      </c>
    </row>
    <row r="76" spans="1:26" hidden="1" x14ac:dyDescent="0.35">
      <c r="A76" s="437" t="str">
        <f t="shared" si="1"/>
        <v>B02.00_0600_FLG_CLLTRL_ASST_PSTN</v>
      </c>
      <c r="B76" s="368" t="s">
        <v>0</v>
      </c>
      <c r="C76" s="369" t="s">
        <v>1007</v>
      </c>
      <c r="D76" s="370">
        <v>17</v>
      </c>
      <c r="E76" s="371" t="s">
        <v>1414</v>
      </c>
      <c r="F76" s="372">
        <v>9</v>
      </c>
      <c r="G76" s="435" t="s">
        <v>1415</v>
      </c>
      <c r="H76" s="372">
        <v>0</v>
      </c>
      <c r="I76" s="372">
        <v>9</v>
      </c>
      <c r="J76" s="435" t="s">
        <v>1415</v>
      </c>
      <c r="K76" s="372">
        <v>0</v>
      </c>
      <c r="L76" s="435" t="s">
        <v>1415</v>
      </c>
      <c r="M76" s="370">
        <v>0</v>
      </c>
      <c r="N76" s="435" t="s">
        <v>1415</v>
      </c>
      <c r="O76" s="372">
        <v>0</v>
      </c>
      <c r="P76" s="373">
        <v>0</v>
      </c>
      <c r="Q76" s="435" t="s">
        <v>1415</v>
      </c>
      <c r="R76" s="372">
        <v>0</v>
      </c>
      <c r="S76" s="373">
        <v>0</v>
      </c>
      <c r="T76" s="370" t="s">
        <v>1305</v>
      </c>
      <c r="U76" s="370" t="s">
        <v>1305</v>
      </c>
      <c r="V76" s="370">
        <v>0</v>
      </c>
      <c r="W76" s="370">
        <v>0</v>
      </c>
      <c r="X76" s="436"/>
      <c r="Y76" s="436" t="s">
        <v>144</v>
      </c>
      <c r="Z76" s="374" t="s">
        <v>144</v>
      </c>
    </row>
    <row r="77" spans="1:26" hidden="1" x14ac:dyDescent="0.35">
      <c r="A77" s="437" t="str">
        <f t="shared" si="1"/>
        <v>B02.00_0610_CRRYNG_AMNT_IFRS</v>
      </c>
      <c r="B77" s="368" t="s">
        <v>0</v>
      </c>
      <c r="C77" s="369" t="s">
        <v>1008</v>
      </c>
      <c r="D77" s="370">
        <v>17</v>
      </c>
      <c r="E77" s="371" t="s">
        <v>1414</v>
      </c>
      <c r="F77" s="372">
        <v>9</v>
      </c>
      <c r="G77" s="435" t="s">
        <v>1415</v>
      </c>
      <c r="H77" s="372">
        <v>0</v>
      </c>
      <c r="I77" s="372">
        <v>9</v>
      </c>
      <c r="J77" s="435" t="s">
        <v>1415</v>
      </c>
      <c r="K77" s="372">
        <v>0</v>
      </c>
      <c r="L77" s="435" t="s">
        <v>1415</v>
      </c>
      <c r="M77" s="370">
        <v>0</v>
      </c>
      <c r="N77" s="435" t="s">
        <v>1415</v>
      </c>
      <c r="O77" s="372">
        <v>0</v>
      </c>
      <c r="P77" s="373">
        <v>0</v>
      </c>
      <c r="Q77" s="435" t="s">
        <v>1415</v>
      </c>
      <c r="R77" s="372">
        <v>0</v>
      </c>
      <c r="S77" s="373">
        <v>0</v>
      </c>
      <c r="T77" s="370" t="s">
        <v>1318</v>
      </c>
      <c r="U77" s="370" t="s">
        <v>1319</v>
      </c>
      <c r="V77" s="370">
        <v>0</v>
      </c>
      <c r="W77" s="370">
        <v>0</v>
      </c>
      <c r="X77" s="436"/>
      <c r="Y77" s="436" t="s">
        <v>144</v>
      </c>
      <c r="Z77" s="374" t="s">
        <v>144</v>
      </c>
    </row>
    <row r="78" spans="1:26" hidden="1" x14ac:dyDescent="0.35">
      <c r="A78" s="437" t="str">
        <f t="shared" si="1"/>
        <v>B02.00_0620_BLNC_SHT_IFRS</v>
      </c>
      <c r="B78" s="368" t="s">
        <v>0</v>
      </c>
      <c r="C78" s="369" t="s">
        <v>1009</v>
      </c>
      <c r="D78" s="370">
        <v>22</v>
      </c>
      <c r="E78" s="371" t="s">
        <v>1414</v>
      </c>
      <c r="F78" s="372">
        <v>9</v>
      </c>
      <c r="G78" s="435" t="s">
        <v>1415</v>
      </c>
      <c r="H78" s="372">
        <v>0</v>
      </c>
      <c r="I78" s="372">
        <v>9</v>
      </c>
      <c r="J78" s="435" t="s">
        <v>1415</v>
      </c>
      <c r="K78" s="372">
        <v>0</v>
      </c>
      <c r="L78" s="435" t="s">
        <v>1415</v>
      </c>
      <c r="M78" s="370">
        <v>0</v>
      </c>
      <c r="N78" s="435" t="s">
        <v>1415</v>
      </c>
      <c r="O78" s="372">
        <v>0</v>
      </c>
      <c r="P78" s="373">
        <v>0</v>
      </c>
      <c r="Q78" s="435" t="s">
        <v>1415</v>
      </c>
      <c r="R78" s="372">
        <v>0</v>
      </c>
      <c r="S78" s="373">
        <v>0</v>
      </c>
      <c r="T78" s="370" t="s">
        <v>1320</v>
      </c>
      <c r="U78" s="370" t="s">
        <v>1321</v>
      </c>
      <c r="V78" s="370">
        <v>0</v>
      </c>
      <c r="W78" s="370">
        <v>0</v>
      </c>
      <c r="X78" s="436"/>
      <c r="Y78" s="436" t="s">
        <v>144</v>
      </c>
      <c r="Z78" s="374" t="s">
        <v>144</v>
      </c>
    </row>
    <row r="79" spans="1:26" hidden="1" x14ac:dyDescent="0.35">
      <c r="A79" s="437" t="str">
        <f t="shared" si="1"/>
        <v>B02.00_0630_CRRYING_AMNT_NGAAP</v>
      </c>
      <c r="B79" s="368" t="s">
        <v>0</v>
      </c>
      <c r="C79" s="369" t="s">
        <v>1010</v>
      </c>
      <c r="D79" s="370">
        <v>17</v>
      </c>
      <c r="E79" s="371" t="s">
        <v>1414</v>
      </c>
      <c r="F79" s="372">
        <v>9</v>
      </c>
      <c r="G79" s="435" t="s">
        <v>1415</v>
      </c>
      <c r="H79" s="372">
        <v>0</v>
      </c>
      <c r="I79" s="372">
        <v>9</v>
      </c>
      <c r="J79" s="435" t="s">
        <v>1415</v>
      </c>
      <c r="K79" s="372">
        <v>0</v>
      </c>
      <c r="L79" s="435" t="s">
        <v>1415</v>
      </c>
      <c r="M79" s="370">
        <v>0</v>
      </c>
      <c r="N79" s="435" t="s">
        <v>1415</v>
      </c>
      <c r="O79" s="372">
        <v>0</v>
      </c>
      <c r="P79" s="373">
        <v>0</v>
      </c>
      <c r="Q79" s="435" t="s">
        <v>1415</v>
      </c>
      <c r="R79" s="372">
        <v>0</v>
      </c>
      <c r="S79" s="373">
        <v>0</v>
      </c>
      <c r="T79" s="370" t="s">
        <v>1290</v>
      </c>
      <c r="U79" s="370" t="s">
        <v>1290</v>
      </c>
      <c r="V79" s="370">
        <v>0</v>
      </c>
      <c r="W79" s="370">
        <v>0</v>
      </c>
      <c r="X79" s="436"/>
      <c r="Y79" s="436" t="s">
        <v>144</v>
      </c>
      <c r="Z79" s="374" t="s">
        <v>144</v>
      </c>
    </row>
    <row r="80" spans="1:26" hidden="1" x14ac:dyDescent="0.35">
      <c r="A80" s="437" t="str">
        <f t="shared" si="1"/>
        <v>B02.00_0640_BLNC_SHT_NGAAP</v>
      </c>
      <c r="B80" s="368" t="s">
        <v>0</v>
      </c>
      <c r="C80" s="369" t="s">
        <v>1011</v>
      </c>
      <c r="D80" s="370">
        <v>17</v>
      </c>
      <c r="E80" s="371" t="s">
        <v>1414</v>
      </c>
      <c r="F80" s="372">
        <v>9</v>
      </c>
      <c r="G80" s="435" t="s">
        <v>1415</v>
      </c>
      <c r="H80" s="372">
        <v>0</v>
      </c>
      <c r="I80" s="372">
        <v>9</v>
      </c>
      <c r="J80" s="435" t="s">
        <v>1415</v>
      </c>
      <c r="K80" s="372">
        <v>0</v>
      </c>
      <c r="L80" s="435" t="s">
        <v>1415</v>
      </c>
      <c r="M80" s="370">
        <v>0</v>
      </c>
      <c r="N80" s="435" t="s">
        <v>1415</v>
      </c>
      <c r="O80" s="372">
        <v>0</v>
      </c>
      <c r="P80" s="373">
        <v>0</v>
      </c>
      <c r="Q80" s="435" t="s">
        <v>1415</v>
      </c>
      <c r="R80" s="372">
        <v>9</v>
      </c>
      <c r="S80" s="373">
        <v>1</v>
      </c>
      <c r="T80" s="370" t="s">
        <v>890</v>
      </c>
      <c r="U80" s="370" t="s">
        <v>890</v>
      </c>
      <c r="V80" s="370">
        <v>0</v>
      </c>
      <c r="W80" s="370">
        <v>8</v>
      </c>
      <c r="X80" s="436"/>
      <c r="Y80" s="436" t="s">
        <v>144</v>
      </c>
      <c r="Z80" s="374" t="s">
        <v>144</v>
      </c>
    </row>
    <row r="81" spans="1:26" hidden="1" x14ac:dyDescent="0.35">
      <c r="A81" s="437" t="str">
        <f t="shared" si="1"/>
        <v>B02.00_5000_FLG_SHRHLDR_NOT_RSLTN_GRP</v>
      </c>
      <c r="B81" s="368" t="s">
        <v>0</v>
      </c>
      <c r="C81" s="369" t="s">
        <v>1012</v>
      </c>
      <c r="D81" s="370">
        <v>17</v>
      </c>
      <c r="E81" s="371" t="s">
        <v>1414</v>
      </c>
      <c r="F81" s="372">
        <v>9</v>
      </c>
      <c r="G81" s="435" t="s">
        <v>1415</v>
      </c>
      <c r="H81" s="372">
        <v>0</v>
      </c>
      <c r="I81" s="372">
        <v>9</v>
      </c>
      <c r="J81" s="435" t="s">
        <v>1415</v>
      </c>
      <c r="K81" s="372">
        <v>0</v>
      </c>
      <c r="L81" s="435" t="s">
        <v>1415</v>
      </c>
      <c r="M81" s="370">
        <v>0</v>
      </c>
      <c r="N81" s="435" t="s">
        <v>1415</v>
      </c>
      <c r="O81" s="372">
        <v>0</v>
      </c>
      <c r="P81" s="373">
        <v>0</v>
      </c>
      <c r="Q81" s="435" t="s">
        <v>1415</v>
      </c>
      <c r="R81" s="372">
        <v>0</v>
      </c>
      <c r="S81" s="373">
        <v>0</v>
      </c>
      <c r="T81" s="370" t="s">
        <v>1305</v>
      </c>
      <c r="U81" s="370" t="s">
        <v>1305</v>
      </c>
      <c r="V81" s="370">
        <v>-9999</v>
      </c>
      <c r="W81" s="370">
        <v>0</v>
      </c>
      <c r="X81" s="436"/>
      <c r="Y81" s="436" t="s">
        <v>144</v>
      </c>
      <c r="Z81" s="374" t="s">
        <v>144</v>
      </c>
    </row>
    <row r="82" spans="1:26" hidden="1" x14ac:dyDescent="0.35">
      <c r="A82" s="437" t="str">
        <f t="shared" si="1"/>
        <v>B02.00_5010_FLG_ART21_7A_SRMR</v>
      </c>
      <c r="B82" s="368" t="s">
        <v>0</v>
      </c>
      <c r="C82" s="369" t="s">
        <v>1013</v>
      </c>
      <c r="D82" s="370">
        <v>17</v>
      </c>
      <c r="E82" s="371" t="s">
        <v>1414</v>
      </c>
      <c r="F82" s="372">
        <v>9</v>
      </c>
      <c r="G82" s="435" t="s">
        <v>1415</v>
      </c>
      <c r="H82" s="372">
        <v>0</v>
      </c>
      <c r="I82" s="372">
        <v>9</v>
      </c>
      <c r="J82" s="435" t="s">
        <v>1415</v>
      </c>
      <c r="K82" s="372">
        <v>0</v>
      </c>
      <c r="L82" s="435" t="s">
        <v>1415</v>
      </c>
      <c r="M82" s="370">
        <v>0</v>
      </c>
      <c r="N82" s="435" t="s">
        <v>1415</v>
      </c>
      <c r="O82" s="372">
        <v>0</v>
      </c>
      <c r="P82" s="373">
        <v>0</v>
      </c>
      <c r="Q82" s="435" t="s">
        <v>1415</v>
      </c>
      <c r="R82" s="372">
        <v>0</v>
      </c>
      <c r="S82" s="373">
        <v>0</v>
      </c>
      <c r="T82" s="370" t="s">
        <v>1322</v>
      </c>
      <c r="U82" s="370" t="s">
        <v>1322</v>
      </c>
      <c r="V82" s="370">
        <v>-9999</v>
      </c>
      <c r="W82" s="370">
        <v>0</v>
      </c>
      <c r="X82" s="436"/>
      <c r="Y82" s="436" t="s">
        <v>144</v>
      </c>
      <c r="Z82" s="374" t="s">
        <v>144</v>
      </c>
    </row>
    <row r="83" spans="1:26" hidden="1" x14ac:dyDescent="0.35">
      <c r="A83" s="437" t="str">
        <f t="shared" si="1"/>
        <v>B05.00_0010_ROW_NMBR</v>
      </c>
      <c r="B83" s="368" t="s">
        <v>813</v>
      </c>
      <c r="C83" s="369" t="s">
        <v>935</v>
      </c>
      <c r="D83" s="370">
        <v>12</v>
      </c>
      <c r="E83" s="371" t="s">
        <v>1414</v>
      </c>
      <c r="F83" s="372">
        <v>4721</v>
      </c>
      <c r="G83" s="435" t="s">
        <v>1415</v>
      </c>
      <c r="H83" s="372">
        <v>0</v>
      </c>
      <c r="I83" s="372">
        <v>4721</v>
      </c>
      <c r="J83" s="435" t="s">
        <v>1415</v>
      </c>
      <c r="K83" s="372">
        <v>0</v>
      </c>
      <c r="L83" s="435" t="s">
        <v>1415</v>
      </c>
      <c r="M83" s="370">
        <v>0</v>
      </c>
      <c r="N83" s="435" t="s">
        <v>1415</v>
      </c>
      <c r="O83" s="372">
        <v>0</v>
      </c>
      <c r="P83" s="373">
        <v>0</v>
      </c>
      <c r="Q83" s="435" t="s">
        <v>1415</v>
      </c>
      <c r="R83" s="372">
        <v>1</v>
      </c>
      <c r="S83" s="373">
        <v>2.1181952976064393E-4</v>
      </c>
      <c r="T83" s="370" t="s">
        <v>635</v>
      </c>
      <c r="U83" s="370" t="s">
        <v>1324</v>
      </c>
      <c r="V83" s="370">
        <v>0</v>
      </c>
      <c r="W83" s="370">
        <v>0</v>
      </c>
      <c r="X83" s="436"/>
      <c r="Y83" s="436" t="s">
        <v>144</v>
      </c>
      <c r="Z83" s="374" t="s">
        <v>144</v>
      </c>
    </row>
    <row r="84" spans="1:26" hidden="1" x14ac:dyDescent="0.35">
      <c r="A84" s="437" t="str">
        <f t="shared" si="1"/>
        <v>B05.00_0020_UNIQ_ID_GUARANTEE</v>
      </c>
      <c r="B84" s="368" t="s">
        <v>813</v>
      </c>
      <c r="C84" s="369" t="s">
        <v>1014</v>
      </c>
      <c r="D84" s="370">
        <v>12</v>
      </c>
      <c r="E84" s="371" t="s">
        <v>1414</v>
      </c>
      <c r="F84" s="372">
        <v>4721</v>
      </c>
      <c r="G84" s="435" t="s">
        <v>1415</v>
      </c>
      <c r="H84" s="372">
        <v>0</v>
      </c>
      <c r="I84" s="372">
        <v>4721</v>
      </c>
      <c r="J84" s="435" t="s">
        <v>1415</v>
      </c>
      <c r="K84" s="372">
        <v>0</v>
      </c>
      <c r="L84" s="435" t="s">
        <v>1415</v>
      </c>
      <c r="M84" s="370">
        <v>4721</v>
      </c>
      <c r="N84" s="435" t="s">
        <v>1415</v>
      </c>
      <c r="O84" s="372">
        <v>0</v>
      </c>
      <c r="P84" s="373">
        <v>0</v>
      </c>
      <c r="Q84" s="435" t="s">
        <v>1415</v>
      </c>
      <c r="R84" s="372">
        <v>0</v>
      </c>
      <c r="S84" s="373">
        <v>0</v>
      </c>
      <c r="T84" s="370" t="s">
        <v>1325</v>
      </c>
      <c r="U84" s="370" t="s">
        <v>1326</v>
      </c>
      <c r="V84" s="370">
        <v>0</v>
      </c>
      <c r="W84" s="370">
        <v>0</v>
      </c>
      <c r="X84" s="436" t="s">
        <v>1424</v>
      </c>
      <c r="Y84" s="436" t="s">
        <v>144</v>
      </c>
      <c r="Z84" s="374" t="s">
        <v>144</v>
      </c>
    </row>
    <row r="85" spans="1:26" hidden="1" x14ac:dyDescent="0.35">
      <c r="A85" s="437" t="str">
        <f t="shared" si="1"/>
        <v>B05.00_0030_GOVERNING_LAW</v>
      </c>
      <c r="B85" s="368" t="s">
        <v>813</v>
      </c>
      <c r="C85" s="369" t="s">
        <v>1015</v>
      </c>
      <c r="D85" s="370">
        <v>12</v>
      </c>
      <c r="E85" s="371" t="s">
        <v>1414</v>
      </c>
      <c r="F85" s="372">
        <v>4721</v>
      </c>
      <c r="G85" s="435" t="s">
        <v>1415</v>
      </c>
      <c r="H85" s="372">
        <v>0</v>
      </c>
      <c r="I85" s="372">
        <v>4721</v>
      </c>
      <c r="J85" s="435" t="s">
        <v>1415</v>
      </c>
      <c r="K85" s="372">
        <v>0</v>
      </c>
      <c r="L85" s="435" t="s">
        <v>1415</v>
      </c>
      <c r="M85" s="370">
        <v>0</v>
      </c>
      <c r="N85" s="435" t="s">
        <v>1415</v>
      </c>
      <c r="O85" s="372">
        <v>0</v>
      </c>
      <c r="P85" s="373">
        <v>0</v>
      </c>
      <c r="Q85" s="435" t="s">
        <v>1415</v>
      </c>
      <c r="R85" s="372">
        <v>0</v>
      </c>
      <c r="S85" s="373">
        <v>0</v>
      </c>
      <c r="T85" s="370" t="s">
        <v>1301</v>
      </c>
      <c r="U85" s="370" t="s">
        <v>1301</v>
      </c>
      <c r="V85" s="370">
        <v>0</v>
      </c>
      <c r="W85" s="370">
        <v>0</v>
      </c>
      <c r="X85" s="436"/>
      <c r="Y85" s="436" t="s">
        <v>144</v>
      </c>
      <c r="Z85" s="374" t="s">
        <v>144</v>
      </c>
    </row>
    <row r="86" spans="1:26" hidden="1" x14ac:dyDescent="0.35">
      <c r="A86" s="437" t="str">
        <f t="shared" si="1"/>
        <v>B05.00_0040_FLG_ART12G_3_SRMR</v>
      </c>
      <c r="B86" s="368" t="s">
        <v>813</v>
      </c>
      <c r="C86" s="369" t="s">
        <v>1016</v>
      </c>
      <c r="D86" s="370">
        <v>12</v>
      </c>
      <c r="E86" s="371" t="s">
        <v>1414</v>
      </c>
      <c r="F86" s="372">
        <v>4721</v>
      </c>
      <c r="G86" s="435" t="s">
        <v>1415</v>
      </c>
      <c r="H86" s="372">
        <v>0</v>
      </c>
      <c r="I86" s="372">
        <v>4721</v>
      </c>
      <c r="J86" s="435" t="s">
        <v>1415</v>
      </c>
      <c r="K86" s="372">
        <v>0</v>
      </c>
      <c r="L86" s="435" t="s">
        <v>1415</v>
      </c>
      <c r="M86" s="370">
        <v>0</v>
      </c>
      <c r="N86" s="435" t="s">
        <v>1415</v>
      </c>
      <c r="O86" s="372">
        <v>0</v>
      </c>
      <c r="P86" s="373">
        <v>0</v>
      </c>
      <c r="Q86" s="435" t="s">
        <v>1415</v>
      </c>
      <c r="R86" s="372">
        <v>0</v>
      </c>
      <c r="S86" s="373">
        <v>0</v>
      </c>
      <c r="T86" s="370" t="s">
        <v>1305</v>
      </c>
      <c r="U86" s="370" t="s">
        <v>1305</v>
      </c>
      <c r="V86" s="370">
        <v>0</v>
      </c>
      <c r="W86" s="370">
        <v>0</v>
      </c>
      <c r="X86" s="436"/>
      <c r="Y86" s="436" t="s">
        <v>144</v>
      </c>
      <c r="Z86" s="374" t="s">
        <v>144</v>
      </c>
    </row>
    <row r="87" spans="1:26" hidden="1" x14ac:dyDescent="0.35">
      <c r="A87" s="437" t="str">
        <f t="shared" si="1"/>
        <v>B05.00_0050_TYP_GUARANTEE</v>
      </c>
      <c r="B87" s="368" t="s">
        <v>813</v>
      </c>
      <c r="C87" s="369" t="s">
        <v>1017</v>
      </c>
      <c r="D87" s="370">
        <v>12</v>
      </c>
      <c r="E87" s="371" t="s">
        <v>1414</v>
      </c>
      <c r="F87" s="372">
        <v>4721</v>
      </c>
      <c r="G87" s="435" t="s">
        <v>1415</v>
      </c>
      <c r="H87" s="372">
        <v>0</v>
      </c>
      <c r="I87" s="372">
        <v>4721</v>
      </c>
      <c r="J87" s="435" t="s">
        <v>1415</v>
      </c>
      <c r="K87" s="372">
        <v>0</v>
      </c>
      <c r="L87" s="435" t="s">
        <v>1415</v>
      </c>
      <c r="M87" s="370">
        <v>0</v>
      </c>
      <c r="N87" s="435" t="s">
        <v>1415</v>
      </c>
      <c r="O87" s="372">
        <v>0</v>
      </c>
      <c r="P87" s="373">
        <v>0</v>
      </c>
      <c r="Q87" s="435" t="s">
        <v>1415</v>
      </c>
      <c r="R87" s="372">
        <v>0</v>
      </c>
      <c r="S87" s="373">
        <v>0</v>
      </c>
      <c r="T87" s="370" t="s">
        <v>1327</v>
      </c>
      <c r="U87" s="370" t="s">
        <v>1327</v>
      </c>
      <c r="V87" s="370">
        <v>0</v>
      </c>
      <c r="W87" s="370">
        <v>0</v>
      </c>
      <c r="X87" s="436"/>
      <c r="Y87" s="436" t="s">
        <v>144</v>
      </c>
      <c r="Z87" s="374" t="s">
        <v>144</v>
      </c>
    </row>
    <row r="88" spans="1:26" hidden="1" x14ac:dyDescent="0.35">
      <c r="A88" s="437" t="str">
        <f t="shared" si="1"/>
        <v>B05.00_0060_MAX_AMNT_GUARANTEE</v>
      </c>
      <c r="B88" s="368" t="s">
        <v>813</v>
      </c>
      <c r="C88" s="369" t="s">
        <v>1018</v>
      </c>
      <c r="D88" s="370">
        <v>12</v>
      </c>
      <c r="E88" s="371" t="s">
        <v>1414</v>
      </c>
      <c r="F88" s="372">
        <v>4721</v>
      </c>
      <c r="G88" s="435" t="s">
        <v>1415</v>
      </c>
      <c r="H88" s="372">
        <v>0</v>
      </c>
      <c r="I88" s="372">
        <v>4721</v>
      </c>
      <c r="J88" s="435" t="s">
        <v>1415</v>
      </c>
      <c r="K88" s="372">
        <v>0</v>
      </c>
      <c r="L88" s="435" t="s">
        <v>1415</v>
      </c>
      <c r="M88" s="370">
        <v>0</v>
      </c>
      <c r="N88" s="435" t="s">
        <v>1415</v>
      </c>
      <c r="O88" s="372">
        <v>0</v>
      </c>
      <c r="P88" s="373">
        <v>0</v>
      </c>
      <c r="Q88" s="435" t="s">
        <v>1415</v>
      </c>
      <c r="R88" s="372">
        <v>0</v>
      </c>
      <c r="S88" s="373">
        <v>0</v>
      </c>
      <c r="T88" s="370" t="s">
        <v>1328</v>
      </c>
      <c r="U88" s="370" t="s">
        <v>1329</v>
      </c>
      <c r="V88" s="370">
        <v>0</v>
      </c>
      <c r="W88" s="370">
        <v>0</v>
      </c>
      <c r="X88" s="436"/>
      <c r="Y88" s="436" t="s">
        <v>144</v>
      </c>
      <c r="Z88" s="374" t="s">
        <v>144</v>
      </c>
    </row>
    <row r="89" spans="1:26" hidden="1" x14ac:dyDescent="0.35">
      <c r="A89" s="437" t="str">
        <f t="shared" si="1"/>
        <v>B05.00_0070_FLG_SCRD</v>
      </c>
      <c r="B89" s="368" t="s">
        <v>813</v>
      </c>
      <c r="C89" s="369" t="s">
        <v>1019</v>
      </c>
      <c r="D89" s="370">
        <v>7</v>
      </c>
      <c r="E89" s="371" t="s">
        <v>1085</v>
      </c>
      <c r="F89" s="372">
        <v>4730</v>
      </c>
      <c r="G89" s="435" t="s">
        <v>1323</v>
      </c>
      <c r="H89" s="372">
        <v>4730</v>
      </c>
      <c r="I89" s="372">
        <v>4730</v>
      </c>
      <c r="J89" s="435" t="s">
        <v>1323</v>
      </c>
      <c r="K89" s="372">
        <v>4730</v>
      </c>
      <c r="L89" s="435" t="s">
        <v>1323</v>
      </c>
      <c r="M89" s="370">
        <v>0</v>
      </c>
      <c r="N89" s="435" t="s">
        <v>1323</v>
      </c>
      <c r="O89" s="372">
        <v>0</v>
      </c>
      <c r="P89" s="373">
        <v>0</v>
      </c>
      <c r="Q89" s="435" t="s">
        <v>1323</v>
      </c>
      <c r="R89" s="372">
        <v>0</v>
      </c>
      <c r="S89" s="373">
        <v>0</v>
      </c>
      <c r="T89" s="370" t="s">
        <v>922</v>
      </c>
      <c r="U89" s="370" t="s">
        <v>922</v>
      </c>
      <c r="V89" s="370" t="s">
        <v>873</v>
      </c>
      <c r="W89" s="370" t="s">
        <v>873</v>
      </c>
      <c r="X89" s="436"/>
      <c r="Y89" s="436" t="s">
        <v>198</v>
      </c>
      <c r="Z89" s="374" t="s">
        <v>873</v>
      </c>
    </row>
    <row r="90" spans="1:26" hidden="1" x14ac:dyDescent="0.35">
      <c r="A90" s="437" t="str">
        <f t="shared" si="1"/>
        <v>B05.00_0080_AMNT_CLLTRL</v>
      </c>
      <c r="B90" s="368" t="s">
        <v>813</v>
      </c>
      <c r="C90" s="369" t="s">
        <v>1020</v>
      </c>
      <c r="D90" s="370">
        <v>12</v>
      </c>
      <c r="E90" s="371" t="s">
        <v>1414</v>
      </c>
      <c r="F90" s="372">
        <v>4721</v>
      </c>
      <c r="G90" s="435" t="s">
        <v>1415</v>
      </c>
      <c r="H90" s="372">
        <v>0</v>
      </c>
      <c r="I90" s="372">
        <v>4721</v>
      </c>
      <c r="J90" s="435" t="s">
        <v>1415</v>
      </c>
      <c r="K90" s="372">
        <v>0</v>
      </c>
      <c r="L90" s="435" t="s">
        <v>1415</v>
      </c>
      <c r="M90" s="370">
        <v>0</v>
      </c>
      <c r="N90" s="435" t="s">
        <v>1415</v>
      </c>
      <c r="O90" s="372">
        <v>0</v>
      </c>
      <c r="P90" s="373">
        <v>0</v>
      </c>
      <c r="Q90" s="435" t="s">
        <v>1415</v>
      </c>
      <c r="R90" s="372">
        <v>0</v>
      </c>
      <c r="S90" s="373">
        <v>0</v>
      </c>
      <c r="T90" s="370" t="s">
        <v>1290</v>
      </c>
      <c r="U90" s="370" t="s">
        <v>1290</v>
      </c>
      <c r="V90" s="370">
        <v>0</v>
      </c>
      <c r="W90" s="370">
        <v>0</v>
      </c>
      <c r="X90" s="436"/>
      <c r="Y90" s="436" t="s">
        <v>144</v>
      </c>
      <c r="Z90" s="374" t="s">
        <v>144</v>
      </c>
    </row>
    <row r="91" spans="1:26" hidden="1" x14ac:dyDescent="0.35">
      <c r="A91" s="437" t="str">
        <f t="shared" si="1"/>
        <v>B05.00_0090_GUARANTEE_TRGGR</v>
      </c>
      <c r="B91" s="368" t="s">
        <v>813</v>
      </c>
      <c r="C91" s="369" t="s">
        <v>1021</v>
      </c>
      <c r="D91" s="370">
        <v>12</v>
      </c>
      <c r="E91" s="371" t="s">
        <v>1414</v>
      </c>
      <c r="F91" s="372">
        <v>4721</v>
      </c>
      <c r="G91" s="435" t="s">
        <v>1415</v>
      </c>
      <c r="H91" s="372">
        <v>0</v>
      </c>
      <c r="I91" s="372">
        <v>4721</v>
      </c>
      <c r="J91" s="435" t="s">
        <v>1415</v>
      </c>
      <c r="K91" s="372">
        <v>0</v>
      </c>
      <c r="L91" s="435" t="s">
        <v>1415</v>
      </c>
      <c r="M91" s="370">
        <v>0</v>
      </c>
      <c r="N91" s="435" t="s">
        <v>1415</v>
      </c>
      <c r="O91" s="372">
        <v>0</v>
      </c>
      <c r="P91" s="373">
        <v>0</v>
      </c>
      <c r="Q91" s="435" t="s">
        <v>1415</v>
      </c>
      <c r="R91" s="372">
        <v>0</v>
      </c>
      <c r="S91" s="373">
        <v>0</v>
      </c>
      <c r="T91" s="370" t="s">
        <v>1330</v>
      </c>
      <c r="U91" s="370" t="s">
        <v>1330</v>
      </c>
      <c r="V91" s="370">
        <v>0</v>
      </c>
      <c r="W91" s="370">
        <v>0</v>
      </c>
      <c r="X91" s="436"/>
      <c r="Y91" s="436" t="s">
        <v>144</v>
      </c>
      <c r="Z91" s="374" t="s">
        <v>144</v>
      </c>
    </row>
    <row r="92" spans="1:26" hidden="1" x14ac:dyDescent="0.35">
      <c r="A92" s="437" t="str">
        <f t="shared" si="1"/>
        <v>B05.00_0100_DT_MTRTY_CLLTRL</v>
      </c>
      <c r="B92" s="368" t="s">
        <v>813</v>
      </c>
      <c r="C92" s="369" t="s">
        <v>1022</v>
      </c>
      <c r="D92" s="370">
        <v>30</v>
      </c>
      <c r="E92" s="371" t="s">
        <v>1414</v>
      </c>
      <c r="F92" s="372">
        <v>4721</v>
      </c>
      <c r="G92" s="435" t="s">
        <v>1415</v>
      </c>
      <c r="H92" s="372">
        <v>0</v>
      </c>
      <c r="I92" s="372">
        <v>4721</v>
      </c>
      <c r="J92" s="435" t="s">
        <v>1415</v>
      </c>
      <c r="K92" s="372">
        <v>0</v>
      </c>
      <c r="L92" s="435" t="s">
        <v>1415</v>
      </c>
      <c r="M92" s="370">
        <v>0</v>
      </c>
      <c r="N92" s="435" t="s">
        <v>1415</v>
      </c>
      <c r="O92" s="372">
        <v>0</v>
      </c>
      <c r="P92" s="373">
        <v>0</v>
      </c>
      <c r="Q92" s="435" t="s">
        <v>1415</v>
      </c>
      <c r="R92" s="372">
        <v>4721</v>
      </c>
      <c r="S92" s="373">
        <v>1</v>
      </c>
      <c r="T92" s="370" t="s">
        <v>922</v>
      </c>
      <c r="U92" s="370" t="s">
        <v>922</v>
      </c>
      <c r="V92" s="370">
        <v>0</v>
      </c>
      <c r="W92" s="370">
        <v>0</v>
      </c>
      <c r="X92" s="436" t="s">
        <v>1370</v>
      </c>
      <c r="Y92" s="436" t="s">
        <v>144</v>
      </c>
      <c r="Z92" s="374" t="s">
        <v>144</v>
      </c>
    </row>
    <row r="93" spans="1:26" hidden="1" x14ac:dyDescent="0.35">
      <c r="A93" s="437" t="str">
        <f t="shared" si="1"/>
        <v>B05.00_0110_SCRTS_CLLTRL_ID</v>
      </c>
      <c r="B93" s="368" t="s">
        <v>813</v>
      </c>
      <c r="C93" s="369" t="s">
        <v>1023</v>
      </c>
      <c r="D93" s="370">
        <v>12</v>
      </c>
      <c r="E93" s="371" t="s">
        <v>1414</v>
      </c>
      <c r="F93" s="372">
        <v>4721</v>
      </c>
      <c r="G93" s="435" t="s">
        <v>1415</v>
      </c>
      <c r="H93" s="372">
        <v>0</v>
      </c>
      <c r="I93" s="372">
        <v>4721</v>
      </c>
      <c r="J93" s="435" t="s">
        <v>1415</v>
      </c>
      <c r="K93" s="372">
        <v>0</v>
      </c>
      <c r="L93" s="435" t="s">
        <v>1415</v>
      </c>
      <c r="M93" s="370">
        <v>0</v>
      </c>
      <c r="N93" s="435" t="s">
        <v>1415</v>
      </c>
      <c r="O93" s="372">
        <v>0</v>
      </c>
      <c r="P93" s="373">
        <v>0</v>
      </c>
      <c r="Q93" s="435" t="s">
        <v>1415</v>
      </c>
      <c r="R93" s="372">
        <v>4721</v>
      </c>
      <c r="S93" s="373">
        <v>1</v>
      </c>
      <c r="T93" s="370" t="s">
        <v>890</v>
      </c>
      <c r="U93" s="370" t="s">
        <v>890</v>
      </c>
      <c r="V93" s="370">
        <v>0</v>
      </c>
      <c r="W93" s="370">
        <v>0</v>
      </c>
      <c r="X93" s="436"/>
      <c r="Y93" s="436" t="s">
        <v>144</v>
      </c>
      <c r="Z93" s="374" t="s">
        <v>144</v>
      </c>
    </row>
    <row r="94" spans="1:26" hidden="1" x14ac:dyDescent="0.35">
      <c r="A94" s="437" t="str">
        <f t="shared" si="1"/>
        <v>B05.00_0120_TYP_CLLTRLZTN</v>
      </c>
      <c r="B94" s="368" t="s">
        <v>813</v>
      </c>
      <c r="C94" s="369" t="s">
        <v>1024</v>
      </c>
      <c r="D94" s="370">
        <v>12</v>
      </c>
      <c r="E94" s="371" t="s">
        <v>1414</v>
      </c>
      <c r="F94" s="372">
        <v>4721</v>
      </c>
      <c r="G94" s="435" t="s">
        <v>1415</v>
      </c>
      <c r="H94" s="372">
        <v>0</v>
      </c>
      <c r="I94" s="372">
        <v>4721</v>
      </c>
      <c r="J94" s="435" t="s">
        <v>1415</v>
      </c>
      <c r="K94" s="372">
        <v>0</v>
      </c>
      <c r="L94" s="435" t="s">
        <v>1415</v>
      </c>
      <c r="M94" s="370">
        <v>0</v>
      </c>
      <c r="N94" s="435" t="s">
        <v>1415</v>
      </c>
      <c r="O94" s="372">
        <v>0</v>
      </c>
      <c r="P94" s="373">
        <v>0</v>
      </c>
      <c r="Q94" s="435" t="s">
        <v>1415</v>
      </c>
      <c r="R94" s="372">
        <v>4721</v>
      </c>
      <c r="S94" s="373">
        <v>1</v>
      </c>
      <c r="T94" s="370" t="s">
        <v>890</v>
      </c>
      <c r="U94" s="370" t="s">
        <v>890</v>
      </c>
      <c r="V94" s="370">
        <v>0</v>
      </c>
      <c r="W94" s="370">
        <v>0</v>
      </c>
      <c r="X94" s="436"/>
      <c r="Y94" s="436" t="s">
        <v>144</v>
      </c>
      <c r="Z94" s="374" t="s">
        <v>144</v>
      </c>
    </row>
    <row r="95" spans="1:26" hidden="1" x14ac:dyDescent="0.35">
      <c r="A95" s="437" t="str">
        <f t="shared" si="1"/>
        <v>B05.00_0130_TYP_PRTCTN_VL</v>
      </c>
      <c r="B95" s="368" t="s">
        <v>813</v>
      </c>
      <c r="C95" s="369" t="s">
        <v>1025</v>
      </c>
      <c r="D95" s="370">
        <v>12</v>
      </c>
      <c r="E95" s="371" t="s">
        <v>1414</v>
      </c>
      <c r="F95" s="372">
        <v>4721</v>
      </c>
      <c r="G95" s="435" t="s">
        <v>1415</v>
      </c>
      <c r="H95" s="372">
        <v>0</v>
      </c>
      <c r="I95" s="372">
        <v>4721</v>
      </c>
      <c r="J95" s="435" t="s">
        <v>1415</v>
      </c>
      <c r="K95" s="372">
        <v>0</v>
      </c>
      <c r="L95" s="435" t="s">
        <v>1415</v>
      </c>
      <c r="M95" s="370">
        <v>0</v>
      </c>
      <c r="N95" s="435" t="s">
        <v>1415</v>
      </c>
      <c r="O95" s="372">
        <v>0</v>
      </c>
      <c r="P95" s="373">
        <v>0</v>
      </c>
      <c r="Q95" s="435" t="s">
        <v>1415</v>
      </c>
      <c r="R95" s="372">
        <v>4721</v>
      </c>
      <c r="S95" s="373">
        <v>1</v>
      </c>
      <c r="T95" s="370" t="s">
        <v>890</v>
      </c>
      <c r="U95" s="370" t="s">
        <v>890</v>
      </c>
      <c r="V95" s="370">
        <v>0</v>
      </c>
      <c r="W95" s="370">
        <v>4730</v>
      </c>
      <c r="X95" s="436"/>
      <c r="Y95" s="436" t="s">
        <v>144</v>
      </c>
      <c r="Z95" s="374" t="s">
        <v>144</v>
      </c>
    </row>
    <row r="96" spans="1:26" hidden="1" x14ac:dyDescent="0.35">
      <c r="A96" s="437" t="str">
        <f t="shared" si="1"/>
        <v>B05.00_0140_DT_VLTN_SCRTY</v>
      </c>
      <c r="B96" s="368" t="s">
        <v>813</v>
      </c>
      <c r="C96" s="369" t="s">
        <v>1026</v>
      </c>
      <c r="D96" s="370">
        <v>12</v>
      </c>
      <c r="E96" s="371" t="s">
        <v>1414</v>
      </c>
      <c r="F96" s="372">
        <v>4721</v>
      </c>
      <c r="G96" s="435" t="s">
        <v>1415</v>
      </c>
      <c r="H96" s="372">
        <v>0</v>
      </c>
      <c r="I96" s="372">
        <v>4721</v>
      </c>
      <c r="J96" s="435" t="s">
        <v>1415</v>
      </c>
      <c r="K96" s="372">
        <v>0</v>
      </c>
      <c r="L96" s="435" t="s">
        <v>1415</v>
      </c>
      <c r="M96" s="370">
        <v>0</v>
      </c>
      <c r="N96" s="435" t="s">
        <v>1415</v>
      </c>
      <c r="O96" s="372">
        <v>0</v>
      </c>
      <c r="P96" s="373">
        <v>0</v>
      </c>
      <c r="Q96" s="435" t="s">
        <v>1415</v>
      </c>
      <c r="R96" s="372">
        <v>4721</v>
      </c>
      <c r="S96" s="373">
        <v>1</v>
      </c>
      <c r="T96" s="370" t="s">
        <v>922</v>
      </c>
      <c r="U96" s="370" t="s">
        <v>922</v>
      </c>
      <c r="V96" s="370" t="s">
        <v>1086</v>
      </c>
      <c r="W96" s="370" t="s">
        <v>1086</v>
      </c>
      <c r="X96" s="436"/>
      <c r="Y96" s="436" t="s">
        <v>144</v>
      </c>
      <c r="Z96" s="374" t="s">
        <v>144</v>
      </c>
    </row>
    <row r="97" spans="1:26" hidden="1" x14ac:dyDescent="0.35">
      <c r="A97" s="437" t="str">
        <f t="shared" si="1"/>
        <v>B05.00_0150_PRTCTN_VLTN_APPRCH</v>
      </c>
      <c r="B97" s="368" t="s">
        <v>813</v>
      </c>
      <c r="C97" s="369" t="s">
        <v>1027</v>
      </c>
      <c r="D97" s="370">
        <v>12</v>
      </c>
      <c r="E97" s="371" t="s">
        <v>1414</v>
      </c>
      <c r="F97" s="372">
        <v>4721</v>
      </c>
      <c r="G97" s="435" t="s">
        <v>1415</v>
      </c>
      <c r="H97" s="372">
        <v>0</v>
      </c>
      <c r="I97" s="372">
        <v>4721</v>
      </c>
      <c r="J97" s="435" t="s">
        <v>1415</v>
      </c>
      <c r="K97" s="372">
        <v>0</v>
      </c>
      <c r="L97" s="435" t="s">
        <v>1415</v>
      </c>
      <c r="M97" s="370">
        <v>0</v>
      </c>
      <c r="N97" s="435" t="s">
        <v>1415</v>
      </c>
      <c r="O97" s="372">
        <v>0</v>
      </c>
      <c r="P97" s="373">
        <v>0</v>
      </c>
      <c r="Q97" s="435" t="s">
        <v>1415</v>
      </c>
      <c r="R97" s="372">
        <v>4721</v>
      </c>
      <c r="S97" s="373">
        <v>1</v>
      </c>
      <c r="T97" s="370" t="s">
        <v>890</v>
      </c>
      <c r="U97" s="370" t="s">
        <v>890</v>
      </c>
      <c r="V97" s="370">
        <v>0</v>
      </c>
      <c r="W97" s="370">
        <v>4730</v>
      </c>
      <c r="X97" s="436"/>
      <c r="Y97" s="436" t="s">
        <v>144</v>
      </c>
      <c r="Z97" s="374" t="s">
        <v>144</v>
      </c>
    </row>
    <row r="98" spans="1:26" hidden="1" x14ac:dyDescent="0.35">
      <c r="A98" s="437" t="str">
        <f t="shared" si="1"/>
        <v>B90.00_0010_ROW_NMBR</v>
      </c>
      <c r="B98" s="368" t="s">
        <v>832</v>
      </c>
      <c r="C98" s="369" t="s">
        <v>935</v>
      </c>
      <c r="D98" s="370">
        <v>18</v>
      </c>
      <c r="E98" s="371" t="s">
        <v>1414</v>
      </c>
      <c r="F98" s="372">
        <v>4730</v>
      </c>
      <c r="G98" s="435" t="s">
        <v>1415</v>
      </c>
      <c r="H98" s="372">
        <v>4727</v>
      </c>
      <c r="I98" s="372">
        <v>4731</v>
      </c>
      <c r="J98" s="435" t="s">
        <v>1415</v>
      </c>
      <c r="K98" s="372">
        <v>0</v>
      </c>
      <c r="L98" s="435" t="s">
        <v>1415</v>
      </c>
      <c r="M98" s="370">
        <v>0</v>
      </c>
      <c r="N98" s="435" t="s">
        <v>1415</v>
      </c>
      <c r="O98" s="372">
        <v>0</v>
      </c>
      <c r="P98" s="373">
        <v>0</v>
      </c>
      <c r="Q98" s="435" t="s">
        <v>1415</v>
      </c>
      <c r="R98" s="372">
        <v>1</v>
      </c>
      <c r="S98" s="373">
        <v>2.1141649048625792E-4</v>
      </c>
      <c r="T98" s="370">
        <v>1</v>
      </c>
      <c r="U98" s="370">
        <v>4740</v>
      </c>
      <c r="V98" s="370">
        <v>0</v>
      </c>
      <c r="W98" s="370">
        <v>0</v>
      </c>
      <c r="X98" s="436"/>
      <c r="Y98" s="436" t="s">
        <v>144</v>
      </c>
      <c r="Z98" s="374" t="s">
        <v>911</v>
      </c>
    </row>
    <row r="99" spans="1:26" hidden="1" x14ac:dyDescent="0.35">
      <c r="A99" s="437" t="str">
        <f t="shared" si="1"/>
        <v>B90.00_0011_TAB_ORIGIN</v>
      </c>
      <c r="B99" s="368" t="s">
        <v>832</v>
      </c>
      <c r="C99" s="369" t="s">
        <v>1028</v>
      </c>
      <c r="D99" s="370">
        <v>18</v>
      </c>
      <c r="E99" s="371" t="s">
        <v>1414</v>
      </c>
      <c r="F99" s="372">
        <v>4730</v>
      </c>
      <c r="G99" s="435" t="s">
        <v>1415</v>
      </c>
      <c r="H99" s="372">
        <v>0</v>
      </c>
      <c r="I99" s="372">
        <v>4731</v>
      </c>
      <c r="J99" s="435" t="s">
        <v>1415</v>
      </c>
      <c r="K99" s="372">
        <v>0</v>
      </c>
      <c r="L99" s="435" t="s">
        <v>1415</v>
      </c>
      <c r="M99" s="370">
        <v>0</v>
      </c>
      <c r="N99" s="435" t="s">
        <v>1415</v>
      </c>
      <c r="O99" s="372">
        <v>0</v>
      </c>
      <c r="P99" s="373">
        <v>0</v>
      </c>
      <c r="Q99" s="435" t="s">
        <v>1415</v>
      </c>
      <c r="R99" s="372">
        <v>0</v>
      </c>
      <c r="S99" s="373">
        <v>0</v>
      </c>
      <c r="T99" s="370" t="s">
        <v>757</v>
      </c>
      <c r="U99" s="370" t="s">
        <v>638</v>
      </c>
      <c r="V99" s="370">
        <v>0</v>
      </c>
      <c r="W99" s="370">
        <v>0</v>
      </c>
      <c r="X99" s="436"/>
      <c r="Y99" s="436" t="s">
        <v>144</v>
      </c>
      <c r="Z99" s="374" t="s">
        <v>144</v>
      </c>
    </row>
    <row r="100" spans="1:26" hidden="1" x14ac:dyDescent="0.35">
      <c r="A100" s="437" t="str">
        <f t="shared" si="1"/>
        <v>B90.00_0020_UNIQ_ID_KNWN_CNTRPRTY</v>
      </c>
      <c r="B100" s="368" t="s">
        <v>832</v>
      </c>
      <c r="C100" s="369" t="s">
        <v>1029</v>
      </c>
      <c r="D100" s="370">
        <v>18</v>
      </c>
      <c r="E100" s="371" t="s">
        <v>1414</v>
      </c>
      <c r="F100" s="372">
        <v>4730</v>
      </c>
      <c r="G100" s="435" t="s">
        <v>1415</v>
      </c>
      <c r="H100" s="372">
        <v>0</v>
      </c>
      <c r="I100" s="372">
        <v>4731</v>
      </c>
      <c r="J100" s="435" t="s">
        <v>1415</v>
      </c>
      <c r="K100" s="372">
        <v>0</v>
      </c>
      <c r="L100" s="435" t="s">
        <v>1415</v>
      </c>
      <c r="M100" s="370">
        <v>4721</v>
      </c>
      <c r="N100" s="435" t="s">
        <v>1415</v>
      </c>
      <c r="O100" s="372">
        <v>0</v>
      </c>
      <c r="P100" s="373">
        <v>0</v>
      </c>
      <c r="Q100" s="435" t="s">
        <v>1415</v>
      </c>
      <c r="R100" s="372">
        <v>0</v>
      </c>
      <c r="S100" s="373">
        <v>0</v>
      </c>
      <c r="T100" s="370" t="s">
        <v>1325</v>
      </c>
      <c r="U100" s="370" t="s">
        <v>1287</v>
      </c>
      <c r="V100" s="370">
        <v>0</v>
      </c>
      <c r="W100" s="370">
        <v>0</v>
      </c>
      <c r="X100" s="436" t="s">
        <v>1424</v>
      </c>
      <c r="Y100" s="436" t="s">
        <v>144</v>
      </c>
      <c r="Z100" s="374" t="s">
        <v>144</v>
      </c>
    </row>
    <row r="101" spans="1:26" hidden="1" x14ac:dyDescent="0.35">
      <c r="A101" s="437" t="str">
        <f t="shared" si="1"/>
        <v>B90.00_0030_CNTRPRTY_RSLTN_GRP</v>
      </c>
      <c r="B101" s="368" t="s">
        <v>832</v>
      </c>
      <c r="C101" s="369" t="s">
        <v>1030</v>
      </c>
      <c r="D101" s="370">
        <v>34</v>
      </c>
      <c r="E101" s="371" t="s">
        <v>1414</v>
      </c>
      <c r="F101" s="372">
        <v>4730</v>
      </c>
      <c r="G101" s="435" t="s">
        <v>1415</v>
      </c>
      <c r="H101" s="372">
        <v>28</v>
      </c>
      <c r="I101" s="372">
        <v>4731</v>
      </c>
      <c r="J101" s="435" t="s">
        <v>1415</v>
      </c>
      <c r="K101" s="372">
        <v>0</v>
      </c>
      <c r="L101" s="435" t="s">
        <v>1415</v>
      </c>
      <c r="M101" s="370">
        <v>0</v>
      </c>
      <c r="N101" s="435" t="s">
        <v>1415</v>
      </c>
      <c r="O101" s="372">
        <v>0</v>
      </c>
      <c r="P101" s="373">
        <v>0</v>
      </c>
      <c r="Q101" s="435" t="s">
        <v>1415</v>
      </c>
      <c r="R101" s="372">
        <v>0</v>
      </c>
      <c r="S101" s="373">
        <v>0</v>
      </c>
      <c r="T101" s="370" t="s">
        <v>1425</v>
      </c>
      <c r="U101" s="370" t="s">
        <v>1408</v>
      </c>
      <c r="V101" s="370">
        <v>4740</v>
      </c>
      <c r="W101" s="370">
        <v>0</v>
      </c>
      <c r="X101" s="436"/>
      <c r="Y101" s="436" t="s">
        <v>144</v>
      </c>
      <c r="Z101" s="374" t="s">
        <v>911</v>
      </c>
    </row>
    <row r="102" spans="1:26" x14ac:dyDescent="0.35">
      <c r="A102" s="437" t="str">
        <f t="shared" si="1"/>
        <v>B90.00_0040_CNTRPRTY_NM</v>
      </c>
      <c r="B102" s="368" t="s">
        <v>832</v>
      </c>
      <c r="C102" s="369" t="s">
        <v>1031</v>
      </c>
      <c r="D102" s="370">
        <v>23</v>
      </c>
      <c r="E102" s="371" t="s">
        <v>1414</v>
      </c>
      <c r="F102" s="372">
        <v>4730</v>
      </c>
      <c r="G102" s="435" t="s">
        <v>1415</v>
      </c>
      <c r="H102" s="372">
        <v>2</v>
      </c>
      <c r="I102" s="372">
        <v>4731</v>
      </c>
      <c r="J102" s="435" t="s">
        <v>1415</v>
      </c>
      <c r="K102" s="372">
        <v>2</v>
      </c>
      <c r="L102" s="435" t="s">
        <v>1415</v>
      </c>
      <c r="M102" s="370">
        <v>0</v>
      </c>
      <c r="N102" s="435" t="s">
        <v>1415</v>
      </c>
      <c r="O102" s="372">
        <v>0</v>
      </c>
      <c r="P102" s="373">
        <v>0</v>
      </c>
      <c r="Q102" s="435" t="s">
        <v>1415</v>
      </c>
      <c r="R102" s="372">
        <v>0</v>
      </c>
      <c r="S102" s="373">
        <v>0</v>
      </c>
      <c r="T102" s="370" t="s">
        <v>1384</v>
      </c>
      <c r="U102" s="370" t="s">
        <v>1385</v>
      </c>
      <c r="V102" s="370">
        <v>0</v>
      </c>
      <c r="W102" s="370">
        <v>2</v>
      </c>
      <c r="X102" s="436"/>
      <c r="Y102" s="436" t="s">
        <v>144</v>
      </c>
      <c r="Z102" s="374" t="s">
        <v>911</v>
      </c>
    </row>
    <row r="103" spans="1:26" hidden="1" x14ac:dyDescent="0.35">
      <c r="A103" s="437" t="str">
        <f t="shared" si="1"/>
        <v>B90.00_0050_CNTRPRTY_LEI</v>
      </c>
      <c r="B103" s="368" t="s">
        <v>832</v>
      </c>
      <c r="C103" s="369" t="s">
        <v>1032</v>
      </c>
      <c r="D103" s="370">
        <v>30</v>
      </c>
      <c r="E103" s="371" t="s">
        <v>1414</v>
      </c>
      <c r="F103" s="372">
        <v>4730</v>
      </c>
      <c r="G103" s="435" t="s">
        <v>1415</v>
      </c>
      <c r="H103" s="372">
        <v>0</v>
      </c>
      <c r="I103" s="372">
        <v>4731</v>
      </c>
      <c r="J103" s="435" t="s">
        <v>1415</v>
      </c>
      <c r="K103" s="372">
        <v>0</v>
      </c>
      <c r="L103" s="435" t="s">
        <v>1415</v>
      </c>
      <c r="M103" s="370">
        <v>0</v>
      </c>
      <c r="N103" s="435" t="s">
        <v>1415</v>
      </c>
      <c r="O103" s="372">
        <v>0</v>
      </c>
      <c r="P103" s="373">
        <v>0</v>
      </c>
      <c r="Q103" s="435" t="s">
        <v>1415</v>
      </c>
      <c r="R103" s="372">
        <v>2</v>
      </c>
      <c r="S103" s="373">
        <v>4.2283298097251583E-4</v>
      </c>
      <c r="T103" s="370" t="s">
        <v>1386</v>
      </c>
      <c r="U103" s="370" t="s">
        <v>890</v>
      </c>
      <c r="V103" s="370">
        <v>0</v>
      </c>
      <c r="W103" s="370">
        <v>0</v>
      </c>
      <c r="X103" s="436"/>
      <c r="Y103" s="436" t="s">
        <v>144</v>
      </c>
      <c r="Z103" s="374" t="s">
        <v>144</v>
      </c>
    </row>
    <row r="104" spans="1:26" hidden="1" x14ac:dyDescent="0.35">
      <c r="A104" s="437" t="str">
        <f t="shared" si="1"/>
        <v>B90.00_0060_TYP_CNTRPRTY_ID</v>
      </c>
      <c r="B104" s="368" t="s">
        <v>832</v>
      </c>
      <c r="C104" s="369" t="s">
        <v>1033</v>
      </c>
      <c r="D104" s="370">
        <v>29</v>
      </c>
      <c r="E104" s="371" t="s">
        <v>1414</v>
      </c>
      <c r="F104" s="372">
        <v>4730</v>
      </c>
      <c r="G104" s="435" t="s">
        <v>1415</v>
      </c>
      <c r="H104" s="372">
        <v>0</v>
      </c>
      <c r="I104" s="372">
        <v>4731</v>
      </c>
      <c r="J104" s="435" t="s">
        <v>1415</v>
      </c>
      <c r="K104" s="372">
        <v>0</v>
      </c>
      <c r="L104" s="435" t="s">
        <v>1415</v>
      </c>
      <c r="M104" s="370">
        <v>0</v>
      </c>
      <c r="N104" s="435" t="s">
        <v>1415</v>
      </c>
      <c r="O104" s="372">
        <v>0</v>
      </c>
      <c r="P104" s="373">
        <v>0</v>
      </c>
      <c r="Q104" s="435" t="s">
        <v>1415</v>
      </c>
      <c r="R104" s="372">
        <v>2</v>
      </c>
      <c r="S104" s="373">
        <v>4.2283298097251583E-4</v>
      </c>
      <c r="T104" s="370" t="s">
        <v>1073</v>
      </c>
      <c r="U104" s="370" t="s">
        <v>890</v>
      </c>
      <c r="V104" s="370">
        <v>0</v>
      </c>
      <c r="W104" s="370">
        <v>0</v>
      </c>
      <c r="X104" s="436"/>
      <c r="Y104" s="436" t="s">
        <v>144</v>
      </c>
      <c r="Z104" s="374" t="s">
        <v>144</v>
      </c>
    </row>
    <row r="105" spans="1:26" hidden="1" x14ac:dyDescent="0.35">
      <c r="A105" s="437" t="str">
        <f t="shared" si="1"/>
        <v>B90.00_0070_CNTRPRTY_ID</v>
      </c>
      <c r="B105" s="368" t="s">
        <v>832</v>
      </c>
      <c r="C105" s="369" t="s">
        <v>1034</v>
      </c>
      <c r="D105" s="370">
        <v>24</v>
      </c>
      <c r="E105" s="371" t="s">
        <v>1414</v>
      </c>
      <c r="F105" s="372">
        <v>4730</v>
      </c>
      <c r="G105" s="435" t="s">
        <v>1415</v>
      </c>
      <c r="H105" s="372">
        <v>0</v>
      </c>
      <c r="I105" s="372">
        <v>4731</v>
      </c>
      <c r="J105" s="435" t="s">
        <v>1415</v>
      </c>
      <c r="K105" s="372">
        <v>0</v>
      </c>
      <c r="L105" s="435" t="s">
        <v>1415</v>
      </c>
      <c r="M105" s="370">
        <v>0</v>
      </c>
      <c r="N105" s="435" t="s">
        <v>1415</v>
      </c>
      <c r="O105" s="372">
        <v>0</v>
      </c>
      <c r="P105" s="373">
        <v>0</v>
      </c>
      <c r="Q105" s="435" t="s">
        <v>1415</v>
      </c>
      <c r="R105" s="372">
        <v>2</v>
      </c>
      <c r="S105" s="373">
        <v>4.2283298097251583E-4</v>
      </c>
      <c r="T105" s="370" t="s">
        <v>1331</v>
      </c>
      <c r="U105" s="370" t="s">
        <v>890</v>
      </c>
      <c r="V105" s="370">
        <v>0</v>
      </c>
      <c r="W105" s="370">
        <v>0</v>
      </c>
      <c r="X105" s="436"/>
      <c r="Y105" s="436" t="s">
        <v>144</v>
      </c>
      <c r="Z105" s="374" t="s">
        <v>144</v>
      </c>
    </row>
    <row r="106" spans="1:26" hidden="1" x14ac:dyDescent="0.35">
      <c r="A106" s="437" t="str">
        <f t="shared" si="1"/>
        <v>B90.00_0080_CNTRPRTY_TYP</v>
      </c>
      <c r="B106" s="368" t="s">
        <v>832</v>
      </c>
      <c r="C106" s="369" t="s">
        <v>1035</v>
      </c>
      <c r="D106" s="370">
        <v>18</v>
      </c>
      <c r="E106" s="371" t="s">
        <v>1414</v>
      </c>
      <c r="F106" s="372">
        <v>4730</v>
      </c>
      <c r="G106" s="435" t="s">
        <v>1415</v>
      </c>
      <c r="H106" s="372">
        <v>0</v>
      </c>
      <c r="I106" s="372">
        <v>4731</v>
      </c>
      <c r="J106" s="435" t="s">
        <v>1415</v>
      </c>
      <c r="K106" s="372">
        <v>0</v>
      </c>
      <c r="L106" s="435" t="s">
        <v>1415</v>
      </c>
      <c r="M106" s="370">
        <v>2</v>
      </c>
      <c r="N106" s="435" t="s">
        <v>1415</v>
      </c>
      <c r="O106" s="372">
        <v>0</v>
      </c>
      <c r="P106" s="373">
        <v>0</v>
      </c>
      <c r="Q106" s="435" t="s">
        <v>1415</v>
      </c>
      <c r="R106" s="372">
        <v>0</v>
      </c>
      <c r="S106" s="373">
        <v>0</v>
      </c>
      <c r="T106" s="370" t="s">
        <v>1387</v>
      </c>
      <c r="U106" s="370" t="s">
        <v>1388</v>
      </c>
      <c r="V106" s="370">
        <v>0</v>
      </c>
      <c r="W106" s="370">
        <v>0</v>
      </c>
      <c r="X106" s="436" t="s">
        <v>1389</v>
      </c>
      <c r="Y106" s="436" t="s">
        <v>144</v>
      </c>
      <c r="Z106" s="374" t="s">
        <v>144</v>
      </c>
    </row>
    <row r="107" spans="1:26" hidden="1" x14ac:dyDescent="0.35">
      <c r="A107" s="437" t="str">
        <f t="shared" si="1"/>
        <v>B90.00_0090_CNTRY_CNTRPRTY</v>
      </c>
      <c r="B107" s="368" t="s">
        <v>832</v>
      </c>
      <c r="C107" s="369" t="s">
        <v>1036</v>
      </c>
      <c r="D107" s="370">
        <v>23</v>
      </c>
      <c r="E107" s="371" t="s">
        <v>1414</v>
      </c>
      <c r="F107" s="372">
        <v>4730</v>
      </c>
      <c r="G107" s="435" t="s">
        <v>1415</v>
      </c>
      <c r="H107" s="372">
        <v>0</v>
      </c>
      <c r="I107" s="372">
        <v>4731</v>
      </c>
      <c r="J107" s="435" t="s">
        <v>1415</v>
      </c>
      <c r="K107" s="372">
        <v>0</v>
      </c>
      <c r="L107" s="435" t="s">
        <v>1415</v>
      </c>
      <c r="M107" s="370">
        <v>0</v>
      </c>
      <c r="N107" s="435" t="s">
        <v>1415</v>
      </c>
      <c r="O107" s="372">
        <v>0</v>
      </c>
      <c r="P107" s="373">
        <v>0</v>
      </c>
      <c r="Q107" s="435" t="s">
        <v>1415</v>
      </c>
      <c r="R107" s="372">
        <v>2</v>
      </c>
      <c r="S107" s="373">
        <v>4.2283298097251583E-4</v>
      </c>
      <c r="T107" s="370" t="s">
        <v>1390</v>
      </c>
      <c r="U107" s="370" t="s">
        <v>1301</v>
      </c>
      <c r="V107" s="370">
        <v>2</v>
      </c>
      <c r="W107" s="370">
        <v>2</v>
      </c>
      <c r="X107" s="436"/>
      <c r="Y107" s="436" t="s">
        <v>144</v>
      </c>
      <c r="Z107" s="374" t="s">
        <v>144</v>
      </c>
    </row>
    <row r="108" spans="1:26" hidden="1" x14ac:dyDescent="0.35">
      <c r="A108" s="437" t="str">
        <f t="shared" si="1"/>
        <v>B90.00_0100_RLVNT_AMNT_WDC</v>
      </c>
      <c r="B108" s="368" t="s">
        <v>832</v>
      </c>
      <c r="C108" s="369" t="s">
        <v>1037</v>
      </c>
      <c r="D108" s="370">
        <v>34</v>
      </c>
      <c r="E108" s="371" t="s">
        <v>1414</v>
      </c>
      <c r="F108" s="372">
        <v>4730</v>
      </c>
      <c r="G108" s="435" t="s">
        <v>1415</v>
      </c>
      <c r="H108" s="372">
        <v>4</v>
      </c>
      <c r="I108" s="372">
        <v>4731</v>
      </c>
      <c r="J108" s="435" t="s">
        <v>1415</v>
      </c>
      <c r="K108" s="372">
        <v>0</v>
      </c>
      <c r="L108" s="435" t="s">
        <v>1415</v>
      </c>
      <c r="M108" s="370">
        <v>0</v>
      </c>
      <c r="N108" s="435" t="s">
        <v>1415</v>
      </c>
      <c r="O108" s="372">
        <v>0</v>
      </c>
      <c r="P108" s="373">
        <v>0</v>
      </c>
      <c r="Q108" s="435" t="s">
        <v>1415</v>
      </c>
      <c r="R108" s="372">
        <v>0</v>
      </c>
      <c r="S108" s="373">
        <v>0</v>
      </c>
      <c r="T108" s="370" t="s">
        <v>1292</v>
      </c>
      <c r="U108" s="370" t="s">
        <v>1398</v>
      </c>
      <c r="V108" s="370">
        <v>0</v>
      </c>
      <c r="W108" s="370">
        <v>0</v>
      </c>
      <c r="X108" s="436"/>
      <c r="Y108" s="436" t="s">
        <v>144</v>
      </c>
      <c r="Z108" s="374" t="s">
        <v>911</v>
      </c>
    </row>
    <row r="109" spans="1:26" hidden="1" x14ac:dyDescent="0.35">
      <c r="A109" s="437" t="str">
        <f t="shared" si="1"/>
        <v>LT001_FLAG_GAR_INTRG_SAN</v>
      </c>
      <c r="B109" s="368" t="s">
        <v>1038</v>
      </c>
      <c r="C109" s="369" t="s">
        <v>1039</v>
      </c>
      <c r="D109" s="370">
        <v>12</v>
      </c>
      <c r="E109" s="371" t="s">
        <v>1414</v>
      </c>
      <c r="F109" s="372">
        <v>14198</v>
      </c>
      <c r="G109" s="435" t="s">
        <v>1415</v>
      </c>
      <c r="H109" s="372">
        <v>0</v>
      </c>
      <c r="I109" s="372">
        <v>14274</v>
      </c>
      <c r="J109" s="435" t="s">
        <v>1415</v>
      </c>
      <c r="K109" s="372">
        <v>76</v>
      </c>
      <c r="L109" s="435" t="s">
        <v>1415</v>
      </c>
      <c r="M109" s="370">
        <v>0</v>
      </c>
      <c r="N109" s="435" t="s">
        <v>1415</v>
      </c>
      <c r="O109" s="372">
        <v>0</v>
      </c>
      <c r="P109" s="373">
        <v>0</v>
      </c>
      <c r="Q109" s="435" t="s">
        <v>1415</v>
      </c>
      <c r="R109" s="372">
        <v>0</v>
      </c>
      <c r="S109" s="373">
        <v>0</v>
      </c>
      <c r="T109" s="370" t="s">
        <v>1332</v>
      </c>
      <c r="U109" s="370" t="s">
        <v>635</v>
      </c>
      <c r="V109" s="370" t="s">
        <v>1086</v>
      </c>
      <c r="W109" s="370" t="s">
        <v>1086</v>
      </c>
      <c r="X109" s="436" t="s">
        <v>913</v>
      </c>
      <c r="Y109" s="436" t="s">
        <v>144</v>
      </c>
      <c r="Z109" s="374" t="s">
        <v>231</v>
      </c>
    </row>
    <row r="110" spans="1:26" hidden="1" x14ac:dyDescent="0.35">
      <c r="A110" s="437" t="str">
        <f t="shared" si="1"/>
        <v>LT001_FLAG_INST_CAP</v>
      </c>
      <c r="B110" s="368" t="s">
        <v>1038</v>
      </c>
      <c r="C110" s="369" t="s">
        <v>1040</v>
      </c>
      <c r="D110" s="370">
        <v>12</v>
      </c>
      <c r="E110" s="371" t="s">
        <v>1414</v>
      </c>
      <c r="F110" s="372">
        <v>14198</v>
      </c>
      <c r="G110" s="435" t="s">
        <v>1415</v>
      </c>
      <c r="H110" s="372">
        <v>0</v>
      </c>
      <c r="I110" s="372">
        <v>14274</v>
      </c>
      <c r="J110" s="435" t="s">
        <v>1415</v>
      </c>
      <c r="K110" s="372">
        <v>0</v>
      </c>
      <c r="L110" s="435" t="s">
        <v>1415</v>
      </c>
      <c r="M110" s="370">
        <v>0</v>
      </c>
      <c r="N110" s="435" t="s">
        <v>1415</v>
      </c>
      <c r="O110" s="372">
        <v>0</v>
      </c>
      <c r="P110" s="373">
        <v>0</v>
      </c>
      <c r="Q110" s="435" t="s">
        <v>1415</v>
      </c>
      <c r="R110" s="372">
        <v>0</v>
      </c>
      <c r="S110" s="373">
        <v>0</v>
      </c>
      <c r="T110" s="370" t="s">
        <v>1332</v>
      </c>
      <c r="U110" s="370" t="s">
        <v>635</v>
      </c>
      <c r="V110" s="370" t="s">
        <v>1086</v>
      </c>
      <c r="W110" s="370" t="s">
        <v>1086</v>
      </c>
      <c r="X110" s="436"/>
      <c r="Y110" s="436" t="s">
        <v>144</v>
      </c>
      <c r="Z110" s="374" t="s">
        <v>144</v>
      </c>
    </row>
    <row r="111" spans="1:26" hidden="1" x14ac:dyDescent="0.35">
      <c r="A111" s="437" t="str">
        <f t="shared" si="1"/>
        <v>LT001_FLAG_INST_DIV</v>
      </c>
      <c r="B111" s="368" t="s">
        <v>1038</v>
      </c>
      <c r="C111" s="369" t="s">
        <v>1041</v>
      </c>
      <c r="D111" s="370">
        <v>12</v>
      </c>
      <c r="E111" s="371" t="s">
        <v>1414</v>
      </c>
      <c r="F111" s="372">
        <v>14198</v>
      </c>
      <c r="G111" s="435" t="s">
        <v>1415</v>
      </c>
      <c r="H111" s="372">
        <v>0</v>
      </c>
      <c r="I111" s="372">
        <v>14274</v>
      </c>
      <c r="J111" s="435" t="s">
        <v>1415</v>
      </c>
      <c r="K111" s="372">
        <v>0</v>
      </c>
      <c r="L111" s="435" t="s">
        <v>1415</v>
      </c>
      <c r="M111" s="370">
        <v>0</v>
      </c>
      <c r="N111" s="435" t="s">
        <v>1415</v>
      </c>
      <c r="O111" s="372">
        <v>0</v>
      </c>
      <c r="P111" s="373">
        <v>0</v>
      </c>
      <c r="Q111" s="435" t="s">
        <v>1415</v>
      </c>
      <c r="R111" s="372">
        <v>0</v>
      </c>
      <c r="S111" s="373">
        <v>0</v>
      </c>
      <c r="T111" s="370" t="s">
        <v>1332</v>
      </c>
      <c r="U111" s="370" t="s">
        <v>635</v>
      </c>
      <c r="V111" s="370" t="s">
        <v>1086</v>
      </c>
      <c r="W111" s="370" t="s">
        <v>1086</v>
      </c>
      <c r="X111" s="436"/>
      <c r="Y111" s="436" t="s">
        <v>144</v>
      </c>
      <c r="Z111" s="374" t="s">
        <v>144</v>
      </c>
    </row>
    <row r="112" spans="1:26" hidden="1" x14ac:dyDescent="0.35">
      <c r="A112" s="437" t="str">
        <f t="shared" si="1"/>
        <v>LT001_FLAG_INST_TITULOS</v>
      </c>
      <c r="B112" s="368" t="s">
        <v>1038</v>
      </c>
      <c r="C112" s="369" t="s">
        <v>1042</v>
      </c>
      <c r="D112" s="370">
        <v>11</v>
      </c>
      <c r="E112" s="371" t="s">
        <v>1414</v>
      </c>
      <c r="F112" s="372">
        <v>14198</v>
      </c>
      <c r="G112" s="435" t="s">
        <v>1415</v>
      </c>
      <c r="H112" s="372">
        <v>0</v>
      </c>
      <c r="I112" s="372">
        <v>14274</v>
      </c>
      <c r="J112" s="435" t="s">
        <v>1415</v>
      </c>
      <c r="K112" s="372">
        <v>0</v>
      </c>
      <c r="L112" s="435" t="s">
        <v>1415</v>
      </c>
      <c r="M112" s="370">
        <v>0</v>
      </c>
      <c r="N112" s="435" t="s">
        <v>1415</v>
      </c>
      <c r="O112" s="372">
        <v>0</v>
      </c>
      <c r="P112" s="373">
        <v>0</v>
      </c>
      <c r="Q112" s="435" t="s">
        <v>1415</v>
      </c>
      <c r="R112" s="372">
        <v>0</v>
      </c>
      <c r="S112" s="373">
        <v>0</v>
      </c>
      <c r="T112" s="370" t="s">
        <v>1332</v>
      </c>
      <c r="U112" s="370" t="s">
        <v>635</v>
      </c>
      <c r="V112" s="370" t="s">
        <v>1086</v>
      </c>
      <c r="W112" s="370" t="s">
        <v>1086</v>
      </c>
      <c r="X112" s="436"/>
      <c r="Y112" s="436" t="s">
        <v>144</v>
      </c>
      <c r="Z112" s="374" t="s">
        <v>144</v>
      </c>
    </row>
    <row r="113" spans="1:26" hidden="1" x14ac:dyDescent="0.35">
      <c r="A113" s="437" t="str">
        <f t="shared" si="1"/>
        <v>LT002_ACCNTNG_CLSSFCTN</v>
      </c>
      <c r="B113" s="368" t="s">
        <v>1043</v>
      </c>
      <c r="C113" s="369" t="s">
        <v>1044</v>
      </c>
      <c r="D113" s="370">
        <v>12</v>
      </c>
      <c r="E113" s="371" t="s">
        <v>1414</v>
      </c>
      <c r="F113" s="372">
        <v>4734</v>
      </c>
      <c r="G113" s="435" t="s">
        <v>1415</v>
      </c>
      <c r="H113" s="372">
        <v>0</v>
      </c>
      <c r="I113" s="372">
        <v>4734</v>
      </c>
      <c r="J113" s="435" t="s">
        <v>1415</v>
      </c>
      <c r="K113" s="372">
        <v>0</v>
      </c>
      <c r="L113" s="435" t="s">
        <v>1415</v>
      </c>
      <c r="M113" s="370">
        <v>0</v>
      </c>
      <c r="N113" s="435" t="s">
        <v>1415</v>
      </c>
      <c r="O113" s="372">
        <v>0</v>
      </c>
      <c r="P113" s="373">
        <v>0</v>
      </c>
      <c r="Q113" s="435" t="s">
        <v>1415</v>
      </c>
      <c r="R113" s="372">
        <v>0</v>
      </c>
      <c r="S113" s="373">
        <v>0</v>
      </c>
      <c r="T113" s="370" t="s">
        <v>1320</v>
      </c>
      <c r="U113" s="370" t="s">
        <v>679</v>
      </c>
      <c r="V113" s="370" t="s">
        <v>1086</v>
      </c>
      <c r="W113" s="370" t="s">
        <v>1086</v>
      </c>
      <c r="X113" s="436"/>
      <c r="Y113" s="436" t="s">
        <v>144</v>
      </c>
      <c r="Z113" s="374" t="s">
        <v>144</v>
      </c>
    </row>
    <row r="114" spans="1:26" hidden="1" x14ac:dyDescent="0.35">
      <c r="A114" s="437" t="str">
        <f t="shared" si="1"/>
        <v>LT002_ACCRD_INTRST_INSTRMNT</v>
      </c>
      <c r="B114" s="368" t="s">
        <v>1043</v>
      </c>
      <c r="C114" s="369" t="s">
        <v>1045</v>
      </c>
      <c r="D114" s="370">
        <v>18</v>
      </c>
      <c r="E114" s="371" t="s">
        <v>1414</v>
      </c>
      <c r="F114" s="372">
        <v>4734</v>
      </c>
      <c r="G114" s="435" t="s">
        <v>1415</v>
      </c>
      <c r="H114" s="372">
        <v>4</v>
      </c>
      <c r="I114" s="372">
        <v>4734</v>
      </c>
      <c r="J114" s="435" t="s">
        <v>1415</v>
      </c>
      <c r="K114" s="372">
        <v>0</v>
      </c>
      <c r="L114" s="435" t="s">
        <v>1415</v>
      </c>
      <c r="M114" s="370">
        <v>0</v>
      </c>
      <c r="N114" s="435" t="s">
        <v>1415</v>
      </c>
      <c r="O114" s="372">
        <v>0</v>
      </c>
      <c r="P114" s="373">
        <v>0</v>
      </c>
      <c r="Q114" s="435" t="s">
        <v>1415</v>
      </c>
      <c r="R114" s="372">
        <v>0</v>
      </c>
      <c r="S114" s="373">
        <v>0</v>
      </c>
      <c r="T114" s="370" t="s">
        <v>1292</v>
      </c>
      <c r="U114" s="370" t="s">
        <v>1290</v>
      </c>
      <c r="V114" s="370" t="s">
        <v>1086</v>
      </c>
      <c r="W114" s="370" t="s">
        <v>1086</v>
      </c>
      <c r="X114" s="436"/>
      <c r="Y114" s="436" t="s">
        <v>144</v>
      </c>
      <c r="Z114" s="374" t="s">
        <v>911</v>
      </c>
    </row>
    <row r="115" spans="1:26" hidden="1" x14ac:dyDescent="0.35">
      <c r="A115" s="437" t="str">
        <f t="shared" si="1"/>
        <v>LT002_AMNT_SCRTY_EUR</v>
      </c>
      <c r="B115" s="368" t="s">
        <v>1043</v>
      </c>
      <c r="C115" s="369" t="s">
        <v>1046</v>
      </c>
      <c r="D115" s="370">
        <v>12</v>
      </c>
      <c r="E115" s="371" t="s">
        <v>1414</v>
      </c>
      <c r="F115" s="372">
        <v>4734</v>
      </c>
      <c r="G115" s="435" t="s">
        <v>1415</v>
      </c>
      <c r="H115" s="372">
        <v>0</v>
      </c>
      <c r="I115" s="372">
        <v>4734</v>
      </c>
      <c r="J115" s="435" t="s">
        <v>1415</v>
      </c>
      <c r="K115" s="372">
        <v>0</v>
      </c>
      <c r="L115" s="435" t="s">
        <v>1415</v>
      </c>
      <c r="M115" s="370">
        <v>0</v>
      </c>
      <c r="N115" s="435" t="s">
        <v>1415</v>
      </c>
      <c r="O115" s="372">
        <v>0</v>
      </c>
      <c r="P115" s="373">
        <v>0</v>
      </c>
      <c r="Q115" s="435" t="s">
        <v>1415</v>
      </c>
      <c r="R115" s="372">
        <v>0</v>
      </c>
      <c r="S115" s="373">
        <v>0</v>
      </c>
      <c r="T115" s="370" t="s">
        <v>1306</v>
      </c>
      <c r="U115" s="370" t="s">
        <v>1290</v>
      </c>
      <c r="V115" s="370" t="s">
        <v>1086</v>
      </c>
      <c r="W115" s="370" t="s">
        <v>1086</v>
      </c>
      <c r="X115" s="436" t="s">
        <v>1333</v>
      </c>
      <c r="Y115" s="436" t="s">
        <v>144</v>
      </c>
      <c r="Z115" s="374" t="s">
        <v>144</v>
      </c>
    </row>
    <row r="116" spans="1:26" hidden="1" x14ac:dyDescent="0.35">
      <c r="A116" s="437" t="str">
        <f t="shared" si="1"/>
        <v>LT002_AMNT_SCRTY_FX</v>
      </c>
      <c r="B116" s="368" t="s">
        <v>1043</v>
      </c>
      <c r="C116" s="369" t="s">
        <v>1047</v>
      </c>
      <c r="D116" s="370">
        <v>12</v>
      </c>
      <c r="E116" s="371" t="s">
        <v>1414</v>
      </c>
      <c r="F116" s="372">
        <v>4734</v>
      </c>
      <c r="G116" s="435" t="s">
        <v>1415</v>
      </c>
      <c r="H116" s="372">
        <v>0</v>
      </c>
      <c r="I116" s="372">
        <v>4734</v>
      </c>
      <c r="J116" s="435" t="s">
        <v>1415</v>
      </c>
      <c r="K116" s="372">
        <v>0</v>
      </c>
      <c r="L116" s="435" t="s">
        <v>1415</v>
      </c>
      <c r="M116" s="370">
        <v>0</v>
      </c>
      <c r="N116" s="435" t="s">
        <v>1415</v>
      </c>
      <c r="O116" s="372">
        <v>0</v>
      </c>
      <c r="P116" s="373">
        <v>0</v>
      </c>
      <c r="Q116" s="435" t="s">
        <v>1415</v>
      </c>
      <c r="R116" s="372">
        <v>0</v>
      </c>
      <c r="S116" s="373">
        <v>0</v>
      </c>
      <c r="T116" s="370" t="s">
        <v>1306</v>
      </c>
      <c r="U116" s="370" t="s">
        <v>1290</v>
      </c>
      <c r="V116" s="370" t="s">
        <v>1086</v>
      </c>
      <c r="W116" s="370" t="s">
        <v>1086</v>
      </c>
      <c r="X116" s="436"/>
      <c r="Y116" s="436" t="s">
        <v>144</v>
      </c>
      <c r="Z116" s="374" t="s">
        <v>144</v>
      </c>
    </row>
    <row r="117" spans="1:26" hidden="1" x14ac:dyDescent="0.35">
      <c r="A117" s="437" t="str">
        <f t="shared" si="1"/>
        <v>LT002_CRRNCY_DNMNTN</v>
      </c>
      <c r="B117" s="368" t="s">
        <v>1043</v>
      </c>
      <c r="C117" s="369" t="s">
        <v>1048</v>
      </c>
      <c r="D117" s="370">
        <v>12</v>
      </c>
      <c r="E117" s="371" t="s">
        <v>1414</v>
      </c>
      <c r="F117" s="372">
        <v>4734</v>
      </c>
      <c r="G117" s="435" t="s">
        <v>1415</v>
      </c>
      <c r="H117" s="372">
        <v>0</v>
      </c>
      <c r="I117" s="372">
        <v>4734</v>
      </c>
      <c r="J117" s="435" t="s">
        <v>1415</v>
      </c>
      <c r="K117" s="372">
        <v>0</v>
      </c>
      <c r="L117" s="435" t="s">
        <v>1415</v>
      </c>
      <c r="M117" s="370">
        <v>0</v>
      </c>
      <c r="N117" s="435" t="s">
        <v>1415</v>
      </c>
      <c r="O117" s="372">
        <v>0</v>
      </c>
      <c r="P117" s="373">
        <v>0</v>
      </c>
      <c r="Q117" s="435" t="s">
        <v>1415</v>
      </c>
      <c r="R117" s="372">
        <v>0</v>
      </c>
      <c r="S117" s="373">
        <v>0</v>
      </c>
      <c r="T117" s="370" t="s">
        <v>1291</v>
      </c>
      <c r="U117" s="370" t="s">
        <v>1291</v>
      </c>
      <c r="V117" s="370" t="s">
        <v>1086</v>
      </c>
      <c r="W117" s="370" t="s">
        <v>1086</v>
      </c>
      <c r="X117" s="436"/>
      <c r="Y117" s="436" t="s">
        <v>144</v>
      </c>
      <c r="Z117" s="374" t="s">
        <v>144</v>
      </c>
    </row>
    <row r="118" spans="1:26" hidden="1" x14ac:dyDescent="0.35">
      <c r="A118" s="437" t="str">
        <f t="shared" si="1"/>
        <v>LT002_CRRYNG_AMNT_INSTRMNT</v>
      </c>
      <c r="B118" s="368" t="s">
        <v>1043</v>
      </c>
      <c r="C118" s="369" t="s">
        <v>1049</v>
      </c>
      <c r="D118" s="370">
        <v>17</v>
      </c>
      <c r="E118" s="371" t="s">
        <v>1414</v>
      </c>
      <c r="F118" s="372">
        <v>4734</v>
      </c>
      <c r="G118" s="435" t="s">
        <v>1415</v>
      </c>
      <c r="H118" s="372">
        <v>0</v>
      </c>
      <c r="I118" s="372">
        <v>4734</v>
      </c>
      <c r="J118" s="435" t="s">
        <v>1415</v>
      </c>
      <c r="K118" s="372">
        <v>0</v>
      </c>
      <c r="L118" s="435" t="s">
        <v>1415</v>
      </c>
      <c r="M118" s="370">
        <v>0</v>
      </c>
      <c r="N118" s="435" t="s">
        <v>1415</v>
      </c>
      <c r="O118" s="372">
        <v>0</v>
      </c>
      <c r="P118" s="373">
        <v>0</v>
      </c>
      <c r="Q118" s="435" t="s">
        <v>1415</v>
      </c>
      <c r="R118" s="372">
        <v>0</v>
      </c>
      <c r="S118" s="373">
        <v>0</v>
      </c>
      <c r="T118" s="370" t="s">
        <v>1334</v>
      </c>
      <c r="U118" s="370" t="s">
        <v>1335</v>
      </c>
      <c r="V118" s="370" t="s">
        <v>1086</v>
      </c>
      <c r="W118" s="370" t="s">
        <v>1086</v>
      </c>
      <c r="X118" s="436"/>
      <c r="Y118" s="436" t="s">
        <v>144</v>
      </c>
      <c r="Z118" s="374" t="s">
        <v>144</v>
      </c>
    </row>
    <row r="119" spans="1:26" hidden="1" x14ac:dyDescent="0.35">
      <c r="A119" s="437" t="str">
        <f t="shared" si="1"/>
        <v>LT002_CSD</v>
      </c>
      <c r="B119" s="368" t="s">
        <v>1043</v>
      </c>
      <c r="C119" s="369" t="s">
        <v>1050</v>
      </c>
      <c r="D119" s="370">
        <v>17</v>
      </c>
      <c r="E119" s="371" t="s">
        <v>1414</v>
      </c>
      <c r="F119" s="372">
        <v>4734</v>
      </c>
      <c r="G119" s="435" t="s">
        <v>1415</v>
      </c>
      <c r="H119" s="372">
        <v>0</v>
      </c>
      <c r="I119" s="372">
        <v>4734</v>
      </c>
      <c r="J119" s="435" t="s">
        <v>1415</v>
      </c>
      <c r="K119" s="372">
        <v>0</v>
      </c>
      <c r="L119" s="435" t="s">
        <v>1415</v>
      </c>
      <c r="M119" s="370">
        <v>9</v>
      </c>
      <c r="N119" s="435" t="s">
        <v>1415</v>
      </c>
      <c r="O119" s="372">
        <v>0</v>
      </c>
      <c r="P119" s="373">
        <v>0</v>
      </c>
      <c r="Q119" s="435" t="s">
        <v>1415</v>
      </c>
      <c r="R119" s="372">
        <v>4725</v>
      </c>
      <c r="S119" s="373">
        <v>0.99809885931558939</v>
      </c>
      <c r="T119" s="370" t="s">
        <v>1311</v>
      </c>
      <c r="U119" s="370" t="s">
        <v>890</v>
      </c>
      <c r="V119" s="370" t="s">
        <v>1086</v>
      </c>
      <c r="W119" s="370" t="s">
        <v>1086</v>
      </c>
      <c r="X119" s="436" t="s">
        <v>1426</v>
      </c>
      <c r="Y119" s="436" t="s">
        <v>144</v>
      </c>
      <c r="Z119" s="374" t="s">
        <v>144</v>
      </c>
    </row>
    <row r="120" spans="1:26" hidden="1" x14ac:dyDescent="0.35">
      <c r="A120" s="437" t="str">
        <f t="shared" si="1"/>
        <v>LT002_CSD_LEI</v>
      </c>
      <c r="B120" s="368" t="s">
        <v>1043</v>
      </c>
      <c r="C120" s="369" t="s">
        <v>1051</v>
      </c>
      <c r="D120" s="370">
        <v>12</v>
      </c>
      <c r="E120" s="371" t="s">
        <v>1414</v>
      </c>
      <c r="F120" s="372">
        <v>4734</v>
      </c>
      <c r="G120" s="435" t="s">
        <v>1415</v>
      </c>
      <c r="H120" s="372">
        <v>0</v>
      </c>
      <c r="I120" s="372">
        <v>4734</v>
      </c>
      <c r="J120" s="435" t="s">
        <v>1415</v>
      </c>
      <c r="K120" s="372">
        <v>0</v>
      </c>
      <c r="L120" s="435" t="s">
        <v>1415</v>
      </c>
      <c r="M120" s="370">
        <v>0</v>
      </c>
      <c r="N120" s="435" t="s">
        <v>1415</v>
      </c>
      <c r="O120" s="372">
        <v>0</v>
      </c>
      <c r="P120" s="373">
        <v>0</v>
      </c>
      <c r="Q120" s="435" t="s">
        <v>1415</v>
      </c>
      <c r="R120" s="372">
        <v>4725</v>
      </c>
      <c r="S120" s="373">
        <v>0.99809885931558939</v>
      </c>
      <c r="T120" s="370" t="s">
        <v>1312</v>
      </c>
      <c r="U120" s="370" t="s">
        <v>890</v>
      </c>
      <c r="V120" s="370" t="s">
        <v>1086</v>
      </c>
      <c r="W120" s="370" t="s">
        <v>1086</v>
      </c>
      <c r="X120" s="436"/>
      <c r="Y120" s="436" t="s">
        <v>144</v>
      </c>
      <c r="Z120" s="374" t="s">
        <v>144</v>
      </c>
    </row>
    <row r="121" spans="1:26" hidden="1" x14ac:dyDescent="0.35">
      <c r="A121" s="437" t="str">
        <f t="shared" si="1"/>
        <v>LT002_DT_INCPTN</v>
      </c>
      <c r="B121" s="368" t="s">
        <v>1043</v>
      </c>
      <c r="C121" s="369" t="s">
        <v>1052</v>
      </c>
      <c r="D121" s="370">
        <v>12</v>
      </c>
      <c r="E121" s="371" t="s">
        <v>1414</v>
      </c>
      <c r="F121" s="372">
        <v>4734</v>
      </c>
      <c r="G121" s="435" t="s">
        <v>1415</v>
      </c>
      <c r="H121" s="372">
        <v>0</v>
      </c>
      <c r="I121" s="372">
        <v>4734</v>
      </c>
      <c r="J121" s="435" t="s">
        <v>1415</v>
      </c>
      <c r="K121" s="372">
        <v>0</v>
      </c>
      <c r="L121" s="435" t="s">
        <v>1415</v>
      </c>
      <c r="M121" s="370">
        <v>0</v>
      </c>
      <c r="N121" s="435" t="s">
        <v>1415</v>
      </c>
      <c r="O121" s="372">
        <v>0</v>
      </c>
      <c r="P121" s="373">
        <v>0</v>
      </c>
      <c r="Q121" s="435" t="s">
        <v>1415</v>
      </c>
      <c r="R121" s="372">
        <v>0</v>
      </c>
      <c r="S121" s="373">
        <v>0</v>
      </c>
      <c r="T121" s="370" t="s">
        <v>1296</v>
      </c>
      <c r="U121" s="370" t="s">
        <v>1336</v>
      </c>
      <c r="V121" s="370" t="s">
        <v>1086</v>
      </c>
      <c r="W121" s="370" t="s">
        <v>1086</v>
      </c>
      <c r="X121" s="436"/>
      <c r="Y121" s="436" t="s">
        <v>144</v>
      </c>
      <c r="Z121" s="374" t="s">
        <v>144</v>
      </c>
    </row>
    <row r="122" spans="1:26" hidden="1" x14ac:dyDescent="0.35">
      <c r="A122" s="437" t="str">
        <f t="shared" si="1"/>
        <v>LT002_DT_LGL_FNL_MTRTY</v>
      </c>
      <c r="B122" s="368" t="s">
        <v>1043</v>
      </c>
      <c r="C122" s="369" t="s">
        <v>1053</v>
      </c>
      <c r="D122" s="370">
        <v>12</v>
      </c>
      <c r="E122" s="371" t="s">
        <v>1414</v>
      </c>
      <c r="F122" s="372">
        <v>4734</v>
      </c>
      <c r="G122" s="435" t="s">
        <v>1415</v>
      </c>
      <c r="H122" s="372">
        <v>2</v>
      </c>
      <c r="I122" s="372">
        <v>4734</v>
      </c>
      <c r="J122" s="435" t="s">
        <v>1415</v>
      </c>
      <c r="K122" s="372">
        <v>0</v>
      </c>
      <c r="L122" s="435" t="s">
        <v>1415</v>
      </c>
      <c r="M122" s="370">
        <v>0</v>
      </c>
      <c r="N122" s="435" t="s">
        <v>1415</v>
      </c>
      <c r="O122" s="372">
        <v>0</v>
      </c>
      <c r="P122" s="373">
        <v>0</v>
      </c>
      <c r="Q122" s="435" t="s">
        <v>1415</v>
      </c>
      <c r="R122" s="372">
        <v>0</v>
      </c>
      <c r="S122" s="373">
        <v>0</v>
      </c>
      <c r="T122" s="370" t="s">
        <v>1085</v>
      </c>
      <c r="U122" s="370" t="s">
        <v>1299</v>
      </c>
      <c r="V122" s="370" t="s">
        <v>1086</v>
      </c>
      <c r="W122" s="370" t="s">
        <v>1086</v>
      </c>
      <c r="X122" s="436" t="s">
        <v>1427</v>
      </c>
      <c r="Y122" s="436" t="s">
        <v>144</v>
      </c>
      <c r="Z122" s="374" t="s">
        <v>911</v>
      </c>
    </row>
    <row r="123" spans="1:26" hidden="1" x14ac:dyDescent="0.35">
      <c r="A123" s="437" t="str">
        <f t="shared" si="1"/>
        <v>LT002_DT_NXT_INTRST_PYMNT</v>
      </c>
      <c r="B123" s="368" t="s">
        <v>1043</v>
      </c>
      <c r="C123" s="369" t="s">
        <v>1054</v>
      </c>
      <c r="D123" s="370">
        <v>18</v>
      </c>
      <c r="E123" s="371" t="s">
        <v>1414</v>
      </c>
      <c r="F123" s="372">
        <v>4734</v>
      </c>
      <c r="G123" s="435" t="s">
        <v>1419</v>
      </c>
      <c r="H123" s="372">
        <v>4705</v>
      </c>
      <c r="I123" s="372">
        <v>4734</v>
      </c>
      <c r="J123" s="435" t="s">
        <v>1419</v>
      </c>
      <c r="K123" s="372">
        <v>0</v>
      </c>
      <c r="L123" s="435" t="s">
        <v>1419</v>
      </c>
      <c r="M123" s="370">
        <v>0</v>
      </c>
      <c r="N123" s="435" t="s">
        <v>1419</v>
      </c>
      <c r="O123" s="372">
        <v>0</v>
      </c>
      <c r="P123" s="373">
        <v>0</v>
      </c>
      <c r="Q123" s="435" t="s">
        <v>1419</v>
      </c>
      <c r="R123" s="372">
        <v>3</v>
      </c>
      <c r="S123" s="373">
        <v>6.3371356147021542E-4</v>
      </c>
      <c r="T123" s="370" t="s">
        <v>909</v>
      </c>
      <c r="U123" s="370" t="s">
        <v>909</v>
      </c>
      <c r="V123" s="370" t="s">
        <v>1086</v>
      </c>
      <c r="W123" s="370" t="s">
        <v>1086</v>
      </c>
      <c r="X123" s="436"/>
      <c r="Y123" s="436" t="s">
        <v>144</v>
      </c>
      <c r="Z123" s="374" t="s">
        <v>911</v>
      </c>
    </row>
    <row r="124" spans="1:26" hidden="1" x14ac:dyDescent="0.35">
      <c r="A124" s="437" t="str">
        <f t="shared" si="1"/>
        <v>LT002_ELGBL_AMNT_OWN_FNDS_INDVDL_LVL</v>
      </c>
      <c r="B124" s="368" t="s">
        <v>1043</v>
      </c>
      <c r="C124" s="369" t="s">
        <v>1055</v>
      </c>
      <c r="D124" s="370">
        <v>12</v>
      </c>
      <c r="E124" s="371" t="s">
        <v>1414</v>
      </c>
      <c r="F124" s="372">
        <v>4734</v>
      </c>
      <c r="G124" s="435" t="s">
        <v>1415</v>
      </c>
      <c r="H124" s="372">
        <v>0</v>
      </c>
      <c r="I124" s="372">
        <v>4734</v>
      </c>
      <c r="J124" s="435" t="s">
        <v>1415</v>
      </c>
      <c r="K124" s="372">
        <v>0</v>
      </c>
      <c r="L124" s="435" t="s">
        <v>1415</v>
      </c>
      <c r="M124" s="370">
        <v>0</v>
      </c>
      <c r="N124" s="435" t="s">
        <v>1415</v>
      </c>
      <c r="O124" s="372">
        <v>0</v>
      </c>
      <c r="P124" s="373">
        <v>0</v>
      </c>
      <c r="Q124" s="435" t="s">
        <v>1415</v>
      </c>
      <c r="R124" s="372">
        <v>0</v>
      </c>
      <c r="S124" s="373">
        <v>0</v>
      </c>
      <c r="T124" s="370" t="s">
        <v>1292</v>
      </c>
      <c r="U124" s="370" t="s">
        <v>1290</v>
      </c>
      <c r="V124" s="370" t="s">
        <v>1086</v>
      </c>
      <c r="W124" s="370" t="s">
        <v>1086</v>
      </c>
      <c r="X124" s="436"/>
      <c r="Y124" s="436" t="s">
        <v>144</v>
      </c>
      <c r="Z124" s="374" t="s">
        <v>144</v>
      </c>
    </row>
    <row r="125" spans="1:26" hidden="1" x14ac:dyDescent="0.35">
      <c r="A125" s="437" t="str">
        <f t="shared" si="1"/>
        <v>LT002_GOVERNING_LAW</v>
      </c>
      <c r="B125" s="368" t="s">
        <v>1043</v>
      </c>
      <c r="C125" s="369" t="s">
        <v>1056</v>
      </c>
      <c r="D125" s="370">
        <v>7</v>
      </c>
      <c r="E125" s="371" t="s">
        <v>1414</v>
      </c>
      <c r="F125" s="372">
        <v>4734</v>
      </c>
      <c r="G125" s="435" t="s">
        <v>1415</v>
      </c>
      <c r="H125" s="372">
        <v>0</v>
      </c>
      <c r="I125" s="372">
        <v>4734</v>
      </c>
      <c r="J125" s="435" t="s">
        <v>1415</v>
      </c>
      <c r="K125" s="372">
        <v>4725</v>
      </c>
      <c r="L125" s="435" t="s">
        <v>1415</v>
      </c>
      <c r="M125" s="370">
        <v>0</v>
      </c>
      <c r="N125" s="435" t="s">
        <v>1415</v>
      </c>
      <c r="O125" s="372">
        <v>0</v>
      </c>
      <c r="P125" s="373">
        <v>0</v>
      </c>
      <c r="Q125" s="435" t="s">
        <v>1415</v>
      </c>
      <c r="R125" s="372">
        <v>0</v>
      </c>
      <c r="S125" s="373">
        <v>0</v>
      </c>
      <c r="T125" s="370" t="s">
        <v>1301</v>
      </c>
      <c r="U125" s="370" t="s">
        <v>1301</v>
      </c>
      <c r="V125" s="370" t="s">
        <v>1086</v>
      </c>
      <c r="W125" s="370" t="s">
        <v>1086</v>
      </c>
      <c r="X125" s="436" t="s">
        <v>1428</v>
      </c>
      <c r="Y125" s="436" t="s">
        <v>144</v>
      </c>
      <c r="Z125" s="374" t="s">
        <v>144</v>
      </c>
    </row>
    <row r="126" spans="1:26" hidden="1" x14ac:dyDescent="0.35">
      <c r="A126" s="437" t="str">
        <f t="shared" si="1"/>
        <v>LT002_INSTRMNT_ID</v>
      </c>
      <c r="B126" s="368" t="s">
        <v>1043</v>
      </c>
      <c r="C126" s="369" t="s">
        <v>1057</v>
      </c>
      <c r="D126" s="370">
        <v>12</v>
      </c>
      <c r="E126" s="371" t="s">
        <v>1414</v>
      </c>
      <c r="F126" s="372">
        <v>4734</v>
      </c>
      <c r="G126" s="435" t="s">
        <v>1415</v>
      </c>
      <c r="H126" s="372">
        <v>0</v>
      </c>
      <c r="I126" s="372">
        <v>4734</v>
      </c>
      <c r="J126" s="435" t="s">
        <v>1415</v>
      </c>
      <c r="K126" s="372">
        <v>0</v>
      </c>
      <c r="L126" s="435" t="s">
        <v>1415</v>
      </c>
      <c r="M126" s="370">
        <v>0</v>
      </c>
      <c r="N126" s="435" t="s">
        <v>1415</v>
      </c>
      <c r="O126" s="372">
        <v>0</v>
      </c>
      <c r="P126" s="373">
        <v>0</v>
      </c>
      <c r="Q126" s="435" t="s">
        <v>1415</v>
      </c>
      <c r="R126" s="372">
        <v>0</v>
      </c>
      <c r="S126" s="373">
        <v>0</v>
      </c>
      <c r="T126" s="370" t="s">
        <v>1337</v>
      </c>
      <c r="U126" s="370" t="s">
        <v>1338</v>
      </c>
      <c r="V126" s="370" t="s">
        <v>1086</v>
      </c>
      <c r="W126" s="370" t="s">
        <v>1086</v>
      </c>
      <c r="X126" s="436"/>
      <c r="Y126" s="436" t="s">
        <v>144</v>
      </c>
      <c r="Z126" s="374" t="s">
        <v>144</v>
      </c>
    </row>
    <row r="127" spans="1:26" hidden="1" x14ac:dyDescent="0.35">
      <c r="A127" s="437" t="str">
        <f t="shared" si="1"/>
        <v>LT002_ISIN</v>
      </c>
      <c r="B127" s="368" t="s">
        <v>1043</v>
      </c>
      <c r="C127" s="369" t="s">
        <v>1058</v>
      </c>
      <c r="D127" s="370">
        <v>12</v>
      </c>
      <c r="E127" s="371" t="s">
        <v>1414</v>
      </c>
      <c r="F127" s="372">
        <v>4734</v>
      </c>
      <c r="G127" s="435" t="s">
        <v>1415</v>
      </c>
      <c r="H127" s="372">
        <v>0</v>
      </c>
      <c r="I127" s="372">
        <v>4734</v>
      </c>
      <c r="J127" s="435" t="s">
        <v>1415</v>
      </c>
      <c r="K127" s="372">
        <v>0</v>
      </c>
      <c r="L127" s="435" t="s">
        <v>1415</v>
      </c>
      <c r="M127" s="370">
        <v>0</v>
      </c>
      <c r="N127" s="435" t="s">
        <v>1415</v>
      </c>
      <c r="O127" s="372">
        <v>0</v>
      </c>
      <c r="P127" s="373">
        <v>0</v>
      </c>
      <c r="Q127" s="435" t="s">
        <v>1415</v>
      </c>
      <c r="R127" s="372">
        <v>4725</v>
      </c>
      <c r="S127" s="373">
        <v>0.99809885931558939</v>
      </c>
      <c r="T127" s="370" t="s">
        <v>1286</v>
      </c>
      <c r="U127" s="370" t="s">
        <v>1287</v>
      </c>
      <c r="V127" s="370" t="s">
        <v>1086</v>
      </c>
      <c r="W127" s="370" t="s">
        <v>1086</v>
      </c>
      <c r="X127" s="436"/>
      <c r="Y127" s="436" t="s">
        <v>144</v>
      </c>
      <c r="Z127" s="374" t="s">
        <v>144</v>
      </c>
    </row>
    <row r="128" spans="1:26" hidden="1" x14ac:dyDescent="0.35">
      <c r="A128" s="437" t="str">
        <f t="shared" si="1"/>
        <v>LT002_ORGNL_AMNT_EUR</v>
      </c>
      <c r="B128" s="368" t="s">
        <v>1043</v>
      </c>
      <c r="C128" s="369" t="s">
        <v>1059</v>
      </c>
      <c r="D128" s="370">
        <v>12</v>
      </c>
      <c r="E128" s="371" t="s">
        <v>1414</v>
      </c>
      <c r="F128" s="372">
        <v>4734</v>
      </c>
      <c r="G128" s="435" t="s">
        <v>1415</v>
      </c>
      <c r="H128" s="372">
        <v>0</v>
      </c>
      <c r="I128" s="372">
        <v>4734</v>
      </c>
      <c r="J128" s="435" t="s">
        <v>1415</v>
      </c>
      <c r="K128" s="372">
        <v>0</v>
      </c>
      <c r="L128" s="435" t="s">
        <v>1415</v>
      </c>
      <c r="M128" s="370">
        <v>0</v>
      </c>
      <c r="N128" s="435" t="s">
        <v>1415</v>
      </c>
      <c r="O128" s="372">
        <v>0</v>
      </c>
      <c r="P128" s="373">
        <v>0</v>
      </c>
      <c r="Q128" s="435" t="s">
        <v>1415</v>
      </c>
      <c r="R128" s="372">
        <v>0</v>
      </c>
      <c r="S128" s="373">
        <v>0</v>
      </c>
      <c r="T128" s="370" t="s">
        <v>1288</v>
      </c>
      <c r="U128" s="370" t="s">
        <v>1290</v>
      </c>
      <c r="V128" s="370" t="s">
        <v>1086</v>
      </c>
      <c r="W128" s="370" t="s">
        <v>1086</v>
      </c>
      <c r="X128" s="436"/>
      <c r="Y128" s="436" t="s">
        <v>144</v>
      </c>
      <c r="Z128" s="374" t="s">
        <v>144</v>
      </c>
    </row>
    <row r="129" spans="1:26" hidden="1" x14ac:dyDescent="0.35">
      <c r="A129" s="437" t="str">
        <f t="shared" si="1"/>
        <v>LT002_ORGNL_AMNT_FX</v>
      </c>
      <c r="B129" s="368" t="s">
        <v>1043</v>
      </c>
      <c r="C129" s="369" t="s">
        <v>1060</v>
      </c>
      <c r="D129" s="370">
        <v>12</v>
      </c>
      <c r="E129" s="371" t="s">
        <v>1414</v>
      </c>
      <c r="F129" s="372">
        <v>4734</v>
      </c>
      <c r="G129" s="435" t="s">
        <v>1415</v>
      </c>
      <c r="H129" s="372">
        <v>0</v>
      </c>
      <c r="I129" s="372">
        <v>4734</v>
      </c>
      <c r="J129" s="435" t="s">
        <v>1415</v>
      </c>
      <c r="K129" s="372">
        <v>0</v>
      </c>
      <c r="L129" s="435" t="s">
        <v>1415</v>
      </c>
      <c r="M129" s="370">
        <v>0</v>
      </c>
      <c r="N129" s="435" t="s">
        <v>1415</v>
      </c>
      <c r="O129" s="372">
        <v>0</v>
      </c>
      <c r="P129" s="373">
        <v>0</v>
      </c>
      <c r="Q129" s="435" t="s">
        <v>1415</v>
      </c>
      <c r="R129" s="372">
        <v>0</v>
      </c>
      <c r="S129" s="373">
        <v>0</v>
      </c>
      <c r="T129" s="370" t="s">
        <v>1290</v>
      </c>
      <c r="U129" s="370" t="s">
        <v>1290</v>
      </c>
      <c r="V129" s="370" t="s">
        <v>1086</v>
      </c>
      <c r="W129" s="370" t="s">
        <v>1086</v>
      </c>
      <c r="X129" s="436"/>
      <c r="Y129" s="436" t="s">
        <v>144</v>
      </c>
      <c r="Z129" s="374" t="s">
        <v>144</v>
      </c>
    </row>
    <row r="130" spans="1:26" hidden="1" x14ac:dyDescent="0.35">
      <c r="A130" s="437" t="str">
        <f t="shared" si="1"/>
        <v>LT002_PYNG_AGNT</v>
      </c>
      <c r="B130" s="368" t="s">
        <v>1043</v>
      </c>
      <c r="C130" s="369" t="s">
        <v>1061</v>
      </c>
      <c r="D130" s="370">
        <v>12</v>
      </c>
      <c r="E130" s="371" t="s">
        <v>1414</v>
      </c>
      <c r="F130" s="372">
        <v>4734</v>
      </c>
      <c r="G130" s="435" t="s">
        <v>1415</v>
      </c>
      <c r="H130" s="372">
        <v>0</v>
      </c>
      <c r="I130" s="372">
        <v>4734</v>
      </c>
      <c r="J130" s="435" t="s">
        <v>1415</v>
      </c>
      <c r="K130" s="372">
        <v>0</v>
      </c>
      <c r="L130" s="435" t="s">
        <v>1415</v>
      </c>
      <c r="M130" s="370">
        <v>0</v>
      </c>
      <c r="N130" s="435" t="s">
        <v>1415</v>
      </c>
      <c r="O130" s="372">
        <v>0</v>
      </c>
      <c r="P130" s="373">
        <v>0</v>
      </c>
      <c r="Q130" s="435" t="s">
        <v>1415</v>
      </c>
      <c r="R130" s="372">
        <v>4725</v>
      </c>
      <c r="S130" s="373">
        <v>0.99809885931558939</v>
      </c>
      <c r="T130" s="370" t="s">
        <v>1313</v>
      </c>
      <c r="U130" s="370" t="s">
        <v>890</v>
      </c>
      <c r="V130" s="370" t="s">
        <v>1086</v>
      </c>
      <c r="W130" s="370" t="s">
        <v>1086</v>
      </c>
      <c r="X130" s="436"/>
      <c r="Y130" s="436" t="s">
        <v>144</v>
      </c>
      <c r="Z130" s="374" t="s">
        <v>144</v>
      </c>
    </row>
    <row r="131" spans="1:26" hidden="1" x14ac:dyDescent="0.35">
      <c r="A131" s="437" t="str">
        <f t="shared" ref="A131:A154" si="2">+B131&amp;"_"&amp;C131</f>
        <v>LT002_PYNG_AGNT_LEI</v>
      </c>
      <c r="B131" s="368" t="s">
        <v>1043</v>
      </c>
      <c r="C131" s="369" t="s">
        <v>1062</v>
      </c>
      <c r="D131" s="370">
        <v>12</v>
      </c>
      <c r="E131" s="371" t="s">
        <v>1414</v>
      </c>
      <c r="F131" s="372">
        <v>4734</v>
      </c>
      <c r="G131" s="435" t="s">
        <v>1415</v>
      </c>
      <c r="H131" s="372">
        <v>0</v>
      </c>
      <c r="I131" s="372">
        <v>4734</v>
      </c>
      <c r="J131" s="435" t="s">
        <v>1415</v>
      </c>
      <c r="K131" s="372">
        <v>0</v>
      </c>
      <c r="L131" s="435" t="s">
        <v>1415</v>
      </c>
      <c r="M131" s="370">
        <v>0</v>
      </c>
      <c r="N131" s="435" t="s">
        <v>1415</v>
      </c>
      <c r="O131" s="372">
        <v>0</v>
      </c>
      <c r="P131" s="373">
        <v>0</v>
      </c>
      <c r="Q131" s="435" t="s">
        <v>1415</v>
      </c>
      <c r="R131" s="372">
        <v>4725</v>
      </c>
      <c r="S131" s="373">
        <v>0.99809885931558939</v>
      </c>
      <c r="T131" s="370" t="s">
        <v>1314</v>
      </c>
      <c r="U131" s="370" t="s">
        <v>890</v>
      </c>
      <c r="V131" s="370" t="s">
        <v>1086</v>
      </c>
      <c r="W131" s="370" t="s">
        <v>1086</v>
      </c>
      <c r="X131" s="436"/>
      <c r="Y131" s="436" t="s">
        <v>144</v>
      </c>
      <c r="Z131" s="374" t="s">
        <v>144</v>
      </c>
    </row>
    <row r="132" spans="1:26" hidden="1" x14ac:dyDescent="0.35">
      <c r="A132" s="437" t="str">
        <f t="shared" si="2"/>
        <v>LT002_RANK_INSOLV</v>
      </c>
      <c r="B132" s="368" t="s">
        <v>1043</v>
      </c>
      <c r="C132" s="369" t="s">
        <v>1063</v>
      </c>
      <c r="D132" s="370">
        <v>12</v>
      </c>
      <c r="E132" s="371" t="s">
        <v>1414</v>
      </c>
      <c r="F132" s="372">
        <v>4734</v>
      </c>
      <c r="G132" s="435" t="s">
        <v>1415</v>
      </c>
      <c r="H132" s="372">
        <v>0</v>
      </c>
      <c r="I132" s="372">
        <v>4734</v>
      </c>
      <c r="J132" s="435" t="s">
        <v>1415</v>
      </c>
      <c r="K132" s="372">
        <v>4725</v>
      </c>
      <c r="L132" s="435" t="s">
        <v>1415</v>
      </c>
      <c r="M132" s="370">
        <v>0</v>
      </c>
      <c r="N132" s="435" t="s">
        <v>1415</v>
      </c>
      <c r="O132" s="372">
        <v>4725</v>
      </c>
      <c r="P132" s="373">
        <v>0.99809885931558939</v>
      </c>
      <c r="Q132" s="435" t="s">
        <v>1415</v>
      </c>
      <c r="R132" s="372">
        <v>0</v>
      </c>
      <c r="S132" s="373">
        <v>0</v>
      </c>
      <c r="T132" s="370">
        <v>0</v>
      </c>
      <c r="U132" s="370" t="s">
        <v>697</v>
      </c>
      <c r="V132" s="370" t="s">
        <v>1086</v>
      </c>
      <c r="W132" s="370" t="s">
        <v>1086</v>
      </c>
      <c r="X132" s="436" t="s">
        <v>1391</v>
      </c>
      <c r="Y132" s="436" t="s">
        <v>144</v>
      </c>
      <c r="Z132" s="374" t="s">
        <v>144</v>
      </c>
    </row>
    <row r="133" spans="1:26" hidden="1" x14ac:dyDescent="0.35">
      <c r="A133" s="437" t="str">
        <f t="shared" si="2"/>
        <v>LT002_TRDNG_MTHD</v>
      </c>
      <c r="B133" s="368" t="s">
        <v>1043</v>
      </c>
      <c r="C133" s="369" t="s">
        <v>1064</v>
      </c>
      <c r="D133" s="370">
        <v>12</v>
      </c>
      <c r="E133" s="371" t="s">
        <v>1414</v>
      </c>
      <c r="F133" s="372">
        <v>4734</v>
      </c>
      <c r="G133" s="435" t="s">
        <v>1415</v>
      </c>
      <c r="H133" s="372">
        <v>0</v>
      </c>
      <c r="I133" s="372">
        <v>4734</v>
      </c>
      <c r="J133" s="435" t="s">
        <v>1415</v>
      </c>
      <c r="K133" s="372">
        <v>0</v>
      </c>
      <c r="L133" s="435" t="s">
        <v>1415</v>
      </c>
      <c r="M133" s="370">
        <v>0</v>
      </c>
      <c r="N133" s="435" t="s">
        <v>1415</v>
      </c>
      <c r="O133" s="372">
        <v>0</v>
      </c>
      <c r="P133" s="373">
        <v>0</v>
      </c>
      <c r="Q133" s="435" t="s">
        <v>1415</v>
      </c>
      <c r="R133" s="372">
        <v>4725</v>
      </c>
      <c r="S133" s="373">
        <v>0.99809885931558939</v>
      </c>
      <c r="T133" s="370" t="s">
        <v>1382</v>
      </c>
      <c r="U133" s="370" t="s">
        <v>1383</v>
      </c>
      <c r="V133" s="370" t="s">
        <v>1086</v>
      </c>
      <c r="W133" s="370" t="s">
        <v>1086</v>
      </c>
      <c r="X133" s="436"/>
      <c r="Y133" s="436" t="s">
        <v>144</v>
      </c>
      <c r="Z133" s="374" t="s">
        <v>144</v>
      </c>
    </row>
    <row r="134" spans="1:26" hidden="1" x14ac:dyDescent="0.35">
      <c r="A134" s="437" t="str">
        <f t="shared" si="2"/>
        <v>LT002_TYP_INSTRMNT</v>
      </c>
      <c r="B134" s="368" t="s">
        <v>1043</v>
      </c>
      <c r="C134" s="369" t="s">
        <v>1065</v>
      </c>
      <c r="D134" s="370">
        <v>18</v>
      </c>
      <c r="E134" s="371" t="s">
        <v>1414</v>
      </c>
      <c r="F134" s="372">
        <v>4734</v>
      </c>
      <c r="G134" s="435" t="s">
        <v>1415</v>
      </c>
      <c r="H134" s="372">
        <v>0</v>
      </c>
      <c r="I134" s="372">
        <v>4734</v>
      </c>
      <c r="J134" s="435" t="s">
        <v>1415</v>
      </c>
      <c r="K134" s="372">
        <v>0</v>
      </c>
      <c r="L134" s="435" t="s">
        <v>1415</v>
      </c>
      <c r="M134" s="370">
        <v>0</v>
      </c>
      <c r="N134" s="435" t="s">
        <v>1415</v>
      </c>
      <c r="O134" s="372">
        <v>0</v>
      </c>
      <c r="P134" s="373">
        <v>0</v>
      </c>
      <c r="Q134" s="435" t="s">
        <v>1415</v>
      </c>
      <c r="R134" s="372">
        <v>0</v>
      </c>
      <c r="S134" s="373">
        <v>0</v>
      </c>
      <c r="T134" s="370">
        <v>1000</v>
      </c>
      <c r="U134" s="370" t="s">
        <v>1294</v>
      </c>
      <c r="V134" s="370" t="s">
        <v>1086</v>
      </c>
      <c r="W134" s="370" t="s">
        <v>1086</v>
      </c>
      <c r="X134" s="436"/>
      <c r="Y134" s="436" t="s">
        <v>144</v>
      </c>
      <c r="Z134" s="374" t="s">
        <v>144</v>
      </c>
    </row>
    <row r="135" spans="1:26" hidden="1" x14ac:dyDescent="0.35">
      <c r="A135" s="437" t="str">
        <f t="shared" si="2"/>
        <v>LT002_TYP_OWN_FNDS_INDVDL_LVL</v>
      </c>
      <c r="B135" s="368" t="s">
        <v>1043</v>
      </c>
      <c r="C135" s="369" t="s">
        <v>1066</v>
      </c>
      <c r="D135" s="370">
        <v>18</v>
      </c>
      <c r="E135" s="371" t="s">
        <v>1414</v>
      </c>
      <c r="F135" s="372">
        <v>4734</v>
      </c>
      <c r="G135" s="435" t="s">
        <v>1415</v>
      </c>
      <c r="H135" s="372">
        <v>0</v>
      </c>
      <c r="I135" s="372">
        <v>4734</v>
      </c>
      <c r="J135" s="435" t="s">
        <v>1415</v>
      </c>
      <c r="K135" s="372">
        <v>0</v>
      </c>
      <c r="L135" s="435" t="s">
        <v>1415</v>
      </c>
      <c r="M135" s="370">
        <v>0</v>
      </c>
      <c r="N135" s="435" t="s">
        <v>1415</v>
      </c>
      <c r="O135" s="372">
        <v>0</v>
      </c>
      <c r="P135" s="373">
        <v>0</v>
      </c>
      <c r="Q135" s="435" t="s">
        <v>1415</v>
      </c>
      <c r="R135" s="372">
        <v>4725</v>
      </c>
      <c r="S135" s="373">
        <v>0.99809885931558939</v>
      </c>
      <c r="T135" s="370" t="s">
        <v>1315</v>
      </c>
      <c r="U135" s="370" t="s">
        <v>890</v>
      </c>
      <c r="V135" s="370" t="s">
        <v>1086</v>
      </c>
      <c r="W135" s="370" t="s">
        <v>1086</v>
      </c>
      <c r="X135" s="436" t="s">
        <v>1346</v>
      </c>
      <c r="Y135" s="436" t="s">
        <v>144</v>
      </c>
      <c r="Z135" s="374" t="s">
        <v>144</v>
      </c>
    </row>
    <row r="136" spans="1:26" hidden="1" x14ac:dyDescent="0.35">
      <c r="A136" s="437" t="str">
        <f t="shared" si="2"/>
        <v>LT003_CNTRPRTY_RSLTN_GRP</v>
      </c>
      <c r="B136" s="368" t="s">
        <v>1067</v>
      </c>
      <c r="C136" s="369" t="s">
        <v>1068</v>
      </c>
      <c r="D136" s="370">
        <v>22</v>
      </c>
      <c r="E136" s="371" t="s">
        <v>1414</v>
      </c>
      <c r="F136" s="372">
        <v>37</v>
      </c>
      <c r="G136" s="435" t="s">
        <v>1415</v>
      </c>
      <c r="H136" s="372">
        <v>1</v>
      </c>
      <c r="I136" s="372">
        <v>37</v>
      </c>
      <c r="J136" s="435" t="s">
        <v>1415</v>
      </c>
      <c r="K136" s="372">
        <v>0</v>
      </c>
      <c r="L136" s="435" t="s">
        <v>1415</v>
      </c>
      <c r="M136" s="370">
        <v>0</v>
      </c>
      <c r="N136" s="435" t="s">
        <v>1415</v>
      </c>
      <c r="O136" s="372">
        <v>0</v>
      </c>
      <c r="P136" s="373">
        <v>0</v>
      </c>
      <c r="Q136" s="435" t="s">
        <v>1415</v>
      </c>
      <c r="R136" s="372">
        <v>0</v>
      </c>
      <c r="S136" s="373">
        <v>0</v>
      </c>
      <c r="T136" s="370" t="s">
        <v>1425</v>
      </c>
      <c r="U136" s="370" t="s">
        <v>1408</v>
      </c>
      <c r="V136" s="370" t="s">
        <v>1086</v>
      </c>
      <c r="W136" s="370" t="s">
        <v>1086</v>
      </c>
      <c r="X136" s="436"/>
      <c r="Y136" s="436" t="s">
        <v>144</v>
      </c>
      <c r="Z136" s="374" t="s">
        <v>911</v>
      </c>
    </row>
    <row r="137" spans="1:26" hidden="1" x14ac:dyDescent="0.35">
      <c r="A137" s="437" t="str">
        <f t="shared" si="2"/>
        <v>LT003_CNTRPRTY_TYP</v>
      </c>
      <c r="B137" s="368" t="s">
        <v>1067</v>
      </c>
      <c r="C137" s="369" t="s">
        <v>1069</v>
      </c>
      <c r="D137" s="370">
        <v>12</v>
      </c>
      <c r="E137" s="371" t="s">
        <v>1414</v>
      </c>
      <c r="F137" s="372">
        <v>37</v>
      </c>
      <c r="G137" s="435" t="s">
        <v>1415</v>
      </c>
      <c r="H137" s="372">
        <v>0</v>
      </c>
      <c r="I137" s="372">
        <v>37</v>
      </c>
      <c r="J137" s="435" t="s">
        <v>1415</v>
      </c>
      <c r="K137" s="372">
        <v>0</v>
      </c>
      <c r="L137" s="435" t="s">
        <v>1415</v>
      </c>
      <c r="M137" s="370">
        <v>9</v>
      </c>
      <c r="N137" s="435" t="s">
        <v>1415</v>
      </c>
      <c r="O137" s="372">
        <v>0</v>
      </c>
      <c r="P137" s="373">
        <v>0</v>
      </c>
      <c r="Q137" s="435" t="s">
        <v>1415</v>
      </c>
      <c r="R137" s="372">
        <v>0</v>
      </c>
      <c r="S137" s="373">
        <v>0</v>
      </c>
      <c r="T137" s="370" t="s">
        <v>1392</v>
      </c>
      <c r="U137" s="370" t="s">
        <v>1388</v>
      </c>
      <c r="V137" s="370" t="s">
        <v>1086</v>
      </c>
      <c r="W137" s="370" t="s">
        <v>1086</v>
      </c>
      <c r="X137" s="436" t="s">
        <v>1393</v>
      </c>
      <c r="Y137" s="436" t="s">
        <v>144</v>
      </c>
      <c r="Z137" s="374" t="s">
        <v>144</v>
      </c>
    </row>
    <row r="138" spans="1:26" hidden="1" x14ac:dyDescent="0.35">
      <c r="A138" s="437" t="str">
        <f t="shared" si="2"/>
        <v>LT003_CNTRY</v>
      </c>
      <c r="B138" s="368" t="s">
        <v>1067</v>
      </c>
      <c r="C138" s="369" t="s">
        <v>1070</v>
      </c>
      <c r="D138" s="370">
        <v>17</v>
      </c>
      <c r="E138" s="371" t="s">
        <v>1414</v>
      </c>
      <c r="F138" s="372">
        <v>37</v>
      </c>
      <c r="G138" s="435" t="s">
        <v>1415</v>
      </c>
      <c r="H138" s="372">
        <v>1</v>
      </c>
      <c r="I138" s="372">
        <v>37</v>
      </c>
      <c r="J138" s="435" t="s">
        <v>1415</v>
      </c>
      <c r="K138" s="372">
        <v>1</v>
      </c>
      <c r="L138" s="435" t="s">
        <v>1415</v>
      </c>
      <c r="M138" s="370">
        <v>0</v>
      </c>
      <c r="N138" s="435" t="s">
        <v>1415</v>
      </c>
      <c r="O138" s="372">
        <v>0</v>
      </c>
      <c r="P138" s="373">
        <v>0</v>
      </c>
      <c r="Q138" s="435" t="s">
        <v>1415</v>
      </c>
      <c r="R138" s="372">
        <v>0</v>
      </c>
      <c r="S138" s="373">
        <v>0</v>
      </c>
      <c r="T138" s="370" t="s">
        <v>1339</v>
      </c>
      <c r="U138" s="370" t="s">
        <v>1301</v>
      </c>
      <c r="V138" s="370" t="s">
        <v>1086</v>
      </c>
      <c r="W138" s="370" t="s">
        <v>1086</v>
      </c>
      <c r="X138" s="436" t="s">
        <v>1429</v>
      </c>
      <c r="Y138" s="436" t="s">
        <v>144</v>
      </c>
      <c r="Z138" s="374" t="s">
        <v>911</v>
      </c>
    </row>
    <row r="139" spans="1:26" hidden="1" x14ac:dyDescent="0.35">
      <c r="A139" s="437" t="str">
        <f t="shared" si="2"/>
        <v>LT003_ENTTY_ID</v>
      </c>
      <c r="B139" s="368" t="s">
        <v>1067</v>
      </c>
      <c r="C139" s="369" t="s">
        <v>1071</v>
      </c>
      <c r="D139" s="370">
        <v>23</v>
      </c>
      <c r="E139" s="371" t="s">
        <v>1414</v>
      </c>
      <c r="F139" s="372">
        <v>37</v>
      </c>
      <c r="G139" s="435" t="s">
        <v>1415</v>
      </c>
      <c r="H139" s="372">
        <v>0</v>
      </c>
      <c r="I139" s="372">
        <v>37</v>
      </c>
      <c r="J139" s="435" t="s">
        <v>1415</v>
      </c>
      <c r="K139" s="372">
        <v>0</v>
      </c>
      <c r="L139" s="435" t="s">
        <v>1415</v>
      </c>
      <c r="M139" s="370">
        <v>0</v>
      </c>
      <c r="N139" s="435" t="s">
        <v>1415</v>
      </c>
      <c r="O139" s="372">
        <v>0</v>
      </c>
      <c r="P139" s="373">
        <v>0</v>
      </c>
      <c r="Q139" s="435" t="s">
        <v>1415</v>
      </c>
      <c r="R139" s="372">
        <v>0</v>
      </c>
      <c r="S139" s="373">
        <v>0</v>
      </c>
      <c r="T139" s="370" t="s">
        <v>1340</v>
      </c>
      <c r="U139" s="370" t="s">
        <v>1341</v>
      </c>
      <c r="V139" s="370" t="s">
        <v>1086</v>
      </c>
      <c r="W139" s="370" t="s">
        <v>1086</v>
      </c>
      <c r="X139" s="436"/>
      <c r="Y139" s="436" t="s">
        <v>144</v>
      </c>
      <c r="Z139" s="374" t="s">
        <v>144</v>
      </c>
    </row>
    <row r="140" spans="1:26" hidden="1" x14ac:dyDescent="0.35">
      <c r="A140" s="437" t="str">
        <f t="shared" si="2"/>
        <v>LT003_ENTTY_NM</v>
      </c>
      <c r="B140" s="368" t="s">
        <v>1067</v>
      </c>
      <c r="C140" s="369" t="s">
        <v>1072</v>
      </c>
      <c r="D140" s="370">
        <v>29</v>
      </c>
      <c r="E140" s="371" t="s">
        <v>1414</v>
      </c>
      <c r="F140" s="372">
        <v>37</v>
      </c>
      <c r="G140" s="435" t="s">
        <v>1415</v>
      </c>
      <c r="H140" s="372">
        <v>1</v>
      </c>
      <c r="I140" s="372">
        <v>37</v>
      </c>
      <c r="J140" s="435" t="s">
        <v>1415</v>
      </c>
      <c r="K140" s="372">
        <v>1</v>
      </c>
      <c r="L140" s="435" t="s">
        <v>1415</v>
      </c>
      <c r="M140" s="370">
        <v>3</v>
      </c>
      <c r="N140" s="435" t="s">
        <v>1415</v>
      </c>
      <c r="O140" s="372">
        <v>0</v>
      </c>
      <c r="P140" s="373">
        <v>0</v>
      </c>
      <c r="Q140" s="435" t="s">
        <v>1415</v>
      </c>
      <c r="R140" s="372">
        <v>0</v>
      </c>
      <c r="S140" s="373">
        <v>0</v>
      </c>
      <c r="T140" s="370" t="s">
        <v>1342</v>
      </c>
      <c r="U140" s="370" t="s">
        <v>1343</v>
      </c>
      <c r="V140" s="370" t="s">
        <v>1086</v>
      </c>
      <c r="W140" s="370" t="s">
        <v>1086</v>
      </c>
      <c r="X140" s="436" t="s">
        <v>1429</v>
      </c>
      <c r="Y140" s="436" t="s">
        <v>144</v>
      </c>
      <c r="Z140" s="374" t="s">
        <v>911</v>
      </c>
    </row>
    <row r="141" spans="1:26" hidden="1" x14ac:dyDescent="0.35">
      <c r="A141" s="437" t="str">
        <f t="shared" si="2"/>
        <v>LT003_LEI</v>
      </c>
      <c r="B141" s="368" t="s">
        <v>1067</v>
      </c>
      <c r="C141" s="369" t="s">
        <v>1073</v>
      </c>
      <c r="D141" s="370">
        <v>24</v>
      </c>
      <c r="E141" s="371" t="s">
        <v>1414</v>
      </c>
      <c r="F141" s="372">
        <v>37</v>
      </c>
      <c r="G141" s="435" t="s">
        <v>1415</v>
      </c>
      <c r="H141" s="372">
        <v>0</v>
      </c>
      <c r="I141" s="372">
        <v>37</v>
      </c>
      <c r="J141" s="435" t="s">
        <v>1415</v>
      </c>
      <c r="K141" s="372">
        <v>0</v>
      </c>
      <c r="L141" s="435" t="s">
        <v>1415</v>
      </c>
      <c r="M141" s="370">
        <v>0</v>
      </c>
      <c r="N141" s="435" t="s">
        <v>1415</v>
      </c>
      <c r="O141" s="372">
        <v>0</v>
      </c>
      <c r="P141" s="373">
        <v>0</v>
      </c>
      <c r="Q141" s="435" t="s">
        <v>1415</v>
      </c>
      <c r="R141" s="372">
        <v>29</v>
      </c>
      <c r="S141" s="373">
        <v>0.78378378378378377</v>
      </c>
      <c r="T141" s="370" t="s">
        <v>1344</v>
      </c>
      <c r="U141" s="370" t="s">
        <v>890</v>
      </c>
      <c r="V141" s="370" t="s">
        <v>1086</v>
      </c>
      <c r="W141" s="370" t="s">
        <v>1086</v>
      </c>
      <c r="X141" s="436"/>
      <c r="Y141" s="436" t="s">
        <v>144</v>
      </c>
      <c r="Z141" s="374" t="s">
        <v>144</v>
      </c>
    </row>
    <row r="142" spans="1:26" hidden="1" x14ac:dyDescent="0.35">
      <c r="A142" s="437" t="str">
        <f t="shared" si="2"/>
        <v>LT003_PRSN_TYP</v>
      </c>
      <c r="B142" s="368" t="s">
        <v>1067</v>
      </c>
      <c r="C142" s="369" t="s">
        <v>1074</v>
      </c>
      <c r="D142" s="370">
        <v>23</v>
      </c>
      <c r="E142" s="371" t="s">
        <v>1414</v>
      </c>
      <c r="F142" s="372">
        <v>37</v>
      </c>
      <c r="G142" s="435" t="s">
        <v>1415</v>
      </c>
      <c r="H142" s="372">
        <v>1</v>
      </c>
      <c r="I142" s="372">
        <v>37</v>
      </c>
      <c r="J142" s="435" t="s">
        <v>1415</v>
      </c>
      <c r="K142" s="372">
        <v>0</v>
      </c>
      <c r="L142" s="435" t="s">
        <v>1415</v>
      </c>
      <c r="M142" s="370">
        <v>0</v>
      </c>
      <c r="N142" s="435" t="s">
        <v>1415</v>
      </c>
      <c r="O142" s="372">
        <v>0</v>
      </c>
      <c r="P142" s="373">
        <v>0</v>
      </c>
      <c r="Q142" s="435" t="s">
        <v>1415</v>
      </c>
      <c r="R142" s="372">
        <v>0</v>
      </c>
      <c r="S142" s="373">
        <v>0</v>
      </c>
      <c r="T142" s="370" t="s">
        <v>922</v>
      </c>
      <c r="U142" s="370" t="s">
        <v>922</v>
      </c>
      <c r="V142" s="370" t="s">
        <v>1086</v>
      </c>
      <c r="W142" s="370" t="s">
        <v>1086</v>
      </c>
      <c r="X142" s="436" t="s">
        <v>1429</v>
      </c>
      <c r="Y142" s="436" t="s">
        <v>144</v>
      </c>
      <c r="Z142" s="374" t="s">
        <v>911</v>
      </c>
    </row>
    <row r="143" spans="1:26" hidden="1" x14ac:dyDescent="0.35">
      <c r="A143" s="437" t="str">
        <f t="shared" si="2"/>
        <v>LT004_DT_MTRTY_PRTCTN</v>
      </c>
      <c r="B143" s="368" t="s">
        <v>1075</v>
      </c>
      <c r="C143" s="369" t="s">
        <v>1076</v>
      </c>
      <c r="D143" s="370">
        <v>22</v>
      </c>
      <c r="E143" s="371" t="s">
        <v>1414</v>
      </c>
      <c r="F143" s="372">
        <v>6</v>
      </c>
      <c r="G143" s="435" t="s">
        <v>1415</v>
      </c>
      <c r="H143" s="372">
        <v>0</v>
      </c>
      <c r="I143" s="372">
        <v>6</v>
      </c>
      <c r="J143" s="435" t="s">
        <v>1415</v>
      </c>
      <c r="K143" s="372">
        <v>0</v>
      </c>
      <c r="L143" s="435" t="s">
        <v>1415</v>
      </c>
      <c r="M143" s="370">
        <v>0</v>
      </c>
      <c r="N143" s="435" t="s">
        <v>1415</v>
      </c>
      <c r="O143" s="372">
        <v>0</v>
      </c>
      <c r="P143" s="373">
        <v>0</v>
      </c>
      <c r="Q143" s="435" t="s">
        <v>1415</v>
      </c>
      <c r="R143" s="372">
        <v>6</v>
      </c>
      <c r="S143" s="373">
        <v>1</v>
      </c>
      <c r="T143" s="370" t="s">
        <v>922</v>
      </c>
      <c r="U143" s="370" t="s">
        <v>922</v>
      </c>
      <c r="V143" s="370" t="s">
        <v>1086</v>
      </c>
      <c r="W143" s="370" t="s">
        <v>1086</v>
      </c>
      <c r="X143" s="436" t="s">
        <v>1370</v>
      </c>
      <c r="Y143" s="436" t="s">
        <v>144</v>
      </c>
      <c r="Z143" s="374" t="s">
        <v>144</v>
      </c>
    </row>
    <row r="144" spans="1:26" hidden="1" x14ac:dyDescent="0.35">
      <c r="A144" s="437" t="str">
        <f t="shared" si="2"/>
        <v>LT004_FLG_SCRD</v>
      </c>
      <c r="B144" s="368" t="s">
        <v>1075</v>
      </c>
      <c r="C144" s="369" t="s">
        <v>1077</v>
      </c>
      <c r="D144" s="370">
        <v>0</v>
      </c>
      <c r="E144" s="371" t="s">
        <v>909</v>
      </c>
      <c r="F144" s="372" t="s">
        <v>909</v>
      </c>
      <c r="G144" s="435" t="s">
        <v>909</v>
      </c>
      <c r="H144" s="372" t="s">
        <v>909</v>
      </c>
      <c r="I144" s="372" t="s">
        <v>909</v>
      </c>
      <c r="J144" s="435" t="s">
        <v>909</v>
      </c>
      <c r="K144" s="372" t="s">
        <v>909</v>
      </c>
      <c r="L144" s="435" t="s">
        <v>909</v>
      </c>
      <c r="M144" s="370" t="s">
        <v>909</v>
      </c>
      <c r="N144" s="435" t="s">
        <v>909</v>
      </c>
      <c r="O144" s="372" t="s">
        <v>909</v>
      </c>
      <c r="P144" s="373" t="s">
        <v>909</v>
      </c>
      <c r="Q144" s="435" t="s">
        <v>909</v>
      </c>
      <c r="R144" s="372" t="s">
        <v>909</v>
      </c>
      <c r="S144" s="373" t="s">
        <v>909</v>
      </c>
      <c r="T144" s="370" t="s">
        <v>909</v>
      </c>
      <c r="U144" s="370" t="s">
        <v>909</v>
      </c>
      <c r="V144" s="370" t="s">
        <v>1086</v>
      </c>
      <c r="W144" s="370" t="s">
        <v>1086</v>
      </c>
      <c r="X144" s="436"/>
      <c r="Y144" s="436" t="s">
        <v>198</v>
      </c>
      <c r="Z144" s="374" t="s">
        <v>873</v>
      </c>
    </row>
    <row r="145" spans="1:26" hidden="1" x14ac:dyDescent="0.35">
      <c r="A145" s="437" t="str">
        <f t="shared" si="2"/>
        <v>LT004_PRTCTN_ID</v>
      </c>
      <c r="B145" s="368" t="s">
        <v>1075</v>
      </c>
      <c r="C145" s="369" t="s">
        <v>1078</v>
      </c>
      <c r="D145" s="370">
        <v>11</v>
      </c>
      <c r="E145" s="371" t="s">
        <v>1414</v>
      </c>
      <c r="F145" s="372">
        <v>6</v>
      </c>
      <c r="G145" s="435" t="s">
        <v>1415</v>
      </c>
      <c r="H145" s="372">
        <v>0</v>
      </c>
      <c r="I145" s="372">
        <v>6</v>
      </c>
      <c r="J145" s="435" t="s">
        <v>1415</v>
      </c>
      <c r="K145" s="372">
        <v>0</v>
      </c>
      <c r="L145" s="435" t="s">
        <v>1415</v>
      </c>
      <c r="M145" s="370">
        <v>6</v>
      </c>
      <c r="N145" s="435" t="s">
        <v>1415</v>
      </c>
      <c r="O145" s="372">
        <v>0</v>
      </c>
      <c r="P145" s="373">
        <v>0</v>
      </c>
      <c r="Q145" s="435" t="s">
        <v>1415</v>
      </c>
      <c r="R145" s="372">
        <v>0</v>
      </c>
      <c r="S145" s="373">
        <v>0</v>
      </c>
      <c r="T145" s="370" t="s">
        <v>1394</v>
      </c>
      <c r="U145" s="370" t="s">
        <v>1395</v>
      </c>
      <c r="V145" s="370" t="s">
        <v>1086</v>
      </c>
      <c r="W145" s="370" t="s">
        <v>1086</v>
      </c>
      <c r="X145" s="436" t="s">
        <v>1430</v>
      </c>
      <c r="Y145" s="436" t="s">
        <v>144</v>
      </c>
      <c r="Z145" s="374" t="s">
        <v>144</v>
      </c>
    </row>
    <row r="146" spans="1:26" hidden="1" x14ac:dyDescent="0.35">
      <c r="A146" s="437" t="str">
        <f t="shared" si="2"/>
        <v>LT004_PRTCTN_PRVDR_ID</v>
      </c>
      <c r="B146" s="368" t="s">
        <v>1075</v>
      </c>
      <c r="C146" s="369" t="s">
        <v>1079</v>
      </c>
      <c r="D146" s="370">
        <v>22</v>
      </c>
      <c r="E146" s="371" t="s">
        <v>1414</v>
      </c>
      <c r="F146" s="372">
        <v>6</v>
      </c>
      <c r="G146" s="435" t="s">
        <v>1415</v>
      </c>
      <c r="H146" s="372">
        <v>0</v>
      </c>
      <c r="I146" s="372">
        <v>6</v>
      </c>
      <c r="J146" s="435" t="s">
        <v>1415</v>
      </c>
      <c r="K146" s="372">
        <v>0</v>
      </c>
      <c r="L146" s="435" t="s">
        <v>1415</v>
      </c>
      <c r="M146" s="370">
        <v>0</v>
      </c>
      <c r="N146" s="435" t="s">
        <v>1415</v>
      </c>
      <c r="O146" s="372">
        <v>0</v>
      </c>
      <c r="P146" s="373">
        <v>0</v>
      </c>
      <c r="Q146" s="435" t="s">
        <v>1415</v>
      </c>
      <c r="R146" s="372">
        <v>0</v>
      </c>
      <c r="S146" s="373">
        <v>0</v>
      </c>
      <c r="T146" s="370" t="s">
        <v>1331</v>
      </c>
      <c r="U146" s="370" t="s">
        <v>1396</v>
      </c>
      <c r="V146" s="370" t="s">
        <v>1086</v>
      </c>
      <c r="W146" s="370" t="s">
        <v>1086</v>
      </c>
      <c r="X146" s="436"/>
      <c r="Y146" s="436" t="s">
        <v>144</v>
      </c>
      <c r="Z146" s="374" t="s">
        <v>144</v>
      </c>
    </row>
    <row r="147" spans="1:26" hidden="1" x14ac:dyDescent="0.35">
      <c r="A147" s="437" t="str">
        <f t="shared" si="2"/>
        <v>LT005_ACCRD_INTRST_INSTRMNT</v>
      </c>
      <c r="B147" s="368" t="s">
        <v>1080</v>
      </c>
      <c r="C147" s="369" t="s">
        <v>1045</v>
      </c>
      <c r="D147" s="370">
        <v>24</v>
      </c>
      <c r="E147" s="371" t="s">
        <v>1414</v>
      </c>
      <c r="F147" s="372">
        <v>4735</v>
      </c>
      <c r="G147" s="435" t="s">
        <v>1415</v>
      </c>
      <c r="H147" s="372">
        <v>4</v>
      </c>
      <c r="I147" s="372">
        <v>4735</v>
      </c>
      <c r="J147" s="435" t="s">
        <v>1415</v>
      </c>
      <c r="K147" s="372">
        <v>0</v>
      </c>
      <c r="L147" s="435" t="s">
        <v>1415</v>
      </c>
      <c r="M147" s="370">
        <v>0</v>
      </c>
      <c r="N147" s="435" t="s">
        <v>1415</v>
      </c>
      <c r="O147" s="372">
        <v>0</v>
      </c>
      <c r="P147" s="373">
        <v>0</v>
      </c>
      <c r="Q147" s="435" t="s">
        <v>1415</v>
      </c>
      <c r="R147" s="372">
        <v>0</v>
      </c>
      <c r="S147" s="373">
        <v>0</v>
      </c>
      <c r="T147" s="370" t="s">
        <v>1292</v>
      </c>
      <c r="U147" s="370" t="s">
        <v>1290</v>
      </c>
      <c r="V147" s="370" t="s">
        <v>1086</v>
      </c>
      <c r="W147" s="370" t="s">
        <v>1086</v>
      </c>
      <c r="X147" s="436"/>
      <c r="Y147" s="436" t="s">
        <v>144</v>
      </c>
      <c r="Z147" s="374" t="s">
        <v>911</v>
      </c>
    </row>
    <row r="148" spans="1:26" hidden="1" x14ac:dyDescent="0.35">
      <c r="A148" s="437" t="str">
        <f t="shared" si="2"/>
        <v>LT005_ENTTY_ID</v>
      </c>
      <c r="B148" s="368" t="s">
        <v>1080</v>
      </c>
      <c r="C148" s="369" t="s">
        <v>1071</v>
      </c>
      <c r="D148" s="370">
        <v>12</v>
      </c>
      <c r="E148" s="371" t="s">
        <v>1414</v>
      </c>
      <c r="F148" s="372">
        <v>4735</v>
      </c>
      <c r="G148" s="435" t="s">
        <v>1415</v>
      </c>
      <c r="H148" s="372">
        <v>0</v>
      </c>
      <c r="I148" s="372">
        <v>4735</v>
      </c>
      <c r="J148" s="435" t="s">
        <v>1415</v>
      </c>
      <c r="K148" s="372">
        <v>0</v>
      </c>
      <c r="L148" s="435" t="s">
        <v>1415</v>
      </c>
      <c r="M148" s="370">
        <v>0</v>
      </c>
      <c r="N148" s="435" t="s">
        <v>1415</v>
      </c>
      <c r="O148" s="372">
        <v>0</v>
      </c>
      <c r="P148" s="373">
        <v>0</v>
      </c>
      <c r="Q148" s="435" t="s">
        <v>1415</v>
      </c>
      <c r="R148" s="372">
        <v>0</v>
      </c>
      <c r="S148" s="373">
        <v>0</v>
      </c>
      <c r="T148" s="370" t="s">
        <v>1340</v>
      </c>
      <c r="U148" s="370" t="s">
        <v>1341</v>
      </c>
      <c r="V148" s="370" t="s">
        <v>1086</v>
      </c>
      <c r="W148" s="370" t="s">
        <v>1086</v>
      </c>
      <c r="X148" s="436"/>
      <c r="Y148" s="436" t="s">
        <v>144</v>
      </c>
      <c r="Z148" s="374" t="s">
        <v>144</v>
      </c>
    </row>
    <row r="149" spans="1:26" hidden="1" x14ac:dyDescent="0.35">
      <c r="A149" s="437" t="str">
        <f t="shared" si="2"/>
        <v>LT005_INSTRMNT_ID</v>
      </c>
      <c r="B149" s="368" t="s">
        <v>1080</v>
      </c>
      <c r="C149" s="369" t="s">
        <v>1057</v>
      </c>
      <c r="D149" s="370">
        <v>12</v>
      </c>
      <c r="E149" s="371" t="s">
        <v>1414</v>
      </c>
      <c r="F149" s="372">
        <v>4735</v>
      </c>
      <c r="G149" s="435" t="s">
        <v>1415</v>
      </c>
      <c r="H149" s="372">
        <v>0</v>
      </c>
      <c r="I149" s="372">
        <v>4735</v>
      </c>
      <c r="J149" s="435" t="s">
        <v>1415</v>
      </c>
      <c r="K149" s="372">
        <v>0</v>
      </c>
      <c r="L149" s="435" t="s">
        <v>1415</v>
      </c>
      <c r="M149" s="370">
        <v>0</v>
      </c>
      <c r="N149" s="435" t="s">
        <v>1415</v>
      </c>
      <c r="O149" s="372">
        <v>0</v>
      </c>
      <c r="P149" s="373">
        <v>0</v>
      </c>
      <c r="Q149" s="435" t="s">
        <v>1415</v>
      </c>
      <c r="R149" s="372">
        <v>0</v>
      </c>
      <c r="S149" s="373">
        <v>0</v>
      </c>
      <c r="T149" s="370" t="s">
        <v>1337</v>
      </c>
      <c r="U149" s="370" t="s">
        <v>1338</v>
      </c>
      <c r="V149" s="370" t="s">
        <v>1086</v>
      </c>
      <c r="W149" s="370" t="s">
        <v>1086</v>
      </c>
      <c r="X149" s="436"/>
      <c r="Y149" s="436" t="s">
        <v>144</v>
      </c>
      <c r="Z149" s="374" t="s">
        <v>144</v>
      </c>
    </row>
    <row r="150" spans="1:26" hidden="1" x14ac:dyDescent="0.35">
      <c r="A150" s="437" t="str">
        <f t="shared" si="2"/>
        <v>LT005_OTSTNDNG_PRNCPL_AMNT</v>
      </c>
      <c r="B150" s="368" t="s">
        <v>1080</v>
      </c>
      <c r="C150" s="369" t="s">
        <v>1081</v>
      </c>
      <c r="D150" s="370">
        <v>23</v>
      </c>
      <c r="E150" s="371" t="s">
        <v>1414</v>
      </c>
      <c r="F150" s="372">
        <v>4735</v>
      </c>
      <c r="G150" s="435" t="s">
        <v>1415</v>
      </c>
      <c r="H150" s="372">
        <v>1</v>
      </c>
      <c r="I150" s="372">
        <v>4735</v>
      </c>
      <c r="J150" s="435" t="s">
        <v>1415</v>
      </c>
      <c r="K150" s="372">
        <v>1</v>
      </c>
      <c r="L150" s="435" t="s">
        <v>1415</v>
      </c>
      <c r="M150" s="370">
        <v>0</v>
      </c>
      <c r="N150" s="435" t="s">
        <v>1415</v>
      </c>
      <c r="O150" s="372">
        <v>0</v>
      </c>
      <c r="P150" s="373">
        <v>0</v>
      </c>
      <c r="Q150" s="435" t="s">
        <v>1415</v>
      </c>
      <c r="R150" s="372">
        <v>0</v>
      </c>
      <c r="S150" s="373">
        <v>0</v>
      </c>
      <c r="T150" s="370" t="s">
        <v>1397</v>
      </c>
      <c r="U150" s="370" t="s">
        <v>1290</v>
      </c>
      <c r="V150" s="370" t="s">
        <v>1086</v>
      </c>
      <c r="W150" s="370" t="s">
        <v>1086</v>
      </c>
      <c r="X150" s="436"/>
      <c r="Y150" s="436" t="s">
        <v>144</v>
      </c>
      <c r="Z150" s="374" t="s">
        <v>911</v>
      </c>
    </row>
    <row r="151" spans="1:26" hidden="1" x14ac:dyDescent="0.35">
      <c r="A151" s="437" t="str">
        <f t="shared" si="2"/>
        <v>LT005_PRTN_AMNT_RPRTNG_ENTTY</v>
      </c>
      <c r="B151" s="368" t="s">
        <v>1080</v>
      </c>
      <c r="C151" s="369" t="s">
        <v>1082</v>
      </c>
      <c r="D151" s="370">
        <v>17</v>
      </c>
      <c r="E151" s="371" t="s">
        <v>1414</v>
      </c>
      <c r="F151" s="372">
        <v>4735</v>
      </c>
      <c r="G151" s="435" t="s">
        <v>1415</v>
      </c>
      <c r="H151" s="372">
        <v>1</v>
      </c>
      <c r="I151" s="372">
        <v>4735</v>
      </c>
      <c r="J151" s="435" t="s">
        <v>1415</v>
      </c>
      <c r="K151" s="372">
        <v>0</v>
      </c>
      <c r="L151" s="435" t="s">
        <v>1415</v>
      </c>
      <c r="M151" s="370">
        <v>0</v>
      </c>
      <c r="N151" s="435" t="s">
        <v>1415</v>
      </c>
      <c r="O151" s="372">
        <v>0</v>
      </c>
      <c r="P151" s="373">
        <v>0</v>
      </c>
      <c r="Q151" s="435" t="s">
        <v>1415</v>
      </c>
      <c r="R151" s="372">
        <v>0</v>
      </c>
      <c r="S151" s="373">
        <v>0</v>
      </c>
      <c r="T151" s="370" t="s">
        <v>1292</v>
      </c>
      <c r="U151" s="370" t="s">
        <v>1290</v>
      </c>
      <c r="V151" s="370" t="s">
        <v>1086</v>
      </c>
      <c r="W151" s="370" t="s">
        <v>1086</v>
      </c>
      <c r="X151" s="436"/>
      <c r="Y151" s="436" t="s">
        <v>144</v>
      </c>
      <c r="Z151" s="374" t="s">
        <v>911</v>
      </c>
    </row>
    <row r="152" spans="1:26" hidden="1" x14ac:dyDescent="0.35">
      <c r="A152" s="437" t="str">
        <f t="shared" si="2"/>
        <v>LT006_INSTRMNT_ID</v>
      </c>
      <c r="B152" s="368" t="s">
        <v>1083</v>
      </c>
      <c r="C152" s="369" t="s">
        <v>1057</v>
      </c>
      <c r="D152" s="370">
        <v>11</v>
      </c>
      <c r="E152" s="371" t="s">
        <v>1414</v>
      </c>
      <c r="F152" s="372">
        <v>9413</v>
      </c>
      <c r="G152" s="435" t="s">
        <v>1415</v>
      </c>
      <c r="H152" s="372">
        <v>0</v>
      </c>
      <c r="I152" s="372">
        <v>9413</v>
      </c>
      <c r="J152" s="435" t="s">
        <v>1415</v>
      </c>
      <c r="K152" s="372">
        <v>0</v>
      </c>
      <c r="L152" s="435" t="s">
        <v>1415</v>
      </c>
      <c r="M152" s="370">
        <v>0</v>
      </c>
      <c r="N152" s="435" t="s">
        <v>1415</v>
      </c>
      <c r="O152" s="372">
        <v>0</v>
      </c>
      <c r="P152" s="373">
        <v>0</v>
      </c>
      <c r="Q152" s="435" t="s">
        <v>1415</v>
      </c>
      <c r="R152" s="372">
        <v>0</v>
      </c>
      <c r="S152" s="373">
        <v>0</v>
      </c>
      <c r="T152" s="370" t="s">
        <v>1337</v>
      </c>
      <c r="U152" s="370" t="s">
        <v>1338</v>
      </c>
      <c r="V152" s="370" t="s">
        <v>1086</v>
      </c>
      <c r="W152" s="370" t="s">
        <v>1086</v>
      </c>
      <c r="X152" s="436"/>
      <c r="Y152" s="436" t="s">
        <v>144</v>
      </c>
      <c r="Z152" s="374" t="s">
        <v>144</v>
      </c>
    </row>
    <row r="153" spans="1:26" hidden="1" x14ac:dyDescent="0.35">
      <c r="A153" s="437" t="str">
        <f t="shared" si="2"/>
        <v>LT006_PRTCTN_ID</v>
      </c>
      <c r="B153" s="368" t="s">
        <v>1083</v>
      </c>
      <c r="C153" s="369" t="s">
        <v>1078</v>
      </c>
      <c r="D153" s="370">
        <v>11</v>
      </c>
      <c r="E153" s="371" t="s">
        <v>1414</v>
      </c>
      <c r="F153" s="372">
        <v>9413</v>
      </c>
      <c r="G153" s="435" t="s">
        <v>1415</v>
      </c>
      <c r="H153" s="372">
        <v>0</v>
      </c>
      <c r="I153" s="372">
        <v>9413</v>
      </c>
      <c r="J153" s="435" t="s">
        <v>1415</v>
      </c>
      <c r="K153" s="372">
        <v>0</v>
      </c>
      <c r="L153" s="435" t="s">
        <v>1415</v>
      </c>
      <c r="M153" s="370">
        <v>9413</v>
      </c>
      <c r="N153" s="435" t="s">
        <v>1415</v>
      </c>
      <c r="O153" s="372">
        <v>0</v>
      </c>
      <c r="P153" s="373">
        <v>0</v>
      </c>
      <c r="Q153" s="435" t="s">
        <v>1415</v>
      </c>
      <c r="R153" s="372">
        <v>0</v>
      </c>
      <c r="S153" s="373">
        <v>0</v>
      </c>
      <c r="T153" s="370" t="s">
        <v>1394</v>
      </c>
      <c r="U153" s="370" t="s">
        <v>1395</v>
      </c>
      <c r="V153" s="370" t="s">
        <v>1086</v>
      </c>
      <c r="W153" s="370" t="s">
        <v>1086</v>
      </c>
      <c r="X153" s="436" t="s">
        <v>1430</v>
      </c>
      <c r="Y153" s="436" t="s">
        <v>144</v>
      </c>
      <c r="Z153" s="374" t="s">
        <v>144</v>
      </c>
    </row>
    <row r="154" spans="1:26" hidden="1" x14ac:dyDescent="0.35">
      <c r="A154" s="437" t="str">
        <f t="shared" si="2"/>
        <v>LT006_PRTCTN_ALLCTD_VL</v>
      </c>
      <c r="B154" s="368" t="s">
        <v>1083</v>
      </c>
      <c r="C154" s="369" t="s">
        <v>1084</v>
      </c>
      <c r="D154" s="370">
        <v>17</v>
      </c>
      <c r="E154" s="371" t="s">
        <v>1414</v>
      </c>
      <c r="F154" s="372">
        <v>9413</v>
      </c>
      <c r="G154" s="435" t="s">
        <v>1415</v>
      </c>
      <c r="H154" s="372">
        <v>0</v>
      </c>
      <c r="I154" s="372">
        <v>9413</v>
      </c>
      <c r="J154" s="435" t="s">
        <v>1415</v>
      </c>
      <c r="K154" s="372">
        <v>0</v>
      </c>
      <c r="L154" s="435" t="s">
        <v>1415</v>
      </c>
      <c r="M154" s="370">
        <v>0</v>
      </c>
      <c r="N154" s="435" t="s">
        <v>1415</v>
      </c>
      <c r="O154" s="372">
        <v>0</v>
      </c>
      <c r="P154" s="373">
        <v>0</v>
      </c>
      <c r="Q154" s="435" t="s">
        <v>1415</v>
      </c>
      <c r="R154" s="372">
        <v>0</v>
      </c>
      <c r="S154" s="373">
        <v>0</v>
      </c>
      <c r="T154" s="370" t="s">
        <v>1328</v>
      </c>
      <c r="U154" s="370" t="s">
        <v>1329</v>
      </c>
      <c r="V154" s="370" t="s">
        <v>1086</v>
      </c>
      <c r="W154" s="370" t="s">
        <v>1086</v>
      </c>
      <c r="X154" s="436"/>
      <c r="Y154" s="436" t="s">
        <v>144</v>
      </c>
      <c r="Z154" s="374" t="s">
        <v>144</v>
      </c>
    </row>
  </sheetData>
  <autoFilter ref="A1:Z154" xr:uid="{D67FCEDC-A611-4610-BB2C-E533AD60A3CB}">
    <filterColumn colId="2">
      <filters>
        <filter val="0040_CNTRPRTY_NM"/>
      </filters>
    </filterColumn>
  </autoFilter>
  <conditionalFormatting sqref="Z2:Z154">
    <cfRule type="cellIs" dxfId="4" priority="1" operator="equal">
      <formula>"Rever"</formula>
    </cfRule>
    <cfRule type="cellIs" dxfId="3" priority="2" operator="equal">
      <formula>"Em curso"</formula>
    </cfRule>
    <cfRule type="cellIs" dxfId="2" priority="3" operator="equal">
      <formula>"Pendente de desenvolv."</formula>
    </cfRule>
    <cfRule type="cellIs" dxfId="1" priority="4" operator="equal">
      <formula>"Com incidências"</formula>
    </cfRule>
    <cfRule type="cellIs" dxfId="0" priority="5" operator="equal">
      <formula>"Concluído"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7E99-90E1-4DC6-9DBC-019260FD2411}">
  <dimension ref="A1:P200"/>
  <sheetViews>
    <sheetView showGridLines="0" zoomScale="70" zoomScaleNormal="70" workbookViewId="0">
      <selection activeCell="B1" sqref="B1"/>
    </sheetView>
  </sheetViews>
  <sheetFormatPr defaultColWidth="0" defaultRowHeight="14.5" zeroHeight="1" x14ac:dyDescent="0.35"/>
  <cols>
    <col min="1" max="1" width="3.90625" customWidth="1"/>
    <col min="2" max="2" width="50.54296875" bestFit="1" customWidth="1"/>
    <col min="3" max="3" width="17" bestFit="1" customWidth="1"/>
    <col min="4" max="4" width="15.453125" bestFit="1" customWidth="1"/>
    <col min="5" max="5" width="34.54296875" bestFit="1" customWidth="1"/>
    <col min="6" max="6" width="16.453125" bestFit="1" customWidth="1"/>
    <col min="7" max="7" width="37.08984375" bestFit="1" customWidth="1"/>
    <col min="8" max="8" width="24.08984375" bestFit="1" customWidth="1"/>
    <col min="9" max="9" width="19.90625" bestFit="1" customWidth="1"/>
    <col min="10" max="10" width="27.08984375" customWidth="1"/>
    <col min="11" max="11" width="37.453125" customWidth="1"/>
    <col min="12" max="13" width="27.08984375" customWidth="1"/>
    <col min="14" max="14" width="3.90625" customWidth="1"/>
    <col min="15" max="16" width="0" hidden="1" customWidth="1"/>
    <col min="17" max="16384" width="8.90625" hidden="1"/>
  </cols>
  <sheetData>
    <row r="1" spans="2:14" x14ac:dyDescent="0.35">
      <c r="B1" s="438" t="s">
        <v>901</v>
      </c>
      <c r="C1" s="438" t="s">
        <v>902</v>
      </c>
      <c r="D1" s="438" t="s">
        <v>903</v>
      </c>
      <c r="E1" s="438" t="s">
        <v>1431</v>
      </c>
      <c r="F1" s="438" t="s">
        <v>1088</v>
      </c>
      <c r="G1" s="438" t="s">
        <v>904</v>
      </c>
      <c r="H1" s="438" t="s">
        <v>1432</v>
      </c>
      <c r="I1" s="438" t="s">
        <v>1371</v>
      </c>
      <c r="J1" s="438" t="s">
        <v>1374</v>
      </c>
      <c r="K1" s="438" t="s">
        <v>1352</v>
      </c>
      <c r="L1" s="485" t="s">
        <v>1410</v>
      </c>
      <c r="M1" s="485" t="s">
        <v>1411</v>
      </c>
    </row>
    <row r="2" spans="2:14" x14ac:dyDescent="0.35">
      <c r="B2" s="359" t="s">
        <v>1109</v>
      </c>
      <c r="C2" s="360">
        <v>0</v>
      </c>
      <c r="D2" s="360" t="s">
        <v>905</v>
      </c>
      <c r="E2" s="360" t="s">
        <v>1349</v>
      </c>
      <c r="F2" s="360" t="s">
        <v>1110</v>
      </c>
      <c r="G2" s="360" t="s">
        <v>17</v>
      </c>
      <c r="H2" s="360">
        <v>8</v>
      </c>
      <c r="I2" s="360" t="s">
        <v>144</v>
      </c>
      <c r="J2" s="360" t="s">
        <v>144</v>
      </c>
      <c r="K2" s="463"/>
      <c r="L2" s="360" t="s">
        <v>144</v>
      </c>
      <c r="M2" s="360"/>
      <c r="N2">
        <f>IF(J2=L2,0,1)</f>
        <v>0</v>
      </c>
    </row>
    <row r="3" spans="2:14" x14ac:dyDescent="0.35">
      <c r="B3" s="359" t="s">
        <v>1111</v>
      </c>
      <c r="C3" s="360">
        <v>0</v>
      </c>
      <c r="D3" s="360" t="s">
        <v>905</v>
      </c>
      <c r="E3" s="360" t="s">
        <v>1349</v>
      </c>
      <c r="F3" s="360" t="s">
        <v>1110</v>
      </c>
      <c r="G3" s="360" t="s">
        <v>19</v>
      </c>
      <c r="H3" s="360">
        <v>8</v>
      </c>
      <c r="I3" s="360" t="s">
        <v>144</v>
      </c>
      <c r="J3" s="360" t="s">
        <v>144</v>
      </c>
      <c r="K3" s="463"/>
      <c r="L3" s="360" t="s">
        <v>144</v>
      </c>
      <c r="M3" s="360"/>
      <c r="N3">
        <f t="shared" ref="N3:N66" si="0">IF(J3=L3,0,1)</f>
        <v>0</v>
      </c>
    </row>
    <row r="4" spans="2:14" x14ac:dyDescent="0.35">
      <c r="B4" s="359" t="s">
        <v>1112</v>
      </c>
      <c r="C4" s="360">
        <v>0</v>
      </c>
      <c r="D4" s="360" t="s">
        <v>905</v>
      </c>
      <c r="E4" s="360" t="s">
        <v>1349</v>
      </c>
      <c r="F4" s="360" t="s">
        <v>1110</v>
      </c>
      <c r="G4" s="360" t="s">
        <v>20</v>
      </c>
      <c r="H4" s="360">
        <v>8</v>
      </c>
      <c r="I4" s="360" t="s">
        <v>144</v>
      </c>
      <c r="J4" s="360" t="s">
        <v>144</v>
      </c>
      <c r="K4" s="463"/>
      <c r="L4" s="360" t="s">
        <v>144</v>
      </c>
      <c r="M4" s="360"/>
      <c r="N4">
        <f t="shared" si="0"/>
        <v>0</v>
      </c>
    </row>
    <row r="5" spans="2:14" x14ac:dyDescent="0.35">
      <c r="B5" s="359" t="s">
        <v>1113</v>
      </c>
      <c r="C5" s="360">
        <v>0</v>
      </c>
      <c r="D5" s="360" t="s">
        <v>905</v>
      </c>
      <c r="E5" s="360" t="s">
        <v>1349</v>
      </c>
      <c r="F5" s="360" t="s">
        <v>1110</v>
      </c>
      <c r="G5" s="360" t="s">
        <v>23</v>
      </c>
      <c r="H5" s="360">
        <v>8</v>
      </c>
      <c r="I5" s="360" t="s">
        <v>144</v>
      </c>
      <c r="J5" s="360" t="s">
        <v>144</v>
      </c>
      <c r="K5" s="463"/>
      <c r="L5" s="360" t="s">
        <v>144</v>
      </c>
      <c r="M5" s="360"/>
      <c r="N5">
        <f t="shared" si="0"/>
        <v>0</v>
      </c>
    </row>
    <row r="6" spans="2:14" x14ac:dyDescent="0.35">
      <c r="B6" s="359" t="s">
        <v>1114</v>
      </c>
      <c r="C6" s="360">
        <v>0</v>
      </c>
      <c r="D6" s="360" t="s">
        <v>905</v>
      </c>
      <c r="E6" s="360" t="s">
        <v>1349</v>
      </c>
      <c r="F6" s="360" t="s">
        <v>1110</v>
      </c>
      <c r="G6" s="360" t="s">
        <v>24</v>
      </c>
      <c r="H6" s="360">
        <v>8</v>
      </c>
      <c r="I6" s="360" t="s">
        <v>144</v>
      </c>
      <c r="J6" s="360" t="s">
        <v>144</v>
      </c>
      <c r="K6" s="463"/>
      <c r="L6" s="360" t="s">
        <v>144</v>
      </c>
      <c r="M6" s="360"/>
      <c r="N6">
        <f t="shared" si="0"/>
        <v>0</v>
      </c>
    </row>
    <row r="7" spans="2:14" x14ac:dyDescent="0.35">
      <c r="B7" s="359" t="s">
        <v>1115</v>
      </c>
      <c r="C7" s="360">
        <v>0</v>
      </c>
      <c r="D7" s="360" t="s">
        <v>905</v>
      </c>
      <c r="E7" s="360" t="s">
        <v>1351</v>
      </c>
      <c r="F7" s="360" t="s">
        <v>1110</v>
      </c>
      <c r="G7" s="360" t="s">
        <v>24</v>
      </c>
      <c r="H7" s="360">
        <v>8</v>
      </c>
      <c r="I7" s="360" t="s">
        <v>144</v>
      </c>
      <c r="J7" s="360" t="s">
        <v>144</v>
      </c>
      <c r="K7" s="463"/>
      <c r="L7" s="360" t="s">
        <v>144</v>
      </c>
      <c r="M7" s="360"/>
      <c r="N7">
        <f t="shared" si="0"/>
        <v>0</v>
      </c>
    </row>
    <row r="8" spans="2:14" x14ac:dyDescent="0.35">
      <c r="B8" s="359" t="s">
        <v>1116</v>
      </c>
      <c r="C8" s="360">
        <v>0</v>
      </c>
      <c r="D8" s="360" t="s">
        <v>905</v>
      </c>
      <c r="E8" s="360" t="s">
        <v>1349</v>
      </c>
      <c r="F8" s="360" t="s">
        <v>1110</v>
      </c>
      <c r="G8" s="360" t="s">
        <v>25</v>
      </c>
      <c r="H8" s="360">
        <v>8</v>
      </c>
      <c r="I8" s="360" t="s">
        <v>144</v>
      </c>
      <c r="J8" s="360" t="s">
        <v>144</v>
      </c>
      <c r="K8" s="463"/>
      <c r="L8" s="360" t="s">
        <v>873</v>
      </c>
      <c r="M8" s="360"/>
      <c r="N8">
        <f t="shared" si="0"/>
        <v>1</v>
      </c>
    </row>
    <row r="9" spans="2:14" x14ac:dyDescent="0.35">
      <c r="B9" s="359" t="s">
        <v>1117</v>
      </c>
      <c r="C9" s="360">
        <v>0</v>
      </c>
      <c r="D9" s="360" t="s">
        <v>905</v>
      </c>
      <c r="E9" s="360" t="s">
        <v>1349</v>
      </c>
      <c r="F9" s="360" t="s">
        <v>1110</v>
      </c>
      <c r="G9" s="360" t="s">
        <v>26</v>
      </c>
      <c r="H9" s="360">
        <v>8</v>
      </c>
      <c r="I9" s="360" t="s">
        <v>144</v>
      </c>
      <c r="J9" s="360" t="s">
        <v>144</v>
      </c>
      <c r="K9" s="463"/>
      <c r="L9" s="360" t="s">
        <v>144</v>
      </c>
      <c r="M9" s="360"/>
      <c r="N9">
        <f t="shared" si="0"/>
        <v>0</v>
      </c>
    </row>
    <row r="10" spans="2:14" x14ac:dyDescent="0.35">
      <c r="B10" s="359" t="s">
        <v>1118</v>
      </c>
      <c r="C10" s="360">
        <v>0</v>
      </c>
      <c r="D10" s="360" t="s">
        <v>905</v>
      </c>
      <c r="E10" s="360" t="s">
        <v>1351</v>
      </c>
      <c r="F10" s="360" t="s">
        <v>1110</v>
      </c>
      <c r="G10" s="360" t="s">
        <v>26</v>
      </c>
      <c r="H10" s="360">
        <v>8</v>
      </c>
      <c r="I10" s="360" t="s">
        <v>144</v>
      </c>
      <c r="J10" s="360" t="s">
        <v>144</v>
      </c>
      <c r="K10" s="463"/>
      <c r="L10" s="360" t="s">
        <v>144</v>
      </c>
      <c r="M10" s="360"/>
      <c r="N10">
        <f t="shared" si="0"/>
        <v>0</v>
      </c>
    </row>
    <row r="11" spans="2:14" x14ac:dyDescent="0.35">
      <c r="B11" s="359" t="s">
        <v>1119</v>
      </c>
      <c r="C11" s="360">
        <v>0</v>
      </c>
      <c r="D11" s="360" t="s">
        <v>905</v>
      </c>
      <c r="E11" s="360" t="s">
        <v>1349</v>
      </c>
      <c r="F11" s="360" t="s">
        <v>1110</v>
      </c>
      <c r="G11" s="360" t="s">
        <v>28</v>
      </c>
      <c r="H11" s="360">
        <v>8</v>
      </c>
      <c r="I11" s="360" t="s">
        <v>144</v>
      </c>
      <c r="J11" s="360" t="s">
        <v>144</v>
      </c>
      <c r="K11" s="463"/>
      <c r="L11" s="360" t="s">
        <v>873</v>
      </c>
      <c r="M11" s="360"/>
      <c r="N11">
        <f t="shared" si="0"/>
        <v>1</v>
      </c>
    </row>
    <row r="12" spans="2:14" x14ac:dyDescent="0.35">
      <c r="B12" s="359" t="s">
        <v>1120</v>
      </c>
      <c r="C12" s="360">
        <v>0</v>
      </c>
      <c r="D12" s="360" t="s">
        <v>905</v>
      </c>
      <c r="E12" s="360" t="s">
        <v>1351</v>
      </c>
      <c r="F12" s="360" t="s">
        <v>1110</v>
      </c>
      <c r="G12" s="360" t="s">
        <v>28</v>
      </c>
      <c r="H12" s="360">
        <v>8</v>
      </c>
      <c r="I12" s="360" t="s">
        <v>144</v>
      </c>
      <c r="J12" s="360" t="s">
        <v>144</v>
      </c>
      <c r="K12" s="463"/>
      <c r="L12" s="360" t="s">
        <v>873</v>
      </c>
      <c r="M12" s="360"/>
      <c r="N12">
        <f t="shared" si="0"/>
        <v>1</v>
      </c>
    </row>
    <row r="13" spans="2:14" x14ac:dyDescent="0.35">
      <c r="B13" s="359" t="s">
        <v>1121</v>
      </c>
      <c r="C13" s="360">
        <v>0</v>
      </c>
      <c r="D13" s="360" t="s">
        <v>905</v>
      </c>
      <c r="E13" s="360" t="s">
        <v>1349</v>
      </c>
      <c r="F13" s="360" t="s">
        <v>1110</v>
      </c>
      <c r="G13" s="360" t="s">
        <v>29</v>
      </c>
      <c r="H13" s="360">
        <v>8</v>
      </c>
      <c r="I13" s="360" t="s">
        <v>144</v>
      </c>
      <c r="J13" s="360" t="s">
        <v>144</v>
      </c>
      <c r="K13" s="463"/>
      <c r="L13" s="360" t="s">
        <v>873</v>
      </c>
      <c r="M13" s="360"/>
      <c r="N13">
        <f t="shared" si="0"/>
        <v>1</v>
      </c>
    </row>
    <row r="14" spans="2:14" x14ac:dyDescent="0.35">
      <c r="B14" s="359" t="s">
        <v>1122</v>
      </c>
      <c r="C14" s="360">
        <v>0</v>
      </c>
      <c r="D14" s="360" t="s">
        <v>905</v>
      </c>
      <c r="E14" s="360" t="s">
        <v>1349</v>
      </c>
      <c r="F14" s="360" t="s">
        <v>1110</v>
      </c>
      <c r="G14" s="360" t="s">
        <v>30</v>
      </c>
      <c r="H14" s="360">
        <v>8</v>
      </c>
      <c r="I14" s="360" t="s">
        <v>144</v>
      </c>
      <c r="J14" s="360" t="s">
        <v>144</v>
      </c>
      <c r="K14" s="463"/>
      <c r="L14" s="360" t="s">
        <v>144</v>
      </c>
      <c r="M14" s="360"/>
      <c r="N14">
        <f t="shared" si="0"/>
        <v>0</v>
      </c>
    </row>
    <row r="15" spans="2:14" x14ac:dyDescent="0.35">
      <c r="B15" s="359" t="s">
        <v>1123</v>
      </c>
      <c r="C15" s="360">
        <v>0</v>
      </c>
      <c r="D15" s="360" t="s">
        <v>905</v>
      </c>
      <c r="E15" s="360" t="s">
        <v>1349</v>
      </c>
      <c r="F15" s="360" t="s">
        <v>1110</v>
      </c>
      <c r="G15" s="360" t="s">
        <v>31</v>
      </c>
      <c r="H15" s="360">
        <v>8</v>
      </c>
      <c r="I15" s="360" t="s">
        <v>144</v>
      </c>
      <c r="J15" s="360" t="s">
        <v>144</v>
      </c>
      <c r="K15" s="463"/>
      <c r="L15" s="360" t="s">
        <v>144</v>
      </c>
      <c r="M15" s="360"/>
      <c r="N15">
        <f t="shared" si="0"/>
        <v>0</v>
      </c>
    </row>
    <row r="16" spans="2:14" x14ac:dyDescent="0.35">
      <c r="B16" s="359" t="s">
        <v>1124</v>
      </c>
      <c r="C16" s="360">
        <v>0</v>
      </c>
      <c r="D16" s="360" t="s">
        <v>905</v>
      </c>
      <c r="E16" s="360" t="s">
        <v>1349</v>
      </c>
      <c r="F16" s="360" t="s">
        <v>1110</v>
      </c>
      <c r="G16" s="360" t="s">
        <v>33</v>
      </c>
      <c r="H16" s="360">
        <v>8</v>
      </c>
      <c r="I16" s="360" t="s">
        <v>144</v>
      </c>
      <c r="J16" s="360" t="s">
        <v>144</v>
      </c>
      <c r="K16" s="463"/>
      <c r="L16" s="360" t="s">
        <v>144</v>
      </c>
      <c r="M16" s="360"/>
      <c r="N16">
        <f t="shared" si="0"/>
        <v>0</v>
      </c>
    </row>
    <row r="17" spans="2:14" x14ac:dyDescent="0.35">
      <c r="B17" s="359" t="s">
        <v>1125</v>
      </c>
      <c r="C17" s="360">
        <v>0</v>
      </c>
      <c r="D17" s="360" t="s">
        <v>905</v>
      </c>
      <c r="E17" s="360" t="s">
        <v>1349</v>
      </c>
      <c r="F17" s="360" t="s">
        <v>1110</v>
      </c>
      <c r="G17" s="360" t="s">
        <v>35</v>
      </c>
      <c r="H17" s="360">
        <v>8</v>
      </c>
      <c r="I17" s="360" t="s">
        <v>144</v>
      </c>
      <c r="J17" s="360" t="s">
        <v>144</v>
      </c>
      <c r="K17" s="463"/>
      <c r="L17" s="360" t="s">
        <v>144</v>
      </c>
      <c r="M17" s="360"/>
      <c r="N17">
        <f t="shared" si="0"/>
        <v>0</v>
      </c>
    </row>
    <row r="18" spans="2:14" x14ac:dyDescent="0.35">
      <c r="B18" s="359" t="s">
        <v>1126</v>
      </c>
      <c r="C18" s="360">
        <v>0</v>
      </c>
      <c r="D18" s="360" t="s">
        <v>905</v>
      </c>
      <c r="E18" s="360" t="s">
        <v>1349</v>
      </c>
      <c r="F18" s="360" t="s">
        <v>1110</v>
      </c>
      <c r="G18" s="360" t="s">
        <v>37</v>
      </c>
      <c r="H18" s="360">
        <v>8</v>
      </c>
      <c r="I18" s="360" t="s">
        <v>144</v>
      </c>
      <c r="J18" s="360" t="s">
        <v>144</v>
      </c>
      <c r="K18" s="463"/>
      <c r="L18" s="360" t="s">
        <v>144</v>
      </c>
      <c r="M18" s="360"/>
      <c r="N18">
        <f t="shared" si="0"/>
        <v>0</v>
      </c>
    </row>
    <row r="19" spans="2:14" x14ac:dyDescent="0.35">
      <c r="B19" s="359" t="s">
        <v>1127</v>
      </c>
      <c r="C19" s="360">
        <v>0</v>
      </c>
      <c r="D19" s="360" t="s">
        <v>905</v>
      </c>
      <c r="E19" s="360" t="s">
        <v>1351</v>
      </c>
      <c r="F19" s="360" t="s">
        <v>1110</v>
      </c>
      <c r="G19" s="360" t="s">
        <v>37</v>
      </c>
      <c r="H19" s="360">
        <v>8</v>
      </c>
      <c r="I19" s="360" t="s">
        <v>144</v>
      </c>
      <c r="J19" s="360" t="s">
        <v>144</v>
      </c>
      <c r="K19" s="463"/>
      <c r="L19" s="360" t="s">
        <v>144</v>
      </c>
      <c r="M19" s="360"/>
      <c r="N19">
        <f t="shared" si="0"/>
        <v>0</v>
      </c>
    </row>
    <row r="20" spans="2:14" x14ac:dyDescent="0.35">
      <c r="B20" s="359" t="s">
        <v>1128</v>
      </c>
      <c r="C20" s="360">
        <v>0</v>
      </c>
      <c r="D20" s="360" t="s">
        <v>905</v>
      </c>
      <c r="E20" s="360" t="s">
        <v>1351</v>
      </c>
      <c r="F20" s="360" t="s">
        <v>1110</v>
      </c>
      <c r="G20" s="360" t="s">
        <v>39</v>
      </c>
      <c r="H20" s="360">
        <v>8</v>
      </c>
      <c r="I20" s="360" t="s">
        <v>144</v>
      </c>
      <c r="J20" s="360" t="s">
        <v>144</v>
      </c>
      <c r="K20" s="463"/>
      <c r="L20" s="360" t="s">
        <v>144</v>
      </c>
      <c r="M20" s="360"/>
      <c r="N20">
        <f t="shared" si="0"/>
        <v>0</v>
      </c>
    </row>
    <row r="21" spans="2:14" x14ac:dyDescent="0.35">
      <c r="B21" s="359" t="s">
        <v>1129</v>
      </c>
      <c r="C21" s="360">
        <v>0</v>
      </c>
      <c r="D21" s="360" t="s">
        <v>905</v>
      </c>
      <c r="E21" s="360" t="s">
        <v>1349</v>
      </c>
      <c r="F21" s="360" t="s">
        <v>1110</v>
      </c>
      <c r="G21" s="360" t="s">
        <v>40</v>
      </c>
      <c r="H21" s="360">
        <v>8</v>
      </c>
      <c r="I21" s="360" t="s">
        <v>144</v>
      </c>
      <c r="J21" s="360" t="s">
        <v>144</v>
      </c>
      <c r="K21" s="463"/>
      <c r="L21" s="360" t="s">
        <v>144</v>
      </c>
      <c r="M21" s="360"/>
      <c r="N21">
        <f t="shared" si="0"/>
        <v>0</v>
      </c>
    </row>
    <row r="22" spans="2:14" x14ac:dyDescent="0.35">
      <c r="B22" s="359" t="s">
        <v>1130</v>
      </c>
      <c r="C22" s="360">
        <v>0</v>
      </c>
      <c r="D22" s="360" t="s">
        <v>905</v>
      </c>
      <c r="E22" s="360" t="s">
        <v>1349</v>
      </c>
      <c r="F22" s="360" t="s">
        <v>1110</v>
      </c>
      <c r="G22" s="360" t="s">
        <v>41</v>
      </c>
      <c r="H22" s="360">
        <v>8</v>
      </c>
      <c r="I22" s="360" t="s">
        <v>144</v>
      </c>
      <c r="J22" s="360" t="s">
        <v>144</v>
      </c>
      <c r="K22" s="463"/>
      <c r="L22" s="360" t="s">
        <v>144</v>
      </c>
      <c r="M22" s="360"/>
      <c r="N22">
        <f t="shared" si="0"/>
        <v>0</v>
      </c>
    </row>
    <row r="23" spans="2:14" x14ac:dyDescent="0.35">
      <c r="B23" s="359" t="s">
        <v>1131</v>
      </c>
      <c r="C23" s="360">
        <v>0</v>
      </c>
      <c r="D23" s="360" t="s">
        <v>905</v>
      </c>
      <c r="E23" s="360" t="s">
        <v>1349</v>
      </c>
      <c r="F23" s="360" t="s">
        <v>1110</v>
      </c>
      <c r="G23" s="360" t="s">
        <v>44</v>
      </c>
      <c r="H23" s="360">
        <v>8</v>
      </c>
      <c r="I23" s="360" t="s">
        <v>144</v>
      </c>
      <c r="J23" s="360" t="s">
        <v>144</v>
      </c>
      <c r="K23" s="463"/>
      <c r="L23" s="360" t="s">
        <v>144</v>
      </c>
      <c r="M23" s="360"/>
      <c r="N23">
        <f t="shared" si="0"/>
        <v>0</v>
      </c>
    </row>
    <row r="24" spans="2:14" x14ac:dyDescent="0.35">
      <c r="B24" s="359" t="s">
        <v>1132</v>
      </c>
      <c r="C24" s="360">
        <v>0</v>
      </c>
      <c r="D24" s="360" t="s">
        <v>905</v>
      </c>
      <c r="E24" s="360" t="s">
        <v>1351</v>
      </c>
      <c r="F24" s="360" t="s">
        <v>1110</v>
      </c>
      <c r="G24" s="360" t="s">
        <v>900</v>
      </c>
      <c r="H24" s="360">
        <v>8</v>
      </c>
      <c r="I24" s="360" t="s">
        <v>144</v>
      </c>
      <c r="J24" s="360" t="s">
        <v>144</v>
      </c>
      <c r="K24" s="463"/>
      <c r="L24" s="360" t="s">
        <v>144</v>
      </c>
      <c r="M24" s="360"/>
      <c r="N24">
        <f t="shared" si="0"/>
        <v>0</v>
      </c>
    </row>
    <row r="25" spans="2:14" x14ac:dyDescent="0.35">
      <c r="B25" s="359" t="s">
        <v>1133</v>
      </c>
      <c r="C25" s="360">
        <v>0</v>
      </c>
      <c r="D25" s="360" t="s">
        <v>905</v>
      </c>
      <c r="E25" s="360" t="s">
        <v>1349</v>
      </c>
      <c r="F25" s="360" t="s">
        <v>1110</v>
      </c>
      <c r="G25" s="360" t="s">
        <v>45</v>
      </c>
      <c r="H25" s="360">
        <v>8</v>
      </c>
      <c r="I25" s="360" t="s">
        <v>144</v>
      </c>
      <c r="J25" s="360" t="s">
        <v>144</v>
      </c>
      <c r="K25" s="463"/>
      <c r="L25" s="360" t="s">
        <v>144</v>
      </c>
      <c r="M25" s="360"/>
      <c r="N25">
        <f t="shared" si="0"/>
        <v>0</v>
      </c>
    </row>
    <row r="26" spans="2:14" x14ac:dyDescent="0.35">
      <c r="B26" s="359" t="s">
        <v>1134</v>
      </c>
      <c r="C26" s="360">
        <v>0</v>
      </c>
      <c r="D26" s="360" t="s">
        <v>905</v>
      </c>
      <c r="E26" s="360" t="s">
        <v>1349</v>
      </c>
      <c r="F26" s="360" t="s">
        <v>1110</v>
      </c>
      <c r="G26" s="360" t="s">
        <v>48</v>
      </c>
      <c r="H26" s="360">
        <v>8</v>
      </c>
      <c r="I26" s="360" t="s">
        <v>144</v>
      </c>
      <c r="J26" s="360" t="s">
        <v>144</v>
      </c>
      <c r="K26" s="463"/>
      <c r="L26" s="360" t="s">
        <v>144</v>
      </c>
      <c r="M26" s="360"/>
      <c r="N26">
        <f t="shared" si="0"/>
        <v>0</v>
      </c>
    </row>
    <row r="27" spans="2:14" x14ac:dyDescent="0.35">
      <c r="B27" s="359" t="s">
        <v>1135</v>
      </c>
      <c r="C27" s="360">
        <v>0</v>
      </c>
      <c r="D27" s="360" t="s">
        <v>905</v>
      </c>
      <c r="E27" s="360" t="s">
        <v>1349</v>
      </c>
      <c r="F27" s="360" t="s">
        <v>1110</v>
      </c>
      <c r="G27" s="360" t="s">
        <v>906</v>
      </c>
      <c r="H27" s="360">
        <v>8</v>
      </c>
      <c r="I27" s="360" t="s">
        <v>144</v>
      </c>
      <c r="J27" s="360" t="s">
        <v>144</v>
      </c>
      <c r="K27" s="463"/>
      <c r="L27" s="360" t="s">
        <v>144</v>
      </c>
      <c r="M27" s="360"/>
      <c r="N27">
        <f t="shared" si="0"/>
        <v>0</v>
      </c>
    </row>
    <row r="28" spans="2:14" x14ac:dyDescent="0.35">
      <c r="B28" s="359" t="s">
        <v>1136</v>
      </c>
      <c r="C28" s="360">
        <v>0</v>
      </c>
      <c r="D28" s="360" t="s">
        <v>905</v>
      </c>
      <c r="E28" s="360" t="s">
        <v>1349</v>
      </c>
      <c r="F28" s="360" t="s">
        <v>1110</v>
      </c>
      <c r="G28" s="360" t="s">
        <v>49</v>
      </c>
      <c r="H28" s="360">
        <v>8</v>
      </c>
      <c r="I28" s="360" t="s">
        <v>144</v>
      </c>
      <c r="J28" s="360" t="s">
        <v>144</v>
      </c>
      <c r="K28" s="463"/>
      <c r="L28" s="360" t="s">
        <v>144</v>
      </c>
      <c r="M28" s="360"/>
      <c r="N28">
        <f t="shared" si="0"/>
        <v>0</v>
      </c>
    </row>
    <row r="29" spans="2:14" x14ac:dyDescent="0.35">
      <c r="B29" s="359" t="s">
        <v>1137</v>
      </c>
      <c r="C29" s="360">
        <v>0</v>
      </c>
      <c r="D29" s="360" t="s">
        <v>905</v>
      </c>
      <c r="E29" s="360" t="s">
        <v>1349</v>
      </c>
      <c r="F29" s="360" t="s">
        <v>1110</v>
      </c>
      <c r="G29" s="360" t="s">
        <v>50</v>
      </c>
      <c r="H29" s="360">
        <v>8</v>
      </c>
      <c r="I29" s="360" t="s">
        <v>144</v>
      </c>
      <c r="J29" s="360" t="s">
        <v>144</v>
      </c>
      <c r="K29" s="463"/>
      <c r="L29" s="360" t="s">
        <v>144</v>
      </c>
      <c r="M29" s="360"/>
      <c r="N29">
        <f t="shared" si="0"/>
        <v>0</v>
      </c>
    </row>
    <row r="30" spans="2:14" x14ac:dyDescent="0.35">
      <c r="B30" s="359" t="s">
        <v>1138</v>
      </c>
      <c r="C30" s="360">
        <v>0</v>
      </c>
      <c r="D30" s="360" t="s">
        <v>905</v>
      </c>
      <c r="E30" s="360" t="s">
        <v>1349</v>
      </c>
      <c r="F30" s="360" t="s">
        <v>1110</v>
      </c>
      <c r="G30" s="360" t="s">
        <v>52</v>
      </c>
      <c r="H30" s="360">
        <v>8</v>
      </c>
      <c r="I30" s="360" t="s">
        <v>144</v>
      </c>
      <c r="J30" s="360" t="s">
        <v>144</v>
      </c>
      <c r="K30" s="463"/>
      <c r="L30" s="360" t="s">
        <v>144</v>
      </c>
      <c r="M30" s="360"/>
      <c r="N30">
        <f t="shared" si="0"/>
        <v>0</v>
      </c>
    </row>
    <row r="31" spans="2:14" x14ac:dyDescent="0.35">
      <c r="B31" s="359" t="s">
        <v>1139</v>
      </c>
      <c r="C31" s="360">
        <v>0</v>
      </c>
      <c r="D31" s="360" t="s">
        <v>905</v>
      </c>
      <c r="E31" s="360" t="s">
        <v>1349</v>
      </c>
      <c r="F31" s="360" t="s">
        <v>1110</v>
      </c>
      <c r="G31" s="360" t="s">
        <v>53</v>
      </c>
      <c r="H31" s="360">
        <v>8</v>
      </c>
      <c r="I31" s="360" t="s">
        <v>144</v>
      </c>
      <c r="J31" s="360" t="s">
        <v>144</v>
      </c>
      <c r="K31" s="463"/>
      <c r="L31" s="360" t="s">
        <v>144</v>
      </c>
      <c r="M31" s="360"/>
      <c r="N31">
        <f t="shared" si="0"/>
        <v>0</v>
      </c>
    </row>
    <row r="32" spans="2:14" x14ac:dyDescent="0.35">
      <c r="B32" s="359" t="s">
        <v>1140</v>
      </c>
      <c r="C32" s="360">
        <v>0</v>
      </c>
      <c r="D32" s="360" t="s">
        <v>905</v>
      </c>
      <c r="E32" s="360" t="s">
        <v>1349</v>
      </c>
      <c r="F32" s="360" t="s">
        <v>1110</v>
      </c>
      <c r="G32" s="360" t="s">
        <v>55</v>
      </c>
      <c r="H32" s="360">
        <v>8</v>
      </c>
      <c r="I32" s="360" t="s">
        <v>144</v>
      </c>
      <c r="J32" s="360" t="s">
        <v>144</v>
      </c>
      <c r="K32" s="463"/>
      <c r="L32" s="360" t="s">
        <v>144</v>
      </c>
      <c r="M32" s="360"/>
      <c r="N32">
        <f t="shared" si="0"/>
        <v>0</v>
      </c>
    </row>
    <row r="33" spans="2:14" x14ac:dyDescent="0.35">
      <c r="B33" s="359" t="s">
        <v>1141</v>
      </c>
      <c r="C33" s="360">
        <v>0</v>
      </c>
      <c r="D33" s="360" t="s">
        <v>905</v>
      </c>
      <c r="E33" s="360" t="s">
        <v>1351</v>
      </c>
      <c r="F33" s="360" t="s">
        <v>1110</v>
      </c>
      <c r="G33" s="360" t="s">
        <v>55</v>
      </c>
      <c r="H33" s="360">
        <v>8</v>
      </c>
      <c r="I33" s="360" t="s">
        <v>144</v>
      </c>
      <c r="J33" s="360" t="s">
        <v>144</v>
      </c>
      <c r="K33" s="463"/>
      <c r="L33" s="360" t="s">
        <v>144</v>
      </c>
      <c r="M33" s="360"/>
      <c r="N33">
        <f t="shared" si="0"/>
        <v>0</v>
      </c>
    </row>
    <row r="34" spans="2:14" x14ac:dyDescent="0.35">
      <c r="B34" s="359" t="s">
        <v>1142</v>
      </c>
      <c r="C34" s="360">
        <v>0</v>
      </c>
      <c r="D34" s="360" t="s">
        <v>905</v>
      </c>
      <c r="E34" s="360" t="s">
        <v>1349</v>
      </c>
      <c r="F34" s="360" t="s">
        <v>1110</v>
      </c>
      <c r="G34" s="360" t="s">
        <v>57</v>
      </c>
      <c r="H34" s="360">
        <v>8</v>
      </c>
      <c r="I34" s="360" t="s">
        <v>144</v>
      </c>
      <c r="J34" s="360" t="s">
        <v>144</v>
      </c>
      <c r="K34" s="463"/>
      <c r="L34" s="360" t="s">
        <v>870</v>
      </c>
      <c r="M34" s="360"/>
      <c r="N34">
        <f t="shared" si="0"/>
        <v>1</v>
      </c>
    </row>
    <row r="35" spans="2:14" x14ac:dyDescent="0.35">
      <c r="B35" s="359" t="s">
        <v>1143</v>
      </c>
      <c r="C35" s="360">
        <v>0</v>
      </c>
      <c r="D35" s="360" t="s">
        <v>905</v>
      </c>
      <c r="E35" s="360" t="s">
        <v>1349</v>
      </c>
      <c r="F35" s="360" t="s">
        <v>1110</v>
      </c>
      <c r="G35" s="360" t="s">
        <v>58</v>
      </c>
      <c r="H35" s="360">
        <v>8</v>
      </c>
      <c r="I35" s="360" t="s">
        <v>144</v>
      </c>
      <c r="J35" s="360" t="s">
        <v>144</v>
      </c>
      <c r="K35" s="463"/>
      <c r="L35" s="360" t="s">
        <v>873</v>
      </c>
      <c r="M35" s="360"/>
      <c r="N35">
        <f t="shared" si="0"/>
        <v>1</v>
      </c>
    </row>
    <row r="36" spans="2:14" x14ac:dyDescent="0.35">
      <c r="B36" s="359" t="s">
        <v>1144</v>
      </c>
      <c r="C36" s="360">
        <v>0</v>
      </c>
      <c r="D36" s="360" t="s">
        <v>905</v>
      </c>
      <c r="E36" s="360" t="s">
        <v>1349</v>
      </c>
      <c r="F36" s="360" t="s">
        <v>1110</v>
      </c>
      <c r="G36" s="360" t="s">
        <v>59</v>
      </c>
      <c r="H36" s="360">
        <v>8</v>
      </c>
      <c r="I36" s="360" t="s">
        <v>144</v>
      </c>
      <c r="J36" s="360" t="s">
        <v>144</v>
      </c>
      <c r="K36" s="463"/>
      <c r="L36" s="360" t="s">
        <v>144</v>
      </c>
      <c r="M36" s="360"/>
      <c r="N36">
        <f t="shared" si="0"/>
        <v>0</v>
      </c>
    </row>
    <row r="37" spans="2:14" x14ac:dyDescent="0.35">
      <c r="B37" s="359" t="s">
        <v>1145</v>
      </c>
      <c r="C37" s="360">
        <v>0</v>
      </c>
      <c r="D37" s="360" t="s">
        <v>905</v>
      </c>
      <c r="E37" s="360" t="s">
        <v>1351</v>
      </c>
      <c r="F37" s="360" t="s">
        <v>1110</v>
      </c>
      <c r="G37" s="360" t="s">
        <v>59</v>
      </c>
      <c r="H37" s="360">
        <v>8</v>
      </c>
      <c r="I37" s="360" t="s">
        <v>144</v>
      </c>
      <c r="J37" s="360" t="s">
        <v>144</v>
      </c>
      <c r="K37" s="463"/>
      <c r="L37" s="360" t="s">
        <v>870</v>
      </c>
      <c r="M37" s="360"/>
      <c r="N37">
        <f t="shared" si="0"/>
        <v>1</v>
      </c>
    </row>
    <row r="38" spans="2:14" x14ac:dyDescent="0.35">
      <c r="B38" s="359" t="s">
        <v>1146</v>
      </c>
      <c r="C38" s="360">
        <v>0</v>
      </c>
      <c r="D38" s="360" t="s">
        <v>905</v>
      </c>
      <c r="E38" s="360" t="s">
        <v>1351</v>
      </c>
      <c r="F38" s="360" t="s">
        <v>1110</v>
      </c>
      <c r="G38" s="360" t="s">
        <v>89</v>
      </c>
      <c r="H38" s="360">
        <v>8</v>
      </c>
      <c r="I38" s="360" t="s">
        <v>144</v>
      </c>
      <c r="J38" s="360" t="s">
        <v>144</v>
      </c>
      <c r="K38" s="463"/>
      <c r="L38" s="360" t="s">
        <v>144</v>
      </c>
      <c r="M38" s="360"/>
      <c r="N38">
        <f t="shared" si="0"/>
        <v>0</v>
      </c>
    </row>
    <row r="39" spans="2:14" x14ac:dyDescent="0.35">
      <c r="B39" s="359" t="s">
        <v>1147</v>
      </c>
      <c r="C39" s="360">
        <v>-9999</v>
      </c>
      <c r="D39" s="360" t="s">
        <v>905</v>
      </c>
      <c r="E39" s="360" t="s">
        <v>1349</v>
      </c>
      <c r="F39" s="360" t="s">
        <v>1110</v>
      </c>
      <c r="G39" s="360" t="s">
        <v>93</v>
      </c>
      <c r="H39" s="360">
        <v>8</v>
      </c>
      <c r="I39" s="360" t="s">
        <v>144</v>
      </c>
      <c r="J39" s="360" t="s">
        <v>231</v>
      </c>
      <c r="K39" s="463"/>
      <c r="L39" s="360" t="s">
        <v>231</v>
      </c>
      <c r="M39" s="360"/>
      <c r="N39">
        <f t="shared" si="0"/>
        <v>0</v>
      </c>
    </row>
    <row r="40" spans="2:14" x14ac:dyDescent="0.35">
      <c r="B40" s="359" t="s">
        <v>1148</v>
      </c>
      <c r="C40" s="360">
        <v>-9999</v>
      </c>
      <c r="D40" s="360" t="s">
        <v>905</v>
      </c>
      <c r="E40" s="360" t="s">
        <v>1349</v>
      </c>
      <c r="F40" s="360" t="s">
        <v>1110</v>
      </c>
      <c r="G40" s="360" t="s">
        <v>94</v>
      </c>
      <c r="H40" s="360">
        <v>8</v>
      </c>
      <c r="I40" s="360" t="s">
        <v>144</v>
      </c>
      <c r="J40" s="360" t="s">
        <v>231</v>
      </c>
      <c r="K40" s="463"/>
      <c r="L40" s="360" t="s">
        <v>231</v>
      </c>
      <c r="M40" s="360"/>
      <c r="N40">
        <f t="shared" si="0"/>
        <v>0</v>
      </c>
    </row>
    <row r="41" spans="2:14" x14ac:dyDescent="0.35">
      <c r="B41" s="359" t="s">
        <v>1150</v>
      </c>
      <c r="C41" s="360">
        <v>0</v>
      </c>
      <c r="D41" s="360" t="s">
        <v>907</v>
      </c>
      <c r="E41" s="360" t="s">
        <v>1349</v>
      </c>
      <c r="F41" s="360" t="s">
        <v>1110</v>
      </c>
      <c r="G41" s="360" t="s">
        <v>19</v>
      </c>
      <c r="H41" s="360">
        <v>8</v>
      </c>
      <c r="I41" s="360" t="s">
        <v>144</v>
      </c>
      <c r="J41" s="360" t="s">
        <v>144</v>
      </c>
      <c r="K41" s="463"/>
      <c r="L41" s="360" t="s">
        <v>144</v>
      </c>
      <c r="M41" s="360"/>
      <c r="N41">
        <f t="shared" si="0"/>
        <v>0</v>
      </c>
    </row>
    <row r="42" spans="2:14" x14ac:dyDescent="0.35">
      <c r="B42" s="359" t="s">
        <v>1149</v>
      </c>
      <c r="C42" s="360">
        <v>0</v>
      </c>
      <c r="D42" s="360" t="s">
        <v>907</v>
      </c>
      <c r="E42" s="360" t="s">
        <v>1349</v>
      </c>
      <c r="F42" s="360" t="s">
        <v>1110</v>
      </c>
      <c r="G42" s="360" t="s">
        <v>23</v>
      </c>
      <c r="H42" s="360">
        <v>8</v>
      </c>
      <c r="I42" s="360" t="s">
        <v>144</v>
      </c>
      <c r="J42" s="360" t="s">
        <v>144</v>
      </c>
      <c r="K42" s="463"/>
      <c r="L42" s="360" t="s">
        <v>144</v>
      </c>
      <c r="M42" s="360"/>
      <c r="N42">
        <f t="shared" si="0"/>
        <v>0</v>
      </c>
    </row>
    <row r="43" spans="2:14" x14ac:dyDescent="0.35">
      <c r="B43" s="359" t="s">
        <v>1151</v>
      </c>
      <c r="C43" s="360">
        <v>0</v>
      </c>
      <c r="D43" s="360" t="s">
        <v>907</v>
      </c>
      <c r="E43" s="360" t="s">
        <v>1351</v>
      </c>
      <c r="F43" s="360" t="s">
        <v>1110</v>
      </c>
      <c r="G43" s="360" t="s">
        <v>24</v>
      </c>
      <c r="H43" s="360">
        <v>8</v>
      </c>
      <c r="I43" s="360" t="s">
        <v>144</v>
      </c>
      <c r="J43" s="360" t="s">
        <v>144</v>
      </c>
      <c r="K43" s="463"/>
      <c r="L43" s="360" t="s">
        <v>144</v>
      </c>
      <c r="M43" s="360"/>
      <c r="N43">
        <f t="shared" si="0"/>
        <v>0</v>
      </c>
    </row>
    <row r="44" spans="2:14" x14ac:dyDescent="0.35">
      <c r="B44" s="359" t="s">
        <v>1152</v>
      </c>
      <c r="C44" s="360">
        <v>0</v>
      </c>
      <c r="D44" s="360" t="s">
        <v>907</v>
      </c>
      <c r="E44" s="360" t="s">
        <v>1349</v>
      </c>
      <c r="F44" s="360" t="s">
        <v>1110</v>
      </c>
      <c r="G44" s="360" t="s">
        <v>25</v>
      </c>
      <c r="H44" s="360">
        <v>8</v>
      </c>
      <c r="I44" s="360" t="s">
        <v>144</v>
      </c>
      <c r="J44" s="360" t="s">
        <v>144</v>
      </c>
      <c r="K44" s="463"/>
      <c r="L44" s="360" t="s">
        <v>873</v>
      </c>
      <c r="M44" s="360"/>
      <c r="N44">
        <f t="shared" si="0"/>
        <v>1</v>
      </c>
    </row>
    <row r="45" spans="2:14" x14ac:dyDescent="0.35">
      <c r="B45" s="359" t="s">
        <v>1153</v>
      </c>
      <c r="C45" s="360">
        <v>0</v>
      </c>
      <c r="D45" s="360" t="s">
        <v>907</v>
      </c>
      <c r="E45" s="360" t="s">
        <v>1351</v>
      </c>
      <c r="F45" s="360" t="s">
        <v>1110</v>
      </c>
      <c r="G45" s="360" t="s">
        <v>26</v>
      </c>
      <c r="H45" s="360">
        <v>8</v>
      </c>
      <c r="I45" s="360" t="s">
        <v>144</v>
      </c>
      <c r="J45" s="360" t="s">
        <v>144</v>
      </c>
      <c r="K45" s="463"/>
      <c r="L45" s="360" t="s">
        <v>144</v>
      </c>
      <c r="M45" s="360"/>
      <c r="N45">
        <f t="shared" si="0"/>
        <v>0</v>
      </c>
    </row>
    <row r="46" spans="2:14" x14ac:dyDescent="0.35">
      <c r="B46" s="359" t="s">
        <v>1154</v>
      </c>
      <c r="C46" s="360">
        <v>0</v>
      </c>
      <c r="D46" s="360" t="s">
        <v>907</v>
      </c>
      <c r="E46" s="360" t="s">
        <v>1351</v>
      </c>
      <c r="F46" s="360" t="s">
        <v>1110</v>
      </c>
      <c r="G46" s="360" t="s">
        <v>27</v>
      </c>
      <c r="H46" s="360">
        <v>8</v>
      </c>
      <c r="I46" s="360" t="s">
        <v>144</v>
      </c>
      <c r="J46" s="360" t="s">
        <v>144</v>
      </c>
      <c r="K46" s="463"/>
      <c r="L46" s="360" t="s">
        <v>144</v>
      </c>
      <c r="M46" s="360"/>
      <c r="N46">
        <f t="shared" si="0"/>
        <v>0</v>
      </c>
    </row>
    <row r="47" spans="2:14" x14ac:dyDescent="0.35">
      <c r="B47" s="359" t="s">
        <v>1354</v>
      </c>
      <c r="C47" s="360">
        <v>0</v>
      </c>
      <c r="D47" s="360" t="s">
        <v>907</v>
      </c>
      <c r="E47" s="360" t="s">
        <v>1349</v>
      </c>
      <c r="F47" s="360" t="s">
        <v>1110</v>
      </c>
      <c r="G47" s="360" t="s">
        <v>28</v>
      </c>
      <c r="H47" s="360">
        <v>8</v>
      </c>
      <c r="I47" s="360" t="s">
        <v>144</v>
      </c>
      <c r="J47" s="360" t="s">
        <v>144</v>
      </c>
      <c r="K47" s="463"/>
      <c r="L47" s="360" t="s">
        <v>873</v>
      </c>
      <c r="M47" s="360"/>
      <c r="N47">
        <f t="shared" si="0"/>
        <v>1</v>
      </c>
    </row>
    <row r="48" spans="2:14" x14ac:dyDescent="0.35">
      <c r="B48" s="359" t="s">
        <v>1355</v>
      </c>
      <c r="C48" s="360">
        <v>0</v>
      </c>
      <c r="D48" s="360" t="s">
        <v>907</v>
      </c>
      <c r="E48" s="360" t="s">
        <v>1349</v>
      </c>
      <c r="F48" s="360" t="s">
        <v>1110</v>
      </c>
      <c r="G48" s="360" t="s">
        <v>28</v>
      </c>
      <c r="H48" s="360">
        <v>8</v>
      </c>
      <c r="I48" s="360" t="s">
        <v>144</v>
      </c>
      <c r="J48" s="360" t="s">
        <v>144</v>
      </c>
      <c r="K48" s="463"/>
      <c r="L48" s="360" t="s">
        <v>873</v>
      </c>
      <c r="M48" s="360"/>
      <c r="N48">
        <f t="shared" si="0"/>
        <v>1</v>
      </c>
    </row>
    <row r="49" spans="2:14" x14ac:dyDescent="0.35">
      <c r="B49" s="359" t="s">
        <v>1356</v>
      </c>
      <c r="C49" s="360">
        <v>9</v>
      </c>
      <c r="D49" s="360" t="s">
        <v>907</v>
      </c>
      <c r="E49" s="360" t="s">
        <v>1349</v>
      </c>
      <c r="F49" s="360" t="s">
        <v>1110</v>
      </c>
      <c r="G49" s="360" t="s">
        <v>29</v>
      </c>
      <c r="H49" s="360">
        <v>8</v>
      </c>
      <c r="I49" s="360" t="s">
        <v>144</v>
      </c>
      <c r="J49" s="360" t="s">
        <v>870</v>
      </c>
      <c r="K49" s="463"/>
      <c r="L49" s="360" t="s">
        <v>873</v>
      </c>
      <c r="M49" s="360"/>
      <c r="N49">
        <f t="shared" si="0"/>
        <v>1</v>
      </c>
    </row>
    <row r="50" spans="2:14" x14ac:dyDescent="0.35">
      <c r="B50" s="359" t="s">
        <v>1357</v>
      </c>
      <c r="C50" s="360">
        <v>0</v>
      </c>
      <c r="D50" s="360" t="s">
        <v>907</v>
      </c>
      <c r="E50" s="360" t="s">
        <v>1349</v>
      </c>
      <c r="F50" s="360" t="s">
        <v>1110</v>
      </c>
      <c r="G50" s="360" t="s">
        <v>29</v>
      </c>
      <c r="H50" s="360">
        <v>8</v>
      </c>
      <c r="I50" s="360" t="s">
        <v>144</v>
      </c>
      <c r="J50" s="360" t="s">
        <v>144</v>
      </c>
      <c r="K50" s="463"/>
      <c r="L50" s="360" t="s">
        <v>873</v>
      </c>
      <c r="M50" s="360"/>
      <c r="N50">
        <f t="shared" si="0"/>
        <v>1</v>
      </c>
    </row>
    <row r="51" spans="2:14" x14ac:dyDescent="0.35">
      <c r="B51" s="359" t="s">
        <v>1155</v>
      </c>
      <c r="C51" s="360">
        <v>0</v>
      </c>
      <c r="D51" s="360" t="s">
        <v>907</v>
      </c>
      <c r="E51" s="360" t="s">
        <v>1349</v>
      </c>
      <c r="F51" s="360" t="s">
        <v>1110</v>
      </c>
      <c r="G51" s="360" t="s">
        <v>30</v>
      </c>
      <c r="H51" s="360">
        <v>8</v>
      </c>
      <c r="I51" s="360" t="s">
        <v>144</v>
      </c>
      <c r="J51" s="360" t="s">
        <v>144</v>
      </c>
      <c r="K51" s="463"/>
      <c r="L51" s="360" t="s">
        <v>870</v>
      </c>
      <c r="M51" s="360"/>
      <c r="N51">
        <f t="shared" si="0"/>
        <v>1</v>
      </c>
    </row>
    <row r="52" spans="2:14" x14ac:dyDescent="0.35">
      <c r="B52" s="359" t="s">
        <v>1156</v>
      </c>
      <c r="C52" s="360">
        <v>0</v>
      </c>
      <c r="D52" s="360" t="s">
        <v>907</v>
      </c>
      <c r="E52" s="360" t="s">
        <v>1349</v>
      </c>
      <c r="F52" s="360" t="s">
        <v>1110</v>
      </c>
      <c r="G52" s="360" t="s">
        <v>33</v>
      </c>
      <c r="H52" s="360">
        <v>8</v>
      </c>
      <c r="I52" s="360" t="s">
        <v>144</v>
      </c>
      <c r="J52" s="360" t="s">
        <v>144</v>
      </c>
      <c r="K52" s="463"/>
      <c r="L52" s="360" t="s">
        <v>144</v>
      </c>
      <c r="M52" s="360"/>
      <c r="N52">
        <f t="shared" si="0"/>
        <v>0</v>
      </c>
    </row>
    <row r="53" spans="2:14" x14ac:dyDescent="0.35">
      <c r="B53" s="359" t="s">
        <v>1358</v>
      </c>
      <c r="C53" s="360">
        <v>0</v>
      </c>
      <c r="D53" s="360" t="s">
        <v>907</v>
      </c>
      <c r="E53" s="360" t="s">
        <v>1349</v>
      </c>
      <c r="F53" s="360" t="s">
        <v>1110</v>
      </c>
      <c r="G53" s="360" t="s">
        <v>36</v>
      </c>
      <c r="H53" s="360">
        <v>8</v>
      </c>
      <c r="I53" s="360" t="s">
        <v>144</v>
      </c>
      <c r="J53" s="360" t="s">
        <v>144</v>
      </c>
      <c r="K53" s="463"/>
      <c r="L53" s="360" t="s">
        <v>144</v>
      </c>
      <c r="M53" s="360"/>
      <c r="N53">
        <f t="shared" si="0"/>
        <v>0</v>
      </c>
    </row>
    <row r="54" spans="2:14" x14ac:dyDescent="0.35">
      <c r="B54" s="359" t="s">
        <v>1359</v>
      </c>
      <c r="C54" s="360">
        <v>0</v>
      </c>
      <c r="D54" s="360" t="s">
        <v>907</v>
      </c>
      <c r="E54" s="360" t="s">
        <v>1349</v>
      </c>
      <c r="F54" s="360" t="s">
        <v>1110</v>
      </c>
      <c r="G54" s="360" t="s">
        <v>36</v>
      </c>
      <c r="H54" s="360">
        <v>8</v>
      </c>
      <c r="I54" s="360" t="s">
        <v>144</v>
      </c>
      <c r="J54" s="360" t="s">
        <v>144</v>
      </c>
      <c r="K54" s="463"/>
      <c r="L54" s="360" t="s">
        <v>144</v>
      </c>
      <c r="M54" s="360"/>
      <c r="N54">
        <f t="shared" si="0"/>
        <v>0</v>
      </c>
    </row>
    <row r="55" spans="2:14" x14ac:dyDescent="0.35">
      <c r="B55" s="359" t="s">
        <v>1360</v>
      </c>
      <c r="C55" s="360">
        <v>2</v>
      </c>
      <c r="D55" s="360" t="s">
        <v>907</v>
      </c>
      <c r="E55" s="360" t="s">
        <v>1349</v>
      </c>
      <c r="F55" s="360" t="s">
        <v>1110</v>
      </c>
      <c r="G55" s="360" t="s">
        <v>37</v>
      </c>
      <c r="H55" s="360">
        <v>8</v>
      </c>
      <c r="I55" s="360" t="s">
        <v>144</v>
      </c>
      <c r="J55" s="360" t="s">
        <v>870</v>
      </c>
      <c r="K55" s="463"/>
      <c r="L55" s="360" t="s">
        <v>870</v>
      </c>
      <c r="M55" s="360"/>
      <c r="N55">
        <f t="shared" si="0"/>
        <v>0</v>
      </c>
    </row>
    <row r="56" spans="2:14" x14ac:dyDescent="0.35">
      <c r="B56" s="359" t="s">
        <v>1361</v>
      </c>
      <c r="C56" s="360">
        <v>-9999</v>
      </c>
      <c r="D56" s="360" t="s">
        <v>907</v>
      </c>
      <c r="E56" s="360" t="s">
        <v>1349</v>
      </c>
      <c r="F56" s="360" t="s">
        <v>1110</v>
      </c>
      <c r="G56" s="360" t="s">
        <v>37</v>
      </c>
      <c r="H56" s="360">
        <v>8</v>
      </c>
      <c r="I56" s="360" t="s">
        <v>144</v>
      </c>
      <c r="J56" s="360" t="s">
        <v>231</v>
      </c>
      <c r="K56" s="463"/>
      <c r="L56" s="360" t="s">
        <v>231</v>
      </c>
      <c r="M56" s="360"/>
      <c r="N56">
        <f t="shared" si="0"/>
        <v>0</v>
      </c>
    </row>
    <row r="57" spans="2:14" x14ac:dyDescent="0.35">
      <c r="B57" s="359" t="s">
        <v>1362</v>
      </c>
      <c r="C57" s="360">
        <v>0</v>
      </c>
      <c r="D57" s="360" t="s">
        <v>907</v>
      </c>
      <c r="E57" s="360" t="s">
        <v>1349</v>
      </c>
      <c r="F57" s="360" t="s">
        <v>1110</v>
      </c>
      <c r="G57" s="360" t="s">
        <v>39</v>
      </c>
      <c r="H57" s="360">
        <v>8</v>
      </c>
      <c r="I57" s="360" t="s">
        <v>144</v>
      </c>
      <c r="J57" s="360" t="s">
        <v>144</v>
      </c>
      <c r="K57" s="463"/>
      <c r="L57" s="360" t="s">
        <v>144</v>
      </c>
      <c r="M57" s="360"/>
      <c r="N57">
        <f t="shared" si="0"/>
        <v>0</v>
      </c>
    </row>
    <row r="58" spans="2:14" x14ac:dyDescent="0.35">
      <c r="B58" s="359" t="s">
        <v>1363</v>
      </c>
      <c r="C58" s="360">
        <v>-9999</v>
      </c>
      <c r="D58" s="360" t="s">
        <v>907</v>
      </c>
      <c r="E58" s="360" t="s">
        <v>1349</v>
      </c>
      <c r="F58" s="360" t="s">
        <v>1110</v>
      </c>
      <c r="G58" s="360" t="s">
        <v>39</v>
      </c>
      <c r="H58" s="360">
        <v>8</v>
      </c>
      <c r="I58" s="360" t="s">
        <v>144</v>
      </c>
      <c r="J58" s="360" t="s">
        <v>231</v>
      </c>
      <c r="K58" s="463"/>
      <c r="L58" s="360" t="s">
        <v>231</v>
      </c>
      <c r="M58" s="360"/>
      <c r="N58">
        <f t="shared" si="0"/>
        <v>0</v>
      </c>
    </row>
    <row r="59" spans="2:14" x14ac:dyDescent="0.35">
      <c r="B59" s="359" t="s">
        <v>1364</v>
      </c>
      <c r="C59" s="360">
        <v>0</v>
      </c>
      <c r="D59" s="360" t="s">
        <v>907</v>
      </c>
      <c r="E59" s="360" t="s">
        <v>1349</v>
      </c>
      <c r="F59" s="360" t="s">
        <v>1110</v>
      </c>
      <c r="G59" s="360" t="s">
        <v>40</v>
      </c>
      <c r="H59" s="360">
        <v>8</v>
      </c>
      <c r="I59" s="360" t="s">
        <v>144</v>
      </c>
      <c r="J59" s="360" t="s">
        <v>144</v>
      </c>
      <c r="K59" s="463"/>
      <c r="L59" s="360" t="s">
        <v>144</v>
      </c>
      <c r="M59" s="360"/>
      <c r="N59">
        <f t="shared" si="0"/>
        <v>0</v>
      </c>
    </row>
    <row r="60" spans="2:14" x14ac:dyDescent="0.35">
      <c r="B60" s="359" t="s">
        <v>1365</v>
      </c>
      <c r="C60" s="360">
        <v>-9999</v>
      </c>
      <c r="D60" s="360" t="s">
        <v>907</v>
      </c>
      <c r="E60" s="360" t="s">
        <v>1349</v>
      </c>
      <c r="F60" s="360" t="s">
        <v>1110</v>
      </c>
      <c r="G60" s="360" t="s">
        <v>40</v>
      </c>
      <c r="H60" s="360">
        <v>8</v>
      </c>
      <c r="I60" s="360" t="s">
        <v>144</v>
      </c>
      <c r="J60" s="360" t="s">
        <v>231</v>
      </c>
      <c r="K60" s="463"/>
      <c r="L60" s="360" t="s">
        <v>231</v>
      </c>
      <c r="M60" s="360"/>
      <c r="N60">
        <f t="shared" si="0"/>
        <v>0</v>
      </c>
    </row>
    <row r="61" spans="2:14" x14ac:dyDescent="0.35">
      <c r="B61" s="359" t="s">
        <v>1157</v>
      </c>
      <c r="C61" s="360">
        <v>0</v>
      </c>
      <c r="D61" s="360" t="s">
        <v>907</v>
      </c>
      <c r="E61" s="360" t="s">
        <v>1349</v>
      </c>
      <c r="F61" s="360" t="s">
        <v>1110</v>
      </c>
      <c r="G61" s="360" t="s">
        <v>41</v>
      </c>
      <c r="H61" s="360">
        <v>8</v>
      </c>
      <c r="I61" s="360" t="s">
        <v>144</v>
      </c>
      <c r="J61" s="360" t="s">
        <v>144</v>
      </c>
      <c r="K61" s="463"/>
      <c r="L61" s="360" t="s">
        <v>144</v>
      </c>
      <c r="M61" s="360"/>
      <c r="N61">
        <f t="shared" si="0"/>
        <v>0</v>
      </c>
    </row>
    <row r="62" spans="2:14" x14ac:dyDescent="0.35">
      <c r="B62" s="359" t="s">
        <v>1158</v>
      </c>
      <c r="C62" s="360">
        <v>0</v>
      </c>
      <c r="D62" s="360" t="s">
        <v>907</v>
      </c>
      <c r="E62" s="360" t="s">
        <v>1349</v>
      </c>
      <c r="F62" s="360" t="s">
        <v>1110</v>
      </c>
      <c r="G62" s="360" t="s">
        <v>42</v>
      </c>
      <c r="H62" s="360">
        <v>8</v>
      </c>
      <c r="I62" s="360" t="s">
        <v>144</v>
      </c>
      <c r="J62" s="360" t="s">
        <v>144</v>
      </c>
      <c r="K62" s="463"/>
      <c r="L62" s="360" t="s">
        <v>144</v>
      </c>
      <c r="M62" s="360"/>
      <c r="N62">
        <f t="shared" si="0"/>
        <v>0</v>
      </c>
    </row>
    <row r="63" spans="2:14" x14ac:dyDescent="0.35">
      <c r="B63" s="359" t="s">
        <v>1159</v>
      </c>
      <c r="C63" s="360">
        <v>0</v>
      </c>
      <c r="D63" s="360" t="s">
        <v>907</v>
      </c>
      <c r="E63" s="360" t="s">
        <v>1349</v>
      </c>
      <c r="F63" s="360" t="s">
        <v>1110</v>
      </c>
      <c r="G63" s="360" t="s">
        <v>44</v>
      </c>
      <c r="H63" s="360">
        <v>8</v>
      </c>
      <c r="I63" s="360" t="s">
        <v>144</v>
      </c>
      <c r="J63" s="360" t="s">
        <v>144</v>
      </c>
      <c r="K63" s="463"/>
      <c r="L63" s="360" t="s">
        <v>144</v>
      </c>
      <c r="M63" s="360"/>
      <c r="N63">
        <f t="shared" si="0"/>
        <v>0</v>
      </c>
    </row>
    <row r="64" spans="2:14" x14ac:dyDescent="0.35">
      <c r="B64" s="359" t="s">
        <v>1160</v>
      </c>
      <c r="C64" s="360">
        <v>0</v>
      </c>
      <c r="D64" s="360" t="s">
        <v>907</v>
      </c>
      <c r="E64" s="360" t="s">
        <v>1349</v>
      </c>
      <c r="F64" s="360" t="s">
        <v>1110</v>
      </c>
      <c r="G64" s="360" t="s">
        <v>906</v>
      </c>
      <c r="H64" s="360">
        <v>8</v>
      </c>
      <c r="I64" s="360" t="s">
        <v>144</v>
      </c>
      <c r="J64" s="360" t="s">
        <v>144</v>
      </c>
      <c r="K64" s="463"/>
      <c r="L64" s="360" t="s">
        <v>144</v>
      </c>
      <c r="M64" s="360"/>
      <c r="N64">
        <f t="shared" si="0"/>
        <v>0</v>
      </c>
    </row>
    <row r="65" spans="2:14" x14ac:dyDescent="0.35">
      <c r="B65" s="359" t="s">
        <v>1366</v>
      </c>
      <c r="C65" s="360">
        <v>0</v>
      </c>
      <c r="D65" s="360" t="s">
        <v>907</v>
      </c>
      <c r="E65" s="360" t="s">
        <v>1349</v>
      </c>
      <c r="F65" s="360" t="s">
        <v>1110</v>
      </c>
      <c r="G65" s="360" t="s">
        <v>50</v>
      </c>
      <c r="H65" s="360">
        <v>8</v>
      </c>
      <c r="I65" s="360" t="s">
        <v>144</v>
      </c>
      <c r="J65" s="360" t="s">
        <v>144</v>
      </c>
      <c r="K65" s="463"/>
      <c r="L65" s="360" t="s">
        <v>144</v>
      </c>
      <c r="M65" s="360"/>
      <c r="N65">
        <f t="shared" si="0"/>
        <v>0</v>
      </c>
    </row>
    <row r="66" spans="2:14" x14ac:dyDescent="0.35">
      <c r="B66" s="359" t="s">
        <v>1367</v>
      </c>
      <c r="C66" s="360">
        <v>0</v>
      </c>
      <c r="D66" s="360" t="s">
        <v>907</v>
      </c>
      <c r="E66" s="360" t="s">
        <v>1349</v>
      </c>
      <c r="F66" s="360" t="s">
        <v>1110</v>
      </c>
      <c r="G66" s="360" t="s">
        <v>50</v>
      </c>
      <c r="H66" s="360">
        <v>8</v>
      </c>
      <c r="I66" s="360" t="s">
        <v>144</v>
      </c>
      <c r="J66" s="360" t="s">
        <v>144</v>
      </c>
      <c r="K66" s="463"/>
      <c r="L66" s="360" t="s">
        <v>144</v>
      </c>
      <c r="M66" s="360"/>
      <c r="N66">
        <f t="shared" si="0"/>
        <v>0</v>
      </c>
    </row>
    <row r="67" spans="2:14" x14ac:dyDescent="0.35">
      <c r="B67" s="359" t="s">
        <v>1368</v>
      </c>
      <c r="C67" s="360">
        <v>0</v>
      </c>
      <c r="D67" s="360" t="s">
        <v>907</v>
      </c>
      <c r="E67" s="360" t="s">
        <v>1349</v>
      </c>
      <c r="F67" s="360" t="s">
        <v>1110</v>
      </c>
      <c r="G67" s="360" t="s">
        <v>52</v>
      </c>
      <c r="H67" s="360">
        <v>8</v>
      </c>
      <c r="I67" s="360" t="s">
        <v>144</v>
      </c>
      <c r="J67" s="360" t="s">
        <v>144</v>
      </c>
      <c r="K67" s="463"/>
      <c r="L67" s="360" t="s">
        <v>144</v>
      </c>
      <c r="M67" s="360"/>
      <c r="N67">
        <f t="shared" ref="N67:N130" si="1">IF(J67=L67,0,1)</f>
        <v>0</v>
      </c>
    </row>
    <row r="68" spans="2:14" x14ac:dyDescent="0.35">
      <c r="B68" s="359" t="s">
        <v>1369</v>
      </c>
      <c r="C68" s="360">
        <v>0</v>
      </c>
      <c r="D68" s="360" t="s">
        <v>907</v>
      </c>
      <c r="E68" s="360" t="s">
        <v>1349</v>
      </c>
      <c r="F68" s="360" t="s">
        <v>1110</v>
      </c>
      <c r="G68" s="360" t="s">
        <v>52</v>
      </c>
      <c r="H68" s="360">
        <v>8</v>
      </c>
      <c r="I68" s="360" t="s">
        <v>144</v>
      </c>
      <c r="J68" s="360" t="s">
        <v>144</v>
      </c>
      <c r="K68" s="463"/>
      <c r="L68" s="360" t="s">
        <v>144</v>
      </c>
      <c r="M68" s="360"/>
      <c r="N68">
        <f t="shared" si="1"/>
        <v>0</v>
      </c>
    </row>
    <row r="69" spans="2:14" x14ac:dyDescent="0.35">
      <c r="B69" s="359" t="s">
        <v>1161</v>
      </c>
      <c r="C69" s="360">
        <v>0</v>
      </c>
      <c r="D69" s="360" t="s">
        <v>907</v>
      </c>
      <c r="E69" s="360" t="s">
        <v>1349</v>
      </c>
      <c r="F69" s="360" t="s">
        <v>1110</v>
      </c>
      <c r="G69" s="360" t="s">
        <v>64</v>
      </c>
      <c r="H69" s="360">
        <v>8</v>
      </c>
      <c r="I69" s="360" t="s">
        <v>144</v>
      </c>
      <c r="J69" s="360" t="s">
        <v>144</v>
      </c>
      <c r="K69" s="463"/>
      <c r="L69" s="360" t="s">
        <v>144</v>
      </c>
      <c r="M69" s="360"/>
      <c r="N69">
        <f t="shared" si="1"/>
        <v>0</v>
      </c>
    </row>
    <row r="70" spans="2:14" x14ac:dyDescent="0.35">
      <c r="B70" s="359" t="s">
        <v>1162</v>
      </c>
      <c r="C70" s="360">
        <v>0</v>
      </c>
      <c r="D70" s="360" t="s">
        <v>907</v>
      </c>
      <c r="E70" s="360" t="s">
        <v>1349</v>
      </c>
      <c r="F70" s="360" t="s">
        <v>1110</v>
      </c>
      <c r="G70" s="360" t="s">
        <v>80</v>
      </c>
      <c r="H70" s="360">
        <v>8</v>
      </c>
      <c r="I70" s="360" t="s">
        <v>144</v>
      </c>
      <c r="J70" s="360" t="s">
        <v>144</v>
      </c>
      <c r="K70" s="463"/>
      <c r="L70" s="360" t="s">
        <v>144</v>
      </c>
      <c r="M70" s="360"/>
      <c r="N70">
        <f t="shared" si="1"/>
        <v>0</v>
      </c>
    </row>
    <row r="71" spans="2:14" x14ac:dyDescent="0.35">
      <c r="B71" s="359" t="s">
        <v>1163</v>
      </c>
      <c r="C71" s="360">
        <v>0</v>
      </c>
      <c r="D71" s="360" t="s">
        <v>907</v>
      </c>
      <c r="E71" s="360" t="s">
        <v>1349</v>
      </c>
      <c r="F71" s="360" t="s">
        <v>1110</v>
      </c>
      <c r="G71" s="360" t="s">
        <v>81</v>
      </c>
      <c r="H71" s="360">
        <v>8</v>
      </c>
      <c r="I71" s="360" t="s">
        <v>144</v>
      </c>
      <c r="J71" s="360" t="s">
        <v>144</v>
      </c>
      <c r="K71" s="463"/>
      <c r="L71" s="360" t="s">
        <v>144</v>
      </c>
      <c r="M71" s="360"/>
      <c r="N71">
        <f t="shared" si="1"/>
        <v>0</v>
      </c>
    </row>
    <row r="72" spans="2:14" x14ac:dyDescent="0.35">
      <c r="B72" s="359" t="s">
        <v>1164</v>
      </c>
      <c r="C72" s="360">
        <v>0</v>
      </c>
      <c r="D72" s="360" t="s">
        <v>907</v>
      </c>
      <c r="E72" s="360" t="s">
        <v>1349</v>
      </c>
      <c r="F72" s="360" t="s">
        <v>1110</v>
      </c>
      <c r="G72" s="360" t="s">
        <v>82</v>
      </c>
      <c r="H72" s="360">
        <v>8</v>
      </c>
      <c r="I72" s="360" t="s">
        <v>144</v>
      </c>
      <c r="J72" s="360" t="s">
        <v>144</v>
      </c>
      <c r="K72" s="463"/>
      <c r="L72" s="360" t="s">
        <v>144</v>
      </c>
      <c r="M72" s="360"/>
      <c r="N72">
        <f t="shared" si="1"/>
        <v>0</v>
      </c>
    </row>
    <row r="73" spans="2:14" x14ac:dyDescent="0.35">
      <c r="B73" s="359" t="s">
        <v>1165</v>
      </c>
      <c r="C73" s="360">
        <v>0</v>
      </c>
      <c r="D73" s="360" t="s">
        <v>907</v>
      </c>
      <c r="E73" s="360" t="s">
        <v>1349</v>
      </c>
      <c r="F73" s="360" t="s">
        <v>1110</v>
      </c>
      <c r="G73" s="360" t="s">
        <v>83</v>
      </c>
      <c r="H73" s="360">
        <v>8</v>
      </c>
      <c r="I73" s="360" t="s">
        <v>144</v>
      </c>
      <c r="J73" s="360" t="s">
        <v>144</v>
      </c>
      <c r="K73" s="463"/>
      <c r="L73" s="360" t="s">
        <v>144</v>
      </c>
      <c r="M73" s="360"/>
      <c r="N73">
        <f t="shared" si="1"/>
        <v>0</v>
      </c>
    </row>
    <row r="74" spans="2:14" x14ac:dyDescent="0.35">
      <c r="B74" s="359" t="s">
        <v>1166</v>
      </c>
      <c r="C74" s="360">
        <v>0</v>
      </c>
      <c r="D74" s="360" t="s">
        <v>907</v>
      </c>
      <c r="E74" s="360" t="s">
        <v>1349</v>
      </c>
      <c r="F74" s="360" t="s">
        <v>1110</v>
      </c>
      <c r="G74" s="360" t="s">
        <v>87</v>
      </c>
      <c r="H74" s="360">
        <v>8</v>
      </c>
      <c r="I74" s="360" t="s">
        <v>144</v>
      </c>
      <c r="J74" s="360" t="s">
        <v>144</v>
      </c>
      <c r="K74" s="463"/>
      <c r="L74" s="360" t="s">
        <v>144</v>
      </c>
      <c r="M74" s="360"/>
      <c r="N74">
        <f t="shared" si="1"/>
        <v>0</v>
      </c>
    </row>
    <row r="75" spans="2:14" x14ac:dyDescent="0.35">
      <c r="B75" s="359" t="s">
        <v>1167</v>
      </c>
      <c r="C75" s="360">
        <v>0</v>
      </c>
      <c r="D75" s="360" t="s">
        <v>907</v>
      </c>
      <c r="E75" s="360" t="s">
        <v>1349</v>
      </c>
      <c r="F75" s="360" t="s">
        <v>1110</v>
      </c>
      <c r="G75" s="360" t="s">
        <v>89</v>
      </c>
      <c r="H75" s="360">
        <v>8</v>
      </c>
      <c r="I75" s="360" t="s">
        <v>144</v>
      </c>
      <c r="J75" s="360" t="s">
        <v>144</v>
      </c>
      <c r="K75" s="463"/>
      <c r="L75" s="360" t="s">
        <v>144</v>
      </c>
      <c r="M75" s="360"/>
      <c r="N75">
        <f t="shared" si="1"/>
        <v>0</v>
      </c>
    </row>
    <row r="76" spans="2:14" x14ac:dyDescent="0.35">
      <c r="B76" s="359" t="s">
        <v>1168</v>
      </c>
      <c r="C76" s="360">
        <v>0</v>
      </c>
      <c r="D76" s="360" t="s">
        <v>907</v>
      </c>
      <c r="E76" s="360" t="s">
        <v>1349</v>
      </c>
      <c r="F76" s="360" t="s">
        <v>1110</v>
      </c>
      <c r="G76" s="360" t="s">
        <v>90</v>
      </c>
      <c r="H76" s="360">
        <v>8</v>
      </c>
      <c r="I76" s="360" t="s">
        <v>144</v>
      </c>
      <c r="J76" s="360" t="s">
        <v>144</v>
      </c>
      <c r="K76" s="463"/>
      <c r="L76" s="360" t="s">
        <v>144</v>
      </c>
      <c r="M76" s="360"/>
      <c r="N76">
        <f t="shared" si="1"/>
        <v>0</v>
      </c>
    </row>
    <row r="77" spans="2:14" x14ac:dyDescent="0.35">
      <c r="B77" s="359" t="s">
        <v>1169</v>
      </c>
      <c r="C77" s="360">
        <v>0</v>
      </c>
      <c r="D77" s="360" t="s">
        <v>908</v>
      </c>
      <c r="E77" s="360" t="s">
        <v>1350</v>
      </c>
      <c r="F77" s="360" t="s">
        <v>1110</v>
      </c>
      <c r="G77" s="360" t="s">
        <v>17</v>
      </c>
      <c r="H77" s="360">
        <v>9</v>
      </c>
      <c r="I77" s="360" t="s">
        <v>144</v>
      </c>
      <c r="J77" s="360" t="s">
        <v>144</v>
      </c>
      <c r="K77" s="463"/>
      <c r="L77" s="360" t="s">
        <v>144</v>
      </c>
      <c r="M77" s="360"/>
      <c r="N77">
        <f t="shared" si="1"/>
        <v>0</v>
      </c>
    </row>
    <row r="78" spans="2:14" x14ac:dyDescent="0.35">
      <c r="B78" s="359" t="s">
        <v>1170</v>
      </c>
      <c r="C78" s="360">
        <v>0</v>
      </c>
      <c r="D78" s="360" t="s">
        <v>908</v>
      </c>
      <c r="E78" s="360" t="s">
        <v>1350</v>
      </c>
      <c r="F78" s="360" t="s">
        <v>1110</v>
      </c>
      <c r="G78" s="360" t="s">
        <v>18</v>
      </c>
      <c r="H78" s="360">
        <v>9</v>
      </c>
      <c r="I78" s="360" t="s">
        <v>144</v>
      </c>
      <c r="J78" s="360" t="s">
        <v>144</v>
      </c>
      <c r="K78" s="463"/>
      <c r="L78" s="360" t="s">
        <v>144</v>
      </c>
      <c r="M78" s="360"/>
      <c r="N78">
        <f t="shared" si="1"/>
        <v>0</v>
      </c>
    </row>
    <row r="79" spans="2:14" x14ac:dyDescent="0.35">
      <c r="B79" s="359" t="s">
        <v>1171</v>
      </c>
      <c r="C79" s="360">
        <v>0</v>
      </c>
      <c r="D79" s="360" t="s">
        <v>908</v>
      </c>
      <c r="E79" s="360" t="s">
        <v>1350</v>
      </c>
      <c r="F79" s="360" t="s">
        <v>1110</v>
      </c>
      <c r="G79" s="360" t="s">
        <v>19</v>
      </c>
      <c r="H79" s="360">
        <v>9</v>
      </c>
      <c r="I79" s="360" t="s">
        <v>144</v>
      </c>
      <c r="J79" s="360" t="s">
        <v>144</v>
      </c>
      <c r="K79" s="463"/>
      <c r="L79" s="360" t="s">
        <v>144</v>
      </c>
      <c r="M79" s="360"/>
      <c r="N79">
        <f t="shared" si="1"/>
        <v>0</v>
      </c>
    </row>
    <row r="80" spans="2:14" x14ac:dyDescent="0.35">
      <c r="B80" s="359" t="s">
        <v>1172</v>
      </c>
      <c r="C80" s="360">
        <v>0</v>
      </c>
      <c r="D80" s="360" t="s">
        <v>908</v>
      </c>
      <c r="E80" s="360" t="s">
        <v>1350</v>
      </c>
      <c r="F80" s="360" t="s">
        <v>1110</v>
      </c>
      <c r="G80" s="360" t="s">
        <v>20</v>
      </c>
      <c r="H80" s="360">
        <v>9</v>
      </c>
      <c r="I80" s="360" t="s">
        <v>144</v>
      </c>
      <c r="J80" s="360" t="s">
        <v>144</v>
      </c>
      <c r="K80" s="463"/>
      <c r="L80" s="360" t="s">
        <v>144</v>
      </c>
      <c r="M80" s="360"/>
      <c r="N80">
        <f t="shared" si="1"/>
        <v>0</v>
      </c>
    </row>
    <row r="81" spans="2:14" x14ac:dyDescent="0.35">
      <c r="B81" s="359" t="s">
        <v>1173</v>
      </c>
      <c r="C81" s="360">
        <v>0</v>
      </c>
      <c r="D81" s="360" t="s">
        <v>908</v>
      </c>
      <c r="E81" s="360" t="s">
        <v>1350</v>
      </c>
      <c r="F81" s="360" t="s">
        <v>1110</v>
      </c>
      <c r="G81" s="360" t="s">
        <v>21</v>
      </c>
      <c r="H81" s="360">
        <v>9</v>
      </c>
      <c r="I81" s="360" t="s">
        <v>144</v>
      </c>
      <c r="J81" s="360" t="s">
        <v>144</v>
      </c>
      <c r="K81" s="463"/>
      <c r="L81" s="360" t="s">
        <v>144</v>
      </c>
      <c r="M81" s="360"/>
      <c r="N81">
        <f t="shared" si="1"/>
        <v>0</v>
      </c>
    </row>
    <row r="82" spans="2:14" x14ac:dyDescent="0.35">
      <c r="B82" s="359" t="s">
        <v>1174</v>
      </c>
      <c r="C82" s="360">
        <v>0</v>
      </c>
      <c r="D82" s="360" t="s">
        <v>908</v>
      </c>
      <c r="E82" s="360" t="s">
        <v>1350</v>
      </c>
      <c r="F82" s="360" t="s">
        <v>1110</v>
      </c>
      <c r="G82" s="360" t="s">
        <v>22</v>
      </c>
      <c r="H82" s="360">
        <v>9</v>
      </c>
      <c r="I82" s="360" t="s">
        <v>144</v>
      </c>
      <c r="J82" s="360" t="s">
        <v>144</v>
      </c>
      <c r="K82" s="463"/>
      <c r="L82" s="360" t="s">
        <v>144</v>
      </c>
      <c r="M82" s="360"/>
      <c r="N82">
        <f t="shared" si="1"/>
        <v>0</v>
      </c>
    </row>
    <row r="83" spans="2:14" x14ac:dyDescent="0.35">
      <c r="B83" s="359" t="s">
        <v>1175</v>
      </c>
      <c r="C83" s="360">
        <v>0</v>
      </c>
      <c r="D83" s="360" t="s">
        <v>908</v>
      </c>
      <c r="E83" s="360" t="s">
        <v>1350</v>
      </c>
      <c r="F83" s="360" t="s">
        <v>1110</v>
      </c>
      <c r="G83" s="360" t="s">
        <v>23</v>
      </c>
      <c r="H83" s="360">
        <v>9</v>
      </c>
      <c r="I83" s="360" t="s">
        <v>144</v>
      </c>
      <c r="J83" s="360" t="s">
        <v>144</v>
      </c>
      <c r="K83" s="463"/>
      <c r="L83" s="360" t="s">
        <v>144</v>
      </c>
      <c r="M83" s="360"/>
      <c r="N83">
        <f t="shared" si="1"/>
        <v>0</v>
      </c>
    </row>
    <row r="84" spans="2:14" x14ac:dyDescent="0.35">
      <c r="B84" s="359" t="s">
        <v>1176</v>
      </c>
      <c r="C84" s="360">
        <v>0</v>
      </c>
      <c r="D84" s="360" t="s">
        <v>908</v>
      </c>
      <c r="E84" s="360" t="s">
        <v>1350</v>
      </c>
      <c r="F84" s="360" t="s">
        <v>1110</v>
      </c>
      <c r="G84" s="360" t="s">
        <v>24</v>
      </c>
      <c r="H84" s="360">
        <v>9</v>
      </c>
      <c r="I84" s="360" t="s">
        <v>144</v>
      </c>
      <c r="J84" s="360" t="s">
        <v>144</v>
      </c>
      <c r="K84" s="463"/>
      <c r="L84" s="360" t="s">
        <v>870</v>
      </c>
      <c r="M84" s="360"/>
      <c r="N84">
        <f t="shared" si="1"/>
        <v>1</v>
      </c>
    </row>
    <row r="85" spans="2:14" x14ac:dyDescent="0.35">
      <c r="B85" s="359" t="s">
        <v>1177</v>
      </c>
      <c r="C85" s="360">
        <v>0</v>
      </c>
      <c r="D85" s="360" t="s">
        <v>908</v>
      </c>
      <c r="E85" s="360" t="s">
        <v>1350</v>
      </c>
      <c r="F85" s="360" t="s">
        <v>1110</v>
      </c>
      <c r="G85" s="360" t="s">
        <v>25</v>
      </c>
      <c r="H85" s="360">
        <v>9</v>
      </c>
      <c r="I85" s="360" t="s">
        <v>144</v>
      </c>
      <c r="J85" s="360" t="s">
        <v>144</v>
      </c>
      <c r="K85" s="463"/>
      <c r="L85" s="360" t="s">
        <v>873</v>
      </c>
      <c r="M85" s="360"/>
      <c r="N85">
        <f t="shared" si="1"/>
        <v>1</v>
      </c>
    </row>
    <row r="86" spans="2:14" x14ac:dyDescent="0.35">
      <c r="B86" s="359" t="s">
        <v>1178</v>
      </c>
      <c r="C86" s="360">
        <v>0</v>
      </c>
      <c r="D86" s="360" t="s">
        <v>908</v>
      </c>
      <c r="E86" s="360" t="s">
        <v>1350</v>
      </c>
      <c r="F86" s="360" t="s">
        <v>1110</v>
      </c>
      <c r="G86" s="360" t="s">
        <v>26</v>
      </c>
      <c r="H86" s="360">
        <v>9</v>
      </c>
      <c r="I86" s="360" t="s">
        <v>144</v>
      </c>
      <c r="J86" s="360" t="s">
        <v>144</v>
      </c>
      <c r="K86" s="463"/>
      <c r="L86" s="360" t="s">
        <v>144</v>
      </c>
      <c r="M86" s="360"/>
      <c r="N86">
        <f t="shared" si="1"/>
        <v>0</v>
      </c>
    </row>
    <row r="87" spans="2:14" x14ac:dyDescent="0.35">
      <c r="B87" s="359" t="s">
        <v>1179</v>
      </c>
      <c r="C87" s="360">
        <v>0</v>
      </c>
      <c r="D87" s="360" t="s">
        <v>908</v>
      </c>
      <c r="E87" s="360" t="s">
        <v>1350</v>
      </c>
      <c r="F87" s="360" t="s">
        <v>1110</v>
      </c>
      <c r="G87" s="360" t="s">
        <v>27</v>
      </c>
      <c r="H87" s="360">
        <v>9</v>
      </c>
      <c r="I87" s="360" t="s">
        <v>144</v>
      </c>
      <c r="J87" s="360" t="s">
        <v>144</v>
      </c>
      <c r="K87" s="463"/>
      <c r="L87" s="360" t="s">
        <v>144</v>
      </c>
      <c r="M87" s="360"/>
      <c r="N87">
        <f t="shared" si="1"/>
        <v>0</v>
      </c>
    </row>
    <row r="88" spans="2:14" x14ac:dyDescent="0.35">
      <c r="B88" s="359" t="s">
        <v>1180</v>
      </c>
      <c r="C88" s="360">
        <v>0</v>
      </c>
      <c r="D88" s="360" t="s">
        <v>908</v>
      </c>
      <c r="E88" s="360" t="s">
        <v>1350</v>
      </c>
      <c r="F88" s="360" t="s">
        <v>1110</v>
      </c>
      <c r="G88" s="360" t="s">
        <v>28</v>
      </c>
      <c r="H88" s="360">
        <v>9</v>
      </c>
      <c r="I88" s="360" t="s">
        <v>144</v>
      </c>
      <c r="J88" s="360" t="s">
        <v>144</v>
      </c>
      <c r="K88" s="463"/>
      <c r="L88" s="360" t="s">
        <v>873</v>
      </c>
      <c r="M88" s="360"/>
      <c r="N88">
        <f t="shared" si="1"/>
        <v>1</v>
      </c>
    </row>
    <row r="89" spans="2:14" x14ac:dyDescent="0.35">
      <c r="B89" s="359" t="s">
        <v>1181</v>
      </c>
      <c r="C89" s="360">
        <v>0</v>
      </c>
      <c r="D89" s="360" t="s">
        <v>908</v>
      </c>
      <c r="E89" s="360" t="s">
        <v>1350</v>
      </c>
      <c r="F89" s="360" t="s">
        <v>1110</v>
      </c>
      <c r="G89" s="360" t="s">
        <v>29</v>
      </c>
      <c r="H89" s="360">
        <v>9</v>
      </c>
      <c r="I89" s="360" t="s">
        <v>144</v>
      </c>
      <c r="J89" s="360" t="s">
        <v>144</v>
      </c>
      <c r="K89" s="463"/>
      <c r="L89" s="360" t="s">
        <v>873</v>
      </c>
      <c r="M89" s="360"/>
      <c r="N89">
        <f t="shared" si="1"/>
        <v>1</v>
      </c>
    </row>
    <row r="90" spans="2:14" x14ac:dyDescent="0.35">
      <c r="B90" s="359" t="s">
        <v>1182</v>
      </c>
      <c r="C90" s="360">
        <v>0</v>
      </c>
      <c r="D90" s="360" t="s">
        <v>908</v>
      </c>
      <c r="E90" s="360" t="s">
        <v>1350</v>
      </c>
      <c r="F90" s="360" t="s">
        <v>1110</v>
      </c>
      <c r="G90" s="360" t="s">
        <v>30</v>
      </c>
      <c r="H90" s="360">
        <v>9</v>
      </c>
      <c r="I90" s="360" t="s">
        <v>144</v>
      </c>
      <c r="J90" s="360" t="s">
        <v>144</v>
      </c>
      <c r="K90" s="463"/>
      <c r="L90" s="360" t="s">
        <v>870</v>
      </c>
      <c r="M90" s="360"/>
      <c r="N90">
        <f t="shared" si="1"/>
        <v>1</v>
      </c>
    </row>
    <row r="91" spans="2:14" x14ac:dyDescent="0.35">
      <c r="B91" s="359" t="s">
        <v>1183</v>
      </c>
      <c r="C91" s="360">
        <v>9</v>
      </c>
      <c r="D91" s="360" t="s">
        <v>908</v>
      </c>
      <c r="E91" s="360" t="s">
        <v>1350</v>
      </c>
      <c r="F91" s="360" t="s">
        <v>1110</v>
      </c>
      <c r="G91" s="360" t="s">
        <v>31</v>
      </c>
      <c r="H91" s="360">
        <v>9</v>
      </c>
      <c r="I91" s="360" t="s">
        <v>144</v>
      </c>
      <c r="J91" s="360" t="s">
        <v>870</v>
      </c>
      <c r="K91" s="463" t="s">
        <v>1375</v>
      </c>
      <c r="L91" s="360" t="s">
        <v>870</v>
      </c>
      <c r="M91" s="360" t="s">
        <v>1375</v>
      </c>
      <c r="N91">
        <f t="shared" si="1"/>
        <v>0</v>
      </c>
    </row>
    <row r="92" spans="2:14" x14ac:dyDescent="0.35">
      <c r="B92" s="359" t="s">
        <v>1184</v>
      </c>
      <c r="C92" s="360">
        <v>9</v>
      </c>
      <c r="D92" s="360" t="s">
        <v>908</v>
      </c>
      <c r="E92" s="360" t="s">
        <v>1350</v>
      </c>
      <c r="F92" s="360" t="s">
        <v>1110</v>
      </c>
      <c r="G92" s="360" t="s">
        <v>32</v>
      </c>
      <c r="H92" s="360">
        <v>9</v>
      </c>
      <c r="I92" s="360" t="s">
        <v>144</v>
      </c>
      <c r="J92" s="360" t="s">
        <v>870</v>
      </c>
      <c r="K92" s="463" t="s">
        <v>1376</v>
      </c>
      <c r="L92" s="360" t="s">
        <v>870</v>
      </c>
      <c r="M92" s="360" t="s">
        <v>1376</v>
      </c>
      <c r="N92">
        <f t="shared" si="1"/>
        <v>0</v>
      </c>
    </row>
    <row r="93" spans="2:14" x14ac:dyDescent="0.35">
      <c r="B93" s="359" t="s">
        <v>1185</v>
      </c>
      <c r="C93" s="360">
        <v>0</v>
      </c>
      <c r="D93" s="360" t="s">
        <v>908</v>
      </c>
      <c r="E93" s="360" t="s">
        <v>1350</v>
      </c>
      <c r="F93" s="360" t="s">
        <v>1110</v>
      </c>
      <c r="G93" s="360" t="s">
        <v>33</v>
      </c>
      <c r="H93" s="360">
        <v>9</v>
      </c>
      <c r="I93" s="360" t="s">
        <v>144</v>
      </c>
      <c r="J93" s="360" t="s">
        <v>144</v>
      </c>
      <c r="K93" s="463"/>
      <c r="L93" s="360" t="s">
        <v>144</v>
      </c>
      <c r="M93" s="360"/>
      <c r="N93">
        <f t="shared" si="1"/>
        <v>0</v>
      </c>
    </row>
    <row r="94" spans="2:14" x14ac:dyDescent="0.35">
      <c r="B94" s="359" t="s">
        <v>1186</v>
      </c>
      <c r="C94" s="360">
        <v>0</v>
      </c>
      <c r="D94" s="360" t="s">
        <v>908</v>
      </c>
      <c r="E94" s="360" t="s">
        <v>1350</v>
      </c>
      <c r="F94" s="360" t="s">
        <v>1110</v>
      </c>
      <c r="G94" s="360" t="s">
        <v>34</v>
      </c>
      <c r="H94" s="360">
        <v>9</v>
      </c>
      <c r="I94" s="360" t="s">
        <v>144</v>
      </c>
      <c r="J94" s="360" t="s">
        <v>144</v>
      </c>
      <c r="K94" s="463"/>
      <c r="L94" s="360" t="s">
        <v>144</v>
      </c>
      <c r="M94" s="360"/>
      <c r="N94">
        <f t="shared" si="1"/>
        <v>0</v>
      </c>
    </row>
    <row r="95" spans="2:14" x14ac:dyDescent="0.35">
      <c r="B95" s="359" t="s">
        <v>1187</v>
      </c>
      <c r="C95" s="360">
        <v>0</v>
      </c>
      <c r="D95" s="360" t="s">
        <v>908</v>
      </c>
      <c r="E95" s="360" t="s">
        <v>1350</v>
      </c>
      <c r="F95" s="360" t="s">
        <v>1110</v>
      </c>
      <c r="G95" s="360" t="s">
        <v>35</v>
      </c>
      <c r="H95" s="360">
        <v>9</v>
      </c>
      <c r="I95" s="360" t="s">
        <v>144</v>
      </c>
      <c r="J95" s="360" t="s">
        <v>144</v>
      </c>
      <c r="K95" s="463"/>
      <c r="L95" s="360" t="s">
        <v>144</v>
      </c>
      <c r="M95" s="360"/>
      <c r="N95">
        <f t="shared" si="1"/>
        <v>0</v>
      </c>
    </row>
    <row r="96" spans="2:14" x14ac:dyDescent="0.35">
      <c r="B96" s="359" t="s">
        <v>1188</v>
      </c>
      <c r="C96" s="360">
        <v>0</v>
      </c>
      <c r="D96" s="360" t="s">
        <v>908</v>
      </c>
      <c r="E96" s="360" t="s">
        <v>1350</v>
      </c>
      <c r="F96" s="360" t="s">
        <v>1110</v>
      </c>
      <c r="G96" s="360" t="s">
        <v>36</v>
      </c>
      <c r="H96" s="360">
        <v>9</v>
      </c>
      <c r="I96" s="360" t="s">
        <v>144</v>
      </c>
      <c r="J96" s="360" t="s">
        <v>144</v>
      </c>
      <c r="K96" s="463"/>
      <c r="L96" s="360" t="s">
        <v>144</v>
      </c>
      <c r="M96" s="360"/>
      <c r="N96">
        <f t="shared" si="1"/>
        <v>0</v>
      </c>
    </row>
    <row r="97" spans="2:14" x14ac:dyDescent="0.35">
      <c r="B97" s="359" t="s">
        <v>1189</v>
      </c>
      <c r="C97" s="360">
        <v>2</v>
      </c>
      <c r="D97" s="360" t="s">
        <v>908</v>
      </c>
      <c r="E97" s="360" t="s">
        <v>1350</v>
      </c>
      <c r="F97" s="360" t="s">
        <v>1110</v>
      </c>
      <c r="G97" s="360" t="s">
        <v>37</v>
      </c>
      <c r="H97" s="360">
        <v>9</v>
      </c>
      <c r="I97" s="360" t="s">
        <v>144</v>
      </c>
      <c r="J97" s="360" t="s">
        <v>870</v>
      </c>
      <c r="K97" s="463"/>
      <c r="L97" s="360" t="s">
        <v>870</v>
      </c>
      <c r="M97" s="360"/>
      <c r="N97">
        <f t="shared" si="1"/>
        <v>0</v>
      </c>
    </row>
    <row r="98" spans="2:14" x14ac:dyDescent="0.35">
      <c r="B98" s="359" t="s">
        <v>1190</v>
      </c>
      <c r="C98" s="360">
        <v>0</v>
      </c>
      <c r="D98" s="360" t="s">
        <v>908</v>
      </c>
      <c r="E98" s="360" t="s">
        <v>1350</v>
      </c>
      <c r="F98" s="360" t="s">
        <v>1110</v>
      </c>
      <c r="G98" s="360" t="s">
        <v>38</v>
      </c>
      <c r="H98" s="360">
        <v>9</v>
      </c>
      <c r="I98" s="360" t="s">
        <v>144</v>
      </c>
      <c r="J98" s="360" t="s">
        <v>144</v>
      </c>
      <c r="K98" s="463"/>
      <c r="L98" s="360" t="s">
        <v>144</v>
      </c>
      <c r="M98" s="360"/>
      <c r="N98">
        <f t="shared" si="1"/>
        <v>0</v>
      </c>
    </row>
    <row r="99" spans="2:14" x14ac:dyDescent="0.35">
      <c r="B99" s="359" t="s">
        <v>1191</v>
      </c>
      <c r="C99" s="360">
        <v>0</v>
      </c>
      <c r="D99" s="360" t="s">
        <v>908</v>
      </c>
      <c r="E99" s="360" t="s">
        <v>1350</v>
      </c>
      <c r="F99" s="360" t="s">
        <v>1110</v>
      </c>
      <c r="G99" s="360" t="s">
        <v>39</v>
      </c>
      <c r="H99" s="360">
        <v>9</v>
      </c>
      <c r="I99" s="360" t="s">
        <v>144</v>
      </c>
      <c r="J99" s="360" t="s">
        <v>144</v>
      </c>
      <c r="K99" s="463"/>
      <c r="L99" s="360" t="s">
        <v>144</v>
      </c>
      <c r="M99" s="360"/>
      <c r="N99">
        <f t="shared" si="1"/>
        <v>0</v>
      </c>
    </row>
    <row r="100" spans="2:14" x14ac:dyDescent="0.35">
      <c r="B100" s="359" t="s">
        <v>1192</v>
      </c>
      <c r="C100" s="360">
        <v>0</v>
      </c>
      <c r="D100" s="360" t="s">
        <v>908</v>
      </c>
      <c r="E100" s="360" t="s">
        <v>1350</v>
      </c>
      <c r="F100" s="360" t="s">
        <v>1110</v>
      </c>
      <c r="G100" s="360" t="s">
        <v>40</v>
      </c>
      <c r="H100" s="360">
        <v>9</v>
      </c>
      <c r="I100" s="360" t="s">
        <v>144</v>
      </c>
      <c r="J100" s="360" t="s">
        <v>144</v>
      </c>
      <c r="K100" s="463"/>
      <c r="L100" s="360" t="s">
        <v>144</v>
      </c>
      <c r="M100" s="360"/>
      <c r="N100">
        <f t="shared" si="1"/>
        <v>0</v>
      </c>
    </row>
    <row r="101" spans="2:14" x14ac:dyDescent="0.35">
      <c r="B101" s="359" t="s">
        <v>1193</v>
      </c>
      <c r="C101" s="360">
        <v>0</v>
      </c>
      <c r="D101" s="360" t="s">
        <v>908</v>
      </c>
      <c r="E101" s="360" t="s">
        <v>1350</v>
      </c>
      <c r="F101" s="360" t="s">
        <v>1110</v>
      </c>
      <c r="G101" s="360" t="s">
        <v>41</v>
      </c>
      <c r="H101" s="360">
        <v>9</v>
      </c>
      <c r="I101" s="360" t="s">
        <v>144</v>
      </c>
      <c r="J101" s="360" t="s">
        <v>144</v>
      </c>
      <c r="K101" s="463"/>
      <c r="L101" s="360" t="s">
        <v>144</v>
      </c>
      <c r="M101" s="360"/>
      <c r="N101">
        <f t="shared" si="1"/>
        <v>0</v>
      </c>
    </row>
    <row r="102" spans="2:14" x14ac:dyDescent="0.35">
      <c r="B102" s="359" t="s">
        <v>1194</v>
      </c>
      <c r="C102" s="360">
        <v>0</v>
      </c>
      <c r="D102" s="360" t="s">
        <v>908</v>
      </c>
      <c r="E102" s="360" t="s">
        <v>1350</v>
      </c>
      <c r="F102" s="360" t="s">
        <v>1110</v>
      </c>
      <c r="G102" s="360" t="s">
        <v>42</v>
      </c>
      <c r="H102" s="360">
        <v>9</v>
      </c>
      <c r="I102" s="360" t="s">
        <v>144</v>
      </c>
      <c r="J102" s="360" t="s">
        <v>144</v>
      </c>
      <c r="K102" s="463"/>
      <c r="L102" s="360" t="s">
        <v>144</v>
      </c>
      <c r="M102" s="360"/>
      <c r="N102">
        <f t="shared" si="1"/>
        <v>0</v>
      </c>
    </row>
    <row r="103" spans="2:14" x14ac:dyDescent="0.35">
      <c r="B103" s="359" t="s">
        <v>1195</v>
      </c>
      <c r="C103" s="360">
        <v>0</v>
      </c>
      <c r="D103" s="360" t="s">
        <v>908</v>
      </c>
      <c r="E103" s="360" t="s">
        <v>1350</v>
      </c>
      <c r="F103" s="360" t="s">
        <v>1110</v>
      </c>
      <c r="G103" s="360" t="s">
        <v>43</v>
      </c>
      <c r="H103" s="360">
        <v>9</v>
      </c>
      <c r="I103" s="360" t="s">
        <v>144</v>
      </c>
      <c r="J103" s="360" t="s">
        <v>144</v>
      </c>
      <c r="K103" s="463"/>
      <c r="L103" s="360" t="s">
        <v>144</v>
      </c>
      <c r="M103" s="360"/>
      <c r="N103">
        <f t="shared" si="1"/>
        <v>0</v>
      </c>
    </row>
    <row r="104" spans="2:14" x14ac:dyDescent="0.35">
      <c r="B104" s="359" t="s">
        <v>1196</v>
      </c>
      <c r="C104" s="360">
        <v>0</v>
      </c>
      <c r="D104" s="360" t="s">
        <v>908</v>
      </c>
      <c r="E104" s="360" t="s">
        <v>1350</v>
      </c>
      <c r="F104" s="360" t="s">
        <v>1110</v>
      </c>
      <c r="G104" s="360" t="s">
        <v>44</v>
      </c>
      <c r="H104" s="360">
        <v>9</v>
      </c>
      <c r="I104" s="360" t="s">
        <v>144</v>
      </c>
      <c r="J104" s="360" t="s">
        <v>144</v>
      </c>
      <c r="K104" s="463"/>
      <c r="L104" s="360" t="s">
        <v>144</v>
      </c>
      <c r="M104" s="360"/>
      <c r="N104">
        <f t="shared" si="1"/>
        <v>0</v>
      </c>
    </row>
    <row r="105" spans="2:14" x14ac:dyDescent="0.35">
      <c r="B105" s="359" t="s">
        <v>1197</v>
      </c>
      <c r="C105" s="360">
        <v>0</v>
      </c>
      <c r="D105" s="360" t="s">
        <v>908</v>
      </c>
      <c r="E105" s="360" t="s">
        <v>1350</v>
      </c>
      <c r="F105" s="360" t="s">
        <v>1110</v>
      </c>
      <c r="G105" s="360" t="s">
        <v>900</v>
      </c>
      <c r="H105" s="360">
        <v>9</v>
      </c>
      <c r="I105" s="360" t="s">
        <v>144</v>
      </c>
      <c r="J105" s="360" t="s">
        <v>144</v>
      </c>
      <c r="K105" s="463"/>
      <c r="L105" s="360" t="s">
        <v>144</v>
      </c>
      <c r="M105" s="360"/>
      <c r="N105">
        <f t="shared" si="1"/>
        <v>0</v>
      </c>
    </row>
    <row r="106" spans="2:14" x14ac:dyDescent="0.35">
      <c r="B106" s="359" t="s">
        <v>1198</v>
      </c>
      <c r="C106" s="360">
        <v>0</v>
      </c>
      <c r="D106" s="360" t="s">
        <v>908</v>
      </c>
      <c r="E106" s="360" t="s">
        <v>1350</v>
      </c>
      <c r="F106" s="360" t="s">
        <v>1110</v>
      </c>
      <c r="G106" s="360" t="s">
        <v>45</v>
      </c>
      <c r="H106" s="360">
        <v>9</v>
      </c>
      <c r="I106" s="360" t="s">
        <v>144</v>
      </c>
      <c r="J106" s="360" t="s">
        <v>144</v>
      </c>
      <c r="K106" s="463"/>
      <c r="L106" s="360" t="s">
        <v>144</v>
      </c>
      <c r="M106" s="360"/>
      <c r="N106">
        <f t="shared" si="1"/>
        <v>0</v>
      </c>
    </row>
    <row r="107" spans="2:14" x14ac:dyDescent="0.35">
      <c r="B107" s="359" t="s">
        <v>1199</v>
      </c>
      <c r="C107" s="360">
        <v>0</v>
      </c>
      <c r="D107" s="360" t="s">
        <v>908</v>
      </c>
      <c r="E107" s="360" t="s">
        <v>1350</v>
      </c>
      <c r="F107" s="360" t="s">
        <v>1110</v>
      </c>
      <c r="G107" s="360" t="s">
        <v>46</v>
      </c>
      <c r="H107" s="360">
        <v>9</v>
      </c>
      <c r="I107" s="360" t="s">
        <v>144</v>
      </c>
      <c r="J107" s="360" t="s">
        <v>144</v>
      </c>
      <c r="K107" s="463"/>
      <c r="L107" s="360" t="s">
        <v>144</v>
      </c>
      <c r="M107" s="360"/>
      <c r="N107">
        <f t="shared" si="1"/>
        <v>0</v>
      </c>
    </row>
    <row r="108" spans="2:14" x14ac:dyDescent="0.35">
      <c r="B108" s="359" t="s">
        <v>1200</v>
      </c>
      <c r="C108" s="360">
        <v>0</v>
      </c>
      <c r="D108" s="360" t="s">
        <v>908</v>
      </c>
      <c r="E108" s="360" t="s">
        <v>1350</v>
      </c>
      <c r="F108" s="360" t="s">
        <v>1110</v>
      </c>
      <c r="G108" s="360" t="s">
        <v>47</v>
      </c>
      <c r="H108" s="360">
        <v>9</v>
      </c>
      <c r="I108" s="360" t="s">
        <v>144</v>
      </c>
      <c r="J108" s="360" t="s">
        <v>144</v>
      </c>
      <c r="K108" s="463"/>
      <c r="L108" s="360" t="s">
        <v>144</v>
      </c>
      <c r="M108" s="360"/>
      <c r="N108">
        <f t="shared" si="1"/>
        <v>0</v>
      </c>
    </row>
    <row r="109" spans="2:14" x14ac:dyDescent="0.35">
      <c r="B109" s="359" t="s">
        <v>1201</v>
      </c>
      <c r="C109" s="360">
        <v>0</v>
      </c>
      <c r="D109" s="360" t="s">
        <v>908</v>
      </c>
      <c r="E109" s="360" t="s">
        <v>1350</v>
      </c>
      <c r="F109" s="360" t="s">
        <v>1110</v>
      </c>
      <c r="G109" s="360" t="s">
        <v>48</v>
      </c>
      <c r="H109" s="360">
        <v>9</v>
      </c>
      <c r="I109" s="360" t="s">
        <v>144</v>
      </c>
      <c r="J109" s="360" t="s">
        <v>144</v>
      </c>
      <c r="K109" s="463"/>
      <c r="L109" s="360" t="s">
        <v>144</v>
      </c>
      <c r="M109" s="360"/>
      <c r="N109">
        <f t="shared" si="1"/>
        <v>0</v>
      </c>
    </row>
    <row r="110" spans="2:14" x14ac:dyDescent="0.35">
      <c r="B110" s="359" t="s">
        <v>1202</v>
      </c>
      <c r="C110" s="360">
        <v>0</v>
      </c>
      <c r="D110" s="360" t="s">
        <v>908</v>
      </c>
      <c r="E110" s="360" t="s">
        <v>1350</v>
      </c>
      <c r="F110" s="360" t="s">
        <v>1110</v>
      </c>
      <c r="G110" s="360" t="s">
        <v>906</v>
      </c>
      <c r="H110" s="360">
        <v>9</v>
      </c>
      <c r="I110" s="360" t="s">
        <v>144</v>
      </c>
      <c r="J110" s="360" t="s">
        <v>144</v>
      </c>
      <c r="K110" s="463"/>
      <c r="L110" s="360" t="s">
        <v>144</v>
      </c>
      <c r="M110" s="360"/>
      <c r="N110">
        <f t="shared" si="1"/>
        <v>0</v>
      </c>
    </row>
    <row r="111" spans="2:14" x14ac:dyDescent="0.35">
      <c r="B111" s="359" t="s">
        <v>1203</v>
      </c>
      <c r="C111" s="360">
        <v>0</v>
      </c>
      <c r="D111" s="360" t="s">
        <v>908</v>
      </c>
      <c r="E111" s="360" t="s">
        <v>1350</v>
      </c>
      <c r="F111" s="360" t="s">
        <v>1110</v>
      </c>
      <c r="G111" s="360" t="s">
        <v>49</v>
      </c>
      <c r="H111" s="360">
        <v>9</v>
      </c>
      <c r="I111" s="360" t="s">
        <v>144</v>
      </c>
      <c r="J111" s="360" t="s">
        <v>144</v>
      </c>
      <c r="K111" s="463"/>
      <c r="L111" s="360" t="s">
        <v>144</v>
      </c>
      <c r="M111" s="360"/>
      <c r="N111">
        <f t="shared" si="1"/>
        <v>0</v>
      </c>
    </row>
    <row r="112" spans="2:14" x14ac:dyDescent="0.35">
      <c r="B112" s="359" t="s">
        <v>1204</v>
      </c>
      <c r="C112" s="360">
        <v>0</v>
      </c>
      <c r="D112" s="360" t="s">
        <v>908</v>
      </c>
      <c r="E112" s="360" t="s">
        <v>1350</v>
      </c>
      <c r="F112" s="360" t="s">
        <v>1110</v>
      </c>
      <c r="G112" s="360" t="s">
        <v>50</v>
      </c>
      <c r="H112" s="360">
        <v>9</v>
      </c>
      <c r="I112" s="360" t="s">
        <v>144</v>
      </c>
      <c r="J112" s="360" t="s">
        <v>144</v>
      </c>
      <c r="K112" s="463"/>
      <c r="L112" s="360" t="s">
        <v>144</v>
      </c>
      <c r="M112" s="360"/>
      <c r="N112">
        <f t="shared" si="1"/>
        <v>0</v>
      </c>
    </row>
    <row r="113" spans="2:14" x14ac:dyDescent="0.35">
      <c r="B113" s="359" t="s">
        <v>1205</v>
      </c>
      <c r="C113" s="360">
        <v>9</v>
      </c>
      <c r="D113" s="360" t="s">
        <v>908</v>
      </c>
      <c r="E113" s="360" t="s">
        <v>1350</v>
      </c>
      <c r="F113" s="360" t="s">
        <v>1110</v>
      </c>
      <c r="G113" s="360" t="s">
        <v>51</v>
      </c>
      <c r="H113" s="360">
        <v>9</v>
      </c>
      <c r="I113" s="360" t="s">
        <v>144</v>
      </c>
      <c r="J113" s="360" t="s">
        <v>870</v>
      </c>
      <c r="K113" s="463" t="s">
        <v>1376</v>
      </c>
      <c r="L113" s="360" t="s">
        <v>870</v>
      </c>
      <c r="M113" s="360" t="s">
        <v>1376</v>
      </c>
      <c r="N113">
        <f t="shared" si="1"/>
        <v>0</v>
      </c>
    </row>
    <row r="114" spans="2:14" x14ac:dyDescent="0.35">
      <c r="B114" s="359" t="s">
        <v>1206</v>
      </c>
      <c r="C114" s="360">
        <v>0</v>
      </c>
      <c r="D114" s="360" t="s">
        <v>908</v>
      </c>
      <c r="E114" s="360" t="s">
        <v>1350</v>
      </c>
      <c r="F114" s="360" t="s">
        <v>1110</v>
      </c>
      <c r="G114" s="360" t="s">
        <v>52</v>
      </c>
      <c r="H114" s="360">
        <v>9</v>
      </c>
      <c r="I114" s="360" t="s">
        <v>144</v>
      </c>
      <c r="J114" s="360" t="s">
        <v>144</v>
      </c>
      <c r="K114" s="463"/>
      <c r="L114" s="360" t="s">
        <v>144</v>
      </c>
      <c r="M114" s="360"/>
      <c r="N114">
        <f t="shared" si="1"/>
        <v>0</v>
      </c>
    </row>
    <row r="115" spans="2:14" x14ac:dyDescent="0.35">
      <c r="B115" s="359" t="s">
        <v>1207</v>
      </c>
      <c r="C115" s="360">
        <v>9</v>
      </c>
      <c r="D115" s="360" t="s">
        <v>908</v>
      </c>
      <c r="E115" s="360" t="s">
        <v>1350</v>
      </c>
      <c r="F115" s="360" t="s">
        <v>1110</v>
      </c>
      <c r="G115" s="360" t="s">
        <v>53</v>
      </c>
      <c r="H115" s="360">
        <v>9</v>
      </c>
      <c r="I115" s="360" t="s">
        <v>144</v>
      </c>
      <c r="J115" s="360" t="s">
        <v>870</v>
      </c>
      <c r="K115" s="463" t="s">
        <v>1376</v>
      </c>
      <c r="L115" s="360" t="s">
        <v>870</v>
      </c>
      <c r="M115" s="360" t="s">
        <v>1376</v>
      </c>
      <c r="N115">
        <f t="shared" si="1"/>
        <v>0</v>
      </c>
    </row>
    <row r="116" spans="2:14" x14ac:dyDescent="0.35">
      <c r="B116" s="359" t="s">
        <v>1208</v>
      </c>
      <c r="C116" s="360">
        <v>0</v>
      </c>
      <c r="D116" s="360" t="s">
        <v>908</v>
      </c>
      <c r="E116" s="360" t="s">
        <v>1350</v>
      </c>
      <c r="F116" s="360" t="s">
        <v>1110</v>
      </c>
      <c r="G116" s="360" t="s">
        <v>54</v>
      </c>
      <c r="H116" s="360">
        <v>9</v>
      </c>
      <c r="I116" s="360" t="s">
        <v>144</v>
      </c>
      <c r="J116" s="360" t="s">
        <v>144</v>
      </c>
      <c r="K116" s="463"/>
      <c r="L116" s="360" t="s">
        <v>144</v>
      </c>
      <c r="M116" s="360"/>
      <c r="N116">
        <f t="shared" si="1"/>
        <v>0</v>
      </c>
    </row>
    <row r="117" spans="2:14" x14ac:dyDescent="0.35">
      <c r="B117" s="359" t="s">
        <v>1209</v>
      </c>
      <c r="C117" s="360">
        <v>0</v>
      </c>
      <c r="D117" s="360" t="s">
        <v>908</v>
      </c>
      <c r="E117" s="360" t="s">
        <v>1350</v>
      </c>
      <c r="F117" s="360" t="s">
        <v>1110</v>
      </c>
      <c r="G117" s="360" t="s">
        <v>55</v>
      </c>
      <c r="H117" s="360">
        <v>9</v>
      </c>
      <c r="I117" s="360" t="s">
        <v>144</v>
      </c>
      <c r="J117" s="360" t="s">
        <v>144</v>
      </c>
      <c r="K117" s="463"/>
      <c r="L117" s="360" t="s">
        <v>144</v>
      </c>
      <c r="M117" s="360"/>
      <c r="N117">
        <f t="shared" si="1"/>
        <v>0</v>
      </c>
    </row>
    <row r="118" spans="2:14" x14ac:dyDescent="0.35">
      <c r="B118" s="359" t="s">
        <v>1210</v>
      </c>
      <c r="C118" s="360">
        <v>0</v>
      </c>
      <c r="D118" s="360" t="s">
        <v>908</v>
      </c>
      <c r="E118" s="360" t="s">
        <v>1350</v>
      </c>
      <c r="F118" s="360" t="s">
        <v>1110</v>
      </c>
      <c r="G118" s="360" t="s">
        <v>56</v>
      </c>
      <c r="H118" s="360">
        <v>9</v>
      </c>
      <c r="I118" s="360" t="s">
        <v>144</v>
      </c>
      <c r="J118" s="360" t="s">
        <v>144</v>
      </c>
      <c r="K118" s="463"/>
      <c r="L118" s="360" t="s">
        <v>144</v>
      </c>
      <c r="M118" s="360"/>
      <c r="N118">
        <f t="shared" si="1"/>
        <v>0</v>
      </c>
    </row>
    <row r="119" spans="2:14" x14ac:dyDescent="0.35">
      <c r="B119" s="359" t="s">
        <v>1211</v>
      </c>
      <c r="C119" s="360">
        <v>0</v>
      </c>
      <c r="D119" s="360" t="s">
        <v>908</v>
      </c>
      <c r="E119" s="360" t="s">
        <v>1350</v>
      </c>
      <c r="F119" s="360" t="s">
        <v>1110</v>
      </c>
      <c r="G119" s="360" t="s">
        <v>57</v>
      </c>
      <c r="H119" s="360">
        <v>9</v>
      </c>
      <c r="I119" s="360" t="s">
        <v>144</v>
      </c>
      <c r="J119" s="360" t="s">
        <v>144</v>
      </c>
      <c r="K119" s="463"/>
      <c r="L119" s="360" t="s">
        <v>870</v>
      </c>
      <c r="M119" s="360"/>
      <c r="N119">
        <f t="shared" si="1"/>
        <v>1</v>
      </c>
    </row>
    <row r="120" spans="2:14" x14ac:dyDescent="0.35">
      <c r="B120" s="359" t="s">
        <v>1212</v>
      </c>
      <c r="C120" s="360">
        <v>0</v>
      </c>
      <c r="D120" s="360" t="s">
        <v>908</v>
      </c>
      <c r="E120" s="360" t="s">
        <v>1350</v>
      </c>
      <c r="F120" s="360" t="s">
        <v>1110</v>
      </c>
      <c r="G120" s="360" t="s">
        <v>58</v>
      </c>
      <c r="H120" s="360">
        <v>9</v>
      </c>
      <c r="I120" s="360" t="s">
        <v>144</v>
      </c>
      <c r="J120" s="360" t="s">
        <v>144</v>
      </c>
      <c r="K120" s="463"/>
      <c r="L120" s="360" t="s">
        <v>873</v>
      </c>
      <c r="M120" s="360"/>
      <c r="N120">
        <f t="shared" si="1"/>
        <v>1</v>
      </c>
    </row>
    <row r="121" spans="2:14" x14ac:dyDescent="0.35">
      <c r="B121" s="359" t="s">
        <v>1213</v>
      </c>
      <c r="C121" s="360">
        <v>0</v>
      </c>
      <c r="D121" s="360" t="s">
        <v>908</v>
      </c>
      <c r="E121" s="360" t="s">
        <v>1350</v>
      </c>
      <c r="F121" s="360" t="s">
        <v>1110</v>
      </c>
      <c r="G121" s="360" t="s">
        <v>59</v>
      </c>
      <c r="H121" s="360">
        <v>9</v>
      </c>
      <c r="I121" s="360" t="s">
        <v>144</v>
      </c>
      <c r="J121" s="360" t="s">
        <v>144</v>
      </c>
      <c r="K121" s="463"/>
      <c r="L121" s="360" t="s">
        <v>870</v>
      </c>
      <c r="M121" s="360"/>
      <c r="N121">
        <f t="shared" si="1"/>
        <v>1</v>
      </c>
    </row>
    <row r="122" spans="2:14" x14ac:dyDescent="0.35">
      <c r="B122" s="359" t="s">
        <v>1214</v>
      </c>
      <c r="C122" s="360">
        <v>0</v>
      </c>
      <c r="D122" s="360" t="s">
        <v>908</v>
      </c>
      <c r="E122" s="360" t="s">
        <v>1350</v>
      </c>
      <c r="F122" s="360" t="s">
        <v>1110</v>
      </c>
      <c r="G122" s="360" t="s">
        <v>60</v>
      </c>
      <c r="H122" s="360">
        <v>9</v>
      </c>
      <c r="I122" s="360" t="s">
        <v>144</v>
      </c>
      <c r="J122" s="360" t="s">
        <v>144</v>
      </c>
      <c r="K122" s="463"/>
      <c r="L122" s="360" t="s">
        <v>144</v>
      </c>
      <c r="M122" s="360"/>
      <c r="N122">
        <f t="shared" si="1"/>
        <v>0</v>
      </c>
    </row>
    <row r="123" spans="2:14" x14ac:dyDescent="0.35">
      <c r="B123" s="359" t="s">
        <v>1215</v>
      </c>
      <c r="C123" s="360">
        <v>0</v>
      </c>
      <c r="D123" s="360" t="s">
        <v>908</v>
      </c>
      <c r="E123" s="360" t="s">
        <v>1350</v>
      </c>
      <c r="F123" s="360" t="s">
        <v>1110</v>
      </c>
      <c r="G123" s="360" t="s">
        <v>61</v>
      </c>
      <c r="H123" s="360">
        <v>9</v>
      </c>
      <c r="I123" s="360" t="s">
        <v>144</v>
      </c>
      <c r="J123" s="360" t="s">
        <v>144</v>
      </c>
      <c r="K123" s="463"/>
      <c r="L123" s="360" t="s">
        <v>144</v>
      </c>
      <c r="M123" s="360"/>
      <c r="N123">
        <f t="shared" si="1"/>
        <v>0</v>
      </c>
    </row>
    <row r="124" spans="2:14" x14ac:dyDescent="0.35">
      <c r="B124" s="359" t="s">
        <v>1216</v>
      </c>
      <c r="C124" s="360">
        <v>0</v>
      </c>
      <c r="D124" s="360" t="s">
        <v>908</v>
      </c>
      <c r="E124" s="360" t="s">
        <v>1350</v>
      </c>
      <c r="F124" s="360" t="s">
        <v>1110</v>
      </c>
      <c r="G124" s="360" t="s">
        <v>62</v>
      </c>
      <c r="H124" s="360">
        <v>9</v>
      </c>
      <c r="I124" s="360" t="s">
        <v>144</v>
      </c>
      <c r="J124" s="360" t="s">
        <v>144</v>
      </c>
      <c r="K124" s="463"/>
      <c r="L124" s="360" t="s">
        <v>144</v>
      </c>
      <c r="M124" s="360"/>
      <c r="N124">
        <f t="shared" si="1"/>
        <v>0</v>
      </c>
    </row>
    <row r="125" spans="2:14" x14ac:dyDescent="0.35">
      <c r="B125" s="359" t="s">
        <v>1217</v>
      </c>
      <c r="C125" s="360">
        <v>0</v>
      </c>
      <c r="D125" s="360" t="s">
        <v>908</v>
      </c>
      <c r="E125" s="360" t="s">
        <v>1350</v>
      </c>
      <c r="F125" s="360" t="s">
        <v>1110</v>
      </c>
      <c r="G125" s="360" t="s">
        <v>63</v>
      </c>
      <c r="H125" s="360">
        <v>9</v>
      </c>
      <c r="I125" s="360" t="s">
        <v>144</v>
      </c>
      <c r="J125" s="360" t="s">
        <v>144</v>
      </c>
      <c r="K125" s="463"/>
      <c r="L125" s="360" t="s">
        <v>144</v>
      </c>
      <c r="M125" s="360"/>
      <c r="N125">
        <f t="shared" si="1"/>
        <v>0</v>
      </c>
    </row>
    <row r="126" spans="2:14" x14ac:dyDescent="0.35">
      <c r="B126" s="359" t="s">
        <v>1218</v>
      </c>
      <c r="C126" s="360">
        <v>0</v>
      </c>
      <c r="D126" s="360" t="s">
        <v>908</v>
      </c>
      <c r="E126" s="360" t="s">
        <v>1350</v>
      </c>
      <c r="F126" s="360" t="s">
        <v>1110</v>
      </c>
      <c r="G126" s="360" t="s">
        <v>64</v>
      </c>
      <c r="H126" s="360">
        <v>9</v>
      </c>
      <c r="I126" s="360" t="s">
        <v>144</v>
      </c>
      <c r="J126" s="360" t="s">
        <v>144</v>
      </c>
      <c r="K126" s="463"/>
      <c r="L126" s="360" t="s">
        <v>144</v>
      </c>
      <c r="M126" s="360"/>
      <c r="N126">
        <f t="shared" si="1"/>
        <v>0</v>
      </c>
    </row>
    <row r="127" spans="2:14" x14ac:dyDescent="0.35">
      <c r="B127" s="359" t="s">
        <v>1219</v>
      </c>
      <c r="C127" s="360">
        <v>0</v>
      </c>
      <c r="D127" s="360" t="s">
        <v>908</v>
      </c>
      <c r="E127" s="360" t="s">
        <v>1350</v>
      </c>
      <c r="F127" s="360" t="s">
        <v>1110</v>
      </c>
      <c r="G127" s="360" t="s">
        <v>65</v>
      </c>
      <c r="H127" s="360">
        <v>9</v>
      </c>
      <c r="I127" s="360" t="s">
        <v>144</v>
      </c>
      <c r="J127" s="360" t="s">
        <v>144</v>
      </c>
      <c r="K127" s="463"/>
      <c r="L127" s="360" t="s">
        <v>144</v>
      </c>
      <c r="M127" s="360"/>
      <c r="N127">
        <f t="shared" si="1"/>
        <v>0</v>
      </c>
    </row>
    <row r="128" spans="2:14" x14ac:dyDescent="0.35">
      <c r="B128" s="359" t="s">
        <v>1220</v>
      </c>
      <c r="C128" s="360">
        <v>0</v>
      </c>
      <c r="D128" s="360" t="s">
        <v>908</v>
      </c>
      <c r="E128" s="360" t="s">
        <v>1350</v>
      </c>
      <c r="F128" s="360" t="s">
        <v>1110</v>
      </c>
      <c r="G128" s="360" t="s">
        <v>66</v>
      </c>
      <c r="H128" s="360">
        <v>9</v>
      </c>
      <c r="I128" s="360" t="s">
        <v>144</v>
      </c>
      <c r="J128" s="360" t="s">
        <v>144</v>
      </c>
      <c r="K128" s="463"/>
      <c r="L128" s="360" t="s">
        <v>144</v>
      </c>
      <c r="M128" s="360"/>
      <c r="N128">
        <f t="shared" si="1"/>
        <v>0</v>
      </c>
    </row>
    <row r="129" spans="2:14" x14ac:dyDescent="0.35">
      <c r="B129" s="359" t="s">
        <v>1221</v>
      </c>
      <c r="C129" s="360">
        <v>0</v>
      </c>
      <c r="D129" s="360" t="s">
        <v>908</v>
      </c>
      <c r="E129" s="360" t="s">
        <v>1350</v>
      </c>
      <c r="F129" s="360" t="s">
        <v>1110</v>
      </c>
      <c r="G129" s="360" t="s">
        <v>67</v>
      </c>
      <c r="H129" s="360">
        <v>9</v>
      </c>
      <c r="I129" s="360" t="s">
        <v>144</v>
      </c>
      <c r="J129" s="360" t="s">
        <v>144</v>
      </c>
      <c r="K129" s="463"/>
      <c r="L129" s="360" t="s">
        <v>144</v>
      </c>
      <c r="M129" s="360"/>
      <c r="N129">
        <f t="shared" si="1"/>
        <v>0</v>
      </c>
    </row>
    <row r="130" spans="2:14" x14ac:dyDescent="0.35">
      <c r="B130" s="359" t="s">
        <v>1222</v>
      </c>
      <c r="C130" s="360">
        <v>9</v>
      </c>
      <c r="D130" s="360" t="s">
        <v>908</v>
      </c>
      <c r="E130" s="360" t="s">
        <v>1350</v>
      </c>
      <c r="F130" s="360" t="s">
        <v>1110</v>
      </c>
      <c r="G130" s="360" t="s">
        <v>68</v>
      </c>
      <c r="H130" s="360">
        <v>9</v>
      </c>
      <c r="I130" s="360" t="s">
        <v>144</v>
      </c>
      <c r="J130" s="360" t="s">
        <v>870</v>
      </c>
      <c r="K130" s="463" t="s">
        <v>1409</v>
      </c>
      <c r="L130" s="360" t="s">
        <v>870</v>
      </c>
      <c r="M130" s="360" t="s">
        <v>1409</v>
      </c>
      <c r="N130">
        <f t="shared" si="1"/>
        <v>0</v>
      </c>
    </row>
    <row r="131" spans="2:14" x14ac:dyDescent="0.35">
      <c r="B131" s="359" t="s">
        <v>1223</v>
      </c>
      <c r="C131" s="360">
        <v>0</v>
      </c>
      <c r="D131" s="360" t="s">
        <v>908</v>
      </c>
      <c r="E131" s="360" t="s">
        <v>1350</v>
      </c>
      <c r="F131" s="360" t="s">
        <v>1110</v>
      </c>
      <c r="G131" s="360" t="s">
        <v>69</v>
      </c>
      <c r="H131" s="360">
        <v>9</v>
      </c>
      <c r="I131" s="360" t="s">
        <v>144</v>
      </c>
      <c r="J131" s="360" t="s">
        <v>144</v>
      </c>
      <c r="K131" s="463"/>
      <c r="L131" s="360" t="s">
        <v>144</v>
      </c>
      <c r="M131" s="360"/>
      <c r="N131">
        <f t="shared" ref="N131:N191" si="2">IF(J131=L131,0,1)</f>
        <v>0</v>
      </c>
    </row>
    <row r="132" spans="2:14" x14ac:dyDescent="0.35">
      <c r="B132" s="359" t="s">
        <v>1224</v>
      </c>
      <c r="C132" s="360">
        <v>0</v>
      </c>
      <c r="D132" s="360" t="s">
        <v>908</v>
      </c>
      <c r="E132" s="360" t="s">
        <v>1350</v>
      </c>
      <c r="F132" s="360" t="s">
        <v>1110</v>
      </c>
      <c r="G132" s="360" t="s">
        <v>70</v>
      </c>
      <c r="H132" s="360">
        <v>9</v>
      </c>
      <c r="I132" s="360" t="s">
        <v>144</v>
      </c>
      <c r="J132" s="360" t="s">
        <v>144</v>
      </c>
      <c r="K132" s="463"/>
      <c r="L132" s="360" t="s">
        <v>144</v>
      </c>
      <c r="M132" s="360"/>
      <c r="N132">
        <f t="shared" si="2"/>
        <v>0</v>
      </c>
    </row>
    <row r="133" spans="2:14" x14ac:dyDescent="0.35">
      <c r="B133" s="359" t="s">
        <v>1225</v>
      </c>
      <c r="C133" s="360">
        <v>0</v>
      </c>
      <c r="D133" s="360" t="s">
        <v>908</v>
      </c>
      <c r="E133" s="360" t="s">
        <v>1350</v>
      </c>
      <c r="F133" s="360" t="s">
        <v>1110</v>
      </c>
      <c r="G133" s="360" t="s">
        <v>71</v>
      </c>
      <c r="H133" s="360">
        <v>9</v>
      </c>
      <c r="I133" s="360" t="s">
        <v>144</v>
      </c>
      <c r="J133" s="360" t="s">
        <v>144</v>
      </c>
      <c r="K133" s="463"/>
      <c r="L133" s="360" t="s">
        <v>144</v>
      </c>
      <c r="M133" s="360"/>
      <c r="N133">
        <f t="shared" si="2"/>
        <v>0</v>
      </c>
    </row>
    <row r="134" spans="2:14" x14ac:dyDescent="0.35">
      <c r="B134" s="359" t="s">
        <v>1226</v>
      </c>
      <c r="C134" s="360">
        <v>0</v>
      </c>
      <c r="D134" s="360" t="s">
        <v>908</v>
      </c>
      <c r="E134" s="360" t="s">
        <v>1350</v>
      </c>
      <c r="F134" s="360" t="s">
        <v>1110</v>
      </c>
      <c r="G134" s="360" t="s">
        <v>72</v>
      </c>
      <c r="H134" s="360">
        <v>9</v>
      </c>
      <c r="I134" s="360" t="s">
        <v>144</v>
      </c>
      <c r="J134" s="360" t="s">
        <v>144</v>
      </c>
      <c r="K134" s="463"/>
      <c r="L134" s="360" t="s">
        <v>144</v>
      </c>
      <c r="M134" s="360"/>
      <c r="N134">
        <f t="shared" si="2"/>
        <v>0</v>
      </c>
    </row>
    <row r="135" spans="2:14" x14ac:dyDescent="0.35">
      <c r="B135" s="359" t="s">
        <v>1227</v>
      </c>
      <c r="C135" s="360">
        <v>0</v>
      </c>
      <c r="D135" s="360" t="s">
        <v>908</v>
      </c>
      <c r="E135" s="360" t="s">
        <v>1350</v>
      </c>
      <c r="F135" s="360" t="s">
        <v>1110</v>
      </c>
      <c r="G135" s="360" t="s">
        <v>910</v>
      </c>
      <c r="H135" s="360">
        <v>9</v>
      </c>
      <c r="I135" s="360" t="s">
        <v>144</v>
      </c>
      <c r="J135" s="360" t="s">
        <v>144</v>
      </c>
      <c r="K135" s="463"/>
      <c r="L135" s="360" t="s">
        <v>144</v>
      </c>
      <c r="M135" s="360"/>
      <c r="N135">
        <f t="shared" si="2"/>
        <v>0</v>
      </c>
    </row>
    <row r="136" spans="2:14" x14ac:dyDescent="0.35">
      <c r="B136" s="359" t="s">
        <v>1228</v>
      </c>
      <c r="C136" s="360">
        <v>0</v>
      </c>
      <c r="D136" s="360" t="s">
        <v>908</v>
      </c>
      <c r="E136" s="360" t="s">
        <v>1350</v>
      </c>
      <c r="F136" s="360" t="s">
        <v>1110</v>
      </c>
      <c r="G136" s="360" t="s">
        <v>73</v>
      </c>
      <c r="H136" s="360">
        <v>9</v>
      </c>
      <c r="I136" s="360" t="s">
        <v>144</v>
      </c>
      <c r="J136" s="360" t="s">
        <v>144</v>
      </c>
      <c r="K136" s="463"/>
      <c r="L136" s="360" t="s">
        <v>144</v>
      </c>
      <c r="M136" s="360"/>
      <c r="N136">
        <f t="shared" si="2"/>
        <v>0</v>
      </c>
    </row>
    <row r="137" spans="2:14" x14ac:dyDescent="0.35">
      <c r="B137" s="359" t="s">
        <v>1229</v>
      </c>
      <c r="C137" s="360">
        <v>0</v>
      </c>
      <c r="D137" s="360" t="s">
        <v>908</v>
      </c>
      <c r="E137" s="360" t="s">
        <v>1350</v>
      </c>
      <c r="F137" s="360" t="s">
        <v>1110</v>
      </c>
      <c r="G137" s="360" t="s">
        <v>74</v>
      </c>
      <c r="H137" s="360">
        <v>9</v>
      </c>
      <c r="I137" s="360" t="s">
        <v>144</v>
      </c>
      <c r="J137" s="360" t="s">
        <v>144</v>
      </c>
      <c r="K137" s="463"/>
      <c r="L137" s="360" t="s">
        <v>144</v>
      </c>
      <c r="M137" s="360"/>
      <c r="N137">
        <f t="shared" si="2"/>
        <v>0</v>
      </c>
    </row>
    <row r="138" spans="2:14" x14ac:dyDescent="0.35">
      <c r="B138" s="359" t="s">
        <v>1230</v>
      </c>
      <c r="C138" s="360">
        <v>0</v>
      </c>
      <c r="D138" s="360" t="s">
        <v>908</v>
      </c>
      <c r="E138" s="360" t="s">
        <v>1350</v>
      </c>
      <c r="F138" s="360" t="s">
        <v>1110</v>
      </c>
      <c r="G138" s="360" t="s">
        <v>75</v>
      </c>
      <c r="H138" s="360">
        <v>9</v>
      </c>
      <c r="I138" s="360" t="s">
        <v>144</v>
      </c>
      <c r="J138" s="360" t="s">
        <v>144</v>
      </c>
      <c r="K138" s="463"/>
      <c r="L138" s="360" t="s">
        <v>144</v>
      </c>
      <c r="M138" s="360"/>
      <c r="N138">
        <f t="shared" si="2"/>
        <v>0</v>
      </c>
    </row>
    <row r="139" spans="2:14" x14ac:dyDescent="0.35">
      <c r="B139" s="359" t="s">
        <v>1231</v>
      </c>
      <c r="C139" s="360">
        <v>0</v>
      </c>
      <c r="D139" s="360" t="s">
        <v>908</v>
      </c>
      <c r="E139" s="360" t="s">
        <v>1350</v>
      </c>
      <c r="F139" s="360" t="s">
        <v>1110</v>
      </c>
      <c r="G139" s="360" t="s">
        <v>76</v>
      </c>
      <c r="H139" s="360">
        <v>9</v>
      </c>
      <c r="I139" s="360" t="s">
        <v>144</v>
      </c>
      <c r="J139" s="360" t="s">
        <v>144</v>
      </c>
      <c r="K139" s="463"/>
      <c r="L139" s="360" t="s">
        <v>144</v>
      </c>
      <c r="M139" s="360"/>
      <c r="N139">
        <f t="shared" si="2"/>
        <v>0</v>
      </c>
    </row>
    <row r="140" spans="2:14" x14ac:dyDescent="0.35">
      <c r="B140" s="359" t="s">
        <v>1232</v>
      </c>
      <c r="C140" s="360">
        <v>0</v>
      </c>
      <c r="D140" s="360" t="s">
        <v>908</v>
      </c>
      <c r="E140" s="360" t="s">
        <v>1350</v>
      </c>
      <c r="F140" s="360" t="s">
        <v>1110</v>
      </c>
      <c r="G140" s="360" t="s">
        <v>77</v>
      </c>
      <c r="H140" s="360">
        <v>9</v>
      </c>
      <c r="I140" s="360" t="s">
        <v>144</v>
      </c>
      <c r="J140" s="360" t="s">
        <v>144</v>
      </c>
      <c r="K140" s="463"/>
      <c r="L140" s="360" t="s">
        <v>144</v>
      </c>
      <c r="M140" s="360"/>
      <c r="N140">
        <f t="shared" si="2"/>
        <v>0</v>
      </c>
    </row>
    <row r="141" spans="2:14" x14ac:dyDescent="0.35">
      <c r="B141" s="359" t="s">
        <v>1233</v>
      </c>
      <c r="C141" s="360">
        <v>0</v>
      </c>
      <c r="D141" s="360" t="s">
        <v>908</v>
      </c>
      <c r="E141" s="360" t="s">
        <v>1350</v>
      </c>
      <c r="F141" s="360" t="s">
        <v>1110</v>
      </c>
      <c r="G141" s="360" t="s">
        <v>78</v>
      </c>
      <c r="H141" s="360">
        <v>9</v>
      </c>
      <c r="I141" s="360" t="s">
        <v>144</v>
      </c>
      <c r="J141" s="360" t="s">
        <v>144</v>
      </c>
      <c r="K141" s="463"/>
      <c r="L141" s="360" t="s">
        <v>144</v>
      </c>
      <c r="M141" s="360"/>
      <c r="N141">
        <f t="shared" si="2"/>
        <v>0</v>
      </c>
    </row>
    <row r="142" spans="2:14" x14ac:dyDescent="0.35">
      <c r="B142" s="359" t="s">
        <v>1234</v>
      </c>
      <c r="C142" s="360">
        <v>0</v>
      </c>
      <c r="D142" s="360" t="s">
        <v>908</v>
      </c>
      <c r="E142" s="360" t="s">
        <v>1350</v>
      </c>
      <c r="F142" s="360" t="s">
        <v>1110</v>
      </c>
      <c r="G142" s="360" t="s">
        <v>79</v>
      </c>
      <c r="H142" s="360">
        <v>9</v>
      </c>
      <c r="I142" s="360" t="s">
        <v>144</v>
      </c>
      <c r="J142" s="360" t="s">
        <v>144</v>
      </c>
      <c r="K142" s="463"/>
      <c r="L142" s="360" t="s">
        <v>144</v>
      </c>
      <c r="M142" s="360"/>
      <c r="N142">
        <f t="shared" si="2"/>
        <v>0</v>
      </c>
    </row>
    <row r="143" spans="2:14" x14ac:dyDescent="0.35">
      <c r="B143" s="359" t="s">
        <v>1235</v>
      </c>
      <c r="C143" s="360">
        <v>0</v>
      </c>
      <c r="D143" s="360" t="s">
        <v>908</v>
      </c>
      <c r="E143" s="360" t="s">
        <v>1350</v>
      </c>
      <c r="F143" s="360" t="s">
        <v>1110</v>
      </c>
      <c r="G143" s="360" t="s">
        <v>80</v>
      </c>
      <c r="H143" s="360">
        <v>9</v>
      </c>
      <c r="I143" s="360" t="s">
        <v>144</v>
      </c>
      <c r="J143" s="360" t="s">
        <v>144</v>
      </c>
      <c r="K143" s="463"/>
      <c r="L143" s="360" t="s">
        <v>144</v>
      </c>
      <c r="M143" s="360"/>
      <c r="N143">
        <f t="shared" si="2"/>
        <v>0</v>
      </c>
    </row>
    <row r="144" spans="2:14" x14ac:dyDescent="0.35">
      <c r="B144" s="359" t="s">
        <v>1236</v>
      </c>
      <c r="C144" s="360">
        <v>0</v>
      </c>
      <c r="D144" s="360" t="s">
        <v>908</v>
      </c>
      <c r="E144" s="360" t="s">
        <v>1350</v>
      </c>
      <c r="F144" s="360" t="s">
        <v>1110</v>
      </c>
      <c r="G144" s="360" t="s">
        <v>81</v>
      </c>
      <c r="H144" s="360">
        <v>9</v>
      </c>
      <c r="I144" s="360" t="s">
        <v>144</v>
      </c>
      <c r="J144" s="360" t="s">
        <v>144</v>
      </c>
      <c r="K144" s="463"/>
      <c r="L144" s="360" t="s">
        <v>144</v>
      </c>
      <c r="M144" s="360"/>
      <c r="N144">
        <f t="shared" si="2"/>
        <v>0</v>
      </c>
    </row>
    <row r="145" spans="2:14" x14ac:dyDescent="0.35">
      <c r="B145" s="359" t="s">
        <v>1237</v>
      </c>
      <c r="C145" s="360">
        <v>0</v>
      </c>
      <c r="D145" s="360" t="s">
        <v>908</v>
      </c>
      <c r="E145" s="360" t="s">
        <v>1350</v>
      </c>
      <c r="F145" s="360" t="s">
        <v>1110</v>
      </c>
      <c r="G145" s="360" t="s">
        <v>82</v>
      </c>
      <c r="H145" s="360">
        <v>9</v>
      </c>
      <c r="I145" s="360" t="s">
        <v>144</v>
      </c>
      <c r="J145" s="360" t="s">
        <v>144</v>
      </c>
      <c r="K145" s="463"/>
      <c r="L145" s="360" t="s">
        <v>144</v>
      </c>
      <c r="M145" s="360"/>
      <c r="N145">
        <f t="shared" si="2"/>
        <v>0</v>
      </c>
    </row>
    <row r="146" spans="2:14" x14ac:dyDescent="0.35">
      <c r="B146" s="359" t="s">
        <v>1238</v>
      </c>
      <c r="C146" s="360">
        <v>0</v>
      </c>
      <c r="D146" s="360" t="s">
        <v>908</v>
      </c>
      <c r="E146" s="360" t="s">
        <v>1350</v>
      </c>
      <c r="F146" s="360" t="s">
        <v>1110</v>
      </c>
      <c r="G146" s="360" t="s">
        <v>83</v>
      </c>
      <c r="H146" s="360">
        <v>9</v>
      </c>
      <c r="I146" s="360" t="s">
        <v>144</v>
      </c>
      <c r="J146" s="360" t="s">
        <v>144</v>
      </c>
      <c r="K146" s="463"/>
      <c r="L146" s="360" t="s">
        <v>144</v>
      </c>
      <c r="M146" s="360"/>
      <c r="N146">
        <f t="shared" si="2"/>
        <v>0</v>
      </c>
    </row>
    <row r="147" spans="2:14" x14ac:dyDescent="0.35">
      <c r="B147" s="359" t="s">
        <v>1239</v>
      </c>
      <c r="C147" s="360">
        <v>0</v>
      </c>
      <c r="D147" s="360" t="s">
        <v>908</v>
      </c>
      <c r="E147" s="360" t="s">
        <v>1350</v>
      </c>
      <c r="F147" s="360" t="s">
        <v>1110</v>
      </c>
      <c r="G147" s="360" t="s">
        <v>84</v>
      </c>
      <c r="H147" s="360">
        <v>9</v>
      </c>
      <c r="I147" s="360" t="s">
        <v>144</v>
      </c>
      <c r="J147" s="360" t="s">
        <v>144</v>
      </c>
      <c r="K147" s="463"/>
      <c r="L147" s="360" t="s">
        <v>144</v>
      </c>
      <c r="M147" s="360"/>
      <c r="N147">
        <f t="shared" si="2"/>
        <v>0</v>
      </c>
    </row>
    <row r="148" spans="2:14" x14ac:dyDescent="0.35">
      <c r="B148" s="359" t="s">
        <v>1240</v>
      </c>
      <c r="C148" s="360">
        <v>0</v>
      </c>
      <c r="D148" s="360" t="s">
        <v>908</v>
      </c>
      <c r="E148" s="360" t="s">
        <v>1350</v>
      </c>
      <c r="F148" s="360" t="s">
        <v>1110</v>
      </c>
      <c r="G148" s="360" t="s">
        <v>85</v>
      </c>
      <c r="H148" s="360">
        <v>9</v>
      </c>
      <c r="I148" s="360" t="s">
        <v>144</v>
      </c>
      <c r="J148" s="360" t="s">
        <v>144</v>
      </c>
      <c r="K148" s="463"/>
      <c r="L148" s="360" t="s">
        <v>144</v>
      </c>
      <c r="M148" s="360"/>
      <c r="N148">
        <f t="shared" si="2"/>
        <v>0</v>
      </c>
    </row>
    <row r="149" spans="2:14" x14ac:dyDescent="0.35">
      <c r="B149" s="359" t="s">
        <v>1241</v>
      </c>
      <c r="C149" s="360">
        <v>0</v>
      </c>
      <c r="D149" s="360" t="s">
        <v>908</v>
      </c>
      <c r="E149" s="360" t="s">
        <v>1350</v>
      </c>
      <c r="F149" s="360" t="s">
        <v>1110</v>
      </c>
      <c r="G149" s="360" t="s">
        <v>86</v>
      </c>
      <c r="H149" s="360">
        <v>9</v>
      </c>
      <c r="I149" s="360" t="s">
        <v>144</v>
      </c>
      <c r="J149" s="360" t="s">
        <v>144</v>
      </c>
      <c r="K149" s="463"/>
      <c r="L149" s="360" t="s">
        <v>144</v>
      </c>
      <c r="M149" s="360"/>
      <c r="N149">
        <f t="shared" si="2"/>
        <v>0</v>
      </c>
    </row>
    <row r="150" spans="2:14" x14ac:dyDescent="0.35">
      <c r="B150" s="359" t="s">
        <v>1242</v>
      </c>
      <c r="C150" s="360">
        <v>0</v>
      </c>
      <c r="D150" s="360" t="s">
        <v>908</v>
      </c>
      <c r="E150" s="360" t="s">
        <v>1350</v>
      </c>
      <c r="F150" s="360" t="s">
        <v>1110</v>
      </c>
      <c r="G150" s="360" t="s">
        <v>87</v>
      </c>
      <c r="H150" s="360">
        <v>9</v>
      </c>
      <c r="I150" s="360" t="s">
        <v>144</v>
      </c>
      <c r="J150" s="360" t="s">
        <v>144</v>
      </c>
      <c r="K150" s="463"/>
      <c r="L150" s="360" t="s">
        <v>144</v>
      </c>
      <c r="M150" s="360"/>
      <c r="N150">
        <f t="shared" si="2"/>
        <v>0</v>
      </c>
    </row>
    <row r="151" spans="2:14" x14ac:dyDescent="0.35">
      <c r="B151" s="359" t="s">
        <v>1243</v>
      </c>
      <c r="C151" s="360">
        <v>0</v>
      </c>
      <c r="D151" s="360" t="s">
        <v>908</v>
      </c>
      <c r="E151" s="360" t="s">
        <v>1350</v>
      </c>
      <c r="F151" s="360" t="s">
        <v>1110</v>
      </c>
      <c r="G151" s="360" t="s">
        <v>88</v>
      </c>
      <c r="H151" s="360">
        <v>9</v>
      </c>
      <c r="I151" s="360" t="s">
        <v>144</v>
      </c>
      <c r="J151" s="360" t="s">
        <v>144</v>
      </c>
      <c r="K151" s="463"/>
      <c r="L151" s="360" t="s">
        <v>144</v>
      </c>
      <c r="M151" s="360"/>
      <c r="N151">
        <f t="shared" si="2"/>
        <v>0</v>
      </c>
    </row>
    <row r="152" spans="2:14" x14ac:dyDescent="0.35">
      <c r="B152" s="359" t="s">
        <v>1244</v>
      </c>
      <c r="C152" s="360">
        <v>0</v>
      </c>
      <c r="D152" s="360" t="s">
        <v>908</v>
      </c>
      <c r="E152" s="360" t="s">
        <v>1350</v>
      </c>
      <c r="F152" s="360" t="s">
        <v>1110</v>
      </c>
      <c r="G152" s="360" t="s">
        <v>89</v>
      </c>
      <c r="H152" s="360">
        <v>9</v>
      </c>
      <c r="I152" s="360" t="s">
        <v>144</v>
      </c>
      <c r="J152" s="360" t="s">
        <v>144</v>
      </c>
      <c r="K152" s="463"/>
      <c r="L152" s="360" t="s">
        <v>144</v>
      </c>
      <c r="M152" s="360"/>
      <c r="N152">
        <f t="shared" si="2"/>
        <v>0</v>
      </c>
    </row>
    <row r="153" spans="2:14" x14ac:dyDescent="0.35">
      <c r="B153" s="359" t="s">
        <v>1245</v>
      </c>
      <c r="C153" s="360">
        <v>0</v>
      </c>
      <c r="D153" s="360" t="s">
        <v>908</v>
      </c>
      <c r="E153" s="360" t="s">
        <v>1350</v>
      </c>
      <c r="F153" s="360" t="s">
        <v>1110</v>
      </c>
      <c r="G153" s="360" t="s">
        <v>90</v>
      </c>
      <c r="H153" s="360">
        <v>9</v>
      </c>
      <c r="I153" s="360" t="s">
        <v>144</v>
      </c>
      <c r="J153" s="360" t="s">
        <v>144</v>
      </c>
      <c r="K153" s="463"/>
      <c r="L153" s="360" t="s">
        <v>144</v>
      </c>
      <c r="M153" s="360"/>
      <c r="N153">
        <f t="shared" si="2"/>
        <v>0</v>
      </c>
    </row>
    <row r="154" spans="2:14" x14ac:dyDescent="0.35">
      <c r="B154" s="359" t="s">
        <v>1246</v>
      </c>
      <c r="C154" s="360">
        <v>0</v>
      </c>
      <c r="D154" s="360" t="s">
        <v>908</v>
      </c>
      <c r="E154" s="360" t="s">
        <v>1350</v>
      </c>
      <c r="F154" s="360" t="s">
        <v>1110</v>
      </c>
      <c r="G154" s="360" t="s">
        <v>91</v>
      </c>
      <c r="H154" s="360">
        <v>9</v>
      </c>
      <c r="I154" s="360" t="s">
        <v>144</v>
      </c>
      <c r="J154" s="360" t="s">
        <v>144</v>
      </c>
      <c r="K154" s="463"/>
      <c r="L154" s="360" t="s">
        <v>144</v>
      </c>
      <c r="M154" s="360"/>
      <c r="N154">
        <f t="shared" si="2"/>
        <v>0</v>
      </c>
    </row>
    <row r="155" spans="2:14" x14ac:dyDescent="0.35">
      <c r="B155" s="359" t="s">
        <v>1247</v>
      </c>
      <c r="C155" s="360">
        <v>9</v>
      </c>
      <c r="D155" s="360" t="s">
        <v>908</v>
      </c>
      <c r="E155" s="360" t="s">
        <v>1350</v>
      </c>
      <c r="F155" s="360" t="s">
        <v>1110</v>
      </c>
      <c r="G155" s="360" t="s">
        <v>92</v>
      </c>
      <c r="H155" s="360">
        <v>9</v>
      </c>
      <c r="I155" s="360" t="s">
        <v>144</v>
      </c>
      <c r="J155" s="360" t="s">
        <v>870</v>
      </c>
      <c r="K155" s="463" t="s">
        <v>1377</v>
      </c>
      <c r="L155" s="360" t="s">
        <v>870</v>
      </c>
      <c r="M155" s="360" t="s">
        <v>1377</v>
      </c>
      <c r="N155">
        <f t="shared" si="2"/>
        <v>0</v>
      </c>
    </row>
    <row r="156" spans="2:14" x14ac:dyDescent="0.35">
      <c r="B156" s="359" t="s">
        <v>1248</v>
      </c>
      <c r="C156" s="360">
        <v>0</v>
      </c>
      <c r="D156" s="360" t="s">
        <v>908</v>
      </c>
      <c r="E156" s="360" t="s">
        <v>1350</v>
      </c>
      <c r="F156" s="360" t="s">
        <v>1110</v>
      </c>
      <c r="G156" s="360" t="s">
        <v>93</v>
      </c>
      <c r="H156" s="360">
        <v>9</v>
      </c>
      <c r="I156" s="360" t="s">
        <v>144</v>
      </c>
      <c r="J156" s="360" t="s">
        <v>144</v>
      </c>
      <c r="K156" s="463"/>
      <c r="L156" s="360" t="s">
        <v>144</v>
      </c>
      <c r="M156" s="360"/>
      <c r="N156">
        <f t="shared" si="2"/>
        <v>0</v>
      </c>
    </row>
    <row r="157" spans="2:14" x14ac:dyDescent="0.35">
      <c r="B157" s="359" t="s">
        <v>1249</v>
      </c>
      <c r="C157" s="360">
        <v>0</v>
      </c>
      <c r="D157" s="360" t="s">
        <v>908</v>
      </c>
      <c r="E157" s="360" t="s">
        <v>1350</v>
      </c>
      <c r="F157" s="360" t="s">
        <v>1110</v>
      </c>
      <c r="G157" s="360" t="s">
        <v>94</v>
      </c>
      <c r="H157" s="360">
        <v>9</v>
      </c>
      <c r="I157" s="360" t="s">
        <v>144</v>
      </c>
      <c r="J157" s="360" t="s">
        <v>144</v>
      </c>
      <c r="K157" s="463"/>
      <c r="L157" s="360" t="s">
        <v>144</v>
      </c>
      <c r="M157" s="360"/>
      <c r="N157">
        <f t="shared" si="2"/>
        <v>0</v>
      </c>
    </row>
    <row r="158" spans="2:14" x14ac:dyDescent="0.35">
      <c r="B158" s="359" t="s">
        <v>1089</v>
      </c>
      <c r="C158" s="360">
        <v>0</v>
      </c>
      <c r="D158" s="360" t="s">
        <v>907</v>
      </c>
      <c r="E158" s="360" t="s">
        <v>1349</v>
      </c>
      <c r="F158" s="360" t="s">
        <v>1090</v>
      </c>
      <c r="G158" s="360" t="s">
        <v>818</v>
      </c>
      <c r="H158" s="360">
        <v>8</v>
      </c>
      <c r="I158" s="360" t="s">
        <v>144</v>
      </c>
      <c r="J158" s="360" t="s">
        <v>144</v>
      </c>
      <c r="K158" s="463"/>
      <c r="L158" s="360" t="s">
        <v>144</v>
      </c>
      <c r="M158" s="360"/>
      <c r="N158">
        <f t="shared" si="2"/>
        <v>0</v>
      </c>
    </row>
    <row r="159" spans="2:14" x14ac:dyDescent="0.35">
      <c r="B159" s="359" t="s">
        <v>1091</v>
      </c>
      <c r="C159" s="360">
        <v>0</v>
      </c>
      <c r="D159" s="360" t="s">
        <v>907</v>
      </c>
      <c r="E159" s="360" t="s">
        <v>1349</v>
      </c>
      <c r="F159" s="360" t="s">
        <v>1090</v>
      </c>
      <c r="G159" s="360" t="s">
        <v>820</v>
      </c>
      <c r="H159" s="360">
        <v>8</v>
      </c>
      <c r="I159" s="360" t="s">
        <v>144</v>
      </c>
      <c r="J159" s="360" t="s">
        <v>144</v>
      </c>
      <c r="K159" s="463"/>
      <c r="L159" s="360" t="s">
        <v>144</v>
      </c>
      <c r="M159" s="360"/>
      <c r="N159">
        <f t="shared" si="2"/>
        <v>0</v>
      </c>
    </row>
    <row r="160" spans="2:14" x14ac:dyDescent="0.35">
      <c r="B160" s="359" t="s">
        <v>1092</v>
      </c>
      <c r="C160" s="360">
        <v>0</v>
      </c>
      <c r="D160" s="360" t="s">
        <v>907</v>
      </c>
      <c r="E160" s="360" t="s">
        <v>1349</v>
      </c>
      <c r="F160" s="360" t="s">
        <v>1090</v>
      </c>
      <c r="G160" s="360" t="s">
        <v>821</v>
      </c>
      <c r="H160" s="360">
        <v>8</v>
      </c>
      <c r="I160" s="360" t="s">
        <v>144</v>
      </c>
      <c r="J160" s="360" t="s">
        <v>144</v>
      </c>
      <c r="K160" s="463"/>
      <c r="L160" s="360" t="s">
        <v>144</v>
      </c>
      <c r="M160" s="360"/>
      <c r="N160">
        <f t="shared" si="2"/>
        <v>0</v>
      </c>
    </row>
    <row r="161" spans="2:14" x14ac:dyDescent="0.35">
      <c r="B161" s="359" t="s">
        <v>1093</v>
      </c>
      <c r="C161" s="360">
        <v>4721</v>
      </c>
      <c r="D161" s="360" t="s">
        <v>907</v>
      </c>
      <c r="E161" s="360" t="s">
        <v>1349</v>
      </c>
      <c r="F161" s="360" t="s">
        <v>1090</v>
      </c>
      <c r="G161" s="360" t="s">
        <v>822</v>
      </c>
      <c r="H161" s="360">
        <v>8</v>
      </c>
      <c r="I161" s="360" t="s">
        <v>198</v>
      </c>
      <c r="J161" s="360" t="s">
        <v>873</v>
      </c>
      <c r="K161" s="463"/>
      <c r="L161" s="360" t="s">
        <v>873</v>
      </c>
      <c r="M161" s="360"/>
      <c r="N161">
        <f t="shared" si="2"/>
        <v>0</v>
      </c>
    </row>
    <row r="162" spans="2:14" x14ac:dyDescent="0.35">
      <c r="B162" s="359" t="s">
        <v>1094</v>
      </c>
      <c r="C162" s="360">
        <v>0</v>
      </c>
      <c r="D162" s="360" t="s">
        <v>907</v>
      </c>
      <c r="E162" s="360" t="s">
        <v>1349</v>
      </c>
      <c r="F162" s="360" t="s">
        <v>1090</v>
      </c>
      <c r="G162" s="360" t="s">
        <v>823</v>
      </c>
      <c r="H162" s="360">
        <v>8</v>
      </c>
      <c r="I162" s="360" t="s">
        <v>144</v>
      </c>
      <c r="J162" s="360" t="s">
        <v>144</v>
      </c>
      <c r="K162" s="463"/>
      <c r="L162" s="360" t="s">
        <v>144</v>
      </c>
      <c r="M162" s="360"/>
      <c r="N162">
        <f t="shared" si="2"/>
        <v>0</v>
      </c>
    </row>
    <row r="163" spans="2:14" x14ac:dyDescent="0.35">
      <c r="B163" s="359" t="s">
        <v>1095</v>
      </c>
      <c r="C163" s="360">
        <v>0</v>
      </c>
      <c r="D163" s="360" t="s">
        <v>908</v>
      </c>
      <c r="E163" s="360" t="s">
        <v>1350</v>
      </c>
      <c r="F163" s="360" t="s">
        <v>1090</v>
      </c>
      <c r="G163" s="360" t="s">
        <v>17</v>
      </c>
      <c r="H163" s="360">
        <v>9</v>
      </c>
      <c r="I163" s="360" t="s">
        <v>144</v>
      </c>
      <c r="J163" s="360" t="s">
        <v>144</v>
      </c>
      <c r="K163" s="463"/>
      <c r="L163" s="360" t="s">
        <v>144</v>
      </c>
      <c r="M163" s="360"/>
      <c r="N163">
        <f t="shared" si="2"/>
        <v>0</v>
      </c>
    </row>
    <row r="164" spans="2:14" x14ac:dyDescent="0.35">
      <c r="B164" s="359" t="s">
        <v>1096</v>
      </c>
      <c r="C164" s="360">
        <v>0</v>
      </c>
      <c r="D164" s="360" t="s">
        <v>908</v>
      </c>
      <c r="E164" s="360" t="s">
        <v>1350</v>
      </c>
      <c r="F164" s="360" t="s">
        <v>1090</v>
      </c>
      <c r="G164" s="360" t="s">
        <v>817</v>
      </c>
      <c r="H164" s="360">
        <v>9</v>
      </c>
      <c r="I164" s="360" t="s">
        <v>144</v>
      </c>
      <c r="J164" s="360" t="s">
        <v>144</v>
      </c>
      <c r="K164" s="463"/>
      <c r="L164" s="360" t="s">
        <v>144</v>
      </c>
      <c r="M164" s="360"/>
      <c r="N164">
        <f t="shared" si="2"/>
        <v>0</v>
      </c>
    </row>
    <row r="165" spans="2:14" x14ac:dyDescent="0.35">
      <c r="B165" s="359" t="s">
        <v>1097</v>
      </c>
      <c r="C165" s="360">
        <v>0</v>
      </c>
      <c r="D165" s="360" t="s">
        <v>908</v>
      </c>
      <c r="E165" s="360" t="s">
        <v>1350</v>
      </c>
      <c r="F165" s="360" t="s">
        <v>1090</v>
      </c>
      <c r="G165" s="360" t="s">
        <v>818</v>
      </c>
      <c r="H165" s="360">
        <v>9</v>
      </c>
      <c r="I165" s="360" t="s">
        <v>144</v>
      </c>
      <c r="J165" s="360" t="s">
        <v>144</v>
      </c>
      <c r="K165" s="463"/>
      <c r="L165" s="360" t="s">
        <v>144</v>
      </c>
      <c r="M165" s="360"/>
      <c r="N165">
        <f t="shared" si="2"/>
        <v>0</v>
      </c>
    </row>
    <row r="166" spans="2:14" x14ac:dyDescent="0.35">
      <c r="B166" s="359" t="s">
        <v>1098</v>
      </c>
      <c r="C166" s="360">
        <v>0</v>
      </c>
      <c r="D166" s="360" t="s">
        <v>908</v>
      </c>
      <c r="E166" s="360" t="s">
        <v>1350</v>
      </c>
      <c r="F166" s="360" t="s">
        <v>1090</v>
      </c>
      <c r="G166" s="360" t="s">
        <v>819</v>
      </c>
      <c r="H166" s="360">
        <v>9</v>
      </c>
      <c r="I166" s="360" t="s">
        <v>144</v>
      </c>
      <c r="J166" s="360" t="s">
        <v>144</v>
      </c>
      <c r="K166" s="463"/>
      <c r="L166" s="360" t="s">
        <v>144</v>
      </c>
      <c r="M166" s="360"/>
      <c r="N166">
        <f t="shared" si="2"/>
        <v>0</v>
      </c>
    </row>
    <row r="167" spans="2:14" x14ac:dyDescent="0.35">
      <c r="B167" s="359" t="s">
        <v>1099</v>
      </c>
      <c r="C167" s="360">
        <v>0</v>
      </c>
      <c r="D167" s="360" t="s">
        <v>908</v>
      </c>
      <c r="E167" s="360" t="s">
        <v>1350</v>
      </c>
      <c r="F167" s="360" t="s">
        <v>1090</v>
      </c>
      <c r="G167" s="360" t="s">
        <v>820</v>
      </c>
      <c r="H167" s="360">
        <v>9</v>
      </c>
      <c r="I167" s="360" t="s">
        <v>144</v>
      </c>
      <c r="J167" s="360" t="s">
        <v>144</v>
      </c>
      <c r="K167" s="463"/>
      <c r="L167" s="360" t="s">
        <v>144</v>
      </c>
      <c r="M167" s="360"/>
      <c r="N167">
        <f t="shared" si="2"/>
        <v>0</v>
      </c>
    </row>
    <row r="168" spans="2:14" x14ac:dyDescent="0.35">
      <c r="B168" s="359" t="s">
        <v>1100</v>
      </c>
      <c r="C168" s="360">
        <v>0</v>
      </c>
      <c r="D168" s="360" t="s">
        <v>908</v>
      </c>
      <c r="E168" s="360" t="s">
        <v>1350</v>
      </c>
      <c r="F168" s="360" t="s">
        <v>1090</v>
      </c>
      <c r="G168" s="360" t="s">
        <v>821</v>
      </c>
      <c r="H168" s="360">
        <v>9</v>
      </c>
      <c r="I168" s="360" t="s">
        <v>144</v>
      </c>
      <c r="J168" s="360" t="s">
        <v>144</v>
      </c>
      <c r="K168" s="463"/>
      <c r="L168" s="360" t="s">
        <v>144</v>
      </c>
      <c r="M168" s="360"/>
      <c r="N168">
        <f t="shared" si="2"/>
        <v>0</v>
      </c>
    </row>
    <row r="169" spans="2:14" x14ac:dyDescent="0.35">
      <c r="B169" s="359" t="s">
        <v>1101</v>
      </c>
      <c r="C169" s="360">
        <v>0</v>
      </c>
      <c r="D169" s="360" t="s">
        <v>908</v>
      </c>
      <c r="E169" s="360" t="s">
        <v>1350</v>
      </c>
      <c r="F169" s="360" t="s">
        <v>1090</v>
      </c>
      <c r="G169" s="360" t="s">
        <v>822</v>
      </c>
      <c r="H169" s="360">
        <v>9</v>
      </c>
      <c r="I169" s="360" t="s">
        <v>198</v>
      </c>
      <c r="J169" s="360" t="s">
        <v>873</v>
      </c>
      <c r="K169" s="463"/>
      <c r="L169" s="360" t="s">
        <v>873</v>
      </c>
      <c r="M169" s="360"/>
      <c r="N169">
        <f t="shared" si="2"/>
        <v>0</v>
      </c>
    </row>
    <row r="170" spans="2:14" x14ac:dyDescent="0.35">
      <c r="B170" s="359" t="s">
        <v>1102</v>
      </c>
      <c r="C170" s="360">
        <v>0</v>
      </c>
      <c r="D170" s="360" t="s">
        <v>908</v>
      </c>
      <c r="E170" s="360" t="s">
        <v>1350</v>
      </c>
      <c r="F170" s="360" t="s">
        <v>1090</v>
      </c>
      <c r="G170" s="360" t="s">
        <v>823</v>
      </c>
      <c r="H170" s="360">
        <v>9</v>
      </c>
      <c r="I170" s="360" t="s">
        <v>144</v>
      </c>
      <c r="J170" s="360" t="s">
        <v>144</v>
      </c>
      <c r="K170" s="463"/>
      <c r="L170" s="360" t="s">
        <v>144</v>
      </c>
      <c r="M170" s="360"/>
      <c r="N170">
        <f t="shared" si="2"/>
        <v>0</v>
      </c>
    </row>
    <row r="171" spans="2:14" x14ac:dyDescent="0.35">
      <c r="B171" s="359" t="s">
        <v>1103</v>
      </c>
      <c r="C171" s="360">
        <v>0</v>
      </c>
      <c r="D171" s="360" t="s">
        <v>908</v>
      </c>
      <c r="E171" s="360" t="s">
        <v>1350</v>
      </c>
      <c r="F171" s="360" t="s">
        <v>1090</v>
      </c>
      <c r="G171" s="360" t="s">
        <v>824</v>
      </c>
      <c r="H171" s="360">
        <v>9</v>
      </c>
      <c r="I171" s="360" t="s">
        <v>144</v>
      </c>
      <c r="J171" s="360" t="s">
        <v>144</v>
      </c>
      <c r="K171" s="463"/>
      <c r="L171" s="360" t="s">
        <v>144</v>
      </c>
      <c r="M171" s="360"/>
      <c r="N171">
        <f t="shared" si="2"/>
        <v>0</v>
      </c>
    </row>
    <row r="172" spans="2:14" x14ac:dyDescent="0.35">
      <c r="B172" s="359" t="s">
        <v>1104</v>
      </c>
      <c r="C172" s="360">
        <v>0</v>
      </c>
      <c r="D172" s="360" t="s">
        <v>908</v>
      </c>
      <c r="E172" s="360" t="s">
        <v>1350</v>
      </c>
      <c r="F172" s="360" t="s">
        <v>1090</v>
      </c>
      <c r="G172" s="360" t="s">
        <v>825</v>
      </c>
      <c r="H172" s="360">
        <v>9</v>
      </c>
      <c r="I172" s="360" t="s">
        <v>144</v>
      </c>
      <c r="J172" s="360" t="s">
        <v>144</v>
      </c>
      <c r="K172" s="463"/>
      <c r="L172" s="360" t="s">
        <v>144</v>
      </c>
      <c r="M172" s="360"/>
      <c r="N172">
        <f t="shared" si="2"/>
        <v>0</v>
      </c>
    </row>
    <row r="173" spans="2:14" x14ac:dyDescent="0.35">
      <c r="B173" s="359" t="s">
        <v>1105</v>
      </c>
      <c r="C173" s="360">
        <v>0</v>
      </c>
      <c r="D173" s="360" t="s">
        <v>908</v>
      </c>
      <c r="E173" s="360" t="s">
        <v>1350</v>
      </c>
      <c r="F173" s="360" t="s">
        <v>1090</v>
      </c>
      <c r="G173" s="360" t="s">
        <v>826</v>
      </c>
      <c r="H173" s="360">
        <v>9</v>
      </c>
      <c r="I173" s="360" t="s">
        <v>144</v>
      </c>
      <c r="J173" s="360" t="s">
        <v>144</v>
      </c>
      <c r="K173" s="463"/>
      <c r="L173" s="360" t="s">
        <v>144</v>
      </c>
      <c r="M173" s="360"/>
      <c r="N173">
        <f t="shared" si="2"/>
        <v>0</v>
      </c>
    </row>
    <row r="174" spans="2:14" x14ac:dyDescent="0.35">
      <c r="B174" s="359" t="s">
        <v>1106</v>
      </c>
      <c r="C174" s="360">
        <v>0</v>
      </c>
      <c r="D174" s="360" t="s">
        <v>908</v>
      </c>
      <c r="E174" s="360" t="s">
        <v>1350</v>
      </c>
      <c r="F174" s="360" t="s">
        <v>1090</v>
      </c>
      <c r="G174" s="360" t="s">
        <v>827</v>
      </c>
      <c r="H174" s="360">
        <v>9</v>
      </c>
      <c r="I174" s="360" t="s">
        <v>144</v>
      </c>
      <c r="J174" s="360" t="s">
        <v>144</v>
      </c>
      <c r="K174" s="463"/>
      <c r="L174" s="360" t="s">
        <v>144</v>
      </c>
      <c r="M174" s="360"/>
      <c r="N174">
        <f t="shared" si="2"/>
        <v>0</v>
      </c>
    </row>
    <row r="175" spans="2:14" x14ac:dyDescent="0.35">
      <c r="B175" s="359" t="s">
        <v>1107</v>
      </c>
      <c r="C175" s="360">
        <v>4721</v>
      </c>
      <c r="D175" s="360" t="s">
        <v>908</v>
      </c>
      <c r="E175" s="360" t="s">
        <v>1350</v>
      </c>
      <c r="F175" s="360" t="s">
        <v>1090</v>
      </c>
      <c r="G175" s="360" t="s">
        <v>828</v>
      </c>
      <c r="H175" s="360">
        <v>9</v>
      </c>
      <c r="I175" s="360" t="s">
        <v>144</v>
      </c>
      <c r="J175" s="360" t="s">
        <v>870</v>
      </c>
      <c r="K175" s="463" t="s">
        <v>1378</v>
      </c>
      <c r="L175" s="360" t="s">
        <v>870</v>
      </c>
      <c r="M175" s="360" t="s">
        <v>1378</v>
      </c>
      <c r="N175">
        <f t="shared" si="2"/>
        <v>0</v>
      </c>
    </row>
    <row r="176" spans="2:14" x14ac:dyDescent="0.35">
      <c r="B176" s="359" t="s">
        <v>1108</v>
      </c>
      <c r="C176" s="360">
        <v>4721</v>
      </c>
      <c r="D176" s="360" t="s">
        <v>908</v>
      </c>
      <c r="E176" s="360" t="s">
        <v>1350</v>
      </c>
      <c r="F176" s="360" t="s">
        <v>1090</v>
      </c>
      <c r="G176" s="360" t="s">
        <v>830</v>
      </c>
      <c r="H176" s="360">
        <v>9</v>
      </c>
      <c r="I176" s="360" t="s">
        <v>144</v>
      </c>
      <c r="J176" s="360" t="s">
        <v>870</v>
      </c>
      <c r="K176" s="463" t="s">
        <v>1378</v>
      </c>
      <c r="L176" s="360" t="s">
        <v>870</v>
      </c>
      <c r="M176" s="360" t="s">
        <v>1378</v>
      </c>
      <c r="N176">
        <f t="shared" si="2"/>
        <v>0</v>
      </c>
    </row>
    <row r="177" spans="2:14" x14ac:dyDescent="0.35">
      <c r="B177" s="359" t="s">
        <v>1250</v>
      </c>
      <c r="C177" s="360">
        <v>0</v>
      </c>
      <c r="D177" s="360" t="s">
        <v>905</v>
      </c>
      <c r="E177" s="360" t="s">
        <v>1349</v>
      </c>
      <c r="F177" s="360" t="s">
        <v>1251</v>
      </c>
      <c r="G177" s="360" t="s">
        <v>840</v>
      </c>
      <c r="H177" s="360">
        <v>8</v>
      </c>
      <c r="I177" s="360" t="s">
        <v>144</v>
      </c>
      <c r="J177" s="360" t="s">
        <v>144</v>
      </c>
      <c r="K177" s="463"/>
      <c r="L177" s="360" t="s">
        <v>873</v>
      </c>
      <c r="M177" s="360"/>
      <c r="N177">
        <f t="shared" si="2"/>
        <v>1</v>
      </c>
    </row>
    <row r="178" spans="2:14" x14ac:dyDescent="0.35">
      <c r="B178" s="359" t="s">
        <v>1252</v>
      </c>
      <c r="C178" s="360">
        <v>0</v>
      </c>
      <c r="D178" s="360" t="s">
        <v>907</v>
      </c>
      <c r="E178" s="360" t="s">
        <v>1349</v>
      </c>
      <c r="F178" s="360" t="s">
        <v>1251</v>
      </c>
      <c r="G178" s="360" t="s">
        <v>840</v>
      </c>
      <c r="H178" s="360">
        <v>8</v>
      </c>
      <c r="I178" s="360" t="s">
        <v>144</v>
      </c>
      <c r="J178" s="360" t="s">
        <v>144</v>
      </c>
      <c r="K178" s="463"/>
      <c r="L178" s="360" t="s">
        <v>873</v>
      </c>
      <c r="M178" s="360"/>
      <c r="N178">
        <f t="shared" si="2"/>
        <v>1</v>
      </c>
    </row>
    <row r="179" spans="2:14" x14ac:dyDescent="0.35">
      <c r="B179" s="359" t="s">
        <v>1253</v>
      </c>
      <c r="C179" s="360">
        <v>0</v>
      </c>
      <c r="D179" s="360" t="s">
        <v>907</v>
      </c>
      <c r="E179" s="360" t="s">
        <v>1349</v>
      </c>
      <c r="F179" s="360" t="s">
        <v>1251</v>
      </c>
      <c r="G179" s="360" t="s">
        <v>845</v>
      </c>
      <c r="H179" s="360">
        <v>8</v>
      </c>
      <c r="I179" s="360" t="s">
        <v>144</v>
      </c>
      <c r="J179" s="360" t="s">
        <v>144</v>
      </c>
      <c r="K179" s="463"/>
      <c r="L179" s="360" t="s">
        <v>144</v>
      </c>
      <c r="M179" s="360"/>
      <c r="N179">
        <f t="shared" si="2"/>
        <v>0</v>
      </c>
    </row>
    <row r="180" spans="2:14" x14ac:dyDescent="0.35">
      <c r="B180" s="359" t="s">
        <v>1254</v>
      </c>
      <c r="C180" s="360">
        <v>2</v>
      </c>
      <c r="D180" s="360" t="s">
        <v>907</v>
      </c>
      <c r="E180" s="360" t="s">
        <v>1349</v>
      </c>
      <c r="F180" s="360" t="s">
        <v>1251</v>
      </c>
      <c r="G180" s="360" t="s">
        <v>846</v>
      </c>
      <c r="H180" s="360">
        <v>8</v>
      </c>
      <c r="I180" s="360" t="s">
        <v>144</v>
      </c>
      <c r="J180" s="360" t="s">
        <v>870</v>
      </c>
      <c r="K180" s="463" t="s">
        <v>1380</v>
      </c>
      <c r="L180" s="360" t="s">
        <v>870</v>
      </c>
      <c r="M180" s="360" t="s">
        <v>1380</v>
      </c>
      <c r="N180">
        <f t="shared" si="2"/>
        <v>0</v>
      </c>
    </row>
    <row r="181" spans="2:14" x14ac:dyDescent="0.35">
      <c r="B181" s="359" t="s">
        <v>1255</v>
      </c>
      <c r="C181" s="360">
        <v>0</v>
      </c>
      <c r="D181" s="360" t="s">
        <v>908</v>
      </c>
      <c r="E181" s="360" t="s">
        <v>1350</v>
      </c>
      <c r="F181" s="360" t="s">
        <v>1251</v>
      </c>
      <c r="G181" s="360" t="s">
        <v>17</v>
      </c>
      <c r="H181" s="360">
        <v>9</v>
      </c>
      <c r="I181" s="360" t="s">
        <v>144</v>
      </c>
      <c r="J181" s="360" t="s">
        <v>144</v>
      </c>
      <c r="K181" s="463"/>
      <c r="L181" s="360" t="s">
        <v>144</v>
      </c>
      <c r="M181" s="360"/>
      <c r="N181">
        <f t="shared" si="2"/>
        <v>0</v>
      </c>
    </row>
    <row r="182" spans="2:14" x14ac:dyDescent="0.35">
      <c r="B182" s="359" t="s">
        <v>1256</v>
      </c>
      <c r="C182" s="360">
        <v>0</v>
      </c>
      <c r="D182" s="360" t="s">
        <v>908</v>
      </c>
      <c r="E182" s="360" t="s">
        <v>1350</v>
      </c>
      <c r="F182" s="360" t="s">
        <v>1251</v>
      </c>
      <c r="G182" s="360" t="s">
        <v>838</v>
      </c>
      <c r="H182" s="360">
        <v>9</v>
      </c>
      <c r="I182" s="360" t="s">
        <v>144</v>
      </c>
      <c r="J182" s="360" t="s">
        <v>144</v>
      </c>
      <c r="K182" s="463"/>
      <c r="L182" s="360" t="s">
        <v>144</v>
      </c>
      <c r="M182" s="360"/>
      <c r="N182">
        <f t="shared" si="2"/>
        <v>0</v>
      </c>
    </row>
    <row r="183" spans="2:14" x14ac:dyDescent="0.35">
      <c r="B183" s="359" t="s">
        <v>1257</v>
      </c>
      <c r="C183" s="360">
        <v>0</v>
      </c>
      <c r="D183" s="360" t="s">
        <v>908</v>
      </c>
      <c r="E183" s="360" t="s">
        <v>1350</v>
      </c>
      <c r="F183" s="360" t="s">
        <v>1251</v>
      </c>
      <c r="G183" s="360" t="s">
        <v>839</v>
      </c>
      <c r="H183" s="360">
        <v>9</v>
      </c>
      <c r="I183" s="360" t="s">
        <v>144</v>
      </c>
      <c r="J183" s="360" t="s">
        <v>144</v>
      </c>
      <c r="K183" s="463"/>
      <c r="L183" s="360" t="s">
        <v>144</v>
      </c>
      <c r="M183" s="360"/>
      <c r="N183">
        <f t="shared" si="2"/>
        <v>0</v>
      </c>
    </row>
    <row r="184" spans="2:14" x14ac:dyDescent="0.35">
      <c r="B184" s="359" t="s">
        <v>1258</v>
      </c>
      <c r="C184" s="360">
        <v>0</v>
      </c>
      <c r="D184" s="360" t="s">
        <v>908</v>
      </c>
      <c r="E184" s="360" t="s">
        <v>1350</v>
      </c>
      <c r="F184" s="360" t="s">
        <v>1251</v>
      </c>
      <c r="G184" s="360" t="s">
        <v>840</v>
      </c>
      <c r="H184" s="360">
        <v>9</v>
      </c>
      <c r="I184" s="360" t="s">
        <v>144</v>
      </c>
      <c r="J184" s="360" t="s">
        <v>144</v>
      </c>
      <c r="K184" s="463"/>
      <c r="L184" s="360" t="s">
        <v>873</v>
      </c>
      <c r="M184" s="360"/>
      <c r="N184">
        <f t="shared" si="2"/>
        <v>1</v>
      </c>
    </row>
    <row r="185" spans="2:14" x14ac:dyDescent="0.35">
      <c r="B185" s="359" t="s">
        <v>1259</v>
      </c>
      <c r="C185" s="360">
        <v>2</v>
      </c>
      <c r="D185" s="360" t="s">
        <v>908</v>
      </c>
      <c r="E185" s="360" t="s">
        <v>1350</v>
      </c>
      <c r="F185" s="360" t="s">
        <v>1251</v>
      </c>
      <c r="G185" s="360" t="s">
        <v>841</v>
      </c>
      <c r="H185" s="360">
        <v>9</v>
      </c>
      <c r="I185" s="360" t="s">
        <v>144</v>
      </c>
      <c r="J185" s="360" t="s">
        <v>870</v>
      </c>
      <c r="K185" s="463"/>
      <c r="L185" s="360" t="s">
        <v>870</v>
      </c>
      <c r="M185" s="360"/>
      <c r="N185">
        <f t="shared" si="2"/>
        <v>0</v>
      </c>
    </row>
    <row r="186" spans="2:14" x14ac:dyDescent="0.35">
      <c r="B186" s="359" t="s">
        <v>1260</v>
      </c>
      <c r="C186" s="360">
        <v>0</v>
      </c>
      <c r="D186" s="360" t="s">
        <v>908</v>
      </c>
      <c r="E186" s="360" t="s">
        <v>1350</v>
      </c>
      <c r="F186" s="360" t="s">
        <v>1251</v>
      </c>
      <c r="G186" s="360" t="s">
        <v>842</v>
      </c>
      <c r="H186" s="360">
        <v>9</v>
      </c>
      <c r="I186" s="360" t="s">
        <v>144</v>
      </c>
      <c r="J186" s="360" t="s">
        <v>144</v>
      </c>
      <c r="K186" s="463"/>
      <c r="L186" s="360" t="s">
        <v>144</v>
      </c>
      <c r="M186" s="360"/>
      <c r="N186">
        <f t="shared" si="2"/>
        <v>0</v>
      </c>
    </row>
    <row r="187" spans="2:14" x14ac:dyDescent="0.35">
      <c r="B187" s="359" t="s">
        <v>1261</v>
      </c>
      <c r="C187" s="360">
        <v>0</v>
      </c>
      <c r="D187" s="360" t="s">
        <v>908</v>
      </c>
      <c r="E187" s="360" t="s">
        <v>1350</v>
      </c>
      <c r="F187" s="360" t="s">
        <v>1251</v>
      </c>
      <c r="G187" s="360" t="s">
        <v>843</v>
      </c>
      <c r="H187" s="360">
        <v>9</v>
      </c>
      <c r="I187" s="360" t="s">
        <v>144</v>
      </c>
      <c r="J187" s="360" t="s">
        <v>144</v>
      </c>
      <c r="K187" s="463"/>
      <c r="L187" s="360" t="s">
        <v>144</v>
      </c>
      <c r="M187" s="360"/>
      <c r="N187">
        <f t="shared" si="2"/>
        <v>0</v>
      </c>
    </row>
    <row r="188" spans="2:14" x14ac:dyDescent="0.35">
      <c r="B188" s="359" t="s">
        <v>1262</v>
      </c>
      <c r="C188" s="360">
        <v>0</v>
      </c>
      <c r="D188" s="360" t="s">
        <v>908</v>
      </c>
      <c r="E188" s="360" t="s">
        <v>1350</v>
      </c>
      <c r="F188" s="360" t="s">
        <v>1251</v>
      </c>
      <c r="G188" s="360" t="s">
        <v>844</v>
      </c>
      <c r="H188" s="360">
        <v>9</v>
      </c>
      <c r="I188" s="360" t="s">
        <v>144</v>
      </c>
      <c r="J188" s="360" t="s">
        <v>144</v>
      </c>
      <c r="K188" s="463"/>
      <c r="L188" s="360" t="s">
        <v>144</v>
      </c>
      <c r="M188" s="360"/>
      <c r="N188">
        <f t="shared" si="2"/>
        <v>0</v>
      </c>
    </row>
    <row r="189" spans="2:14" x14ac:dyDescent="0.35">
      <c r="B189" s="359" t="s">
        <v>1263</v>
      </c>
      <c r="C189" s="360">
        <v>0</v>
      </c>
      <c r="D189" s="360" t="s">
        <v>908</v>
      </c>
      <c r="E189" s="360" t="s">
        <v>1350</v>
      </c>
      <c r="F189" s="360" t="s">
        <v>1251</v>
      </c>
      <c r="G189" s="360" t="s">
        <v>845</v>
      </c>
      <c r="H189" s="360">
        <v>9</v>
      </c>
      <c r="I189" s="360" t="s">
        <v>144</v>
      </c>
      <c r="J189" s="360" t="s">
        <v>144</v>
      </c>
      <c r="K189" s="463"/>
      <c r="L189" s="360" t="s">
        <v>144</v>
      </c>
      <c r="M189" s="360"/>
      <c r="N189">
        <f t="shared" si="2"/>
        <v>0</v>
      </c>
    </row>
    <row r="190" spans="2:14" x14ac:dyDescent="0.35">
      <c r="B190" s="359" t="s">
        <v>1264</v>
      </c>
      <c r="C190" s="360">
        <v>2</v>
      </c>
      <c r="D190" s="360" t="s">
        <v>908</v>
      </c>
      <c r="E190" s="360" t="s">
        <v>1350</v>
      </c>
      <c r="F190" s="360" t="s">
        <v>1251</v>
      </c>
      <c r="G190" s="360" t="s">
        <v>846</v>
      </c>
      <c r="H190" s="360">
        <v>9</v>
      </c>
      <c r="I190" s="360" t="s">
        <v>144</v>
      </c>
      <c r="J190" s="360" t="s">
        <v>870</v>
      </c>
      <c r="K190" s="463" t="s">
        <v>1380</v>
      </c>
      <c r="L190" s="360" t="s">
        <v>870</v>
      </c>
      <c r="M190" s="360" t="s">
        <v>1380</v>
      </c>
      <c r="N190">
        <f t="shared" si="2"/>
        <v>0</v>
      </c>
    </row>
    <row r="191" spans="2:14" x14ac:dyDescent="0.35">
      <c r="B191" s="359" t="s">
        <v>1265</v>
      </c>
      <c r="C191" s="360">
        <v>0</v>
      </c>
      <c r="D191" s="360" t="s">
        <v>908</v>
      </c>
      <c r="E191" s="360" t="s">
        <v>1350</v>
      </c>
      <c r="F191" s="360" t="s">
        <v>1251</v>
      </c>
      <c r="G191" s="360" t="s">
        <v>847</v>
      </c>
      <c r="H191" s="360">
        <v>9</v>
      </c>
      <c r="I191" s="360" t="s">
        <v>144</v>
      </c>
      <c r="J191" s="360" t="s">
        <v>144</v>
      </c>
      <c r="K191" s="463"/>
      <c r="L191" s="360" t="s">
        <v>873</v>
      </c>
      <c r="M191" s="360"/>
      <c r="N191">
        <f t="shared" si="2"/>
        <v>1</v>
      </c>
    </row>
    <row r="192" spans="2:14" x14ac:dyDescent="0.35">
      <c r="M192" s="484"/>
    </row>
    <row r="193" spans="13:13" x14ac:dyDescent="0.35">
      <c r="M193" s="484"/>
    </row>
    <row r="194" spans="13:13" x14ac:dyDescent="0.35">
      <c r="M194" s="484"/>
    </row>
    <row r="195" spans="13:13" x14ac:dyDescent="0.35">
      <c r="M195" s="484"/>
    </row>
    <row r="196" spans="13:13" x14ac:dyDescent="0.35">
      <c r="M196" s="484"/>
    </row>
    <row r="197" spans="13:13" x14ac:dyDescent="0.35">
      <c r="M197" s="484"/>
    </row>
    <row r="198" spans="13:13" x14ac:dyDescent="0.35">
      <c r="M198" s="484"/>
    </row>
    <row r="199" spans="13:13" x14ac:dyDescent="0.35">
      <c r="M199" s="484"/>
    </row>
    <row r="200" spans="13:13" x14ac:dyDescent="0.35">
      <c r="M200" s="484"/>
    </row>
  </sheetData>
  <autoFilter ref="B1:N191" xr:uid="{8F177E99-90E1-4DC6-9DBC-019260FD241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4B84BE-1876-42F9-B0A0-765836CC5AAD}">
  <ds:schemaRefs>
    <ds:schemaRef ds:uri="http://schemas.microsoft.com/office/2006/metadata/properties"/>
    <ds:schemaRef ds:uri="http://purl.org/dc/dcmitype/"/>
    <ds:schemaRef ds:uri="http://schemas.microsoft.com/office/infopath/2007/PartnerControls"/>
    <ds:schemaRef ds:uri="http://schemas.microsoft.com/office/2006/documentManagement/types"/>
    <ds:schemaRef ds:uri="http://purl.org/dc/elements/1.1/"/>
    <ds:schemaRef ds:uri="http://purl.org/dc/terms/"/>
    <ds:schemaRef ds:uri="7545f690-6b1a-47a0-8a59-c1ef886048cc"/>
    <ds:schemaRef ds:uri="http://schemas.openxmlformats.org/package/2006/metadata/core-properties"/>
    <ds:schemaRef ds:uri="http://www.w3.org/XML/1998/namespace"/>
    <ds:schemaRef ds:uri="http://schemas.microsoft.com/sharepoint/v3"/>
  </ds:schemaRefs>
</ds:datastoreItem>
</file>

<file path=customXml/itemProps2.xml><?xml version="1.0" encoding="utf-8"?>
<ds:datastoreItem xmlns:ds="http://schemas.openxmlformats.org/officeDocument/2006/customXml" ds:itemID="{9BBD36F6-DEAC-41CE-9274-E7C895D8BBF9}">
  <ds:schemaRefs>
    <ds:schemaRef ds:uri="http://schemas.microsoft.com/sharepoint/v3/contenttype/forms"/>
  </ds:schemaRefs>
</ds:datastoreItem>
</file>

<file path=customXml/itemProps3.xml><?xml version="1.0" encoding="utf-8"?>
<ds:datastoreItem xmlns:ds="http://schemas.openxmlformats.org/officeDocument/2006/customXml" ds:itemID="{9F972E2D-CB3D-4406-8841-1BD1C20980DA}">
  <ds:schemaRefs>
    <ds:schemaRef ds:uri="http://schemas.microsoft.com/DataMashup"/>
  </ds:schemaRefs>
</ds:datastoreItem>
</file>

<file path=customXml/itemProps4.xml><?xml version="1.0" encoding="utf-8"?>
<ds:datastoreItem xmlns:ds="http://schemas.openxmlformats.org/officeDocument/2006/customXml" ds:itemID="{A18531CD-95E8-4ACB-8F10-319C7E1769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Status Resumo</vt:lpstr>
      <vt:lpstr>2. Status Detalhe Campos</vt:lpstr>
      <vt:lpstr>Aux</vt:lpstr>
      <vt:lpstr>Detalhe Especificação --&gt;</vt:lpstr>
      <vt:lpstr>B02.00</vt:lpstr>
      <vt:lpstr>B05.00</vt:lpstr>
      <vt:lpstr>B90.00</vt:lpstr>
      <vt:lpstr>Inputs --&gt;</vt:lpstr>
      <vt:lpstr>Testes</vt:lpstr>
      <vt:lpstr>Controlos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Alexandre Escaleira</dc:creator>
  <cp:lastModifiedBy>Nuno Miguel Rocha Ferreira</cp:lastModifiedBy>
  <dcterms:created xsi:type="dcterms:W3CDTF">2015-06-05T18:17:20Z</dcterms:created>
  <dcterms:modified xsi:type="dcterms:W3CDTF">2025-12-19T15:52:34Z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0x0101001951051659CE89468EBDA2519EAB1C2D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41b88ec2-a72b-4523-9e84-0458a1764731_Enabled">
    <vt:lpwstr>true</vt:lpwstr>
  </property>
  <property fmtid="{D5CDD505-2E9C-101B-9397-08002B2CF9AE}" pid="6" name="MSIP_Label_41b88ec2-a72b-4523-9e84-0458a1764731_SetDate">
    <vt:lpwstr>2025-10-24T14:06:35Z</vt:lpwstr>
  </property>
  <property fmtid="{D5CDD505-2E9C-101B-9397-08002B2CF9AE}" pid="7" name="MSIP_Label_41b88ec2-a72b-4523-9e84-0458a1764731_Method">
    <vt:lpwstr>Privileged</vt:lpwstr>
  </property>
  <property fmtid="{D5CDD505-2E9C-101B-9397-08002B2CF9AE}" pid="8" name="MSIP_Label_41b88ec2-a72b-4523-9e84-0458a1764731_Name">
    <vt:lpwstr>Public O365</vt:lpwstr>
  </property>
  <property fmtid="{D5CDD505-2E9C-101B-9397-08002B2CF9AE}" pid="9" name="MSIP_Label_41b88ec2-a72b-4523-9e84-0458a1764731_SiteId">
    <vt:lpwstr>35595a02-4d6d-44ac-99e1-f9ab4cd872db</vt:lpwstr>
  </property>
  <property fmtid="{D5CDD505-2E9C-101B-9397-08002B2CF9AE}" pid="10" name="MSIP_Label_41b88ec2-a72b-4523-9e84-0458a1764731_ActionId">
    <vt:lpwstr>8f885284-9866-4989-96ac-e2dfe4994af0</vt:lpwstr>
  </property>
  <property fmtid="{D5CDD505-2E9C-101B-9397-08002B2CF9AE}" pid="11" name="MSIP_Label_41b88ec2-a72b-4523-9e84-0458a1764731_ContentBits">
    <vt:lpwstr>0</vt:lpwstr>
  </property>
  <property fmtid="{D5CDD505-2E9C-101B-9397-08002B2CF9AE}" pid="12" name="MSIP_Label_41b88ec2-a72b-4523-9e84-0458a1764731_Tag">
    <vt:lpwstr>10, 0, 1, 1</vt:lpwstr>
  </property>
</Properties>
</file>